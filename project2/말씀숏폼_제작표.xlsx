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구절목록" sheetId="2" state="visible" r:id="rId4"/>
    <sheet name="권별점검" sheetId="3" state="visible" r:id="rId5"/>
    <sheet name="누락점검" sheetId="4" state="visible" r:id="rId6"/>
    <sheet name="제작템플릿" sheetId="5" state="visible" r:id="rId7"/>
    <sheet name="성과기록" sheetId="6" state="visible" r:id="rId8"/>
  </sheets>
  <definedNames>
    <definedName function="false" hidden="true" localSheetId="1" name="_xlnm._FilterDatabase" vbProcedure="false">구절목록!$A$1:$Y$729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<sst xmlns="http://schemas.openxmlformats.org/spreadsheetml/2006/main" count="8403" uniqueCount="2290">
  <si>
    <r>
      <rPr>
        <b val="true"/>
        <sz val="16"/>
        <color rgb="FF1F3864"/>
        <rFont val="WenQuanYi Zen Hei"/>
        <family val="2"/>
      </rPr>
      <t xml:space="preserve">프로젝트</t>
    </r>
    <r>
      <rPr>
        <b val="true"/>
        <sz val="16"/>
        <color rgb="FF1F3864"/>
        <rFont val="Arial"/>
        <family val="0"/>
        <charset val="1"/>
      </rPr>
      <t xml:space="preserve">2 · </t>
    </r>
    <r>
      <rPr>
        <b val="true"/>
        <sz val="16"/>
        <color rgb="FF1F3864"/>
        <rFont val="WenQuanYi Zen Hei"/>
        <family val="2"/>
      </rPr>
      <t xml:space="preserve">말씀 숏폼 제작표</t>
    </r>
  </si>
  <si>
    <r>
      <rPr>
        <sz val="10"/>
        <color rgb="FF595959"/>
        <rFont val="WenQuanYi Zen Hei"/>
        <family val="2"/>
      </rPr>
      <t xml:space="preserve">성경 </t>
    </r>
    <r>
      <rPr>
        <sz val="10"/>
        <color rgb="FF595959"/>
        <rFont val="Arial"/>
        <family val="0"/>
        <charset val="1"/>
      </rPr>
      <t xml:space="preserve">66</t>
    </r>
    <r>
      <rPr>
        <sz val="10"/>
        <color rgb="FF595959"/>
        <rFont val="WenQuanYi Zen Hei"/>
        <family val="2"/>
      </rPr>
      <t xml:space="preserve">권 핵심 구절 </t>
    </r>
    <r>
      <rPr>
        <sz val="10"/>
        <color rgb="FF595959"/>
        <rFont val="Arial"/>
        <family val="0"/>
        <charset val="1"/>
      </rPr>
      <t xml:space="preserve">728</t>
    </r>
    <r>
      <rPr>
        <sz val="10"/>
        <color rgb="FF595959"/>
        <rFont val="WenQuanYi Zen Hei"/>
        <family val="2"/>
      </rPr>
      <t xml:space="preserve">편을 </t>
    </r>
    <r>
      <rPr>
        <sz val="10"/>
        <color rgb="FF595959"/>
        <rFont val="Arial"/>
        <family val="0"/>
        <charset val="1"/>
      </rPr>
      <t xml:space="preserve">6</t>
    </r>
    <r>
      <rPr>
        <sz val="10"/>
        <color rgb="FF595959"/>
        <rFont val="WenQuanYi Zen Hei"/>
        <family val="2"/>
      </rPr>
      <t xml:space="preserve">개월에 </t>
    </r>
    <r>
      <rPr>
        <sz val="10"/>
        <color rgb="FF595959"/>
        <rFont val="Arial"/>
        <family val="0"/>
        <charset val="1"/>
      </rPr>
      <t xml:space="preserve">· </t>
    </r>
    <r>
      <rPr>
        <sz val="10"/>
        <color rgb="FF595959"/>
        <rFont val="WenQuanYi Zen Hei"/>
        <family val="2"/>
      </rPr>
      <t xml:space="preserve">구약</t>
    </r>
    <r>
      <rPr>
        <sz val="10"/>
        <color rgb="FF595959"/>
        <rFont val="Arial"/>
        <family val="0"/>
        <charset val="1"/>
      </rPr>
      <t xml:space="preserve">/</t>
    </r>
    <r>
      <rPr>
        <sz val="10"/>
        <color rgb="FF595959"/>
        <rFont val="WenQuanYi Zen Hei"/>
        <family val="2"/>
      </rPr>
      <t xml:space="preserve">신약 트랙 </t>
    </r>
    <r>
      <rPr>
        <sz val="10"/>
        <color rgb="FF595959"/>
        <rFont val="Arial"/>
        <family val="0"/>
        <charset val="1"/>
      </rPr>
      <t xml:space="preserve">· </t>
    </r>
    <r>
      <rPr>
        <sz val="10"/>
        <color rgb="FF595959"/>
        <rFont val="WenQuanYi Zen Hei"/>
        <family val="2"/>
      </rPr>
      <t xml:space="preserve">성경 본문</t>
    </r>
    <r>
      <rPr>
        <sz val="10"/>
        <color rgb="FF595959"/>
        <rFont val="Arial"/>
        <family val="0"/>
        <charset val="1"/>
      </rPr>
      <t xml:space="preserve">: </t>
    </r>
    <r>
      <rPr>
        <sz val="10"/>
        <color rgb="FF595959"/>
        <rFont val="WenQuanYi Zen Hei"/>
        <family val="2"/>
      </rPr>
      <t xml:space="preserve">개역한글판 </t>
    </r>
    <r>
      <rPr>
        <sz val="10"/>
        <color rgb="FF595959"/>
        <rFont val="Arial"/>
        <family val="0"/>
        <charset val="1"/>
      </rPr>
      <t xml:space="preserve">| </t>
    </r>
    <r>
      <rPr>
        <sz val="10"/>
        <color rgb="FF595959"/>
        <rFont val="WenQuanYi Zen Hei"/>
        <family val="2"/>
      </rPr>
      <t xml:space="preserve">작성일 </t>
    </r>
    <r>
      <rPr>
        <sz val="10"/>
        <color rgb="FF595959"/>
        <rFont val="Arial"/>
        <family val="0"/>
        <charset val="1"/>
      </rPr>
      <t xml:space="preserve">2026-10-27</t>
    </r>
  </si>
  <si>
    <r>
      <rPr>
        <b val="true"/>
        <sz val="12"/>
        <color rgb="FFFFFFFF"/>
        <rFont val="WenQuanYi Zen Hei"/>
        <family val="2"/>
      </rPr>
      <t xml:space="preserve">제작 변수 </t>
    </r>
    <r>
      <rPr>
        <b val="true"/>
        <sz val="12"/>
        <color rgb="FFFFFFFF"/>
        <rFont val="Arial"/>
        <family val="0"/>
        <charset val="1"/>
      </rPr>
      <t xml:space="preserve">(</t>
    </r>
    <r>
      <rPr>
        <b val="true"/>
        <sz val="12"/>
        <color rgb="FFFFFFFF"/>
        <rFont val="WenQuanYi Zen Hei"/>
        <family val="2"/>
      </rPr>
      <t xml:space="preserve">노란 칸만 수정하세요</t>
    </r>
    <r>
      <rPr>
        <b val="true"/>
        <sz val="12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</si>
  <si>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말씀 시리즈 이름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가칭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</si>
  <si>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오늘의 말씀</t>
  </si>
  <si>
    <r>
      <rPr>
        <sz val="9"/>
        <color rgb="FF595959"/>
        <rFont val="WenQuanYi Zen Hei"/>
        <family val="2"/>
      </rPr>
      <t xml:space="preserve">같은 채널 안의 재생목록 이름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제목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해시태그에 반영</t>
    </r>
  </si>
  <si>
    <t xml:space="preserve">시작일</t>
  </si>
  <si>
    <r>
      <rPr>
        <sz val="9"/>
        <color rgb="FF595959"/>
        <rFont val="WenQuanYi Zen Hei"/>
        <family val="2"/>
      </rPr>
      <t xml:space="preserve">예시 날짜입니다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프로젝트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과 상관없이 정하면 됩니다</t>
    </r>
  </si>
  <si>
    <t xml:space="preserve">트랙별 하루 편수</t>
  </si>
  <si>
    <r>
      <rPr>
        <sz val="9"/>
        <color rgb="FF595959"/>
        <rFont val="WenQuanYi Zen Hei"/>
        <family val="2"/>
      </rPr>
      <t xml:space="preserve">구약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신약 각각</t>
    </r>
    <r>
      <rPr>
        <sz val="9"/>
        <color rgb="FF595959"/>
        <rFont val="Arial"/>
        <family val="0"/>
        <charset val="1"/>
      </rPr>
      <t xml:space="preserve">. 2</t>
    </r>
    <r>
      <rPr>
        <sz val="9"/>
        <color rgb="FF595959"/>
        <rFont val="WenQuanYi Zen Hei"/>
        <family val="2"/>
      </rPr>
      <t xml:space="preserve">편이면 하루 총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WenQuanYi Zen Hei"/>
        <family val="2"/>
      </rPr>
      <t xml:space="preserve">편</t>
    </r>
  </si>
  <si>
    <r>
      <rPr>
        <b val="true"/>
        <sz val="10"/>
        <color rgb="FF000000"/>
        <rFont val="WenQuanYi Zen Hei"/>
        <family val="2"/>
      </rPr>
      <t xml:space="preserve">구약 </t>
    </r>
    <r>
      <rPr>
        <b val="true"/>
        <sz val="10"/>
        <color rgb="FF000000"/>
        <rFont val="Arial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번째 업로드 시간</t>
    </r>
  </si>
  <si>
    <t xml:space="preserve">06:30</t>
  </si>
  <si>
    <r>
      <rPr>
        <sz val="9"/>
        <color rgb="FF595959"/>
        <rFont val="WenQuanYi Zen Hei"/>
        <family val="2"/>
      </rPr>
      <t xml:space="preserve">출근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등교 전 묵상 시간</t>
    </r>
  </si>
  <si>
    <r>
      <rPr>
        <b val="true"/>
        <sz val="10"/>
        <color rgb="FF000000"/>
        <rFont val="WenQuanYi Zen Hei"/>
        <family val="2"/>
      </rPr>
      <t xml:space="preserve">신약 </t>
    </r>
    <r>
      <rPr>
        <b val="true"/>
        <sz val="10"/>
        <color rgb="FF000000"/>
        <rFont val="Arial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번째 업로드 시간</t>
    </r>
  </si>
  <si>
    <t xml:space="preserve">12:30</t>
  </si>
  <si>
    <t xml:space="preserve">점심 시간</t>
  </si>
  <si>
    <r>
      <rPr>
        <b val="true"/>
        <sz val="10"/>
        <color rgb="FF000000"/>
        <rFont val="WenQuanYi Zen Hei"/>
        <family val="2"/>
      </rPr>
      <t xml:space="preserve">구약 </t>
    </r>
    <r>
      <rPr>
        <b val="true"/>
        <sz val="10"/>
        <color rgb="FF000000"/>
        <rFont val="Arial"/>
        <family val="0"/>
        <charset val="1"/>
      </rPr>
      <t xml:space="preserve">2</t>
    </r>
    <r>
      <rPr>
        <b val="true"/>
        <sz val="10"/>
        <color rgb="FF000000"/>
        <rFont val="WenQuanYi Zen Hei"/>
        <family val="2"/>
      </rPr>
      <t xml:space="preserve">번째 업로드 시간</t>
    </r>
  </si>
  <si>
    <t xml:space="preserve">18:30</t>
  </si>
  <si>
    <t xml:space="preserve">퇴근 시간</t>
  </si>
  <si>
    <r>
      <rPr>
        <b val="true"/>
        <sz val="10"/>
        <color rgb="FF000000"/>
        <rFont val="WenQuanYi Zen Hei"/>
        <family val="2"/>
      </rPr>
      <t xml:space="preserve">신약 </t>
    </r>
    <r>
      <rPr>
        <b val="true"/>
        <sz val="10"/>
        <color rgb="FF000000"/>
        <rFont val="Arial"/>
        <family val="0"/>
        <charset val="1"/>
      </rPr>
      <t xml:space="preserve">2</t>
    </r>
    <r>
      <rPr>
        <b val="true"/>
        <sz val="10"/>
        <color rgb="FF000000"/>
        <rFont val="WenQuanYi Zen Hei"/>
        <family val="2"/>
      </rPr>
      <t xml:space="preserve">번째 업로드 시간</t>
    </r>
  </si>
  <si>
    <t xml:space="preserve">21:30</t>
  </si>
  <si>
    <r>
      <rPr>
        <sz val="9"/>
        <color rgb="FF595959"/>
        <rFont val="WenQuanYi Zen Hei"/>
        <family val="2"/>
      </rPr>
      <t xml:space="preserve">잠들기 전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프로젝트</t>
    </r>
    <r>
      <rPr>
        <sz val="9"/>
        <color rgb="FF595959"/>
        <rFont val="Arial"/>
        <family val="0"/>
        <charset val="1"/>
      </rPr>
      <t xml:space="preserve">1(</t>
    </r>
    <r>
      <rPr>
        <sz val="9"/>
        <color rgb="FF595959"/>
        <rFont val="WenQuanYi Zen Hei"/>
        <family val="2"/>
      </rPr>
      <t xml:space="preserve">애니메이션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은 </t>
    </r>
    <r>
      <rPr>
        <sz val="9"/>
        <color rgb="FF595959"/>
        <rFont val="Arial"/>
        <family val="0"/>
        <charset val="1"/>
      </rPr>
      <t xml:space="preserve">17:00 </t>
    </r>
    <r>
      <rPr>
        <sz val="9"/>
        <color rgb="FF595959"/>
        <rFont val="WenQuanYi Zen Hei"/>
        <family val="2"/>
      </rPr>
      <t xml:space="preserve">전후로 두어 겹치지 않게</t>
    </r>
  </si>
  <si>
    <r>
      <rPr>
        <b val="true"/>
        <sz val="10"/>
        <color rgb="FF000000"/>
        <rFont val="WenQuanYi Zen Hei"/>
        <family val="2"/>
      </rPr>
      <t xml:space="preserve">낭독 속도 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글자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WenQuanYi Zen Hei"/>
        <family val="2"/>
      </rPr>
      <t xml:space="preserve">초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</si>
  <si>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차분한 낭독 기준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권장 영상 길이 계산에 사용</t>
    </r>
  </si>
  <si>
    <r>
      <rPr>
        <b val="true"/>
        <sz val="12"/>
        <color rgb="FFFFFFFF"/>
        <rFont val="WenQuanYi Zen Hei"/>
        <family val="2"/>
      </rPr>
      <t xml:space="preserve">전체 규모 </t>
    </r>
    <r>
      <rPr>
        <b val="true"/>
        <sz val="12"/>
        <color rgb="FFFFFFFF"/>
        <rFont val="Arial"/>
        <family val="0"/>
        <charset val="1"/>
      </rPr>
      <t xml:space="preserve">(</t>
    </r>
    <r>
      <rPr>
        <b val="true"/>
        <sz val="12"/>
        <color rgb="FFFFFFFF"/>
        <rFont val="WenQuanYi Zen Hei"/>
        <family val="2"/>
      </rPr>
      <t xml:space="preserve">자동 계산</t>
    </r>
    <r>
      <rPr>
        <b val="true"/>
        <sz val="12"/>
        <color rgb="FFFFFFFF"/>
        <rFont val="Arial"/>
        <family val="0"/>
        <charset val="1"/>
      </rPr>
      <t xml:space="preserve">)</t>
    </r>
  </si>
  <si>
    <t xml:space="preserve">전체 편수</t>
  </si>
  <si>
    <t xml:space="preserve">편</t>
  </si>
  <si>
    <r>
      <rPr>
        <b val="true"/>
        <sz val="10"/>
        <color rgb="FF000000"/>
        <rFont val="WenQuanYi Zen Hei"/>
        <family val="2"/>
      </rPr>
      <t xml:space="preserve">구약 </t>
    </r>
    <r>
      <rPr>
        <b val="true"/>
        <sz val="10"/>
        <color rgb="FF000000"/>
        <rFont val="Arial"/>
        <family val="0"/>
        <charset val="1"/>
      </rPr>
      <t xml:space="preserve">/ </t>
    </r>
    <r>
      <rPr>
        <b val="true"/>
        <sz val="10"/>
        <color rgb="FF000000"/>
        <rFont val="WenQuanYi Zen Hei"/>
        <family val="2"/>
      </rPr>
      <t xml:space="preserve">신약</t>
    </r>
  </si>
  <si>
    <t xml:space="preserve">포함된 책</t>
  </si>
  <si>
    <r>
      <rPr>
        <sz val="9"/>
        <color rgb="FF595959"/>
        <rFont val="WenQuanYi Zen Hei"/>
        <family val="2"/>
      </rPr>
      <t xml:space="preserve">권 </t>
    </r>
    <r>
      <rPr>
        <sz val="9"/>
        <color rgb="FF595959"/>
        <rFont val="Arial"/>
        <family val="0"/>
        <charset val="1"/>
      </rPr>
      <t xml:space="preserve">/ 66</t>
    </r>
    <r>
      <rPr>
        <sz val="9"/>
        <color rgb="FF595959"/>
        <rFont val="WenQuanYi Zen Hei"/>
        <family val="2"/>
      </rPr>
      <t xml:space="preserve">권</t>
    </r>
  </si>
  <si>
    <t xml:space="preserve">마지막 업로드일</t>
  </si>
  <si>
    <t xml:space="preserve">전체 기간</t>
  </si>
  <si>
    <r>
      <rPr>
        <sz val="9"/>
        <color rgb="FF595959"/>
        <rFont val="WenQuanYi Zen Hei"/>
        <family val="2"/>
      </rPr>
      <t xml:space="preserve">일 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목표 </t>
    </r>
    <r>
      <rPr>
        <sz val="9"/>
        <color rgb="FF595959"/>
        <rFont val="Arial"/>
        <family val="0"/>
        <charset val="1"/>
      </rPr>
      <t xml:space="preserve">182</t>
    </r>
    <r>
      <rPr>
        <sz val="9"/>
        <color rgb="FF595959"/>
        <rFont val="WenQuanYi Zen Hei"/>
        <family val="2"/>
      </rPr>
      <t xml:space="preserve">일 이내</t>
    </r>
    <r>
      <rPr>
        <sz val="9"/>
        <color rgb="FF595959"/>
        <rFont val="Arial"/>
        <family val="0"/>
        <charset val="1"/>
      </rPr>
      <t xml:space="preserve">)</t>
    </r>
  </si>
  <si>
    <t xml:space="preserve">본문 입력 완료</t>
  </si>
  <si>
    <t xml:space="preserve">운영 원칙</t>
  </si>
  <si>
    <t xml:space="preserve">말씀에만 집중</t>
  </si>
  <si>
    <r>
      <rPr>
        <sz val="10"/>
        <color rgb="FF000000"/>
        <rFont val="WenQuanYi Zen Hei"/>
        <family val="2"/>
      </rPr>
      <t xml:space="preserve">영상에는 해설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진행자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내레이션 없이 구절 낭독과 자막만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설명이 꼭 필요한 구절은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설명란 문구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를 유튜브 설명란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인스타 게시글에만 적음</t>
    </r>
  </si>
  <si>
    <t xml:space="preserve">트랙</t>
  </si>
  <si>
    <r>
      <rPr>
        <sz val="10"/>
        <color rgb="FF000000"/>
        <rFont val="WenQuanYi Zen Hei"/>
        <family val="2"/>
      </rPr>
      <t xml:space="preserve">구약 트랙과 신약 트랙이 각각 성경 순서대로 동시에 진행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창세기→말라기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마태복음→요한계시록</t>
    </r>
    <r>
      <rPr>
        <sz val="10"/>
        <color rgb="FF000000"/>
        <rFont val="Arial"/>
        <family val="0"/>
        <charset val="1"/>
      </rPr>
      <t xml:space="preserve">)</t>
    </r>
  </si>
  <si>
    <t xml:space="preserve">채널</t>
  </si>
  <si>
    <r>
      <rPr>
        <sz val="10"/>
        <color rgb="FF000000"/>
        <rFont val="WenQuanYi Zen Hei"/>
        <family val="2"/>
      </rPr>
      <t xml:space="preserve">프로젝트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과 같은 채널</t>
    </r>
    <r>
      <rPr>
        <sz val="10"/>
        <color rgb="FF000000"/>
        <rFont val="Arial"/>
        <family val="0"/>
        <charset val="1"/>
      </rPr>
      <t xml:space="preserve">. '</t>
    </r>
    <r>
      <rPr>
        <sz val="10"/>
        <color rgb="FF000000"/>
        <rFont val="WenQuanYi Zen Hei"/>
        <family val="2"/>
      </rPr>
      <t xml:space="preserve">말씀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재생목록으로 구분하고 업로드 시간을 겹치지 않게</t>
    </r>
  </si>
  <si>
    <t xml:space="preserve">성경 본문</t>
  </si>
  <si>
    <r>
      <rPr>
        <sz val="10"/>
        <color rgb="FF000000"/>
        <rFont val="WenQuanYi Zen Hei"/>
        <family val="2"/>
      </rPr>
      <t xml:space="preserve">개역한글판만 사용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본문은 공개된 원문에서 붙여 넣고 장절별로 대조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기억이나 다른 번역에서 옮기지 않음</t>
    </r>
    <r>
      <rPr>
        <sz val="10"/>
        <color rgb="FF000000"/>
        <rFont val="Arial"/>
        <family val="0"/>
        <charset val="1"/>
      </rPr>
      <t xml:space="preserve">)</t>
    </r>
  </si>
  <si>
    <t xml:space="preserve">선정 기준</t>
  </si>
  <si>
    <r>
      <rPr>
        <sz val="10"/>
        <color rgb="FF000000"/>
        <rFont val="Arial"/>
        <family val="0"/>
        <charset val="1"/>
      </rPr>
      <t xml:space="preserve">66</t>
    </r>
    <r>
      <rPr>
        <sz val="10"/>
        <color rgb="FF000000"/>
        <rFont val="WenQuanYi Zen Hei"/>
        <family val="2"/>
      </rPr>
      <t xml:space="preserve">권 모두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구절 이상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책의 분량과 많이 암송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인용되는 구절을 함께 고려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한 절만 떼어 쓰면 뜻이 달라지는 구절은 피하거나 설명란 문구를 붙임</t>
    </r>
  </si>
  <si>
    <t xml:space="preserve">순번</t>
  </si>
  <si>
    <t xml:space="preserve">코드</t>
  </si>
  <si>
    <t xml:space="preserve">트랙 회차</t>
  </si>
  <si>
    <t xml:space="preserve">회차 표기</t>
  </si>
  <si>
    <t xml:space="preserve">책</t>
  </si>
  <si>
    <t xml:space="preserve">장절</t>
  </si>
  <si>
    <t xml:space="preserve">자막 출처 표기</t>
  </si>
  <si>
    <t xml:space="preserve">주제</t>
  </si>
  <si>
    <t xml:space="preserve">화면 배경</t>
  </si>
  <si>
    <r>
      <rPr>
        <b val="true"/>
        <sz val="10"/>
        <color rgb="FFFFFFFF"/>
        <rFont val="WenQuanYi Zen Hei"/>
        <family val="2"/>
      </rPr>
      <t xml:space="preserve">본문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개역한글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</si>
  <si>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본문 상태</t>
  </si>
  <si>
    <t xml:space="preserve">글자 수</t>
  </si>
  <si>
    <r>
      <rPr>
        <b val="true"/>
        <sz val="10"/>
        <color rgb="FFFFFFFF"/>
        <rFont val="WenQuanYi Zen Hei"/>
        <family val="2"/>
      </rPr>
      <t xml:space="preserve">권장 길이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초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</si>
  <si>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제목안</t>
  </si>
  <si>
    <t xml:space="preserve">해시태그</t>
  </si>
  <si>
    <t xml:space="preserve">설명란 문구</t>
  </si>
  <si>
    <t xml:space="preserve">업로드일</t>
  </si>
  <si>
    <t xml:space="preserve">업로드 시간</t>
  </si>
  <si>
    <t xml:space="preserve">요일</t>
  </si>
  <si>
    <t xml:space="preserve">영상</t>
  </si>
  <si>
    <t xml:space="preserve">업로드</t>
  </si>
  <si>
    <t xml:space="preserve">조회수</t>
  </si>
  <si>
    <r>
      <rPr>
        <b val="true"/>
        <sz val="10"/>
        <color rgb="FFFFFFFF"/>
        <rFont val="WenQuanYi Zen Hei"/>
        <family val="2"/>
      </rPr>
      <t xml:space="preserve">시청 </t>
    </r>
    <r>
      <rPr>
        <b val="true"/>
        <sz val="10"/>
        <color rgb="FFFFFFFF"/>
        <rFont val="Arial"/>
        <family val="0"/>
        <charset val="1"/>
      </rPr>
      <t xml:space="preserve">vs </t>
    </r>
    <r>
      <rPr>
        <b val="true"/>
        <sz val="10"/>
        <color rgb="FFFFFFFF"/>
        <rFont val="WenQuanYi Zen Hei"/>
        <family val="2"/>
      </rPr>
      <t xml:space="preserve">넘김</t>
    </r>
    <r>
      <rPr>
        <b val="true"/>
        <sz val="10"/>
        <color rgb="FFFFFFFF"/>
        <rFont val="Arial"/>
        <family val="0"/>
        <charset val="1"/>
      </rPr>
      <t xml:space="preserve">(%)</t>
    </r>
  </si>
  <si>
    <t xml:space="preserve">비고</t>
  </si>
  <si>
    <t xml:space="preserve">W0001</t>
  </si>
  <si>
    <t xml:space="preserve">구약</t>
  </si>
  <si>
    <t xml:space="preserve">창세기</t>
  </si>
  <si>
    <t xml:space="preserve">1:1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</si>
  <si>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</si>
  <si>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창조</t>
  </si>
  <si>
    <r>
      <rPr>
        <sz val="10"/>
        <color rgb="FF000000"/>
        <rFont val="WenQuanYi Zen Hei"/>
        <family val="2"/>
      </rPr>
      <t xml:space="preserve">하늘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별</t>
    </r>
  </si>
  <si>
    <t xml:space="preserve">미입력</t>
  </si>
  <si>
    <r>
      <rPr>
        <sz val="10"/>
        <color rgb="FF000000"/>
        <rFont val="WenQuanYi Zen Hei"/>
        <family val="2"/>
      </rPr>
      <t xml:space="preserve">성경 본문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개역한글판</t>
    </r>
  </si>
  <si>
    <t xml:space="preserve">미착수</t>
  </si>
  <si>
    <t xml:space="preserve">W0002</t>
  </si>
  <si>
    <t xml:space="preserve">1:27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</si>
  <si>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1:27,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</si>
  <si>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W0003</t>
  </si>
  <si>
    <t xml:space="preserve">1:31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</si>
  <si>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1:31,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</si>
  <si>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W0004</t>
  </si>
  <si>
    <t xml:space="preserve">2:7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</si>
  <si>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2:7,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</si>
  <si>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생명</t>
  </si>
  <si>
    <t xml:space="preserve">새벽빛</t>
  </si>
  <si>
    <t xml:space="preserve">W0005</t>
  </si>
  <si>
    <t xml:space="preserve">2:18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</si>
  <si>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2:18,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</si>
  <si>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가정</t>
  </si>
  <si>
    <r>
      <rPr>
        <sz val="10"/>
        <color rgb="FF000000"/>
        <rFont val="WenQuanYi Zen Hei"/>
        <family val="2"/>
      </rPr>
      <t xml:space="preserve">창가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식탁</t>
    </r>
  </si>
  <si>
    <t xml:space="preserve">W0006</t>
  </si>
  <si>
    <t xml:space="preserve">3:9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</si>
  <si>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3:9,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</si>
  <si>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은혜</t>
  </si>
  <si>
    <t xml:space="preserve">잔잔한 물</t>
  </si>
  <si>
    <t xml:space="preserve">W0007</t>
  </si>
  <si>
    <t xml:space="preserve">3:15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</si>
  <si>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3:15,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</si>
  <si>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구원</t>
  </si>
  <si>
    <r>
      <rPr>
        <sz val="10"/>
        <color rgb="FF000000"/>
        <rFont val="WenQuanYi Zen Hei"/>
        <family val="2"/>
      </rPr>
      <t xml:space="preserve">제단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십자가</t>
    </r>
  </si>
  <si>
    <r>
      <rPr>
        <sz val="10"/>
        <color rgb="FFC00000"/>
        <rFont val="WenQuanYi Zen Hei"/>
        <family val="2"/>
      </rPr>
      <t xml:space="preserve">여자의 후손이 뱀의 머리를 상하게 하리라는 약속은 그리스도의 승리를 가리킵니다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원시복음</t>
    </r>
    <r>
      <rPr>
        <sz val="10"/>
        <color rgb="FFC00000"/>
        <rFont val="Arial"/>
        <family val="0"/>
        <charset val="1"/>
      </rPr>
      <t xml:space="preserve">).
</t>
    </r>
    <r>
      <rPr>
        <sz val="10"/>
        <color rgb="FFC00000"/>
        <rFont val="WenQuanYi Zen Hei"/>
        <family val="2"/>
      </rPr>
      <t xml:space="preserve">성경 본문</t>
    </r>
    <r>
      <rPr>
        <sz val="10"/>
        <color rgb="FFC00000"/>
        <rFont val="Arial"/>
        <family val="0"/>
        <charset val="1"/>
      </rPr>
      <t xml:space="preserve">: </t>
    </r>
    <r>
      <rPr>
        <sz val="10"/>
        <color rgb="FFC00000"/>
        <rFont val="WenQuanYi Zen Hei"/>
        <family val="2"/>
      </rPr>
      <t xml:space="preserve">개역한글판</t>
    </r>
  </si>
  <si>
    <t xml:space="preserve">W0008</t>
  </si>
  <si>
    <t xml:space="preserve">6:8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</si>
  <si>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6:8,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</si>
  <si>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W0009</t>
  </si>
  <si>
    <t xml:space="preserve">8:22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</si>
  <si>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8:22,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</si>
  <si>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신실하심</t>
  </si>
  <si>
    <r>
      <rPr>
        <sz val="10"/>
        <color rgb="FF000000"/>
        <rFont val="WenQuanYi Zen Hei"/>
        <family val="2"/>
      </rPr>
      <t xml:space="preserve">바위산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광야</t>
    </r>
  </si>
  <si>
    <t xml:space="preserve">W0010</t>
  </si>
  <si>
    <t xml:space="preserve">9:13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</si>
  <si>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9:13,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</si>
  <si>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언약</t>
  </si>
  <si>
    <t xml:space="preserve">W0011</t>
  </si>
  <si>
    <t xml:space="preserve">12:1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</si>
  <si>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12:1,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</si>
  <si>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순종</t>
  </si>
  <si>
    <r>
      <rPr>
        <sz val="10"/>
        <color rgb="FF000000"/>
        <rFont val="WenQuanYi Zen Hei"/>
        <family val="2"/>
      </rPr>
      <t xml:space="preserve">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등불</t>
    </r>
  </si>
  <si>
    <t xml:space="preserve">W0012</t>
  </si>
  <si>
    <t xml:space="preserve">12:2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</si>
  <si>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12:2,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</si>
  <si>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W0013</t>
  </si>
  <si>
    <t xml:space="preserve">15:1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</si>
  <si>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15:1,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</si>
  <si>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위로</t>
  </si>
  <si>
    <t xml:space="preserve">W0014</t>
  </si>
  <si>
    <t xml:space="preserve">15:6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</si>
  <si>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15:6,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</si>
  <si>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믿음</t>
  </si>
  <si>
    <t xml:space="preserve">W0015</t>
  </si>
  <si>
    <t xml:space="preserve">16:13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</si>
  <si>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16:13,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</si>
  <si>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W0016</t>
  </si>
  <si>
    <t xml:space="preserve">18:14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</si>
  <si>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18:14,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</si>
  <si>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능력</t>
  </si>
  <si>
    <t xml:space="preserve">W0017</t>
  </si>
  <si>
    <t xml:space="preserve">22:8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</si>
  <si>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22:8,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</si>
  <si>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W0018</t>
  </si>
  <si>
    <t xml:space="preserve">22:14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</si>
  <si>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22:14,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</si>
  <si>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공급하심</t>
  </si>
  <si>
    <r>
      <rPr>
        <sz val="10"/>
        <color rgb="FF000000"/>
        <rFont val="WenQuanYi Zen Hei"/>
        <family val="2"/>
      </rPr>
      <t xml:space="preserve">들판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나무</t>
    </r>
  </si>
  <si>
    <t xml:space="preserve">W0019</t>
  </si>
  <si>
    <t xml:space="preserve">28:15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</si>
  <si>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28:15,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</si>
  <si>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동행</t>
  </si>
  <si>
    <t xml:space="preserve">W0020</t>
  </si>
  <si>
    <t xml:space="preserve">28:16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</si>
  <si>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28:16,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</si>
  <si>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임재</t>
  </si>
  <si>
    <t xml:space="preserve">W0021</t>
  </si>
  <si>
    <t xml:space="preserve">32:28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</si>
  <si>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32:28,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</si>
  <si>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기도</t>
  </si>
  <si>
    <t xml:space="preserve">W0022</t>
  </si>
  <si>
    <t xml:space="preserve">39:2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</si>
  <si>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39:2,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</si>
  <si>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W0023</t>
  </si>
  <si>
    <t xml:space="preserve">50:20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</si>
  <si>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50:20,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</si>
  <si>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섭리</t>
  </si>
  <si>
    <t xml:space="preserve">W0024</t>
  </si>
  <si>
    <t xml:space="preserve">출애굽기</t>
  </si>
  <si>
    <t xml:space="preserve">3:5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</si>
  <si>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3:5,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</si>
  <si>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거룩</t>
  </si>
  <si>
    <t xml:space="preserve">W0025</t>
  </si>
  <si>
    <t xml:space="preserve">3:14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</si>
  <si>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3:14,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</si>
  <si>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하나님</t>
  </si>
  <si>
    <t xml:space="preserve">W0026</t>
  </si>
  <si>
    <t xml:space="preserve">4:12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</si>
  <si>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4:12,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</si>
  <si>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인도</t>
  </si>
  <si>
    <t xml:space="preserve">W0027</t>
  </si>
  <si>
    <t xml:space="preserve">6:7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</si>
  <si>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6:7,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</si>
  <si>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W0028</t>
  </si>
  <si>
    <t xml:space="preserve">12:13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</si>
  <si>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12:13,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</si>
  <si>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W0029</t>
  </si>
  <si>
    <t xml:space="preserve">14:13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</si>
  <si>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14:13,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</si>
  <si>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W0030</t>
  </si>
  <si>
    <t xml:space="preserve">14:14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</si>
  <si>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14:14,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</si>
  <si>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W0031</t>
  </si>
  <si>
    <t xml:space="preserve">15:2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</si>
  <si>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15:2,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</si>
  <si>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찬양</t>
  </si>
  <si>
    <t xml:space="preserve">W0032</t>
  </si>
  <si>
    <t xml:space="preserve">15:26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</si>
  <si>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15:26,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</si>
  <si>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치료</t>
  </si>
  <si>
    <t xml:space="preserve">W0033</t>
  </si>
  <si>
    <t xml:space="preserve">16:4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</si>
  <si>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16:4,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</si>
  <si>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W0034</t>
  </si>
  <si>
    <t xml:space="preserve">17:15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</si>
  <si>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17:15,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</si>
  <si>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승리</t>
  </si>
  <si>
    <t xml:space="preserve">W0035</t>
  </si>
  <si>
    <t xml:space="preserve">19:5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</si>
  <si>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19:5,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</si>
  <si>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W0036</t>
  </si>
  <si>
    <t xml:space="preserve">20:3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</si>
  <si>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20:3,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</si>
  <si>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계명</t>
  </si>
  <si>
    <t xml:space="preserve">W0037</t>
  </si>
  <si>
    <t xml:space="preserve">20:12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</si>
  <si>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20:12,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</si>
  <si>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W0038</t>
  </si>
  <si>
    <t xml:space="preserve">33:14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</si>
  <si>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33:14,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</si>
  <si>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평안</t>
  </si>
  <si>
    <t xml:space="preserve">W0039</t>
  </si>
  <si>
    <t xml:space="preserve">34:6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</si>
  <si>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출 </t>
    </r>
    <r>
      <rPr>
        <sz val="10"/>
        <color rgb="FF000000"/>
        <rFont val="Arial"/>
        <family val="0"/>
        <charset val="1"/>
      </rPr>
      <t xml:space="preserve">34:6,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</si>
  <si>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W0040</t>
  </si>
  <si>
    <t xml:space="preserve">레위기</t>
  </si>
  <si>
    <t xml:space="preserve">11:44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</si>
  <si>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레 </t>
    </r>
    <r>
      <rPr>
        <sz val="10"/>
        <color rgb="FF000000"/>
        <rFont val="Arial"/>
        <family val="0"/>
        <charset val="1"/>
      </rPr>
      <t xml:space="preserve">11:44,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</si>
  <si>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W0041</t>
  </si>
  <si>
    <t xml:space="preserve">17:11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</si>
  <si>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레 </t>
    </r>
    <r>
      <rPr>
        <sz val="10"/>
        <color rgb="FF000000"/>
        <rFont val="Arial"/>
        <family val="0"/>
        <charset val="1"/>
      </rPr>
      <t xml:space="preserve">17:11,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</si>
  <si>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속죄</t>
  </si>
  <si>
    <t xml:space="preserve">W0042</t>
  </si>
  <si>
    <t xml:space="preserve">19:2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</si>
  <si>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레 </t>
    </r>
    <r>
      <rPr>
        <sz val="10"/>
        <color rgb="FF000000"/>
        <rFont val="Arial"/>
        <family val="0"/>
        <charset val="1"/>
      </rPr>
      <t xml:space="preserve">19:2,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</si>
  <si>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W0043</t>
  </si>
  <si>
    <t xml:space="preserve">19:18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</si>
  <si>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레 </t>
    </r>
    <r>
      <rPr>
        <sz val="10"/>
        <color rgb="FF000000"/>
        <rFont val="Arial"/>
        <family val="0"/>
        <charset val="1"/>
      </rPr>
      <t xml:space="preserve">19:18,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</si>
  <si>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사랑</t>
  </si>
  <si>
    <t xml:space="preserve">W0044</t>
  </si>
  <si>
    <t xml:space="preserve">25:10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</si>
  <si>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레 </t>
    </r>
    <r>
      <rPr>
        <sz val="10"/>
        <color rgb="FF000000"/>
        <rFont val="Arial"/>
        <family val="0"/>
        <charset val="1"/>
      </rPr>
      <t xml:space="preserve">25:10,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</si>
  <si>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자유</t>
  </si>
  <si>
    <t xml:space="preserve">W0045</t>
  </si>
  <si>
    <t xml:space="preserve">26:12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</si>
  <si>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레 </t>
    </r>
    <r>
      <rPr>
        <sz val="10"/>
        <color rgb="FF000000"/>
        <rFont val="Arial"/>
        <family val="0"/>
        <charset val="1"/>
      </rPr>
      <t xml:space="preserve">26:12,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</si>
  <si>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W0046</t>
  </si>
  <si>
    <t xml:space="preserve">민수기</t>
  </si>
  <si>
    <t xml:space="preserve">6:24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</si>
  <si>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6:24,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</si>
  <si>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축복</t>
  </si>
  <si>
    <t xml:space="preserve">W0047</t>
  </si>
  <si>
    <t xml:space="preserve">6:25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</si>
  <si>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6:25,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</si>
  <si>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W0048</t>
  </si>
  <si>
    <t xml:space="preserve">6:26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</si>
  <si>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6:26,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</si>
  <si>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W0049</t>
  </si>
  <si>
    <t xml:space="preserve">14:8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</si>
  <si>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14:8,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</si>
  <si>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W0050</t>
  </si>
  <si>
    <t xml:space="preserve">14:24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</si>
  <si>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14:24,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</si>
  <si>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W0051</t>
  </si>
  <si>
    <t xml:space="preserve">21:8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</si>
  <si>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21:8,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</si>
  <si>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C00000"/>
        <rFont val="WenQuanYi Zen Hei"/>
        <family val="2"/>
      </rPr>
      <t xml:space="preserve">놋뱀을 바라보면 살았던 사건은 십자가의 그리스도를 바라보는 믿음을 가리킵니다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요 </t>
    </r>
    <r>
      <rPr>
        <sz val="10"/>
        <color rgb="FFC00000"/>
        <rFont val="Arial"/>
        <family val="0"/>
        <charset val="1"/>
      </rPr>
      <t xml:space="preserve">3:14-15).
</t>
    </r>
    <r>
      <rPr>
        <sz val="10"/>
        <color rgb="FFC00000"/>
        <rFont val="WenQuanYi Zen Hei"/>
        <family val="2"/>
      </rPr>
      <t xml:space="preserve">성경 본문</t>
    </r>
    <r>
      <rPr>
        <sz val="10"/>
        <color rgb="FFC00000"/>
        <rFont val="Arial"/>
        <family val="0"/>
        <charset val="1"/>
      </rPr>
      <t xml:space="preserve">: </t>
    </r>
    <r>
      <rPr>
        <sz val="10"/>
        <color rgb="FFC00000"/>
        <rFont val="WenQuanYi Zen Hei"/>
        <family val="2"/>
      </rPr>
      <t xml:space="preserve">개역한글판</t>
    </r>
  </si>
  <si>
    <t xml:space="preserve">W0052</t>
  </si>
  <si>
    <t xml:space="preserve">23:19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</si>
  <si>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민 </t>
    </r>
    <r>
      <rPr>
        <sz val="10"/>
        <color rgb="FF000000"/>
        <rFont val="Arial"/>
        <family val="0"/>
        <charset val="1"/>
      </rPr>
      <t xml:space="preserve">23:19,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</si>
  <si>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W0053</t>
  </si>
  <si>
    <t xml:space="preserve">신명기</t>
  </si>
  <si>
    <t xml:space="preserve">4:29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</si>
  <si>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4:29,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</si>
  <si>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W0054</t>
  </si>
  <si>
    <t xml:space="preserve">6:4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</si>
  <si>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6:4,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</si>
  <si>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W0055</t>
  </si>
  <si>
    <t xml:space="preserve">6:5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</si>
  <si>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6:5,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</si>
  <si>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W0056</t>
  </si>
  <si>
    <t xml:space="preserve">6:6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</si>
  <si>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6:6,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</si>
  <si>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말씀</t>
  </si>
  <si>
    <t xml:space="preserve">W0057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</si>
  <si>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6:7,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</si>
  <si>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W0058</t>
  </si>
  <si>
    <t xml:space="preserve">7:9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</si>
  <si>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7:9,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</si>
  <si>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W0059</t>
  </si>
  <si>
    <t xml:space="preserve">8:3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</si>
  <si>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8:3,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</si>
  <si>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W0060</t>
  </si>
  <si>
    <t xml:space="preserve">10:12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</si>
  <si>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10:12,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</si>
  <si>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W0061</t>
  </si>
  <si>
    <t xml:space="preserve">29:29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</si>
  <si>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29:29,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</si>
  <si>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W0062</t>
  </si>
  <si>
    <t xml:space="preserve">30:19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</si>
  <si>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30:19,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</si>
  <si>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W0063</t>
  </si>
  <si>
    <t xml:space="preserve">31:6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</si>
  <si>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31:6,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</si>
  <si>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담대함</t>
  </si>
  <si>
    <t xml:space="preserve">W0064</t>
  </si>
  <si>
    <t xml:space="preserve">31:8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</si>
  <si>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31:8,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</si>
  <si>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W0065</t>
  </si>
  <si>
    <t xml:space="preserve">32:4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</si>
  <si>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32:4,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</si>
  <si>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W0066</t>
  </si>
  <si>
    <t xml:space="preserve">33:27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</si>
  <si>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신 </t>
    </r>
    <r>
      <rPr>
        <sz val="10"/>
        <color rgb="FF000000"/>
        <rFont val="Arial"/>
        <family val="0"/>
        <charset val="1"/>
      </rPr>
      <t xml:space="preserve">33:27,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</si>
  <si>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W0067</t>
  </si>
  <si>
    <t xml:space="preserve">여호수아</t>
  </si>
  <si>
    <t xml:space="preserve">1:5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</si>
  <si>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수 </t>
    </r>
    <r>
      <rPr>
        <sz val="10"/>
        <color rgb="FF000000"/>
        <rFont val="Arial"/>
        <family val="0"/>
        <charset val="1"/>
      </rPr>
      <t xml:space="preserve">1:5,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</si>
  <si>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W0068</t>
  </si>
  <si>
    <t xml:space="preserve">1:8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</si>
  <si>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수 </t>
    </r>
    <r>
      <rPr>
        <sz val="10"/>
        <color rgb="FF000000"/>
        <rFont val="Arial"/>
        <family val="0"/>
        <charset val="1"/>
      </rPr>
      <t xml:space="preserve">1:8,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</si>
  <si>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W0069</t>
  </si>
  <si>
    <t xml:space="preserve">1:9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</si>
  <si>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수 </t>
    </r>
    <r>
      <rPr>
        <sz val="10"/>
        <color rgb="FF000000"/>
        <rFont val="Arial"/>
        <family val="0"/>
        <charset val="1"/>
      </rPr>
      <t xml:space="preserve">1:9,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</si>
  <si>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W0070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</si>
  <si>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수 </t>
    </r>
    <r>
      <rPr>
        <sz val="10"/>
        <color rgb="FF000000"/>
        <rFont val="Arial"/>
        <family val="0"/>
        <charset val="1"/>
      </rPr>
      <t xml:space="preserve">3:5,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</si>
  <si>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W0071</t>
  </si>
  <si>
    <t xml:space="preserve">21:45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</si>
  <si>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수 </t>
    </r>
    <r>
      <rPr>
        <sz val="10"/>
        <color rgb="FF000000"/>
        <rFont val="Arial"/>
        <family val="0"/>
        <charset val="1"/>
      </rPr>
      <t xml:space="preserve">21:45,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</si>
  <si>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W0072</t>
  </si>
  <si>
    <t xml:space="preserve">24:15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</si>
  <si>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수 </t>
    </r>
    <r>
      <rPr>
        <sz val="10"/>
        <color rgb="FF000000"/>
        <rFont val="Arial"/>
        <family val="0"/>
        <charset val="1"/>
      </rPr>
      <t xml:space="preserve">24:15,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</si>
  <si>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헌신</t>
  </si>
  <si>
    <t xml:space="preserve">W0073</t>
  </si>
  <si>
    <t xml:space="preserve">사사기</t>
  </si>
  <si>
    <t xml:space="preserve">6:12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</si>
  <si>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6:12,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</si>
  <si>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W0074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</si>
  <si>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6:24,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</si>
  <si>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W0075</t>
  </si>
  <si>
    <t xml:space="preserve">7:7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</si>
  <si>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7:7,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</si>
  <si>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W0076</t>
  </si>
  <si>
    <t xml:space="preserve">16:28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</si>
  <si>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삿 </t>
    </r>
    <r>
      <rPr>
        <sz val="10"/>
        <color rgb="FF000000"/>
        <rFont val="Arial"/>
        <family val="0"/>
        <charset val="1"/>
      </rPr>
      <t xml:space="preserve">16:28,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</si>
  <si>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W0077</t>
  </si>
  <si>
    <t xml:space="preserve">룻기</t>
  </si>
  <si>
    <t xml:space="preserve">1:16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</si>
  <si>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룻 </t>
    </r>
    <r>
      <rPr>
        <sz val="10"/>
        <color rgb="FF000000"/>
        <rFont val="Arial"/>
        <family val="0"/>
        <charset val="1"/>
      </rPr>
      <t xml:space="preserve">1:16,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</si>
  <si>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W0078</t>
  </si>
  <si>
    <t xml:space="preserve">2:12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</si>
  <si>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룻 </t>
    </r>
    <r>
      <rPr>
        <sz val="10"/>
        <color rgb="FF000000"/>
        <rFont val="Arial"/>
        <family val="0"/>
        <charset val="1"/>
      </rPr>
      <t xml:space="preserve">2:12,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</si>
  <si>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보호</t>
  </si>
  <si>
    <t xml:space="preserve">W0079</t>
  </si>
  <si>
    <t xml:space="preserve">4:14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</si>
  <si>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룻 </t>
    </r>
    <r>
      <rPr>
        <sz val="10"/>
        <color rgb="FF000000"/>
        <rFont val="Arial"/>
        <family val="0"/>
        <charset val="1"/>
      </rPr>
      <t xml:space="preserve">4:14,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</si>
  <si>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W0080</t>
  </si>
  <si>
    <t xml:space="preserve">사무엘상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</si>
  <si>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1:27,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</si>
  <si>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W0081</t>
  </si>
  <si>
    <t xml:space="preserve">2:2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</si>
  <si>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2:2,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</si>
  <si>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W0082</t>
  </si>
  <si>
    <t xml:space="preserve">3:10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</si>
  <si>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3:10,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</si>
  <si>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W0083</t>
  </si>
  <si>
    <t xml:space="preserve">7:12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</si>
  <si>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7:12,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</si>
  <si>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감사</t>
  </si>
  <si>
    <t xml:space="preserve">W0084</t>
  </si>
  <si>
    <t xml:space="preserve">15:22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</si>
  <si>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15:22,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</si>
  <si>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W0085</t>
  </si>
  <si>
    <t xml:space="preserve">16:7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</si>
  <si>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16:7,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</si>
  <si>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마음</t>
  </si>
  <si>
    <t xml:space="preserve">W0086</t>
  </si>
  <si>
    <t xml:space="preserve">17:45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</si>
  <si>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17:45,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</si>
  <si>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W0087</t>
  </si>
  <si>
    <t xml:space="preserve">17:47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</si>
  <si>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삼상 </t>
    </r>
    <r>
      <rPr>
        <sz val="10"/>
        <color rgb="FF000000"/>
        <rFont val="Arial"/>
        <family val="0"/>
        <charset val="1"/>
      </rPr>
      <t xml:space="preserve">17:47,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</si>
  <si>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W0088</t>
  </si>
  <si>
    <t xml:space="preserve">사무엘하</t>
  </si>
  <si>
    <t xml:space="preserve">7:22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</si>
  <si>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7:22,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</si>
  <si>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W0089</t>
  </si>
  <si>
    <t xml:space="preserve">22:2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</si>
  <si>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22:2,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</si>
  <si>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피난처</t>
  </si>
  <si>
    <t xml:space="preserve">W0090</t>
  </si>
  <si>
    <t xml:space="preserve">22:3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</si>
  <si>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22:3,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</si>
  <si>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W0091</t>
  </si>
  <si>
    <t xml:space="preserve">22:31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</si>
  <si>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22:31,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</si>
  <si>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W0092</t>
  </si>
  <si>
    <t xml:space="preserve">22:47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</si>
  <si>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삼하 </t>
    </r>
    <r>
      <rPr>
        <sz val="10"/>
        <color rgb="FF000000"/>
        <rFont val="Arial"/>
        <family val="0"/>
        <charset val="1"/>
      </rPr>
      <t xml:space="preserve">22:47,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</si>
  <si>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W0093</t>
  </si>
  <si>
    <t xml:space="preserve">열왕기상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</si>
  <si>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3:9,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</si>
  <si>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지혜</t>
  </si>
  <si>
    <t xml:space="preserve">W0094</t>
  </si>
  <si>
    <t xml:space="preserve">8:27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</si>
  <si>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8:27,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</si>
  <si>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W0095</t>
  </si>
  <si>
    <t xml:space="preserve">8:61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</si>
  <si>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8:61,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</si>
  <si>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W0096</t>
  </si>
  <si>
    <t xml:space="preserve">18:21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</si>
  <si>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18:21,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</si>
  <si>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결단</t>
  </si>
  <si>
    <t xml:space="preserve">W0097</t>
  </si>
  <si>
    <t xml:space="preserve">18:39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</si>
  <si>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18:39,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</si>
  <si>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W0098</t>
  </si>
  <si>
    <t xml:space="preserve">19:12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</si>
  <si>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왕상 </t>
    </r>
    <r>
      <rPr>
        <sz val="10"/>
        <color rgb="FF000000"/>
        <rFont val="Arial"/>
        <family val="0"/>
        <charset val="1"/>
      </rPr>
      <t xml:space="preserve">19:12,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</si>
  <si>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W0099</t>
  </si>
  <si>
    <t xml:space="preserve">열왕기하</t>
  </si>
  <si>
    <t xml:space="preserve">6:16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</si>
  <si>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6:16,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</si>
  <si>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W0100</t>
  </si>
  <si>
    <t xml:space="preserve">6:17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</si>
  <si>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6:17,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</si>
  <si>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W0101</t>
  </si>
  <si>
    <t xml:space="preserve">19:15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</si>
  <si>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19:15,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</si>
  <si>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W0102</t>
  </si>
  <si>
    <t xml:space="preserve">20:5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</si>
  <si>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왕하 </t>
    </r>
    <r>
      <rPr>
        <sz val="10"/>
        <color rgb="FF000000"/>
        <rFont val="Arial"/>
        <family val="0"/>
        <charset val="1"/>
      </rPr>
      <t xml:space="preserve">20:5,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</si>
  <si>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W0103</t>
  </si>
  <si>
    <t xml:space="preserve">역대상</t>
  </si>
  <si>
    <t xml:space="preserve">4:10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</si>
  <si>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대상 </t>
    </r>
    <r>
      <rPr>
        <sz val="10"/>
        <color rgb="FF000000"/>
        <rFont val="Arial"/>
        <family val="0"/>
        <charset val="1"/>
      </rPr>
      <t xml:space="preserve">4:10,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</si>
  <si>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C00000"/>
        <rFont val="WenQuanYi Zen Hei"/>
        <family val="2"/>
      </rPr>
      <t xml:space="preserve">야베스의 기도는 복을 얻는 주문이 아니라</t>
    </r>
    <r>
      <rPr>
        <sz val="10"/>
        <color rgb="FFC00000"/>
        <rFont val="Arial"/>
        <family val="0"/>
        <charset val="1"/>
      </rPr>
      <t xml:space="preserve">, </t>
    </r>
    <r>
      <rPr>
        <sz val="10"/>
        <color rgb="FFC00000"/>
        <rFont val="WenQuanYi Zen Hei"/>
        <family val="2"/>
      </rPr>
      <t xml:space="preserve">고통 속에서 하나님께 부르짖은 기도입니다</t>
    </r>
    <r>
      <rPr>
        <sz val="10"/>
        <color rgb="FFC00000"/>
        <rFont val="Arial"/>
        <family val="0"/>
        <charset val="1"/>
      </rPr>
      <t xml:space="preserve">.
</t>
    </r>
    <r>
      <rPr>
        <sz val="10"/>
        <color rgb="FFC00000"/>
        <rFont val="WenQuanYi Zen Hei"/>
        <family val="2"/>
      </rPr>
      <t xml:space="preserve">성경 본문</t>
    </r>
    <r>
      <rPr>
        <sz val="10"/>
        <color rgb="FFC00000"/>
        <rFont val="Arial"/>
        <family val="0"/>
        <charset val="1"/>
      </rPr>
      <t xml:space="preserve">: </t>
    </r>
    <r>
      <rPr>
        <sz val="10"/>
        <color rgb="FFC00000"/>
        <rFont val="WenQuanYi Zen Hei"/>
        <family val="2"/>
      </rPr>
      <t xml:space="preserve">개역한글판</t>
    </r>
  </si>
  <si>
    <t xml:space="preserve">W0104</t>
  </si>
  <si>
    <t xml:space="preserve">16:11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</si>
  <si>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대상 </t>
    </r>
    <r>
      <rPr>
        <sz val="10"/>
        <color rgb="FF000000"/>
        <rFont val="Arial"/>
        <family val="0"/>
        <charset val="1"/>
      </rPr>
      <t xml:space="preserve">16:11,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</si>
  <si>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W0105</t>
  </si>
  <si>
    <t xml:space="preserve">16:34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</si>
  <si>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대상 </t>
    </r>
    <r>
      <rPr>
        <sz val="10"/>
        <color rgb="FF000000"/>
        <rFont val="Arial"/>
        <family val="0"/>
        <charset val="1"/>
      </rPr>
      <t xml:space="preserve">16:34,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</si>
  <si>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W0106</t>
  </si>
  <si>
    <t xml:space="preserve">28:9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</si>
  <si>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대상 </t>
    </r>
    <r>
      <rPr>
        <sz val="10"/>
        <color rgb="FF000000"/>
        <rFont val="Arial"/>
        <family val="0"/>
        <charset val="1"/>
      </rPr>
      <t xml:space="preserve">28:9,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</si>
  <si>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W0107</t>
  </si>
  <si>
    <t xml:space="preserve">29:11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</si>
  <si>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대상 </t>
    </r>
    <r>
      <rPr>
        <sz val="10"/>
        <color rgb="FF000000"/>
        <rFont val="Arial"/>
        <family val="0"/>
        <charset val="1"/>
      </rPr>
      <t xml:space="preserve">29:11,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</si>
  <si>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W0108</t>
  </si>
  <si>
    <t xml:space="preserve">역대하</t>
  </si>
  <si>
    <t xml:space="preserve">7:14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</si>
  <si>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대하 </t>
    </r>
    <r>
      <rPr>
        <sz val="10"/>
        <color rgb="FF000000"/>
        <rFont val="Arial"/>
        <family val="0"/>
        <charset val="1"/>
      </rPr>
      <t xml:space="preserve">7:14,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</si>
  <si>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회개</t>
  </si>
  <si>
    <t xml:space="preserve">W0109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</si>
  <si>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대하 </t>
    </r>
    <r>
      <rPr>
        <sz val="10"/>
        <color rgb="FF000000"/>
        <rFont val="Arial"/>
        <family val="0"/>
        <charset val="1"/>
      </rPr>
      <t xml:space="preserve">15:2,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</si>
  <si>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W0110</t>
  </si>
  <si>
    <t xml:space="preserve">16:9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</si>
  <si>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대하 </t>
    </r>
    <r>
      <rPr>
        <sz val="10"/>
        <color rgb="FF000000"/>
        <rFont val="Arial"/>
        <family val="0"/>
        <charset val="1"/>
      </rPr>
      <t xml:space="preserve">16:9,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</si>
  <si>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W0111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</si>
  <si>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대하 </t>
    </r>
    <r>
      <rPr>
        <sz val="10"/>
        <color rgb="FF000000"/>
        <rFont val="Arial"/>
        <family val="0"/>
        <charset val="1"/>
      </rPr>
      <t xml:space="preserve">20:12,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</si>
  <si>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W0112</t>
  </si>
  <si>
    <t xml:space="preserve">20:15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</si>
  <si>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대하 </t>
    </r>
    <r>
      <rPr>
        <sz val="10"/>
        <color rgb="FF000000"/>
        <rFont val="Arial"/>
        <family val="0"/>
        <charset val="1"/>
      </rPr>
      <t xml:space="preserve">20:15,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</si>
  <si>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W0113</t>
  </si>
  <si>
    <t xml:space="preserve">20:21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</si>
  <si>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대하 </t>
    </r>
    <r>
      <rPr>
        <sz val="10"/>
        <color rgb="FF000000"/>
        <rFont val="Arial"/>
        <family val="0"/>
        <charset val="1"/>
      </rPr>
      <t xml:space="preserve">20:21,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</si>
  <si>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W0114</t>
  </si>
  <si>
    <t xml:space="preserve">에스라</t>
  </si>
  <si>
    <t xml:space="preserve">7:10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</si>
  <si>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스 </t>
    </r>
    <r>
      <rPr>
        <sz val="10"/>
        <color rgb="FF000000"/>
        <rFont val="Arial"/>
        <family val="0"/>
        <charset val="1"/>
      </rPr>
      <t xml:space="preserve">7:10,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</si>
  <si>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W0115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</si>
  <si>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스 </t>
    </r>
    <r>
      <rPr>
        <sz val="10"/>
        <color rgb="FF000000"/>
        <rFont val="Arial"/>
        <family val="0"/>
        <charset val="1"/>
      </rPr>
      <t xml:space="preserve">8:22,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</si>
  <si>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W0116</t>
  </si>
  <si>
    <t xml:space="preserve">느헤미야</t>
  </si>
  <si>
    <t xml:space="preserve">1:11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</si>
  <si>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느 </t>
    </r>
    <r>
      <rPr>
        <sz val="10"/>
        <color rgb="FF000000"/>
        <rFont val="Arial"/>
        <family val="0"/>
        <charset val="1"/>
      </rPr>
      <t xml:space="preserve">1:11,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</si>
  <si>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W0117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</si>
  <si>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느 </t>
    </r>
    <r>
      <rPr>
        <sz val="10"/>
        <color rgb="FF000000"/>
        <rFont val="Arial"/>
        <family val="0"/>
        <charset val="1"/>
      </rPr>
      <t xml:space="preserve">4:14,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</si>
  <si>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W0118</t>
  </si>
  <si>
    <t xml:space="preserve">8:10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</si>
  <si>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느 </t>
    </r>
    <r>
      <rPr>
        <sz val="10"/>
        <color rgb="FF000000"/>
        <rFont val="Arial"/>
        <family val="0"/>
        <charset val="1"/>
      </rPr>
      <t xml:space="preserve">8:10,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</si>
  <si>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기쁨</t>
  </si>
  <si>
    <t xml:space="preserve">W0119</t>
  </si>
  <si>
    <t xml:space="preserve">9:6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</si>
  <si>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느 </t>
    </r>
    <r>
      <rPr>
        <sz val="10"/>
        <color rgb="FF000000"/>
        <rFont val="Arial"/>
        <family val="0"/>
        <charset val="1"/>
      </rPr>
      <t xml:space="preserve">9:6,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</si>
  <si>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W0120</t>
  </si>
  <si>
    <t xml:space="preserve">에스더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</si>
  <si>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에 </t>
    </r>
    <r>
      <rPr>
        <sz val="10"/>
        <color rgb="FF000000"/>
        <rFont val="Arial"/>
        <family val="0"/>
        <charset val="1"/>
      </rPr>
      <t xml:space="preserve">4:14,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</si>
  <si>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W0121</t>
  </si>
  <si>
    <t xml:space="preserve">4:16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</si>
  <si>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에 </t>
    </r>
    <r>
      <rPr>
        <sz val="10"/>
        <color rgb="FF000000"/>
        <rFont val="Arial"/>
        <family val="0"/>
        <charset val="1"/>
      </rPr>
      <t xml:space="preserve">4:16,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</si>
  <si>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W0122</t>
  </si>
  <si>
    <t xml:space="preserve">욥기</t>
  </si>
  <si>
    <t xml:space="preserve">1:21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</si>
  <si>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욥 </t>
    </r>
    <r>
      <rPr>
        <sz val="10"/>
        <color rgb="FF000000"/>
        <rFont val="Arial"/>
        <family val="0"/>
        <charset val="1"/>
      </rPr>
      <t xml:space="preserve">1:21,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</si>
  <si>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신뢰</t>
  </si>
  <si>
    <t xml:space="preserve">W0123</t>
  </si>
  <si>
    <t xml:space="preserve">2:10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</si>
  <si>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욥 </t>
    </r>
    <r>
      <rPr>
        <sz val="10"/>
        <color rgb="FF000000"/>
        <rFont val="Arial"/>
        <family val="0"/>
        <charset val="1"/>
      </rPr>
      <t xml:space="preserve">2:10,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</si>
  <si>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W0124</t>
  </si>
  <si>
    <t xml:space="preserve">5:17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</si>
  <si>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욥 </t>
    </r>
    <r>
      <rPr>
        <sz val="10"/>
        <color rgb="FF000000"/>
        <rFont val="Arial"/>
        <family val="0"/>
        <charset val="1"/>
      </rPr>
      <t xml:space="preserve">5:17,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</si>
  <si>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연단</t>
  </si>
  <si>
    <t xml:space="preserve">W0125</t>
  </si>
  <si>
    <t xml:space="preserve">13:15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</si>
  <si>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욥 </t>
    </r>
    <r>
      <rPr>
        <sz val="10"/>
        <color rgb="FF000000"/>
        <rFont val="Arial"/>
        <family val="0"/>
        <charset val="1"/>
      </rPr>
      <t xml:space="preserve">13:15,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</si>
  <si>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W0126</t>
  </si>
  <si>
    <t xml:space="preserve">19:25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</si>
  <si>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욥 </t>
    </r>
    <r>
      <rPr>
        <sz val="10"/>
        <color rgb="FF000000"/>
        <rFont val="Arial"/>
        <family val="0"/>
        <charset val="1"/>
      </rPr>
      <t xml:space="preserve">19:25,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</si>
  <si>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소망</t>
  </si>
  <si>
    <t xml:space="preserve">W0127</t>
  </si>
  <si>
    <t xml:space="preserve">23:10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</si>
  <si>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욥 </t>
    </r>
    <r>
      <rPr>
        <sz val="10"/>
        <color rgb="FF000000"/>
        <rFont val="Arial"/>
        <family val="0"/>
        <charset val="1"/>
      </rPr>
      <t xml:space="preserve">23:10,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</si>
  <si>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W0128</t>
  </si>
  <si>
    <t xml:space="preserve">26:7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</si>
  <si>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욥 </t>
    </r>
    <r>
      <rPr>
        <sz val="10"/>
        <color rgb="FF000000"/>
        <rFont val="Arial"/>
        <family val="0"/>
        <charset val="1"/>
      </rPr>
      <t xml:space="preserve">26:7,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</si>
  <si>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W0129</t>
  </si>
  <si>
    <t xml:space="preserve">28:28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</si>
  <si>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욥 </t>
    </r>
    <r>
      <rPr>
        <sz val="10"/>
        <color rgb="FF000000"/>
        <rFont val="Arial"/>
        <family val="0"/>
        <charset val="1"/>
      </rPr>
      <t xml:space="preserve">28:28,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</si>
  <si>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W0130</t>
  </si>
  <si>
    <t xml:space="preserve">33:4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</si>
  <si>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욥 </t>
    </r>
    <r>
      <rPr>
        <sz val="10"/>
        <color rgb="FF000000"/>
        <rFont val="Arial"/>
        <family val="0"/>
        <charset val="1"/>
      </rPr>
      <t xml:space="preserve">33:4,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</si>
  <si>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W0131</t>
  </si>
  <si>
    <t xml:space="preserve">38:4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</si>
  <si>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욥 </t>
    </r>
    <r>
      <rPr>
        <sz val="10"/>
        <color rgb="FF000000"/>
        <rFont val="Arial"/>
        <family val="0"/>
        <charset val="1"/>
      </rPr>
      <t xml:space="preserve">38:4,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</si>
  <si>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W0132</t>
  </si>
  <si>
    <t xml:space="preserve">42:2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</si>
  <si>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욥 </t>
    </r>
    <r>
      <rPr>
        <sz val="10"/>
        <color rgb="FF000000"/>
        <rFont val="Arial"/>
        <family val="0"/>
        <charset val="1"/>
      </rPr>
      <t xml:space="preserve">42:2,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</si>
  <si>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W0133</t>
  </si>
  <si>
    <t xml:space="preserve">42:5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</si>
  <si>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욥 </t>
    </r>
    <r>
      <rPr>
        <sz val="10"/>
        <color rgb="FF000000"/>
        <rFont val="Arial"/>
        <family val="0"/>
        <charset val="1"/>
      </rPr>
      <t xml:space="preserve">42:5,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</si>
  <si>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W0134</t>
  </si>
  <si>
    <t xml:space="preserve">시편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</si>
  <si>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1:1,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</si>
  <si>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복</t>
  </si>
  <si>
    <t xml:space="preserve">W0135</t>
  </si>
  <si>
    <t xml:space="preserve">1:2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</si>
  <si>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1:2,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</si>
  <si>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W0136</t>
  </si>
  <si>
    <t xml:space="preserve">3:3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</si>
  <si>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3:3,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</si>
  <si>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W0137</t>
  </si>
  <si>
    <t xml:space="preserve">4:8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</si>
  <si>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4:8,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</si>
  <si>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W0138</t>
  </si>
  <si>
    <t xml:space="preserve">5:3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</si>
  <si>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5:3,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</si>
  <si>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W0139</t>
  </si>
  <si>
    <t xml:space="preserve">8:1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</si>
  <si>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8:1,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</si>
  <si>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W0140</t>
  </si>
  <si>
    <t xml:space="preserve">8:4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</si>
  <si>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8:4,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</si>
  <si>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W0141</t>
  </si>
  <si>
    <t xml:space="preserve">9:1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</si>
  <si>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9:1,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</si>
  <si>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W0142</t>
  </si>
  <si>
    <t xml:space="preserve">16:8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</si>
  <si>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16:8,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</si>
  <si>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W0143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</si>
  <si>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16:11,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</si>
  <si>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W0144</t>
  </si>
  <si>
    <t xml:space="preserve">18:1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</si>
  <si>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18:1,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</si>
  <si>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W0145</t>
  </si>
  <si>
    <t xml:space="preserve">18:2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</si>
  <si>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18:2,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</si>
  <si>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W0146</t>
  </si>
  <si>
    <t xml:space="preserve">19:1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</si>
  <si>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19:1,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</si>
  <si>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W0147</t>
  </si>
  <si>
    <t xml:space="preserve">19:14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</si>
  <si>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19:14,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</si>
  <si>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W0148</t>
  </si>
  <si>
    <t xml:space="preserve">23:1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</si>
  <si>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23:1,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</si>
  <si>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W0149</t>
  </si>
  <si>
    <t xml:space="preserve">23:4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</si>
  <si>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23:4,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</si>
  <si>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W0150</t>
  </si>
  <si>
    <t xml:space="preserve">23:6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</si>
  <si>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23:6,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</si>
  <si>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W0151</t>
  </si>
  <si>
    <t xml:space="preserve">25:4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</si>
  <si>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25:4,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</si>
  <si>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W0152</t>
  </si>
  <si>
    <t xml:space="preserve">27:1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</si>
  <si>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27:1,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</si>
  <si>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W0153</t>
  </si>
  <si>
    <t xml:space="preserve">27:4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</si>
  <si>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27:4,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</si>
  <si>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예배</t>
  </si>
  <si>
    <t xml:space="preserve">W0154</t>
  </si>
  <si>
    <t xml:space="preserve">27:14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</si>
  <si>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27:14,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</si>
  <si>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W0155</t>
  </si>
  <si>
    <t xml:space="preserve">28:7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</si>
  <si>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28:7,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</si>
  <si>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W0156</t>
  </si>
  <si>
    <t xml:space="preserve">30:5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</si>
  <si>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30:5,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</si>
  <si>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W0157</t>
  </si>
  <si>
    <t xml:space="preserve">31:24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</si>
  <si>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31:24,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</si>
  <si>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W0158</t>
  </si>
  <si>
    <t xml:space="preserve">32:8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</si>
  <si>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32:8,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</si>
  <si>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W0159</t>
  </si>
  <si>
    <t xml:space="preserve">34:8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</si>
  <si>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34:8,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</si>
  <si>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W0160</t>
  </si>
  <si>
    <t xml:space="preserve">34:18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</si>
  <si>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34:18,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</si>
  <si>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W0161</t>
  </si>
  <si>
    <t xml:space="preserve">37:4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</si>
  <si>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37:4,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</si>
  <si>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W0162</t>
  </si>
  <si>
    <t xml:space="preserve">37:5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</si>
  <si>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37:5,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</si>
  <si>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W0163</t>
  </si>
  <si>
    <t xml:space="preserve">40:1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</si>
  <si>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40:1,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</si>
  <si>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W0164</t>
  </si>
  <si>
    <t xml:space="preserve">42:1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</si>
  <si>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42:1,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</si>
  <si>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W0165</t>
  </si>
  <si>
    <t xml:space="preserve">42:11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</si>
  <si>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42:11,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</si>
  <si>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W0166</t>
  </si>
  <si>
    <t xml:space="preserve">46:1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</si>
  <si>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46:1,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</si>
  <si>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W0167</t>
  </si>
  <si>
    <t xml:space="preserve">46:10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</si>
  <si>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46:10,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</si>
  <si>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W0168</t>
  </si>
  <si>
    <t xml:space="preserve">51:10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</si>
  <si>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51:10,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</si>
  <si>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W0169</t>
  </si>
  <si>
    <t xml:space="preserve">51:17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</si>
  <si>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51:17,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</si>
  <si>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W0170</t>
  </si>
  <si>
    <t xml:space="preserve">55:22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</si>
  <si>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55:22,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</si>
  <si>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W0171</t>
  </si>
  <si>
    <t xml:space="preserve">56:3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</si>
  <si>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56:3,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</si>
  <si>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W0172</t>
  </si>
  <si>
    <t xml:space="preserve">62:1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</si>
  <si>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62:1,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</si>
  <si>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W0173</t>
  </si>
  <si>
    <t xml:space="preserve">63:1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</si>
  <si>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63:1,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</si>
  <si>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W0174</t>
  </si>
  <si>
    <t xml:space="preserve">63:3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</si>
  <si>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63:3,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</si>
  <si>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W0175</t>
  </si>
  <si>
    <t xml:space="preserve">68:19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</si>
  <si>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68:19,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</si>
  <si>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W0176</t>
  </si>
  <si>
    <t xml:space="preserve">73:26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</si>
  <si>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73:26,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</si>
  <si>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W0177</t>
  </si>
  <si>
    <t xml:space="preserve">84:10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</si>
  <si>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84:10,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</si>
  <si>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W0178</t>
  </si>
  <si>
    <t xml:space="preserve">90:12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</si>
  <si>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90:12,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</si>
  <si>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W0179</t>
  </si>
  <si>
    <t xml:space="preserve">91:1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</si>
  <si>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91:1,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</si>
  <si>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W0180</t>
  </si>
  <si>
    <t xml:space="preserve">91:11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</si>
  <si>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91:11,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</si>
  <si>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C00000"/>
        <rFont val="WenQuanYi Zen Hei"/>
        <family val="2"/>
      </rPr>
      <t xml:space="preserve">이 구절은 하나님의 보호를 약속하지만</t>
    </r>
    <r>
      <rPr>
        <sz val="10"/>
        <color rgb="FFC00000"/>
        <rFont val="Arial"/>
        <family val="0"/>
        <charset val="1"/>
      </rPr>
      <t xml:space="preserve">, </t>
    </r>
    <r>
      <rPr>
        <sz val="10"/>
        <color rgb="FFC00000"/>
        <rFont val="WenQuanYi Zen Hei"/>
        <family val="2"/>
      </rPr>
      <t xml:space="preserve">일부러 위험을 시험하라는 뜻은 아닙니다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마 </t>
    </r>
    <r>
      <rPr>
        <sz val="10"/>
        <color rgb="FFC00000"/>
        <rFont val="Arial"/>
        <family val="0"/>
        <charset val="1"/>
      </rPr>
      <t xml:space="preserve">4:6-7).
</t>
    </r>
    <r>
      <rPr>
        <sz val="10"/>
        <color rgb="FFC00000"/>
        <rFont val="WenQuanYi Zen Hei"/>
        <family val="2"/>
      </rPr>
      <t xml:space="preserve">성경 본문</t>
    </r>
    <r>
      <rPr>
        <sz val="10"/>
        <color rgb="FFC00000"/>
        <rFont val="Arial"/>
        <family val="0"/>
        <charset val="1"/>
      </rPr>
      <t xml:space="preserve">: </t>
    </r>
    <r>
      <rPr>
        <sz val="10"/>
        <color rgb="FFC00000"/>
        <rFont val="WenQuanYi Zen Hei"/>
        <family val="2"/>
      </rPr>
      <t xml:space="preserve">개역한글판</t>
    </r>
  </si>
  <si>
    <t xml:space="preserve">W0181</t>
  </si>
  <si>
    <t xml:space="preserve">95:6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</si>
  <si>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95:6,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</si>
  <si>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W0182</t>
  </si>
  <si>
    <t xml:space="preserve">96:1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</si>
  <si>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96:1,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</si>
  <si>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W0183</t>
  </si>
  <si>
    <t xml:space="preserve">100:4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</si>
  <si>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100:4,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</si>
  <si>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W0184</t>
  </si>
  <si>
    <t xml:space="preserve">100:5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</si>
  <si>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100:5,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</si>
  <si>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W0185</t>
  </si>
  <si>
    <t xml:space="preserve">103:2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</si>
  <si>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103:2,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</si>
  <si>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W0186</t>
  </si>
  <si>
    <t xml:space="preserve">103:12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</si>
  <si>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103:12,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</si>
  <si>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용서</t>
  </si>
  <si>
    <t xml:space="preserve">W0187</t>
  </si>
  <si>
    <t xml:space="preserve">107:1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</si>
  <si>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107:1,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</si>
  <si>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W0188</t>
  </si>
  <si>
    <t xml:space="preserve">116:1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</si>
  <si>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116:1,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</si>
  <si>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W0189</t>
  </si>
  <si>
    <t xml:space="preserve">118:24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</si>
  <si>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118:24,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</si>
  <si>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W0190</t>
  </si>
  <si>
    <t xml:space="preserve">119:9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</si>
  <si>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119:9,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</si>
  <si>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W0191</t>
  </si>
  <si>
    <t xml:space="preserve">119:11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</si>
  <si>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119:11,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</si>
  <si>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W0192</t>
  </si>
  <si>
    <t xml:space="preserve">119:105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</si>
  <si>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119:105,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</si>
  <si>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W0193</t>
  </si>
  <si>
    <t xml:space="preserve">121:1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</si>
  <si>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121:1,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</si>
  <si>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W0194</t>
  </si>
  <si>
    <t xml:space="preserve">121:2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</si>
  <si>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121:2,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</si>
  <si>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W0195</t>
  </si>
  <si>
    <t xml:space="preserve">126:5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</si>
  <si>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126:5,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</si>
  <si>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W0196</t>
  </si>
  <si>
    <t xml:space="preserve">127:1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</si>
  <si>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127:1,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</si>
  <si>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W0197</t>
  </si>
  <si>
    <t xml:space="preserve">133:1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</si>
  <si>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133:1,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</si>
  <si>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연합</t>
  </si>
  <si>
    <t xml:space="preserve">W0198</t>
  </si>
  <si>
    <t xml:space="preserve">139:14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</si>
  <si>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139:14,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</si>
  <si>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W0199</t>
  </si>
  <si>
    <t xml:space="preserve">139:23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</si>
  <si>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139:23,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</si>
  <si>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W0200</t>
  </si>
  <si>
    <t xml:space="preserve">143:8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</si>
  <si>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143:8,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</si>
  <si>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W0201</t>
  </si>
  <si>
    <t xml:space="preserve">145:18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</si>
  <si>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145:18,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</si>
  <si>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W0202</t>
  </si>
  <si>
    <t xml:space="preserve">147:3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</si>
  <si>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147:3,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</si>
  <si>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W0203</t>
  </si>
  <si>
    <t xml:space="preserve">150:6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</si>
  <si>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 </t>
    </r>
    <r>
      <rPr>
        <sz val="10"/>
        <color rgb="FF000000"/>
        <rFont val="Arial"/>
        <family val="0"/>
        <charset val="1"/>
      </rPr>
      <t xml:space="preserve">150:6,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</si>
  <si>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W0204</t>
  </si>
  <si>
    <t xml:space="preserve">잠언</t>
  </si>
  <si>
    <t xml:space="preserve">1:7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</si>
  <si>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1:7,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</si>
  <si>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W0205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</si>
  <si>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3:5,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</si>
  <si>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W0206</t>
  </si>
  <si>
    <t xml:space="preserve">3:6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</si>
  <si>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3:6,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</si>
  <si>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W0207</t>
  </si>
  <si>
    <t xml:space="preserve">3:11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</si>
  <si>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3:11,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</si>
  <si>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W0208</t>
  </si>
  <si>
    <t xml:space="preserve">4:23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</si>
  <si>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4:23,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</si>
  <si>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W0209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</si>
  <si>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6:6,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</si>
  <si>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W0210</t>
  </si>
  <si>
    <t xml:space="preserve">8:17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</si>
  <si>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8:17,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</si>
  <si>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W0211</t>
  </si>
  <si>
    <t xml:space="preserve">9:10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</si>
  <si>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9:10,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</si>
  <si>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W0212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</si>
  <si>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10:12,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</si>
  <si>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W0213</t>
  </si>
  <si>
    <t xml:space="preserve">11:2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</si>
  <si>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11:2,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</si>
  <si>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겸손</t>
  </si>
  <si>
    <t xml:space="preserve">W0214</t>
  </si>
  <si>
    <t xml:space="preserve">12:25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</si>
  <si>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12:25,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</si>
  <si>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W0215</t>
  </si>
  <si>
    <t xml:space="preserve">13:20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</si>
  <si>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13:20,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</si>
  <si>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W0216</t>
  </si>
  <si>
    <t xml:space="preserve">14:12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</si>
  <si>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14:12,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</si>
  <si>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W0217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</si>
  <si>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15:1,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</si>
  <si>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말</t>
  </si>
  <si>
    <t xml:space="preserve">W0218</t>
  </si>
  <si>
    <t xml:space="preserve">15:3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</si>
  <si>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15:3,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</si>
  <si>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W0219</t>
  </si>
  <si>
    <t xml:space="preserve">16:3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</si>
  <si>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16:3,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</si>
  <si>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W0220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</si>
  <si>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16:9,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</si>
  <si>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W0221</t>
  </si>
  <si>
    <t xml:space="preserve">16:18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</si>
  <si>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16:18,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</si>
  <si>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W0222</t>
  </si>
  <si>
    <t xml:space="preserve">16:32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</si>
  <si>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16:32,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</si>
  <si>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W0223</t>
  </si>
  <si>
    <t xml:space="preserve">17:17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</si>
  <si>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17:17,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</si>
  <si>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W0224</t>
  </si>
  <si>
    <t xml:space="preserve">17:22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</si>
  <si>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17:22,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</si>
  <si>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W0225</t>
  </si>
  <si>
    <t xml:space="preserve">18:10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</si>
  <si>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18:10,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</si>
  <si>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W0226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</si>
  <si>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18:21,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</si>
  <si>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W0227</t>
  </si>
  <si>
    <t xml:space="preserve">18:24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</si>
  <si>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18:24,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</si>
  <si>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W0228</t>
  </si>
  <si>
    <t xml:space="preserve">19:21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</si>
  <si>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19:21,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</si>
  <si>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W0229</t>
  </si>
  <si>
    <t xml:space="preserve">21:1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</si>
  <si>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21:1,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</si>
  <si>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W0230</t>
  </si>
  <si>
    <t xml:space="preserve">22:1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</si>
  <si>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22:1,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</si>
  <si>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W0231</t>
  </si>
  <si>
    <t xml:space="preserve">22:6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</si>
  <si>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22:6,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</si>
  <si>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W0232</t>
  </si>
  <si>
    <t xml:space="preserve">24:16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</si>
  <si>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24:16,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</si>
  <si>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W0233</t>
  </si>
  <si>
    <t xml:space="preserve">25:11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</si>
  <si>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25:11,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</si>
  <si>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W0234</t>
  </si>
  <si>
    <t xml:space="preserve">25:21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</si>
  <si>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25:21,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</si>
  <si>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W0235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</si>
  <si>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27:1,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</si>
  <si>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W0236</t>
  </si>
  <si>
    <t xml:space="preserve">27:17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</si>
  <si>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27:17,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</si>
  <si>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W0237</t>
  </si>
  <si>
    <t xml:space="preserve">28:13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</si>
  <si>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28:13,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</si>
  <si>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W0238</t>
  </si>
  <si>
    <t xml:space="preserve">29:18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</si>
  <si>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29:18,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</si>
  <si>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C00000"/>
        <rFont val="Arial"/>
        <family val="0"/>
        <charset val="1"/>
      </rPr>
      <t xml:space="preserve">'</t>
    </r>
    <r>
      <rPr>
        <sz val="10"/>
        <color rgb="FFC00000"/>
        <rFont val="WenQuanYi Zen Hei"/>
        <family val="2"/>
      </rPr>
      <t xml:space="preserve">묵시</t>
    </r>
    <r>
      <rPr>
        <sz val="10"/>
        <color rgb="FFC00000"/>
        <rFont val="Arial"/>
        <family val="0"/>
        <charset val="1"/>
      </rPr>
      <t xml:space="preserve">'</t>
    </r>
    <r>
      <rPr>
        <sz val="10"/>
        <color rgb="FFC00000"/>
        <rFont val="WenQuanYi Zen Hei"/>
        <family val="2"/>
      </rPr>
      <t xml:space="preserve">는 하나님의 말씀을 뜻합니다</t>
    </r>
    <r>
      <rPr>
        <sz val="10"/>
        <color rgb="FFC00000"/>
        <rFont val="Arial"/>
        <family val="0"/>
        <charset val="1"/>
      </rPr>
      <t xml:space="preserve">. </t>
    </r>
    <r>
      <rPr>
        <sz val="10"/>
        <color rgb="FFC00000"/>
        <rFont val="WenQuanYi Zen Hei"/>
        <family val="2"/>
      </rPr>
      <t xml:space="preserve">개인의 목표나 꿈에 관한 구절로 쓰지 않습니다</t>
    </r>
    <r>
      <rPr>
        <sz val="10"/>
        <color rgb="FFC00000"/>
        <rFont val="Arial"/>
        <family val="0"/>
        <charset val="1"/>
      </rPr>
      <t xml:space="preserve">.
</t>
    </r>
    <r>
      <rPr>
        <sz val="10"/>
        <color rgb="FFC00000"/>
        <rFont val="WenQuanYi Zen Hei"/>
        <family val="2"/>
      </rPr>
      <t xml:space="preserve">성경 본문</t>
    </r>
    <r>
      <rPr>
        <sz val="10"/>
        <color rgb="FFC00000"/>
        <rFont val="Arial"/>
        <family val="0"/>
        <charset val="1"/>
      </rPr>
      <t xml:space="preserve">: </t>
    </r>
    <r>
      <rPr>
        <sz val="10"/>
        <color rgb="FFC00000"/>
        <rFont val="WenQuanYi Zen Hei"/>
        <family val="2"/>
      </rPr>
      <t xml:space="preserve">개역한글판</t>
    </r>
  </si>
  <si>
    <t xml:space="preserve">W0239</t>
  </si>
  <si>
    <t xml:space="preserve">29:25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</si>
  <si>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29:25,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</si>
  <si>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W0240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</si>
  <si>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30:5,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</si>
  <si>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W0241</t>
  </si>
  <si>
    <t xml:space="preserve">31:30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</si>
  <si>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잠 </t>
    </r>
    <r>
      <rPr>
        <sz val="10"/>
        <color rgb="FF000000"/>
        <rFont val="Arial"/>
        <family val="0"/>
        <charset val="1"/>
      </rPr>
      <t xml:space="preserve">31:30,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</si>
  <si>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경외</t>
  </si>
  <si>
    <t xml:space="preserve">W0242</t>
  </si>
  <si>
    <t xml:space="preserve">전도서</t>
  </si>
  <si>
    <t xml:space="preserve">3:1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</si>
  <si>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전 </t>
    </r>
    <r>
      <rPr>
        <sz val="10"/>
        <color rgb="FF000000"/>
        <rFont val="Arial"/>
        <family val="0"/>
        <charset val="1"/>
      </rPr>
      <t xml:space="preserve">3:1,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</si>
  <si>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W0243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</si>
  <si>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전 </t>
    </r>
    <r>
      <rPr>
        <sz val="10"/>
        <color rgb="FF000000"/>
        <rFont val="Arial"/>
        <family val="0"/>
        <charset val="1"/>
      </rPr>
      <t xml:space="preserve">3:11,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</si>
  <si>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W0244</t>
  </si>
  <si>
    <t xml:space="preserve">4:9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</si>
  <si>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전 </t>
    </r>
    <r>
      <rPr>
        <sz val="10"/>
        <color rgb="FF000000"/>
        <rFont val="Arial"/>
        <family val="0"/>
        <charset val="1"/>
      </rPr>
      <t xml:space="preserve">4:9,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</si>
  <si>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W0245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</si>
  <si>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전 </t>
    </r>
    <r>
      <rPr>
        <sz val="10"/>
        <color rgb="FF000000"/>
        <rFont val="Arial"/>
        <family val="0"/>
        <charset val="1"/>
      </rPr>
      <t xml:space="preserve">4:12,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</si>
  <si>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W0246</t>
  </si>
  <si>
    <t xml:space="preserve">5:2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</si>
  <si>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전 </t>
    </r>
    <r>
      <rPr>
        <sz val="10"/>
        <color rgb="FF000000"/>
        <rFont val="Arial"/>
        <family val="0"/>
        <charset val="1"/>
      </rPr>
      <t xml:space="preserve">5:2,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</si>
  <si>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W0247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</si>
  <si>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전 </t>
    </r>
    <r>
      <rPr>
        <sz val="10"/>
        <color rgb="FF000000"/>
        <rFont val="Arial"/>
        <family val="0"/>
        <charset val="1"/>
      </rPr>
      <t xml:space="preserve">7:14,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</si>
  <si>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W0248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</si>
  <si>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전 </t>
    </r>
    <r>
      <rPr>
        <sz val="10"/>
        <color rgb="FF000000"/>
        <rFont val="Arial"/>
        <family val="0"/>
        <charset val="1"/>
      </rPr>
      <t xml:space="preserve">12:1,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</si>
  <si>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W0249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</si>
  <si>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전 </t>
    </r>
    <r>
      <rPr>
        <sz val="10"/>
        <color rgb="FF000000"/>
        <rFont val="Arial"/>
        <family val="0"/>
        <charset val="1"/>
      </rPr>
      <t xml:space="preserve">12:13,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</si>
  <si>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W0250</t>
  </si>
  <si>
    <t xml:space="preserve">아가</t>
  </si>
  <si>
    <t xml:space="preserve">2:4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</si>
  <si>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아 </t>
    </r>
    <r>
      <rPr>
        <sz val="10"/>
        <color rgb="FF000000"/>
        <rFont val="Arial"/>
        <family val="0"/>
        <charset val="1"/>
      </rPr>
      <t xml:space="preserve">2:4,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</si>
  <si>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W0251</t>
  </si>
  <si>
    <t xml:space="preserve">8:6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</si>
  <si>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아 </t>
    </r>
    <r>
      <rPr>
        <sz val="10"/>
        <color rgb="FF000000"/>
        <rFont val="Arial"/>
        <family val="0"/>
        <charset val="1"/>
      </rPr>
      <t xml:space="preserve">8:6,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</si>
  <si>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W0252</t>
  </si>
  <si>
    <t xml:space="preserve">8:7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</si>
  <si>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아 </t>
    </r>
    <r>
      <rPr>
        <sz val="10"/>
        <color rgb="FF000000"/>
        <rFont val="Arial"/>
        <family val="0"/>
        <charset val="1"/>
      </rPr>
      <t xml:space="preserve">8:7,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</si>
  <si>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W0253</t>
  </si>
  <si>
    <t xml:space="preserve">이사야</t>
  </si>
  <si>
    <t xml:space="preserve">1:18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</si>
  <si>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1:18,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</si>
  <si>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W0254</t>
  </si>
  <si>
    <t xml:space="preserve">6:3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</si>
  <si>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6:3,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</si>
  <si>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W0255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</si>
  <si>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6:8,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</si>
  <si>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W0256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</si>
  <si>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7:14,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</si>
  <si>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C00000"/>
        <rFont val="WenQuanYi Zen Hei"/>
        <family val="2"/>
      </rPr>
      <t xml:space="preserve">처녀가 아들을 낳을 것이라는 예언은 예수 그리스도의 탄생으로 이루어졌습니다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마 </t>
    </r>
    <r>
      <rPr>
        <sz val="10"/>
        <color rgb="FFC00000"/>
        <rFont val="Arial"/>
        <family val="0"/>
        <charset val="1"/>
      </rPr>
      <t xml:space="preserve">1:23).
</t>
    </r>
    <r>
      <rPr>
        <sz val="10"/>
        <color rgb="FFC00000"/>
        <rFont val="WenQuanYi Zen Hei"/>
        <family val="2"/>
      </rPr>
      <t xml:space="preserve">성경 본문</t>
    </r>
    <r>
      <rPr>
        <sz val="10"/>
        <color rgb="FFC00000"/>
        <rFont val="Arial"/>
        <family val="0"/>
        <charset val="1"/>
      </rPr>
      <t xml:space="preserve">: </t>
    </r>
    <r>
      <rPr>
        <sz val="10"/>
        <color rgb="FFC00000"/>
        <rFont val="WenQuanYi Zen Hei"/>
        <family val="2"/>
      </rPr>
      <t xml:space="preserve">개역한글판</t>
    </r>
  </si>
  <si>
    <t xml:space="preserve">W0257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</si>
  <si>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9:6,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</si>
  <si>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W0258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</si>
  <si>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12:2,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</si>
  <si>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W0259</t>
  </si>
  <si>
    <t xml:space="preserve">25:8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</si>
  <si>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25:8,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</si>
  <si>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W0260</t>
  </si>
  <si>
    <t xml:space="preserve">26:3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</si>
  <si>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26:3,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</si>
  <si>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W0261</t>
  </si>
  <si>
    <t xml:space="preserve">26:4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</si>
  <si>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26:4,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</si>
  <si>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W0262</t>
  </si>
  <si>
    <t xml:space="preserve">30:15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</si>
  <si>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30:15,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</si>
  <si>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W0263</t>
  </si>
  <si>
    <t xml:space="preserve">30:21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</si>
  <si>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30:21,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</si>
  <si>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W0264</t>
  </si>
  <si>
    <t xml:space="preserve">35:4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</si>
  <si>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35:4,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</si>
  <si>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W0265</t>
  </si>
  <si>
    <t xml:space="preserve">40:8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</si>
  <si>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40:8,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</si>
  <si>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W0266</t>
  </si>
  <si>
    <t xml:space="preserve">40:11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</si>
  <si>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40:11,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</si>
  <si>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W0267</t>
  </si>
  <si>
    <t xml:space="preserve">40:29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</si>
  <si>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40:29,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</si>
  <si>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W0268</t>
  </si>
  <si>
    <t xml:space="preserve">40:31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</si>
  <si>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40:31,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</si>
  <si>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W0269</t>
  </si>
  <si>
    <t xml:space="preserve">41:10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</si>
  <si>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41:10,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</si>
  <si>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W0270</t>
  </si>
  <si>
    <t xml:space="preserve">41:13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</si>
  <si>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41:13,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</si>
  <si>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W0271</t>
  </si>
  <si>
    <t xml:space="preserve">42:3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</si>
  <si>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42:3,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</si>
  <si>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W0272</t>
  </si>
  <si>
    <t xml:space="preserve">43:1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</si>
  <si>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43:1,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</si>
  <si>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W0273</t>
  </si>
  <si>
    <t xml:space="preserve">43:2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</si>
  <si>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43:2,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</si>
  <si>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W0274</t>
  </si>
  <si>
    <t xml:space="preserve">43:19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</si>
  <si>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43:19,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</si>
  <si>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W0275</t>
  </si>
  <si>
    <t xml:space="preserve">44:22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</si>
  <si>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44:22,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</si>
  <si>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W0276</t>
  </si>
  <si>
    <t xml:space="preserve">45:22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</si>
  <si>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45:22,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</si>
  <si>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W0277</t>
  </si>
  <si>
    <t xml:space="preserve">46:4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</si>
  <si>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46:4,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</si>
  <si>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W0278</t>
  </si>
  <si>
    <t xml:space="preserve">49:15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</si>
  <si>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49:15,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</si>
  <si>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W0279</t>
  </si>
  <si>
    <t xml:space="preserve">49:16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</si>
  <si>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49:16,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</si>
  <si>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W0280</t>
  </si>
  <si>
    <t xml:space="preserve">52:7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</si>
  <si>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52:7,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</si>
  <si>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복음</t>
  </si>
  <si>
    <t xml:space="preserve">W0281</t>
  </si>
  <si>
    <t xml:space="preserve">53:5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</si>
  <si>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53:5,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</si>
  <si>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C00000"/>
        <rFont val="WenQuanYi Zen Hei"/>
        <family val="2"/>
      </rPr>
      <t xml:space="preserve">그리스도께서 우리 죄를 대신 지고 고난받으셨다는 예언입니다</t>
    </r>
    <r>
      <rPr>
        <sz val="10"/>
        <color rgb="FFC00000"/>
        <rFont val="Arial"/>
        <family val="0"/>
        <charset val="1"/>
      </rPr>
      <t xml:space="preserve">.
</t>
    </r>
    <r>
      <rPr>
        <sz val="10"/>
        <color rgb="FFC00000"/>
        <rFont val="WenQuanYi Zen Hei"/>
        <family val="2"/>
      </rPr>
      <t xml:space="preserve">성경 본문</t>
    </r>
    <r>
      <rPr>
        <sz val="10"/>
        <color rgb="FFC00000"/>
        <rFont val="Arial"/>
        <family val="0"/>
        <charset val="1"/>
      </rPr>
      <t xml:space="preserve">: </t>
    </r>
    <r>
      <rPr>
        <sz val="10"/>
        <color rgb="FFC00000"/>
        <rFont val="WenQuanYi Zen Hei"/>
        <family val="2"/>
      </rPr>
      <t xml:space="preserve">개역한글판</t>
    </r>
  </si>
  <si>
    <t xml:space="preserve">W0282</t>
  </si>
  <si>
    <t xml:space="preserve">53:6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</si>
  <si>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53:6,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</si>
  <si>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W0283</t>
  </si>
  <si>
    <t xml:space="preserve">55:1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</si>
  <si>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55:1,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</si>
  <si>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W0284</t>
  </si>
  <si>
    <t xml:space="preserve">55:6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</si>
  <si>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55:6,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</si>
  <si>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W0285</t>
  </si>
  <si>
    <t xml:space="preserve">55:8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</si>
  <si>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55:8,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</si>
  <si>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W0286</t>
  </si>
  <si>
    <t xml:space="preserve">55:11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</si>
  <si>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55:11,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</si>
  <si>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W0287</t>
  </si>
  <si>
    <t xml:space="preserve">58:11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</si>
  <si>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58:11,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</si>
  <si>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W0288</t>
  </si>
  <si>
    <t xml:space="preserve">60:1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</si>
  <si>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60:1,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</si>
  <si>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W0289</t>
  </si>
  <si>
    <t xml:space="preserve">61:1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</si>
  <si>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61:1,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</si>
  <si>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W0290</t>
  </si>
  <si>
    <t xml:space="preserve">64:8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</si>
  <si>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64:8,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</si>
  <si>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W0291</t>
  </si>
  <si>
    <t xml:space="preserve">65:24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</si>
  <si>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65:24,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</si>
  <si>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W0292</t>
  </si>
  <si>
    <t xml:space="preserve">66:13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</si>
  <si>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 </t>
    </r>
    <r>
      <rPr>
        <sz val="10"/>
        <color rgb="FF000000"/>
        <rFont val="Arial"/>
        <family val="0"/>
        <charset val="1"/>
      </rPr>
      <t xml:space="preserve">66:13,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</si>
  <si>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W0293</t>
  </si>
  <si>
    <t xml:space="preserve">예레미야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</si>
  <si>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1:5,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</si>
  <si>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부르심</t>
  </si>
  <si>
    <t xml:space="preserve">W0294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</si>
  <si>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1:8,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</si>
  <si>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W0295</t>
  </si>
  <si>
    <t xml:space="preserve">2:13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</si>
  <si>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2:13,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</si>
  <si>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W0296</t>
  </si>
  <si>
    <t xml:space="preserve">9:24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</si>
  <si>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9:24,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</si>
  <si>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W0297</t>
  </si>
  <si>
    <t xml:space="preserve">10:23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</si>
  <si>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10:23,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</si>
  <si>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W0298</t>
  </si>
  <si>
    <t xml:space="preserve">15:16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</si>
  <si>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15:16,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</si>
  <si>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W0299</t>
  </si>
  <si>
    <t xml:space="preserve">17:7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</si>
  <si>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17:7,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</si>
  <si>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W0300</t>
  </si>
  <si>
    <t xml:space="preserve">17:9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</si>
  <si>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17:9,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</si>
  <si>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W0301</t>
  </si>
  <si>
    <t xml:space="preserve">17:14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</si>
  <si>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17:14,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</si>
  <si>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W0302</t>
  </si>
  <si>
    <t xml:space="preserve">18:6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</si>
  <si>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18:6,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</si>
  <si>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W0303</t>
  </si>
  <si>
    <t xml:space="preserve">20:9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</si>
  <si>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20:9,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</si>
  <si>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W0304</t>
  </si>
  <si>
    <t xml:space="preserve">23:24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</si>
  <si>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23:24,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</si>
  <si>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W0305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</si>
  <si>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29:11,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</si>
  <si>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C00000"/>
        <rFont val="WenQuanYi Zen Hei"/>
        <family val="2"/>
      </rPr>
      <t xml:space="preserve">포로로 끌려간 백성에게 </t>
    </r>
    <r>
      <rPr>
        <sz val="10"/>
        <color rgb="FFC00000"/>
        <rFont val="Arial"/>
        <family val="0"/>
        <charset val="1"/>
      </rPr>
      <t xml:space="preserve">70</t>
    </r>
    <r>
      <rPr>
        <sz val="10"/>
        <color rgb="FFC00000"/>
        <rFont val="WenQuanYi Zen Hei"/>
        <family val="2"/>
      </rPr>
      <t xml:space="preserve">년 뒤 회복을 약속하신 말씀입니다</t>
    </r>
    <r>
      <rPr>
        <sz val="10"/>
        <color rgb="FFC00000"/>
        <rFont val="Arial"/>
        <family val="0"/>
        <charset val="1"/>
      </rPr>
      <t xml:space="preserve">. </t>
    </r>
    <r>
      <rPr>
        <sz val="10"/>
        <color rgb="FFC00000"/>
        <rFont val="WenQuanYi Zen Hei"/>
        <family val="2"/>
      </rPr>
      <t xml:space="preserve">개인의 성공을 보장하는 구절로 쓰지 않습니다</t>
    </r>
    <r>
      <rPr>
        <sz val="10"/>
        <color rgb="FFC00000"/>
        <rFont val="Arial"/>
        <family val="0"/>
        <charset val="1"/>
      </rPr>
      <t xml:space="preserve">.
</t>
    </r>
    <r>
      <rPr>
        <sz val="10"/>
        <color rgb="FFC00000"/>
        <rFont val="WenQuanYi Zen Hei"/>
        <family val="2"/>
      </rPr>
      <t xml:space="preserve">성경 본문</t>
    </r>
    <r>
      <rPr>
        <sz val="10"/>
        <color rgb="FFC00000"/>
        <rFont val="Arial"/>
        <family val="0"/>
        <charset val="1"/>
      </rPr>
      <t xml:space="preserve">: </t>
    </r>
    <r>
      <rPr>
        <sz val="10"/>
        <color rgb="FFC00000"/>
        <rFont val="WenQuanYi Zen Hei"/>
        <family val="2"/>
      </rPr>
      <t xml:space="preserve">개역한글판</t>
    </r>
  </si>
  <si>
    <t xml:space="preserve">W0306</t>
  </si>
  <si>
    <t xml:space="preserve">29:13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</si>
  <si>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29:13,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</si>
  <si>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W0307</t>
  </si>
  <si>
    <t xml:space="preserve">31:3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</si>
  <si>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31:3,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</si>
  <si>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W0308</t>
  </si>
  <si>
    <t xml:space="preserve">31:33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</si>
  <si>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31:33,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</si>
  <si>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W0309</t>
  </si>
  <si>
    <t xml:space="preserve">32:17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</si>
  <si>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32:17,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</si>
  <si>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W0310</t>
  </si>
  <si>
    <t xml:space="preserve">33:3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</si>
  <si>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33:3,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</si>
  <si>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W0311</t>
  </si>
  <si>
    <t xml:space="preserve">예레미야애가</t>
  </si>
  <si>
    <t xml:space="preserve">3:22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</si>
  <si>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애 </t>
    </r>
    <r>
      <rPr>
        <sz val="10"/>
        <color rgb="FF000000"/>
        <rFont val="Arial"/>
        <family val="0"/>
        <charset val="1"/>
      </rPr>
      <t xml:space="preserve">3:22,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</si>
  <si>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W0312</t>
  </si>
  <si>
    <t xml:space="preserve">3:23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</si>
  <si>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애 </t>
    </r>
    <r>
      <rPr>
        <sz val="10"/>
        <color rgb="FF000000"/>
        <rFont val="Arial"/>
        <family val="0"/>
        <charset val="1"/>
      </rPr>
      <t xml:space="preserve">3:23,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</si>
  <si>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W0313</t>
  </si>
  <si>
    <t xml:space="preserve">3:25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</si>
  <si>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애 </t>
    </r>
    <r>
      <rPr>
        <sz val="10"/>
        <color rgb="FF000000"/>
        <rFont val="Arial"/>
        <family val="0"/>
        <charset val="1"/>
      </rPr>
      <t xml:space="preserve">3:25,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</si>
  <si>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W0314</t>
  </si>
  <si>
    <t xml:space="preserve">3:40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</si>
  <si>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애 </t>
    </r>
    <r>
      <rPr>
        <sz val="10"/>
        <color rgb="FF000000"/>
        <rFont val="Arial"/>
        <family val="0"/>
        <charset val="1"/>
      </rPr>
      <t xml:space="preserve">3:40,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</si>
  <si>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W0315</t>
  </si>
  <si>
    <t xml:space="preserve">에스겔</t>
  </si>
  <si>
    <t xml:space="preserve">11:19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</si>
  <si>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겔 </t>
    </r>
    <r>
      <rPr>
        <sz val="10"/>
        <color rgb="FF000000"/>
        <rFont val="Arial"/>
        <family val="0"/>
        <charset val="1"/>
      </rPr>
      <t xml:space="preserve">11:19,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</si>
  <si>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새 마음</t>
  </si>
  <si>
    <t xml:space="preserve">W0316</t>
  </si>
  <si>
    <t xml:space="preserve">18:32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</si>
  <si>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겔 </t>
    </r>
    <r>
      <rPr>
        <sz val="10"/>
        <color rgb="FF000000"/>
        <rFont val="Arial"/>
        <family val="0"/>
        <charset val="1"/>
      </rPr>
      <t xml:space="preserve">18:32,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</si>
  <si>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W0317</t>
  </si>
  <si>
    <t xml:space="preserve">22:30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</si>
  <si>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겔 </t>
    </r>
    <r>
      <rPr>
        <sz val="10"/>
        <color rgb="FF000000"/>
        <rFont val="Arial"/>
        <family val="0"/>
        <charset val="1"/>
      </rPr>
      <t xml:space="preserve">22:30,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</si>
  <si>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W0318</t>
  </si>
  <si>
    <t xml:space="preserve">33:11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</si>
  <si>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겔 </t>
    </r>
    <r>
      <rPr>
        <sz val="10"/>
        <color rgb="FF000000"/>
        <rFont val="Arial"/>
        <family val="0"/>
        <charset val="1"/>
      </rPr>
      <t xml:space="preserve">33:11,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</si>
  <si>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W0319</t>
  </si>
  <si>
    <t xml:space="preserve">34:16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</si>
  <si>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겔 </t>
    </r>
    <r>
      <rPr>
        <sz val="10"/>
        <color rgb="FF000000"/>
        <rFont val="Arial"/>
        <family val="0"/>
        <charset val="1"/>
      </rPr>
      <t xml:space="preserve">34:16,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</si>
  <si>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W0320</t>
  </si>
  <si>
    <t xml:space="preserve">36:26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</si>
  <si>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겔 </t>
    </r>
    <r>
      <rPr>
        <sz val="10"/>
        <color rgb="FF000000"/>
        <rFont val="Arial"/>
        <family val="0"/>
        <charset val="1"/>
      </rPr>
      <t xml:space="preserve">36:26,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</si>
  <si>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W0321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</si>
  <si>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겔 </t>
    </r>
    <r>
      <rPr>
        <sz val="10"/>
        <color rgb="FF000000"/>
        <rFont val="Arial"/>
        <family val="0"/>
        <charset val="1"/>
      </rPr>
      <t xml:space="preserve">37:5,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</si>
  <si>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W0322</t>
  </si>
  <si>
    <t xml:space="preserve">47:9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</si>
  <si>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겔 </t>
    </r>
    <r>
      <rPr>
        <sz val="10"/>
        <color rgb="FF000000"/>
        <rFont val="Arial"/>
        <family val="0"/>
        <charset val="1"/>
      </rPr>
      <t xml:space="preserve">47:9,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</si>
  <si>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W0323</t>
  </si>
  <si>
    <t xml:space="preserve">다니엘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</si>
  <si>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단 </t>
    </r>
    <r>
      <rPr>
        <sz val="10"/>
        <color rgb="FF000000"/>
        <rFont val="Arial"/>
        <family val="0"/>
        <charset val="1"/>
      </rPr>
      <t xml:space="preserve">1:8,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</si>
  <si>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W0324</t>
  </si>
  <si>
    <t xml:space="preserve">2:21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</si>
  <si>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단 </t>
    </r>
    <r>
      <rPr>
        <sz val="10"/>
        <color rgb="FF000000"/>
        <rFont val="Arial"/>
        <family val="0"/>
        <charset val="1"/>
      </rPr>
      <t xml:space="preserve">2:21,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</si>
  <si>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W0325</t>
  </si>
  <si>
    <t xml:space="preserve">3:17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</si>
  <si>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단 </t>
    </r>
    <r>
      <rPr>
        <sz val="10"/>
        <color rgb="FF000000"/>
        <rFont val="Arial"/>
        <family val="0"/>
        <charset val="1"/>
      </rPr>
      <t xml:space="preserve">3:17,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</si>
  <si>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W0326</t>
  </si>
  <si>
    <t xml:space="preserve">3:18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</si>
  <si>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단 </t>
    </r>
    <r>
      <rPr>
        <sz val="10"/>
        <color rgb="FF000000"/>
        <rFont val="Arial"/>
        <family val="0"/>
        <charset val="1"/>
      </rPr>
      <t xml:space="preserve">3:18,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</si>
  <si>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W0327</t>
  </si>
  <si>
    <t xml:space="preserve">6:10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</si>
  <si>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단 </t>
    </r>
    <r>
      <rPr>
        <sz val="10"/>
        <color rgb="FF000000"/>
        <rFont val="Arial"/>
        <family val="0"/>
        <charset val="1"/>
      </rPr>
      <t xml:space="preserve">6:10,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</si>
  <si>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W0328</t>
  </si>
  <si>
    <t xml:space="preserve">12:3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</si>
  <si>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단 </t>
    </r>
    <r>
      <rPr>
        <sz val="10"/>
        <color rgb="FF000000"/>
        <rFont val="Arial"/>
        <family val="0"/>
        <charset val="1"/>
      </rPr>
      <t xml:space="preserve">12:3,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</si>
  <si>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W0329</t>
  </si>
  <si>
    <t xml:space="preserve">호세아</t>
  </si>
  <si>
    <t xml:space="preserve">6:1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</si>
  <si>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호 </t>
    </r>
    <r>
      <rPr>
        <sz val="10"/>
        <color rgb="FF000000"/>
        <rFont val="Arial"/>
        <family val="0"/>
        <charset val="1"/>
      </rPr>
      <t xml:space="preserve">6:1,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</si>
  <si>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W0330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</si>
  <si>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호 </t>
    </r>
    <r>
      <rPr>
        <sz val="10"/>
        <color rgb="FF000000"/>
        <rFont val="Arial"/>
        <family val="0"/>
        <charset val="1"/>
      </rPr>
      <t xml:space="preserve">6:3,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</si>
  <si>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W0331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</si>
  <si>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호 </t>
    </r>
    <r>
      <rPr>
        <sz val="10"/>
        <color rgb="FF000000"/>
        <rFont val="Arial"/>
        <family val="0"/>
        <charset val="1"/>
      </rPr>
      <t xml:space="preserve">10:12,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</si>
  <si>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W0332</t>
  </si>
  <si>
    <t xml:space="preserve">14:4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</si>
  <si>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호 </t>
    </r>
    <r>
      <rPr>
        <sz val="10"/>
        <color rgb="FF000000"/>
        <rFont val="Arial"/>
        <family val="0"/>
        <charset val="1"/>
      </rPr>
      <t xml:space="preserve">14:4,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</si>
  <si>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W0333</t>
  </si>
  <si>
    <t xml:space="preserve">요엘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</si>
  <si>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욜 </t>
    </r>
    <r>
      <rPr>
        <sz val="10"/>
        <color rgb="FF000000"/>
        <rFont val="Arial"/>
        <family val="0"/>
        <charset val="1"/>
      </rPr>
      <t xml:space="preserve">2:13,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</si>
  <si>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W0334</t>
  </si>
  <si>
    <t xml:space="preserve">2:25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</si>
  <si>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욜 </t>
    </r>
    <r>
      <rPr>
        <sz val="10"/>
        <color rgb="FF000000"/>
        <rFont val="Arial"/>
        <family val="0"/>
        <charset val="1"/>
      </rPr>
      <t xml:space="preserve">2:25,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</si>
  <si>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회복</t>
  </si>
  <si>
    <t xml:space="preserve">W0335</t>
  </si>
  <si>
    <t xml:space="preserve">2:28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</si>
  <si>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욜 </t>
    </r>
    <r>
      <rPr>
        <sz val="10"/>
        <color rgb="FF000000"/>
        <rFont val="Arial"/>
        <family val="0"/>
        <charset val="1"/>
      </rPr>
      <t xml:space="preserve">2:28,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</si>
  <si>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성령</t>
  </si>
  <si>
    <t xml:space="preserve">W0336</t>
  </si>
  <si>
    <t xml:space="preserve">아모스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</si>
  <si>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암 </t>
    </r>
    <r>
      <rPr>
        <sz val="10"/>
        <color rgb="FF000000"/>
        <rFont val="Arial"/>
        <family val="0"/>
        <charset val="1"/>
      </rPr>
      <t xml:space="preserve">4:12,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</si>
  <si>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W0337</t>
  </si>
  <si>
    <t xml:space="preserve">5:4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</si>
  <si>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암 </t>
    </r>
    <r>
      <rPr>
        <sz val="10"/>
        <color rgb="FF000000"/>
        <rFont val="Arial"/>
        <family val="0"/>
        <charset val="1"/>
      </rPr>
      <t xml:space="preserve">5:4,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</si>
  <si>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W0338</t>
  </si>
  <si>
    <t xml:space="preserve">5:24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</si>
  <si>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암 </t>
    </r>
    <r>
      <rPr>
        <sz val="10"/>
        <color rgb="FF000000"/>
        <rFont val="Arial"/>
        <family val="0"/>
        <charset val="1"/>
      </rPr>
      <t xml:space="preserve">5:24,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</si>
  <si>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정의</t>
  </si>
  <si>
    <t xml:space="preserve">W0339</t>
  </si>
  <si>
    <t xml:space="preserve">오바댜</t>
  </si>
  <si>
    <t xml:space="preserve">1:3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</si>
  <si>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옵 </t>
    </r>
    <r>
      <rPr>
        <sz val="10"/>
        <color rgb="FF000000"/>
        <rFont val="Arial"/>
        <family val="0"/>
        <charset val="1"/>
      </rPr>
      <t xml:space="preserve">1:3,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</si>
  <si>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W0340</t>
  </si>
  <si>
    <t xml:space="preserve">요나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</si>
  <si>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욘 </t>
    </r>
    <r>
      <rPr>
        <sz val="10"/>
        <color rgb="FF000000"/>
        <rFont val="Arial"/>
        <family val="0"/>
        <charset val="1"/>
      </rPr>
      <t xml:space="preserve">2:2,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</si>
  <si>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W0341</t>
  </si>
  <si>
    <t xml:space="preserve">2:9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</si>
  <si>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욘 </t>
    </r>
    <r>
      <rPr>
        <sz val="10"/>
        <color rgb="FF000000"/>
        <rFont val="Arial"/>
        <family val="0"/>
        <charset val="1"/>
      </rPr>
      <t xml:space="preserve">2:9,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</si>
  <si>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W0342</t>
  </si>
  <si>
    <t xml:space="preserve">4:2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</si>
  <si>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욘 </t>
    </r>
    <r>
      <rPr>
        <sz val="10"/>
        <color rgb="FF000000"/>
        <rFont val="Arial"/>
        <family val="0"/>
        <charset val="1"/>
      </rPr>
      <t xml:space="preserve">4:2,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</si>
  <si>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W0343</t>
  </si>
  <si>
    <t xml:space="preserve">미가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</si>
  <si>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미 </t>
    </r>
    <r>
      <rPr>
        <sz val="10"/>
        <color rgb="FF000000"/>
        <rFont val="Arial"/>
        <family val="0"/>
        <charset val="1"/>
      </rPr>
      <t xml:space="preserve">5:2,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</si>
  <si>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W0344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</si>
  <si>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미 </t>
    </r>
    <r>
      <rPr>
        <sz val="10"/>
        <color rgb="FF000000"/>
        <rFont val="Arial"/>
        <family val="0"/>
        <charset val="1"/>
      </rPr>
      <t xml:space="preserve">6:8,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</si>
  <si>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W0345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</si>
  <si>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미 </t>
    </r>
    <r>
      <rPr>
        <sz val="10"/>
        <color rgb="FF000000"/>
        <rFont val="Arial"/>
        <family val="0"/>
        <charset val="1"/>
      </rPr>
      <t xml:space="preserve">7:7,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</si>
  <si>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W0346</t>
  </si>
  <si>
    <t xml:space="preserve">7:19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</si>
  <si>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미 </t>
    </r>
    <r>
      <rPr>
        <sz val="10"/>
        <color rgb="FF000000"/>
        <rFont val="Arial"/>
        <family val="0"/>
        <charset val="1"/>
      </rPr>
      <t xml:space="preserve">7:19,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</si>
  <si>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W0347</t>
  </si>
  <si>
    <t xml:space="preserve">나훔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</si>
  <si>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나 </t>
    </r>
    <r>
      <rPr>
        <sz val="10"/>
        <color rgb="FF000000"/>
        <rFont val="Arial"/>
        <family val="0"/>
        <charset val="1"/>
      </rPr>
      <t xml:space="preserve">1:3,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</si>
  <si>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W0348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</si>
  <si>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나 </t>
    </r>
    <r>
      <rPr>
        <sz val="10"/>
        <color rgb="FF000000"/>
        <rFont val="Arial"/>
        <family val="0"/>
        <charset val="1"/>
      </rPr>
      <t xml:space="preserve">1:7,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</si>
  <si>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W0349</t>
  </si>
  <si>
    <t xml:space="preserve">하박국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</si>
  <si>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합 </t>
    </r>
    <r>
      <rPr>
        <sz val="10"/>
        <color rgb="FF000000"/>
        <rFont val="Arial"/>
        <family val="0"/>
        <charset val="1"/>
      </rPr>
      <t xml:space="preserve">2:4,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</si>
  <si>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W0350</t>
  </si>
  <si>
    <t xml:space="preserve">2:14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</si>
  <si>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합 </t>
    </r>
    <r>
      <rPr>
        <sz val="10"/>
        <color rgb="FF000000"/>
        <rFont val="Arial"/>
        <family val="0"/>
        <charset val="1"/>
      </rPr>
      <t xml:space="preserve">2:14,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</si>
  <si>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W0351</t>
  </si>
  <si>
    <t xml:space="preserve">3:17-18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</si>
  <si>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합 </t>
    </r>
    <r>
      <rPr>
        <sz val="10"/>
        <color rgb="FF000000"/>
        <rFont val="Arial"/>
        <family val="0"/>
        <charset val="1"/>
      </rPr>
      <t xml:space="preserve">3:17-18,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</si>
  <si>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W0352</t>
  </si>
  <si>
    <t xml:space="preserve">3:19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</si>
  <si>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합 </t>
    </r>
    <r>
      <rPr>
        <sz val="10"/>
        <color rgb="FF000000"/>
        <rFont val="Arial"/>
        <family val="0"/>
        <charset val="1"/>
      </rPr>
      <t xml:space="preserve">3:19,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</si>
  <si>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W0353</t>
  </si>
  <si>
    <t xml:space="preserve">스바냐</t>
  </si>
  <si>
    <t xml:space="preserve">2:3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</si>
  <si>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습 </t>
    </r>
    <r>
      <rPr>
        <sz val="10"/>
        <color rgb="FF000000"/>
        <rFont val="Arial"/>
        <family val="0"/>
        <charset val="1"/>
      </rPr>
      <t xml:space="preserve">2:3,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</si>
  <si>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W0354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</si>
  <si>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습 </t>
    </r>
    <r>
      <rPr>
        <sz val="10"/>
        <color rgb="FF000000"/>
        <rFont val="Arial"/>
        <family val="0"/>
        <charset val="1"/>
      </rPr>
      <t xml:space="preserve">3:17,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</si>
  <si>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W0355</t>
  </si>
  <si>
    <t xml:space="preserve">학개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</si>
  <si>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학 </t>
    </r>
    <r>
      <rPr>
        <sz val="10"/>
        <color rgb="FF000000"/>
        <rFont val="Arial"/>
        <family val="0"/>
        <charset val="1"/>
      </rPr>
      <t xml:space="preserve">1:5,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</si>
  <si>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W0356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</si>
  <si>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학 </t>
    </r>
    <r>
      <rPr>
        <sz val="10"/>
        <color rgb="FF000000"/>
        <rFont val="Arial"/>
        <family val="0"/>
        <charset val="1"/>
      </rPr>
      <t xml:space="preserve">2:9,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</si>
  <si>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W0357</t>
  </si>
  <si>
    <t xml:space="preserve">스가랴</t>
  </si>
  <si>
    <t xml:space="preserve">2:8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</si>
  <si>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슥 </t>
    </r>
    <r>
      <rPr>
        <sz val="10"/>
        <color rgb="FF000000"/>
        <rFont val="Arial"/>
        <family val="0"/>
        <charset val="1"/>
      </rPr>
      <t xml:space="preserve">2:8,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</si>
  <si>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W0358</t>
  </si>
  <si>
    <t xml:space="preserve">4:6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</si>
  <si>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슥 </t>
    </r>
    <r>
      <rPr>
        <sz val="10"/>
        <color rgb="FF000000"/>
        <rFont val="Arial"/>
        <family val="0"/>
        <charset val="1"/>
      </rPr>
      <t xml:space="preserve">4:6,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</si>
  <si>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W0359</t>
  </si>
  <si>
    <t xml:space="preserve">9:9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</si>
  <si>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슥 </t>
    </r>
    <r>
      <rPr>
        <sz val="10"/>
        <color rgb="FF000000"/>
        <rFont val="Arial"/>
        <family val="0"/>
        <charset val="1"/>
      </rPr>
      <t xml:space="preserve">9:9,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</si>
  <si>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W0360</t>
  </si>
  <si>
    <t xml:space="preserve">14:9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</si>
  <si>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슥 </t>
    </r>
    <r>
      <rPr>
        <sz val="10"/>
        <color rgb="FF000000"/>
        <rFont val="Arial"/>
        <family val="0"/>
        <charset val="1"/>
      </rPr>
      <t xml:space="preserve">14:9,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</si>
  <si>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W0361</t>
  </si>
  <si>
    <t xml:space="preserve">말라기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</si>
  <si>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말 </t>
    </r>
    <r>
      <rPr>
        <sz val="10"/>
        <color rgb="FF000000"/>
        <rFont val="Arial"/>
        <family val="0"/>
        <charset val="1"/>
      </rPr>
      <t xml:space="preserve">1:2,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</si>
  <si>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W0362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</si>
  <si>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말 </t>
    </r>
    <r>
      <rPr>
        <sz val="10"/>
        <color rgb="FF000000"/>
        <rFont val="Arial"/>
        <family val="0"/>
        <charset val="1"/>
      </rPr>
      <t xml:space="preserve">3:6,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</si>
  <si>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W0363</t>
  </si>
  <si>
    <t xml:space="preserve">3:16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</si>
  <si>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말 </t>
    </r>
    <r>
      <rPr>
        <sz val="10"/>
        <color rgb="FF000000"/>
        <rFont val="Arial"/>
        <family val="0"/>
        <charset val="1"/>
      </rPr>
      <t xml:space="preserve">3:16,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</si>
  <si>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W0364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</si>
  <si>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말 </t>
    </r>
    <r>
      <rPr>
        <sz val="10"/>
        <color rgb="FF000000"/>
        <rFont val="Arial"/>
        <family val="0"/>
        <charset val="1"/>
      </rPr>
      <t xml:space="preserve">4:2,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</si>
  <si>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W0365</t>
  </si>
  <si>
    <t xml:space="preserve">신약</t>
  </si>
  <si>
    <t xml:space="preserve">마태복음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</si>
  <si>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1:21,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</si>
  <si>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W0366</t>
  </si>
  <si>
    <t xml:space="preserve">1:23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</si>
  <si>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1:23,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</si>
  <si>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W0367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</si>
  <si>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3:17,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</si>
  <si>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W0368</t>
  </si>
  <si>
    <t xml:space="preserve">4:4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</si>
  <si>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4:4,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</si>
  <si>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W0369</t>
  </si>
  <si>
    <t xml:space="preserve">4:19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</si>
  <si>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4:19,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</si>
  <si>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W0370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</si>
  <si>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5:3,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</si>
  <si>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W0371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</si>
  <si>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5:4,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</si>
  <si>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W0372</t>
  </si>
  <si>
    <t xml:space="preserve">5:6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</si>
  <si>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5:6,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</si>
  <si>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W0373</t>
  </si>
  <si>
    <t xml:space="preserve">5:7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</si>
  <si>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5:7,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</si>
  <si>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W0374</t>
  </si>
  <si>
    <t xml:space="preserve">5:8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</si>
  <si>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5:8,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</si>
  <si>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W0375</t>
  </si>
  <si>
    <t xml:space="preserve">5:9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</si>
  <si>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5:9,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</si>
  <si>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W0376</t>
  </si>
  <si>
    <t xml:space="preserve">5:14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</si>
  <si>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5:14,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</si>
  <si>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빛</t>
  </si>
  <si>
    <t xml:space="preserve">W0377</t>
  </si>
  <si>
    <t xml:space="preserve">5:16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</si>
  <si>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5:16,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</si>
  <si>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W0378</t>
  </si>
  <si>
    <t xml:space="preserve">5:44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</si>
  <si>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5:44,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</si>
  <si>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W0379</t>
  </si>
  <si>
    <t xml:space="preserve">6:21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</si>
  <si>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6:21,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</si>
  <si>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W0380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</si>
  <si>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6:26,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</si>
  <si>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W0381</t>
  </si>
  <si>
    <t xml:space="preserve">6:33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</si>
  <si>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6:33,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</si>
  <si>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하나님 나라</t>
  </si>
  <si>
    <t xml:space="preserve">W0382</t>
  </si>
  <si>
    <t xml:space="preserve">6:34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</si>
  <si>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6:34,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</si>
  <si>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W0383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</si>
  <si>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7:7,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</si>
  <si>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W0384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</si>
  <si>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7:12,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</si>
  <si>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W0385</t>
  </si>
  <si>
    <t xml:space="preserve">7:24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</si>
  <si>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7:24,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</si>
  <si>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W0386</t>
  </si>
  <si>
    <t xml:space="preserve">10:31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</si>
  <si>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10:31,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</si>
  <si>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W0387</t>
  </si>
  <si>
    <t xml:space="preserve">11:28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</si>
  <si>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11:28,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</si>
  <si>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W0388</t>
  </si>
  <si>
    <t xml:space="preserve">11:29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</si>
  <si>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11:29,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</si>
  <si>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W0389</t>
  </si>
  <si>
    <t xml:space="preserve">16:16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</si>
  <si>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16:16,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</si>
  <si>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W0390</t>
  </si>
  <si>
    <t xml:space="preserve">16:24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</si>
  <si>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16:24,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</si>
  <si>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W0391</t>
  </si>
  <si>
    <t xml:space="preserve">18:20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</si>
  <si>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18:20,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</si>
  <si>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C00000"/>
        <rFont val="WenQuanYi Zen Hei"/>
        <family val="2"/>
      </rPr>
      <t xml:space="preserve">교회가 함께 모여 결정하는 일에 주님이 함께하신다는 문맥의 말씀입니다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마 </t>
    </r>
    <r>
      <rPr>
        <sz val="10"/>
        <color rgb="FFC00000"/>
        <rFont val="Arial"/>
        <family val="0"/>
        <charset val="1"/>
      </rPr>
      <t xml:space="preserve">18:15-20).
</t>
    </r>
    <r>
      <rPr>
        <sz val="10"/>
        <color rgb="FFC00000"/>
        <rFont val="WenQuanYi Zen Hei"/>
        <family val="2"/>
      </rPr>
      <t xml:space="preserve">성경 본문</t>
    </r>
    <r>
      <rPr>
        <sz val="10"/>
        <color rgb="FFC00000"/>
        <rFont val="Arial"/>
        <family val="0"/>
        <charset val="1"/>
      </rPr>
      <t xml:space="preserve">: </t>
    </r>
    <r>
      <rPr>
        <sz val="10"/>
        <color rgb="FFC00000"/>
        <rFont val="WenQuanYi Zen Hei"/>
        <family val="2"/>
      </rPr>
      <t xml:space="preserve">개역한글판</t>
    </r>
  </si>
  <si>
    <t xml:space="preserve">W0392</t>
  </si>
  <si>
    <t xml:space="preserve">19:26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</si>
  <si>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19:26,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</si>
  <si>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W0393</t>
  </si>
  <si>
    <t xml:space="preserve">22:37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</si>
  <si>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22:37,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</si>
  <si>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W0394</t>
  </si>
  <si>
    <t xml:space="preserve">22:39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</si>
  <si>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22:39,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</si>
  <si>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W0395</t>
  </si>
  <si>
    <t xml:space="preserve">24:35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</si>
  <si>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24:35,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</si>
  <si>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W0396</t>
  </si>
  <si>
    <t xml:space="preserve">25:40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</si>
  <si>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25:40,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</si>
  <si>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W0397</t>
  </si>
  <si>
    <t xml:space="preserve">26:41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</si>
  <si>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26:41,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</si>
  <si>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W0398</t>
  </si>
  <si>
    <t xml:space="preserve">28:6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</si>
  <si>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28:6,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</si>
  <si>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부활</t>
  </si>
  <si>
    <t xml:space="preserve">W0399</t>
  </si>
  <si>
    <t xml:space="preserve">28:19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</si>
  <si>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28:19,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</si>
  <si>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W0400</t>
  </si>
  <si>
    <t xml:space="preserve">28:20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</si>
  <si>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마 </t>
    </r>
    <r>
      <rPr>
        <sz val="10"/>
        <color rgb="FF000000"/>
        <rFont val="Arial"/>
        <family val="0"/>
        <charset val="1"/>
      </rPr>
      <t xml:space="preserve">28:20,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</si>
  <si>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W0401</t>
  </si>
  <si>
    <t xml:space="preserve">마가복음</t>
  </si>
  <si>
    <t xml:space="preserve">1:15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</si>
  <si>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막 </t>
    </r>
    <r>
      <rPr>
        <sz val="10"/>
        <color rgb="FF000000"/>
        <rFont val="Arial"/>
        <family val="0"/>
        <charset val="1"/>
      </rPr>
      <t xml:space="preserve">1:15,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</si>
  <si>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W0402</t>
  </si>
  <si>
    <t xml:space="preserve">1:35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</si>
  <si>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막 </t>
    </r>
    <r>
      <rPr>
        <sz val="10"/>
        <color rgb="FF000000"/>
        <rFont val="Arial"/>
        <family val="0"/>
        <charset val="1"/>
      </rPr>
      <t xml:space="preserve">1:35,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</si>
  <si>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W0403</t>
  </si>
  <si>
    <t xml:space="preserve">2:17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</si>
  <si>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막 </t>
    </r>
    <r>
      <rPr>
        <sz val="10"/>
        <color rgb="FF000000"/>
        <rFont val="Arial"/>
        <family val="0"/>
        <charset val="1"/>
      </rPr>
      <t xml:space="preserve">2:17,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</si>
  <si>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W0404</t>
  </si>
  <si>
    <t xml:space="preserve">4:39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</si>
  <si>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막 </t>
    </r>
    <r>
      <rPr>
        <sz val="10"/>
        <color rgb="FF000000"/>
        <rFont val="Arial"/>
        <family val="0"/>
        <charset val="1"/>
      </rPr>
      <t xml:space="preserve">4:39,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</si>
  <si>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W0405</t>
  </si>
  <si>
    <t xml:space="preserve">5:36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</si>
  <si>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막 </t>
    </r>
    <r>
      <rPr>
        <sz val="10"/>
        <color rgb="FF000000"/>
        <rFont val="Arial"/>
        <family val="0"/>
        <charset val="1"/>
      </rPr>
      <t xml:space="preserve">5:36,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</si>
  <si>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W0406</t>
  </si>
  <si>
    <t xml:space="preserve">6:31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</si>
  <si>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막 </t>
    </r>
    <r>
      <rPr>
        <sz val="10"/>
        <color rgb="FF000000"/>
        <rFont val="Arial"/>
        <family val="0"/>
        <charset val="1"/>
      </rPr>
      <t xml:space="preserve">6:31,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</si>
  <si>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쉼</t>
  </si>
  <si>
    <t xml:space="preserve">W0407</t>
  </si>
  <si>
    <t xml:space="preserve">8:36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</si>
  <si>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막 </t>
    </r>
    <r>
      <rPr>
        <sz val="10"/>
        <color rgb="FF000000"/>
        <rFont val="Arial"/>
        <family val="0"/>
        <charset val="1"/>
      </rPr>
      <t xml:space="preserve">8:36,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</si>
  <si>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W0408</t>
  </si>
  <si>
    <t xml:space="preserve">9:23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</si>
  <si>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막 </t>
    </r>
    <r>
      <rPr>
        <sz val="10"/>
        <color rgb="FF000000"/>
        <rFont val="Arial"/>
        <family val="0"/>
        <charset val="1"/>
      </rPr>
      <t xml:space="preserve">9:23,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</si>
  <si>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W0409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</si>
  <si>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막 </t>
    </r>
    <r>
      <rPr>
        <sz val="10"/>
        <color rgb="FF000000"/>
        <rFont val="Arial"/>
        <family val="0"/>
        <charset val="1"/>
      </rPr>
      <t xml:space="preserve">9:24,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</si>
  <si>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W0410</t>
  </si>
  <si>
    <t xml:space="preserve">10:14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</si>
  <si>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막 </t>
    </r>
    <r>
      <rPr>
        <sz val="10"/>
        <color rgb="FF000000"/>
        <rFont val="Arial"/>
        <family val="0"/>
        <charset val="1"/>
      </rPr>
      <t xml:space="preserve">10:14,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</si>
  <si>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W0411</t>
  </si>
  <si>
    <t xml:space="preserve">10:45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</si>
  <si>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막 </t>
    </r>
    <r>
      <rPr>
        <sz val="10"/>
        <color rgb="FF000000"/>
        <rFont val="Arial"/>
        <family val="0"/>
        <charset val="1"/>
      </rPr>
      <t xml:space="preserve">10:45,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</si>
  <si>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섬김</t>
  </si>
  <si>
    <t xml:space="preserve">W0412</t>
  </si>
  <si>
    <t xml:space="preserve">11:24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</si>
  <si>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막 </t>
    </r>
    <r>
      <rPr>
        <sz val="10"/>
        <color rgb="FF000000"/>
        <rFont val="Arial"/>
        <family val="0"/>
        <charset val="1"/>
      </rPr>
      <t xml:space="preserve">11:24,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</si>
  <si>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C00000"/>
        <rFont val="WenQuanYi Zen Hei"/>
        <family val="2"/>
      </rPr>
      <t xml:space="preserve">구하는 것을 모두 얻는 공식이 아니라</t>
    </r>
    <r>
      <rPr>
        <sz val="10"/>
        <color rgb="FFC00000"/>
        <rFont val="Arial"/>
        <family val="0"/>
        <charset val="1"/>
      </rPr>
      <t xml:space="preserve">, </t>
    </r>
    <r>
      <rPr>
        <sz val="10"/>
        <color rgb="FFC00000"/>
        <rFont val="WenQuanYi Zen Hei"/>
        <family val="2"/>
      </rPr>
      <t xml:space="preserve">하나님을 믿고 그 뜻 안에서 구하는 기도에 관한 말씀입니다</t>
    </r>
    <r>
      <rPr>
        <sz val="10"/>
        <color rgb="FFC00000"/>
        <rFont val="Arial"/>
        <family val="0"/>
        <charset val="1"/>
      </rPr>
      <t xml:space="preserve">.
</t>
    </r>
    <r>
      <rPr>
        <sz val="10"/>
        <color rgb="FFC00000"/>
        <rFont val="WenQuanYi Zen Hei"/>
        <family val="2"/>
      </rPr>
      <t xml:space="preserve">성경 본문</t>
    </r>
    <r>
      <rPr>
        <sz val="10"/>
        <color rgb="FFC00000"/>
        <rFont val="Arial"/>
        <family val="0"/>
        <charset val="1"/>
      </rPr>
      <t xml:space="preserve">: </t>
    </r>
    <r>
      <rPr>
        <sz val="10"/>
        <color rgb="FFC00000"/>
        <rFont val="WenQuanYi Zen Hei"/>
        <family val="2"/>
      </rPr>
      <t xml:space="preserve">개역한글판</t>
    </r>
  </si>
  <si>
    <t xml:space="preserve">W0413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</si>
  <si>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막 </t>
    </r>
    <r>
      <rPr>
        <sz val="10"/>
        <color rgb="FF000000"/>
        <rFont val="Arial"/>
        <family val="0"/>
        <charset val="1"/>
      </rPr>
      <t xml:space="preserve">12:30,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</si>
  <si>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W0414</t>
  </si>
  <si>
    <t xml:space="preserve">16:15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</si>
  <si>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막 </t>
    </r>
    <r>
      <rPr>
        <sz val="10"/>
        <color rgb="FF000000"/>
        <rFont val="Arial"/>
        <family val="0"/>
        <charset val="1"/>
      </rPr>
      <t xml:space="preserve">16:15,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</si>
  <si>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W0415</t>
  </si>
  <si>
    <t xml:space="preserve">누가복음</t>
  </si>
  <si>
    <t xml:space="preserve">1:37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</si>
  <si>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1:37,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</si>
  <si>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W0416</t>
  </si>
  <si>
    <t xml:space="preserve">1:38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</si>
  <si>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1:38,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</si>
  <si>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W0417</t>
  </si>
  <si>
    <t xml:space="preserve">1:46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</si>
  <si>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1:46,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</si>
  <si>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W0418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</si>
  <si>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2:10,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</si>
  <si>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W0419</t>
  </si>
  <si>
    <t xml:space="preserve">2:11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</si>
  <si>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2:11,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</si>
  <si>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W0420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</si>
  <si>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2:14,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</si>
  <si>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W0421</t>
  </si>
  <si>
    <t xml:space="preserve">2:52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</si>
  <si>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2:52,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</si>
  <si>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성장</t>
  </si>
  <si>
    <t xml:space="preserve">W0422</t>
  </si>
  <si>
    <t xml:space="preserve">4:18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</si>
  <si>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4:18,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</si>
  <si>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W0423</t>
  </si>
  <si>
    <t xml:space="preserve">5:5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</si>
  <si>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5:5,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</si>
  <si>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W0424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</si>
  <si>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6:31,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</si>
  <si>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W0425</t>
  </si>
  <si>
    <t xml:space="preserve">6:36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</si>
  <si>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6:36,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</si>
  <si>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W0426</t>
  </si>
  <si>
    <t xml:space="preserve">6:38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</si>
  <si>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6:38,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</si>
  <si>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나눔</t>
  </si>
  <si>
    <r>
      <rPr>
        <sz val="10"/>
        <color rgb="FFC00000"/>
        <rFont val="WenQuanYi Zen Hei"/>
        <family val="2"/>
      </rPr>
      <t xml:space="preserve">헌금하면 더 많이 돌려받는다는 뜻이 아니라</t>
    </r>
    <r>
      <rPr>
        <sz val="10"/>
        <color rgb="FFC00000"/>
        <rFont val="Arial"/>
        <family val="0"/>
        <charset val="1"/>
      </rPr>
      <t xml:space="preserve">, </t>
    </r>
    <r>
      <rPr>
        <sz val="10"/>
        <color rgb="FFC00000"/>
        <rFont val="WenQuanYi Zen Hei"/>
        <family val="2"/>
      </rPr>
      <t xml:space="preserve">너그럽게 베푸는 삶에 관한 말씀입니다</t>
    </r>
    <r>
      <rPr>
        <sz val="10"/>
        <color rgb="FFC00000"/>
        <rFont val="Arial"/>
        <family val="0"/>
        <charset val="1"/>
      </rPr>
      <t xml:space="preserve">.
</t>
    </r>
    <r>
      <rPr>
        <sz val="10"/>
        <color rgb="FFC00000"/>
        <rFont val="WenQuanYi Zen Hei"/>
        <family val="2"/>
      </rPr>
      <t xml:space="preserve">성경 본문</t>
    </r>
    <r>
      <rPr>
        <sz val="10"/>
        <color rgb="FFC00000"/>
        <rFont val="Arial"/>
        <family val="0"/>
        <charset val="1"/>
      </rPr>
      <t xml:space="preserve">: </t>
    </r>
    <r>
      <rPr>
        <sz val="10"/>
        <color rgb="FFC00000"/>
        <rFont val="WenQuanYi Zen Hei"/>
        <family val="2"/>
      </rPr>
      <t xml:space="preserve">개역한글판</t>
    </r>
  </si>
  <si>
    <t xml:space="preserve">W0427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</si>
  <si>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9:23,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</si>
  <si>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W0428</t>
  </si>
  <si>
    <t xml:space="preserve">10:42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</si>
  <si>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10:42,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</si>
  <si>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W0429</t>
  </si>
  <si>
    <t xml:space="preserve">11:13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</si>
  <si>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11:13,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</si>
  <si>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W0430</t>
  </si>
  <si>
    <t xml:space="preserve">12:15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</si>
  <si>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12:15,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</si>
  <si>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W0431</t>
  </si>
  <si>
    <t xml:space="preserve">15:7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</si>
  <si>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15:7,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</si>
  <si>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W0432</t>
  </si>
  <si>
    <t xml:space="preserve">15:20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</si>
  <si>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15:20,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</si>
  <si>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W0433</t>
  </si>
  <si>
    <t xml:space="preserve">15:24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</si>
  <si>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15:24,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</si>
  <si>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W0434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</si>
  <si>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18:1,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</si>
  <si>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W0435</t>
  </si>
  <si>
    <t xml:space="preserve">19:10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</si>
  <si>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19:10,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</si>
  <si>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W0436</t>
  </si>
  <si>
    <t xml:space="preserve">22:42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</si>
  <si>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22:42,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</si>
  <si>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W0437</t>
  </si>
  <si>
    <t xml:space="preserve">23:34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</si>
  <si>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23:34,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</si>
  <si>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W0438</t>
  </si>
  <si>
    <t xml:space="preserve">23:43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</si>
  <si>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23:43,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</si>
  <si>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W0439</t>
  </si>
  <si>
    <t xml:space="preserve">24:32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</si>
  <si>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24:32,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</si>
  <si>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W0440</t>
  </si>
  <si>
    <t xml:space="preserve">24:49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</si>
  <si>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눅 </t>
    </r>
    <r>
      <rPr>
        <sz val="10"/>
        <color rgb="FF000000"/>
        <rFont val="Arial"/>
        <family val="0"/>
        <charset val="1"/>
      </rPr>
      <t xml:space="preserve">24:49,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</si>
  <si>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W0441</t>
  </si>
  <si>
    <t xml:space="preserve">요한복음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</si>
  <si>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</si>
  <si>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W0442</t>
  </si>
  <si>
    <t xml:space="preserve">1:4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</si>
  <si>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1:4,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</si>
  <si>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W0443</t>
  </si>
  <si>
    <t xml:space="preserve">1:12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</si>
  <si>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1:12,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</si>
  <si>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W0444</t>
  </si>
  <si>
    <t xml:space="preserve">1:14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</si>
  <si>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1:14,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</si>
  <si>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W0445</t>
  </si>
  <si>
    <t xml:space="preserve">1:29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</si>
  <si>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1:29,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</si>
  <si>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W0446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</si>
  <si>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3:3,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</si>
  <si>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W0447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</si>
  <si>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3:16,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</si>
  <si>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W0448</t>
  </si>
  <si>
    <t xml:space="preserve">3:30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</si>
  <si>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3:30,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</si>
  <si>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W0449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</si>
  <si>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4:14,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</si>
  <si>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W0450</t>
  </si>
  <si>
    <t xml:space="preserve">4:24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</si>
  <si>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4:24,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</si>
  <si>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W0451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</si>
  <si>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5:24,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</si>
  <si>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W0452</t>
  </si>
  <si>
    <t xml:space="preserve">6:35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</si>
  <si>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6:35,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</si>
  <si>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W0453</t>
  </si>
  <si>
    <t xml:space="preserve">6:37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</si>
  <si>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6:37,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</si>
  <si>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W0454</t>
  </si>
  <si>
    <t xml:space="preserve">7:38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</si>
  <si>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7:38,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</si>
  <si>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W0455</t>
  </si>
  <si>
    <t xml:space="preserve">8:12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</si>
  <si>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8:12,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</si>
  <si>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W0456</t>
  </si>
  <si>
    <t xml:space="preserve">8:32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</si>
  <si>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8:32,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</si>
  <si>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W0457</t>
  </si>
  <si>
    <t xml:space="preserve">10:10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</si>
  <si>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10:10,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</si>
  <si>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W0458</t>
  </si>
  <si>
    <t xml:space="preserve">10:11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</si>
  <si>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10:11,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</si>
  <si>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W0459</t>
  </si>
  <si>
    <t xml:space="preserve">10:27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</si>
  <si>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10:27,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</si>
  <si>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W0460</t>
  </si>
  <si>
    <t xml:space="preserve">10:28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</si>
  <si>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10:28,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</si>
  <si>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W0461</t>
  </si>
  <si>
    <t xml:space="preserve">11:25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</si>
  <si>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11:25,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</si>
  <si>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W0462</t>
  </si>
  <si>
    <t xml:space="preserve">11:35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</si>
  <si>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11:35,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</si>
  <si>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W0463</t>
  </si>
  <si>
    <t xml:space="preserve">12:24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</si>
  <si>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12:24,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</si>
  <si>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W0464</t>
  </si>
  <si>
    <t xml:space="preserve">13:34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</si>
  <si>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13:34,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</si>
  <si>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W0465</t>
  </si>
  <si>
    <t xml:space="preserve">13:35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</si>
  <si>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13:35,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</si>
  <si>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W0466</t>
  </si>
  <si>
    <t xml:space="preserve">14:1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</si>
  <si>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14:1,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</si>
  <si>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W0467</t>
  </si>
  <si>
    <t xml:space="preserve">14:6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</si>
  <si>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14:6,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</si>
  <si>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W0468</t>
  </si>
  <si>
    <t xml:space="preserve">14:15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</si>
  <si>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14:15,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</si>
  <si>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W0469</t>
  </si>
  <si>
    <t xml:space="preserve">14:27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</si>
  <si>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14:27,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</si>
  <si>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W0470</t>
  </si>
  <si>
    <t xml:space="preserve">15:5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</si>
  <si>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15:5,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</si>
  <si>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W0471</t>
  </si>
  <si>
    <t xml:space="preserve">15:13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</si>
  <si>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15:13,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</si>
  <si>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W0472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</si>
  <si>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15:16,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</si>
  <si>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W0473</t>
  </si>
  <si>
    <t xml:space="preserve">16:33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</si>
  <si>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16:33,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</si>
  <si>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W0474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</si>
  <si>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17:17,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</si>
  <si>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W0475</t>
  </si>
  <si>
    <t xml:space="preserve">19:30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</si>
  <si>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19:30,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</si>
  <si>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W0476</t>
  </si>
  <si>
    <t xml:space="preserve">20:29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</si>
  <si>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20:29,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</si>
  <si>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W0477</t>
  </si>
  <si>
    <t xml:space="preserve">20:31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</si>
  <si>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20:31,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</si>
  <si>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W0478</t>
  </si>
  <si>
    <t xml:space="preserve">21:17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</si>
  <si>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 </t>
    </r>
    <r>
      <rPr>
        <sz val="10"/>
        <color rgb="FF000000"/>
        <rFont val="Arial"/>
        <family val="0"/>
        <charset val="1"/>
      </rPr>
      <t xml:space="preserve">21:17,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</si>
  <si>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W0479</t>
  </si>
  <si>
    <t xml:space="preserve">사도행전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</si>
  <si>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1:8,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</si>
  <si>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W0480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</si>
  <si>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2:21,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</si>
  <si>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W0481</t>
  </si>
  <si>
    <t xml:space="preserve">2:38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</si>
  <si>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2:38,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</si>
  <si>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W0482</t>
  </si>
  <si>
    <t xml:space="preserve">2:42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</si>
  <si>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2:42,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</si>
  <si>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교회</t>
  </si>
  <si>
    <t xml:space="preserve">W0483</t>
  </si>
  <si>
    <t xml:space="preserve">2:47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</si>
  <si>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2:47,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</si>
  <si>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W0484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</si>
  <si>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3:6,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</si>
  <si>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W0485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</si>
  <si>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3:19,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</si>
  <si>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W0486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</si>
  <si>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4:12,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</si>
  <si>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W0487</t>
  </si>
  <si>
    <t xml:space="preserve">4:20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</si>
  <si>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4:20,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</si>
  <si>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W0488</t>
  </si>
  <si>
    <t xml:space="preserve">5:29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</si>
  <si>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5:29,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</si>
  <si>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W0489</t>
  </si>
  <si>
    <t xml:space="preserve">5:41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</si>
  <si>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5:41,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</si>
  <si>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W0490</t>
  </si>
  <si>
    <t xml:space="preserve">9:15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</si>
  <si>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9:15,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</si>
  <si>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W0491</t>
  </si>
  <si>
    <t xml:space="preserve">10:34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</si>
  <si>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10:34,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</si>
  <si>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W0492</t>
  </si>
  <si>
    <t xml:space="preserve">16:25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</si>
  <si>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16:25,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</si>
  <si>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W0493</t>
  </si>
  <si>
    <t xml:space="preserve">16:31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</si>
  <si>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16:31,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</si>
  <si>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W0494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</si>
  <si>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17:11,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</si>
  <si>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W0495</t>
  </si>
  <si>
    <t xml:space="preserve">17:28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</si>
  <si>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17:28,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</si>
  <si>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W0496</t>
  </si>
  <si>
    <t xml:space="preserve">20:24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</si>
  <si>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20:24,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</si>
  <si>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W0497</t>
  </si>
  <si>
    <t xml:space="preserve">20:35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</si>
  <si>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20:35,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</si>
  <si>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W0498</t>
  </si>
  <si>
    <t xml:space="preserve">27:25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</si>
  <si>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행 </t>
    </r>
    <r>
      <rPr>
        <sz val="10"/>
        <color rgb="FF000000"/>
        <rFont val="Arial"/>
        <family val="0"/>
        <charset val="1"/>
      </rPr>
      <t xml:space="preserve">27:25,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</si>
  <si>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W0499</t>
  </si>
  <si>
    <t xml:space="preserve">로마서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</si>
  <si>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1:16,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</si>
  <si>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W0500</t>
  </si>
  <si>
    <t xml:space="preserve">1:17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</si>
  <si>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1:17,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</si>
  <si>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W0501</t>
  </si>
  <si>
    <t xml:space="preserve">1:20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</si>
  <si>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1:20,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</si>
  <si>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W0502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</si>
  <si>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3:10,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</si>
  <si>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W0503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</si>
  <si>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3:23,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</si>
  <si>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W0504</t>
  </si>
  <si>
    <t xml:space="preserve">3:24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</si>
  <si>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3:24,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</si>
  <si>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W0505</t>
  </si>
  <si>
    <t xml:space="preserve">5:1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</si>
  <si>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5:1,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</si>
  <si>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W0506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</si>
  <si>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5:3,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</si>
  <si>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W0507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</si>
  <si>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5:5,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</si>
  <si>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W0508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</si>
  <si>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5:8,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</si>
  <si>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W0509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</si>
  <si>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6:4,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</si>
  <si>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W0510</t>
  </si>
  <si>
    <t xml:space="preserve">6:23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</si>
  <si>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6:23,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</si>
  <si>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W0511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</si>
  <si>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8:1,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</si>
  <si>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W0512</t>
  </si>
  <si>
    <t xml:space="preserve">8:14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</si>
  <si>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8:14,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</si>
  <si>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W0513</t>
  </si>
  <si>
    <t xml:space="preserve">8:18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</si>
  <si>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8:18,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</si>
  <si>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W0514</t>
  </si>
  <si>
    <t xml:space="preserve">8:26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</si>
  <si>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8:26,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</si>
  <si>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W0515</t>
  </si>
  <si>
    <t xml:space="preserve">8:28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</si>
  <si>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8:28,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</si>
  <si>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W0516</t>
  </si>
  <si>
    <t xml:space="preserve">8:31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</si>
  <si>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8:31,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</si>
  <si>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W0517</t>
  </si>
  <si>
    <t xml:space="preserve">8:37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</si>
  <si>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8:37,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</si>
  <si>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W0518</t>
  </si>
  <si>
    <t xml:space="preserve">8:39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</si>
  <si>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8:39,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</si>
  <si>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W0519</t>
  </si>
  <si>
    <t xml:space="preserve">10:9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</si>
  <si>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10:9,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</si>
  <si>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W0520</t>
  </si>
  <si>
    <t xml:space="preserve">10:17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</si>
  <si>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10:17,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</si>
  <si>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W0521</t>
  </si>
  <si>
    <t xml:space="preserve">11:33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</si>
  <si>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11:33,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</si>
  <si>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W0522</t>
  </si>
  <si>
    <t xml:space="preserve">11:36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</si>
  <si>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11:36,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</si>
  <si>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W0523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</si>
  <si>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12:1,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</si>
  <si>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W0524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</si>
  <si>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12:2,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</si>
  <si>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W0525</t>
  </si>
  <si>
    <t xml:space="preserve">12:12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</si>
  <si>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12:12,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</si>
  <si>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W0526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</si>
  <si>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12:15,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</si>
  <si>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W0527</t>
  </si>
  <si>
    <t xml:space="preserve">12:18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</si>
  <si>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12:18,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</si>
  <si>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W0528</t>
  </si>
  <si>
    <t xml:space="preserve">12:21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</si>
  <si>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12:21,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</si>
  <si>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W0529</t>
  </si>
  <si>
    <t xml:space="preserve">13:8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</si>
  <si>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13:8,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</si>
  <si>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W0530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</si>
  <si>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14:8,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</si>
  <si>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W0531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</si>
  <si>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15:7,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</si>
  <si>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W0532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</si>
  <si>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롬 </t>
    </r>
    <r>
      <rPr>
        <sz val="10"/>
        <color rgb="FF000000"/>
        <rFont val="Arial"/>
        <family val="0"/>
        <charset val="1"/>
      </rPr>
      <t xml:space="preserve">15:13,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</si>
  <si>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W0533</t>
  </si>
  <si>
    <t xml:space="preserve">고린도전서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</si>
  <si>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1:18,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</si>
  <si>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W0534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</si>
  <si>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1:27,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</si>
  <si>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W0535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</si>
  <si>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2:9,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</si>
  <si>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W0536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</si>
  <si>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3:6,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</si>
  <si>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W0537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</si>
  <si>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3:16,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</si>
  <si>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W0538</t>
  </si>
  <si>
    <t xml:space="preserve">6:20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</si>
  <si>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6:20,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</si>
  <si>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W0539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</si>
  <si>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9:24,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</si>
  <si>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W0540</t>
  </si>
  <si>
    <t xml:space="preserve">10:13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</si>
  <si>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10:13,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</si>
  <si>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W0541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</si>
  <si>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10:31,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</si>
  <si>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W0542</t>
  </si>
  <si>
    <t xml:space="preserve">12:27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</si>
  <si>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12:27,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</si>
  <si>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W0543</t>
  </si>
  <si>
    <t xml:space="preserve">13:4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</si>
  <si>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13:4,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</si>
  <si>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W0544</t>
  </si>
  <si>
    <t xml:space="preserve">13:7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</si>
  <si>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13:7,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</si>
  <si>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W0545</t>
  </si>
  <si>
    <t xml:space="preserve">13:13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</si>
  <si>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13:13,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</si>
  <si>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W0546</t>
  </si>
  <si>
    <t xml:space="preserve">15:10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</si>
  <si>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15:10,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</si>
  <si>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W0547</t>
  </si>
  <si>
    <t xml:space="preserve">15:55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</si>
  <si>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15:55,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</si>
  <si>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W0548</t>
  </si>
  <si>
    <t xml:space="preserve">15:57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</si>
  <si>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15:57,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</si>
  <si>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W0549</t>
  </si>
  <si>
    <t xml:space="preserve">15:58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</si>
  <si>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15:58,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</si>
  <si>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W0550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</si>
  <si>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16:13,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</si>
  <si>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W0551</t>
  </si>
  <si>
    <t xml:space="preserve">16:14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</si>
  <si>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고전 </t>
    </r>
    <r>
      <rPr>
        <sz val="10"/>
        <color rgb="FF000000"/>
        <rFont val="Arial"/>
        <family val="0"/>
        <charset val="1"/>
      </rPr>
      <t xml:space="preserve">16:14,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</si>
  <si>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W0552</t>
  </si>
  <si>
    <t xml:space="preserve">고린도후서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</si>
  <si>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고후 </t>
    </r>
    <r>
      <rPr>
        <sz val="10"/>
        <color rgb="FF000000"/>
        <rFont val="Arial"/>
        <family val="0"/>
        <charset val="1"/>
      </rPr>
      <t xml:space="preserve">1:3,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</si>
  <si>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W0553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</si>
  <si>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고후 </t>
    </r>
    <r>
      <rPr>
        <sz val="10"/>
        <color rgb="FF000000"/>
        <rFont val="Arial"/>
        <family val="0"/>
        <charset val="1"/>
      </rPr>
      <t xml:space="preserve">1:4,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</si>
  <si>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W0554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</si>
  <si>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고후 </t>
    </r>
    <r>
      <rPr>
        <sz val="10"/>
        <color rgb="FF000000"/>
        <rFont val="Arial"/>
        <family val="0"/>
        <charset val="1"/>
      </rPr>
      <t xml:space="preserve">3:17,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</si>
  <si>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W0555</t>
  </si>
  <si>
    <t xml:space="preserve">4:7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</si>
  <si>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고후 </t>
    </r>
    <r>
      <rPr>
        <sz val="10"/>
        <color rgb="FF000000"/>
        <rFont val="Arial"/>
        <family val="0"/>
        <charset val="1"/>
      </rPr>
      <t xml:space="preserve">4:7,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</si>
  <si>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W0556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</si>
  <si>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고후 </t>
    </r>
    <r>
      <rPr>
        <sz val="10"/>
        <color rgb="FF000000"/>
        <rFont val="Arial"/>
        <family val="0"/>
        <charset val="1"/>
      </rPr>
      <t xml:space="preserve">4:8,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</si>
  <si>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W0557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</si>
  <si>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고후 </t>
    </r>
    <r>
      <rPr>
        <sz val="10"/>
        <color rgb="FF000000"/>
        <rFont val="Arial"/>
        <family val="0"/>
        <charset val="1"/>
      </rPr>
      <t xml:space="preserve">4:16,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</si>
  <si>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W0558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</si>
  <si>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고후 </t>
    </r>
    <r>
      <rPr>
        <sz val="10"/>
        <color rgb="FF000000"/>
        <rFont val="Arial"/>
        <family val="0"/>
        <charset val="1"/>
      </rPr>
      <t xml:space="preserve">4:18,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</si>
  <si>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W0559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</si>
  <si>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고후 </t>
    </r>
    <r>
      <rPr>
        <sz val="10"/>
        <color rgb="FF000000"/>
        <rFont val="Arial"/>
        <family val="0"/>
        <charset val="1"/>
      </rPr>
      <t xml:space="preserve">5:7,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</si>
  <si>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W0560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</si>
  <si>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고후 </t>
    </r>
    <r>
      <rPr>
        <sz val="10"/>
        <color rgb="FF000000"/>
        <rFont val="Arial"/>
        <family val="0"/>
        <charset val="1"/>
      </rPr>
      <t xml:space="preserve">5:17,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</si>
  <si>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W0561</t>
  </si>
  <si>
    <t xml:space="preserve">5:21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</si>
  <si>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고후 </t>
    </r>
    <r>
      <rPr>
        <sz val="10"/>
        <color rgb="FF000000"/>
        <rFont val="Arial"/>
        <family val="0"/>
        <charset val="1"/>
      </rPr>
      <t xml:space="preserve">5:21,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</si>
  <si>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W0562</t>
  </si>
  <si>
    <t xml:space="preserve">6:2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</si>
  <si>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고후 </t>
    </r>
    <r>
      <rPr>
        <sz val="10"/>
        <color rgb="FF000000"/>
        <rFont val="Arial"/>
        <family val="0"/>
        <charset val="1"/>
      </rPr>
      <t xml:space="preserve">6:2,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</si>
  <si>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W0563</t>
  </si>
  <si>
    <t xml:space="preserve">9:7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</si>
  <si>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고후 </t>
    </r>
    <r>
      <rPr>
        <sz val="10"/>
        <color rgb="FF000000"/>
        <rFont val="Arial"/>
        <family val="0"/>
        <charset val="1"/>
      </rPr>
      <t xml:space="preserve">9:7,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</si>
  <si>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W0564</t>
  </si>
  <si>
    <t xml:space="preserve">12:9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</si>
  <si>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고후 </t>
    </r>
    <r>
      <rPr>
        <sz val="10"/>
        <color rgb="FF000000"/>
        <rFont val="Arial"/>
        <family val="0"/>
        <charset val="1"/>
      </rPr>
      <t xml:space="preserve">12:9,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</si>
  <si>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W0565</t>
  </si>
  <si>
    <t xml:space="preserve">12:10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</si>
  <si>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고후 </t>
    </r>
    <r>
      <rPr>
        <sz val="10"/>
        <color rgb="FF000000"/>
        <rFont val="Arial"/>
        <family val="0"/>
        <charset val="1"/>
      </rPr>
      <t xml:space="preserve">12:10,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</si>
  <si>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W0566</t>
  </si>
  <si>
    <t xml:space="preserve">갈라디아서</t>
  </si>
  <si>
    <t xml:space="preserve">2:16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</si>
  <si>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갈 </t>
    </r>
    <r>
      <rPr>
        <sz val="10"/>
        <color rgb="FF000000"/>
        <rFont val="Arial"/>
        <family val="0"/>
        <charset val="1"/>
      </rPr>
      <t xml:space="preserve">2:16,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</si>
  <si>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W0567</t>
  </si>
  <si>
    <t xml:space="preserve">2:20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</si>
  <si>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갈 </t>
    </r>
    <r>
      <rPr>
        <sz val="10"/>
        <color rgb="FF000000"/>
        <rFont val="Arial"/>
        <family val="0"/>
        <charset val="1"/>
      </rPr>
      <t xml:space="preserve">2:20,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</si>
  <si>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W0568</t>
  </si>
  <si>
    <t xml:space="preserve">3:26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</si>
  <si>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갈 </t>
    </r>
    <r>
      <rPr>
        <sz val="10"/>
        <color rgb="FF000000"/>
        <rFont val="Arial"/>
        <family val="0"/>
        <charset val="1"/>
      </rPr>
      <t xml:space="preserve">3:26,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</si>
  <si>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W0569</t>
  </si>
  <si>
    <t xml:space="preserve">3:28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</si>
  <si>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갈 </t>
    </r>
    <r>
      <rPr>
        <sz val="10"/>
        <color rgb="FF000000"/>
        <rFont val="Arial"/>
        <family val="0"/>
        <charset val="1"/>
      </rPr>
      <t xml:space="preserve">3:28,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</si>
  <si>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W0570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</si>
  <si>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갈 </t>
    </r>
    <r>
      <rPr>
        <sz val="10"/>
        <color rgb="FF000000"/>
        <rFont val="Arial"/>
        <family val="0"/>
        <charset val="1"/>
      </rPr>
      <t xml:space="preserve">4:6,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</si>
  <si>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W0571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</si>
  <si>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갈 </t>
    </r>
    <r>
      <rPr>
        <sz val="10"/>
        <color rgb="FF000000"/>
        <rFont val="Arial"/>
        <family val="0"/>
        <charset val="1"/>
      </rPr>
      <t xml:space="preserve">5:1,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</si>
  <si>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W0572</t>
  </si>
  <si>
    <t xml:space="preserve">5:13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</si>
  <si>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갈 </t>
    </r>
    <r>
      <rPr>
        <sz val="10"/>
        <color rgb="FF000000"/>
        <rFont val="Arial"/>
        <family val="0"/>
        <charset val="1"/>
      </rPr>
      <t xml:space="preserve">5:13,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</si>
  <si>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W0573</t>
  </si>
  <si>
    <t xml:space="preserve">5:22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</si>
  <si>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갈 </t>
    </r>
    <r>
      <rPr>
        <sz val="10"/>
        <color rgb="FF000000"/>
        <rFont val="Arial"/>
        <family val="0"/>
        <charset val="1"/>
      </rPr>
      <t xml:space="preserve">5:22,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</si>
  <si>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W0574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</si>
  <si>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갈 </t>
    </r>
    <r>
      <rPr>
        <sz val="10"/>
        <color rgb="FF000000"/>
        <rFont val="Arial"/>
        <family val="0"/>
        <charset val="1"/>
      </rPr>
      <t xml:space="preserve">6:2,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</si>
  <si>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W0575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</si>
  <si>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갈 </t>
    </r>
    <r>
      <rPr>
        <sz val="10"/>
        <color rgb="FF000000"/>
        <rFont val="Arial"/>
        <family val="0"/>
        <charset val="1"/>
      </rPr>
      <t xml:space="preserve">6:7,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</si>
  <si>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W0576</t>
  </si>
  <si>
    <t xml:space="preserve">6:9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</si>
  <si>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갈 </t>
    </r>
    <r>
      <rPr>
        <sz val="10"/>
        <color rgb="FF000000"/>
        <rFont val="Arial"/>
        <family val="0"/>
        <charset val="1"/>
      </rPr>
      <t xml:space="preserve">6:9,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</si>
  <si>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W0577</t>
  </si>
  <si>
    <t xml:space="preserve">6:14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</si>
  <si>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갈 </t>
    </r>
    <r>
      <rPr>
        <sz val="10"/>
        <color rgb="FF000000"/>
        <rFont val="Arial"/>
        <family val="0"/>
        <charset val="1"/>
      </rPr>
      <t xml:space="preserve">6:14,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</si>
  <si>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W0578</t>
  </si>
  <si>
    <t xml:space="preserve">에베소서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</si>
  <si>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엡 </t>
    </r>
    <r>
      <rPr>
        <sz val="10"/>
        <color rgb="FF000000"/>
        <rFont val="Arial"/>
        <family val="0"/>
        <charset val="1"/>
      </rPr>
      <t xml:space="preserve">1:4,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</si>
  <si>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W0579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</si>
  <si>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엡 </t>
    </r>
    <r>
      <rPr>
        <sz val="10"/>
        <color rgb="FF000000"/>
        <rFont val="Arial"/>
        <family val="0"/>
        <charset val="1"/>
      </rPr>
      <t xml:space="preserve">1:7,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</si>
  <si>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W0580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</si>
  <si>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엡 </t>
    </r>
    <r>
      <rPr>
        <sz val="10"/>
        <color rgb="FF000000"/>
        <rFont val="Arial"/>
        <family val="0"/>
        <charset val="1"/>
      </rPr>
      <t xml:space="preserve">2:8,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</si>
  <si>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W0581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</si>
  <si>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엡 </t>
    </r>
    <r>
      <rPr>
        <sz val="10"/>
        <color rgb="FF000000"/>
        <rFont val="Arial"/>
        <family val="0"/>
        <charset val="1"/>
      </rPr>
      <t xml:space="preserve">2:10,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</si>
  <si>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W0582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</si>
  <si>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엡 </t>
    </r>
    <r>
      <rPr>
        <sz val="10"/>
        <color rgb="FF000000"/>
        <rFont val="Arial"/>
        <family val="0"/>
        <charset val="1"/>
      </rPr>
      <t xml:space="preserve">2:14,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</si>
  <si>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W0583</t>
  </si>
  <si>
    <t xml:space="preserve">3:20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</si>
  <si>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엡 </t>
    </r>
    <r>
      <rPr>
        <sz val="10"/>
        <color rgb="FF000000"/>
        <rFont val="Arial"/>
        <family val="0"/>
        <charset val="1"/>
      </rPr>
      <t xml:space="preserve">3:20,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</si>
  <si>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W0584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</si>
  <si>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엡 </t>
    </r>
    <r>
      <rPr>
        <sz val="10"/>
        <color rgb="FF000000"/>
        <rFont val="Arial"/>
        <family val="0"/>
        <charset val="1"/>
      </rPr>
      <t xml:space="preserve">4:2,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</si>
  <si>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W0585</t>
  </si>
  <si>
    <t xml:space="preserve">4:26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</si>
  <si>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엡 </t>
    </r>
    <r>
      <rPr>
        <sz val="10"/>
        <color rgb="FF000000"/>
        <rFont val="Arial"/>
        <family val="0"/>
        <charset val="1"/>
      </rPr>
      <t xml:space="preserve">4:26,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</si>
  <si>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W0586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</si>
  <si>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엡 </t>
    </r>
    <r>
      <rPr>
        <sz val="10"/>
        <color rgb="FF000000"/>
        <rFont val="Arial"/>
        <family val="0"/>
        <charset val="1"/>
      </rPr>
      <t xml:space="preserve">4:29,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</si>
  <si>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W0587</t>
  </si>
  <si>
    <t xml:space="preserve">4:32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</si>
  <si>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엡 </t>
    </r>
    <r>
      <rPr>
        <sz val="10"/>
        <color rgb="FF000000"/>
        <rFont val="Arial"/>
        <family val="0"/>
        <charset val="1"/>
      </rPr>
      <t xml:space="preserve">4:32,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</si>
  <si>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W0588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</si>
  <si>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엡 </t>
    </r>
    <r>
      <rPr>
        <sz val="10"/>
        <color rgb="FF000000"/>
        <rFont val="Arial"/>
        <family val="0"/>
        <charset val="1"/>
      </rPr>
      <t xml:space="preserve">5:8,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</si>
  <si>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W0589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</si>
  <si>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엡 </t>
    </r>
    <r>
      <rPr>
        <sz val="10"/>
        <color rgb="FF000000"/>
        <rFont val="Arial"/>
        <family val="0"/>
        <charset val="1"/>
      </rPr>
      <t xml:space="preserve">5:16,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</si>
  <si>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W0590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</si>
  <si>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엡 </t>
    </r>
    <r>
      <rPr>
        <sz val="10"/>
        <color rgb="FF000000"/>
        <rFont val="Arial"/>
        <family val="0"/>
        <charset val="1"/>
      </rPr>
      <t xml:space="preserve">6:1,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</si>
  <si>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W0591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</si>
  <si>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엡 </t>
    </r>
    <r>
      <rPr>
        <sz val="10"/>
        <color rgb="FF000000"/>
        <rFont val="Arial"/>
        <family val="0"/>
        <charset val="1"/>
      </rPr>
      <t xml:space="preserve">6:10,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</si>
  <si>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W0592</t>
  </si>
  <si>
    <t xml:space="preserve">6:11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</si>
  <si>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엡 </t>
    </r>
    <r>
      <rPr>
        <sz val="10"/>
        <color rgb="FF000000"/>
        <rFont val="Arial"/>
        <family val="0"/>
        <charset val="1"/>
      </rPr>
      <t xml:space="preserve">6:11,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</si>
  <si>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W0593</t>
  </si>
  <si>
    <t xml:space="preserve">빌립보서</t>
  </si>
  <si>
    <t xml:space="preserve">1:6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</si>
  <si>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빌 </t>
    </r>
    <r>
      <rPr>
        <sz val="10"/>
        <color rgb="FF000000"/>
        <rFont val="Arial"/>
        <family val="0"/>
        <charset val="1"/>
      </rPr>
      <t xml:space="preserve">1:6,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</si>
  <si>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W0594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</si>
  <si>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빌 </t>
    </r>
    <r>
      <rPr>
        <sz val="10"/>
        <color rgb="FF000000"/>
        <rFont val="Arial"/>
        <family val="0"/>
        <charset val="1"/>
      </rPr>
      <t xml:space="preserve">1:21,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</si>
  <si>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W0595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</si>
  <si>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빌 </t>
    </r>
    <r>
      <rPr>
        <sz val="10"/>
        <color rgb="FF000000"/>
        <rFont val="Arial"/>
        <family val="0"/>
        <charset val="1"/>
      </rPr>
      <t xml:space="preserve">2:3,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</si>
  <si>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W0596</t>
  </si>
  <si>
    <t xml:space="preserve">2:5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</si>
  <si>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빌 </t>
    </r>
    <r>
      <rPr>
        <sz val="10"/>
        <color rgb="FF000000"/>
        <rFont val="Arial"/>
        <family val="0"/>
        <charset val="1"/>
      </rPr>
      <t xml:space="preserve">2:5,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</si>
  <si>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W0597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</si>
  <si>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빌 </t>
    </r>
    <r>
      <rPr>
        <sz val="10"/>
        <color rgb="FF000000"/>
        <rFont val="Arial"/>
        <family val="0"/>
        <charset val="1"/>
      </rPr>
      <t xml:space="preserve">2:13,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</si>
  <si>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W0598</t>
  </si>
  <si>
    <t xml:space="preserve">3:8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</si>
  <si>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빌 </t>
    </r>
    <r>
      <rPr>
        <sz val="10"/>
        <color rgb="FF000000"/>
        <rFont val="Arial"/>
        <family val="0"/>
        <charset val="1"/>
      </rPr>
      <t xml:space="preserve">3:8,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</si>
  <si>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W0599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</si>
  <si>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빌 </t>
    </r>
    <r>
      <rPr>
        <sz val="10"/>
        <color rgb="FF000000"/>
        <rFont val="Arial"/>
        <family val="0"/>
        <charset val="1"/>
      </rPr>
      <t xml:space="preserve">3:14,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</si>
  <si>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W0600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</si>
  <si>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빌 </t>
    </r>
    <r>
      <rPr>
        <sz val="10"/>
        <color rgb="FF000000"/>
        <rFont val="Arial"/>
        <family val="0"/>
        <charset val="1"/>
      </rPr>
      <t xml:space="preserve">3:20,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</si>
  <si>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W0601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</si>
  <si>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빌 </t>
    </r>
    <r>
      <rPr>
        <sz val="10"/>
        <color rgb="FF000000"/>
        <rFont val="Arial"/>
        <family val="0"/>
        <charset val="1"/>
      </rPr>
      <t xml:space="preserve">4:4,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</si>
  <si>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W0602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</si>
  <si>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빌 </t>
    </r>
    <r>
      <rPr>
        <sz val="10"/>
        <color rgb="FF000000"/>
        <rFont val="Arial"/>
        <family val="0"/>
        <charset val="1"/>
      </rPr>
      <t xml:space="preserve">4:6,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</si>
  <si>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W0603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</si>
  <si>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빌 </t>
    </r>
    <r>
      <rPr>
        <sz val="10"/>
        <color rgb="FF000000"/>
        <rFont val="Arial"/>
        <family val="0"/>
        <charset val="1"/>
      </rPr>
      <t xml:space="preserve">4:7,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</si>
  <si>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W0604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</si>
  <si>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빌 </t>
    </r>
    <r>
      <rPr>
        <sz val="10"/>
        <color rgb="FF000000"/>
        <rFont val="Arial"/>
        <family val="0"/>
        <charset val="1"/>
      </rPr>
      <t xml:space="preserve">4:8,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</si>
  <si>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W0605</t>
  </si>
  <si>
    <t xml:space="preserve">4:13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</si>
  <si>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빌 </t>
    </r>
    <r>
      <rPr>
        <sz val="10"/>
        <color rgb="FF000000"/>
        <rFont val="Arial"/>
        <family val="0"/>
        <charset val="1"/>
      </rPr>
      <t xml:space="preserve">4:13,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</si>
  <si>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C00000"/>
        <rFont val="WenQuanYi Zen Hei"/>
        <family val="2"/>
      </rPr>
      <t xml:space="preserve">궁핍과 풍부 어디에서든 자족하게 하시는 그리스도의 능력에 관한 말씀입니다</t>
    </r>
    <r>
      <rPr>
        <sz val="10"/>
        <color rgb="FFC00000"/>
        <rFont val="Arial"/>
        <family val="0"/>
        <charset val="1"/>
      </rPr>
      <t xml:space="preserve">(</t>
    </r>
    <r>
      <rPr>
        <sz val="10"/>
        <color rgb="FFC00000"/>
        <rFont val="WenQuanYi Zen Hei"/>
        <family val="2"/>
      </rPr>
      <t xml:space="preserve">빌 </t>
    </r>
    <r>
      <rPr>
        <sz val="10"/>
        <color rgb="FFC00000"/>
        <rFont val="Arial"/>
        <family val="0"/>
        <charset val="1"/>
      </rPr>
      <t xml:space="preserve">4:11-12).
</t>
    </r>
    <r>
      <rPr>
        <sz val="10"/>
        <color rgb="FFC00000"/>
        <rFont val="WenQuanYi Zen Hei"/>
        <family val="2"/>
      </rPr>
      <t xml:space="preserve">성경 본문</t>
    </r>
    <r>
      <rPr>
        <sz val="10"/>
        <color rgb="FFC00000"/>
        <rFont val="Arial"/>
        <family val="0"/>
        <charset val="1"/>
      </rPr>
      <t xml:space="preserve">: </t>
    </r>
    <r>
      <rPr>
        <sz val="10"/>
        <color rgb="FFC00000"/>
        <rFont val="WenQuanYi Zen Hei"/>
        <family val="2"/>
      </rPr>
      <t xml:space="preserve">개역한글판</t>
    </r>
  </si>
  <si>
    <t xml:space="preserve">W0606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</si>
  <si>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빌 </t>
    </r>
    <r>
      <rPr>
        <sz val="10"/>
        <color rgb="FF000000"/>
        <rFont val="Arial"/>
        <family val="0"/>
        <charset val="1"/>
      </rPr>
      <t xml:space="preserve">4:19,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</si>
  <si>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C00000"/>
        <rFont val="WenQuanYi Zen Hei"/>
        <family val="2"/>
      </rPr>
      <t xml:space="preserve">선교 헌금으로 바울을 도운 교회에게 하나님이 필요를 채우신다고 한 말씀입니다</t>
    </r>
    <r>
      <rPr>
        <sz val="10"/>
        <color rgb="FFC00000"/>
        <rFont val="Arial"/>
        <family val="0"/>
        <charset val="1"/>
      </rPr>
      <t xml:space="preserve">.
</t>
    </r>
    <r>
      <rPr>
        <sz val="10"/>
        <color rgb="FFC00000"/>
        <rFont val="WenQuanYi Zen Hei"/>
        <family val="2"/>
      </rPr>
      <t xml:space="preserve">성경 본문</t>
    </r>
    <r>
      <rPr>
        <sz val="10"/>
        <color rgb="FFC00000"/>
        <rFont val="Arial"/>
        <family val="0"/>
        <charset val="1"/>
      </rPr>
      <t xml:space="preserve">: </t>
    </r>
    <r>
      <rPr>
        <sz val="10"/>
        <color rgb="FFC00000"/>
        <rFont val="WenQuanYi Zen Hei"/>
        <family val="2"/>
      </rPr>
      <t xml:space="preserve">개역한글판</t>
    </r>
  </si>
  <si>
    <t xml:space="preserve">W0607</t>
  </si>
  <si>
    <t xml:space="preserve">골로새서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</si>
  <si>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골 </t>
    </r>
    <r>
      <rPr>
        <sz val="10"/>
        <color rgb="FF000000"/>
        <rFont val="Arial"/>
        <family val="0"/>
        <charset val="1"/>
      </rPr>
      <t xml:space="preserve">1:16,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</si>
  <si>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W0608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</si>
  <si>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골 </t>
    </r>
    <r>
      <rPr>
        <sz val="10"/>
        <color rgb="FF000000"/>
        <rFont val="Arial"/>
        <family val="0"/>
        <charset val="1"/>
      </rPr>
      <t xml:space="preserve">1:27,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</si>
  <si>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W0609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</si>
  <si>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골 </t>
    </r>
    <r>
      <rPr>
        <sz val="10"/>
        <color rgb="FF000000"/>
        <rFont val="Arial"/>
        <family val="0"/>
        <charset val="1"/>
      </rPr>
      <t xml:space="preserve">2:7,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</si>
  <si>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W0610</t>
  </si>
  <si>
    <t xml:space="preserve">3:2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</si>
  <si>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골 </t>
    </r>
    <r>
      <rPr>
        <sz val="10"/>
        <color rgb="FF000000"/>
        <rFont val="Arial"/>
        <family val="0"/>
        <charset val="1"/>
      </rPr>
      <t xml:space="preserve">3:2,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</si>
  <si>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W0611</t>
  </si>
  <si>
    <t xml:space="preserve">3:13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</si>
  <si>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골 </t>
    </r>
    <r>
      <rPr>
        <sz val="10"/>
        <color rgb="FF000000"/>
        <rFont val="Arial"/>
        <family val="0"/>
        <charset val="1"/>
      </rPr>
      <t xml:space="preserve">3:13,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</si>
  <si>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W0612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</si>
  <si>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골 </t>
    </r>
    <r>
      <rPr>
        <sz val="10"/>
        <color rgb="FF000000"/>
        <rFont val="Arial"/>
        <family val="0"/>
        <charset val="1"/>
      </rPr>
      <t xml:space="preserve">3:14,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</si>
  <si>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W0613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</si>
  <si>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골 </t>
    </r>
    <r>
      <rPr>
        <sz val="10"/>
        <color rgb="FF000000"/>
        <rFont val="Arial"/>
        <family val="0"/>
        <charset val="1"/>
      </rPr>
      <t xml:space="preserve">3:15,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</si>
  <si>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W0614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</si>
  <si>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골 </t>
    </r>
    <r>
      <rPr>
        <sz val="10"/>
        <color rgb="FF000000"/>
        <rFont val="Arial"/>
        <family val="0"/>
        <charset val="1"/>
      </rPr>
      <t xml:space="preserve">3:16,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</si>
  <si>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W0615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</si>
  <si>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골 </t>
    </r>
    <r>
      <rPr>
        <sz val="10"/>
        <color rgb="FF000000"/>
        <rFont val="Arial"/>
        <family val="0"/>
        <charset val="1"/>
      </rPr>
      <t xml:space="preserve">3:23,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</si>
  <si>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W0616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</si>
  <si>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골 </t>
    </r>
    <r>
      <rPr>
        <sz val="10"/>
        <color rgb="FF000000"/>
        <rFont val="Arial"/>
        <family val="0"/>
        <charset val="1"/>
      </rPr>
      <t xml:space="preserve">4:2,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</si>
  <si>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W0617</t>
  </si>
  <si>
    <t xml:space="preserve">데살로니가전서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</si>
  <si>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살전 </t>
    </r>
    <r>
      <rPr>
        <sz val="10"/>
        <color rgb="FF000000"/>
        <rFont val="Arial"/>
        <family val="0"/>
        <charset val="1"/>
      </rPr>
      <t xml:space="preserve">4:16,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</si>
  <si>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W0618</t>
  </si>
  <si>
    <t xml:space="preserve">5:11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</si>
  <si>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살전 </t>
    </r>
    <r>
      <rPr>
        <sz val="10"/>
        <color rgb="FF000000"/>
        <rFont val="Arial"/>
        <family val="0"/>
        <charset val="1"/>
      </rPr>
      <t xml:space="preserve">5:11,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</si>
  <si>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W0619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</si>
  <si>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살전 </t>
    </r>
    <r>
      <rPr>
        <sz val="10"/>
        <color rgb="FF000000"/>
        <rFont val="Arial"/>
        <family val="0"/>
        <charset val="1"/>
      </rPr>
      <t xml:space="preserve">5:16,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</si>
  <si>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W0620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</si>
  <si>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살전 </t>
    </r>
    <r>
      <rPr>
        <sz val="10"/>
        <color rgb="FF000000"/>
        <rFont val="Arial"/>
        <family val="0"/>
        <charset val="1"/>
      </rPr>
      <t xml:space="preserve">5:17,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</si>
  <si>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W0621</t>
  </si>
  <si>
    <t xml:space="preserve">5:18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</si>
  <si>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살전 </t>
    </r>
    <r>
      <rPr>
        <sz val="10"/>
        <color rgb="FF000000"/>
        <rFont val="Arial"/>
        <family val="0"/>
        <charset val="1"/>
      </rPr>
      <t xml:space="preserve">5:18,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</si>
  <si>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W0622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</si>
  <si>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살전 </t>
    </r>
    <r>
      <rPr>
        <sz val="10"/>
        <color rgb="FF000000"/>
        <rFont val="Arial"/>
        <family val="0"/>
        <charset val="1"/>
      </rPr>
      <t xml:space="preserve">5:21,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</si>
  <si>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W0623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</si>
  <si>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살전 </t>
    </r>
    <r>
      <rPr>
        <sz val="10"/>
        <color rgb="FF000000"/>
        <rFont val="Arial"/>
        <family val="0"/>
        <charset val="1"/>
      </rPr>
      <t xml:space="preserve">5:24,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</si>
  <si>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W0624</t>
  </si>
  <si>
    <t xml:space="preserve">데살로니가후서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</si>
  <si>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살후 </t>
    </r>
    <r>
      <rPr>
        <sz val="10"/>
        <color rgb="FF000000"/>
        <rFont val="Arial"/>
        <family val="0"/>
        <charset val="1"/>
      </rPr>
      <t xml:space="preserve">3:3,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</si>
  <si>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W0625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</si>
  <si>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살후 </t>
    </r>
    <r>
      <rPr>
        <sz val="10"/>
        <color rgb="FF000000"/>
        <rFont val="Arial"/>
        <family val="0"/>
        <charset val="1"/>
      </rPr>
      <t xml:space="preserve">3:5,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</si>
  <si>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W0626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</si>
  <si>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살후 </t>
    </r>
    <r>
      <rPr>
        <sz val="10"/>
        <color rgb="FF000000"/>
        <rFont val="Arial"/>
        <family val="0"/>
        <charset val="1"/>
      </rPr>
      <t xml:space="preserve">3:13,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</si>
  <si>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W0627</t>
  </si>
  <si>
    <t xml:space="preserve">디모데전서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</si>
  <si>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딤전 </t>
    </r>
    <r>
      <rPr>
        <sz val="10"/>
        <color rgb="FF000000"/>
        <rFont val="Arial"/>
        <family val="0"/>
        <charset val="1"/>
      </rPr>
      <t xml:space="preserve">1:15,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</si>
  <si>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W0628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</si>
  <si>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딤전 </t>
    </r>
    <r>
      <rPr>
        <sz val="10"/>
        <color rgb="FF000000"/>
        <rFont val="Arial"/>
        <family val="0"/>
        <charset val="1"/>
      </rPr>
      <t xml:space="preserve">2:4,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</si>
  <si>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W0629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</si>
  <si>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딤전 </t>
    </r>
    <r>
      <rPr>
        <sz val="10"/>
        <color rgb="FF000000"/>
        <rFont val="Arial"/>
        <family val="0"/>
        <charset val="1"/>
      </rPr>
      <t xml:space="preserve">2:5,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</si>
  <si>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W0630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</si>
  <si>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딤전 </t>
    </r>
    <r>
      <rPr>
        <sz val="10"/>
        <color rgb="FF000000"/>
        <rFont val="Arial"/>
        <family val="0"/>
        <charset val="1"/>
      </rPr>
      <t xml:space="preserve">4:8,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</si>
  <si>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경건</t>
  </si>
  <si>
    <t xml:space="preserve">W0631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</si>
  <si>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딤전 </t>
    </r>
    <r>
      <rPr>
        <sz val="10"/>
        <color rgb="FF000000"/>
        <rFont val="Arial"/>
        <family val="0"/>
        <charset val="1"/>
      </rPr>
      <t xml:space="preserve">4:12,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</si>
  <si>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W0632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</si>
  <si>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딤전 </t>
    </r>
    <r>
      <rPr>
        <sz val="10"/>
        <color rgb="FF000000"/>
        <rFont val="Arial"/>
        <family val="0"/>
        <charset val="1"/>
      </rPr>
      <t xml:space="preserve">6:6,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</si>
  <si>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W0633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</si>
  <si>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딤전 </t>
    </r>
    <r>
      <rPr>
        <sz val="10"/>
        <color rgb="FF000000"/>
        <rFont val="Arial"/>
        <family val="0"/>
        <charset val="1"/>
      </rPr>
      <t xml:space="preserve">6:10,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</si>
  <si>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W0634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</si>
  <si>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딤전 </t>
    </r>
    <r>
      <rPr>
        <sz val="10"/>
        <color rgb="FF000000"/>
        <rFont val="Arial"/>
        <family val="0"/>
        <charset val="1"/>
      </rPr>
      <t xml:space="preserve">6:12,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</si>
  <si>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W0635</t>
  </si>
  <si>
    <t xml:space="preserve">디모데후서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</si>
  <si>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딤후 </t>
    </r>
    <r>
      <rPr>
        <sz val="10"/>
        <color rgb="FF000000"/>
        <rFont val="Arial"/>
        <family val="0"/>
        <charset val="1"/>
      </rPr>
      <t xml:space="preserve">1:7,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</si>
  <si>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W0636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</si>
  <si>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딤후 </t>
    </r>
    <r>
      <rPr>
        <sz val="10"/>
        <color rgb="FF000000"/>
        <rFont val="Arial"/>
        <family val="0"/>
        <charset val="1"/>
      </rPr>
      <t xml:space="preserve">1:12,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</si>
  <si>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W0637</t>
  </si>
  <si>
    <t xml:space="preserve">2:1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</si>
  <si>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딤후 </t>
    </r>
    <r>
      <rPr>
        <sz val="10"/>
        <color rgb="FF000000"/>
        <rFont val="Arial"/>
        <family val="0"/>
        <charset val="1"/>
      </rPr>
      <t xml:space="preserve">2:1,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</si>
  <si>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W0638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</si>
  <si>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딤후 </t>
    </r>
    <r>
      <rPr>
        <sz val="10"/>
        <color rgb="FF000000"/>
        <rFont val="Arial"/>
        <family val="0"/>
        <charset val="1"/>
      </rPr>
      <t xml:space="preserve">2:13,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</si>
  <si>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W0639</t>
  </si>
  <si>
    <t xml:space="preserve">2:15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</si>
  <si>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딤후 </t>
    </r>
    <r>
      <rPr>
        <sz val="10"/>
        <color rgb="FF000000"/>
        <rFont val="Arial"/>
        <family val="0"/>
        <charset val="1"/>
      </rPr>
      <t xml:space="preserve">2:15,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</si>
  <si>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W0640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</si>
  <si>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딤후 </t>
    </r>
    <r>
      <rPr>
        <sz val="10"/>
        <color rgb="FF000000"/>
        <rFont val="Arial"/>
        <family val="0"/>
        <charset val="1"/>
      </rPr>
      <t xml:space="preserve">3:16,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</si>
  <si>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W0641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</si>
  <si>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딤후 </t>
    </r>
    <r>
      <rPr>
        <sz val="10"/>
        <color rgb="FF000000"/>
        <rFont val="Arial"/>
        <family val="0"/>
        <charset val="1"/>
      </rPr>
      <t xml:space="preserve">4:2,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</si>
  <si>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W0642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</si>
  <si>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딤후 </t>
    </r>
    <r>
      <rPr>
        <sz val="10"/>
        <color rgb="FF000000"/>
        <rFont val="Arial"/>
        <family val="0"/>
        <charset val="1"/>
      </rPr>
      <t xml:space="preserve">4:7,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</si>
  <si>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W0643</t>
  </si>
  <si>
    <t xml:space="preserve">디도서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</si>
  <si>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딛 </t>
    </r>
    <r>
      <rPr>
        <sz val="10"/>
        <color rgb="FF000000"/>
        <rFont val="Arial"/>
        <family val="0"/>
        <charset val="1"/>
      </rPr>
      <t xml:space="preserve">2:11,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</si>
  <si>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W0644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</si>
  <si>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딛 </t>
    </r>
    <r>
      <rPr>
        <sz val="10"/>
        <color rgb="FF000000"/>
        <rFont val="Arial"/>
        <family val="0"/>
        <charset val="1"/>
      </rPr>
      <t xml:space="preserve">3:5,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</si>
  <si>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W0645</t>
  </si>
  <si>
    <t xml:space="preserve">3:7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</si>
  <si>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딛 </t>
    </r>
    <r>
      <rPr>
        <sz val="10"/>
        <color rgb="FF000000"/>
        <rFont val="Arial"/>
        <family val="0"/>
        <charset val="1"/>
      </rPr>
      <t xml:space="preserve">3:7,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</si>
  <si>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W0646</t>
  </si>
  <si>
    <t xml:space="preserve">빌레몬서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</si>
  <si>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몬 </t>
    </r>
    <r>
      <rPr>
        <sz val="10"/>
        <color rgb="FF000000"/>
        <rFont val="Arial"/>
        <family val="0"/>
        <charset val="1"/>
      </rPr>
      <t xml:space="preserve">1:16,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</si>
  <si>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W0647</t>
  </si>
  <si>
    <t xml:space="preserve">히브리서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</si>
  <si>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1:3,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</si>
  <si>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W0648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</si>
  <si>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2:18,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</si>
  <si>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W0649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</si>
  <si>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4:12,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</si>
  <si>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W0650</t>
  </si>
  <si>
    <t xml:space="preserve">4:15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</si>
  <si>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4:15,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</si>
  <si>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W0651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</si>
  <si>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4:16,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</si>
  <si>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W0652</t>
  </si>
  <si>
    <t xml:space="preserve">6:19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</si>
  <si>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6:19,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</si>
  <si>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W0653</t>
  </si>
  <si>
    <t xml:space="preserve">7:25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</si>
  <si>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7:25,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</si>
  <si>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W0654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</si>
  <si>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10:23,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</si>
  <si>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W0655</t>
  </si>
  <si>
    <t xml:space="preserve">10:24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</si>
  <si>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10:24,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</si>
  <si>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W0656</t>
  </si>
  <si>
    <t xml:space="preserve">10:25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</si>
  <si>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10:25,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</si>
  <si>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W0657</t>
  </si>
  <si>
    <t xml:space="preserve">11:1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</si>
  <si>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11:1,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</si>
  <si>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W0658</t>
  </si>
  <si>
    <t xml:space="preserve">11:6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</si>
  <si>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11:6,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</si>
  <si>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W0659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</si>
  <si>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12:1,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</si>
  <si>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W0660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</si>
  <si>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12:2,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</si>
  <si>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W0661</t>
  </si>
  <si>
    <t xml:space="preserve">12:11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</si>
  <si>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12:11,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</si>
  <si>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W0662</t>
  </si>
  <si>
    <t xml:space="preserve">13:5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</si>
  <si>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13:5,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</si>
  <si>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W0663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</si>
  <si>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13:8,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</si>
  <si>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W0664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</si>
  <si>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히 </t>
    </r>
    <r>
      <rPr>
        <sz val="10"/>
        <color rgb="FF000000"/>
        <rFont val="Arial"/>
        <family val="0"/>
        <charset val="1"/>
      </rPr>
      <t xml:space="preserve">13:15,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</si>
  <si>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W0665</t>
  </si>
  <si>
    <t xml:space="preserve">야고보서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</si>
  <si>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1:2,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</si>
  <si>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W0666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</si>
  <si>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1:5,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</si>
  <si>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W0667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</si>
  <si>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1:12,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</si>
  <si>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W0668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</si>
  <si>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1:17,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</si>
  <si>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W0669</t>
  </si>
  <si>
    <t xml:space="preserve">1:19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</si>
  <si>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1:19,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</si>
  <si>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W0670</t>
  </si>
  <si>
    <t xml:space="preserve">1:22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</si>
  <si>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1:22,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</si>
  <si>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W0671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</si>
  <si>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2:17,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</si>
  <si>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W0672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</si>
  <si>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3:17,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</si>
  <si>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W0673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</si>
  <si>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4:7,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</si>
  <si>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W0674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</si>
  <si>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4:8,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</si>
  <si>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W0675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</si>
  <si>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4:14,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</si>
  <si>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W0676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</si>
  <si>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5:16,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</si>
  <si>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W0677</t>
  </si>
  <si>
    <t xml:space="preserve">베드로전서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</si>
  <si>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벧전 </t>
    </r>
    <r>
      <rPr>
        <sz val="10"/>
        <color rgb="FF000000"/>
        <rFont val="Arial"/>
        <family val="0"/>
        <charset val="1"/>
      </rPr>
      <t xml:space="preserve">1:3,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</si>
  <si>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W0678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</si>
  <si>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벧전 </t>
    </r>
    <r>
      <rPr>
        <sz val="10"/>
        <color rgb="FF000000"/>
        <rFont val="Arial"/>
        <family val="0"/>
        <charset val="1"/>
      </rPr>
      <t xml:space="preserve">1:16,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</si>
  <si>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W0679</t>
  </si>
  <si>
    <t xml:space="preserve">1:24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</si>
  <si>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벧전 </t>
    </r>
    <r>
      <rPr>
        <sz val="10"/>
        <color rgb="FF000000"/>
        <rFont val="Arial"/>
        <family val="0"/>
        <charset val="1"/>
      </rPr>
      <t xml:space="preserve">1:24,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</si>
  <si>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W0680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</si>
  <si>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벧전 </t>
    </r>
    <r>
      <rPr>
        <sz val="10"/>
        <color rgb="FF000000"/>
        <rFont val="Arial"/>
        <family val="0"/>
        <charset val="1"/>
      </rPr>
      <t xml:space="preserve">2:9,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</si>
  <si>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W0681</t>
  </si>
  <si>
    <t xml:space="preserve">2:24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</si>
  <si>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벧전 </t>
    </r>
    <r>
      <rPr>
        <sz val="10"/>
        <color rgb="FF000000"/>
        <rFont val="Arial"/>
        <family val="0"/>
        <charset val="1"/>
      </rPr>
      <t xml:space="preserve">2:24,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</si>
  <si>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W0682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</si>
  <si>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벧전 </t>
    </r>
    <r>
      <rPr>
        <sz val="10"/>
        <color rgb="FF000000"/>
        <rFont val="Arial"/>
        <family val="0"/>
        <charset val="1"/>
      </rPr>
      <t xml:space="preserve">3:15,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</si>
  <si>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W0683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</si>
  <si>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벧전 </t>
    </r>
    <r>
      <rPr>
        <sz val="10"/>
        <color rgb="FF000000"/>
        <rFont val="Arial"/>
        <family val="0"/>
        <charset val="1"/>
      </rPr>
      <t xml:space="preserve">4:8,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</si>
  <si>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W0684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</si>
  <si>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벧전 </t>
    </r>
    <r>
      <rPr>
        <sz val="10"/>
        <color rgb="FF000000"/>
        <rFont val="Arial"/>
        <family val="0"/>
        <charset val="1"/>
      </rPr>
      <t xml:space="preserve">4:10,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</si>
  <si>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W0685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</si>
  <si>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벧전 </t>
    </r>
    <r>
      <rPr>
        <sz val="10"/>
        <color rgb="FF000000"/>
        <rFont val="Arial"/>
        <family val="0"/>
        <charset val="1"/>
      </rPr>
      <t xml:space="preserve">5:5,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</si>
  <si>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W0686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</si>
  <si>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벧전 </t>
    </r>
    <r>
      <rPr>
        <sz val="10"/>
        <color rgb="FF000000"/>
        <rFont val="Arial"/>
        <family val="0"/>
        <charset val="1"/>
      </rPr>
      <t xml:space="preserve">5:7,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</si>
  <si>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W0687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</si>
  <si>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벧전 </t>
    </r>
    <r>
      <rPr>
        <sz val="10"/>
        <color rgb="FF000000"/>
        <rFont val="Arial"/>
        <family val="0"/>
        <charset val="1"/>
      </rPr>
      <t xml:space="preserve">5:8,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</si>
  <si>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W0688</t>
  </si>
  <si>
    <t xml:space="preserve">5:10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</si>
  <si>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벧전 </t>
    </r>
    <r>
      <rPr>
        <sz val="10"/>
        <color rgb="FF000000"/>
        <rFont val="Arial"/>
        <family val="0"/>
        <charset val="1"/>
      </rPr>
      <t xml:space="preserve">5:10,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</si>
  <si>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W0689</t>
  </si>
  <si>
    <t xml:space="preserve">베드로후서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</si>
  <si>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벧후 </t>
    </r>
    <r>
      <rPr>
        <sz val="10"/>
        <color rgb="FF000000"/>
        <rFont val="Arial"/>
        <family val="0"/>
        <charset val="1"/>
      </rPr>
      <t xml:space="preserve">1:3,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</si>
  <si>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W0690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</si>
  <si>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벧후 </t>
    </r>
    <r>
      <rPr>
        <sz val="10"/>
        <color rgb="FF000000"/>
        <rFont val="Arial"/>
        <family val="0"/>
        <charset val="1"/>
      </rPr>
      <t xml:space="preserve">1:21,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</si>
  <si>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W0691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</si>
  <si>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벧후 </t>
    </r>
    <r>
      <rPr>
        <sz val="10"/>
        <color rgb="FF000000"/>
        <rFont val="Arial"/>
        <family val="0"/>
        <charset val="1"/>
      </rPr>
      <t xml:space="preserve">3:8,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</si>
  <si>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C00000"/>
        <rFont val="WenQuanYi Zen Hei"/>
        <family val="2"/>
      </rPr>
      <t xml:space="preserve">하나님의 시간은 우리와 다르다는 뜻이며</t>
    </r>
    <r>
      <rPr>
        <sz val="10"/>
        <color rgb="FFC00000"/>
        <rFont val="Arial"/>
        <family val="0"/>
        <charset val="1"/>
      </rPr>
      <t xml:space="preserve">, </t>
    </r>
    <r>
      <rPr>
        <sz val="10"/>
        <color rgb="FFC00000"/>
        <rFont val="WenQuanYi Zen Hei"/>
        <family val="2"/>
      </rPr>
      <t xml:space="preserve">재림 날짜를 계산하는 공식이 아닙니다</t>
    </r>
    <r>
      <rPr>
        <sz val="10"/>
        <color rgb="FFC00000"/>
        <rFont val="Arial"/>
        <family val="0"/>
        <charset val="1"/>
      </rPr>
      <t xml:space="preserve">.
</t>
    </r>
    <r>
      <rPr>
        <sz val="10"/>
        <color rgb="FFC00000"/>
        <rFont val="WenQuanYi Zen Hei"/>
        <family val="2"/>
      </rPr>
      <t xml:space="preserve">성경 본문</t>
    </r>
    <r>
      <rPr>
        <sz val="10"/>
        <color rgb="FFC00000"/>
        <rFont val="Arial"/>
        <family val="0"/>
        <charset val="1"/>
      </rPr>
      <t xml:space="preserve">: </t>
    </r>
    <r>
      <rPr>
        <sz val="10"/>
        <color rgb="FFC00000"/>
        <rFont val="WenQuanYi Zen Hei"/>
        <family val="2"/>
      </rPr>
      <t xml:space="preserve">개역한글판</t>
    </r>
  </si>
  <si>
    <t xml:space="preserve">W0692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</si>
  <si>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벧후 </t>
    </r>
    <r>
      <rPr>
        <sz val="10"/>
        <color rgb="FF000000"/>
        <rFont val="Arial"/>
        <family val="0"/>
        <charset val="1"/>
      </rPr>
      <t xml:space="preserve">3:9,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</si>
  <si>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W0693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</si>
  <si>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벧후 </t>
    </r>
    <r>
      <rPr>
        <sz val="10"/>
        <color rgb="FF000000"/>
        <rFont val="Arial"/>
        <family val="0"/>
        <charset val="1"/>
      </rPr>
      <t xml:space="preserve">3:18,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</si>
  <si>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W0694</t>
  </si>
  <si>
    <t xml:space="preserve">요한일서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</si>
  <si>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요일 </t>
    </r>
    <r>
      <rPr>
        <sz val="10"/>
        <color rgb="FF000000"/>
        <rFont val="Arial"/>
        <family val="0"/>
        <charset val="1"/>
      </rPr>
      <t xml:space="preserve">1:5,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</si>
  <si>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W0695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</si>
  <si>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요일 </t>
    </r>
    <r>
      <rPr>
        <sz val="10"/>
        <color rgb="FF000000"/>
        <rFont val="Arial"/>
        <family val="0"/>
        <charset val="1"/>
      </rPr>
      <t xml:space="preserve">1:9,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</si>
  <si>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W0696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</si>
  <si>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요일 </t>
    </r>
    <r>
      <rPr>
        <sz val="10"/>
        <color rgb="FF000000"/>
        <rFont val="Arial"/>
        <family val="0"/>
        <charset val="1"/>
      </rPr>
      <t xml:space="preserve">2:1,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</si>
  <si>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W0697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</si>
  <si>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요일 </t>
    </r>
    <r>
      <rPr>
        <sz val="10"/>
        <color rgb="FF000000"/>
        <rFont val="Arial"/>
        <family val="0"/>
        <charset val="1"/>
      </rPr>
      <t xml:space="preserve">2:17,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</si>
  <si>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W0698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</si>
  <si>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요일 </t>
    </r>
    <r>
      <rPr>
        <sz val="10"/>
        <color rgb="FF000000"/>
        <rFont val="Arial"/>
        <family val="0"/>
        <charset val="1"/>
      </rPr>
      <t xml:space="preserve">3:1,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</si>
  <si>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W0699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</si>
  <si>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요일 </t>
    </r>
    <r>
      <rPr>
        <sz val="10"/>
        <color rgb="FF000000"/>
        <rFont val="Arial"/>
        <family val="0"/>
        <charset val="1"/>
      </rPr>
      <t xml:space="preserve">3:18,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</si>
  <si>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W0700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</si>
  <si>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요일 </t>
    </r>
    <r>
      <rPr>
        <sz val="10"/>
        <color rgb="FF000000"/>
        <rFont val="Arial"/>
        <family val="0"/>
        <charset val="1"/>
      </rPr>
      <t xml:space="preserve">4:4,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</si>
  <si>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W0701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</si>
  <si>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요일 </t>
    </r>
    <r>
      <rPr>
        <sz val="10"/>
        <color rgb="FF000000"/>
        <rFont val="Arial"/>
        <family val="0"/>
        <charset val="1"/>
      </rPr>
      <t xml:space="preserve">4:7,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</si>
  <si>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W0702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</si>
  <si>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요일 </t>
    </r>
    <r>
      <rPr>
        <sz val="10"/>
        <color rgb="FF000000"/>
        <rFont val="Arial"/>
        <family val="0"/>
        <charset val="1"/>
      </rPr>
      <t xml:space="preserve">4:8,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</si>
  <si>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W0703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</si>
  <si>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요일 </t>
    </r>
    <r>
      <rPr>
        <sz val="10"/>
        <color rgb="FF000000"/>
        <rFont val="Arial"/>
        <family val="0"/>
        <charset val="1"/>
      </rPr>
      <t xml:space="preserve">4:10,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</si>
  <si>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W0704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</si>
  <si>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요일 </t>
    </r>
    <r>
      <rPr>
        <sz val="10"/>
        <color rgb="FF000000"/>
        <rFont val="Arial"/>
        <family val="0"/>
        <charset val="1"/>
      </rPr>
      <t xml:space="preserve">4:18,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</si>
  <si>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W0705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</si>
  <si>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요일 </t>
    </r>
    <r>
      <rPr>
        <sz val="10"/>
        <color rgb="FF000000"/>
        <rFont val="Arial"/>
        <family val="0"/>
        <charset val="1"/>
      </rPr>
      <t xml:space="preserve">4:19,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</si>
  <si>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W0706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</si>
  <si>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요일 </t>
    </r>
    <r>
      <rPr>
        <sz val="10"/>
        <color rgb="FF000000"/>
        <rFont val="Arial"/>
        <family val="0"/>
        <charset val="1"/>
      </rPr>
      <t xml:space="preserve">5:4,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</si>
  <si>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W0707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</si>
  <si>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요일 </t>
    </r>
    <r>
      <rPr>
        <sz val="10"/>
        <color rgb="FF000000"/>
        <rFont val="Arial"/>
        <family val="0"/>
        <charset val="1"/>
      </rPr>
      <t xml:space="preserve">5:13,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</si>
  <si>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W0708</t>
  </si>
  <si>
    <t xml:space="preserve">요한이서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</si>
  <si>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요이 </t>
    </r>
    <r>
      <rPr>
        <sz val="10"/>
        <color rgb="FF000000"/>
        <rFont val="Arial"/>
        <family val="0"/>
        <charset val="1"/>
      </rPr>
      <t xml:space="preserve">1:6,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</si>
  <si>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W0709</t>
  </si>
  <si>
    <t xml:space="preserve">요한삼서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</si>
  <si>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요삼 </t>
    </r>
    <r>
      <rPr>
        <sz val="10"/>
        <color rgb="FF000000"/>
        <rFont val="Arial"/>
        <family val="0"/>
        <charset val="1"/>
      </rPr>
      <t xml:space="preserve">1:4,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</si>
  <si>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W0710</t>
  </si>
  <si>
    <t xml:space="preserve">유다서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</si>
  <si>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유 </t>
    </r>
    <r>
      <rPr>
        <sz val="10"/>
        <color rgb="FF000000"/>
        <rFont val="Arial"/>
        <family val="0"/>
        <charset val="1"/>
      </rPr>
      <t xml:space="preserve">1:21,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</si>
  <si>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W0711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</si>
  <si>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유 </t>
    </r>
    <r>
      <rPr>
        <sz val="10"/>
        <color rgb="FF000000"/>
        <rFont val="Arial"/>
        <family val="0"/>
        <charset val="1"/>
      </rPr>
      <t xml:space="preserve">1:24,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</si>
  <si>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W0712</t>
  </si>
  <si>
    <t xml:space="preserve">요한계시록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</si>
  <si>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1:3,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</si>
  <si>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W0713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</si>
  <si>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2:10,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</si>
  <si>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W0714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</si>
  <si>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3:20,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</si>
  <si>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W0715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</si>
  <si>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4:8,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</si>
  <si>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W0716</t>
  </si>
  <si>
    <t xml:space="preserve">4:11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</si>
  <si>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4:11,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</si>
  <si>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W0717</t>
  </si>
  <si>
    <t xml:space="preserve">5:12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</si>
  <si>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5:12,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</si>
  <si>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W0718</t>
  </si>
  <si>
    <t xml:space="preserve">7:17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</si>
  <si>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7:17,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</si>
  <si>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W0719</t>
  </si>
  <si>
    <t xml:space="preserve">11:15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</si>
  <si>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11:15,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</si>
  <si>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W0720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</si>
  <si>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12:11,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</si>
  <si>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W0721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</si>
  <si>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14:13,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</si>
  <si>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W0722</t>
  </si>
  <si>
    <t xml:space="preserve">19:6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</si>
  <si>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19:6,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</si>
  <si>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W0723</t>
  </si>
  <si>
    <t xml:space="preserve">19:16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</si>
  <si>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19:16,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</si>
  <si>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W0724</t>
  </si>
  <si>
    <t xml:space="preserve">21:3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</si>
  <si>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21:3,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</si>
  <si>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W0725</t>
  </si>
  <si>
    <t xml:space="preserve">21:4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</si>
  <si>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21:4,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</si>
  <si>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W0726</t>
  </si>
  <si>
    <t xml:space="preserve">21:5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</si>
  <si>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21:5,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</si>
  <si>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W0727</t>
  </si>
  <si>
    <t xml:space="preserve">22:13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</si>
  <si>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22:13,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</si>
  <si>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t xml:space="preserve">W0728</t>
  </si>
  <si>
    <t xml:space="preserve">22:20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</si>
  <si>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계 </t>
    </r>
    <r>
      <rPr>
        <sz val="10"/>
        <color rgb="FF000000"/>
        <rFont val="Arial"/>
        <family val="0"/>
        <charset val="1"/>
      </rPr>
      <t xml:space="preserve">22:20,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</si>
  <si>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구약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신약</t>
    </r>
  </si>
  <si>
    <t xml:space="preserve">구절 수</t>
  </si>
  <si>
    <t xml:space="preserve">장 수</t>
  </si>
  <si>
    <t xml:space="preserve">첫 업로드일</t>
  </si>
  <si>
    <t xml:space="preserve">결과</t>
  </si>
  <si>
    <t xml:space="preserve">누락 점검</t>
  </si>
  <si>
    <r>
      <rPr>
        <sz val="10"/>
        <color rgb="FF595959"/>
        <rFont val="WenQuanYi Zen Hei"/>
        <family val="2"/>
      </rPr>
      <t xml:space="preserve">결과가 모두 </t>
    </r>
    <r>
      <rPr>
        <sz val="10"/>
        <color rgb="FF595959"/>
        <rFont val="Arial"/>
        <family val="0"/>
        <charset val="1"/>
      </rPr>
      <t xml:space="preserve">'</t>
    </r>
    <r>
      <rPr>
        <sz val="10"/>
        <color rgb="FF595959"/>
        <rFont val="WenQuanYi Zen Hei"/>
        <family val="2"/>
      </rPr>
      <t xml:space="preserve">정상</t>
    </r>
    <r>
      <rPr>
        <sz val="10"/>
        <color rgb="FF595959"/>
        <rFont val="Arial"/>
        <family val="0"/>
        <charset val="1"/>
      </rPr>
      <t xml:space="preserve">'</t>
    </r>
    <r>
      <rPr>
        <sz val="10"/>
        <color rgb="FF595959"/>
        <rFont val="WenQuanYi Zen Hei"/>
        <family val="2"/>
      </rPr>
      <t xml:space="preserve">이어야 합니다</t>
    </r>
    <r>
      <rPr>
        <sz val="10"/>
        <color rgb="FF595959"/>
        <rFont val="Arial"/>
        <family val="0"/>
        <charset val="1"/>
      </rPr>
      <t xml:space="preserve">.</t>
    </r>
  </si>
  <si>
    <t xml:space="preserve">점검 항목</t>
  </si>
  <si>
    <t xml:space="preserve">항목</t>
  </si>
  <si>
    <t xml:space="preserve">현재 값</t>
  </si>
  <si>
    <t xml:space="preserve">기대 값</t>
  </si>
  <si>
    <t xml:space="preserve">구약 편수</t>
  </si>
  <si>
    <t xml:space="preserve">신약 편수</t>
  </si>
  <si>
    <t xml:space="preserve">구절이 없는 책</t>
  </si>
  <si>
    <t xml:space="preserve">포함된 책 수</t>
  </si>
  <si>
    <t xml:space="preserve">중복 구절</t>
  </si>
  <si>
    <r>
      <rPr>
        <sz val="10"/>
        <color rgb="FF000000"/>
        <rFont val="WenQuanYi Zen Hei"/>
        <family val="2"/>
      </rPr>
      <t xml:space="preserve">같은 날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같은 시간 겹친 업로드</t>
    </r>
  </si>
  <si>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개월</t>
    </r>
    <r>
      <rPr>
        <sz val="10"/>
        <color rgb="FF000000"/>
        <rFont val="Arial"/>
        <family val="0"/>
        <charset val="1"/>
      </rPr>
      <t xml:space="preserve">(182</t>
    </r>
    <r>
      <rPr>
        <sz val="10"/>
        <color rgb="FF000000"/>
        <rFont val="WenQuanYi Zen Hei"/>
        <family val="2"/>
      </rPr>
      <t xml:space="preserve">일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안에 끝나는가 </t>
    </r>
    <r>
      <rPr>
        <sz val="10"/>
        <color rgb="FF000000"/>
        <rFont val="Arial"/>
        <family val="0"/>
        <charset val="1"/>
      </rPr>
      <t xml:space="preserve">(1 = </t>
    </r>
    <r>
      <rPr>
        <sz val="10"/>
        <color rgb="FF000000"/>
        <rFont val="WenQuanYi Zen Hei"/>
        <family val="2"/>
      </rPr>
      <t xml:space="preserve">예</t>
    </r>
    <r>
      <rPr>
        <sz val="10"/>
        <color rgb="FF000000"/>
        <rFont val="Arial"/>
        <family val="0"/>
        <charset val="1"/>
      </rPr>
      <t xml:space="preserve">)</t>
    </r>
  </si>
  <si>
    <t xml:space="preserve">트랙 회차 중복</t>
  </si>
  <si>
    <t xml:space="preserve">화면 배경이 정해지지 않은 구절</t>
  </si>
  <si>
    <t xml:space="preserve">전체 결과</t>
  </si>
  <si>
    <r>
      <rPr>
        <b val="true"/>
        <sz val="10"/>
        <color rgb="FF000000"/>
        <rFont val="WenQuanYi Zen Hei"/>
        <family val="2"/>
      </rPr>
      <t xml:space="preserve">참고</t>
    </r>
    <r>
      <rPr>
        <b val="true"/>
        <sz val="10"/>
        <color rgb="FF000000"/>
        <rFont val="Arial"/>
        <family val="0"/>
        <charset val="1"/>
      </rPr>
      <t xml:space="preserve">: </t>
    </r>
    <r>
      <rPr>
        <b val="true"/>
        <sz val="10"/>
        <color rgb="FF000000"/>
        <rFont val="WenQuanYi Zen Hei"/>
        <family val="2"/>
      </rPr>
      <t xml:space="preserve">본문 입력 진행</t>
    </r>
  </si>
  <si>
    <t xml:space="preserve">본문이 아직 입력되지 않은 구절</t>
  </si>
  <si>
    <t xml:space="preserve">본문 대조 완료</t>
  </si>
  <si>
    <t xml:space="preserve">말씀 숏폼 제작 템플릿</t>
  </si>
  <si>
    <r>
      <rPr>
        <sz val="10"/>
        <color rgb="FF595959"/>
        <rFont val="WenQuanYi Zen Hei"/>
        <family val="2"/>
      </rPr>
      <t xml:space="preserve">말씀에만 집중</t>
    </r>
    <r>
      <rPr>
        <sz val="10"/>
        <color rgb="FF595959"/>
        <rFont val="Arial"/>
        <family val="0"/>
        <charset val="1"/>
      </rPr>
      <t xml:space="preserve">: </t>
    </r>
    <r>
      <rPr>
        <sz val="10"/>
        <color rgb="FF595959"/>
        <rFont val="WenQuanYi Zen Hei"/>
        <family val="2"/>
      </rPr>
      <t xml:space="preserve">해설</t>
    </r>
    <r>
      <rPr>
        <sz val="10"/>
        <color rgb="FF595959"/>
        <rFont val="Arial"/>
        <family val="0"/>
        <charset val="1"/>
      </rPr>
      <t xml:space="preserve">·</t>
    </r>
    <r>
      <rPr>
        <sz val="10"/>
        <color rgb="FF595959"/>
        <rFont val="WenQuanYi Zen Hei"/>
        <family val="2"/>
      </rPr>
      <t xml:space="preserve">진행자 없이 구절과 낭독만</t>
    </r>
  </si>
  <si>
    <r>
      <rPr>
        <b val="true"/>
        <sz val="12"/>
        <color rgb="FFFFFFFF"/>
        <rFont val="Arial"/>
        <family val="0"/>
        <charset val="1"/>
      </rPr>
      <t xml:space="preserve">1. </t>
    </r>
    <r>
      <rPr>
        <b val="true"/>
        <sz val="12"/>
        <color rgb="FFFFFFFF"/>
        <rFont val="WenQuanYi Zen Hei"/>
        <family val="2"/>
      </rPr>
      <t xml:space="preserve">영상 구성 </t>
    </r>
    <r>
      <rPr>
        <b val="true"/>
        <sz val="12"/>
        <color rgb="FFFFFFFF"/>
        <rFont val="Arial"/>
        <family val="0"/>
        <charset val="1"/>
      </rPr>
      <t xml:space="preserve">(15~25</t>
    </r>
    <r>
      <rPr>
        <b val="true"/>
        <sz val="12"/>
        <color rgb="FFFFFFFF"/>
        <rFont val="WenQuanYi Zen Hei"/>
        <family val="2"/>
      </rPr>
      <t xml:space="preserve">초</t>
    </r>
    <r>
      <rPr>
        <b val="true"/>
        <sz val="12"/>
        <color rgb="FFFFFFFF"/>
        <rFont val="Arial"/>
        <family val="0"/>
        <charset val="1"/>
      </rPr>
      <t xml:space="preserve">)</t>
    </r>
  </si>
  <si>
    <t xml:space="preserve">구간</t>
  </si>
  <si>
    <t xml:space="preserve">내용</t>
  </si>
  <si>
    <t xml:space="preserve">연결 칸</t>
  </si>
  <si>
    <r>
      <rPr>
        <sz val="10"/>
        <color rgb="FF000000"/>
        <rFont val="Arial"/>
        <family val="0"/>
        <charset val="1"/>
      </rPr>
      <t xml:space="preserve">0~1</t>
    </r>
    <r>
      <rPr>
        <sz val="10"/>
        <color rgb="FF000000"/>
        <rFont val="WenQuanYi Zen Hei"/>
        <family val="2"/>
      </rPr>
      <t xml:space="preserve">초</t>
    </r>
  </si>
  <si>
    <r>
      <rPr>
        <sz val="10"/>
        <color rgb="FF000000"/>
        <rFont val="WenQuanYi Zen Hei"/>
        <family val="2"/>
      </rPr>
      <t xml:space="preserve">배경 화면이 열리며 시그니처 사운드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프로젝트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과 다른 짧은 소리</t>
    </r>
    <r>
      <rPr>
        <sz val="10"/>
        <color rgb="FF000000"/>
        <rFont val="Arial"/>
        <family val="0"/>
        <charset val="1"/>
      </rPr>
      <t xml:space="preserve">)</t>
    </r>
  </si>
  <si>
    <t xml:space="preserve">첫 프레임부터 구절 첫 줄이 보이게 해 넘김을 줄임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</si>
  <si>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초</t>
    </r>
    <r>
      <rPr>
        <sz val="10"/>
        <color rgb="FF000000"/>
        <rFont val="Arial"/>
        <family val="0"/>
        <charset val="1"/>
      </rPr>
      <t xml:space="preserve">~</t>
    </r>
    <r>
      <rPr>
        <sz val="10"/>
        <color rgb="FF000000"/>
        <rFont val="WenQuanYi Zen Hei"/>
        <family val="2"/>
      </rPr>
      <t xml:space="preserve">끝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초 전</t>
    </r>
  </si>
  <si>
    <r>
      <rPr>
        <sz val="10"/>
        <color rgb="FF000000"/>
        <rFont val="WenQuanYi Zen Hei"/>
        <family val="2"/>
      </rPr>
      <t xml:space="preserve">구절을 한 줄씩 자막으로 띄우며 차분히 낭독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해설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배경 설명 없음</t>
    </r>
  </si>
  <si>
    <r>
      <rPr>
        <sz val="10"/>
        <color rgb="FF000000"/>
        <rFont val="WenQuanYi Zen Hei"/>
        <family val="2"/>
      </rPr>
      <t xml:space="preserve">본문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</si>
  <si>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권장 길이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초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칸 참고</t>
    </r>
  </si>
  <si>
    <r>
      <rPr>
        <sz val="10"/>
        <color rgb="FF000000"/>
        <rFont val="WenQuanYi Zen Hei"/>
        <family val="2"/>
      </rPr>
      <t xml:space="preserve">마지막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초</t>
    </r>
  </si>
  <si>
    <r>
      <rPr>
        <sz val="10"/>
        <color rgb="FF000000"/>
        <rFont val="WenQuanYi Zen Hei"/>
        <family val="2"/>
      </rPr>
      <t xml:space="preserve">구절 전체 자막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출처 </t>
    </r>
    <r>
      <rPr>
        <sz val="10"/>
        <color rgb="FF000000"/>
        <rFont val="Arial"/>
        <family val="0"/>
        <charset val="1"/>
      </rPr>
      <t xml:space="preserve">'(</t>
    </r>
    <r>
      <rPr>
        <sz val="10"/>
        <color rgb="FF000000"/>
        <rFont val="WenQuanYi Zen Hei"/>
        <family val="2"/>
      </rPr>
      <t xml:space="preserve">창 </t>
    </r>
    <r>
      <rPr>
        <sz val="10"/>
        <color rgb="FF000000"/>
        <rFont val="Arial"/>
        <family val="0"/>
        <charset val="1"/>
      </rPr>
      <t xml:space="preserve">1:1, </t>
    </r>
    <r>
      <rPr>
        <sz val="10"/>
        <color rgb="FF000000"/>
        <rFont val="WenQuanYi Zen Hei"/>
        <family val="2"/>
      </rPr>
      <t xml:space="preserve">개역한글</t>
    </r>
    <r>
      <rPr>
        <sz val="10"/>
        <color rgb="FF000000"/>
        <rFont val="Arial"/>
        <family val="0"/>
        <charset val="1"/>
      </rPr>
      <t xml:space="preserve">)'</t>
    </r>
  </si>
  <si>
    <t xml:space="preserve">멈춰서 다시 읽을 시간</t>
  </si>
  <si>
    <t xml:space="preserve">반복 재생</t>
  </si>
  <si>
    <t xml:space="preserve">마지막 화면에서 첫 화면으로 자연스럽게 이어지게</t>
  </si>
  <si>
    <t xml:space="preserve">-</t>
  </si>
  <si>
    <t xml:space="preserve">반복 시청 유도</t>
  </si>
  <si>
    <r>
      <rPr>
        <b val="true"/>
        <sz val="12"/>
        <color rgb="FFFFFFFF"/>
        <rFont val="Arial"/>
        <family val="0"/>
        <charset val="1"/>
      </rPr>
      <t xml:space="preserve">2. </t>
    </r>
    <r>
      <rPr>
        <b val="true"/>
        <sz val="12"/>
        <color rgb="FFFFFFFF"/>
        <rFont val="WenQuanYi Zen Hei"/>
        <family val="2"/>
      </rPr>
      <t xml:space="preserve">화면 배경 기준 </t>
    </r>
    <r>
      <rPr>
        <b val="true"/>
        <sz val="12"/>
        <color rgb="FFFFFFFF"/>
        <rFont val="Arial"/>
        <family val="0"/>
        <charset val="1"/>
      </rPr>
      <t xml:space="preserve">(</t>
    </r>
    <r>
      <rPr>
        <b val="true"/>
        <sz val="12"/>
        <color rgb="FFFFFFFF"/>
        <rFont val="WenQuanYi Zen Hei"/>
        <family val="2"/>
      </rPr>
      <t xml:space="preserve">사람 얼굴</t>
    </r>
    <r>
      <rPr>
        <b val="true"/>
        <sz val="12"/>
        <color rgb="FFFFFFFF"/>
        <rFont val="Arial"/>
        <family val="0"/>
        <charset val="1"/>
      </rPr>
      <t xml:space="preserve">·</t>
    </r>
    <r>
      <rPr>
        <b val="true"/>
        <sz val="12"/>
        <color rgb="FFFFFFFF"/>
        <rFont val="WenQuanYi Zen Hei"/>
        <family val="2"/>
      </rPr>
      <t xml:space="preserve">하나님 형상 없이 풍경과 빛</t>
    </r>
    <r>
      <rPr>
        <b val="true"/>
        <sz val="12"/>
        <color rgb="FFFFFFFF"/>
        <rFont val="Arial"/>
        <family val="0"/>
        <charset val="1"/>
      </rPr>
      <t xml:space="preserve">)</t>
    </r>
  </si>
  <si>
    <t xml:space="preserve">배경 분류</t>
  </si>
  <si>
    <t xml:space="preserve">장면</t>
  </si>
  <si>
    <t xml:space="preserve">해당 주제</t>
  </si>
  <si>
    <r>
      <rPr>
        <sz val="10"/>
        <color rgb="FF000000"/>
        <rFont val="WenQuanYi Zen Hei"/>
        <family val="2"/>
      </rPr>
      <t xml:space="preserve">해 뜨는 지평선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구름 사이로 퍼지는 새벽빛</t>
    </r>
  </si>
  <si>
    <r>
      <rPr>
        <sz val="10"/>
        <color rgb="FF000000"/>
        <rFont val="WenQuanYi Zen Hei"/>
        <family val="2"/>
      </rPr>
      <t xml:space="preserve">빛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소망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부활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새 마음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생명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회복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 나라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기쁨</t>
    </r>
  </si>
  <si>
    <r>
      <rPr>
        <sz val="10"/>
        <color rgb="FF000000"/>
        <rFont val="WenQuanYi Zen Hei"/>
        <family val="2"/>
      </rPr>
      <t xml:space="preserve">잔잔한 호수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맑은 시냇물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물 위의 햇빛</t>
    </r>
  </si>
  <si>
    <r>
      <rPr>
        <sz val="10"/>
        <color rgb="FF000000"/>
        <rFont val="WenQuanYi Zen Hei"/>
        <family val="2"/>
      </rPr>
      <t xml:space="preserve">평안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위로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치료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은혜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용서</t>
    </r>
  </si>
  <si>
    <r>
      <rPr>
        <sz val="10"/>
        <color rgb="FF000000"/>
        <rFont val="WenQuanYi Zen Hei"/>
        <family val="2"/>
      </rPr>
      <t xml:space="preserve">바위산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광야 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견고한 바위와 넓은 하늘</t>
    </r>
  </si>
  <si>
    <r>
      <rPr>
        <sz val="10"/>
        <color rgb="FF000000"/>
        <rFont val="WenQuanYi Zen Hei"/>
        <family val="2"/>
      </rPr>
      <t xml:space="preserve">믿음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신뢰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담대함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능력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승리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보호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피난처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연단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신실하심</t>
    </r>
  </si>
  <si>
    <r>
      <rPr>
        <sz val="10"/>
        <color rgb="FF000000"/>
        <rFont val="WenQuanYi Zen Hei"/>
        <family val="2"/>
      </rPr>
      <t xml:space="preserve">밀밭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올리브 나무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열매 맺은 가지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씨앗과 새싹</t>
    </r>
  </si>
  <si>
    <r>
      <rPr>
        <sz val="10"/>
        <color rgb="FF000000"/>
        <rFont val="WenQuanYi Zen Hei"/>
        <family val="2"/>
      </rPr>
      <t xml:space="preserve">말씀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지혜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성장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나눔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섬김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공급하심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복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축복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감사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정의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경건</t>
    </r>
  </si>
  <si>
    <r>
      <rPr>
        <sz val="10"/>
        <color rgb="FF000000"/>
        <rFont val="WenQuanYi Zen Hei"/>
        <family val="2"/>
      </rPr>
      <t xml:space="preserve">별이 가득한 밤하늘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구름 위 빛줄기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은하수</t>
    </r>
  </si>
  <si>
    <r>
      <rPr>
        <sz val="10"/>
        <color rgb="FF000000"/>
        <rFont val="WenQuanYi Zen Hei"/>
        <family val="2"/>
      </rPr>
      <t xml:space="preserve">창조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하나님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섭리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거룩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찬양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예배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경외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임재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성령</t>
    </r>
  </si>
  <si>
    <r>
      <rPr>
        <sz val="10"/>
        <color rgb="FF000000"/>
        <rFont val="WenQuanYi Zen Hei"/>
        <family val="2"/>
      </rPr>
      <t xml:space="preserve">굽이진 오솔길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밤길을 밝히는 등불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먼 곳으로 이어진 길</t>
    </r>
  </si>
  <si>
    <r>
      <rPr>
        <sz val="10"/>
        <color rgb="FF000000"/>
        <rFont val="WenQuanYi Zen Hei"/>
        <family val="2"/>
      </rPr>
      <t xml:space="preserve">인도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동행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순종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부르심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헌신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결단</t>
    </r>
  </si>
  <si>
    <r>
      <rPr>
        <sz val="10"/>
        <color rgb="FF000000"/>
        <rFont val="WenQuanYi Zen Hei"/>
        <family val="2"/>
      </rPr>
      <t xml:space="preserve">따뜻한 햇살이 드는 창가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빵과 잔이 놓인 나무 식탁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사람 없이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</si>
  <si>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가정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사랑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연합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교회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마음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겸손</t>
    </r>
  </si>
  <si>
    <r>
      <rPr>
        <sz val="10"/>
        <color rgb="FF000000"/>
        <rFont val="WenQuanYi Zen Hei"/>
        <family val="2"/>
      </rPr>
      <t xml:space="preserve">돌 제단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언덕 위 십자가 실루엣과 빛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열린 두루마리</t>
    </r>
  </si>
  <si>
    <r>
      <rPr>
        <sz val="10"/>
        <color rgb="FF000000"/>
        <rFont val="WenQuanYi Zen Hei"/>
        <family val="2"/>
      </rPr>
      <t xml:space="preserve">기도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회개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언약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속죄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구원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복음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자유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계명</t>
    </r>
  </si>
  <si>
    <r>
      <rPr>
        <b val="true"/>
        <sz val="12"/>
        <color rgb="FFFFFFFF"/>
        <rFont val="Arial"/>
        <family val="0"/>
        <charset val="1"/>
      </rPr>
      <t xml:space="preserve">3. </t>
    </r>
    <r>
      <rPr>
        <b val="true"/>
        <sz val="12"/>
        <color rgb="FFFFFFFF"/>
        <rFont val="WenQuanYi Zen Hei"/>
        <family val="2"/>
      </rPr>
      <t xml:space="preserve">자막</t>
    </r>
    <r>
      <rPr>
        <b val="true"/>
        <sz val="12"/>
        <color rgb="FFFFFFFF"/>
        <rFont val="Arial"/>
        <family val="0"/>
        <charset val="1"/>
      </rPr>
      <t xml:space="preserve">·</t>
    </r>
    <r>
      <rPr>
        <b val="true"/>
        <sz val="12"/>
        <color rgb="FFFFFFFF"/>
        <rFont val="WenQuanYi Zen Hei"/>
        <family val="2"/>
      </rPr>
      <t xml:space="preserve">음성</t>
    </r>
  </si>
  <si>
    <t xml:space="preserve">기준</t>
  </si>
  <si>
    <t xml:space="preserve">자막</t>
  </si>
  <si>
    <r>
      <rPr>
        <sz val="10"/>
        <color rgb="FF000000"/>
        <rFont val="WenQuanYi Zen Hei"/>
        <family val="2"/>
      </rPr>
      <t xml:space="preserve">굵은 명조 또는 고딕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한 줄 </t>
    </r>
    <r>
      <rPr>
        <sz val="10"/>
        <color rgb="FF000000"/>
        <rFont val="Arial"/>
        <family val="0"/>
        <charset val="1"/>
      </rPr>
      <t xml:space="preserve">12~14</t>
    </r>
    <r>
      <rPr>
        <sz val="10"/>
        <color rgb="FF000000"/>
        <rFont val="WenQuanYi Zen Hei"/>
        <family val="2"/>
      </rPr>
      <t xml:space="preserve">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화면 가운데</t>
    </r>
  </si>
  <si>
    <r>
      <rPr>
        <sz val="10"/>
        <color rgb="FF000000"/>
        <rFont val="WenQuanYi Zen Hei"/>
        <family val="2"/>
      </rPr>
      <t xml:space="preserve">개역한글 원문 그대로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띄어쓰기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맞춤법을 현대식으로 고치지 않음</t>
    </r>
  </si>
  <si>
    <t xml:space="preserve">낭독</t>
  </si>
  <si>
    <r>
      <rPr>
        <sz val="10"/>
        <color rgb="FF000000"/>
        <rFont val="WenQuanYi Zen Hei"/>
        <family val="2"/>
      </rPr>
      <t xml:space="preserve">차분하고 또렷한 목소리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명으로 고정</t>
    </r>
  </si>
  <si>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음성은 상업 이용 허용 여부 확인</t>
    </r>
  </si>
  <si>
    <t xml:space="preserve">배경음악</t>
  </si>
  <si>
    <r>
      <rPr>
        <sz val="10"/>
        <color rgb="FF000000"/>
        <rFont val="WenQuanYi Zen Hei"/>
        <family val="2"/>
      </rPr>
      <t xml:space="preserve">잔잔한 저작권 무료 음원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낭독보다 충분히 작게</t>
    </r>
  </si>
  <si>
    <r>
      <rPr>
        <sz val="10"/>
        <color rgb="FF000000"/>
        <rFont val="WenQuanYi Zen Hei"/>
        <family val="2"/>
      </rPr>
      <t xml:space="preserve">찬송가</t>
    </r>
    <r>
      <rPr>
        <sz val="10"/>
        <color rgb="FF000000"/>
        <rFont val="Arial"/>
        <family val="0"/>
        <charset val="1"/>
      </rPr>
      <t xml:space="preserve">·CCM </t>
    </r>
    <r>
      <rPr>
        <sz val="10"/>
        <color rgb="FF000000"/>
        <rFont val="WenQuanYi Zen Hei"/>
        <family val="2"/>
      </rPr>
      <t xml:space="preserve">사용 금지</t>
    </r>
  </si>
  <si>
    <t xml:space="preserve">화면 비율</t>
  </si>
  <si>
    <t xml:space="preserve">1080×1920 (9:16)</t>
  </si>
  <si>
    <r>
      <rPr>
        <sz val="10"/>
        <color rgb="FF000000"/>
        <rFont val="WenQuanYi Zen Hei"/>
        <family val="2"/>
      </rPr>
      <t xml:space="preserve">상단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하단 플랫폼 </t>
    </r>
    <r>
      <rPr>
        <sz val="10"/>
        <color rgb="FF000000"/>
        <rFont val="Arial"/>
        <family val="0"/>
        <charset val="1"/>
      </rPr>
      <t xml:space="preserve">UI </t>
    </r>
    <r>
      <rPr>
        <sz val="10"/>
        <color rgb="FF000000"/>
        <rFont val="WenQuanYi Zen Hei"/>
        <family val="2"/>
      </rPr>
      <t xml:space="preserve">영역에는 자막을 두지 않음</t>
    </r>
  </si>
  <si>
    <r>
      <rPr>
        <b val="true"/>
        <sz val="12"/>
        <color rgb="FFFFFFFF"/>
        <rFont val="Arial"/>
        <family val="0"/>
        <charset val="1"/>
      </rPr>
      <t xml:space="preserve">4. </t>
    </r>
    <r>
      <rPr>
        <b val="true"/>
        <sz val="12"/>
        <color rgb="FFFFFFFF"/>
        <rFont val="WenQuanYi Zen Hei"/>
        <family val="2"/>
      </rPr>
      <t xml:space="preserve">설명란</t>
    </r>
    <r>
      <rPr>
        <b val="true"/>
        <sz val="12"/>
        <color rgb="FFFFFFFF"/>
        <rFont val="Arial"/>
        <family val="0"/>
        <charset val="1"/>
      </rPr>
      <t xml:space="preserve">·</t>
    </r>
    <r>
      <rPr>
        <b val="true"/>
        <sz val="12"/>
        <color rgb="FFFFFFFF"/>
        <rFont val="WenQuanYi Zen Hei"/>
        <family val="2"/>
      </rPr>
      <t xml:space="preserve">게시글</t>
    </r>
  </si>
  <si>
    <t xml:space="preserve">형식</t>
  </si>
  <si>
    <t xml:space="preserve">유튜브 제목</t>
  </si>
  <si>
    <r>
      <rPr>
        <sz val="10"/>
        <color rgb="FF000000"/>
        <rFont val="WenQuanYi Zen Hei"/>
        <family val="2"/>
      </rPr>
      <t xml:space="preserve">구절 앞부분… </t>
    </r>
    <r>
      <rPr>
        <sz val="10"/>
        <color rgb="FF000000"/>
        <rFont val="Arial"/>
        <family val="0"/>
        <charset val="1"/>
      </rPr>
      <t xml:space="preserve">| </t>
    </r>
    <r>
      <rPr>
        <sz val="10"/>
        <color rgb="FF000000"/>
        <rFont val="WenQuanYi Zen Hei"/>
        <family val="2"/>
      </rPr>
      <t xml:space="preserve">장절</t>
    </r>
  </si>
  <si>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제목안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칸 자동 생성</t>
    </r>
  </si>
  <si>
    <r>
      <rPr>
        <sz val="10"/>
        <color rgb="FF000000"/>
        <rFont val="WenQuanYi Zen Hei"/>
        <family val="2"/>
      </rPr>
      <t xml:space="preserve">설명란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인스타 게시글</t>
    </r>
  </si>
  <si>
    <r>
      <rPr>
        <sz val="10"/>
        <color rgb="FF000000"/>
        <rFont val="WenQuanYi Zen Hei"/>
        <family val="2"/>
      </rPr>
      <t xml:space="preserve">구절 전문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장절 </t>
    </r>
    <r>
      <rPr>
        <sz val="10"/>
        <color rgb="FF000000"/>
        <rFont val="Arial"/>
        <family val="0"/>
        <charset val="1"/>
      </rPr>
      <t xml:space="preserve">+ (</t>
    </r>
    <r>
      <rPr>
        <sz val="10"/>
        <color rgb="FF000000"/>
        <rFont val="WenQuanYi Zen Hei"/>
        <family val="2"/>
      </rPr>
      <t xml:space="preserve">필요한 구절만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설명란 문구 </t>
    </r>
    <r>
      <rPr>
        <sz val="10"/>
        <color rgb="FF000000"/>
        <rFont val="Arial"/>
        <family val="0"/>
        <charset val="1"/>
      </rPr>
      <t xml:space="preserve">+ '</t>
    </r>
    <r>
      <rPr>
        <sz val="10"/>
        <color rgb="FF000000"/>
        <rFont val="WenQuanYi Zen Hei"/>
        <family val="2"/>
      </rPr>
      <t xml:space="preserve">성경 본문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개역한글판</t>
    </r>
    <r>
      <rPr>
        <sz val="10"/>
        <color rgb="FF000000"/>
        <rFont val="Arial"/>
        <family val="0"/>
        <charset val="1"/>
      </rPr>
      <t xml:space="preserve">'</t>
    </r>
  </si>
  <si>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설명란 문구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칸이 빨간 글씨인 구절은 문맥 설명을 꼭 넣기</t>
    </r>
  </si>
  <si>
    <r>
      <rPr>
        <sz val="10"/>
        <color rgb="FF000000"/>
        <rFont val="Arial"/>
        <family val="0"/>
        <charset val="1"/>
      </rPr>
      <t xml:space="preserve">#</t>
    </r>
    <r>
      <rPr>
        <sz val="10"/>
        <color rgb="FF000000"/>
        <rFont val="WenQuanYi Zen Hei"/>
        <family val="2"/>
      </rPr>
      <t xml:space="preserve">시리즈명 </t>
    </r>
    <r>
      <rPr>
        <sz val="10"/>
        <color rgb="FF000000"/>
        <rFont val="Arial"/>
        <family val="0"/>
        <charset val="1"/>
      </rPr>
      <t xml:space="preserve">#</t>
    </r>
    <r>
      <rPr>
        <sz val="10"/>
        <color rgb="FF000000"/>
        <rFont val="WenQuanYi Zen Hei"/>
        <family val="2"/>
      </rPr>
      <t xml:space="preserve">성경구절 </t>
    </r>
    <r>
      <rPr>
        <sz val="10"/>
        <color rgb="FF000000"/>
        <rFont val="Arial"/>
        <family val="0"/>
        <charset val="1"/>
      </rPr>
      <t xml:space="preserve">#</t>
    </r>
    <r>
      <rPr>
        <sz val="10"/>
        <color rgb="FF000000"/>
        <rFont val="WenQuanYi Zen Hei"/>
        <family val="2"/>
      </rPr>
      <t xml:space="preserve">말씀 </t>
    </r>
    <r>
      <rPr>
        <sz val="10"/>
        <color rgb="FF000000"/>
        <rFont val="Arial"/>
        <family val="0"/>
        <charset val="1"/>
      </rPr>
      <t xml:space="preserve">#</t>
    </r>
    <r>
      <rPr>
        <sz val="10"/>
        <color rgb="FF000000"/>
        <rFont val="WenQuanYi Zen Hei"/>
        <family val="2"/>
      </rPr>
      <t xml:space="preserve">책이름 </t>
    </r>
    <r>
      <rPr>
        <sz val="10"/>
        <color rgb="FF000000"/>
        <rFont val="Arial"/>
        <family val="0"/>
        <charset val="1"/>
      </rPr>
      <t xml:space="preserve">#</t>
    </r>
    <r>
      <rPr>
        <sz val="10"/>
        <color rgb="FF000000"/>
        <rFont val="WenQuanYi Zen Hei"/>
        <family val="2"/>
      </rPr>
      <t xml:space="preserve">주제</t>
    </r>
  </si>
  <si>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해시태그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칸 자동 생성</t>
    </r>
  </si>
  <si>
    <r>
      <rPr>
        <b val="true"/>
        <sz val="12"/>
        <color rgb="FFFFFFFF"/>
        <rFont val="Arial"/>
        <family val="0"/>
        <charset val="1"/>
      </rPr>
      <t xml:space="preserve">5. </t>
    </r>
    <r>
      <rPr>
        <b val="true"/>
        <sz val="12"/>
        <color rgb="FFFFFFFF"/>
        <rFont val="WenQuanYi Zen Hei"/>
        <family val="2"/>
      </rPr>
      <t xml:space="preserve">저작권</t>
    </r>
    <r>
      <rPr>
        <b val="true"/>
        <sz val="12"/>
        <color rgb="FFFFFFFF"/>
        <rFont val="Arial"/>
        <family val="0"/>
        <charset val="1"/>
      </rPr>
      <t xml:space="preserve">·</t>
    </r>
    <r>
      <rPr>
        <b val="true"/>
        <sz val="12"/>
        <color rgb="FFFFFFFF"/>
        <rFont val="WenQuanYi Zen Hei"/>
        <family val="2"/>
      </rPr>
      <t xml:space="preserve">교리 원칙</t>
    </r>
  </si>
  <si>
    <t xml:space="preserve">원칙</t>
  </si>
  <si>
    <t xml:space="preserve">본문</t>
  </si>
  <si>
    <r>
      <rPr>
        <sz val="10"/>
        <color rgb="FF000000"/>
        <rFont val="WenQuanYi Zen Hei"/>
        <family val="2"/>
      </rPr>
      <t xml:space="preserve">개역한글판만 사용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저작재산권 보호기간 만료</t>
    </r>
    <r>
      <rPr>
        <sz val="10"/>
        <color rgb="FF000000"/>
        <rFont val="Arial"/>
        <family val="0"/>
        <charset val="1"/>
      </rPr>
      <t xml:space="preserve">). </t>
    </r>
    <r>
      <rPr>
        <sz val="10"/>
        <color rgb="FF000000"/>
        <rFont val="WenQuanYi Zen Hei"/>
        <family val="2"/>
      </rPr>
      <t xml:space="preserve">개역개정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새번역 등 다른 번역 문장을 섞지 않음</t>
    </r>
  </si>
  <si>
    <t xml:space="preserve">원문 확보</t>
  </si>
  <si>
    <r>
      <rPr>
        <sz val="10"/>
        <color rgb="FF000000"/>
        <rFont val="WenQuanYi Zen Hei"/>
        <family val="2"/>
      </rPr>
      <t xml:space="preserve">공개된 개역한글 원문에서 장절별로 붙여 넣고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본문 상태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를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대조 완료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로 표시</t>
    </r>
  </si>
  <si>
    <t xml:space="preserve">문맥</t>
  </si>
  <si>
    <r>
      <rPr>
        <sz val="10"/>
        <color rgb="FF000000"/>
        <rFont val="WenQuanYi Zen Hei"/>
        <family val="2"/>
      </rPr>
      <t xml:space="preserve">한 절만 떼어 쓰면 뜻이 달라질 수 있는 구절은 설명란 문구를 붙임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예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빌 </t>
    </r>
    <r>
      <rPr>
        <sz val="10"/>
        <color rgb="FF000000"/>
        <rFont val="Arial"/>
        <family val="0"/>
        <charset val="1"/>
      </rPr>
      <t xml:space="preserve">4:13, </t>
    </r>
    <r>
      <rPr>
        <sz val="10"/>
        <color rgb="FF000000"/>
        <rFont val="WenQuanYi Zen Hei"/>
        <family val="2"/>
      </rPr>
      <t xml:space="preserve">렘 </t>
    </r>
    <r>
      <rPr>
        <sz val="10"/>
        <color rgb="FF000000"/>
        <rFont val="Arial"/>
        <family val="0"/>
        <charset val="1"/>
      </rPr>
      <t xml:space="preserve">29:11)</t>
    </r>
  </si>
  <si>
    <t xml:space="preserve">감수</t>
  </si>
  <si>
    <r>
      <rPr>
        <sz val="10"/>
        <color rgb="FF000000"/>
        <rFont val="WenQuanYi Zen Hei"/>
        <family val="2"/>
      </rPr>
      <t xml:space="preserve">프로젝트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의 교리감수 기준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합동측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을 그대로 적용</t>
    </r>
  </si>
  <si>
    <t xml:space="preserve">성과 기록</t>
  </si>
  <si>
    <r>
      <rPr>
        <sz val="10"/>
        <color rgb="FF595959"/>
        <rFont val="WenQuanYi Zen Hei"/>
        <family val="2"/>
      </rPr>
      <t xml:space="preserve">구절목록의 노란 칸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조회수</t>
    </r>
    <r>
      <rPr>
        <sz val="10"/>
        <color rgb="FF595959"/>
        <rFont val="Arial"/>
        <family val="0"/>
        <charset val="1"/>
      </rPr>
      <t xml:space="preserve">·</t>
    </r>
    <r>
      <rPr>
        <sz val="10"/>
        <color rgb="FF595959"/>
        <rFont val="WenQuanYi Zen Hei"/>
        <family val="2"/>
      </rPr>
      <t xml:space="preserve">시청 </t>
    </r>
    <r>
      <rPr>
        <sz val="10"/>
        <color rgb="FF595959"/>
        <rFont val="Arial"/>
        <family val="0"/>
        <charset val="1"/>
      </rPr>
      <t xml:space="preserve">vs </t>
    </r>
    <r>
      <rPr>
        <sz val="10"/>
        <color rgb="FF595959"/>
        <rFont val="WenQuanYi Zen Hei"/>
        <family val="2"/>
      </rPr>
      <t xml:space="preserve">넘김</t>
    </r>
    <r>
      <rPr>
        <sz val="10"/>
        <color rgb="FF595959"/>
        <rFont val="Arial"/>
        <family val="0"/>
        <charset val="1"/>
      </rPr>
      <t xml:space="preserve">)</t>
    </r>
    <r>
      <rPr>
        <sz val="10"/>
        <color rgb="FF595959"/>
        <rFont val="WenQuanYi Zen Hei"/>
        <family val="2"/>
      </rPr>
      <t xml:space="preserve">에 입력하면 자동 집계됩니다</t>
    </r>
    <r>
      <rPr>
        <sz val="10"/>
        <color rgb="FF595959"/>
        <rFont val="Arial"/>
        <family val="0"/>
        <charset val="1"/>
      </rPr>
      <t xml:space="preserve">.</t>
    </r>
  </si>
  <si>
    <t xml:space="preserve">입력된 편</t>
  </si>
  <si>
    <t xml:space="preserve">평균 조회수</t>
  </si>
  <si>
    <r>
      <rPr>
        <b val="true"/>
        <sz val="10"/>
        <color rgb="FF000000"/>
        <rFont val="WenQuanYi Zen Hei"/>
        <family val="2"/>
      </rPr>
      <t xml:space="preserve">평균 시청 </t>
    </r>
    <r>
      <rPr>
        <b val="true"/>
        <sz val="10"/>
        <color rgb="FF000000"/>
        <rFont val="Arial"/>
        <family val="0"/>
        <charset val="1"/>
      </rPr>
      <t xml:space="preserve">vs </t>
    </r>
    <r>
      <rPr>
        <b val="true"/>
        <sz val="10"/>
        <color rgb="FF000000"/>
        <rFont val="WenQuanYi Zen Hei"/>
        <family val="2"/>
      </rPr>
      <t xml:space="preserve">넘김</t>
    </r>
    <r>
      <rPr>
        <b val="true"/>
        <sz val="10"/>
        <color rgb="FF000000"/>
        <rFont val="Arial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</si>
</sst>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WenQuanYi Zen Hei"/>
      <family val="2"/>
    </font>
    <font>
      <b val="true"/>
      <sz val="16"/>
      <color rgb="FF1F3864"/>
      <name val="Arial"/>
      <family val="0"/>
      <charset val="1"/>
    </font>
    <font>
      <sz val="10"/>
      <color rgb="FF595959"/>
      <name val="WenQuanYi Zen Hei"/>
      <family val="2"/>
    </font>
    <font>
      <sz val="10"/>
      <color rgb="FF595959"/>
      <name val="Arial"/>
      <family val="0"/>
      <charset val="1"/>
    </font>
    <font>
      <b val="true"/>
      <sz val="12"/>
      <color rgb="FFFFFFFF"/>
      <name val="WenQuanYi Zen Hei"/>
      <family val="2"/>
    </font>
    <font>
      <b val="true"/>
      <sz val="12"/>
      <color rgb="FFFFFFFF"/>
      <name val="Arial"/>
      <family val="0"/>
      <charset val="1"/>
    </font>
    <font>
      <b val="true"/>
      <sz val="10"/>
      <color rgb="FF000000"/>
      <name val="WenQuanYi Zen Hei"/>
      <family val="2"/>
    </font>
    <font>
      <b val="true"/>
      <sz val="10"/>
      <color rgb="FF000000"/>
      <name val="Arial"/>
      <family val="0"/>
      <charset val="1"/>
    </font>
    <font>
      <sz val="10"/>
      <color rgb="FF0000FF"/>
      <name val="WenQuanYi Zen Hei"/>
      <family val="2"/>
    </font>
    <font>
      <sz val="9"/>
      <color rgb="FF595959"/>
      <name val="WenQuanYi Zen Hei"/>
      <family val="2"/>
    </font>
    <font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WenQuanYi Zen Hei"/>
      <family val="2"/>
    </font>
    <font>
      <sz val="10"/>
      <color rgb="FF000000"/>
      <name val="Arial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Arial"/>
      <family val="0"/>
      <charset val="1"/>
    </font>
    <font>
      <sz val="10"/>
      <color rgb="FFC00000"/>
      <name val="WenQuanYi Zen Hei"/>
      <family val="2"/>
    </font>
    <font>
      <sz val="10"/>
      <color rgb="FFC00000"/>
      <name val="Arial"/>
      <family val="0"/>
      <charset val="1"/>
    </font>
    <font>
      <b val="true"/>
      <sz val="11"/>
      <color rgb="FFC00000"/>
      <name val="WenQuanYi Zen Hei"/>
      <family val="2"/>
    </font>
    <font>
      <sz val="11"/>
      <color theme="1"/>
      <name val="WenQuanYi Zen He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64"/>
  </cols>
  <sheetData>
    <row r="1" customFormat="false" ht="20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6.4" hidden="false" customHeight="false" outlineLevel="0" collapsed="false">
      <c r="A4" s="3" t="s">
        <v>2</v>
      </c>
      <c r="B4" s="4"/>
      <c r="C4" s="4"/>
      <c r="D4" s="4"/>
    </row>
    <row r="5" customFormat="false" ht="15" hidden="false" customHeight="false" outlineLevel="0" collapsed="false">
      <c r="A5" s="5" t="s">
        <v>3</v>
      </c>
      <c r="C5" s="6" t="s">
        <v>4</v>
      </c>
      <c r="D5" s="7" t="s">
        <v>5</v>
      </c>
    </row>
    <row r="6" customFormat="false" ht="15" hidden="false" customHeight="false" outlineLevel="0" collapsed="false">
      <c r="A6" s="5" t="s">
        <v>6</v>
      </c>
      <c r="C6" s="8" t="n">
        <v>46388</v>
      </c>
      <c r="D6" s="7" t="s">
        <v>7</v>
      </c>
    </row>
    <row r="7" customFormat="false" ht="15" hidden="false" customHeight="false" outlineLevel="0" collapsed="false">
      <c r="A7" s="5" t="s">
        <v>8</v>
      </c>
      <c r="C7" s="6" t="n">
        <v>2</v>
      </c>
      <c r="D7" s="7" t="s">
        <v>9</v>
      </c>
    </row>
    <row r="8" customFormat="false" ht="15" hidden="false" customHeight="false" outlineLevel="0" collapsed="false">
      <c r="A8" s="5" t="s">
        <v>10</v>
      </c>
      <c r="C8" s="9" t="s">
        <v>11</v>
      </c>
      <c r="D8" s="7" t="s">
        <v>12</v>
      </c>
    </row>
    <row r="9" customFormat="false" ht="15" hidden="false" customHeight="false" outlineLevel="0" collapsed="false">
      <c r="A9" s="5" t="s">
        <v>13</v>
      </c>
      <c r="C9" s="9" t="s">
        <v>14</v>
      </c>
      <c r="D9" s="7" t="s">
        <v>15</v>
      </c>
    </row>
    <row r="10" customFormat="false" ht="15" hidden="false" customHeight="false" outlineLevel="0" collapsed="false">
      <c r="A10" s="5" t="s">
        <v>16</v>
      </c>
      <c r="C10" s="9" t="s">
        <v>17</v>
      </c>
      <c r="D10" s="7" t="s">
        <v>18</v>
      </c>
    </row>
    <row r="11" customFormat="false" ht="15" hidden="false" customHeight="false" outlineLevel="0" collapsed="false">
      <c r="A11" s="5" t="s">
        <v>19</v>
      </c>
      <c r="C11" s="9" t="s">
        <v>20</v>
      </c>
      <c r="D11" s="7" t="s">
        <v>21</v>
      </c>
    </row>
    <row r="12" customFormat="false" ht="15" hidden="false" customHeight="false" outlineLevel="0" collapsed="false">
      <c r="A12" s="5" t="s">
        <v>22</v>
      </c>
      <c r="C12" s="6" t="n">
        <v>5</v>
      </c>
      <c r="D12" s="7" t="s">
        <v>23</v>
      </c>
    </row>
    <row r="14" customFormat="false" ht="16.4" hidden="false" customHeight="false" outlineLevel="0" collapsed="false">
      <c r="A14" s="3" t="s">
        <v>24</v>
      </c>
      <c r="B14" s="4"/>
      <c r="C14" s="4"/>
      <c r="D14" s="4"/>
    </row>
    <row r="15" customFormat="false" ht="15" hidden="false" customHeight="false" outlineLevel="0" collapsed="false">
      <c r="A15" s="5" t="s">
        <v>25</v>
      </c>
      <c r="C15" s="10" t="n">
        <f aca="false">COUNTA(구절목록!$B$2:$B$729)</f>
        <v>728</v>
      </c>
      <c r="D15" s="7" t="s">
        <v>26</v>
      </c>
    </row>
    <row r="16" customFormat="false" ht="15" hidden="false" customHeight="false" outlineLevel="0" collapsed="false">
      <c r="A16" s="5" t="s">
        <v>27</v>
      </c>
      <c r="C16" s="10" t="str">
        <f aca="false">COUNTIF(구절목록!$C$2:$C$729,"구약")&amp;" / "&amp;COUNTIF(구절목록!$C$2:$C$729,"신약")</f>
        <v>364 / 364</v>
      </c>
      <c r="D16" s="7" t="s">
        <v>26</v>
      </c>
    </row>
    <row r="17" customFormat="false" ht="15" hidden="false" customHeight="false" outlineLevel="0" collapsed="false">
      <c r="A17" s="5" t="s">
        <v>28</v>
      </c>
      <c r="C17" s="10" t="n">
        <f aca="false">COUNTIF(권별점검!$C$2:$C$67,"&gt;0")</f>
        <v>66</v>
      </c>
      <c r="D17" s="7" t="s">
        <v>29</v>
      </c>
    </row>
    <row r="18" customFormat="false" ht="15" hidden="false" customHeight="false" outlineLevel="0" collapsed="false">
      <c r="A18" s="5" t="s">
        <v>30</v>
      </c>
      <c r="C18" s="11" t="n">
        <f aca="false">MAX(구절목록!$R$2:$R$729)</f>
        <v>46569</v>
      </c>
      <c r="D18" s="7"/>
    </row>
    <row r="19" customFormat="false" ht="15" hidden="false" customHeight="false" outlineLevel="0" collapsed="false">
      <c r="A19" s="5" t="s">
        <v>31</v>
      </c>
      <c r="C19" s="10" t="n">
        <f aca="false">MAX(구절목록!$R$2:$R$729)-안내!$C$6+1</f>
        <v>182</v>
      </c>
      <c r="D19" s="7" t="s">
        <v>32</v>
      </c>
    </row>
    <row r="20" customFormat="false" ht="15" hidden="false" customHeight="false" outlineLevel="0" collapsed="false">
      <c r="A20" s="5" t="s">
        <v>33</v>
      </c>
      <c r="C20" s="10" t="str">
        <f aca="false">COUNTIF(구절목록!$L$2:$L$729,"대조 완료")&amp;" / "&amp;COUNTA(구절목록!$B$2:$B$729)</f>
        <v>0 / 728</v>
      </c>
      <c r="D20" s="7" t="s">
        <v>26</v>
      </c>
    </row>
    <row r="22" customFormat="false" ht="15" hidden="false" customHeight="false" outlineLevel="0" collapsed="false">
      <c r="A22" s="3" t="s">
        <v>34</v>
      </c>
      <c r="B22" s="4"/>
      <c r="C22" s="4"/>
      <c r="D22" s="4"/>
    </row>
    <row r="23" customFormat="false" ht="30" hidden="false" customHeight="true" outlineLevel="0" collapsed="false">
      <c r="A23" s="5" t="s">
        <v>35</v>
      </c>
      <c r="B23" s="12" t="s">
        <v>36</v>
      </c>
      <c r="C23" s="12"/>
      <c r="D23" s="12"/>
    </row>
    <row r="24" customFormat="false" ht="30" hidden="false" customHeight="true" outlineLevel="0" collapsed="false">
      <c r="A24" s="5" t="s">
        <v>37</v>
      </c>
      <c r="B24" s="12" t="s">
        <v>38</v>
      </c>
      <c r="C24" s="12"/>
      <c r="D24" s="12"/>
    </row>
    <row r="25" customFormat="false" ht="30" hidden="false" customHeight="true" outlineLevel="0" collapsed="false">
      <c r="A25" s="5" t="s">
        <v>39</v>
      </c>
      <c r="B25" s="12" t="s">
        <v>40</v>
      </c>
      <c r="C25" s="12"/>
      <c r="D25" s="12"/>
    </row>
    <row r="26" customFormat="false" ht="30" hidden="false" customHeight="true" outlineLevel="0" collapsed="false">
      <c r="A26" s="5" t="s">
        <v>41</v>
      </c>
      <c r="B26" s="12" t="s">
        <v>42</v>
      </c>
      <c r="C26" s="12"/>
      <c r="D26" s="12"/>
    </row>
    <row r="27" customFormat="false" ht="30" hidden="false" customHeight="true" outlineLevel="0" collapsed="false">
      <c r="A27" s="5" t="s">
        <v>43</v>
      </c>
      <c r="B27" s="13" t="s">
        <v>44</v>
      </c>
      <c r="C27" s="13"/>
      <c r="D27" s="13"/>
    </row>
  </sheetData>
  <mergeCells count="5">
    <mergeCell ref="B23:D23"/>
    <mergeCell ref="B24:D24"/>
    <mergeCell ref="B25:D25"/>
    <mergeCell ref="B26:D26"/>
    <mergeCell ref="B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8" ySplit="1" topLeftCell="I2" activePane="bottomRight" state="frozen"/>
      <selection pane="topLeft" activeCell="A1" activeCellId="0" sqref="A1"/>
      <selection pane="topRight" activeCell="I1" activeCellId="0" sqref="I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6"/>
    <col collapsed="false" customWidth="true" hidden="false" outlineLevel="0" max="4" min="4" style="0" width="7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50"/>
    <col collapsed="false" customWidth="true" hidden="false" outlineLevel="0" max="12" min="12" style="0" width="10"/>
    <col collapsed="false" customWidth="true" hidden="false" outlineLevel="0" max="13" min="13" style="0" width="7"/>
    <col collapsed="false" customWidth="true" hidden="false" outlineLevel="0" max="14" min="14" style="0" width="9"/>
    <col collapsed="false" customWidth="true" hidden="false" outlineLevel="0" max="15" min="15" style="0" width="44"/>
    <col collapsed="false" customWidth="true" hidden="false" outlineLevel="0" max="16" min="16" style="0" width="40"/>
    <col collapsed="false" customWidth="true" hidden="false" outlineLevel="0" max="17" min="17" style="0" width="50"/>
    <col collapsed="false" customWidth="true" hidden="false" outlineLevel="0" max="18" min="18" style="0" width="11"/>
    <col collapsed="false" customWidth="true" hidden="false" outlineLevel="0" max="19" min="19" style="0" width="9"/>
    <col collapsed="false" customWidth="true" hidden="false" outlineLevel="0" max="20" min="20" style="0" width="5"/>
    <col collapsed="false" customWidth="true" hidden="false" outlineLevel="0" max="22" min="21" style="0" width="8"/>
    <col collapsed="false" customWidth="true" hidden="false" outlineLevel="0" max="24" min="23" style="0" width="9"/>
    <col collapsed="false" customWidth="true" hidden="false" outlineLevel="0" max="25" min="25" style="0" width="16"/>
  </cols>
  <sheetData>
    <row r="1" customFormat="false" ht="30" hidden="false" customHeight="true" outlineLevel="0" collapsed="false">
      <c r="A1" s="14" t="s">
        <v>45</v>
      </c>
      <c r="B1" s="14" t="s">
        <v>46</v>
      </c>
      <c r="C1" s="14" t="s">
        <v>37</v>
      </c>
      <c r="D1" s="14" t="s">
        <v>47</v>
      </c>
      <c r="E1" s="14" t="s">
        <v>48</v>
      </c>
      <c r="F1" s="14" t="s">
        <v>49</v>
      </c>
      <c r="G1" s="14" t="s">
        <v>50</v>
      </c>
      <c r="H1" s="14" t="s">
        <v>51</v>
      </c>
      <c r="I1" s="14" t="s">
        <v>52</v>
      </c>
      <c r="J1" s="14" t="s">
        <v>53</v>
      </c>
      <c r="K1" s="14" t="s">
        <v>54</v>
      </c>
      <c r="L1" s="14" t="s">
        <v>55</v>
      </c>
      <c r="M1" s="14" t="s">
        <v>56</v>
      </c>
      <c r="N1" s="14" t="s">
        <v>57</v>
      </c>
      <c r="O1" s="14" t="s">
        <v>58</v>
      </c>
      <c r="P1" s="14" t="s">
        <v>59</v>
      </c>
      <c r="Q1" s="14" t="s">
        <v>60</v>
      </c>
      <c r="R1" s="14" t="s">
        <v>61</v>
      </c>
      <c r="S1" s="14" t="s">
        <v>62</v>
      </c>
      <c r="T1" s="14" t="s">
        <v>63</v>
      </c>
      <c r="U1" s="14" t="s">
        <v>64</v>
      </c>
      <c r="V1" s="14" t="s">
        <v>65</v>
      </c>
      <c r="W1" s="14" t="s">
        <v>66</v>
      </c>
      <c r="X1" s="14" t="s">
        <v>67</v>
      </c>
      <c r="Y1" s="14" t="s">
        <v>68</v>
      </c>
    </row>
    <row r="2" customFormat="false" ht="15" hidden="false" customHeight="false" outlineLevel="0" collapsed="false">
      <c r="A2" s="15" t="n">
        <v>1</v>
      </c>
      <c r="B2" s="15" t="s">
        <v>69</v>
      </c>
      <c r="C2" s="16" t="s">
        <v>70</v>
      </c>
      <c r="D2" s="16" t="n">
        <v>1</v>
      </c>
      <c r="E2" s="16" t="str">
        <f aca="false">C2&amp;"말씀 #"&amp;TEXT(D2,"000")</f>
        <v>구약말씀 #001</v>
      </c>
      <c r="F2" s="17" t="s">
        <v>71</v>
      </c>
      <c r="G2" s="18" t="s">
        <v>72</v>
      </c>
      <c r="H2" s="19" t="s">
        <v>73</v>
      </c>
      <c r="I2" s="17" t="s">
        <v>74</v>
      </c>
      <c r="J2" s="17" t="s">
        <v>75</v>
      </c>
      <c r="K2" s="20"/>
      <c r="L2" s="17" t="s">
        <v>76</v>
      </c>
      <c r="M2" s="17" t="n">
        <f aca="false">LEN(K2)</f>
        <v>0</v>
      </c>
      <c r="N2" s="17" t="str">
        <f aca="false">IF(M2=0,"-",ROUND(3+M2/안내!$C$12,0))</f>
        <v>-</v>
      </c>
      <c r="O2" s="19" t="str">
        <f aca="false">IF(K2="","(본문 입력 후 자동) | 창 1:1",IF(LEN(K2)&gt;28,LEFT(K2,28)&amp;"…",K2)&amp;" | 창 1:1")</f>
        <v>(본문 입력 후 자동) | 창 1:1</v>
      </c>
      <c r="P2" s="19" t="str">
        <f aca="false">"#"&amp;SUBSTITUTE(안내!$C$5," ","")&amp;" #성경구절 #말씀 #창세기 #창조"</f>
        <v>#오늘의말씀 #성경구절 #말씀 #창세기 #창조</v>
      </c>
      <c r="Q2" s="21" t="s">
        <v>77</v>
      </c>
      <c r="R2" s="22" t="n">
        <f aca="false">안내!$C$6+INT((D2-1)/안내!$C$7)</f>
        <v>46388</v>
      </c>
      <c r="S2" s="17" t="str">
        <f aca="false">IF(MOD(D2-1,안내!$C$7)=0,안내!$C$8,안내!$C$10)</f>
        <v>06:30</v>
      </c>
      <c r="T2" s="17" t="str">
        <f aca="false">CHOOSE(WEEKDAY(R2,2),"월","화","수","목","금","토","일")</f>
        <v>금</v>
      </c>
      <c r="U2" s="17" t="s">
        <v>78</v>
      </c>
      <c r="V2" s="17" t="s">
        <v>78</v>
      </c>
      <c r="W2" s="23"/>
      <c r="X2" s="23"/>
      <c r="Y2" s="21"/>
    </row>
    <row r="3" customFormat="false" ht="15" hidden="false" customHeight="false" outlineLevel="0" collapsed="false">
      <c r="A3" s="16" t="n">
        <v>2</v>
      </c>
      <c r="B3" s="15" t="s">
        <v>79</v>
      </c>
      <c r="C3" s="16" t="s">
        <v>70</v>
      </c>
      <c r="D3" s="16" t="n">
        <v>2</v>
      </c>
      <c r="E3" s="16" t="str">
        <f aca="false">C3&amp;"말씀 #"&amp;TEXT(D3,"000")</f>
        <v>구약말씀 #002</v>
      </c>
      <c r="F3" s="17" t="s">
        <v>71</v>
      </c>
      <c r="G3" s="18" t="s">
        <v>80</v>
      </c>
      <c r="H3" s="19" t="s">
        <v>81</v>
      </c>
      <c r="I3" s="17" t="s">
        <v>74</v>
      </c>
      <c r="J3" s="17" t="s">
        <v>75</v>
      </c>
      <c r="K3" s="20"/>
      <c r="L3" s="17" t="s">
        <v>76</v>
      </c>
      <c r="M3" s="17" t="n">
        <f aca="false">LEN(K3)</f>
        <v>0</v>
      </c>
      <c r="N3" s="17" t="str">
        <f aca="false">IF(M3=0,"-",ROUND(3+M3/안내!$C$12,0))</f>
        <v>-</v>
      </c>
      <c r="O3" s="21" t="str">
        <f aca="false">IF(K3="","(본문 입력 후 자동) | 창 1:27",IF(LEN(K3)&gt;28,LEFT(K3,28)&amp;"…",K3)&amp;" | 창 1:27")</f>
        <v>(본문 입력 후 자동) | 창 1:27</v>
      </c>
      <c r="P3" s="21" t="str">
        <f aca="false">"#"&amp;SUBSTITUTE(안내!$C$5," ","")&amp;" #성경구절 #말씀 #창세기 #창조"</f>
        <v>#오늘의말씀 #성경구절 #말씀 #창세기 #창조</v>
      </c>
      <c r="Q3" s="21" t="s">
        <v>77</v>
      </c>
      <c r="R3" s="22" t="n">
        <f aca="false">안내!$C$6+INT((D3-1)/안내!$C$7)</f>
        <v>46388</v>
      </c>
      <c r="S3" s="17" t="str">
        <f aca="false">IF(MOD(D3-1,안내!$C$7)=0,안내!$C$8,안내!$C$10)</f>
        <v>18:30</v>
      </c>
      <c r="T3" s="17" t="str">
        <f aca="false">CHOOSE(WEEKDAY(R3,2),"월","화","수","목","금","토","일")</f>
        <v>금</v>
      </c>
      <c r="U3" s="17" t="s">
        <v>78</v>
      </c>
      <c r="V3" s="17" t="s">
        <v>78</v>
      </c>
      <c r="W3" s="23"/>
      <c r="X3" s="23"/>
      <c r="Y3" s="21"/>
    </row>
    <row r="4" customFormat="false" ht="15" hidden="false" customHeight="false" outlineLevel="0" collapsed="false">
      <c r="A4" s="16" t="n">
        <v>3</v>
      </c>
      <c r="B4" s="15" t="s">
        <v>82</v>
      </c>
      <c r="C4" s="16" t="s">
        <v>70</v>
      </c>
      <c r="D4" s="16" t="n">
        <v>3</v>
      </c>
      <c r="E4" s="16" t="str">
        <f aca="false">C4&amp;"말씀 #"&amp;TEXT(D4,"000")</f>
        <v>구약말씀 #003</v>
      </c>
      <c r="F4" s="17" t="s">
        <v>71</v>
      </c>
      <c r="G4" s="18" t="s">
        <v>83</v>
      </c>
      <c r="H4" s="19" t="s">
        <v>84</v>
      </c>
      <c r="I4" s="17" t="s">
        <v>74</v>
      </c>
      <c r="J4" s="17" t="s">
        <v>75</v>
      </c>
      <c r="K4" s="20"/>
      <c r="L4" s="17" t="s">
        <v>76</v>
      </c>
      <c r="M4" s="17" t="n">
        <f aca="false">LEN(K4)</f>
        <v>0</v>
      </c>
      <c r="N4" s="17" t="str">
        <f aca="false">IF(M4=0,"-",ROUND(3+M4/안내!$C$12,0))</f>
        <v>-</v>
      </c>
      <c r="O4" s="21" t="str">
        <f aca="false">IF(K4="","(본문 입력 후 자동) | 창 1:31",IF(LEN(K4)&gt;28,LEFT(K4,28)&amp;"…",K4)&amp;" | 창 1:31")</f>
        <v>(본문 입력 후 자동) | 창 1:31</v>
      </c>
      <c r="P4" s="21" t="str">
        <f aca="false">"#"&amp;SUBSTITUTE(안내!$C$5," ","")&amp;" #성경구절 #말씀 #창세기 #창조"</f>
        <v>#오늘의말씀 #성경구절 #말씀 #창세기 #창조</v>
      </c>
      <c r="Q4" s="21" t="s">
        <v>77</v>
      </c>
      <c r="R4" s="22" t="n">
        <f aca="false">안내!$C$6+INT((D4-1)/안내!$C$7)</f>
        <v>46389</v>
      </c>
      <c r="S4" s="17" t="str">
        <f aca="false">IF(MOD(D4-1,안내!$C$7)=0,안내!$C$8,안내!$C$10)</f>
        <v>06:30</v>
      </c>
      <c r="T4" s="17" t="str">
        <f aca="false">CHOOSE(WEEKDAY(R4,2),"월","화","수","목","금","토","일")</f>
        <v>토</v>
      </c>
      <c r="U4" s="17" t="s">
        <v>78</v>
      </c>
      <c r="V4" s="17" t="s">
        <v>78</v>
      </c>
      <c r="W4" s="23"/>
      <c r="X4" s="23"/>
      <c r="Y4" s="21"/>
    </row>
    <row r="5" customFormat="false" ht="15" hidden="false" customHeight="false" outlineLevel="0" collapsed="false">
      <c r="A5" s="16" t="n">
        <v>4</v>
      </c>
      <c r="B5" s="15" t="s">
        <v>85</v>
      </c>
      <c r="C5" s="16" t="s">
        <v>70</v>
      </c>
      <c r="D5" s="16" t="n">
        <v>4</v>
      </c>
      <c r="E5" s="16" t="str">
        <f aca="false">C5&amp;"말씀 #"&amp;TEXT(D5,"000")</f>
        <v>구약말씀 #004</v>
      </c>
      <c r="F5" s="17" t="s">
        <v>71</v>
      </c>
      <c r="G5" s="18" t="s">
        <v>86</v>
      </c>
      <c r="H5" s="19" t="s">
        <v>87</v>
      </c>
      <c r="I5" s="17" t="s">
        <v>88</v>
      </c>
      <c r="J5" s="17" t="s">
        <v>89</v>
      </c>
      <c r="K5" s="20"/>
      <c r="L5" s="17" t="s">
        <v>76</v>
      </c>
      <c r="M5" s="17" t="n">
        <f aca="false">LEN(K5)</f>
        <v>0</v>
      </c>
      <c r="N5" s="17" t="str">
        <f aca="false">IF(M5=0,"-",ROUND(3+M5/안내!$C$12,0))</f>
        <v>-</v>
      </c>
      <c r="O5" s="21" t="str">
        <f aca="false">IF(K5="","(본문 입력 후 자동) | 창 2:7",IF(LEN(K5)&gt;28,LEFT(K5,28)&amp;"…",K5)&amp;" | 창 2:7")</f>
        <v>(본문 입력 후 자동) | 창 2:7</v>
      </c>
      <c r="P5" s="21" t="str">
        <f aca="false">"#"&amp;SUBSTITUTE(안내!$C$5," ","")&amp;" #성경구절 #말씀 #창세기 #생명"</f>
        <v>#오늘의말씀 #성경구절 #말씀 #창세기 #생명</v>
      </c>
      <c r="Q5" s="21" t="s">
        <v>77</v>
      </c>
      <c r="R5" s="22" t="n">
        <f aca="false">안내!$C$6+INT((D5-1)/안내!$C$7)</f>
        <v>46389</v>
      </c>
      <c r="S5" s="17" t="str">
        <f aca="false">IF(MOD(D5-1,안내!$C$7)=0,안내!$C$8,안내!$C$10)</f>
        <v>18:30</v>
      </c>
      <c r="T5" s="17" t="str">
        <f aca="false">CHOOSE(WEEKDAY(R5,2),"월","화","수","목","금","토","일")</f>
        <v>토</v>
      </c>
      <c r="U5" s="17" t="s">
        <v>78</v>
      </c>
      <c r="V5" s="17" t="s">
        <v>78</v>
      </c>
      <c r="W5" s="23"/>
      <c r="X5" s="23"/>
      <c r="Y5" s="21"/>
    </row>
    <row r="6" customFormat="false" ht="15" hidden="false" customHeight="false" outlineLevel="0" collapsed="false">
      <c r="A6" s="16" t="n">
        <v>5</v>
      </c>
      <c r="B6" s="15" t="s">
        <v>90</v>
      </c>
      <c r="C6" s="16" t="s">
        <v>70</v>
      </c>
      <c r="D6" s="16" t="n">
        <v>5</v>
      </c>
      <c r="E6" s="16" t="str">
        <f aca="false">C6&amp;"말씀 #"&amp;TEXT(D6,"000")</f>
        <v>구약말씀 #005</v>
      </c>
      <c r="F6" s="17" t="s">
        <v>71</v>
      </c>
      <c r="G6" s="18" t="s">
        <v>91</v>
      </c>
      <c r="H6" s="19" t="s">
        <v>92</v>
      </c>
      <c r="I6" s="17" t="s">
        <v>93</v>
      </c>
      <c r="J6" s="17" t="s">
        <v>94</v>
      </c>
      <c r="K6" s="20"/>
      <c r="L6" s="17" t="s">
        <v>76</v>
      </c>
      <c r="M6" s="17" t="n">
        <f aca="false">LEN(K6)</f>
        <v>0</v>
      </c>
      <c r="N6" s="17" t="str">
        <f aca="false">IF(M6=0,"-",ROUND(3+M6/안내!$C$12,0))</f>
        <v>-</v>
      </c>
      <c r="O6" s="21" t="str">
        <f aca="false">IF(K6="","(본문 입력 후 자동) | 창 2:18",IF(LEN(K6)&gt;28,LEFT(K6,28)&amp;"…",K6)&amp;" | 창 2:18")</f>
        <v>(본문 입력 후 자동) | 창 2:18</v>
      </c>
      <c r="P6" s="21" t="str">
        <f aca="false">"#"&amp;SUBSTITUTE(안내!$C$5," ","")&amp;" #성경구절 #말씀 #창세기 #가정"</f>
        <v>#오늘의말씀 #성경구절 #말씀 #창세기 #가정</v>
      </c>
      <c r="Q6" s="21" t="s">
        <v>77</v>
      </c>
      <c r="R6" s="22" t="n">
        <f aca="false">안내!$C$6+INT((D6-1)/안내!$C$7)</f>
        <v>46390</v>
      </c>
      <c r="S6" s="17" t="str">
        <f aca="false">IF(MOD(D6-1,안내!$C$7)=0,안내!$C$8,안내!$C$10)</f>
        <v>06:30</v>
      </c>
      <c r="T6" s="17" t="str">
        <f aca="false">CHOOSE(WEEKDAY(R6,2),"월","화","수","목","금","토","일")</f>
        <v>일</v>
      </c>
      <c r="U6" s="17" t="s">
        <v>78</v>
      </c>
      <c r="V6" s="17" t="s">
        <v>78</v>
      </c>
      <c r="W6" s="23"/>
      <c r="X6" s="23"/>
      <c r="Y6" s="21"/>
    </row>
    <row r="7" customFormat="false" ht="15" hidden="false" customHeight="false" outlineLevel="0" collapsed="false">
      <c r="A7" s="16" t="n">
        <v>6</v>
      </c>
      <c r="B7" s="15" t="s">
        <v>95</v>
      </c>
      <c r="C7" s="16" t="s">
        <v>70</v>
      </c>
      <c r="D7" s="16" t="n">
        <v>6</v>
      </c>
      <c r="E7" s="16" t="str">
        <f aca="false">C7&amp;"말씀 #"&amp;TEXT(D7,"000")</f>
        <v>구약말씀 #006</v>
      </c>
      <c r="F7" s="17" t="s">
        <v>71</v>
      </c>
      <c r="G7" s="18" t="s">
        <v>96</v>
      </c>
      <c r="H7" s="19" t="s">
        <v>97</v>
      </c>
      <c r="I7" s="17" t="s">
        <v>98</v>
      </c>
      <c r="J7" s="17" t="s">
        <v>99</v>
      </c>
      <c r="K7" s="20"/>
      <c r="L7" s="17" t="s">
        <v>76</v>
      </c>
      <c r="M7" s="17" t="n">
        <f aca="false">LEN(K7)</f>
        <v>0</v>
      </c>
      <c r="N7" s="17" t="str">
        <f aca="false">IF(M7=0,"-",ROUND(3+M7/안내!$C$12,0))</f>
        <v>-</v>
      </c>
      <c r="O7" s="21" t="str">
        <f aca="false">IF(K7="","(본문 입력 후 자동) | 창 3:9",IF(LEN(K7)&gt;28,LEFT(K7,28)&amp;"…",K7)&amp;" | 창 3:9")</f>
        <v>(본문 입력 후 자동) | 창 3:9</v>
      </c>
      <c r="P7" s="21" t="str">
        <f aca="false">"#"&amp;SUBSTITUTE(안내!$C$5," ","")&amp;" #성경구절 #말씀 #창세기 #은혜"</f>
        <v>#오늘의말씀 #성경구절 #말씀 #창세기 #은혜</v>
      </c>
      <c r="Q7" s="21" t="s">
        <v>77</v>
      </c>
      <c r="R7" s="22" t="n">
        <f aca="false">안내!$C$6+INT((D7-1)/안내!$C$7)</f>
        <v>46390</v>
      </c>
      <c r="S7" s="17" t="str">
        <f aca="false">IF(MOD(D7-1,안내!$C$7)=0,안내!$C$8,안내!$C$10)</f>
        <v>18:30</v>
      </c>
      <c r="T7" s="17" t="str">
        <f aca="false">CHOOSE(WEEKDAY(R7,2),"월","화","수","목","금","토","일")</f>
        <v>일</v>
      </c>
      <c r="U7" s="17" t="s">
        <v>78</v>
      </c>
      <c r="V7" s="17" t="s">
        <v>78</v>
      </c>
      <c r="W7" s="23"/>
      <c r="X7" s="23"/>
      <c r="Y7" s="21"/>
    </row>
    <row r="8" customFormat="false" ht="39.55" hidden="false" customHeight="false" outlineLevel="0" collapsed="false">
      <c r="A8" s="16" t="n">
        <v>7</v>
      </c>
      <c r="B8" s="15" t="s">
        <v>100</v>
      </c>
      <c r="C8" s="16" t="s">
        <v>70</v>
      </c>
      <c r="D8" s="16" t="n">
        <v>7</v>
      </c>
      <c r="E8" s="16" t="str">
        <f aca="false">C8&amp;"말씀 #"&amp;TEXT(D8,"000")</f>
        <v>구약말씀 #007</v>
      </c>
      <c r="F8" s="17" t="s">
        <v>71</v>
      </c>
      <c r="G8" s="18" t="s">
        <v>101</v>
      </c>
      <c r="H8" s="19" t="s">
        <v>102</v>
      </c>
      <c r="I8" s="17" t="s">
        <v>103</v>
      </c>
      <c r="J8" s="17" t="s">
        <v>104</v>
      </c>
      <c r="K8" s="20"/>
      <c r="L8" s="17" t="s">
        <v>76</v>
      </c>
      <c r="M8" s="17" t="n">
        <f aca="false">LEN(K8)</f>
        <v>0</v>
      </c>
      <c r="N8" s="17" t="str">
        <f aca="false">IF(M8=0,"-",ROUND(3+M8/안내!$C$12,0))</f>
        <v>-</v>
      </c>
      <c r="O8" s="21" t="str">
        <f aca="false">IF(K8="","(본문 입력 후 자동) | 창 3:15",IF(LEN(K8)&gt;28,LEFT(K8,28)&amp;"…",K8)&amp;" | 창 3:15")</f>
        <v>(본문 입력 후 자동) | 창 3:15</v>
      </c>
      <c r="P8" s="21" t="str">
        <f aca="false">"#"&amp;SUBSTITUTE(안내!$C$5," ","")&amp;" #성경구절 #말씀 #창세기 #구원"</f>
        <v>#오늘의말씀 #성경구절 #말씀 #창세기 #구원</v>
      </c>
      <c r="Q8" s="24" t="s">
        <v>105</v>
      </c>
      <c r="R8" s="22" t="n">
        <f aca="false">안내!$C$6+INT((D8-1)/안내!$C$7)</f>
        <v>46391</v>
      </c>
      <c r="S8" s="17" t="str">
        <f aca="false">IF(MOD(D8-1,안내!$C$7)=0,안내!$C$8,안내!$C$10)</f>
        <v>06:30</v>
      </c>
      <c r="T8" s="17" t="str">
        <f aca="false">CHOOSE(WEEKDAY(R8,2),"월","화","수","목","금","토","일")</f>
        <v>월</v>
      </c>
      <c r="U8" s="17" t="s">
        <v>78</v>
      </c>
      <c r="V8" s="17" t="s">
        <v>78</v>
      </c>
      <c r="W8" s="23"/>
      <c r="X8" s="23"/>
      <c r="Y8" s="21"/>
    </row>
    <row r="9" customFormat="false" ht="15" hidden="false" customHeight="false" outlineLevel="0" collapsed="false">
      <c r="A9" s="16" t="n">
        <v>8</v>
      </c>
      <c r="B9" s="15" t="s">
        <v>106</v>
      </c>
      <c r="C9" s="16" t="s">
        <v>70</v>
      </c>
      <c r="D9" s="16" t="n">
        <v>8</v>
      </c>
      <c r="E9" s="16" t="str">
        <f aca="false">C9&amp;"말씀 #"&amp;TEXT(D9,"000")</f>
        <v>구약말씀 #008</v>
      </c>
      <c r="F9" s="17" t="s">
        <v>71</v>
      </c>
      <c r="G9" s="18" t="s">
        <v>107</v>
      </c>
      <c r="H9" s="19" t="s">
        <v>108</v>
      </c>
      <c r="I9" s="17" t="s">
        <v>98</v>
      </c>
      <c r="J9" s="17" t="s">
        <v>99</v>
      </c>
      <c r="K9" s="20"/>
      <c r="L9" s="17" t="s">
        <v>76</v>
      </c>
      <c r="M9" s="17" t="n">
        <f aca="false">LEN(K9)</f>
        <v>0</v>
      </c>
      <c r="N9" s="17" t="str">
        <f aca="false">IF(M9=0,"-",ROUND(3+M9/안내!$C$12,0))</f>
        <v>-</v>
      </c>
      <c r="O9" s="21" t="str">
        <f aca="false">IF(K9="","(본문 입력 후 자동) | 창 6:8",IF(LEN(K9)&gt;28,LEFT(K9,28)&amp;"…",K9)&amp;" | 창 6:8")</f>
        <v>(본문 입력 후 자동) | 창 6:8</v>
      </c>
      <c r="P9" s="21" t="str">
        <f aca="false">"#"&amp;SUBSTITUTE(안내!$C$5," ","")&amp;" #성경구절 #말씀 #창세기 #은혜"</f>
        <v>#오늘의말씀 #성경구절 #말씀 #창세기 #은혜</v>
      </c>
      <c r="Q9" s="21" t="s">
        <v>77</v>
      </c>
      <c r="R9" s="22" t="n">
        <f aca="false">안내!$C$6+INT((D9-1)/안내!$C$7)</f>
        <v>46391</v>
      </c>
      <c r="S9" s="17" t="str">
        <f aca="false">IF(MOD(D9-1,안내!$C$7)=0,안내!$C$8,안내!$C$10)</f>
        <v>18:30</v>
      </c>
      <c r="T9" s="17" t="str">
        <f aca="false">CHOOSE(WEEKDAY(R9,2),"월","화","수","목","금","토","일")</f>
        <v>월</v>
      </c>
      <c r="U9" s="17" t="s">
        <v>78</v>
      </c>
      <c r="V9" s="17" t="s">
        <v>78</v>
      </c>
      <c r="W9" s="23"/>
      <c r="X9" s="23"/>
      <c r="Y9" s="21"/>
    </row>
    <row r="10" customFormat="false" ht="15" hidden="false" customHeight="false" outlineLevel="0" collapsed="false">
      <c r="A10" s="16" t="n">
        <v>9</v>
      </c>
      <c r="B10" s="15" t="s">
        <v>109</v>
      </c>
      <c r="C10" s="16" t="s">
        <v>70</v>
      </c>
      <c r="D10" s="16" t="n">
        <v>9</v>
      </c>
      <c r="E10" s="16" t="str">
        <f aca="false">C10&amp;"말씀 #"&amp;TEXT(D10,"000")</f>
        <v>구약말씀 #009</v>
      </c>
      <c r="F10" s="17" t="s">
        <v>71</v>
      </c>
      <c r="G10" s="18" t="s">
        <v>110</v>
      </c>
      <c r="H10" s="19" t="s">
        <v>111</v>
      </c>
      <c r="I10" s="17" t="s">
        <v>112</v>
      </c>
      <c r="J10" s="17" t="s">
        <v>113</v>
      </c>
      <c r="K10" s="20"/>
      <c r="L10" s="17" t="s">
        <v>76</v>
      </c>
      <c r="M10" s="17" t="n">
        <f aca="false">LEN(K10)</f>
        <v>0</v>
      </c>
      <c r="N10" s="17" t="str">
        <f aca="false">IF(M10=0,"-",ROUND(3+M10/안내!$C$12,0))</f>
        <v>-</v>
      </c>
      <c r="O10" s="21" t="str">
        <f aca="false">IF(K10="","(본문 입력 후 자동) | 창 8:22",IF(LEN(K10)&gt;28,LEFT(K10,28)&amp;"…",K10)&amp;" | 창 8:22")</f>
        <v>(본문 입력 후 자동) | 창 8:22</v>
      </c>
      <c r="P10" s="21" t="str">
        <f aca="false">"#"&amp;SUBSTITUTE(안내!$C$5," ","")&amp;" #성경구절 #말씀 #창세기 #신실하심"</f>
        <v>#오늘의말씀 #성경구절 #말씀 #창세기 #신실하심</v>
      </c>
      <c r="Q10" s="21" t="s">
        <v>77</v>
      </c>
      <c r="R10" s="22" t="n">
        <f aca="false">안내!$C$6+INT((D10-1)/안내!$C$7)</f>
        <v>46392</v>
      </c>
      <c r="S10" s="17" t="str">
        <f aca="false">IF(MOD(D10-1,안내!$C$7)=0,안내!$C$8,안내!$C$10)</f>
        <v>06:30</v>
      </c>
      <c r="T10" s="17" t="str">
        <f aca="false">CHOOSE(WEEKDAY(R10,2),"월","화","수","목","금","토","일")</f>
        <v>화</v>
      </c>
      <c r="U10" s="17" t="s">
        <v>78</v>
      </c>
      <c r="V10" s="17" t="s">
        <v>78</v>
      </c>
      <c r="W10" s="23"/>
      <c r="X10" s="23"/>
      <c r="Y10" s="21"/>
    </row>
    <row r="11" customFormat="false" ht="15" hidden="false" customHeight="false" outlineLevel="0" collapsed="false">
      <c r="A11" s="16" t="n">
        <v>10</v>
      </c>
      <c r="B11" s="15" t="s">
        <v>114</v>
      </c>
      <c r="C11" s="16" t="s">
        <v>70</v>
      </c>
      <c r="D11" s="16" t="n">
        <v>10</v>
      </c>
      <c r="E11" s="16" t="str">
        <f aca="false">C11&amp;"말씀 #"&amp;TEXT(D11,"000")</f>
        <v>구약말씀 #010</v>
      </c>
      <c r="F11" s="17" t="s">
        <v>71</v>
      </c>
      <c r="G11" s="18" t="s">
        <v>115</v>
      </c>
      <c r="H11" s="19" t="s">
        <v>116</v>
      </c>
      <c r="I11" s="17" t="s">
        <v>117</v>
      </c>
      <c r="J11" s="17" t="s">
        <v>104</v>
      </c>
      <c r="K11" s="20"/>
      <c r="L11" s="17" t="s">
        <v>76</v>
      </c>
      <c r="M11" s="17" t="n">
        <f aca="false">LEN(K11)</f>
        <v>0</v>
      </c>
      <c r="N11" s="17" t="str">
        <f aca="false">IF(M11=0,"-",ROUND(3+M11/안내!$C$12,0))</f>
        <v>-</v>
      </c>
      <c r="O11" s="21" t="str">
        <f aca="false">IF(K11="","(본문 입력 후 자동) | 창 9:13",IF(LEN(K11)&gt;28,LEFT(K11,28)&amp;"…",K11)&amp;" | 창 9:13")</f>
        <v>(본문 입력 후 자동) | 창 9:13</v>
      </c>
      <c r="P11" s="21" t="str">
        <f aca="false">"#"&amp;SUBSTITUTE(안내!$C$5," ","")&amp;" #성경구절 #말씀 #창세기 #언약"</f>
        <v>#오늘의말씀 #성경구절 #말씀 #창세기 #언약</v>
      </c>
      <c r="Q11" s="21" t="s">
        <v>77</v>
      </c>
      <c r="R11" s="22" t="n">
        <f aca="false">안내!$C$6+INT((D11-1)/안내!$C$7)</f>
        <v>46392</v>
      </c>
      <c r="S11" s="17" t="str">
        <f aca="false">IF(MOD(D11-1,안내!$C$7)=0,안내!$C$8,안내!$C$10)</f>
        <v>18:30</v>
      </c>
      <c r="T11" s="17" t="str">
        <f aca="false">CHOOSE(WEEKDAY(R11,2),"월","화","수","목","금","토","일")</f>
        <v>화</v>
      </c>
      <c r="U11" s="17" t="s">
        <v>78</v>
      </c>
      <c r="V11" s="17" t="s">
        <v>78</v>
      </c>
      <c r="W11" s="23"/>
      <c r="X11" s="23"/>
      <c r="Y11" s="21"/>
    </row>
    <row r="12" customFormat="false" ht="15" hidden="false" customHeight="false" outlineLevel="0" collapsed="false">
      <c r="A12" s="16" t="n">
        <v>11</v>
      </c>
      <c r="B12" s="15" t="s">
        <v>118</v>
      </c>
      <c r="C12" s="16" t="s">
        <v>70</v>
      </c>
      <c r="D12" s="16" t="n">
        <v>11</v>
      </c>
      <c r="E12" s="16" t="str">
        <f aca="false">C12&amp;"말씀 #"&amp;TEXT(D12,"000")</f>
        <v>구약말씀 #011</v>
      </c>
      <c r="F12" s="17" t="s">
        <v>71</v>
      </c>
      <c r="G12" s="18" t="s">
        <v>119</v>
      </c>
      <c r="H12" s="19" t="s">
        <v>120</v>
      </c>
      <c r="I12" s="17" t="s">
        <v>121</v>
      </c>
      <c r="J12" s="17" t="s">
        <v>122</v>
      </c>
      <c r="K12" s="20"/>
      <c r="L12" s="17" t="s">
        <v>76</v>
      </c>
      <c r="M12" s="17" t="n">
        <f aca="false">LEN(K12)</f>
        <v>0</v>
      </c>
      <c r="N12" s="17" t="str">
        <f aca="false">IF(M12=0,"-",ROUND(3+M12/안내!$C$12,0))</f>
        <v>-</v>
      </c>
      <c r="O12" s="21" t="str">
        <f aca="false">IF(K12="","(본문 입력 후 자동) | 창 12:1",IF(LEN(K12)&gt;28,LEFT(K12,28)&amp;"…",K12)&amp;" | 창 12:1")</f>
        <v>(본문 입력 후 자동) | 창 12:1</v>
      </c>
      <c r="P12" s="21" t="str">
        <f aca="false">"#"&amp;SUBSTITUTE(안내!$C$5," ","")&amp;" #성경구절 #말씀 #창세기 #순종"</f>
        <v>#오늘의말씀 #성경구절 #말씀 #창세기 #순종</v>
      </c>
      <c r="Q12" s="21" t="s">
        <v>77</v>
      </c>
      <c r="R12" s="22" t="n">
        <f aca="false">안내!$C$6+INT((D12-1)/안내!$C$7)</f>
        <v>46393</v>
      </c>
      <c r="S12" s="17" t="str">
        <f aca="false">IF(MOD(D12-1,안내!$C$7)=0,안내!$C$8,안내!$C$10)</f>
        <v>06:30</v>
      </c>
      <c r="T12" s="17" t="str">
        <f aca="false">CHOOSE(WEEKDAY(R12,2),"월","화","수","목","금","토","일")</f>
        <v>수</v>
      </c>
      <c r="U12" s="17" t="s">
        <v>78</v>
      </c>
      <c r="V12" s="17" t="s">
        <v>78</v>
      </c>
      <c r="W12" s="23"/>
      <c r="X12" s="23"/>
      <c r="Y12" s="21"/>
    </row>
    <row r="13" customFormat="false" ht="15" hidden="false" customHeight="false" outlineLevel="0" collapsed="false">
      <c r="A13" s="16" t="n">
        <v>12</v>
      </c>
      <c r="B13" s="15" t="s">
        <v>123</v>
      </c>
      <c r="C13" s="16" t="s">
        <v>70</v>
      </c>
      <c r="D13" s="16" t="n">
        <v>12</v>
      </c>
      <c r="E13" s="16" t="str">
        <f aca="false">C13&amp;"말씀 #"&amp;TEXT(D13,"000")</f>
        <v>구약말씀 #012</v>
      </c>
      <c r="F13" s="17" t="s">
        <v>71</v>
      </c>
      <c r="G13" s="18" t="s">
        <v>124</v>
      </c>
      <c r="H13" s="19" t="s">
        <v>125</v>
      </c>
      <c r="I13" s="17" t="s">
        <v>117</v>
      </c>
      <c r="J13" s="17" t="s">
        <v>104</v>
      </c>
      <c r="K13" s="20"/>
      <c r="L13" s="17" t="s">
        <v>76</v>
      </c>
      <c r="M13" s="17" t="n">
        <f aca="false">LEN(K13)</f>
        <v>0</v>
      </c>
      <c r="N13" s="17" t="str">
        <f aca="false">IF(M13=0,"-",ROUND(3+M13/안내!$C$12,0))</f>
        <v>-</v>
      </c>
      <c r="O13" s="21" t="str">
        <f aca="false">IF(K13="","(본문 입력 후 자동) | 창 12:2",IF(LEN(K13)&gt;28,LEFT(K13,28)&amp;"…",K13)&amp;" | 창 12:2")</f>
        <v>(본문 입력 후 자동) | 창 12:2</v>
      </c>
      <c r="P13" s="21" t="str">
        <f aca="false">"#"&amp;SUBSTITUTE(안내!$C$5," ","")&amp;" #성경구절 #말씀 #창세기 #언약"</f>
        <v>#오늘의말씀 #성경구절 #말씀 #창세기 #언약</v>
      </c>
      <c r="Q13" s="21" t="s">
        <v>77</v>
      </c>
      <c r="R13" s="22" t="n">
        <f aca="false">안내!$C$6+INT((D13-1)/안내!$C$7)</f>
        <v>46393</v>
      </c>
      <c r="S13" s="17" t="str">
        <f aca="false">IF(MOD(D13-1,안내!$C$7)=0,안내!$C$8,안내!$C$10)</f>
        <v>18:30</v>
      </c>
      <c r="T13" s="17" t="str">
        <f aca="false">CHOOSE(WEEKDAY(R13,2),"월","화","수","목","금","토","일")</f>
        <v>수</v>
      </c>
      <c r="U13" s="17" t="s">
        <v>78</v>
      </c>
      <c r="V13" s="17" t="s">
        <v>78</v>
      </c>
      <c r="W13" s="23"/>
      <c r="X13" s="23"/>
      <c r="Y13" s="21"/>
    </row>
    <row r="14" customFormat="false" ht="15" hidden="false" customHeight="false" outlineLevel="0" collapsed="false">
      <c r="A14" s="16" t="n">
        <v>13</v>
      </c>
      <c r="B14" s="15" t="s">
        <v>126</v>
      </c>
      <c r="C14" s="16" t="s">
        <v>70</v>
      </c>
      <c r="D14" s="16" t="n">
        <v>13</v>
      </c>
      <c r="E14" s="16" t="str">
        <f aca="false">C14&amp;"말씀 #"&amp;TEXT(D14,"000")</f>
        <v>구약말씀 #013</v>
      </c>
      <c r="F14" s="17" t="s">
        <v>71</v>
      </c>
      <c r="G14" s="18" t="s">
        <v>127</v>
      </c>
      <c r="H14" s="19" t="s">
        <v>128</v>
      </c>
      <c r="I14" s="17" t="s">
        <v>129</v>
      </c>
      <c r="J14" s="17" t="s">
        <v>99</v>
      </c>
      <c r="K14" s="20"/>
      <c r="L14" s="17" t="s">
        <v>76</v>
      </c>
      <c r="M14" s="17" t="n">
        <f aca="false">LEN(K14)</f>
        <v>0</v>
      </c>
      <c r="N14" s="17" t="str">
        <f aca="false">IF(M14=0,"-",ROUND(3+M14/안내!$C$12,0))</f>
        <v>-</v>
      </c>
      <c r="O14" s="21" t="str">
        <f aca="false">IF(K14="","(본문 입력 후 자동) | 창 15:1",IF(LEN(K14)&gt;28,LEFT(K14,28)&amp;"…",K14)&amp;" | 창 15:1")</f>
        <v>(본문 입력 후 자동) | 창 15:1</v>
      </c>
      <c r="P14" s="21" t="str">
        <f aca="false">"#"&amp;SUBSTITUTE(안내!$C$5," ","")&amp;" #성경구절 #말씀 #창세기 #위로"</f>
        <v>#오늘의말씀 #성경구절 #말씀 #창세기 #위로</v>
      </c>
      <c r="Q14" s="21" t="s">
        <v>77</v>
      </c>
      <c r="R14" s="22" t="n">
        <f aca="false">안내!$C$6+INT((D14-1)/안내!$C$7)</f>
        <v>46394</v>
      </c>
      <c r="S14" s="17" t="str">
        <f aca="false">IF(MOD(D14-1,안내!$C$7)=0,안내!$C$8,안내!$C$10)</f>
        <v>06:30</v>
      </c>
      <c r="T14" s="17" t="str">
        <f aca="false">CHOOSE(WEEKDAY(R14,2),"월","화","수","목","금","토","일")</f>
        <v>목</v>
      </c>
      <c r="U14" s="17" t="s">
        <v>78</v>
      </c>
      <c r="V14" s="17" t="s">
        <v>78</v>
      </c>
      <c r="W14" s="23"/>
      <c r="X14" s="23"/>
      <c r="Y14" s="21"/>
    </row>
    <row r="15" customFormat="false" ht="15" hidden="false" customHeight="false" outlineLevel="0" collapsed="false">
      <c r="A15" s="16" t="n">
        <v>14</v>
      </c>
      <c r="B15" s="15" t="s">
        <v>130</v>
      </c>
      <c r="C15" s="16" t="s">
        <v>70</v>
      </c>
      <c r="D15" s="16" t="n">
        <v>14</v>
      </c>
      <c r="E15" s="16" t="str">
        <f aca="false">C15&amp;"말씀 #"&amp;TEXT(D15,"000")</f>
        <v>구약말씀 #014</v>
      </c>
      <c r="F15" s="17" t="s">
        <v>71</v>
      </c>
      <c r="G15" s="18" t="s">
        <v>131</v>
      </c>
      <c r="H15" s="19" t="s">
        <v>132</v>
      </c>
      <c r="I15" s="17" t="s">
        <v>133</v>
      </c>
      <c r="J15" s="17" t="s">
        <v>113</v>
      </c>
      <c r="K15" s="20"/>
      <c r="L15" s="17" t="s">
        <v>76</v>
      </c>
      <c r="M15" s="17" t="n">
        <f aca="false">LEN(K15)</f>
        <v>0</v>
      </c>
      <c r="N15" s="17" t="str">
        <f aca="false">IF(M15=0,"-",ROUND(3+M15/안내!$C$12,0))</f>
        <v>-</v>
      </c>
      <c r="O15" s="21" t="str">
        <f aca="false">IF(K15="","(본문 입력 후 자동) | 창 15:6",IF(LEN(K15)&gt;28,LEFT(K15,28)&amp;"…",K15)&amp;" | 창 15:6")</f>
        <v>(본문 입력 후 자동) | 창 15:6</v>
      </c>
      <c r="P15" s="21" t="str">
        <f aca="false">"#"&amp;SUBSTITUTE(안내!$C$5," ","")&amp;" #성경구절 #말씀 #창세기 #믿음"</f>
        <v>#오늘의말씀 #성경구절 #말씀 #창세기 #믿음</v>
      </c>
      <c r="Q15" s="21" t="s">
        <v>77</v>
      </c>
      <c r="R15" s="22" t="n">
        <f aca="false">안내!$C$6+INT((D15-1)/안내!$C$7)</f>
        <v>46394</v>
      </c>
      <c r="S15" s="17" t="str">
        <f aca="false">IF(MOD(D15-1,안내!$C$7)=0,안내!$C$8,안내!$C$10)</f>
        <v>18:30</v>
      </c>
      <c r="T15" s="17" t="str">
        <f aca="false">CHOOSE(WEEKDAY(R15,2),"월","화","수","목","금","토","일")</f>
        <v>목</v>
      </c>
      <c r="U15" s="17" t="s">
        <v>78</v>
      </c>
      <c r="V15" s="17" t="s">
        <v>78</v>
      </c>
      <c r="W15" s="23"/>
      <c r="X15" s="23"/>
      <c r="Y15" s="21"/>
    </row>
    <row r="16" customFormat="false" ht="25.35" hidden="false" customHeight="false" outlineLevel="0" collapsed="false">
      <c r="A16" s="16" t="n">
        <v>15</v>
      </c>
      <c r="B16" s="15" t="s">
        <v>134</v>
      </c>
      <c r="C16" s="16" t="s">
        <v>70</v>
      </c>
      <c r="D16" s="16" t="n">
        <v>15</v>
      </c>
      <c r="E16" s="16" t="str">
        <f aca="false">C16&amp;"말씀 #"&amp;TEXT(D16,"000")</f>
        <v>구약말씀 #015</v>
      </c>
      <c r="F16" s="17" t="s">
        <v>71</v>
      </c>
      <c r="G16" s="18" t="s">
        <v>135</v>
      </c>
      <c r="H16" s="19" t="s">
        <v>136</v>
      </c>
      <c r="I16" s="17" t="s">
        <v>129</v>
      </c>
      <c r="J16" s="17" t="s">
        <v>99</v>
      </c>
      <c r="K16" s="20"/>
      <c r="L16" s="17" t="s">
        <v>76</v>
      </c>
      <c r="M16" s="17" t="n">
        <f aca="false">LEN(K16)</f>
        <v>0</v>
      </c>
      <c r="N16" s="17" t="str">
        <f aca="false">IF(M16=0,"-",ROUND(3+M16/안내!$C$12,0))</f>
        <v>-</v>
      </c>
      <c r="O16" s="21" t="str">
        <f aca="false">IF(K16="","(본문 입력 후 자동) | 창 16:13",IF(LEN(K16)&gt;28,LEFT(K16,28)&amp;"…",K16)&amp;" | 창 16:13")</f>
        <v>(본문 입력 후 자동) | 창 16:13</v>
      </c>
      <c r="P16" s="21" t="str">
        <f aca="false">"#"&amp;SUBSTITUTE(안내!$C$5," ","")&amp;" #성경구절 #말씀 #창세기 #위로"</f>
        <v>#오늘의말씀 #성경구절 #말씀 #창세기 #위로</v>
      </c>
      <c r="Q16" s="21" t="s">
        <v>77</v>
      </c>
      <c r="R16" s="22" t="n">
        <f aca="false">안내!$C$6+INT((D16-1)/안내!$C$7)</f>
        <v>46395</v>
      </c>
      <c r="S16" s="17" t="str">
        <f aca="false">IF(MOD(D16-1,안내!$C$7)=0,안내!$C$8,안내!$C$10)</f>
        <v>06:30</v>
      </c>
      <c r="T16" s="17" t="str">
        <f aca="false">CHOOSE(WEEKDAY(R16,2),"월","화","수","목","금","토","일")</f>
        <v>금</v>
      </c>
      <c r="U16" s="17" t="s">
        <v>78</v>
      </c>
      <c r="V16" s="17" t="s">
        <v>78</v>
      </c>
      <c r="W16" s="23"/>
      <c r="X16" s="23"/>
      <c r="Y16" s="21"/>
    </row>
    <row r="17" customFormat="false" ht="25.35" hidden="false" customHeight="false" outlineLevel="0" collapsed="false">
      <c r="A17" s="16" t="n">
        <v>16</v>
      </c>
      <c r="B17" s="15" t="s">
        <v>137</v>
      </c>
      <c r="C17" s="16" t="s">
        <v>70</v>
      </c>
      <c r="D17" s="16" t="n">
        <v>16</v>
      </c>
      <c r="E17" s="16" t="str">
        <f aca="false">C17&amp;"말씀 #"&amp;TEXT(D17,"000")</f>
        <v>구약말씀 #016</v>
      </c>
      <c r="F17" s="17" t="s">
        <v>71</v>
      </c>
      <c r="G17" s="18" t="s">
        <v>138</v>
      </c>
      <c r="H17" s="19" t="s">
        <v>139</v>
      </c>
      <c r="I17" s="17" t="s">
        <v>140</v>
      </c>
      <c r="J17" s="17" t="s">
        <v>113</v>
      </c>
      <c r="K17" s="20"/>
      <c r="L17" s="17" t="s">
        <v>76</v>
      </c>
      <c r="M17" s="17" t="n">
        <f aca="false">LEN(K17)</f>
        <v>0</v>
      </c>
      <c r="N17" s="17" t="str">
        <f aca="false">IF(M17=0,"-",ROUND(3+M17/안내!$C$12,0))</f>
        <v>-</v>
      </c>
      <c r="O17" s="21" t="str">
        <f aca="false">IF(K17="","(본문 입력 후 자동) | 창 18:14",IF(LEN(K17)&gt;28,LEFT(K17,28)&amp;"…",K17)&amp;" | 창 18:14")</f>
        <v>(본문 입력 후 자동) | 창 18:14</v>
      </c>
      <c r="P17" s="21" t="str">
        <f aca="false">"#"&amp;SUBSTITUTE(안내!$C$5," ","")&amp;" #성경구절 #말씀 #창세기 #능력"</f>
        <v>#오늘의말씀 #성경구절 #말씀 #창세기 #능력</v>
      </c>
      <c r="Q17" s="21" t="s">
        <v>77</v>
      </c>
      <c r="R17" s="22" t="n">
        <f aca="false">안내!$C$6+INT((D17-1)/안내!$C$7)</f>
        <v>46395</v>
      </c>
      <c r="S17" s="17" t="str">
        <f aca="false">IF(MOD(D17-1,안내!$C$7)=0,안내!$C$8,안내!$C$10)</f>
        <v>18:30</v>
      </c>
      <c r="T17" s="17" t="str">
        <f aca="false">CHOOSE(WEEKDAY(R17,2),"월","화","수","목","금","토","일")</f>
        <v>금</v>
      </c>
      <c r="U17" s="17" t="s">
        <v>78</v>
      </c>
      <c r="V17" s="17" t="s">
        <v>78</v>
      </c>
      <c r="W17" s="23"/>
      <c r="X17" s="23"/>
      <c r="Y17" s="21"/>
    </row>
    <row r="18" customFormat="false" ht="15" hidden="false" customHeight="false" outlineLevel="0" collapsed="false">
      <c r="A18" s="16" t="n">
        <v>17</v>
      </c>
      <c r="B18" s="15" t="s">
        <v>141</v>
      </c>
      <c r="C18" s="16" t="s">
        <v>70</v>
      </c>
      <c r="D18" s="16" t="n">
        <v>17</v>
      </c>
      <c r="E18" s="16" t="str">
        <f aca="false">C18&amp;"말씀 #"&amp;TEXT(D18,"000")</f>
        <v>구약말씀 #017</v>
      </c>
      <c r="F18" s="17" t="s">
        <v>71</v>
      </c>
      <c r="G18" s="18" t="s">
        <v>142</v>
      </c>
      <c r="H18" s="19" t="s">
        <v>143</v>
      </c>
      <c r="I18" s="17" t="s">
        <v>133</v>
      </c>
      <c r="J18" s="17" t="s">
        <v>113</v>
      </c>
      <c r="K18" s="20"/>
      <c r="L18" s="17" t="s">
        <v>76</v>
      </c>
      <c r="M18" s="17" t="n">
        <f aca="false">LEN(K18)</f>
        <v>0</v>
      </c>
      <c r="N18" s="17" t="str">
        <f aca="false">IF(M18=0,"-",ROUND(3+M18/안내!$C$12,0))</f>
        <v>-</v>
      </c>
      <c r="O18" s="21" t="str">
        <f aca="false">IF(K18="","(본문 입력 후 자동) | 창 22:8",IF(LEN(K18)&gt;28,LEFT(K18,28)&amp;"…",K18)&amp;" | 창 22:8")</f>
        <v>(본문 입력 후 자동) | 창 22:8</v>
      </c>
      <c r="P18" s="21" t="str">
        <f aca="false">"#"&amp;SUBSTITUTE(안내!$C$5," ","")&amp;" #성경구절 #말씀 #창세기 #믿음"</f>
        <v>#오늘의말씀 #성경구절 #말씀 #창세기 #믿음</v>
      </c>
      <c r="Q18" s="21" t="s">
        <v>77</v>
      </c>
      <c r="R18" s="22" t="n">
        <f aca="false">안내!$C$6+INT((D18-1)/안내!$C$7)</f>
        <v>46396</v>
      </c>
      <c r="S18" s="17" t="str">
        <f aca="false">IF(MOD(D18-1,안내!$C$7)=0,안내!$C$8,안내!$C$10)</f>
        <v>06:30</v>
      </c>
      <c r="T18" s="17" t="str">
        <f aca="false">CHOOSE(WEEKDAY(R18,2),"월","화","수","목","금","토","일")</f>
        <v>토</v>
      </c>
      <c r="U18" s="17" t="s">
        <v>78</v>
      </c>
      <c r="V18" s="17" t="s">
        <v>78</v>
      </c>
      <c r="W18" s="23"/>
      <c r="X18" s="23"/>
      <c r="Y18" s="21"/>
    </row>
    <row r="19" customFormat="false" ht="25.35" hidden="false" customHeight="false" outlineLevel="0" collapsed="false">
      <c r="A19" s="16" t="n">
        <v>18</v>
      </c>
      <c r="B19" s="15" t="s">
        <v>144</v>
      </c>
      <c r="C19" s="16" t="s">
        <v>70</v>
      </c>
      <c r="D19" s="16" t="n">
        <v>18</v>
      </c>
      <c r="E19" s="16" t="str">
        <f aca="false">C19&amp;"말씀 #"&amp;TEXT(D19,"000")</f>
        <v>구약말씀 #018</v>
      </c>
      <c r="F19" s="17" t="s">
        <v>71</v>
      </c>
      <c r="G19" s="18" t="s">
        <v>145</v>
      </c>
      <c r="H19" s="19" t="s">
        <v>146</v>
      </c>
      <c r="I19" s="17" t="s">
        <v>147</v>
      </c>
      <c r="J19" s="17" t="s">
        <v>148</v>
      </c>
      <c r="K19" s="20"/>
      <c r="L19" s="17" t="s">
        <v>76</v>
      </c>
      <c r="M19" s="17" t="n">
        <f aca="false">LEN(K19)</f>
        <v>0</v>
      </c>
      <c r="N19" s="17" t="str">
        <f aca="false">IF(M19=0,"-",ROUND(3+M19/안내!$C$12,0))</f>
        <v>-</v>
      </c>
      <c r="O19" s="21" t="str">
        <f aca="false">IF(K19="","(본문 입력 후 자동) | 창 22:14",IF(LEN(K19)&gt;28,LEFT(K19,28)&amp;"…",K19)&amp;" | 창 22:14")</f>
        <v>(본문 입력 후 자동) | 창 22:14</v>
      </c>
      <c r="P19" s="21" t="str">
        <f aca="false">"#"&amp;SUBSTITUTE(안내!$C$5," ","")&amp;" #성경구절 #말씀 #창세기 #공급하심"</f>
        <v>#오늘의말씀 #성경구절 #말씀 #창세기 #공급하심</v>
      </c>
      <c r="Q19" s="21" t="s">
        <v>77</v>
      </c>
      <c r="R19" s="22" t="n">
        <f aca="false">안내!$C$6+INT((D19-1)/안내!$C$7)</f>
        <v>46396</v>
      </c>
      <c r="S19" s="17" t="str">
        <f aca="false">IF(MOD(D19-1,안내!$C$7)=0,안내!$C$8,안내!$C$10)</f>
        <v>18:30</v>
      </c>
      <c r="T19" s="17" t="str">
        <f aca="false">CHOOSE(WEEKDAY(R19,2),"월","화","수","목","금","토","일")</f>
        <v>토</v>
      </c>
      <c r="U19" s="17" t="s">
        <v>78</v>
      </c>
      <c r="V19" s="17" t="s">
        <v>78</v>
      </c>
      <c r="W19" s="23"/>
      <c r="X19" s="23"/>
      <c r="Y19" s="21"/>
    </row>
    <row r="20" customFormat="false" ht="25.35" hidden="false" customHeight="false" outlineLevel="0" collapsed="false">
      <c r="A20" s="16" t="n">
        <v>19</v>
      </c>
      <c r="B20" s="15" t="s">
        <v>149</v>
      </c>
      <c r="C20" s="16" t="s">
        <v>70</v>
      </c>
      <c r="D20" s="16" t="n">
        <v>19</v>
      </c>
      <c r="E20" s="16" t="str">
        <f aca="false">C20&amp;"말씀 #"&amp;TEXT(D20,"000")</f>
        <v>구약말씀 #019</v>
      </c>
      <c r="F20" s="17" t="s">
        <v>71</v>
      </c>
      <c r="G20" s="18" t="s">
        <v>150</v>
      </c>
      <c r="H20" s="19" t="s">
        <v>151</v>
      </c>
      <c r="I20" s="17" t="s">
        <v>152</v>
      </c>
      <c r="J20" s="17" t="s">
        <v>122</v>
      </c>
      <c r="K20" s="20"/>
      <c r="L20" s="17" t="s">
        <v>76</v>
      </c>
      <c r="M20" s="17" t="n">
        <f aca="false">LEN(K20)</f>
        <v>0</v>
      </c>
      <c r="N20" s="17" t="str">
        <f aca="false">IF(M20=0,"-",ROUND(3+M20/안내!$C$12,0))</f>
        <v>-</v>
      </c>
      <c r="O20" s="21" t="str">
        <f aca="false">IF(K20="","(본문 입력 후 자동) | 창 28:15",IF(LEN(K20)&gt;28,LEFT(K20,28)&amp;"…",K20)&amp;" | 창 28:15")</f>
        <v>(본문 입력 후 자동) | 창 28:15</v>
      </c>
      <c r="P20" s="21" t="str">
        <f aca="false">"#"&amp;SUBSTITUTE(안내!$C$5," ","")&amp;" #성경구절 #말씀 #창세기 #동행"</f>
        <v>#오늘의말씀 #성경구절 #말씀 #창세기 #동행</v>
      </c>
      <c r="Q20" s="21" t="s">
        <v>77</v>
      </c>
      <c r="R20" s="22" t="n">
        <f aca="false">안내!$C$6+INT((D20-1)/안내!$C$7)</f>
        <v>46397</v>
      </c>
      <c r="S20" s="17" t="str">
        <f aca="false">IF(MOD(D20-1,안내!$C$7)=0,안내!$C$8,안내!$C$10)</f>
        <v>06:30</v>
      </c>
      <c r="T20" s="17" t="str">
        <f aca="false">CHOOSE(WEEKDAY(R20,2),"월","화","수","목","금","토","일")</f>
        <v>일</v>
      </c>
      <c r="U20" s="17" t="s">
        <v>78</v>
      </c>
      <c r="V20" s="17" t="s">
        <v>78</v>
      </c>
      <c r="W20" s="23"/>
      <c r="X20" s="23"/>
      <c r="Y20" s="21"/>
    </row>
    <row r="21" customFormat="false" ht="25.35" hidden="false" customHeight="false" outlineLevel="0" collapsed="false">
      <c r="A21" s="16" t="n">
        <v>20</v>
      </c>
      <c r="B21" s="15" t="s">
        <v>153</v>
      </c>
      <c r="C21" s="16" t="s">
        <v>70</v>
      </c>
      <c r="D21" s="16" t="n">
        <v>20</v>
      </c>
      <c r="E21" s="16" t="str">
        <f aca="false">C21&amp;"말씀 #"&amp;TEXT(D21,"000")</f>
        <v>구약말씀 #020</v>
      </c>
      <c r="F21" s="17" t="s">
        <v>71</v>
      </c>
      <c r="G21" s="18" t="s">
        <v>154</v>
      </c>
      <c r="H21" s="19" t="s">
        <v>155</v>
      </c>
      <c r="I21" s="17" t="s">
        <v>156</v>
      </c>
      <c r="J21" s="17" t="s">
        <v>75</v>
      </c>
      <c r="K21" s="20"/>
      <c r="L21" s="17" t="s">
        <v>76</v>
      </c>
      <c r="M21" s="17" t="n">
        <f aca="false">LEN(K21)</f>
        <v>0</v>
      </c>
      <c r="N21" s="17" t="str">
        <f aca="false">IF(M21=0,"-",ROUND(3+M21/안내!$C$12,0))</f>
        <v>-</v>
      </c>
      <c r="O21" s="21" t="str">
        <f aca="false">IF(K21="","(본문 입력 후 자동) | 창 28:16",IF(LEN(K21)&gt;28,LEFT(K21,28)&amp;"…",K21)&amp;" | 창 28:16")</f>
        <v>(본문 입력 후 자동) | 창 28:16</v>
      </c>
      <c r="P21" s="21" t="str">
        <f aca="false">"#"&amp;SUBSTITUTE(안내!$C$5," ","")&amp;" #성경구절 #말씀 #창세기 #임재"</f>
        <v>#오늘의말씀 #성경구절 #말씀 #창세기 #임재</v>
      </c>
      <c r="Q21" s="21" t="s">
        <v>77</v>
      </c>
      <c r="R21" s="22" t="n">
        <f aca="false">안내!$C$6+INT((D21-1)/안내!$C$7)</f>
        <v>46397</v>
      </c>
      <c r="S21" s="17" t="str">
        <f aca="false">IF(MOD(D21-1,안내!$C$7)=0,안내!$C$8,안내!$C$10)</f>
        <v>18:30</v>
      </c>
      <c r="T21" s="17" t="str">
        <f aca="false">CHOOSE(WEEKDAY(R21,2),"월","화","수","목","금","토","일")</f>
        <v>일</v>
      </c>
      <c r="U21" s="17" t="s">
        <v>78</v>
      </c>
      <c r="V21" s="17" t="s">
        <v>78</v>
      </c>
      <c r="W21" s="23"/>
      <c r="X21" s="23"/>
      <c r="Y21" s="21"/>
    </row>
    <row r="22" customFormat="false" ht="25.35" hidden="false" customHeight="false" outlineLevel="0" collapsed="false">
      <c r="A22" s="16" t="n">
        <v>21</v>
      </c>
      <c r="B22" s="15" t="s">
        <v>157</v>
      </c>
      <c r="C22" s="16" t="s">
        <v>70</v>
      </c>
      <c r="D22" s="16" t="n">
        <v>21</v>
      </c>
      <c r="E22" s="16" t="str">
        <f aca="false">C22&amp;"말씀 #"&amp;TEXT(D22,"000")</f>
        <v>구약말씀 #021</v>
      </c>
      <c r="F22" s="17" t="s">
        <v>71</v>
      </c>
      <c r="G22" s="18" t="s">
        <v>158</v>
      </c>
      <c r="H22" s="19" t="s">
        <v>159</v>
      </c>
      <c r="I22" s="17" t="s">
        <v>160</v>
      </c>
      <c r="J22" s="17" t="s">
        <v>104</v>
      </c>
      <c r="K22" s="20"/>
      <c r="L22" s="17" t="s">
        <v>76</v>
      </c>
      <c r="M22" s="17" t="n">
        <f aca="false">LEN(K22)</f>
        <v>0</v>
      </c>
      <c r="N22" s="17" t="str">
        <f aca="false">IF(M22=0,"-",ROUND(3+M22/안내!$C$12,0))</f>
        <v>-</v>
      </c>
      <c r="O22" s="21" t="str">
        <f aca="false">IF(K22="","(본문 입력 후 자동) | 창 32:28",IF(LEN(K22)&gt;28,LEFT(K22,28)&amp;"…",K22)&amp;" | 창 32:28")</f>
        <v>(본문 입력 후 자동) | 창 32:28</v>
      </c>
      <c r="P22" s="21" t="str">
        <f aca="false">"#"&amp;SUBSTITUTE(안내!$C$5," ","")&amp;" #성경구절 #말씀 #창세기 #기도"</f>
        <v>#오늘의말씀 #성경구절 #말씀 #창세기 #기도</v>
      </c>
      <c r="Q22" s="21" t="s">
        <v>77</v>
      </c>
      <c r="R22" s="22" t="n">
        <f aca="false">안내!$C$6+INT((D22-1)/안내!$C$7)</f>
        <v>46398</v>
      </c>
      <c r="S22" s="17" t="str">
        <f aca="false">IF(MOD(D22-1,안내!$C$7)=0,안내!$C$8,안내!$C$10)</f>
        <v>06:30</v>
      </c>
      <c r="T22" s="17" t="str">
        <f aca="false">CHOOSE(WEEKDAY(R22,2),"월","화","수","목","금","토","일")</f>
        <v>월</v>
      </c>
      <c r="U22" s="17" t="s">
        <v>78</v>
      </c>
      <c r="V22" s="17" t="s">
        <v>78</v>
      </c>
      <c r="W22" s="23"/>
      <c r="X22" s="23"/>
      <c r="Y22" s="21"/>
    </row>
    <row r="23" customFormat="false" ht="15" hidden="false" customHeight="false" outlineLevel="0" collapsed="false">
      <c r="A23" s="16" t="n">
        <v>22</v>
      </c>
      <c r="B23" s="15" t="s">
        <v>161</v>
      </c>
      <c r="C23" s="16" t="s">
        <v>70</v>
      </c>
      <c r="D23" s="16" t="n">
        <v>22</v>
      </c>
      <c r="E23" s="16" t="str">
        <f aca="false">C23&amp;"말씀 #"&amp;TEXT(D23,"000")</f>
        <v>구약말씀 #022</v>
      </c>
      <c r="F23" s="17" t="s">
        <v>71</v>
      </c>
      <c r="G23" s="18" t="s">
        <v>162</v>
      </c>
      <c r="H23" s="19" t="s">
        <v>163</v>
      </c>
      <c r="I23" s="17" t="s">
        <v>152</v>
      </c>
      <c r="J23" s="17" t="s">
        <v>122</v>
      </c>
      <c r="K23" s="20"/>
      <c r="L23" s="17" t="s">
        <v>76</v>
      </c>
      <c r="M23" s="17" t="n">
        <f aca="false">LEN(K23)</f>
        <v>0</v>
      </c>
      <c r="N23" s="17" t="str">
        <f aca="false">IF(M23=0,"-",ROUND(3+M23/안내!$C$12,0))</f>
        <v>-</v>
      </c>
      <c r="O23" s="21" t="str">
        <f aca="false">IF(K23="","(본문 입력 후 자동) | 창 39:2",IF(LEN(K23)&gt;28,LEFT(K23,28)&amp;"…",K23)&amp;" | 창 39:2")</f>
        <v>(본문 입력 후 자동) | 창 39:2</v>
      </c>
      <c r="P23" s="21" t="str">
        <f aca="false">"#"&amp;SUBSTITUTE(안내!$C$5," ","")&amp;" #성경구절 #말씀 #창세기 #동행"</f>
        <v>#오늘의말씀 #성경구절 #말씀 #창세기 #동행</v>
      </c>
      <c r="Q23" s="21" t="s">
        <v>77</v>
      </c>
      <c r="R23" s="22" t="n">
        <f aca="false">안내!$C$6+INT((D23-1)/안내!$C$7)</f>
        <v>46398</v>
      </c>
      <c r="S23" s="17" t="str">
        <f aca="false">IF(MOD(D23-1,안내!$C$7)=0,안내!$C$8,안내!$C$10)</f>
        <v>18:30</v>
      </c>
      <c r="T23" s="17" t="str">
        <f aca="false">CHOOSE(WEEKDAY(R23,2),"월","화","수","목","금","토","일")</f>
        <v>월</v>
      </c>
      <c r="U23" s="17" t="s">
        <v>78</v>
      </c>
      <c r="V23" s="17" t="s">
        <v>78</v>
      </c>
      <c r="W23" s="23"/>
      <c r="X23" s="23"/>
      <c r="Y23" s="21"/>
    </row>
    <row r="24" customFormat="false" ht="25.35" hidden="false" customHeight="false" outlineLevel="0" collapsed="false">
      <c r="A24" s="16" t="n">
        <v>23</v>
      </c>
      <c r="B24" s="15" t="s">
        <v>164</v>
      </c>
      <c r="C24" s="16" t="s">
        <v>70</v>
      </c>
      <c r="D24" s="16" t="n">
        <v>23</v>
      </c>
      <c r="E24" s="16" t="str">
        <f aca="false">C24&amp;"말씀 #"&amp;TEXT(D24,"000")</f>
        <v>구약말씀 #023</v>
      </c>
      <c r="F24" s="17" t="s">
        <v>71</v>
      </c>
      <c r="G24" s="18" t="s">
        <v>165</v>
      </c>
      <c r="H24" s="19" t="s">
        <v>166</v>
      </c>
      <c r="I24" s="17" t="s">
        <v>167</v>
      </c>
      <c r="J24" s="17" t="s">
        <v>75</v>
      </c>
      <c r="K24" s="20"/>
      <c r="L24" s="17" t="s">
        <v>76</v>
      </c>
      <c r="M24" s="17" t="n">
        <f aca="false">LEN(K24)</f>
        <v>0</v>
      </c>
      <c r="N24" s="17" t="str">
        <f aca="false">IF(M24=0,"-",ROUND(3+M24/안내!$C$12,0))</f>
        <v>-</v>
      </c>
      <c r="O24" s="21" t="str">
        <f aca="false">IF(K24="","(본문 입력 후 자동) | 창 50:20",IF(LEN(K24)&gt;28,LEFT(K24,28)&amp;"…",K24)&amp;" | 창 50:20")</f>
        <v>(본문 입력 후 자동) | 창 50:20</v>
      </c>
      <c r="P24" s="21" t="str">
        <f aca="false">"#"&amp;SUBSTITUTE(안내!$C$5," ","")&amp;" #성경구절 #말씀 #창세기 #섭리"</f>
        <v>#오늘의말씀 #성경구절 #말씀 #창세기 #섭리</v>
      </c>
      <c r="Q24" s="21" t="s">
        <v>77</v>
      </c>
      <c r="R24" s="22" t="n">
        <f aca="false">안내!$C$6+INT((D24-1)/안내!$C$7)</f>
        <v>46399</v>
      </c>
      <c r="S24" s="17" t="str">
        <f aca="false">IF(MOD(D24-1,안내!$C$7)=0,안내!$C$8,안내!$C$10)</f>
        <v>06:30</v>
      </c>
      <c r="T24" s="17" t="str">
        <f aca="false">CHOOSE(WEEKDAY(R24,2),"월","화","수","목","금","토","일")</f>
        <v>화</v>
      </c>
      <c r="U24" s="17" t="s">
        <v>78</v>
      </c>
      <c r="V24" s="17" t="s">
        <v>78</v>
      </c>
      <c r="W24" s="23"/>
      <c r="X24" s="23"/>
      <c r="Y24" s="21"/>
    </row>
    <row r="25" customFormat="false" ht="15" hidden="false" customHeight="false" outlineLevel="0" collapsed="false">
      <c r="A25" s="16" t="n">
        <v>24</v>
      </c>
      <c r="B25" s="15" t="s">
        <v>168</v>
      </c>
      <c r="C25" s="16" t="s">
        <v>70</v>
      </c>
      <c r="D25" s="16" t="n">
        <v>24</v>
      </c>
      <c r="E25" s="16" t="str">
        <f aca="false">C25&amp;"말씀 #"&amp;TEXT(D25,"000")</f>
        <v>구약말씀 #024</v>
      </c>
      <c r="F25" s="17" t="s">
        <v>169</v>
      </c>
      <c r="G25" s="18" t="s">
        <v>170</v>
      </c>
      <c r="H25" s="19" t="s">
        <v>171</v>
      </c>
      <c r="I25" s="17" t="s">
        <v>172</v>
      </c>
      <c r="J25" s="17" t="s">
        <v>75</v>
      </c>
      <c r="K25" s="20"/>
      <c r="L25" s="17" t="s">
        <v>76</v>
      </c>
      <c r="M25" s="17" t="n">
        <f aca="false">LEN(K25)</f>
        <v>0</v>
      </c>
      <c r="N25" s="17" t="str">
        <f aca="false">IF(M25=0,"-",ROUND(3+M25/안내!$C$12,0))</f>
        <v>-</v>
      </c>
      <c r="O25" s="21" t="str">
        <f aca="false">IF(K25="","(본문 입력 후 자동) | 출 3:5",IF(LEN(K25)&gt;28,LEFT(K25,28)&amp;"…",K25)&amp;" | 출 3:5")</f>
        <v>(본문 입력 후 자동) | 출 3:5</v>
      </c>
      <c r="P25" s="21" t="str">
        <f aca="false">"#"&amp;SUBSTITUTE(안내!$C$5," ","")&amp;" #성경구절 #말씀 #출애굽기 #거룩"</f>
        <v>#오늘의말씀 #성경구절 #말씀 #출애굽기 #거룩</v>
      </c>
      <c r="Q25" s="21" t="s">
        <v>77</v>
      </c>
      <c r="R25" s="22" t="n">
        <f aca="false">안내!$C$6+INT((D25-1)/안내!$C$7)</f>
        <v>46399</v>
      </c>
      <c r="S25" s="17" t="str">
        <f aca="false">IF(MOD(D25-1,안내!$C$7)=0,안내!$C$8,안내!$C$10)</f>
        <v>18:30</v>
      </c>
      <c r="T25" s="17" t="str">
        <f aca="false">CHOOSE(WEEKDAY(R25,2),"월","화","수","목","금","토","일")</f>
        <v>화</v>
      </c>
      <c r="U25" s="17" t="s">
        <v>78</v>
      </c>
      <c r="V25" s="17" t="s">
        <v>78</v>
      </c>
      <c r="W25" s="23"/>
      <c r="X25" s="23"/>
      <c r="Y25" s="21"/>
    </row>
    <row r="26" customFormat="false" ht="15" hidden="false" customHeight="false" outlineLevel="0" collapsed="false">
      <c r="A26" s="16" t="n">
        <v>25</v>
      </c>
      <c r="B26" s="15" t="s">
        <v>173</v>
      </c>
      <c r="C26" s="16" t="s">
        <v>70</v>
      </c>
      <c r="D26" s="16" t="n">
        <v>25</v>
      </c>
      <c r="E26" s="16" t="str">
        <f aca="false">C26&amp;"말씀 #"&amp;TEXT(D26,"000")</f>
        <v>구약말씀 #025</v>
      </c>
      <c r="F26" s="17" t="s">
        <v>169</v>
      </c>
      <c r="G26" s="18" t="s">
        <v>174</v>
      </c>
      <c r="H26" s="19" t="s">
        <v>175</v>
      </c>
      <c r="I26" s="17" t="s">
        <v>176</v>
      </c>
      <c r="J26" s="17" t="s">
        <v>75</v>
      </c>
      <c r="K26" s="20"/>
      <c r="L26" s="17" t="s">
        <v>76</v>
      </c>
      <c r="M26" s="17" t="n">
        <f aca="false">LEN(K26)</f>
        <v>0</v>
      </c>
      <c r="N26" s="17" t="str">
        <f aca="false">IF(M26=0,"-",ROUND(3+M26/안내!$C$12,0))</f>
        <v>-</v>
      </c>
      <c r="O26" s="21" t="str">
        <f aca="false">IF(K26="","(본문 입력 후 자동) | 출 3:14",IF(LEN(K26)&gt;28,LEFT(K26,28)&amp;"…",K26)&amp;" | 출 3:14")</f>
        <v>(본문 입력 후 자동) | 출 3:14</v>
      </c>
      <c r="P26" s="21" t="str">
        <f aca="false">"#"&amp;SUBSTITUTE(안내!$C$5," ","")&amp;" #성경구절 #말씀 #출애굽기 #하나님"</f>
        <v>#오늘의말씀 #성경구절 #말씀 #출애굽기 #하나님</v>
      </c>
      <c r="Q26" s="21" t="s">
        <v>77</v>
      </c>
      <c r="R26" s="22" t="n">
        <f aca="false">안내!$C$6+INT((D26-1)/안내!$C$7)</f>
        <v>46400</v>
      </c>
      <c r="S26" s="17" t="str">
        <f aca="false">IF(MOD(D26-1,안내!$C$7)=0,안내!$C$8,안내!$C$10)</f>
        <v>06:30</v>
      </c>
      <c r="T26" s="17" t="str">
        <f aca="false">CHOOSE(WEEKDAY(R26,2),"월","화","수","목","금","토","일")</f>
        <v>수</v>
      </c>
      <c r="U26" s="17" t="s">
        <v>78</v>
      </c>
      <c r="V26" s="17" t="s">
        <v>78</v>
      </c>
      <c r="W26" s="23"/>
      <c r="X26" s="23"/>
      <c r="Y26" s="21"/>
    </row>
    <row r="27" customFormat="false" ht="15" hidden="false" customHeight="false" outlineLevel="0" collapsed="false">
      <c r="A27" s="16" t="n">
        <v>26</v>
      </c>
      <c r="B27" s="15" t="s">
        <v>177</v>
      </c>
      <c r="C27" s="16" t="s">
        <v>70</v>
      </c>
      <c r="D27" s="16" t="n">
        <v>26</v>
      </c>
      <c r="E27" s="16" t="str">
        <f aca="false">C27&amp;"말씀 #"&amp;TEXT(D27,"000")</f>
        <v>구약말씀 #026</v>
      </c>
      <c r="F27" s="17" t="s">
        <v>169</v>
      </c>
      <c r="G27" s="18" t="s">
        <v>178</v>
      </c>
      <c r="H27" s="19" t="s">
        <v>179</v>
      </c>
      <c r="I27" s="17" t="s">
        <v>180</v>
      </c>
      <c r="J27" s="17" t="s">
        <v>122</v>
      </c>
      <c r="K27" s="20"/>
      <c r="L27" s="17" t="s">
        <v>76</v>
      </c>
      <c r="M27" s="17" t="n">
        <f aca="false">LEN(K27)</f>
        <v>0</v>
      </c>
      <c r="N27" s="17" t="str">
        <f aca="false">IF(M27=0,"-",ROUND(3+M27/안내!$C$12,0))</f>
        <v>-</v>
      </c>
      <c r="O27" s="21" t="str">
        <f aca="false">IF(K27="","(본문 입력 후 자동) | 출 4:12",IF(LEN(K27)&gt;28,LEFT(K27,28)&amp;"…",K27)&amp;" | 출 4:12")</f>
        <v>(본문 입력 후 자동) | 출 4:12</v>
      </c>
      <c r="P27" s="21" t="str">
        <f aca="false">"#"&amp;SUBSTITUTE(안내!$C$5," ","")&amp;" #성경구절 #말씀 #출애굽기 #인도"</f>
        <v>#오늘의말씀 #성경구절 #말씀 #출애굽기 #인도</v>
      </c>
      <c r="Q27" s="21" t="s">
        <v>77</v>
      </c>
      <c r="R27" s="22" t="n">
        <f aca="false">안내!$C$6+INT((D27-1)/안내!$C$7)</f>
        <v>46400</v>
      </c>
      <c r="S27" s="17" t="str">
        <f aca="false">IF(MOD(D27-1,안내!$C$7)=0,안내!$C$8,안내!$C$10)</f>
        <v>18:30</v>
      </c>
      <c r="T27" s="17" t="str">
        <f aca="false">CHOOSE(WEEKDAY(R27,2),"월","화","수","목","금","토","일")</f>
        <v>수</v>
      </c>
      <c r="U27" s="17" t="s">
        <v>78</v>
      </c>
      <c r="V27" s="17" t="s">
        <v>78</v>
      </c>
      <c r="W27" s="23"/>
      <c r="X27" s="23"/>
      <c r="Y27" s="21"/>
    </row>
    <row r="28" customFormat="false" ht="15" hidden="false" customHeight="false" outlineLevel="0" collapsed="false">
      <c r="A28" s="16" t="n">
        <v>27</v>
      </c>
      <c r="B28" s="15" t="s">
        <v>181</v>
      </c>
      <c r="C28" s="16" t="s">
        <v>70</v>
      </c>
      <c r="D28" s="16" t="n">
        <v>27</v>
      </c>
      <c r="E28" s="16" t="str">
        <f aca="false">C28&amp;"말씀 #"&amp;TEXT(D28,"000")</f>
        <v>구약말씀 #027</v>
      </c>
      <c r="F28" s="17" t="s">
        <v>169</v>
      </c>
      <c r="G28" s="18" t="s">
        <v>182</v>
      </c>
      <c r="H28" s="19" t="s">
        <v>183</v>
      </c>
      <c r="I28" s="17" t="s">
        <v>117</v>
      </c>
      <c r="J28" s="17" t="s">
        <v>104</v>
      </c>
      <c r="K28" s="20"/>
      <c r="L28" s="17" t="s">
        <v>76</v>
      </c>
      <c r="M28" s="17" t="n">
        <f aca="false">LEN(K28)</f>
        <v>0</v>
      </c>
      <c r="N28" s="17" t="str">
        <f aca="false">IF(M28=0,"-",ROUND(3+M28/안내!$C$12,0))</f>
        <v>-</v>
      </c>
      <c r="O28" s="21" t="str">
        <f aca="false">IF(K28="","(본문 입력 후 자동) | 출 6:7",IF(LEN(K28)&gt;28,LEFT(K28,28)&amp;"…",K28)&amp;" | 출 6:7")</f>
        <v>(본문 입력 후 자동) | 출 6:7</v>
      </c>
      <c r="P28" s="21" t="str">
        <f aca="false">"#"&amp;SUBSTITUTE(안내!$C$5," ","")&amp;" #성경구절 #말씀 #출애굽기 #언약"</f>
        <v>#오늘의말씀 #성경구절 #말씀 #출애굽기 #언약</v>
      </c>
      <c r="Q28" s="21" t="s">
        <v>77</v>
      </c>
      <c r="R28" s="22" t="n">
        <f aca="false">안내!$C$6+INT((D28-1)/안내!$C$7)</f>
        <v>46401</v>
      </c>
      <c r="S28" s="17" t="str">
        <f aca="false">IF(MOD(D28-1,안내!$C$7)=0,안내!$C$8,안내!$C$10)</f>
        <v>06:30</v>
      </c>
      <c r="T28" s="17" t="str">
        <f aca="false">CHOOSE(WEEKDAY(R28,2),"월","화","수","목","금","토","일")</f>
        <v>목</v>
      </c>
      <c r="U28" s="17" t="s">
        <v>78</v>
      </c>
      <c r="V28" s="17" t="s">
        <v>78</v>
      </c>
      <c r="W28" s="23"/>
      <c r="X28" s="23"/>
      <c r="Y28" s="21"/>
    </row>
    <row r="29" customFormat="false" ht="25.35" hidden="false" customHeight="false" outlineLevel="0" collapsed="false">
      <c r="A29" s="16" t="n">
        <v>28</v>
      </c>
      <c r="B29" s="15" t="s">
        <v>184</v>
      </c>
      <c r="C29" s="16" t="s">
        <v>70</v>
      </c>
      <c r="D29" s="16" t="n">
        <v>28</v>
      </c>
      <c r="E29" s="16" t="str">
        <f aca="false">C29&amp;"말씀 #"&amp;TEXT(D29,"000")</f>
        <v>구약말씀 #028</v>
      </c>
      <c r="F29" s="17" t="s">
        <v>169</v>
      </c>
      <c r="G29" s="18" t="s">
        <v>185</v>
      </c>
      <c r="H29" s="19" t="s">
        <v>186</v>
      </c>
      <c r="I29" s="17" t="s">
        <v>103</v>
      </c>
      <c r="J29" s="17" t="s">
        <v>104</v>
      </c>
      <c r="K29" s="20"/>
      <c r="L29" s="17" t="s">
        <v>76</v>
      </c>
      <c r="M29" s="17" t="n">
        <f aca="false">LEN(K29)</f>
        <v>0</v>
      </c>
      <c r="N29" s="17" t="str">
        <f aca="false">IF(M29=0,"-",ROUND(3+M29/안내!$C$12,0))</f>
        <v>-</v>
      </c>
      <c r="O29" s="21" t="str">
        <f aca="false">IF(K29="","(본문 입력 후 자동) | 출 12:13",IF(LEN(K29)&gt;28,LEFT(K29,28)&amp;"…",K29)&amp;" | 출 12:13")</f>
        <v>(본문 입력 후 자동) | 출 12:13</v>
      </c>
      <c r="P29" s="21" t="str">
        <f aca="false">"#"&amp;SUBSTITUTE(안내!$C$5," ","")&amp;" #성경구절 #말씀 #출애굽기 #구원"</f>
        <v>#오늘의말씀 #성경구절 #말씀 #출애굽기 #구원</v>
      </c>
      <c r="Q29" s="21" t="s">
        <v>77</v>
      </c>
      <c r="R29" s="22" t="n">
        <f aca="false">안내!$C$6+INT((D29-1)/안내!$C$7)</f>
        <v>46401</v>
      </c>
      <c r="S29" s="17" t="str">
        <f aca="false">IF(MOD(D29-1,안내!$C$7)=0,안내!$C$8,안내!$C$10)</f>
        <v>18:30</v>
      </c>
      <c r="T29" s="17" t="str">
        <f aca="false">CHOOSE(WEEKDAY(R29,2),"월","화","수","목","금","토","일")</f>
        <v>목</v>
      </c>
      <c r="U29" s="17" t="s">
        <v>78</v>
      </c>
      <c r="V29" s="17" t="s">
        <v>78</v>
      </c>
      <c r="W29" s="23"/>
      <c r="X29" s="23"/>
      <c r="Y29" s="21"/>
    </row>
    <row r="30" customFormat="false" ht="25.35" hidden="false" customHeight="false" outlineLevel="0" collapsed="false">
      <c r="A30" s="16" t="n">
        <v>29</v>
      </c>
      <c r="B30" s="15" t="s">
        <v>187</v>
      </c>
      <c r="C30" s="16" t="s">
        <v>70</v>
      </c>
      <c r="D30" s="16" t="n">
        <v>29</v>
      </c>
      <c r="E30" s="16" t="str">
        <f aca="false">C30&amp;"말씀 #"&amp;TEXT(D30,"000")</f>
        <v>구약말씀 #029</v>
      </c>
      <c r="F30" s="17" t="s">
        <v>169</v>
      </c>
      <c r="G30" s="18" t="s">
        <v>188</v>
      </c>
      <c r="H30" s="19" t="s">
        <v>189</v>
      </c>
      <c r="I30" s="17" t="s">
        <v>103</v>
      </c>
      <c r="J30" s="17" t="s">
        <v>104</v>
      </c>
      <c r="K30" s="20"/>
      <c r="L30" s="17" t="s">
        <v>76</v>
      </c>
      <c r="M30" s="17" t="n">
        <f aca="false">LEN(K30)</f>
        <v>0</v>
      </c>
      <c r="N30" s="17" t="str">
        <f aca="false">IF(M30=0,"-",ROUND(3+M30/안내!$C$12,0))</f>
        <v>-</v>
      </c>
      <c r="O30" s="21" t="str">
        <f aca="false">IF(K30="","(본문 입력 후 자동) | 출 14:13",IF(LEN(K30)&gt;28,LEFT(K30,28)&amp;"…",K30)&amp;" | 출 14:13")</f>
        <v>(본문 입력 후 자동) | 출 14:13</v>
      </c>
      <c r="P30" s="21" t="str">
        <f aca="false">"#"&amp;SUBSTITUTE(안내!$C$5," ","")&amp;" #성경구절 #말씀 #출애굽기 #구원"</f>
        <v>#오늘의말씀 #성경구절 #말씀 #출애굽기 #구원</v>
      </c>
      <c r="Q30" s="21" t="s">
        <v>77</v>
      </c>
      <c r="R30" s="22" t="n">
        <f aca="false">안내!$C$6+INT((D30-1)/안내!$C$7)</f>
        <v>46402</v>
      </c>
      <c r="S30" s="17" t="str">
        <f aca="false">IF(MOD(D30-1,안내!$C$7)=0,안내!$C$8,안내!$C$10)</f>
        <v>06:30</v>
      </c>
      <c r="T30" s="17" t="str">
        <f aca="false">CHOOSE(WEEKDAY(R30,2),"월","화","수","목","금","토","일")</f>
        <v>금</v>
      </c>
      <c r="U30" s="17" t="s">
        <v>78</v>
      </c>
      <c r="V30" s="17" t="s">
        <v>78</v>
      </c>
      <c r="W30" s="23"/>
      <c r="X30" s="23"/>
      <c r="Y30" s="21"/>
    </row>
    <row r="31" customFormat="false" ht="25.35" hidden="false" customHeight="false" outlineLevel="0" collapsed="false">
      <c r="A31" s="16" t="n">
        <v>30</v>
      </c>
      <c r="B31" s="15" t="s">
        <v>190</v>
      </c>
      <c r="C31" s="16" t="s">
        <v>70</v>
      </c>
      <c r="D31" s="16" t="n">
        <v>30</v>
      </c>
      <c r="E31" s="16" t="str">
        <f aca="false">C31&amp;"말씀 #"&amp;TEXT(D31,"000")</f>
        <v>구약말씀 #030</v>
      </c>
      <c r="F31" s="17" t="s">
        <v>169</v>
      </c>
      <c r="G31" s="18" t="s">
        <v>191</v>
      </c>
      <c r="H31" s="19" t="s">
        <v>192</v>
      </c>
      <c r="I31" s="17" t="s">
        <v>140</v>
      </c>
      <c r="J31" s="17" t="s">
        <v>113</v>
      </c>
      <c r="K31" s="20"/>
      <c r="L31" s="17" t="s">
        <v>76</v>
      </c>
      <c r="M31" s="17" t="n">
        <f aca="false">LEN(K31)</f>
        <v>0</v>
      </c>
      <c r="N31" s="17" t="str">
        <f aca="false">IF(M31=0,"-",ROUND(3+M31/안내!$C$12,0))</f>
        <v>-</v>
      </c>
      <c r="O31" s="21" t="str">
        <f aca="false">IF(K31="","(본문 입력 후 자동) | 출 14:14",IF(LEN(K31)&gt;28,LEFT(K31,28)&amp;"…",K31)&amp;" | 출 14:14")</f>
        <v>(본문 입력 후 자동) | 출 14:14</v>
      </c>
      <c r="P31" s="21" t="str">
        <f aca="false">"#"&amp;SUBSTITUTE(안내!$C$5," ","")&amp;" #성경구절 #말씀 #출애굽기 #능력"</f>
        <v>#오늘의말씀 #성경구절 #말씀 #출애굽기 #능력</v>
      </c>
      <c r="Q31" s="21" t="s">
        <v>77</v>
      </c>
      <c r="R31" s="22" t="n">
        <f aca="false">안내!$C$6+INT((D31-1)/안내!$C$7)</f>
        <v>46402</v>
      </c>
      <c r="S31" s="17" t="str">
        <f aca="false">IF(MOD(D31-1,안내!$C$7)=0,안내!$C$8,안내!$C$10)</f>
        <v>18:30</v>
      </c>
      <c r="T31" s="17" t="str">
        <f aca="false">CHOOSE(WEEKDAY(R31,2),"월","화","수","목","금","토","일")</f>
        <v>금</v>
      </c>
      <c r="U31" s="17" t="s">
        <v>78</v>
      </c>
      <c r="V31" s="17" t="s">
        <v>78</v>
      </c>
      <c r="W31" s="23"/>
      <c r="X31" s="23"/>
      <c r="Y31" s="21"/>
    </row>
    <row r="32" customFormat="false" ht="15" hidden="false" customHeight="false" outlineLevel="0" collapsed="false">
      <c r="A32" s="16" t="n">
        <v>31</v>
      </c>
      <c r="B32" s="15" t="s">
        <v>193</v>
      </c>
      <c r="C32" s="16" t="s">
        <v>70</v>
      </c>
      <c r="D32" s="16" t="n">
        <v>31</v>
      </c>
      <c r="E32" s="16" t="str">
        <f aca="false">C32&amp;"말씀 #"&amp;TEXT(D32,"000")</f>
        <v>구약말씀 #031</v>
      </c>
      <c r="F32" s="17" t="s">
        <v>169</v>
      </c>
      <c r="G32" s="18" t="s">
        <v>194</v>
      </c>
      <c r="H32" s="19" t="s">
        <v>195</v>
      </c>
      <c r="I32" s="17" t="s">
        <v>196</v>
      </c>
      <c r="J32" s="17" t="s">
        <v>75</v>
      </c>
      <c r="K32" s="20"/>
      <c r="L32" s="17" t="s">
        <v>76</v>
      </c>
      <c r="M32" s="17" t="n">
        <f aca="false">LEN(K32)</f>
        <v>0</v>
      </c>
      <c r="N32" s="17" t="str">
        <f aca="false">IF(M32=0,"-",ROUND(3+M32/안내!$C$12,0))</f>
        <v>-</v>
      </c>
      <c r="O32" s="21" t="str">
        <f aca="false">IF(K32="","(본문 입력 후 자동) | 출 15:2",IF(LEN(K32)&gt;28,LEFT(K32,28)&amp;"…",K32)&amp;" | 출 15:2")</f>
        <v>(본문 입력 후 자동) | 출 15:2</v>
      </c>
      <c r="P32" s="21" t="str">
        <f aca="false">"#"&amp;SUBSTITUTE(안내!$C$5," ","")&amp;" #성경구절 #말씀 #출애굽기 #찬양"</f>
        <v>#오늘의말씀 #성경구절 #말씀 #출애굽기 #찬양</v>
      </c>
      <c r="Q32" s="21" t="s">
        <v>77</v>
      </c>
      <c r="R32" s="22" t="n">
        <f aca="false">안내!$C$6+INT((D32-1)/안내!$C$7)</f>
        <v>46403</v>
      </c>
      <c r="S32" s="17" t="str">
        <f aca="false">IF(MOD(D32-1,안내!$C$7)=0,안내!$C$8,안내!$C$10)</f>
        <v>06:30</v>
      </c>
      <c r="T32" s="17" t="str">
        <f aca="false">CHOOSE(WEEKDAY(R32,2),"월","화","수","목","금","토","일")</f>
        <v>토</v>
      </c>
      <c r="U32" s="17" t="s">
        <v>78</v>
      </c>
      <c r="V32" s="17" t="s">
        <v>78</v>
      </c>
      <c r="W32" s="23"/>
      <c r="X32" s="23"/>
      <c r="Y32" s="21"/>
    </row>
    <row r="33" customFormat="false" ht="25.35" hidden="false" customHeight="false" outlineLevel="0" collapsed="false">
      <c r="A33" s="16" t="n">
        <v>32</v>
      </c>
      <c r="B33" s="15" t="s">
        <v>197</v>
      </c>
      <c r="C33" s="16" t="s">
        <v>70</v>
      </c>
      <c r="D33" s="16" t="n">
        <v>32</v>
      </c>
      <c r="E33" s="16" t="str">
        <f aca="false">C33&amp;"말씀 #"&amp;TEXT(D33,"000")</f>
        <v>구약말씀 #032</v>
      </c>
      <c r="F33" s="17" t="s">
        <v>169</v>
      </c>
      <c r="G33" s="18" t="s">
        <v>198</v>
      </c>
      <c r="H33" s="19" t="s">
        <v>199</v>
      </c>
      <c r="I33" s="17" t="s">
        <v>200</v>
      </c>
      <c r="J33" s="17" t="s">
        <v>99</v>
      </c>
      <c r="K33" s="20"/>
      <c r="L33" s="17" t="s">
        <v>76</v>
      </c>
      <c r="M33" s="17" t="n">
        <f aca="false">LEN(K33)</f>
        <v>0</v>
      </c>
      <c r="N33" s="17" t="str">
        <f aca="false">IF(M33=0,"-",ROUND(3+M33/안내!$C$12,0))</f>
        <v>-</v>
      </c>
      <c r="O33" s="21" t="str">
        <f aca="false">IF(K33="","(본문 입력 후 자동) | 출 15:26",IF(LEN(K33)&gt;28,LEFT(K33,28)&amp;"…",K33)&amp;" | 출 15:26")</f>
        <v>(본문 입력 후 자동) | 출 15:26</v>
      </c>
      <c r="P33" s="21" t="str">
        <f aca="false">"#"&amp;SUBSTITUTE(안내!$C$5," ","")&amp;" #성경구절 #말씀 #출애굽기 #치료"</f>
        <v>#오늘의말씀 #성경구절 #말씀 #출애굽기 #치료</v>
      </c>
      <c r="Q33" s="21" t="s">
        <v>77</v>
      </c>
      <c r="R33" s="22" t="n">
        <f aca="false">안내!$C$6+INT((D33-1)/안내!$C$7)</f>
        <v>46403</v>
      </c>
      <c r="S33" s="17" t="str">
        <f aca="false">IF(MOD(D33-1,안내!$C$7)=0,안내!$C$8,안내!$C$10)</f>
        <v>18:30</v>
      </c>
      <c r="T33" s="17" t="str">
        <f aca="false">CHOOSE(WEEKDAY(R33,2),"월","화","수","목","금","토","일")</f>
        <v>토</v>
      </c>
      <c r="U33" s="17" t="s">
        <v>78</v>
      </c>
      <c r="V33" s="17" t="s">
        <v>78</v>
      </c>
      <c r="W33" s="23"/>
      <c r="X33" s="23"/>
      <c r="Y33" s="21"/>
    </row>
    <row r="34" customFormat="false" ht="26.85" hidden="false" customHeight="false" outlineLevel="0" collapsed="false">
      <c r="A34" s="16" t="n">
        <v>33</v>
      </c>
      <c r="B34" s="15" t="s">
        <v>201</v>
      </c>
      <c r="C34" s="16" t="s">
        <v>70</v>
      </c>
      <c r="D34" s="16" t="n">
        <v>33</v>
      </c>
      <c r="E34" s="16" t="str">
        <f aca="false">C34&amp;"말씀 #"&amp;TEXT(D34,"000")</f>
        <v>구약말씀 #033</v>
      </c>
      <c r="F34" s="17" t="s">
        <v>169</v>
      </c>
      <c r="G34" s="18" t="s">
        <v>202</v>
      </c>
      <c r="H34" s="19" t="s">
        <v>203</v>
      </c>
      <c r="I34" s="17" t="s">
        <v>147</v>
      </c>
      <c r="J34" s="17" t="s">
        <v>148</v>
      </c>
      <c r="K34" s="20"/>
      <c r="L34" s="17" t="s">
        <v>76</v>
      </c>
      <c r="M34" s="17" t="n">
        <f aca="false">LEN(K34)</f>
        <v>0</v>
      </c>
      <c r="N34" s="17" t="str">
        <f aca="false">IF(M34=0,"-",ROUND(3+M34/안내!$C$12,0))</f>
        <v>-</v>
      </c>
      <c r="O34" s="21" t="str">
        <f aca="false">IF(K34="","(본문 입력 후 자동) | 출 16:4",IF(LEN(K34)&gt;28,LEFT(K34,28)&amp;"…",K34)&amp;" | 출 16:4")</f>
        <v>(본문 입력 후 자동) | 출 16:4</v>
      </c>
      <c r="P34" s="21" t="str">
        <f aca="false">"#"&amp;SUBSTITUTE(안내!$C$5," ","")&amp;" #성경구절 #말씀 #출애굽기 #공급하심"</f>
        <v>#오늘의말씀 #성경구절 #말씀 #출애굽기 #공급하심</v>
      </c>
      <c r="Q34" s="21" t="s">
        <v>77</v>
      </c>
      <c r="R34" s="22" t="n">
        <f aca="false">안내!$C$6+INT((D34-1)/안내!$C$7)</f>
        <v>46404</v>
      </c>
      <c r="S34" s="17" t="str">
        <f aca="false">IF(MOD(D34-1,안내!$C$7)=0,안내!$C$8,안내!$C$10)</f>
        <v>06:30</v>
      </c>
      <c r="T34" s="17" t="str">
        <f aca="false">CHOOSE(WEEKDAY(R34,2),"월","화","수","목","금","토","일")</f>
        <v>일</v>
      </c>
      <c r="U34" s="17" t="s">
        <v>78</v>
      </c>
      <c r="V34" s="17" t="s">
        <v>78</v>
      </c>
      <c r="W34" s="23"/>
      <c r="X34" s="23"/>
      <c r="Y34" s="21"/>
    </row>
    <row r="35" customFormat="false" ht="25.35" hidden="false" customHeight="false" outlineLevel="0" collapsed="false">
      <c r="A35" s="16" t="n">
        <v>34</v>
      </c>
      <c r="B35" s="15" t="s">
        <v>204</v>
      </c>
      <c r="C35" s="16" t="s">
        <v>70</v>
      </c>
      <c r="D35" s="16" t="n">
        <v>34</v>
      </c>
      <c r="E35" s="16" t="str">
        <f aca="false">C35&amp;"말씀 #"&amp;TEXT(D35,"000")</f>
        <v>구약말씀 #034</v>
      </c>
      <c r="F35" s="17" t="s">
        <v>169</v>
      </c>
      <c r="G35" s="18" t="s">
        <v>205</v>
      </c>
      <c r="H35" s="19" t="s">
        <v>206</v>
      </c>
      <c r="I35" s="17" t="s">
        <v>207</v>
      </c>
      <c r="J35" s="17" t="s">
        <v>113</v>
      </c>
      <c r="K35" s="20"/>
      <c r="L35" s="17" t="s">
        <v>76</v>
      </c>
      <c r="M35" s="17" t="n">
        <f aca="false">LEN(K35)</f>
        <v>0</v>
      </c>
      <c r="N35" s="17" t="str">
        <f aca="false">IF(M35=0,"-",ROUND(3+M35/안내!$C$12,0))</f>
        <v>-</v>
      </c>
      <c r="O35" s="21" t="str">
        <f aca="false">IF(K35="","(본문 입력 후 자동) | 출 17:15",IF(LEN(K35)&gt;28,LEFT(K35,28)&amp;"…",K35)&amp;" | 출 17:15")</f>
        <v>(본문 입력 후 자동) | 출 17:15</v>
      </c>
      <c r="P35" s="21" t="str">
        <f aca="false">"#"&amp;SUBSTITUTE(안내!$C$5," ","")&amp;" #성경구절 #말씀 #출애굽기 #승리"</f>
        <v>#오늘의말씀 #성경구절 #말씀 #출애굽기 #승리</v>
      </c>
      <c r="Q35" s="21" t="s">
        <v>77</v>
      </c>
      <c r="R35" s="22" t="n">
        <f aca="false">안내!$C$6+INT((D35-1)/안내!$C$7)</f>
        <v>46404</v>
      </c>
      <c r="S35" s="17" t="str">
        <f aca="false">IF(MOD(D35-1,안내!$C$7)=0,안내!$C$8,안내!$C$10)</f>
        <v>18:30</v>
      </c>
      <c r="T35" s="17" t="str">
        <f aca="false">CHOOSE(WEEKDAY(R35,2),"월","화","수","목","금","토","일")</f>
        <v>일</v>
      </c>
      <c r="U35" s="17" t="s">
        <v>78</v>
      </c>
      <c r="V35" s="17" t="s">
        <v>78</v>
      </c>
      <c r="W35" s="23"/>
      <c r="X35" s="23"/>
      <c r="Y35" s="21"/>
    </row>
    <row r="36" customFormat="false" ht="15" hidden="false" customHeight="false" outlineLevel="0" collapsed="false">
      <c r="A36" s="16" t="n">
        <v>35</v>
      </c>
      <c r="B36" s="15" t="s">
        <v>208</v>
      </c>
      <c r="C36" s="16" t="s">
        <v>70</v>
      </c>
      <c r="D36" s="16" t="n">
        <v>35</v>
      </c>
      <c r="E36" s="16" t="str">
        <f aca="false">C36&amp;"말씀 #"&amp;TEXT(D36,"000")</f>
        <v>구약말씀 #035</v>
      </c>
      <c r="F36" s="17" t="s">
        <v>169</v>
      </c>
      <c r="G36" s="18" t="s">
        <v>209</v>
      </c>
      <c r="H36" s="19" t="s">
        <v>210</v>
      </c>
      <c r="I36" s="17" t="s">
        <v>117</v>
      </c>
      <c r="J36" s="17" t="s">
        <v>104</v>
      </c>
      <c r="K36" s="20"/>
      <c r="L36" s="17" t="s">
        <v>76</v>
      </c>
      <c r="M36" s="17" t="n">
        <f aca="false">LEN(K36)</f>
        <v>0</v>
      </c>
      <c r="N36" s="17" t="str">
        <f aca="false">IF(M36=0,"-",ROUND(3+M36/안내!$C$12,0))</f>
        <v>-</v>
      </c>
      <c r="O36" s="21" t="str">
        <f aca="false">IF(K36="","(본문 입력 후 자동) | 출 19:5",IF(LEN(K36)&gt;28,LEFT(K36,28)&amp;"…",K36)&amp;" | 출 19:5")</f>
        <v>(본문 입력 후 자동) | 출 19:5</v>
      </c>
      <c r="P36" s="21" t="str">
        <f aca="false">"#"&amp;SUBSTITUTE(안내!$C$5," ","")&amp;" #성경구절 #말씀 #출애굽기 #언약"</f>
        <v>#오늘의말씀 #성경구절 #말씀 #출애굽기 #언약</v>
      </c>
      <c r="Q36" s="21" t="s">
        <v>77</v>
      </c>
      <c r="R36" s="22" t="n">
        <f aca="false">안내!$C$6+INT((D36-1)/안내!$C$7)</f>
        <v>46405</v>
      </c>
      <c r="S36" s="17" t="str">
        <f aca="false">IF(MOD(D36-1,안내!$C$7)=0,안내!$C$8,안내!$C$10)</f>
        <v>06:30</v>
      </c>
      <c r="T36" s="17" t="str">
        <f aca="false">CHOOSE(WEEKDAY(R36,2),"월","화","수","목","금","토","일")</f>
        <v>월</v>
      </c>
      <c r="U36" s="17" t="s">
        <v>78</v>
      </c>
      <c r="V36" s="17" t="s">
        <v>78</v>
      </c>
      <c r="W36" s="23"/>
      <c r="X36" s="23"/>
      <c r="Y36" s="21"/>
    </row>
    <row r="37" customFormat="false" ht="15" hidden="false" customHeight="false" outlineLevel="0" collapsed="false">
      <c r="A37" s="16" t="n">
        <v>36</v>
      </c>
      <c r="B37" s="15" t="s">
        <v>211</v>
      </c>
      <c r="C37" s="16" t="s">
        <v>70</v>
      </c>
      <c r="D37" s="16" t="n">
        <v>36</v>
      </c>
      <c r="E37" s="16" t="str">
        <f aca="false">C37&amp;"말씀 #"&amp;TEXT(D37,"000")</f>
        <v>구약말씀 #036</v>
      </c>
      <c r="F37" s="17" t="s">
        <v>169</v>
      </c>
      <c r="G37" s="18" t="s">
        <v>212</v>
      </c>
      <c r="H37" s="19" t="s">
        <v>213</v>
      </c>
      <c r="I37" s="17" t="s">
        <v>214</v>
      </c>
      <c r="J37" s="17" t="s">
        <v>104</v>
      </c>
      <c r="K37" s="20"/>
      <c r="L37" s="17" t="s">
        <v>76</v>
      </c>
      <c r="M37" s="17" t="n">
        <f aca="false">LEN(K37)</f>
        <v>0</v>
      </c>
      <c r="N37" s="17" t="str">
        <f aca="false">IF(M37=0,"-",ROUND(3+M37/안내!$C$12,0))</f>
        <v>-</v>
      </c>
      <c r="O37" s="21" t="str">
        <f aca="false">IF(K37="","(본문 입력 후 자동) | 출 20:3",IF(LEN(K37)&gt;28,LEFT(K37,28)&amp;"…",K37)&amp;" | 출 20:3")</f>
        <v>(본문 입력 후 자동) | 출 20:3</v>
      </c>
      <c r="P37" s="21" t="str">
        <f aca="false">"#"&amp;SUBSTITUTE(안내!$C$5," ","")&amp;" #성경구절 #말씀 #출애굽기 #계명"</f>
        <v>#오늘의말씀 #성경구절 #말씀 #출애굽기 #계명</v>
      </c>
      <c r="Q37" s="21" t="s">
        <v>77</v>
      </c>
      <c r="R37" s="22" t="n">
        <f aca="false">안내!$C$6+INT((D37-1)/안내!$C$7)</f>
        <v>46405</v>
      </c>
      <c r="S37" s="17" t="str">
        <f aca="false">IF(MOD(D37-1,안내!$C$7)=0,안내!$C$8,안내!$C$10)</f>
        <v>18:30</v>
      </c>
      <c r="T37" s="17" t="str">
        <f aca="false">CHOOSE(WEEKDAY(R37,2),"월","화","수","목","금","토","일")</f>
        <v>월</v>
      </c>
      <c r="U37" s="17" t="s">
        <v>78</v>
      </c>
      <c r="V37" s="17" t="s">
        <v>78</v>
      </c>
      <c r="W37" s="23"/>
      <c r="X37" s="23"/>
      <c r="Y37" s="21"/>
    </row>
    <row r="38" customFormat="false" ht="25.35" hidden="false" customHeight="false" outlineLevel="0" collapsed="false">
      <c r="A38" s="16" t="n">
        <v>37</v>
      </c>
      <c r="B38" s="15" t="s">
        <v>215</v>
      </c>
      <c r="C38" s="16" t="s">
        <v>70</v>
      </c>
      <c r="D38" s="16" t="n">
        <v>37</v>
      </c>
      <c r="E38" s="16" t="str">
        <f aca="false">C38&amp;"말씀 #"&amp;TEXT(D38,"000")</f>
        <v>구약말씀 #037</v>
      </c>
      <c r="F38" s="17" t="s">
        <v>169</v>
      </c>
      <c r="G38" s="18" t="s">
        <v>216</v>
      </c>
      <c r="H38" s="19" t="s">
        <v>217</v>
      </c>
      <c r="I38" s="17" t="s">
        <v>93</v>
      </c>
      <c r="J38" s="17" t="s">
        <v>94</v>
      </c>
      <c r="K38" s="20"/>
      <c r="L38" s="17" t="s">
        <v>76</v>
      </c>
      <c r="M38" s="17" t="n">
        <f aca="false">LEN(K38)</f>
        <v>0</v>
      </c>
      <c r="N38" s="17" t="str">
        <f aca="false">IF(M38=0,"-",ROUND(3+M38/안내!$C$12,0))</f>
        <v>-</v>
      </c>
      <c r="O38" s="21" t="str">
        <f aca="false">IF(K38="","(본문 입력 후 자동) | 출 20:12",IF(LEN(K38)&gt;28,LEFT(K38,28)&amp;"…",K38)&amp;" | 출 20:12")</f>
        <v>(본문 입력 후 자동) | 출 20:12</v>
      </c>
      <c r="P38" s="21" t="str">
        <f aca="false">"#"&amp;SUBSTITUTE(안내!$C$5," ","")&amp;" #성경구절 #말씀 #출애굽기 #가정"</f>
        <v>#오늘의말씀 #성경구절 #말씀 #출애굽기 #가정</v>
      </c>
      <c r="Q38" s="21" t="s">
        <v>77</v>
      </c>
      <c r="R38" s="22" t="n">
        <f aca="false">안내!$C$6+INT((D38-1)/안내!$C$7)</f>
        <v>46406</v>
      </c>
      <c r="S38" s="17" t="str">
        <f aca="false">IF(MOD(D38-1,안내!$C$7)=0,안내!$C$8,안내!$C$10)</f>
        <v>06:30</v>
      </c>
      <c r="T38" s="17" t="str">
        <f aca="false">CHOOSE(WEEKDAY(R38,2),"월","화","수","목","금","토","일")</f>
        <v>화</v>
      </c>
      <c r="U38" s="17" t="s">
        <v>78</v>
      </c>
      <c r="V38" s="17" t="s">
        <v>78</v>
      </c>
      <c r="W38" s="23"/>
      <c r="X38" s="23"/>
      <c r="Y38" s="21"/>
    </row>
    <row r="39" customFormat="false" ht="25.35" hidden="false" customHeight="false" outlineLevel="0" collapsed="false">
      <c r="A39" s="16" t="n">
        <v>38</v>
      </c>
      <c r="B39" s="15" t="s">
        <v>218</v>
      </c>
      <c r="C39" s="16" t="s">
        <v>70</v>
      </c>
      <c r="D39" s="16" t="n">
        <v>38</v>
      </c>
      <c r="E39" s="16" t="str">
        <f aca="false">C39&amp;"말씀 #"&amp;TEXT(D39,"000")</f>
        <v>구약말씀 #038</v>
      </c>
      <c r="F39" s="17" t="s">
        <v>169</v>
      </c>
      <c r="G39" s="18" t="s">
        <v>219</v>
      </c>
      <c r="H39" s="19" t="s">
        <v>220</v>
      </c>
      <c r="I39" s="17" t="s">
        <v>221</v>
      </c>
      <c r="J39" s="17" t="s">
        <v>99</v>
      </c>
      <c r="K39" s="20"/>
      <c r="L39" s="17" t="s">
        <v>76</v>
      </c>
      <c r="M39" s="17" t="n">
        <f aca="false">LEN(K39)</f>
        <v>0</v>
      </c>
      <c r="N39" s="17" t="str">
        <f aca="false">IF(M39=0,"-",ROUND(3+M39/안내!$C$12,0))</f>
        <v>-</v>
      </c>
      <c r="O39" s="21" t="str">
        <f aca="false">IF(K39="","(본문 입력 후 자동) | 출 33:14",IF(LEN(K39)&gt;28,LEFT(K39,28)&amp;"…",K39)&amp;" | 출 33:14")</f>
        <v>(본문 입력 후 자동) | 출 33:14</v>
      </c>
      <c r="P39" s="21" t="str">
        <f aca="false">"#"&amp;SUBSTITUTE(안내!$C$5," ","")&amp;" #성경구절 #말씀 #출애굽기 #평안"</f>
        <v>#오늘의말씀 #성경구절 #말씀 #출애굽기 #평안</v>
      </c>
      <c r="Q39" s="21" t="s">
        <v>77</v>
      </c>
      <c r="R39" s="22" t="n">
        <f aca="false">안내!$C$6+INT((D39-1)/안내!$C$7)</f>
        <v>46406</v>
      </c>
      <c r="S39" s="17" t="str">
        <f aca="false">IF(MOD(D39-1,안내!$C$7)=0,안내!$C$8,안내!$C$10)</f>
        <v>18:30</v>
      </c>
      <c r="T39" s="17" t="str">
        <f aca="false">CHOOSE(WEEKDAY(R39,2),"월","화","수","목","금","토","일")</f>
        <v>화</v>
      </c>
      <c r="U39" s="17" t="s">
        <v>78</v>
      </c>
      <c r="V39" s="17" t="s">
        <v>78</v>
      </c>
      <c r="W39" s="23"/>
      <c r="X39" s="23"/>
      <c r="Y39" s="21"/>
    </row>
    <row r="40" customFormat="false" ht="15" hidden="false" customHeight="false" outlineLevel="0" collapsed="false">
      <c r="A40" s="16" t="n">
        <v>39</v>
      </c>
      <c r="B40" s="15" t="s">
        <v>222</v>
      </c>
      <c r="C40" s="16" t="s">
        <v>70</v>
      </c>
      <c r="D40" s="16" t="n">
        <v>39</v>
      </c>
      <c r="E40" s="16" t="str">
        <f aca="false">C40&amp;"말씀 #"&amp;TEXT(D40,"000")</f>
        <v>구약말씀 #039</v>
      </c>
      <c r="F40" s="17" t="s">
        <v>169</v>
      </c>
      <c r="G40" s="18" t="s">
        <v>223</v>
      </c>
      <c r="H40" s="19" t="s">
        <v>224</v>
      </c>
      <c r="I40" s="17" t="s">
        <v>98</v>
      </c>
      <c r="J40" s="17" t="s">
        <v>99</v>
      </c>
      <c r="K40" s="20"/>
      <c r="L40" s="17" t="s">
        <v>76</v>
      </c>
      <c r="M40" s="17" t="n">
        <f aca="false">LEN(K40)</f>
        <v>0</v>
      </c>
      <c r="N40" s="17" t="str">
        <f aca="false">IF(M40=0,"-",ROUND(3+M40/안내!$C$12,0))</f>
        <v>-</v>
      </c>
      <c r="O40" s="21" t="str">
        <f aca="false">IF(K40="","(본문 입력 후 자동) | 출 34:6",IF(LEN(K40)&gt;28,LEFT(K40,28)&amp;"…",K40)&amp;" | 출 34:6")</f>
        <v>(본문 입력 후 자동) | 출 34:6</v>
      </c>
      <c r="P40" s="21" t="str">
        <f aca="false">"#"&amp;SUBSTITUTE(안내!$C$5," ","")&amp;" #성경구절 #말씀 #출애굽기 #은혜"</f>
        <v>#오늘의말씀 #성경구절 #말씀 #출애굽기 #은혜</v>
      </c>
      <c r="Q40" s="21" t="s">
        <v>77</v>
      </c>
      <c r="R40" s="22" t="n">
        <f aca="false">안내!$C$6+INT((D40-1)/안내!$C$7)</f>
        <v>46407</v>
      </c>
      <c r="S40" s="17" t="str">
        <f aca="false">IF(MOD(D40-1,안내!$C$7)=0,안내!$C$8,안내!$C$10)</f>
        <v>06:30</v>
      </c>
      <c r="T40" s="17" t="str">
        <f aca="false">CHOOSE(WEEKDAY(R40,2),"월","화","수","목","금","토","일")</f>
        <v>수</v>
      </c>
      <c r="U40" s="17" t="s">
        <v>78</v>
      </c>
      <c r="V40" s="17" t="s">
        <v>78</v>
      </c>
      <c r="W40" s="23"/>
      <c r="X40" s="23"/>
      <c r="Y40" s="21"/>
    </row>
    <row r="41" customFormat="false" ht="25.35" hidden="false" customHeight="false" outlineLevel="0" collapsed="false">
      <c r="A41" s="16" t="n">
        <v>40</v>
      </c>
      <c r="B41" s="15" t="s">
        <v>225</v>
      </c>
      <c r="C41" s="16" t="s">
        <v>70</v>
      </c>
      <c r="D41" s="16" t="n">
        <v>40</v>
      </c>
      <c r="E41" s="16" t="str">
        <f aca="false">C41&amp;"말씀 #"&amp;TEXT(D41,"000")</f>
        <v>구약말씀 #040</v>
      </c>
      <c r="F41" s="17" t="s">
        <v>226</v>
      </c>
      <c r="G41" s="18" t="s">
        <v>227</v>
      </c>
      <c r="H41" s="19" t="s">
        <v>228</v>
      </c>
      <c r="I41" s="17" t="s">
        <v>172</v>
      </c>
      <c r="J41" s="17" t="s">
        <v>75</v>
      </c>
      <c r="K41" s="20"/>
      <c r="L41" s="17" t="s">
        <v>76</v>
      </c>
      <c r="M41" s="17" t="n">
        <f aca="false">LEN(K41)</f>
        <v>0</v>
      </c>
      <c r="N41" s="17" t="str">
        <f aca="false">IF(M41=0,"-",ROUND(3+M41/안내!$C$12,0))</f>
        <v>-</v>
      </c>
      <c r="O41" s="21" t="str">
        <f aca="false">IF(K41="","(본문 입력 후 자동) | 레 11:44",IF(LEN(K41)&gt;28,LEFT(K41,28)&amp;"…",K41)&amp;" | 레 11:44")</f>
        <v>(본문 입력 후 자동) | 레 11:44</v>
      </c>
      <c r="P41" s="21" t="str">
        <f aca="false">"#"&amp;SUBSTITUTE(안내!$C$5," ","")&amp;" #성경구절 #말씀 #레위기 #거룩"</f>
        <v>#오늘의말씀 #성경구절 #말씀 #레위기 #거룩</v>
      </c>
      <c r="Q41" s="21" t="s">
        <v>77</v>
      </c>
      <c r="R41" s="22" t="n">
        <f aca="false">안내!$C$6+INT((D41-1)/안내!$C$7)</f>
        <v>46407</v>
      </c>
      <c r="S41" s="17" t="str">
        <f aca="false">IF(MOD(D41-1,안내!$C$7)=0,안내!$C$8,안내!$C$10)</f>
        <v>18:30</v>
      </c>
      <c r="T41" s="17" t="str">
        <f aca="false">CHOOSE(WEEKDAY(R41,2),"월","화","수","목","금","토","일")</f>
        <v>수</v>
      </c>
      <c r="U41" s="17" t="s">
        <v>78</v>
      </c>
      <c r="V41" s="17" t="s">
        <v>78</v>
      </c>
      <c r="W41" s="23"/>
      <c r="X41" s="23"/>
      <c r="Y41" s="21"/>
    </row>
    <row r="42" customFormat="false" ht="25.35" hidden="false" customHeight="false" outlineLevel="0" collapsed="false">
      <c r="A42" s="16" t="n">
        <v>41</v>
      </c>
      <c r="B42" s="15" t="s">
        <v>229</v>
      </c>
      <c r="C42" s="16" t="s">
        <v>70</v>
      </c>
      <c r="D42" s="16" t="n">
        <v>41</v>
      </c>
      <c r="E42" s="16" t="str">
        <f aca="false">C42&amp;"말씀 #"&amp;TEXT(D42,"000")</f>
        <v>구약말씀 #041</v>
      </c>
      <c r="F42" s="17" t="s">
        <v>226</v>
      </c>
      <c r="G42" s="18" t="s">
        <v>230</v>
      </c>
      <c r="H42" s="19" t="s">
        <v>231</v>
      </c>
      <c r="I42" s="17" t="s">
        <v>232</v>
      </c>
      <c r="J42" s="17" t="s">
        <v>104</v>
      </c>
      <c r="K42" s="20"/>
      <c r="L42" s="17" t="s">
        <v>76</v>
      </c>
      <c r="M42" s="17" t="n">
        <f aca="false">LEN(K42)</f>
        <v>0</v>
      </c>
      <c r="N42" s="17" t="str">
        <f aca="false">IF(M42=0,"-",ROUND(3+M42/안내!$C$12,0))</f>
        <v>-</v>
      </c>
      <c r="O42" s="21" t="str">
        <f aca="false">IF(K42="","(본문 입력 후 자동) | 레 17:11",IF(LEN(K42)&gt;28,LEFT(K42,28)&amp;"…",K42)&amp;" | 레 17:11")</f>
        <v>(본문 입력 후 자동) | 레 17:11</v>
      </c>
      <c r="P42" s="21" t="str">
        <f aca="false">"#"&amp;SUBSTITUTE(안내!$C$5," ","")&amp;" #성경구절 #말씀 #레위기 #속죄"</f>
        <v>#오늘의말씀 #성경구절 #말씀 #레위기 #속죄</v>
      </c>
      <c r="Q42" s="21" t="s">
        <v>77</v>
      </c>
      <c r="R42" s="22" t="n">
        <f aca="false">안내!$C$6+INT((D42-1)/안내!$C$7)</f>
        <v>46408</v>
      </c>
      <c r="S42" s="17" t="str">
        <f aca="false">IF(MOD(D42-1,안내!$C$7)=0,안내!$C$8,안내!$C$10)</f>
        <v>06:30</v>
      </c>
      <c r="T42" s="17" t="str">
        <f aca="false">CHOOSE(WEEKDAY(R42,2),"월","화","수","목","금","토","일")</f>
        <v>목</v>
      </c>
      <c r="U42" s="17" t="s">
        <v>78</v>
      </c>
      <c r="V42" s="17" t="s">
        <v>78</v>
      </c>
      <c r="W42" s="23"/>
      <c r="X42" s="23"/>
      <c r="Y42" s="21"/>
    </row>
    <row r="43" customFormat="false" ht="15" hidden="false" customHeight="false" outlineLevel="0" collapsed="false">
      <c r="A43" s="16" t="n">
        <v>42</v>
      </c>
      <c r="B43" s="15" t="s">
        <v>233</v>
      </c>
      <c r="C43" s="16" t="s">
        <v>70</v>
      </c>
      <c r="D43" s="16" t="n">
        <v>42</v>
      </c>
      <c r="E43" s="16" t="str">
        <f aca="false">C43&amp;"말씀 #"&amp;TEXT(D43,"000")</f>
        <v>구약말씀 #042</v>
      </c>
      <c r="F43" s="17" t="s">
        <v>226</v>
      </c>
      <c r="G43" s="18" t="s">
        <v>234</v>
      </c>
      <c r="H43" s="19" t="s">
        <v>235</v>
      </c>
      <c r="I43" s="17" t="s">
        <v>172</v>
      </c>
      <c r="J43" s="17" t="s">
        <v>75</v>
      </c>
      <c r="K43" s="20"/>
      <c r="L43" s="17" t="s">
        <v>76</v>
      </c>
      <c r="M43" s="17" t="n">
        <f aca="false">LEN(K43)</f>
        <v>0</v>
      </c>
      <c r="N43" s="17" t="str">
        <f aca="false">IF(M43=0,"-",ROUND(3+M43/안내!$C$12,0))</f>
        <v>-</v>
      </c>
      <c r="O43" s="21" t="str">
        <f aca="false">IF(K43="","(본문 입력 후 자동) | 레 19:2",IF(LEN(K43)&gt;28,LEFT(K43,28)&amp;"…",K43)&amp;" | 레 19:2")</f>
        <v>(본문 입력 후 자동) | 레 19:2</v>
      </c>
      <c r="P43" s="21" t="str">
        <f aca="false">"#"&amp;SUBSTITUTE(안내!$C$5," ","")&amp;" #성경구절 #말씀 #레위기 #거룩"</f>
        <v>#오늘의말씀 #성경구절 #말씀 #레위기 #거룩</v>
      </c>
      <c r="Q43" s="21" t="s">
        <v>77</v>
      </c>
      <c r="R43" s="22" t="n">
        <f aca="false">안내!$C$6+INT((D43-1)/안내!$C$7)</f>
        <v>46408</v>
      </c>
      <c r="S43" s="17" t="str">
        <f aca="false">IF(MOD(D43-1,안내!$C$7)=0,안내!$C$8,안내!$C$10)</f>
        <v>18:30</v>
      </c>
      <c r="T43" s="17" t="str">
        <f aca="false">CHOOSE(WEEKDAY(R43,2),"월","화","수","목","금","토","일")</f>
        <v>목</v>
      </c>
      <c r="U43" s="17" t="s">
        <v>78</v>
      </c>
      <c r="V43" s="17" t="s">
        <v>78</v>
      </c>
      <c r="W43" s="23"/>
      <c r="X43" s="23"/>
      <c r="Y43" s="21"/>
    </row>
    <row r="44" customFormat="false" ht="25.35" hidden="false" customHeight="false" outlineLevel="0" collapsed="false">
      <c r="A44" s="16" t="n">
        <v>43</v>
      </c>
      <c r="B44" s="15" t="s">
        <v>236</v>
      </c>
      <c r="C44" s="16" t="s">
        <v>70</v>
      </c>
      <c r="D44" s="16" t="n">
        <v>43</v>
      </c>
      <c r="E44" s="16" t="str">
        <f aca="false">C44&amp;"말씀 #"&amp;TEXT(D44,"000")</f>
        <v>구약말씀 #043</v>
      </c>
      <c r="F44" s="17" t="s">
        <v>226</v>
      </c>
      <c r="G44" s="18" t="s">
        <v>237</v>
      </c>
      <c r="H44" s="19" t="s">
        <v>238</v>
      </c>
      <c r="I44" s="17" t="s">
        <v>239</v>
      </c>
      <c r="J44" s="17" t="s">
        <v>94</v>
      </c>
      <c r="K44" s="20"/>
      <c r="L44" s="17" t="s">
        <v>76</v>
      </c>
      <c r="M44" s="17" t="n">
        <f aca="false">LEN(K44)</f>
        <v>0</v>
      </c>
      <c r="N44" s="17" t="str">
        <f aca="false">IF(M44=0,"-",ROUND(3+M44/안내!$C$12,0))</f>
        <v>-</v>
      </c>
      <c r="O44" s="21" t="str">
        <f aca="false">IF(K44="","(본문 입력 후 자동) | 레 19:18",IF(LEN(K44)&gt;28,LEFT(K44,28)&amp;"…",K44)&amp;" | 레 19:18")</f>
        <v>(본문 입력 후 자동) | 레 19:18</v>
      </c>
      <c r="P44" s="21" t="str">
        <f aca="false">"#"&amp;SUBSTITUTE(안내!$C$5," ","")&amp;" #성경구절 #말씀 #레위기 #사랑"</f>
        <v>#오늘의말씀 #성경구절 #말씀 #레위기 #사랑</v>
      </c>
      <c r="Q44" s="21" t="s">
        <v>77</v>
      </c>
      <c r="R44" s="22" t="n">
        <f aca="false">안내!$C$6+INT((D44-1)/안내!$C$7)</f>
        <v>46409</v>
      </c>
      <c r="S44" s="17" t="str">
        <f aca="false">IF(MOD(D44-1,안내!$C$7)=0,안내!$C$8,안내!$C$10)</f>
        <v>06:30</v>
      </c>
      <c r="T44" s="17" t="str">
        <f aca="false">CHOOSE(WEEKDAY(R44,2),"월","화","수","목","금","토","일")</f>
        <v>금</v>
      </c>
      <c r="U44" s="17" t="s">
        <v>78</v>
      </c>
      <c r="V44" s="17" t="s">
        <v>78</v>
      </c>
      <c r="W44" s="23"/>
      <c r="X44" s="23"/>
      <c r="Y44" s="21"/>
    </row>
    <row r="45" customFormat="false" ht="25.35" hidden="false" customHeight="false" outlineLevel="0" collapsed="false">
      <c r="A45" s="16" t="n">
        <v>44</v>
      </c>
      <c r="B45" s="15" t="s">
        <v>240</v>
      </c>
      <c r="C45" s="16" t="s">
        <v>70</v>
      </c>
      <c r="D45" s="16" t="n">
        <v>44</v>
      </c>
      <c r="E45" s="16" t="str">
        <f aca="false">C45&amp;"말씀 #"&amp;TEXT(D45,"000")</f>
        <v>구약말씀 #044</v>
      </c>
      <c r="F45" s="17" t="s">
        <v>226</v>
      </c>
      <c r="G45" s="18" t="s">
        <v>241</v>
      </c>
      <c r="H45" s="19" t="s">
        <v>242</v>
      </c>
      <c r="I45" s="17" t="s">
        <v>243</v>
      </c>
      <c r="J45" s="17" t="s">
        <v>104</v>
      </c>
      <c r="K45" s="20"/>
      <c r="L45" s="17" t="s">
        <v>76</v>
      </c>
      <c r="M45" s="17" t="n">
        <f aca="false">LEN(K45)</f>
        <v>0</v>
      </c>
      <c r="N45" s="17" t="str">
        <f aca="false">IF(M45=0,"-",ROUND(3+M45/안내!$C$12,0))</f>
        <v>-</v>
      </c>
      <c r="O45" s="21" t="str">
        <f aca="false">IF(K45="","(본문 입력 후 자동) | 레 25:10",IF(LEN(K45)&gt;28,LEFT(K45,28)&amp;"…",K45)&amp;" | 레 25:10")</f>
        <v>(본문 입력 후 자동) | 레 25:10</v>
      </c>
      <c r="P45" s="21" t="str">
        <f aca="false">"#"&amp;SUBSTITUTE(안내!$C$5," ","")&amp;" #성경구절 #말씀 #레위기 #자유"</f>
        <v>#오늘의말씀 #성경구절 #말씀 #레위기 #자유</v>
      </c>
      <c r="Q45" s="21" t="s">
        <v>77</v>
      </c>
      <c r="R45" s="22" t="n">
        <f aca="false">안내!$C$6+INT((D45-1)/안내!$C$7)</f>
        <v>46409</v>
      </c>
      <c r="S45" s="17" t="str">
        <f aca="false">IF(MOD(D45-1,안내!$C$7)=0,안내!$C$8,안내!$C$10)</f>
        <v>18:30</v>
      </c>
      <c r="T45" s="17" t="str">
        <f aca="false">CHOOSE(WEEKDAY(R45,2),"월","화","수","목","금","토","일")</f>
        <v>금</v>
      </c>
      <c r="U45" s="17" t="s">
        <v>78</v>
      </c>
      <c r="V45" s="17" t="s">
        <v>78</v>
      </c>
      <c r="W45" s="23"/>
      <c r="X45" s="23"/>
      <c r="Y45" s="21"/>
    </row>
    <row r="46" customFormat="false" ht="25.35" hidden="false" customHeight="false" outlineLevel="0" collapsed="false">
      <c r="A46" s="16" t="n">
        <v>45</v>
      </c>
      <c r="B46" s="15" t="s">
        <v>244</v>
      </c>
      <c r="C46" s="16" t="s">
        <v>70</v>
      </c>
      <c r="D46" s="16" t="n">
        <v>45</v>
      </c>
      <c r="E46" s="16" t="str">
        <f aca="false">C46&amp;"말씀 #"&amp;TEXT(D46,"000")</f>
        <v>구약말씀 #045</v>
      </c>
      <c r="F46" s="17" t="s">
        <v>226</v>
      </c>
      <c r="G46" s="18" t="s">
        <v>245</v>
      </c>
      <c r="H46" s="19" t="s">
        <v>246</v>
      </c>
      <c r="I46" s="17" t="s">
        <v>117</v>
      </c>
      <c r="J46" s="17" t="s">
        <v>104</v>
      </c>
      <c r="K46" s="20"/>
      <c r="L46" s="17" t="s">
        <v>76</v>
      </c>
      <c r="M46" s="17" t="n">
        <f aca="false">LEN(K46)</f>
        <v>0</v>
      </c>
      <c r="N46" s="17" t="str">
        <f aca="false">IF(M46=0,"-",ROUND(3+M46/안내!$C$12,0))</f>
        <v>-</v>
      </c>
      <c r="O46" s="21" t="str">
        <f aca="false">IF(K46="","(본문 입력 후 자동) | 레 26:12",IF(LEN(K46)&gt;28,LEFT(K46,28)&amp;"…",K46)&amp;" | 레 26:12")</f>
        <v>(본문 입력 후 자동) | 레 26:12</v>
      </c>
      <c r="P46" s="21" t="str">
        <f aca="false">"#"&amp;SUBSTITUTE(안내!$C$5," ","")&amp;" #성경구절 #말씀 #레위기 #언약"</f>
        <v>#오늘의말씀 #성경구절 #말씀 #레위기 #언약</v>
      </c>
      <c r="Q46" s="21" t="s">
        <v>77</v>
      </c>
      <c r="R46" s="22" t="n">
        <f aca="false">안내!$C$6+INT((D46-1)/안내!$C$7)</f>
        <v>46410</v>
      </c>
      <c r="S46" s="17" t="str">
        <f aca="false">IF(MOD(D46-1,안내!$C$7)=0,안내!$C$8,안내!$C$10)</f>
        <v>06:30</v>
      </c>
      <c r="T46" s="17" t="str">
        <f aca="false">CHOOSE(WEEKDAY(R46,2),"월","화","수","목","금","토","일")</f>
        <v>토</v>
      </c>
      <c r="U46" s="17" t="s">
        <v>78</v>
      </c>
      <c r="V46" s="17" t="s">
        <v>78</v>
      </c>
      <c r="W46" s="23"/>
      <c r="X46" s="23"/>
      <c r="Y46" s="21"/>
    </row>
    <row r="47" customFormat="false" ht="15" hidden="false" customHeight="false" outlineLevel="0" collapsed="false">
      <c r="A47" s="16" t="n">
        <v>46</v>
      </c>
      <c r="B47" s="15" t="s">
        <v>247</v>
      </c>
      <c r="C47" s="16" t="s">
        <v>70</v>
      </c>
      <c r="D47" s="16" t="n">
        <v>46</v>
      </c>
      <c r="E47" s="16" t="str">
        <f aca="false">C47&amp;"말씀 #"&amp;TEXT(D47,"000")</f>
        <v>구약말씀 #046</v>
      </c>
      <c r="F47" s="17" t="s">
        <v>248</v>
      </c>
      <c r="G47" s="18" t="s">
        <v>249</v>
      </c>
      <c r="H47" s="19" t="s">
        <v>250</v>
      </c>
      <c r="I47" s="17" t="s">
        <v>251</v>
      </c>
      <c r="J47" s="17" t="s">
        <v>148</v>
      </c>
      <c r="K47" s="20"/>
      <c r="L47" s="17" t="s">
        <v>76</v>
      </c>
      <c r="M47" s="17" t="n">
        <f aca="false">LEN(K47)</f>
        <v>0</v>
      </c>
      <c r="N47" s="17" t="str">
        <f aca="false">IF(M47=0,"-",ROUND(3+M47/안내!$C$12,0))</f>
        <v>-</v>
      </c>
      <c r="O47" s="21" t="str">
        <f aca="false">IF(K47="","(본문 입력 후 자동) | 민 6:24",IF(LEN(K47)&gt;28,LEFT(K47,28)&amp;"…",K47)&amp;" | 민 6:24")</f>
        <v>(본문 입력 후 자동) | 민 6:24</v>
      </c>
      <c r="P47" s="21" t="str">
        <f aca="false">"#"&amp;SUBSTITUTE(안내!$C$5," ","")&amp;" #성경구절 #말씀 #민수기 #축복"</f>
        <v>#오늘의말씀 #성경구절 #말씀 #민수기 #축복</v>
      </c>
      <c r="Q47" s="21" t="s">
        <v>77</v>
      </c>
      <c r="R47" s="22" t="n">
        <f aca="false">안내!$C$6+INT((D47-1)/안내!$C$7)</f>
        <v>46410</v>
      </c>
      <c r="S47" s="17" t="str">
        <f aca="false">IF(MOD(D47-1,안내!$C$7)=0,안내!$C$8,안내!$C$10)</f>
        <v>18:30</v>
      </c>
      <c r="T47" s="17" t="str">
        <f aca="false">CHOOSE(WEEKDAY(R47,2),"월","화","수","목","금","토","일")</f>
        <v>토</v>
      </c>
      <c r="U47" s="17" t="s">
        <v>78</v>
      </c>
      <c r="V47" s="17" t="s">
        <v>78</v>
      </c>
      <c r="W47" s="23"/>
      <c r="X47" s="23"/>
      <c r="Y47" s="21"/>
    </row>
    <row r="48" customFormat="false" ht="15" hidden="false" customHeight="false" outlineLevel="0" collapsed="false">
      <c r="A48" s="16" t="n">
        <v>47</v>
      </c>
      <c r="B48" s="15" t="s">
        <v>252</v>
      </c>
      <c r="C48" s="16" t="s">
        <v>70</v>
      </c>
      <c r="D48" s="16" t="n">
        <v>47</v>
      </c>
      <c r="E48" s="16" t="str">
        <f aca="false">C48&amp;"말씀 #"&amp;TEXT(D48,"000")</f>
        <v>구약말씀 #047</v>
      </c>
      <c r="F48" s="17" t="s">
        <v>248</v>
      </c>
      <c r="G48" s="18" t="s">
        <v>253</v>
      </c>
      <c r="H48" s="19" t="s">
        <v>254</v>
      </c>
      <c r="I48" s="17" t="s">
        <v>251</v>
      </c>
      <c r="J48" s="17" t="s">
        <v>148</v>
      </c>
      <c r="K48" s="20"/>
      <c r="L48" s="17" t="s">
        <v>76</v>
      </c>
      <c r="M48" s="17" t="n">
        <f aca="false">LEN(K48)</f>
        <v>0</v>
      </c>
      <c r="N48" s="17" t="str">
        <f aca="false">IF(M48=0,"-",ROUND(3+M48/안내!$C$12,0))</f>
        <v>-</v>
      </c>
      <c r="O48" s="21" t="str">
        <f aca="false">IF(K48="","(본문 입력 후 자동) | 민 6:25",IF(LEN(K48)&gt;28,LEFT(K48,28)&amp;"…",K48)&amp;" | 민 6:25")</f>
        <v>(본문 입력 후 자동) | 민 6:25</v>
      </c>
      <c r="P48" s="21" t="str">
        <f aca="false">"#"&amp;SUBSTITUTE(안내!$C$5," ","")&amp;" #성경구절 #말씀 #민수기 #축복"</f>
        <v>#오늘의말씀 #성경구절 #말씀 #민수기 #축복</v>
      </c>
      <c r="Q48" s="21" t="s">
        <v>77</v>
      </c>
      <c r="R48" s="22" t="n">
        <f aca="false">안내!$C$6+INT((D48-1)/안내!$C$7)</f>
        <v>46411</v>
      </c>
      <c r="S48" s="17" t="str">
        <f aca="false">IF(MOD(D48-1,안내!$C$7)=0,안내!$C$8,안내!$C$10)</f>
        <v>06:30</v>
      </c>
      <c r="T48" s="17" t="str">
        <f aca="false">CHOOSE(WEEKDAY(R48,2),"월","화","수","목","금","토","일")</f>
        <v>일</v>
      </c>
      <c r="U48" s="17" t="s">
        <v>78</v>
      </c>
      <c r="V48" s="17" t="s">
        <v>78</v>
      </c>
      <c r="W48" s="23"/>
      <c r="X48" s="23"/>
      <c r="Y48" s="21"/>
    </row>
    <row r="49" customFormat="false" ht="15" hidden="false" customHeight="false" outlineLevel="0" collapsed="false">
      <c r="A49" s="16" t="n">
        <v>48</v>
      </c>
      <c r="B49" s="15" t="s">
        <v>255</v>
      </c>
      <c r="C49" s="16" t="s">
        <v>70</v>
      </c>
      <c r="D49" s="16" t="n">
        <v>48</v>
      </c>
      <c r="E49" s="16" t="str">
        <f aca="false">C49&amp;"말씀 #"&amp;TEXT(D49,"000")</f>
        <v>구약말씀 #048</v>
      </c>
      <c r="F49" s="17" t="s">
        <v>248</v>
      </c>
      <c r="G49" s="18" t="s">
        <v>256</v>
      </c>
      <c r="H49" s="19" t="s">
        <v>257</v>
      </c>
      <c r="I49" s="17" t="s">
        <v>221</v>
      </c>
      <c r="J49" s="17" t="s">
        <v>99</v>
      </c>
      <c r="K49" s="20"/>
      <c r="L49" s="17" t="s">
        <v>76</v>
      </c>
      <c r="M49" s="17" t="n">
        <f aca="false">LEN(K49)</f>
        <v>0</v>
      </c>
      <c r="N49" s="17" t="str">
        <f aca="false">IF(M49=0,"-",ROUND(3+M49/안내!$C$12,0))</f>
        <v>-</v>
      </c>
      <c r="O49" s="21" t="str">
        <f aca="false">IF(K49="","(본문 입력 후 자동) | 민 6:26",IF(LEN(K49)&gt;28,LEFT(K49,28)&amp;"…",K49)&amp;" | 민 6:26")</f>
        <v>(본문 입력 후 자동) | 민 6:26</v>
      </c>
      <c r="P49" s="21" t="str">
        <f aca="false">"#"&amp;SUBSTITUTE(안내!$C$5," ","")&amp;" #성경구절 #말씀 #민수기 #평안"</f>
        <v>#오늘의말씀 #성경구절 #말씀 #민수기 #평안</v>
      </c>
      <c r="Q49" s="21" t="s">
        <v>77</v>
      </c>
      <c r="R49" s="22" t="n">
        <f aca="false">안내!$C$6+INT((D49-1)/안내!$C$7)</f>
        <v>46411</v>
      </c>
      <c r="S49" s="17" t="str">
        <f aca="false">IF(MOD(D49-1,안내!$C$7)=0,안내!$C$8,안내!$C$10)</f>
        <v>18:30</v>
      </c>
      <c r="T49" s="17" t="str">
        <f aca="false">CHOOSE(WEEKDAY(R49,2),"월","화","수","목","금","토","일")</f>
        <v>일</v>
      </c>
      <c r="U49" s="17" t="s">
        <v>78</v>
      </c>
      <c r="V49" s="17" t="s">
        <v>78</v>
      </c>
      <c r="W49" s="23"/>
      <c r="X49" s="23"/>
      <c r="Y49" s="21"/>
    </row>
    <row r="50" customFormat="false" ht="15" hidden="false" customHeight="false" outlineLevel="0" collapsed="false">
      <c r="A50" s="16" t="n">
        <v>49</v>
      </c>
      <c r="B50" s="15" t="s">
        <v>258</v>
      </c>
      <c r="C50" s="16" t="s">
        <v>70</v>
      </c>
      <c r="D50" s="16" t="n">
        <v>49</v>
      </c>
      <c r="E50" s="16" t="str">
        <f aca="false">C50&amp;"말씀 #"&amp;TEXT(D50,"000")</f>
        <v>구약말씀 #049</v>
      </c>
      <c r="F50" s="17" t="s">
        <v>248</v>
      </c>
      <c r="G50" s="18" t="s">
        <v>259</v>
      </c>
      <c r="H50" s="19" t="s">
        <v>260</v>
      </c>
      <c r="I50" s="17" t="s">
        <v>133</v>
      </c>
      <c r="J50" s="17" t="s">
        <v>113</v>
      </c>
      <c r="K50" s="20"/>
      <c r="L50" s="17" t="s">
        <v>76</v>
      </c>
      <c r="M50" s="17" t="n">
        <f aca="false">LEN(K50)</f>
        <v>0</v>
      </c>
      <c r="N50" s="17" t="str">
        <f aca="false">IF(M50=0,"-",ROUND(3+M50/안내!$C$12,0))</f>
        <v>-</v>
      </c>
      <c r="O50" s="21" t="str">
        <f aca="false">IF(K50="","(본문 입력 후 자동) | 민 14:8",IF(LEN(K50)&gt;28,LEFT(K50,28)&amp;"…",K50)&amp;" | 민 14:8")</f>
        <v>(본문 입력 후 자동) | 민 14:8</v>
      </c>
      <c r="P50" s="21" t="str">
        <f aca="false">"#"&amp;SUBSTITUTE(안내!$C$5," ","")&amp;" #성경구절 #말씀 #민수기 #믿음"</f>
        <v>#오늘의말씀 #성경구절 #말씀 #민수기 #믿음</v>
      </c>
      <c r="Q50" s="21" t="s">
        <v>77</v>
      </c>
      <c r="R50" s="22" t="n">
        <f aca="false">안내!$C$6+INT((D50-1)/안내!$C$7)</f>
        <v>46412</v>
      </c>
      <c r="S50" s="17" t="str">
        <f aca="false">IF(MOD(D50-1,안내!$C$7)=0,안내!$C$8,안내!$C$10)</f>
        <v>06:30</v>
      </c>
      <c r="T50" s="17" t="str">
        <f aca="false">CHOOSE(WEEKDAY(R50,2),"월","화","수","목","금","토","일")</f>
        <v>월</v>
      </c>
      <c r="U50" s="17" t="s">
        <v>78</v>
      </c>
      <c r="V50" s="17" t="s">
        <v>78</v>
      </c>
      <c r="W50" s="23"/>
      <c r="X50" s="23"/>
      <c r="Y50" s="21"/>
    </row>
    <row r="51" customFormat="false" ht="25.35" hidden="false" customHeight="false" outlineLevel="0" collapsed="false">
      <c r="A51" s="16" t="n">
        <v>50</v>
      </c>
      <c r="B51" s="15" t="s">
        <v>261</v>
      </c>
      <c r="C51" s="16" t="s">
        <v>70</v>
      </c>
      <c r="D51" s="16" t="n">
        <v>50</v>
      </c>
      <c r="E51" s="16" t="str">
        <f aca="false">C51&amp;"말씀 #"&amp;TEXT(D51,"000")</f>
        <v>구약말씀 #050</v>
      </c>
      <c r="F51" s="17" t="s">
        <v>248</v>
      </c>
      <c r="G51" s="18" t="s">
        <v>262</v>
      </c>
      <c r="H51" s="19" t="s">
        <v>263</v>
      </c>
      <c r="I51" s="17" t="s">
        <v>121</v>
      </c>
      <c r="J51" s="17" t="s">
        <v>122</v>
      </c>
      <c r="K51" s="20"/>
      <c r="L51" s="17" t="s">
        <v>76</v>
      </c>
      <c r="M51" s="17" t="n">
        <f aca="false">LEN(K51)</f>
        <v>0</v>
      </c>
      <c r="N51" s="17" t="str">
        <f aca="false">IF(M51=0,"-",ROUND(3+M51/안내!$C$12,0))</f>
        <v>-</v>
      </c>
      <c r="O51" s="21" t="str">
        <f aca="false">IF(K51="","(본문 입력 후 자동) | 민 14:24",IF(LEN(K51)&gt;28,LEFT(K51,28)&amp;"…",K51)&amp;" | 민 14:24")</f>
        <v>(본문 입력 후 자동) | 민 14:24</v>
      </c>
      <c r="P51" s="21" t="str">
        <f aca="false">"#"&amp;SUBSTITUTE(안내!$C$5," ","")&amp;" #성경구절 #말씀 #민수기 #순종"</f>
        <v>#오늘의말씀 #성경구절 #말씀 #민수기 #순종</v>
      </c>
      <c r="Q51" s="21" t="s">
        <v>77</v>
      </c>
      <c r="R51" s="22" t="n">
        <f aca="false">안내!$C$6+INT((D51-1)/안내!$C$7)</f>
        <v>46412</v>
      </c>
      <c r="S51" s="17" t="str">
        <f aca="false">IF(MOD(D51-1,안내!$C$7)=0,안내!$C$8,안내!$C$10)</f>
        <v>18:30</v>
      </c>
      <c r="T51" s="17" t="str">
        <f aca="false">CHOOSE(WEEKDAY(R51,2),"월","화","수","목","금","토","일")</f>
        <v>월</v>
      </c>
      <c r="U51" s="17" t="s">
        <v>78</v>
      </c>
      <c r="V51" s="17" t="s">
        <v>78</v>
      </c>
      <c r="W51" s="23"/>
      <c r="X51" s="23"/>
      <c r="Y51" s="21"/>
    </row>
    <row r="52" customFormat="false" ht="39.55" hidden="false" customHeight="false" outlineLevel="0" collapsed="false">
      <c r="A52" s="16" t="n">
        <v>51</v>
      </c>
      <c r="B52" s="15" t="s">
        <v>264</v>
      </c>
      <c r="C52" s="16" t="s">
        <v>70</v>
      </c>
      <c r="D52" s="16" t="n">
        <v>51</v>
      </c>
      <c r="E52" s="16" t="str">
        <f aca="false">C52&amp;"말씀 #"&amp;TEXT(D52,"000")</f>
        <v>구약말씀 #051</v>
      </c>
      <c r="F52" s="17" t="s">
        <v>248</v>
      </c>
      <c r="G52" s="18" t="s">
        <v>265</v>
      </c>
      <c r="H52" s="19" t="s">
        <v>266</v>
      </c>
      <c r="I52" s="17" t="s">
        <v>103</v>
      </c>
      <c r="J52" s="17" t="s">
        <v>104</v>
      </c>
      <c r="K52" s="20"/>
      <c r="L52" s="17" t="s">
        <v>76</v>
      </c>
      <c r="M52" s="17" t="n">
        <f aca="false">LEN(K52)</f>
        <v>0</v>
      </c>
      <c r="N52" s="17" t="str">
        <f aca="false">IF(M52=0,"-",ROUND(3+M52/안내!$C$12,0))</f>
        <v>-</v>
      </c>
      <c r="O52" s="21" t="str">
        <f aca="false">IF(K52="","(본문 입력 후 자동) | 민 21:8",IF(LEN(K52)&gt;28,LEFT(K52,28)&amp;"…",K52)&amp;" | 민 21:8")</f>
        <v>(본문 입력 후 자동) | 민 21:8</v>
      </c>
      <c r="P52" s="21" t="str">
        <f aca="false">"#"&amp;SUBSTITUTE(안내!$C$5," ","")&amp;" #성경구절 #말씀 #민수기 #구원"</f>
        <v>#오늘의말씀 #성경구절 #말씀 #민수기 #구원</v>
      </c>
      <c r="Q52" s="24" t="s">
        <v>267</v>
      </c>
      <c r="R52" s="22" t="n">
        <f aca="false">안내!$C$6+INT((D52-1)/안내!$C$7)</f>
        <v>46413</v>
      </c>
      <c r="S52" s="17" t="str">
        <f aca="false">IF(MOD(D52-1,안내!$C$7)=0,안내!$C$8,안내!$C$10)</f>
        <v>06:30</v>
      </c>
      <c r="T52" s="17" t="str">
        <f aca="false">CHOOSE(WEEKDAY(R52,2),"월","화","수","목","금","토","일")</f>
        <v>화</v>
      </c>
      <c r="U52" s="17" t="s">
        <v>78</v>
      </c>
      <c r="V52" s="17" t="s">
        <v>78</v>
      </c>
      <c r="W52" s="23"/>
      <c r="X52" s="23"/>
      <c r="Y52" s="21"/>
    </row>
    <row r="53" customFormat="false" ht="25.35" hidden="false" customHeight="false" outlineLevel="0" collapsed="false">
      <c r="A53" s="16" t="n">
        <v>52</v>
      </c>
      <c r="B53" s="15" t="s">
        <v>268</v>
      </c>
      <c r="C53" s="16" t="s">
        <v>70</v>
      </c>
      <c r="D53" s="16" t="n">
        <v>52</v>
      </c>
      <c r="E53" s="16" t="str">
        <f aca="false">C53&amp;"말씀 #"&amp;TEXT(D53,"000")</f>
        <v>구약말씀 #052</v>
      </c>
      <c r="F53" s="17" t="s">
        <v>248</v>
      </c>
      <c r="G53" s="18" t="s">
        <v>269</v>
      </c>
      <c r="H53" s="19" t="s">
        <v>270</v>
      </c>
      <c r="I53" s="17" t="s">
        <v>112</v>
      </c>
      <c r="J53" s="17" t="s">
        <v>113</v>
      </c>
      <c r="K53" s="20"/>
      <c r="L53" s="17" t="s">
        <v>76</v>
      </c>
      <c r="M53" s="17" t="n">
        <f aca="false">LEN(K53)</f>
        <v>0</v>
      </c>
      <c r="N53" s="17" t="str">
        <f aca="false">IF(M53=0,"-",ROUND(3+M53/안내!$C$12,0))</f>
        <v>-</v>
      </c>
      <c r="O53" s="21" t="str">
        <f aca="false">IF(K53="","(본문 입력 후 자동) | 민 23:19",IF(LEN(K53)&gt;28,LEFT(K53,28)&amp;"…",K53)&amp;" | 민 23:19")</f>
        <v>(본문 입력 후 자동) | 민 23:19</v>
      </c>
      <c r="P53" s="21" t="str">
        <f aca="false">"#"&amp;SUBSTITUTE(안내!$C$5," ","")&amp;" #성경구절 #말씀 #민수기 #신실하심"</f>
        <v>#오늘의말씀 #성경구절 #말씀 #민수기 #신실하심</v>
      </c>
      <c r="Q53" s="21" t="s">
        <v>77</v>
      </c>
      <c r="R53" s="22" t="n">
        <f aca="false">안내!$C$6+INT((D53-1)/안내!$C$7)</f>
        <v>46413</v>
      </c>
      <c r="S53" s="17" t="str">
        <f aca="false">IF(MOD(D53-1,안내!$C$7)=0,안내!$C$8,안내!$C$10)</f>
        <v>18:30</v>
      </c>
      <c r="T53" s="17" t="str">
        <f aca="false">CHOOSE(WEEKDAY(R53,2),"월","화","수","목","금","토","일")</f>
        <v>화</v>
      </c>
      <c r="U53" s="17" t="s">
        <v>78</v>
      </c>
      <c r="V53" s="17" t="s">
        <v>78</v>
      </c>
      <c r="W53" s="23"/>
      <c r="X53" s="23"/>
      <c r="Y53" s="21"/>
    </row>
    <row r="54" customFormat="false" ht="15" hidden="false" customHeight="false" outlineLevel="0" collapsed="false">
      <c r="A54" s="16" t="n">
        <v>53</v>
      </c>
      <c r="B54" s="15" t="s">
        <v>271</v>
      </c>
      <c r="C54" s="16" t="s">
        <v>70</v>
      </c>
      <c r="D54" s="16" t="n">
        <v>53</v>
      </c>
      <c r="E54" s="16" t="str">
        <f aca="false">C54&amp;"말씀 #"&amp;TEXT(D54,"000")</f>
        <v>구약말씀 #053</v>
      </c>
      <c r="F54" s="17" t="s">
        <v>272</v>
      </c>
      <c r="G54" s="18" t="s">
        <v>273</v>
      </c>
      <c r="H54" s="19" t="s">
        <v>274</v>
      </c>
      <c r="I54" s="17" t="s">
        <v>160</v>
      </c>
      <c r="J54" s="17" t="s">
        <v>104</v>
      </c>
      <c r="K54" s="20"/>
      <c r="L54" s="17" t="s">
        <v>76</v>
      </c>
      <c r="M54" s="17" t="n">
        <f aca="false">LEN(K54)</f>
        <v>0</v>
      </c>
      <c r="N54" s="17" t="str">
        <f aca="false">IF(M54=0,"-",ROUND(3+M54/안내!$C$12,0))</f>
        <v>-</v>
      </c>
      <c r="O54" s="21" t="str">
        <f aca="false">IF(K54="","(본문 입력 후 자동) | 신 4:29",IF(LEN(K54)&gt;28,LEFT(K54,28)&amp;"…",K54)&amp;" | 신 4:29")</f>
        <v>(본문 입력 후 자동) | 신 4:29</v>
      </c>
      <c r="P54" s="21" t="str">
        <f aca="false">"#"&amp;SUBSTITUTE(안내!$C$5," ","")&amp;" #성경구절 #말씀 #신명기 #기도"</f>
        <v>#오늘의말씀 #성경구절 #말씀 #신명기 #기도</v>
      </c>
      <c r="Q54" s="21" t="s">
        <v>77</v>
      </c>
      <c r="R54" s="22" t="n">
        <f aca="false">안내!$C$6+INT((D54-1)/안내!$C$7)</f>
        <v>46414</v>
      </c>
      <c r="S54" s="17" t="str">
        <f aca="false">IF(MOD(D54-1,안내!$C$7)=0,안내!$C$8,안내!$C$10)</f>
        <v>06:30</v>
      </c>
      <c r="T54" s="17" t="str">
        <f aca="false">CHOOSE(WEEKDAY(R54,2),"월","화","수","목","금","토","일")</f>
        <v>수</v>
      </c>
      <c r="U54" s="17" t="s">
        <v>78</v>
      </c>
      <c r="V54" s="17" t="s">
        <v>78</v>
      </c>
      <c r="W54" s="23"/>
      <c r="X54" s="23"/>
      <c r="Y54" s="21"/>
    </row>
    <row r="55" customFormat="false" ht="15" hidden="false" customHeight="false" outlineLevel="0" collapsed="false">
      <c r="A55" s="16" t="n">
        <v>54</v>
      </c>
      <c r="B55" s="15" t="s">
        <v>275</v>
      </c>
      <c r="C55" s="16" t="s">
        <v>70</v>
      </c>
      <c r="D55" s="16" t="n">
        <v>54</v>
      </c>
      <c r="E55" s="16" t="str">
        <f aca="false">C55&amp;"말씀 #"&amp;TEXT(D55,"000")</f>
        <v>구약말씀 #054</v>
      </c>
      <c r="F55" s="17" t="s">
        <v>272</v>
      </c>
      <c r="G55" s="18" t="s">
        <v>276</v>
      </c>
      <c r="H55" s="19" t="s">
        <v>277</v>
      </c>
      <c r="I55" s="17" t="s">
        <v>176</v>
      </c>
      <c r="J55" s="17" t="s">
        <v>75</v>
      </c>
      <c r="K55" s="20"/>
      <c r="L55" s="17" t="s">
        <v>76</v>
      </c>
      <c r="M55" s="17" t="n">
        <f aca="false">LEN(K55)</f>
        <v>0</v>
      </c>
      <c r="N55" s="17" t="str">
        <f aca="false">IF(M55=0,"-",ROUND(3+M55/안내!$C$12,0))</f>
        <v>-</v>
      </c>
      <c r="O55" s="21" t="str">
        <f aca="false">IF(K55="","(본문 입력 후 자동) | 신 6:4",IF(LEN(K55)&gt;28,LEFT(K55,28)&amp;"…",K55)&amp;" | 신 6:4")</f>
        <v>(본문 입력 후 자동) | 신 6:4</v>
      </c>
      <c r="P55" s="21" t="str">
        <f aca="false">"#"&amp;SUBSTITUTE(안내!$C$5," ","")&amp;" #성경구절 #말씀 #신명기 #하나님"</f>
        <v>#오늘의말씀 #성경구절 #말씀 #신명기 #하나님</v>
      </c>
      <c r="Q55" s="21" t="s">
        <v>77</v>
      </c>
      <c r="R55" s="22" t="n">
        <f aca="false">안내!$C$6+INT((D55-1)/안내!$C$7)</f>
        <v>46414</v>
      </c>
      <c r="S55" s="17" t="str">
        <f aca="false">IF(MOD(D55-1,안내!$C$7)=0,안내!$C$8,안내!$C$10)</f>
        <v>18:30</v>
      </c>
      <c r="T55" s="17" t="str">
        <f aca="false">CHOOSE(WEEKDAY(R55,2),"월","화","수","목","금","토","일")</f>
        <v>수</v>
      </c>
      <c r="U55" s="17" t="s">
        <v>78</v>
      </c>
      <c r="V55" s="17" t="s">
        <v>78</v>
      </c>
      <c r="W55" s="23"/>
      <c r="X55" s="23"/>
      <c r="Y55" s="21"/>
    </row>
    <row r="56" customFormat="false" ht="15" hidden="false" customHeight="false" outlineLevel="0" collapsed="false">
      <c r="A56" s="16" t="n">
        <v>55</v>
      </c>
      <c r="B56" s="15" t="s">
        <v>278</v>
      </c>
      <c r="C56" s="16" t="s">
        <v>70</v>
      </c>
      <c r="D56" s="16" t="n">
        <v>55</v>
      </c>
      <c r="E56" s="16" t="str">
        <f aca="false">C56&amp;"말씀 #"&amp;TEXT(D56,"000")</f>
        <v>구약말씀 #055</v>
      </c>
      <c r="F56" s="17" t="s">
        <v>272</v>
      </c>
      <c r="G56" s="18" t="s">
        <v>279</v>
      </c>
      <c r="H56" s="19" t="s">
        <v>280</v>
      </c>
      <c r="I56" s="17" t="s">
        <v>239</v>
      </c>
      <c r="J56" s="17" t="s">
        <v>94</v>
      </c>
      <c r="K56" s="20"/>
      <c r="L56" s="17" t="s">
        <v>76</v>
      </c>
      <c r="M56" s="17" t="n">
        <f aca="false">LEN(K56)</f>
        <v>0</v>
      </c>
      <c r="N56" s="17" t="str">
        <f aca="false">IF(M56=0,"-",ROUND(3+M56/안내!$C$12,0))</f>
        <v>-</v>
      </c>
      <c r="O56" s="21" t="str">
        <f aca="false">IF(K56="","(본문 입력 후 자동) | 신 6:5",IF(LEN(K56)&gt;28,LEFT(K56,28)&amp;"…",K56)&amp;" | 신 6:5")</f>
        <v>(본문 입력 후 자동) | 신 6:5</v>
      </c>
      <c r="P56" s="21" t="str">
        <f aca="false">"#"&amp;SUBSTITUTE(안내!$C$5," ","")&amp;" #성경구절 #말씀 #신명기 #사랑"</f>
        <v>#오늘의말씀 #성경구절 #말씀 #신명기 #사랑</v>
      </c>
      <c r="Q56" s="21" t="s">
        <v>77</v>
      </c>
      <c r="R56" s="22" t="n">
        <f aca="false">안내!$C$6+INT((D56-1)/안내!$C$7)</f>
        <v>46415</v>
      </c>
      <c r="S56" s="17" t="str">
        <f aca="false">IF(MOD(D56-1,안내!$C$7)=0,안내!$C$8,안내!$C$10)</f>
        <v>06:30</v>
      </c>
      <c r="T56" s="17" t="str">
        <f aca="false">CHOOSE(WEEKDAY(R56,2),"월","화","수","목","금","토","일")</f>
        <v>목</v>
      </c>
      <c r="U56" s="17" t="s">
        <v>78</v>
      </c>
      <c r="V56" s="17" t="s">
        <v>78</v>
      </c>
      <c r="W56" s="23"/>
      <c r="X56" s="23"/>
      <c r="Y56" s="21"/>
    </row>
    <row r="57" customFormat="false" ht="15" hidden="false" customHeight="false" outlineLevel="0" collapsed="false">
      <c r="A57" s="16" t="n">
        <v>56</v>
      </c>
      <c r="B57" s="15" t="s">
        <v>281</v>
      </c>
      <c r="C57" s="16" t="s">
        <v>70</v>
      </c>
      <c r="D57" s="16" t="n">
        <v>56</v>
      </c>
      <c r="E57" s="16" t="str">
        <f aca="false">C57&amp;"말씀 #"&amp;TEXT(D57,"000")</f>
        <v>구약말씀 #056</v>
      </c>
      <c r="F57" s="17" t="s">
        <v>272</v>
      </c>
      <c r="G57" s="18" t="s">
        <v>282</v>
      </c>
      <c r="H57" s="19" t="s">
        <v>283</v>
      </c>
      <c r="I57" s="17" t="s">
        <v>284</v>
      </c>
      <c r="J57" s="17" t="s">
        <v>148</v>
      </c>
      <c r="K57" s="20"/>
      <c r="L57" s="17" t="s">
        <v>76</v>
      </c>
      <c r="M57" s="17" t="n">
        <f aca="false">LEN(K57)</f>
        <v>0</v>
      </c>
      <c r="N57" s="17" t="str">
        <f aca="false">IF(M57=0,"-",ROUND(3+M57/안내!$C$12,0))</f>
        <v>-</v>
      </c>
      <c r="O57" s="21" t="str">
        <f aca="false">IF(K57="","(본문 입력 후 자동) | 신 6:6",IF(LEN(K57)&gt;28,LEFT(K57,28)&amp;"…",K57)&amp;" | 신 6:6")</f>
        <v>(본문 입력 후 자동) | 신 6:6</v>
      </c>
      <c r="P57" s="21" t="str">
        <f aca="false">"#"&amp;SUBSTITUTE(안내!$C$5," ","")&amp;" #성경구절 #말씀 #신명기 #말씀"</f>
        <v>#오늘의말씀 #성경구절 #말씀 #신명기 #말씀</v>
      </c>
      <c r="Q57" s="21" t="s">
        <v>77</v>
      </c>
      <c r="R57" s="22" t="n">
        <f aca="false">안내!$C$6+INT((D57-1)/안내!$C$7)</f>
        <v>46415</v>
      </c>
      <c r="S57" s="17" t="str">
        <f aca="false">IF(MOD(D57-1,안내!$C$7)=0,안내!$C$8,안내!$C$10)</f>
        <v>18:30</v>
      </c>
      <c r="T57" s="17" t="str">
        <f aca="false">CHOOSE(WEEKDAY(R57,2),"월","화","수","목","금","토","일")</f>
        <v>목</v>
      </c>
      <c r="U57" s="17" t="s">
        <v>78</v>
      </c>
      <c r="V57" s="17" t="s">
        <v>78</v>
      </c>
      <c r="W57" s="23"/>
      <c r="X57" s="23"/>
      <c r="Y57" s="21"/>
    </row>
    <row r="58" customFormat="false" ht="15" hidden="false" customHeight="false" outlineLevel="0" collapsed="false">
      <c r="A58" s="16" t="n">
        <v>57</v>
      </c>
      <c r="B58" s="15" t="s">
        <v>285</v>
      </c>
      <c r="C58" s="16" t="s">
        <v>70</v>
      </c>
      <c r="D58" s="16" t="n">
        <v>57</v>
      </c>
      <c r="E58" s="16" t="str">
        <f aca="false">C58&amp;"말씀 #"&amp;TEXT(D58,"000")</f>
        <v>구약말씀 #057</v>
      </c>
      <c r="F58" s="17" t="s">
        <v>272</v>
      </c>
      <c r="G58" s="18" t="s">
        <v>182</v>
      </c>
      <c r="H58" s="19" t="s">
        <v>286</v>
      </c>
      <c r="I58" s="17" t="s">
        <v>93</v>
      </c>
      <c r="J58" s="17" t="s">
        <v>94</v>
      </c>
      <c r="K58" s="20"/>
      <c r="L58" s="17" t="s">
        <v>76</v>
      </c>
      <c r="M58" s="17" t="n">
        <f aca="false">LEN(K58)</f>
        <v>0</v>
      </c>
      <c r="N58" s="17" t="str">
        <f aca="false">IF(M58=0,"-",ROUND(3+M58/안내!$C$12,0))</f>
        <v>-</v>
      </c>
      <c r="O58" s="21" t="str">
        <f aca="false">IF(K58="","(본문 입력 후 자동) | 신 6:7",IF(LEN(K58)&gt;28,LEFT(K58,28)&amp;"…",K58)&amp;" | 신 6:7")</f>
        <v>(본문 입력 후 자동) | 신 6:7</v>
      </c>
      <c r="P58" s="21" t="str">
        <f aca="false">"#"&amp;SUBSTITUTE(안내!$C$5," ","")&amp;" #성경구절 #말씀 #신명기 #가정"</f>
        <v>#오늘의말씀 #성경구절 #말씀 #신명기 #가정</v>
      </c>
      <c r="Q58" s="21" t="s">
        <v>77</v>
      </c>
      <c r="R58" s="22" t="n">
        <f aca="false">안내!$C$6+INT((D58-1)/안내!$C$7)</f>
        <v>46416</v>
      </c>
      <c r="S58" s="17" t="str">
        <f aca="false">IF(MOD(D58-1,안내!$C$7)=0,안내!$C$8,안내!$C$10)</f>
        <v>06:30</v>
      </c>
      <c r="T58" s="17" t="str">
        <f aca="false">CHOOSE(WEEKDAY(R58,2),"월","화","수","목","금","토","일")</f>
        <v>금</v>
      </c>
      <c r="U58" s="17" t="s">
        <v>78</v>
      </c>
      <c r="V58" s="17" t="s">
        <v>78</v>
      </c>
      <c r="W58" s="23"/>
      <c r="X58" s="23"/>
      <c r="Y58" s="21"/>
    </row>
    <row r="59" customFormat="false" ht="15" hidden="false" customHeight="false" outlineLevel="0" collapsed="false">
      <c r="A59" s="16" t="n">
        <v>58</v>
      </c>
      <c r="B59" s="15" t="s">
        <v>287</v>
      </c>
      <c r="C59" s="16" t="s">
        <v>70</v>
      </c>
      <c r="D59" s="16" t="n">
        <v>58</v>
      </c>
      <c r="E59" s="16" t="str">
        <f aca="false">C59&amp;"말씀 #"&amp;TEXT(D59,"000")</f>
        <v>구약말씀 #058</v>
      </c>
      <c r="F59" s="17" t="s">
        <v>272</v>
      </c>
      <c r="G59" s="18" t="s">
        <v>288</v>
      </c>
      <c r="H59" s="19" t="s">
        <v>289</v>
      </c>
      <c r="I59" s="17" t="s">
        <v>112</v>
      </c>
      <c r="J59" s="17" t="s">
        <v>113</v>
      </c>
      <c r="K59" s="20"/>
      <c r="L59" s="17" t="s">
        <v>76</v>
      </c>
      <c r="M59" s="17" t="n">
        <f aca="false">LEN(K59)</f>
        <v>0</v>
      </c>
      <c r="N59" s="17" t="str">
        <f aca="false">IF(M59=0,"-",ROUND(3+M59/안내!$C$12,0))</f>
        <v>-</v>
      </c>
      <c r="O59" s="21" t="str">
        <f aca="false">IF(K59="","(본문 입력 후 자동) | 신 7:9",IF(LEN(K59)&gt;28,LEFT(K59,28)&amp;"…",K59)&amp;" | 신 7:9")</f>
        <v>(본문 입력 후 자동) | 신 7:9</v>
      </c>
      <c r="P59" s="21" t="str">
        <f aca="false">"#"&amp;SUBSTITUTE(안내!$C$5," ","")&amp;" #성경구절 #말씀 #신명기 #신실하심"</f>
        <v>#오늘의말씀 #성경구절 #말씀 #신명기 #신실하심</v>
      </c>
      <c r="Q59" s="21" t="s">
        <v>77</v>
      </c>
      <c r="R59" s="22" t="n">
        <f aca="false">안내!$C$6+INT((D59-1)/안내!$C$7)</f>
        <v>46416</v>
      </c>
      <c r="S59" s="17" t="str">
        <f aca="false">IF(MOD(D59-1,안내!$C$7)=0,안내!$C$8,안내!$C$10)</f>
        <v>18:30</v>
      </c>
      <c r="T59" s="17" t="str">
        <f aca="false">CHOOSE(WEEKDAY(R59,2),"월","화","수","목","금","토","일")</f>
        <v>금</v>
      </c>
      <c r="U59" s="17" t="s">
        <v>78</v>
      </c>
      <c r="V59" s="17" t="s">
        <v>78</v>
      </c>
      <c r="W59" s="23"/>
      <c r="X59" s="23"/>
      <c r="Y59" s="21"/>
    </row>
    <row r="60" customFormat="false" ht="15" hidden="false" customHeight="false" outlineLevel="0" collapsed="false">
      <c r="A60" s="16" t="n">
        <v>59</v>
      </c>
      <c r="B60" s="15" t="s">
        <v>290</v>
      </c>
      <c r="C60" s="16" t="s">
        <v>70</v>
      </c>
      <c r="D60" s="16" t="n">
        <v>59</v>
      </c>
      <c r="E60" s="16" t="str">
        <f aca="false">C60&amp;"말씀 #"&amp;TEXT(D60,"000")</f>
        <v>구약말씀 #059</v>
      </c>
      <c r="F60" s="17" t="s">
        <v>272</v>
      </c>
      <c r="G60" s="18" t="s">
        <v>291</v>
      </c>
      <c r="H60" s="19" t="s">
        <v>292</v>
      </c>
      <c r="I60" s="17" t="s">
        <v>284</v>
      </c>
      <c r="J60" s="17" t="s">
        <v>148</v>
      </c>
      <c r="K60" s="20"/>
      <c r="L60" s="17" t="s">
        <v>76</v>
      </c>
      <c r="M60" s="17" t="n">
        <f aca="false">LEN(K60)</f>
        <v>0</v>
      </c>
      <c r="N60" s="17" t="str">
        <f aca="false">IF(M60=0,"-",ROUND(3+M60/안내!$C$12,0))</f>
        <v>-</v>
      </c>
      <c r="O60" s="21" t="str">
        <f aca="false">IF(K60="","(본문 입력 후 자동) | 신 8:3",IF(LEN(K60)&gt;28,LEFT(K60,28)&amp;"…",K60)&amp;" | 신 8:3")</f>
        <v>(본문 입력 후 자동) | 신 8:3</v>
      </c>
      <c r="P60" s="21" t="str">
        <f aca="false">"#"&amp;SUBSTITUTE(안내!$C$5," ","")&amp;" #성경구절 #말씀 #신명기 #말씀"</f>
        <v>#오늘의말씀 #성경구절 #말씀 #신명기 #말씀</v>
      </c>
      <c r="Q60" s="21" t="s">
        <v>77</v>
      </c>
      <c r="R60" s="22" t="n">
        <f aca="false">안내!$C$6+INT((D60-1)/안내!$C$7)</f>
        <v>46417</v>
      </c>
      <c r="S60" s="17" t="str">
        <f aca="false">IF(MOD(D60-1,안내!$C$7)=0,안내!$C$8,안내!$C$10)</f>
        <v>06:30</v>
      </c>
      <c r="T60" s="17" t="str">
        <f aca="false">CHOOSE(WEEKDAY(R60,2),"월","화","수","목","금","토","일")</f>
        <v>토</v>
      </c>
      <c r="U60" s="17" t="s">
        <v>78</v>
      </c>
      <c r="V60" s="17" t="s">
        <v>78</v>
      </c>
      <c r="W60" s="23"/>
      <c r="X60" s="23"/>
      <c r="Y60" s="21"/>
    </row>
    <row r="61" customFormat="false" ht="25.35" hidden="false" customHeight="false" outlineLevel="0" collapsed="false">
      <c r="A61" s="16" t="n">
        <v>60</v>
      </c>
      <c r="B61" s="15" t="s">
        <v>293</v>
      </c>
      <c r="C61" s="16" t="s">
        <v>70</v>
      </c>
      <c r="D61" s="16" t="n">
        <v>60</v>
      </c>
      <c r="E61" s="16" t="str">
        <f aca="false">C61&amp;"말씀 #"&amp;TEXT(D61,"000")</f>
        <v>구약말씀 #060</v>
      </c>
      <c r="F61" s="17" t="s">
        <v>272</v>
      </c>
      <c r="G61" s="18" t="s">
        <v>294</v>
      </c>
      <c r="H61" s="19" t="s">
        <v>295</v>
      </c>
      <c r="I61" s="17" t="s">
        <v>121</v>
      </c>
      <c r="J61" s="17" t="s">
        <v>122</v>
      </c>
      <c r="K61" s="20"/>
      <c r="L61" s="17" t="s">
        <v>76</v>
      </c>
      <c r="M61" s="17" t="n">
        <f aca="false">LEN(K61)</f>
        <v>0</v>
      </c>
      <c r="N61" s="17" t="str">
        <f aca="false">IF(M61=0,"-",ROUND(3+M61/안내!$C$12,0))</f>
        <v>-</v>
      </c>
      <c r="O61" s="21" t="str">
        <f aca="false">IF(K61="","(본문 입력 후 자동) | 신 10:12",IF(LEN(K61)&gt;28,LEFT(K61,28)&amp;"…",K61)&amp;" | 신 10:12")</f>
        <v>(본문 입력 후 자동) | 신 10:12</v>
      </c>
      <c r="P61" s="21" t="str">
        <f aca="false">"#"&amp;SUBSTITUTE(안내!$C$5," ","")&amp;" #성경구절 #말씀 #신명기 #순종"</f>
        <v>#오늘의말씀 #성경구절 #말씀 #신명기 #순종</v>
      </c>
      <c r="Q61" s="21" t="s">
        <v>77</v>
      </c>
      <c r="R61" s="22" t="n">
        <f aca="false">안내!$C$6+INT((D61-1)/안내!$C$7)</f>
        <v>46417</v>
      </c>
      <c r="S61" s="17" t="str">
        <f aca="false">IF(MOD(D61-1,안내!$C$7)=0,안내!$C$8,안내!$C$10)</f>
        <v>18:30</v>
      </c>
      <c r="T61" s="17" t="str">
        <f aca="false">CHOOSE(WEEKDAY(R61,2),"월","화","수","목","금","토","일")</f>
        <v>토</v>
      </c>
      <c r="U61" s="17" t="s">
        <v>78</v>
      </c>
      <c r="V61" s="17" t="s">
        <v>78</v>
      </c>
      <c r="W61" s="23"/>
      <c r="X61" s="23"/>
      <c r="Y61" s="21"/>
    </row>
    <row r="62" customFormat="false" ht="25.35" hidden="false" customHeight="false" outlineLevel="0" collapsed="false">
      <c r="A62" s="16" t="n">
        <v>61</v>
      </c>
      <c r="B62" s="15" t="s">
        <v>296</v>
      </c>
      <c r="C62" s="16" t="s">
        <v>70</v>
      </c>
      <c r="D62" s="16" t="n">
        <v>61</v>
      </c>
      <c r="E62" s="16" t="str">
        <f aca="false">C62&amp;"말씀 #"&amp;TEXT(D62,"000")</f>
        <v>구약말씀 #061</v>
      </c>
      <c r="F62" s="17" t="s">
        <v>272</v>
      </c>
      <c r="G62" s="18" t="s">
        <v>297</v>
      </c>
      <c r="H62" s="19" t="s">
        <v>298</v>
      </c>
      <c r="I62" s="17" t="s">
        <v>284</v>
      </c>
      <c r="J62" s="17" t="s">
        <v>148</v>
      </c>
      <c r="K62" s="20"/>
      <c r="L62" s="17" t="s">
        <v>76</v>
      </c>
      <c r="M62" s="17" t="n">
        <f aca="false">LEN(K62)</f>
        <v>0</v>
      </c>
      <c r="N62" s="17" t="str">
        <f aca="false">IF(M62=0,"-",ROUND(3+M62/안내!$C$12,0))</f>
        <v>-</v>
      </c>
      <c r="O62" s="21" t="str">
        <f aca="false">IF(K62="","(본문 입력 후 자동) | 신 29:29",IF(LEN(K62)&gt;28,LEFT(K62,28)&amp;"…",K62)&amp;" | 신 29:29")</f>
        <v>(본문 입력 후 자동) | 신 29:29</v>
      </c>
      <c r="P62" s="21" t="str">
        <f aca="false">"#"&amp;SUBSTITUTE(안내!$C$5," ","")&amp;" #성경구절 #말씀 #신명기 #말씀"</f>
        <v>#오늘의말씀 #성경구절 #말씀 #신명기 #말씀</v>
      </c>
      <c r="Q62" s="21" t="s">
        <v>77</v>
      </c>
      <c r="R62" s="22" t="n">
        <f aca="false">안내!$C$6+INT((D62-1)/안내!$C$7)</f>
        <v>46418</v>
      </c>
      <c r="S62" s="17" t="str">
        <f aca="false">IF(MOD(D62-1,안내!$C$7)=0,안내!$C$8,안내!$C$10)</f>
        <v>06:30</v>
      </c>
      <c r="T62" s="17" t="str">
        <f aca="false">CHOOSE(WEEKDAY(R62,2),"월","화","수","목","금","토","일")</f>
        <v>일</v>
      </c>
      <c r="U62" s="17" t="s">
        <v>78</v>
      </c>
      <c r="V62" s="17" t="s">
        <v>78</v>
      </c>
      <c r="W62" s="23"/>
      <c r="X62" s="23"/>
      <c r="Y62" s="21"/>
    </row>
    <row r="63" customFormat="false" ht="25.35" hidden="false" customHeight="false" outlineLevel="0" collapsed="false">
      <c r="A63" s="16" t="n">
        <v>62</v>
      </c>
      <c r="B63" s="15" t="s">
        <v>299</v>
      </c>
      <c r="C63" s="16" t="s">
        <v>70</v>
      </c>
      <c r="D63" s="16" t="n">
        <v>62</v>
      </c>
      <c r="E63" s="16" t="str">
        <f aca="false">C63&amp;"말씀 #"&amp;TEXT(D63,"000")</f>
        <v>구약말씀 #062</v>
      </c>
      <c r="F63" s="17" t="s">
        <v>272</v>
      </c>
      <c r="G63" s="18" t="s">
        <v>300</v>
      </c>
      <c r="H63" s="19" t="s">
        <v>301</v>
      </c>
      <c r="I63" s="17" t="s">
        <v>88</v>
      </c>
      <c r="J63" s="17" t="s">
        <v>89</v>
      </c>
      <c r="K63" s="20"/>
      <c r="L63" s="17" t="s">
        <v>76</v>
      </c>
      <c r="M63" s="17" t="n">
        <f aca="false">LEN(K63)</f>
        <v>0</v>
      </c>
      <c r="N63" s="17" t="str">
        <f aca="false">IF(M63=0,"-",ROUND(3+M63/안내!$C$12,0))</f>
        <v>-</v>
      </c>
      <c r="O63" s="21" t="str">
        <f aca="false">IF(K63="","(본문 입력 후 자동) | 신 30:19",IF(LEN(K63)&gt;28,LEFT(K63,28)&amp;"…",K63)&amp;" | 신 30:19")</f>
        <v>(본문 입력 후 자동) | 신 30:19</v>
      </c>
      <c r="P63" s="21" t="str">
        <f aca="false">"#"&amp;SUBSTITUTE(안내!$C$5," ","")&amp;" #성경구절 #말씀 #신명기 #생명"</f>
        <v>#오늘의말씀 #성경구절 #말씀 #신명기 #생명</v>
      </c>
      <c r="Q63" s="21" t="s">
        <v>77</v>
      </c>
      <c r="R63" s="22" t="n">
        <f aca="false">안내!$C$6+INT((D63-1)/안내!$C$7)</f>
        <v>46418</v>
      </c>
      <c r="S63" s="17" t="str">
        <f aca="false">IF(MOD(D63-1,안내!$C$7)=0,안내!$C$8,안내!$C$10)</f>
        <v>18:30</v>
      </c>
      <c r="T63" s="17" t="str">
        <f aca="false">CHOOSE(WEEKDAY(R63,2),"월","화","수","목","금","토","일")</f>
        <v>일</v>
      </c>
      <c r="U63" s="17" t="s">
        <v>78</v>
      </c>
      <c r="V63" s="17" t="s">
        <v>78</v>
      </c>
      <c r="W63" s="23"/>
      <c r="X63" s="23"/>
      <c r="Y63" s="21"/>
    </row>
    <row r="64" customFormat="false" ht="15" hidden="false" customHeight="false" outlineLevel="0" collapsed="false">
      <c r="A64" s="16" t="n">
        <v>63</v>
      </c>
      <c r="B64" s="15" t="s">
        <v>302</v>
      </c>
      <c r="C64" s="16" t="s">
        <v>70</v>
      </c>
      <c r="D64" s="16" t="n">
        <v>63</v>
      </c>
      <c r="E64" s="16" t="str">
        <f aca="false">C64&amp;"말씀 #"&amp;TEXT(D64,"000")</f>
        <v>구약말씀 #063</v>
      </c>
      <c r="F64" s="17" t="s">
        <v>272</v>
      </c>
      <c r="G64" s="18" t="s">
        <v>303</v>
      </c>
      <c r="H64" s="19" t="s">
        <v>304</v>
      </c>
      <c r="I64" s="17" t="s">
        <v>305</v>
      </c>
      <c r="J64" s="17" t="s">
        <v>113</v>
      </c>
      <c r="K64" s="20"/>
      <c r="L64" s="17" t="s">
        <v>76</v>
      </c>
      <c r="M64" s="17" t="n">
        <f aca="false">LEN(K64)</f>
        <v>0</v>
      </c>
      <c r="N64" s="17" t="str">
        <f aca="false">IF(M64=0,"-",ROUND(3+M64/안내!$C$12,0))</f>
        <v>-</v>
      </c>
      <c r="O64" s="21" t="str">
        <f aca="false">IF(K64="","(본문 입력 후 자동) | 신 31:6",IF(LEN(K64)&gt;28,LEFT(K64,28)&amp;"…",K64)&amp;" | 신 31:6")</f>
        <v>(본문 입력 후 자동) | 신 31:6</v>
      </c>
      <c r="P64" s="21" t="str">
        <f aca="false">"#"&amp;SUBSTITUTE(안내!$C$5," ","")&amp;" #성경구절 #말씀 #신명기 #담대함"</f>
        <v>#오늘의말씀 #성경구절 #말씀 #신명기 #담대함</v>
      </c>
      <c r="Q64" s="21" t="s">
        <v>77</v>
      </c>
      <c r="R64" s="22" t="n">
        <f aca="false">안내!$C$6+INT((D64-1)/안내!$C$7)</f>
        <v>46419</v>
      </c>
      <c r="S64" s="17" t="str">
        <f aca="false">IF(MOD(D64-1,안내!$C$7)=0,안내!$C$8,안내!$C$10)</f>
        <v>06:30</v>
      </c>
      <c r="T64" s="17" t="str">
        <f aca="false">CHOOSE(WEEKDAY(R64,2),"월","화","수","목","금","토","일")</f>
        <v>월</v>
      </c>
      <c r="U64" s="17" t="s">
        <v>78</v>
      </c>
      <c r="V64" s="17" t="s">
        <v>78</v>
      </c>
      <c r="W64" s="23"/>
      <c r="X64" s="23"/>
      <c r="Y64" s="21"/>
    </row>
    <row r="65" customFormat="false" ht="15" hidden="false" customHeight="false" outlineLevel="0" collapsed="false">
      <c r="A65" s="16" t="n">
        <v>64</v>
      </c>
      <c r="B65" s="15" t="s">
        <v>306</v>
      </c>
      <c r="C65" s="16" t="s">
        <v>70</v>
      </c>
      <c r="D65" s="16" t="n">
        <v>64</v>
      </c>
      <c r="E65" s="16" t="str">
        <f aca="false">C65&amp;"말씀 #"&amp;TEXT(D65,"000")</f>
        <v>구약말씀 #064</v>
      </c>
      <c r="F65" s="17" t="s">
        <v>272</v>
      </c>
      <c r="G65" s="18" t="s">
        <v>307</v>
      </c>
      <c r="H65" s="19" t="s">
        <v>308</v>
      </c>
      <c r="I65" s="17" t="s">
        <v>152</v>
      </c>
      <c r="J65" s="17" t="s">
        <v>122</v>
      </c>
      <c r="K65" s="20"/>
      <c r="L65" s="17" t="s">
        <v>76</v>
      </c>
      <c r="M65" s="17" t="n">
        <f aca="false">LEN(K65)</f>
        <v>0</v>
      </c>
      <c r="N65" s="17" t="str">
        <f aca="false">IF(M65=0,"-",ROUND(3+M65/안내!$C$12,0))</f>
        <v>-</v>
      </c>
      <c r="O65" s="21" t="str">
        <f aca="false">IF(K65="","(본문 입력 후 자동) | 신 31:8",IF(LEN(K65)&gt;28,LEFT(K65,28)&amp;"…",K65)&amp;" | 신 31:8")</f>
        <v>(본문 입력 후 자동) | 신 31:8</v>
      </c>
      <c r="P65" s="21" t="str">
        <f aca="false">"#"&amp;SUBSTITUTE(안내!$C$5," ","")&amp;" #성경구절 #말씀 #신명기 #동행"</f>
        <v>#오늘의말씀 #성경구절 #말씀 #신명기 #동행</v>
      </c>
      <c r="Q65" s="21" t="s">
        <v>77</v>
      </c>
      <c r="R65" s="22" t="n">
        <f aca="false">안내!$C$6+INT((D65-1)/안내!$C$7)</f>
        <v>46419</v>
      </c>
      <c r="S65" s="17" t="str">
        <f aca="false">IF(MOD(D65-1,안내!$C$7)=0,안내!$C$8,안내!$C$10)</f>
        <v>18:30</v>
      </c>
      <c r="T65" s="17" t="str">
        <f aca="false">CHOOSE(WEEKDAY(R65,2),"월","화","수","목","금","토","일")</f>
        <v>월</v>
      </c>
      <c r="U65" s="17" t="s">
        <v>78</v>
      </c>
      <c r="V65" s="17" t="s">
        <v>78</v>
      </c>
      <c r="W65" s="23"/>
      <c r="X65" s="23"/>
      <c r="Y65" s="21"/>
    </row>
    <row r="66" customFormat="false" ht="15" hidden="false" customHeight="false" outlineLevel="0" collapsed="false">
      <c r="A66" s="16" t="n">
        <v>65</v>
      </c>
      <c r="B66" s="15" t="s">
        <v>309</v>
      </c>
      <c r="C66" s="16" t="s">
        <v>70</v>
      </c>
      <c r="D66" s="16" t="n">
        <v>65</v>
      </c>
      <c r="E66" s="16" t="str">
        <f aca="false">C66&amp;"말씀 #"&amp;TEXT(D66,"000")</f>
        <v>구약말씀 #065</v>
      </c>
      <c r="F66" s="17" t="s">
        <v>272</v>
      </c>
      <c r="G66" s="18" t="s">
        <v>310</v>
      </c>
      <c r="H66" s="19" t="s">
        <v>311</v>
      </c>
      <c r="I66" s="17" t="s">
        <v>112</v>
      </c>
      <c r="J66" s="17" t="s">
        <v>113</v>
      </c>
      <c r="K66" s="20"/>
      <c r="L66" s="17" t="s">
        <v>76</v>
      </c>
      <c r="M66" s="17" t="n">
        <f aca="false">LEN(K66)</f>
        <v>0</v>
      </c>
      <c r="N66" s="17" t="str">
        <f aca="false">IF(M66=0,"-",ROUND(3+M66/안내!$C$12,0))</f>
        <v>-</v>
      </c>
      <c r="O66" s="21" t="str">
        <f aca="false">IF(K66="","(본문 입력 후 자동) | 신 32:4",IF(LEN(K66)&gt;28,LEFT(K66,28)&amp;"…",K66)&amp;" | 신 32:4")</f>
        <v>(본문 입력 후 자동) | 신 32:4</v>
      </c>
      <c r="P66" s="21" t="str">
        <f aca="false">"#"&amp;SUBSTITUTE(안내!$C$5," ","")&amp;" #성경구절 #말씀 #신명기 #신실하심"</f>
        <v>#오늘의말씀 #성경구절 #말씀 #신명기 #신실하심</v>
      </c>
      <c r="Q66" s="21" t="s">
        <v>77</v>
      </c>
      <c r="R66" s="22" t="n">
        <f aca="false">안내!$C$6+INT((D66-1)/안내!$C$7)</f>
        <v>46420</v>
      </c>
      <c r="S66" s="17" t="str">
        <f aca="false">IF(MOD(D66-1,안내!$C$7)=0,안내!$C$8,안내!$C$10)</f>
        <v>06:30</v>
      </c>
      <c r="T66" s="17" t="str">
        <f aca="false">CHOOSE(WEEKDAY(R66,2),"월","화","수","목","금","토","일")</f>
        <v>화</v>
      </c>
      <c r="U66" s="17" t="s">
        <v>78</v>
      </c>
      <c r="V66" s="17" t="s">
        <v>78</v>
      </c>
      <c r="W66" s="23"/>
      <c r="X66" s="23"/>
      <c r="Y66" s="21"/>
    </row>
    <row r="67" customFormat="false" ht="25.35" hidden="false" customHeight="false" outlineLevel="0" collapsed="false">
      <c r="A67" s="16" t="n">
        <v>66</v>
      </c>
      <c r="B67" s="15" t="s">
        <v>312</v>
      </c>
      <c r="C67" s="16" t="s">
        <v>70</v>
      </c>
      <c r="D67" s="16" t="n">
        <v>66</v>
      </c>
      <c r="E67" s="16" t="str">
        <f aca="false">C67&amp;"말씀 #"&amp;TEXT(D67,"000")</f>
        <v>구약말씀 #066</v>
      </c>
      <c r="F67" s="17" t="s">
        <v>272</v>
      </c>
      <c r="G67" s="18" t="s">
        <v>313</v>
      </c>
      <c r="H67" s="19" t="s">
        <v>314</v>
      </c>
      <c r="I67" s="17" t="s">
        <v>129</v>
      </c>
      <c r="J67" s="17" t="s">
        <v>99</v>
      </c>
      <c r="K67" s="20"/>
      <c r="L67" s="17" t="s">
        <v>76</v>
      </c>
      <c r="M67" s="17" t="n">
        <f aca="false">LEN(K67)</f>
        <v>0</v>
      </c>
      <c r="N67" s="17" t="str">
        <f aca="false">IF(M67=0,"-",ROUND(3+M67/안내!$C$12,0))</f>
        <v>-</v>
      </c>
      <c r="O67" s="21" t="str">
        <f aca="false">IF(K67="","(본문 입력 후 자동) | 신 33:27",IF(LEN(K67)&gt;28,LEFT(K67,28)&amp;"…",K67)&amp;" | 신 33:27")</f>
        <v>(본문 입력 후 자동) | 신 33:27</v>
      </c>
      <c r="P67" s="21" t="str">
        <f aca="false">"#"&amp;SUBSTITUTE(안내!$C$5," ","")&amp;" #성경구절 #말씀 #신명기 #위로"</f>
        <v>#오늘의말씀 #성경구절 #말씀 #신명기 #위로</v>
      </c>
      <c r="Q67" s="21" t="s">
        <v>77</v>
      </c>
      <c r="R67" s="22" t="n">
        <f aca="false">안내!$C$6+INT((D67-1)/안내!$C$7)</f>
        <v>46420</v>
      </c>
      <c r="S67" s="17" t="str">
        <f aca="false">IF(MOD(D67-1,안내!$C$7)=0,안내!$C$8,안내!$C$10)</f>
        <v>18:30</v>
      </c>
      <c r="T67" s="17" t="str">
        <f aca="false">CHOOSE(WEEKDAY(R67,2),"월","화","수","목","금","토","일")</f>
        <v>화</v>
      </c>
      <c r="U67" s="17" t="s">
        <v>78</v>
      </c>
      <c r="V67" s="17" t="s">
        <v>78</v>
      </c>
      <c r="W67" s="23"/>
      <c r="X67" s="23"/>
      <c r="Y67" s="21"/>
    </row>
    <row r="68" customFormat="false" ht="15" hidden="false" customHeight="false" outlineLevel="0" collapsed="false">
      <c r="A68" s="16" t="n">
        <v>67</v>
      </c>
      <c r="B68" s="15" t="s">
        <v>315</v>
      </c>
      <c r="C68" s="16" t="s">
        <v>70</v>
      </c>
      <c r="D68" s="16" t="n">
        <v>67</v>
      </c>
      <c r="E68" s="16" t="str">
        <f aca="false">C68&amp;"말씀 #"&amp;TEXT(D68,"000")</f>
        <v>구약말씀 #067</v>
      </c>
      <c r="F68" s="17" t="s">
        <v>316</v>
      </c>
      <c r="G68" s="18" t="s">
        <v>317</v>
      </c>
      <c r="H68" s="19" t="s">
        <v>318</v>
      </c>
      <c r="I68" s="17" t="s">
        <v>152</v>
      </c>
      <c r="J68" s="17" t="s">
        <v>122</v>
      </c>
      <c r="K68" s="20"/>
      <c r="L68" s="17" t="s">
        <v>76</v>
      </c>
      <c r="M68" s="17" t="n">
        <f aca="false">LEN(K68)</f>
        <v>0</v>
      </c>
      <c r="N68" s="17" t="str">
        <f aca="false">IF(M68=0,"-",ROUND(3+M68/안내!$C$12,0))</f>
        <v>-</v>
      </c>
      <c r="O68" s="21" t="str">
        <f aca="false">IF(K68="","(본문 입력 후 자동) | 수 1:5",IF(LEN(K68)&gt;28,LEFT(K68,28)&amp;"…",K68)&amp;" | 수 1:5")</f>
        <v>(본문 입력 후 자동) | 수 1:5</v>
      </c>
      <c r="P68" s="21" t="str">
        <f aca="false">"#"&amp;SUBSTITUTE(안내!$C$5," ","")&amp;" #성경구절 #말씀 #여호수아 #동행"</f>
        <v>#오늘의말씀 #성경구절 #말씀 #여호수아 #동행</v>
      </c>
      <c r="Q68" s="21" t="s">
        <v>77</v>
      </c>
      <c r="R68" s="22" t="n">
        <f aca="false">안내!$C$6+INT((D68-1)/안내!$C$7)</f>
        <v>46421</v>
      </c>
      <c r="S68" s="17" t="str">
        <f aca="false">IF(MOD(D68-1,안내!$C$7)=0,안내!$C$8,안내!$C$10)</f>
        <v>06:30</v>
      </c>
      <c r="T68" s="17" t="str">
        <f aca="false">CHOOSE(WEEKDAY(R68,2),"월","화","수","목","금","토","일")</f>
        <v>수</v>
      </c>
      <c r="U68" s="17" t="s">
        <v>78</v>
      </c>
      <c r="V68" s="17" t="s">
        <v>78</v>
      </c>
      <c r="W68" s="23"/>
      <c r="X68" s="23"/>
      <c r="Y68" s="21"/>
    </row>
    <row r="69" customFormat="false" ht="15" hidden="false" customHeight="false" outlineLevel="0" collapsed="false">
      <c r="A69" s="16" t="n">
        <v>68</v>
      </c>
      <c r="B69" s="15" t="s">
        <v>319</v>
      </c>
      <c r="C69" s="16" t="s">
        <v>70</v>
      </c>
      <c r="D69" s="16" t="n">
        <v>68</v>
      </c>
      <c r="E69" s="16" t="str">
        <f aca="false">C69&amp;"말씀 #"&amp;TEXT(D69,"000")</f>
        <v>구약말씀 #068</v>
      </c>
      <c r="F69" s="17" t="s">
        <v>316</v>
      </c>
      <c r="G69" s="18" t="s">
        <v>320</v>
      </c>
      <c r="H69" s="19" t="s">
        <v>321</v>
      </c>
      <c r="I69" s="17" t="s">
        <v>284</v>
      </c>
      <c r="J69" s="17" t="s">
        <v>148</v>
      </c>
      <c r="K69" s="20"/>
      <c r="L69" s="17" t="s">
        <v>76</v>
      </c>
      <c r="M69" s="17" t="n">
        <f aca="false">LEN(K69)</f>
        <v>0</v>
      </c>
      <c r="N69" s="17" t="str">
        <f aca="false">IF(M69=0,"-",ROUND(3+M69/안내!$C$12,0))</f>
        <v>-</v>
      </c>
      <c r="O69" s="21" t="str">
        <f aca="false">IF(K69="","(본문 입력 후 자동) | 수 1:8",IF(LEN(K69)&gt;28,LEFT(K69,28)&amp;"…",K69)&amp;" | 수 1:8")</f>
        <v>(본문 입력 후 자동) | 수 1:8</v>
      </c>
      <c r="P69" s="21" t="str">
        <f aca="false">"#"&amp;SUBSTITUTE(안내!$C$5," ","")&amp;" #성경구절 #말씀 #여호수아 #말씀"</f>
        <v>#오늘의말씀 #성경구절 #말씀 #여호수아 #말씀</v>
      </c>
      <c r="Q69" s="21" t="s">
        <v>77</v>
      </c>
      <c r="R69" s="22" t="n">
        <f aca="false">안내!$C$6+INT((D69-1)/안내!$C$7)</f>
        <v>46421</v>
      </c>
      <c r="S69" s="17" t="str">
        <f aca="false">IF(MOD(D69-1,안내!$C$7)=0,안내!$C$8,안내!$C$10)</f>
        <v>18:30</v>
      </c>
      <c r="T69" s="17" t="str">
        <f aca="false">CHOOSE(WEEKDAY(R69,2),"월","화","수","목","금","토","일")</f>
        <v>수</v>
      </c>
      <c r="U69" s="17" t="s">
        <v>78</v>
      </c>
      <c r="V69" s="17" t="s">
        <v>78</v>
      </c>
      <c r="W69" s="23"/>
      <c r="X69" s="23"/>
      <c r="Y69" s="21"/>
    </row>
    <row r="70" customFormat="false" ht="15" hidden="false" customHeight="false" outlineLevel="0" collapsed="false">
      <c r="A70" s="16" t="n">
        <v>69</v>
      </c>
      <c r="B70" s="15" t="s">
        <v>322</v>
      </c>
      <c r="C70" s="16" t="s">
        <v>70</v>
      </c>
      <c r="D70" s="16" t="n">
        <v>69</v>
      </c>
      <c r="E70" s="16" t="str">
        <f aca="false">C70&amp;"말씀 #"&amp;TEXT(D70,"000")</f>
        <v>구약말씀 #069</v>
      </c>
      <c r="F70" s="17" t="s">
        <v>316</v>
      </c>
      <c r="G70" s="18" t="s">
        <v>323</v>
      </c>
      <c r="H70" s="19" t="s">
        <v>324</v>
      </c>
      <c r="I70" s="17" t="s">
        <v>305</v>
      </c>
      <c r="J70" s="17" t="s">
        <v>113</v>
      </c>
      <c r="K70" s="20"/>
      <c r="L70" s="17" t="s">
        <v>76</v>
      </c>
      <c r="M70" s="17" t="n">
        <f aca="false">LEN(K70)</f>
        <v>0</v>
      </c>
      <c r="N70" s="17" t="str">
        <f aca="false">IF(M70=0,"-",ROUND(3+M70/안내!$C$12,0))</f>
        <v>-</v>
      </c>
      <c r="O70" s="21" t="str">
        <f aca="false">IF(K70="","(본문 입력 후 자동) | 수 1:9",IF(LEN(K70)&gt;28,LEFT(K70,28)&amp;"…",K70)&amp;" | 수 1:9")</f>
        <v>(본문 입력 후 자동) | 수 1:9</v>
      </c>
      <c r="P70" s="21" t="str">
        <f aca="false">"#"&amp;SUBSTITUTE(안내!$C$5," ","")&amp;" #성경구절 #말씀 #여호수아 #담대함"</f>
        <v>#오늘의말씀 #성경구절 #말씀 #여호수아 #담대함</v>
      </c>
      <c r="Q70" s="21" t="s">
        <v>77</v>
      </c>
      <c r="R70" s="22" t="n">
        <f aca="false">안내!$C$6+INT((D70-1)/안내!$C$7)</f>
        <v>46422</v>
      </c>
      <c r="S70" s="17" t="str">
        <f aca="false">IF(MOD(D70-1,안내!$C$7)=0,안내!$C$8,안내!$C$10)</f>
        <v>06:30</v>
      </c>
      <c r="T70" s="17" t="str">
        <f aca="false">CHOOSE(WEEKDAY(R70,2),"월","화","수","목","금","토","일")</f>
        <v>목</v>
      </c>
      <c r="U70" s="17" t="s">
        <v>78</v>
      </c>
      <c r="V70" s="17" t="s">
        <v>78</v>
      </c>
      <c r="W70" s="23"/>
      <c r="X70" s="23"/>
      <c r="Y70" s="21"/>
    </row>
    <row r="71" customFormat="false" ht="15" hidden="false" customHeight="false" outlineLevel="0" collapsed="false">
      <c r="A71" s="16" t="n">
        <v>70</v>
      </c>
      <c r="B71" s="15" t="s">
        <v>325</v>
      </c>
      <c r="C71" s="16" t="s">
        <v>70</v>
      </c>
      <c r="D71" s="16" t="n">
        <v>70</v>
      </c>
      <c r="E71" s="16" t="str">
        <f aca="false">C71&amp;"말씀 #"&amp;TEXT(D71,"000")</f>
        <v>구약말씀 #070</v>
      </c>
      <c r="F71" s="17" t="s">
        <v>316</v>
      </c>
      <c r="G71" s="18" t="s">
        <v>170</v>
      </c>
      <c r="H71" s="19" t="s">
        <v>326</v>
      </c>
      <c r="I71" s="17" t="s">
        <v>172</v>
      </c>
      <c r="J71" s="17" t="s">
        <v>75</v>
      </c>
      <c r="K71" s="20"/>
      <c r="L71" s="17" t="s">
        <v>76</v>
      </c>
      <c r="M71" s="17" t="n">
        <f aca="false">LEN(K71)</f>
        <v>0</v>
      </c>
      <c r="N71" s="17" t="str">
        <f aca="false">IF(M71=0,"-",ROUND(3+M71/안내!$C$12,0))</f>
        <v>-</v>
      </c>
      <c r="O71" s="21" t="str">
        <f aca="false">IF(K71="","(본문 입력 후 자동) | 수 3:5",IF(LEN(K71)&gt;28,LEFT(K71,28)&amp;"…",K71)&amp;" | 수 3:5")</f>
        <v>(본문 입력 후 자동) | 수 3:5</v>
      </c>
      <c r="P71" s="21" t="str">
        <f aca="false">"#"&amp;SUBSTITUTE(안내!$C$5," ","")&amp;" #성경구절 #말씀 #여호수아 #거룩"</f>
        <v>#오늘의말씀 #성경구절 #말씀 #여호수아 #거룩</v>
      </c>
      <c r="Q71" s="21" t="s">
        <v>77</v>
      </c>
      <c r="R71" s="22" t="n">
        <f aca="false">안내!$C$6+INT((D71-1)/안내!$C$7)</f>
        <v>46422</v>
      </c>
      <c r="S71" s="17" t="str">
        <f aca="false">IF(MOD(D71-1,안내!$C$7)=0,안내!$C$8,안내!$C$10)</f>
        <v>18:30</v>
      </c>
      <c r="T71" s="17" t="str">
        <f aca="false">CHOOSE(WEEKDAY(R71,2),"월","화","수","목","금","토","일")</f>
        <v>목</v>
      </c>
      <c r="U71" s="17" t="s">
        <v>78</v>
      </c>
      <c r="V71" s="17" t="s">
        <v>78</v>
      </c>
      <c r="W71" s="23"/>
      <c r="X71" s="23"/>
      <c r="Y71" s="21"/>
    </row>
    <row r="72" customFormat="false" ht="26.85" hidden="false" customHeight="false" outlineLevel="0" collapsed="false">
      <c r="A72" s="16" t="n">
        <v>71</v>
      </c>
      <c r="B72" s="15" t="s">
        <v>327</v>
      </c>
      <c r="C72" s="16" t="s">
        <v>70</v>
      </c>
      <c r="D72" s="16" t="n">
        <v>71</v>
      </c>
      <c r="E72" s="16" t="str">
        <f aca="false">C72&amp;"말씀 #"&amp;TEXT(D72,"000")</f>
        <v>구약말씀 #071</v>
      </c>
      <c r="F72" s="17" t="s">
        <v>316</v>
      </c>
      <c r="G72" s="18" t="s">
        <v>328</v>
      </c>
      <c r="H72" s="19" t="s">
        <v>329</v>
      </c>
      <c r="I72" s="17" t="s">
        <v>112</v>
      </c>
      <c r="J72" s="17" t="s">
        <v>113</v>
      </c>
      <c r="K72" s="20"/>
      <c r="L72" s="17" t="s">
        <v>76</v>
      </c>
      <c r="M72" s="17" t="n">
        <f aca="false">LEN(K72)</f>
        <v>0</v>
      </c>
      <c r="N72" s="17" t="str">
        <f aca="false">IF(M72=0,"-",ROUND(3+M72/안내!$C$12,0))</f>
        <v>-</v>
      </c>
      <c r="O72" s="21" t="str">
        <f aca="false">IF(K72="","(본문 입력 후 자동) | 수 21:45",IF(LEN(K72)&gt;28,LEFT(K72,28)&amp;"…",K72)&amp;" | 수 21:45")</f>
        <v>(본문 입력 후 자동) | 수 21:45</v>
      </c>
      <c r="P72" s="21" t="str">
        <f aca="false">"#"&amp;SUBSTITUTE(안내!$C$5," ","")&amp;" #성경구절 #말씀 #여호수아 #신실하심"</f>
        <v>#오늘의말씀 #성경구절 #말씀 #여호수아 #신실하심</v>
      </c>
      <c r="Q72" s="21" t="s">
        <v>77</v>
      </c>
      <c r="R72" s="22" t="n">
        <f aca="false">안내!$C$6+INT((D72-1)/안내!$C$7)</f>
        <v>46423</v>
      </c>
      <c r="S72" s="17" t="str">
        <f aca="false">IF(MOD(D72-1,안내!$C$7)=0,안내!$C$8,안내!$C$10)</f>
        <v>06:30</v>
      </c>
      <c r="T72" s="17" t="str">
        <f aca="false">CHOOSE(WEEKDAY(R72,2),"월","화","수","목","금","토","일")</f>
        <v>금</v>
      </c>
      <c r="U72" s="17" t="s">
        <v>78</v>
      </c>
      <c r="V72" s="17" t="s">
        <v>78</v>
      </c>
      <c r="W72" s="23"/>
      <c r="X72" s="23"/>
      <c r="Y72" s="21"/>
    </row>
    <row r="73" customFormat="false" ht="25.35" hidden="false" customHeight="false" outlineLevel="0" collapsed="false">
      <c r="A73" s="16" t="n">
        <v>72</v>
      </c>
      <c r="B73" s="15" t="s">
        <v>330</v>
      </c>
      <c r="C73" s="16" t="s">
        <v>70</v>
      </c>
      <c r="D73" s="16" t="n">
        <v>72</v>
      </c>
      <c r="E73" s="16" t="str">
        <f aca="false">C73&amp;"말씀 #"&amp;TEXT(D73,"000")</f>
        <v>구약말씀 #072</v>
      </c>
      <c r="F73" s="17" t="s">
        <v>316</v>
      </c>
      <c r="G73" s="18" t="s">
        <v>331</v>
      </c>
      <c r="H73" s="19" t="s">
        <v>332</v>
      </c>
      <c r="I73" s="17" t="s">
        <v>333</v>
      </c>
      <c r="J73" s="17" t="s">
        <v>122</v>
      </c>
      <c r="K73" s="20"/>
      <c r="L73" s="17" t="s">
        <v>76</v>
      </c>
      <c r="M73" s="17" t="n">
        <f aca="false">LEN(K73)</f>
        <v>0</v>
      </c>
      <c r="N73" s="17" t="str">
        <f aca="false">IF(M73=0,"-",ROUND(3+M73/안내!$C$12,0))</f>
        <v>-</v>
      </c>
      <c r="O73" s="21" t="str">
        <f aca="false">IF(K73="","(본문 입력 후 자동) | 수 24:15",IF(LEN(K73)&gt;28,LEFT(K73,28)&amp;"…",K73)&amp;" | 수 24:15")</f>
        <v>(본문 입력 후 자동) | 수 24:15</v>
      </c>
      <c r="P73" s="21" t="str">
        <f aca="false">"#"&amp;SUBSTITUTE(안내!$C$5," ","")&amp;" #성경구절 #말씀 #여호수아 #헌신"</f>
        <v>#오늘의말씀 #성경구절 #말씀 #여호수아 #헌신</v>
      </c>
      <c r="Q73" s="21" t="s">
        <v>77</v>
      </c>
      <c r="R73" s="22" t="n">
        <f aca="false">안내!$C$6+INT((D73-1)/안내!$C$7)</f>
        <v>46423</v>
      </c>
      <c r="S73" s="17" t="str">
        <f aca="false">IF(MOD(D73-1,안내!$C$7)=0,안내!$C$8,안내!$C$10)</f>
        <v>18:30</v>
      </c>
      <c r="T73" s="17" t="str">
        <f aca="false">CHOOSE(WEEKDAY(R73,2),"월","화","수","목","금","토","일")</f>
        <v>금</v>
      </c>
      <c r="U73" s="17" t="s">
        <v>78</v>
      </c>
      <c r="V73" s="17" t="s">
        <v>78</v>
      </c>
      <c r="W73" s="23"/>
      <c r="X73" s="23"/>
      <c r="Y73" s="21"/>
    </row>
    <row r="74" customFormat="false" ht="15" hidden="false" customHeight="false" outlineLevel="0" collapsed="false">
      <c r="A74" s="16" t="n">
        <v>73</v>
      </c>
      <c r="B74" s="15" t="s">
        <v>334</v>
      </c>
      <c r="C74" s="16" t="s">
        <v>70</v>
      </c>
      <c r="D74" s="16" t="n">
        <v>73</v>
      </c>
      <c r="E74" s="16" t="str">
        <f aca="false">C74&amp;"말씀 #"&amp;TEXT(D74,"000")</f>
        <v>구약말씀 #073</v>
      </c>
      <c r="F74" s="17" t="s">
        <v>335</v>
      </c>
      <c r="G74" s="18" t="s">
        <v>336</v>
      </c>
      <c r="H74" s="19" t="s">
        <v>337</v>
      </c>
      <c r="I74" s="17" t="s">
        <v>305</v>
      </c>
      <c r="J74" s="17" t="s">
        <v>113</v>
      </c>
      <c r="K74" s="20"/>
      <c r="L74" s="17" t="s">
        <v>76</v>
      </c>
      <c r="M74" s="17" t="n">
        <f aca="false">LEN(K74)</f>
        <v>0</v>
      </c>
      <c r="N74" s="17" t="str">
        <f aca="false">IF(M74=0,"-",ROUND(3+M74/안내!$C$12,0))</f>
        <v>-</v>
      </c>
      <c r="O74" s="21" t="str">
        <f aca="false">IF(K74="","(본문 입력 후 자동) | 삿 6:12",IF(LEN(K74)&gt;28,LEFT(K74,28)&amp;"…",K74)&amp;" | 삿 6:12")</f>
        <v>(본문 입력 후 자동) | 삿 6:12</v>
      </c>
      <c r="P74" s="21" t="str">
        <f aca="false">"#"&amp;SUBSTITUTE(안내!$C$5," ","")&amp;" #성경구절 #말씀 #사사기 #담대함"</f>
        <v>#오늘의말씀 #성경구절 #말씀 #사사기 #담대함</v>
      </c>
      <c r="Q74" s="21" t="s">
        <v>77</v>
      </c>
      <c r="R74" s="22" t="n">
        <f aca="false">안내!$C$6+INT((D74-1)/안내!$C$7)</f>
        <v>46424</v>
      </c>
      <c r="S74" s="17" t="str">
        <f aca="false">IF(MOD(D74-1,안내!$C$7)=0,안내!$C$8,안내!$C$10)</f>
        <v>06:30</v>
      </c>
      <c r="T74" s="17" t="str">
        <f aca="false">CHOOSE(WEEKDAY(R74,2),"월","화","수","목","금","토","일")</f>
        <v>토</v>
      </c>
      <c r="U74" s="17" t="s">
        <v>78</v>
      </c>
      <c r="V74" s="17" t="s">
        <v>78</v>
      </c>
      <c r="W74" s="23"/>
      <c r="X74" s="23"/>
      <c r="Y74" s="21"/>
    </row>
    <row r="75" customFormat="false" ht="15" hidden="false" customHeight="false" outlineLevel="0" collapsed="false">
      <c r="A75" s="16" t="n">
        <v>74</v>
      </c>
      <c r="B75" s="15" t="s">
        <v>338</v>
      </c>
      <c r="C75" s="16" t="s">
        <v>70</v>
      </c>
      <c r="D75" s="16" t="n">
        <v>74</v>
      </c>
      <c r="E75" s="16" t="str">
        <f aca="false">C75&amp;"말씀 #"&amp;TEXT(D75,"000")</f>
        <v>구약말씀 #074</v>
      </c>
      <c r="F75" s="17" t="s">
        <v>335</v>
      </c>
      <c r="G75" s="18" t="s">
        <v>249</v>
      </c>
      <c r="H75" s="19" t="s">
        <v>339</v>
      </c>
      <c r="I75" s="17" t="s">
        <v>221</v>
      </c>
      <c r="J75" s="17" t="s">
        <v>99</v>
      </c>
      <c r="K75" s="20"/>
      <c r="L75" s="17" t="s">
        <v>76</v>
      </c>
      <c r="M75" s="17" t="n">
        <f aca="false">LEN(K75)</f>
        <v>0</v>
      </c>
      <c r="N75" s="17" t="str">
        <f aca="false">IF(M75=0,"-",ROUND(3+M75/안내!$C$12,0))</f>
        <v>-</v>
      </c>
      <c r="O75" s="21" t="str">
        <f aca="false">IF(K75="","(본문 입력 후 자동) | 삿 6:24",IF(LEN(K75)&gt;28,LEFT(K75,28)&amp;"…",K75)&amp;" | 삿 6:24")</f>
        <v>(본문 입력 후 자동) | 삿 6:24</v>
      </c>
      <c r="P75" s="21" t="str">
        <f aca="false">"#"&amp;SUBSTITUTE(안내!$C$5," ","")&amp;" #성경구절 #말씀 #사사기 #평안"</f>
        <v>#오늘의말씀 #성경구절 #말씀 #사사기 #평안</v>
      </c>
      <c r="Q75" s="21" t="s">
        <v>77</v>
      </c>
      <c r="R75" s="22" t="n">
        <f aca="false">안내!$C$6+INT((D75-1)/안내!$C$7)</f>
        <v>46424</v>
      </c>
      <c r="S75" s="17" t="str">
        <f aca="false">IF(MOD(D75-1,안내!$C$7)=0,안내!$C$8,안내!$C$10)</f>
        <v>18:30</v>
      </c>
      <c r="T75" s="17" t="str">
        <f aca="false">CHOOSE(WEEKDAY(R75,2),"월","화","수","목","금","토","일")</f>
        <v>토</v>
      </c>
      <c r="U75" s="17" t="s">
        <v>78</v>
      </c>
      <c r="V75" s="17" t="s">
        <v>78</v>
      </c>
      <c r="W75" s="23"/>
      <c r="X75" s="23"/>
      <c r="Y75" s="21"/>
    </row>
    <row r="76" customFormat="false" ht="15" hidden="false" customHeight="false" outlineLevel="0" collapsed="false">
      <c r="A76" s="16" t="n">
        <v>75</v>
      </c>
      <c r="B76" s="15" t="s">
        <v>340</v>
      </c>
      <c r="C76" s="16" t="s">
        <v>70</v>
      </c>
      <c r="D76" s="16" t="n">
        <v>75</v>
      </c>
      <c r="E76" s="16" t="str">
        <f aca="false">C76&amp;"말씀 #"&amp;TEXT(D76,"000")</f>
        <v>구약말씀 #075</v>
      </c>
      <c r="F76" s="17" t="s">
        <v>335</v>
      </c>
      <c r="G76" s="18" t="s">
        <v>341</v>
      </c>
      <c r="H76" s="19" t="s">
        <v>342</v>
      </c>
      <c r="I76" s="17" t="s">
        <v>140</v>
      </c>
      <c r="J76" s="17" t="s">
        <v>113</v>
      </c>
      <c r="K76" s="20"/>
      <c r="L76" s="17" t="s">
        <v>76</v>
      </c>
      <c r="M76" s="17" t="n">
        <f aca="false">LEN(K76)</f>
        <v>0</v>
      </c>
      <c r="N76" s="17" t="str">
        <f aca="false">IF(M76=0,"-",ROUND(3+M76/안내!$C$12,0))</f>
        <v>-</v>
      </c>
      <c r="O76" s="21" t="str">
        <f aca="false">IF(K76="","(본문 입력 후 자동) | 삿 7:7",IF(LEN(K76)&gt;28,LEFT(K76,28)&amp;"…",K76)&amp;" | 삿 7:7")</f>
        <v>(본문 입력 후 자동) | 삿 7:7</v>
      </c>
      <c r="P76" s="21" t="str">
        <f aca="false">"#"&amp;SUBSTITUTE(안내!$C$5," ","")&amp;" #성경구절 #말씀 #사사기 #능력"</f>
        <v>#오늘의말씀 #성경구절 #말씀 #사사기 #능력</v>
      </c>
      <c r="Q76" s="21" t="s">
        <v>77</v>
      </c>
      <c r="R76" s="22" t="n">
        <f aca="false">안내!$C$6+INT((D76-1)/안내!$C$7)</f>
        <v>46425</v>
      </c>
      <c r="S76" s="17" t="str">
        <f aca="false">IF(MOD(D76-1,안내!$C$7)=0,안내!$C$8,안내!$C$10)</f>
        <v>06:30</v>
      </c>
      <c r="T76" s="17" t="str">
        <f aca="false">CHOOSE(WEEKDAY(R76,2),"월","화","수","목","금","토","일")</f>
        <v>일</v>
      </c>
      <c r="U76" s="17" t="s">
        <v>78</v>
      </c>
      <c r="V76" s="17" t="s">
        <v>78</v>
      </c>
      <c r="W76" s="23"/>
      <c r="X76" s="23"/>
      <c r="Y76" s="21"/>
    </row>
    <row r="77" customFormat="false" ht="25.35" hidden="false" customHeight="false" outlineLevel="0" collapsed="false">
      <c r="A77" s="16" t="n">
        <v>76</v>
      </c>
      <c r="B77" s="15" t="s">
        <v>343</v>
      </c>
      <c r="C77" s="16" t="s">
        <v>70</v>
      </c>
      <c r="D77" s="16" t="n">
        <v>76</v>
      </c>
      <c r="E77" s="16" t="str">
        <f aca="false">C77&amp;"말씀 #"&amp;TEXT(D77,"000")</f>
        <v>구약말씀 #076</v>
      </c>
      <c r="F77" s="17" t="s">
        <v>335</v>
      </c>
      <c r="G77" s="18" t="s">
        <v>344</v>
      </c>
      <c r="H77" s="19" t="s">
        <v>345</v>
      </c>
      <c r="I77" s="17" t="s">
        <v>160</v>
      </c>
      <c r="J77" s="17" t="s">
        <v>104</v>
      </c>
      <c r="K77" s="20"/>
      <c r="L77" s="17" t="s">
        <v>76</v>
      </c>
      <c r="M77" s="17" t="n">
        <f aca="false">LEN(K77)</f>
        <v>0</v>
      </c>
      <c r="N77" s="17" t="str">
        <f aca="false">IF(M77=0,"-",ROUND(3+M77/안내!$C$12,0))</f>
        <v>-</v>
      </c>
      <c r="O77" s="21" t="str">
        <f aca="false">IF(K77="","(본문 입력 후 자동) | 삿 16:28",IF(LEN(K77)&gt;28,LEFT(K77,28)&amp;"…",K77)&amp;" | 삿 16:28")</f>
        <v>(본문 입력 후 자동) | 삿 16:28</v>
      </c>
      <c r="P77" s="21" t="str">
        <f aca="false">"#"&amp;SUBSTITUTE(안내!$C$5," ","")&amp;" #성경구절 #말씀 #사사기 #기도"</f>
        <v>#오늘의말씀 #성경구절 #말씀 #사사기 #기도</v>
      </c>
      <c r="Q77" s="21" t="s">
        <v>77</v>
      </c>
      <c r="R77" s="22" t="n">
        <f aca="false">안내!$C$6+INT((D77-1)/안내!$C$7)</f>
        <v>46425</v>
      </c>
      <c r="S77" s="17" t="str">
        <f aca="false">IF(MOD(D77-1,안내!$C$7)=0,안내!$C$8,안내!$C$10)</f>
        <v>18:30</v>
      </c>
      <c r="T77" s="17" t="str">
        <f aca="false">CHOOSE(WEEKDAY(R77,2),"월","화","수","목","금","토","일")</f>
        <v>일</v>
      </c>
      <c r="U77" s="17" t="s">
        <v>78</v>
      </c>
      <c r="V77" s="17" t="s">
        <v>78</v>
      </c>
      <c r="W77" s="23"/>
      <c r="X77" s="23"/>
      <c r="Y77" s="21"/>
    </row>
    <row r="78" customFormat="false" ht="15" hidden="false" customHeight="false" outlineLevel="0" collapsed="false">
      <c r="A78" s="16" t="n">
        <v>77</v>
      </c>
      <c r="B78" s="15" t="s">
        <v>346</v>
      </c>
      <c r="C78" s="16" t="s">
        <v>70</v>
      </c>
      <c r="D78" s="16" t="n">
        <v>77</v>
      </c>
      <c r="E78" s="16" t="str">
        <f aca="false">C78&amp;"말씀 #"&amp;TEXT(D78,"000")</f>
        <v>구약말씀 #077</v>
      </c>
      <c r="F78" s="17" t="s">
        <v>347</v>
      </c>
      <c r="G78" s="18" t="s">
        <v>348</v>
      </c>
      <c r="H78" s="19" t="s">
        <v>349</v>
      </c>
      <c r="I78" s="17" t="s">
        <v>333</v>
      </c>
      <c r="J78" s="17" t="s">
        <v>122</v>
      </c>
      <c r="K78" s="20"/>
      <c r="L78" s="17" t="s">
        <v>76</v>
      </c>
      <c r="M78" s="17" t="n">
        <f aca="false">LEN(K78)</f>
        <v>0</v>
      </c>
      <c r="N78" s="17" t="str">
        <f aca="false">IF(M78=0,"-",ROUND(3+M78/안내!$C$12,0))</f>
        <v>-</v>
      </c>
      <c r="O78" s="21" t="str">
        <f aca="false">IF(K78="","(본문 입력 후 자동) | 룻 1:16",IF(LEN(K78)&gt;28,LEFT(K78,28)&amp;"…",K78)&amp;" | 룻 1:16")</f>
        <v>(본문 입력 후 자동) | 룻 1:16</v>
      </c>
      <c r="P78" s="21" t="str">
        <f aca="false">"#"&amp;SUBSTITUTE(안내!$C$5," ","")&amp;" #성경구절 #말씀 #룻기 #헌신"</f>
        <v>#오늘의말씀 #성경구절 #말씀 #룻기 #헌신</v>
      </c>
      <c r="Q78" s="21" t="s">
        <v>77</v>
      </c>
      <c r="R78" s="22" t="n">
        <f aca="false">안내!$C$6+INT((D78-1)/안내!$C$7)</f>
        <v>46426</v>
      </c>
      <c r="S78" s="17" t="str">
        <f aca="false">IF(MOD(D78-1,안내!$C$7)=0,안내!$C$8,안내!$C$10)</f>
        <v>06:30</v>
      </c>
      <c r="T78" s="17" t="str">
        <f aca="false">CHOOSE(WEEKDAY(R78,2),"월","화","수","목","금","토","일")</f>
        <v>월</v>
      </c>
      <c r="U78" s="17" t="s">
        <v>78</v>
      </c>
      <c r="V78" s="17" t="s">
        <v>78</v>
      </c>
      <c r="W78" s="23"/>
      <c r="X78" s="23"/>
      <c r="Y78" s="21"/>
    </row>
    <row r="79" customFormat="false" ht="15" hidden="false" customHeight="false" outlineLevel="0" collapsed="false">
      <c r="A79" s="16" t="n">
        <v>78</v>
      </c>
      <c r="B79" s="15" t="s">
        <v>350</v>
      </c>
      <c r="C79" s="16" t="s">
        <v>70</v>
      </c>
      <c r="D79" s="16" t="n">
        <v>78</v>
      </c>
      <c r="E79" s="16" t="str">
        <f aca="false">C79&amp;"말씀 #"&amp;TEXT(D79,"000")</f>
        <v>구약말씀 #078</v>
      </c>
      <c r="F79" s="17" t="s">
        <v>347</v>
      </c>
      <c r="G79" s="18" t="s">
        <v>351</v>
      </c>
      <c r="H79" s="19" t="s">
        <v>352</v>
      </c>
      <c r="I79" s="17" t="s">
        <v>353</v>
      </c>
      <c r="J79" s="17" t="s">
        <v>113</v>
      </c>
      <c r="K79" s="20"/>
      <c r="L79" s="17" t="s">
        <v>76</v>
      </c>
      <c r="M79" s="17" t="n">
        <f aca="false">LEN(K79)</f>
        <v>0</v>
      </c>
      <c r="N79" s="17" t="str">
        <f aca="false">IF(M79=0,"-",ROUND(3+M79/안내!$C$12,0))</f>
        <v>-</v>
      </c>
      <c r="O79" s="21" t="str">
        <f aca="false">IF(K79="","(본문 입력 후 자동) | 룻 2:12",IF(LEN(K79)&gt;28,LEFT(K79,28)&amp;"…",K79)&amp;" | 룻 2:12")</f>
        <v>(본문 입력 후 자동) | 룻 2:12</v>
      </c>
      <c r="P79" s="21" t="str">
        <f aca="false">"#"&amp;SUBSTITUTE(안내!$C$5," ","")&amp;" #성경구절 #말씀 #룻기 #보호"</f>
        <v>#오늘의말씀 #성경구절 #말씀 #룻기 #보호</v>
      </c>
      <c r="Q79" s="21" t="s">
        <v>77</v>
      </c>
      <c r="R79" s="22" t="n">
        <f aca="false">안내!$C$6+INT((D79-1)/안내!$C$7)</f>
        <v>46426</v>
      </c>
      <c r="S79" s="17" t="str">
        <f aca="false">IF(MOD(D79-1,안내!$C$7)=0,안내!$C$8,안내!$C$10)</f>
        <v>18:30</v>
      </c>
      <c r="T79" s="17" t="str">
        <f aca="false">CHOOSE(WEEKDAY(R79,2),"월","화","수","목","금","토","일")</f>
        <v>월</v>
      </c>
      <c r="U79" s="17" t="s">
        <v>78</v>
      </c>
      <c r="V79" s="17" t="s">
        <v>78</v>
      </c>
      <c r="W79" s="23"/>
      <c r="X79" s="23"/>
      <c r="Y79" s="21"/>
    </row>
    <row r="80" customFormat="false" ht="15" hidden="false" customHeight="false" outlineLevel="0" collapsed="false">
      <c r="A80" s="16" t="n">
        <v>79</v>
      </c>
      <c r="B80" s="15" t="s">
        <v>354</v>
      </c>
      <c r="C80" s="16" t="s">
        <v>70</v>
      </c>
      <c r="D80" s="16" t="n">
        <v>79</v>
      </c>
      <c r="E80" s="16" t="str">
        <f aca="false">C80&amp;"말씀 #"&amp;TEXT(D80,"000")</f>
        <v>구약말씀 #079</v>
      </c>
      <c r="F80" s="17" t="s">
        <v>347</v>
      </c>
      <c r="G80" s="18" t="s">
        <v>355</v>
      </c>
      <c r="H80" s="19" t="s">
        <v>356</v>
      </c>
      <c r="I80" s="17" t="s">
        <v>196</v>
      </c>
      <c r="J80" s="17" t="s">
        <v>75</v>
      </c>
      <c r="K80" s="20"/>
      <c r="L80" s="17" t="s">
        <v>76</v>
      </c>
      <c r="M80" s="17" t="n">
        <f aca="false">LEN(K80)</f>
        <v>0</v>
      </c>
      <c r="N80" s="17" t="str">
        <f aca="false">IF(M80=0,"-",ROUND(3+M80/안내!$C$12,0))</f>
        <v>-</v>
      </c>
      <c r="O80" s="21" t="str">
        <f aca="false">IF(K80="","(본문 입력 후 자동) | 룻 4:14",IF(LEN(K80)&gt;28,LEFT(K80,28)&amp;"…",K80)&amp;" | 룻 4:14")</f>
        <v>(본문 입력 후 자동) | 룻 4:14</v>
      </c>
      <c r="P80" s="21" t="str">
        <f aca="false">"#"&amp;SUBSTITUTE(안내!$C$5," ","")&amp;" #성경구절 #말씀 #룻기 #찬양"</f>
        <v>#오늘의말씀 #성경구절 #말씀 #룻기 #찬양</v>
      </c>
      <c r="Q80" s="21" t="s">
        <v>77</v>
      </c>
      <c r="R80" s="22" t="n">
        <f aca="false">안내!$C$6+INT((D80-1)/안내!$C$7)</f>
        <v>46427</v>
      </c>
      <c r="S80" s="17" t="str">
        <f aca="false">IF(MOD(D80-1,안내!$C$7)=0,안내!$C$8,안내!$C$10)</f>
        <v>06:30</v>
      </c>
      <c r="T80" s="17" t="str">
        <f aca="false">CHOOSE(WEEKDAY(R80,2),"월","화","수","목","금","토","일")</f>
        <v>화</v>
      </c>
      <c r="U80" s="17" t="s">
        <v>78</v>
      </c>
      <c r="V80" s="17" t="s">
        <v>78</v>
      </c>
      <c r="W80" s="23"/>
      <c r="X80" s="23"/>
      <c r="Y80" s="21"/>
    </row>
    <row r="81" customFormat="false" ht="26.85" hidden="false" customHeight="false" outlineLevel="0" collapsed="false">
      <c r="A81" s="16" t="n">
        <v>80</v>
      </c>
      <c r="B81" s="15" t="s">
        <v>357</v>
      </c>
      <c r="C81" s="16" t="s">
        <v>70</v>
      </c>
      <c r="D81" s="16" t="n">
        <v>80</v>
      </c>
      <c r="E81" s="16" t="str">
        <f aca="false">C81&amp;"말씀 #"&amp;TEXT(D81,"000")</f>
        <v>구약말씀 #080</v>
      </c>
      <c r="F81" s="17" t="s">
        <v>358</v>
      </c>
      <c r="G81" s="18" t="s">
        <v>80</v>
      </c>
      <c r="H81" s="19" t="s">
        <v>359</v>
      </c>
      <c r="I81" s="17" t="s">
        <v>160</v>
      </c>
      <c r="J81" s="17" t="s">
        <v>104</v>
      </c>
      <c r="K81" s="20"/>
      <c r="L81" s="17" t="s">
        <v>76</v>
      </c>
      <c r="M81" s="17" t="n">
        <f aca="false">LEN(K81)</f>
        <v>0</v>
      </c>
      <c r="N81" s="17" t="str">
        <f aca="false">IF(M81=0,"-",ROUND(3+M81/안내!$C$12,0))</f>
        <v>-</v>
      </c>
      <c r="O81" s="21" t="str">
        <f aca="false">IF(K81="","(본문 입력 후 자동) | 삼상 1:27",IF(LEN(K81)&gt;28,LEFT(K81,28)&amp;"…",K81)&amp;" | 삼상 1:27")</f>
        <v>(본문 입력 후 자동) | 삼상 1:27</v>
      </c>
      <c r="P81" s="21" t="str">
        <f aca="false">"#"&amp;SUBSTITUTE(안내!$C$5," ","")&amp;" #성경구절 #말씀 #사무엘상 #기도"</f>
        <v>#오늘의말씀 #성경구절 #말씀 #사무엘상 #기도</v>
      </c>
      <c r="Q81" s="21" t="s">
        <v>77</v>
      </c>
      <c r="R81" s="22" t="n">
        <f aca="false">안내!$C$6+INT((D81-1)/안내!$C$7)</f>
        <v>46427</v>
      </c>
      <c r="S81" s="17" t="str">
        <f aca="false">IF(MOD(D81-1,안내!$C$7)=0,안내!$C$8,안내!$C$10)</f>
        <v>18:30</v>
      </c>
      <c r="T81" s="17" t="str">
        <f aca="false">CHOOSE(WEEKDAY(R81,2),"월","화","수","목","금","토","일")</f>
        <v>화</v>
      </c>
      <c r="U81" s="17" t="s">
        <v>78</v>
      </c>
      <c r="V81" s="17" t="s">
        <v>78</v>
      </c>
      <c r="W81" s="23"/>
      <c r="X81" s="23"/>
      <c r="Y81" s="21"/>
    </row>
    <row r="82" customFormat="false" ht="25.35" hidden="false" customHeight="false" outlineLevel="0" collapsed="false">
      <c r="A82" s="16" t="n">
        <v>81</v>
      </c>
      <c r="B82" s="15" t="s">
        <v>360</v>
      </c>
      <c r="C82" s="16" t="s">
        <v>70</v>
      </c>
      <c r="D82" s="16" t="n">
        <v>81</v>
      </c>
      <c r="E82" s="16" t="str">
        <f aca="false">C82&amp;"말씀 #"&amp;TEXT(D82,"000")</f>
        <v>구약말씀 #081</v>
      </c>
      <c r="F82" s="17" t="s">
        <v>358</v>
      </c>
      <c r="G82" s="18" t="s">
        <v>361</v>
      </c>
      <c r="H82" s="19" t="s">
        <v>362</v>
      </c>
      <c r="I82" s="17" t="s">
        <v>196</v>
      </c>
      <c r="J82" s="17" t="s">
        <v>75</v>
      </c>
      <c r="K82" s="20"/>
      <c r="L82" s="17" t="s">
        <v>76</v>
      </c>
      <c r="M82" s="17" t="n">
        <f aca="false">LEN(K82)</f>
        <v>0</v>
      </c>
      <c r="N82" s="17" t="str">
        <f aca="false">IF(M82=0,"-",ROUND(3+M82/안내!$C$12,0))</f>
        <v>-</v>
      </c>
      <c r="O82" s="21" t="str">
        <f aca="false">IF(K82="","(본문 입력 후 자동) | 삼상 2:2",IF(LEN(K82)&gt;28,LEFT(K82,28)&amp;"…",K82)&amp;" | 삼상 2:2")</f>
        <v>(본문 입력 후 자동) | 삼상 2:2</v>
      </c>
      <c r="P82" s="21" t="str">
        <f aca="false">"#"&amp;SUBSTITUTE(안내!$C$5," ","")&amp;" #성경구절 #말씀 #사무엘상 #찬양"</f>
        <v>#오늘의말씀 #성경구절 #말씀 #사무엘상 #찬양</v>
      </c>
      <c r="Q82" s="21" t="s">
        <v>77</v>
      </c>
      <c r="R82" s="22" t="n">
        <f aca="false">안내!$C$6+INT((D82-1)/안내!$C$7)</f>
        <v>46428</v>
      </c>
      <c r="S82" s="17" t="str">
        <f aca="false">IF(MOD(D82-1,안내!$C$7)=0,안내!$C$8,안내!$C$10)</f>
        <v>06:30</v>
      </c>
      <c r="T82" s="17" t="str">
        <f aca="false">CHOOSE(WEEKDAY(R82,2),"월","화","수","목","금","토","일")</f>
        <v>수</v>
      </c>
      <c r="U82" s="17" t="s">
        <v>78</v>
      </c>
      <c r="V82" s="17" t="s">
        <v>78</v>
      </c>
      <c r="W82" s="23"/>
      <c r="X82" s="23"/>
      <c r="Y82" s="21"/>
    </row>
    <row r="83" customFormat="false" ht="26.85" hidden="false" customHeight="false" outlineLevel="0" collapsed="false">
      <c r="A83" s="16" t="n">
        <v>82</v>
      </c>
      <c r="B83" s="15" t="s">
        <v>363</v>
      </c>
      <c r="C83" s="16" t="s">
        <v>70</v>
      </c>
      <c r="D83" s="16" t="n">
        <v>82</v>
      </c>
      <c r="E83" s="16" t="str">
        <f aca="false">C83&amp;"말씀 #"&amp;TEXT(D83,"000")</f>
        <v>구약말씀 #082</v>
      </c>
      <c r="F83" s="17" t="s">
        <v>358</v>
      </c>
      <c r="G83" s="18" t="s">
        <v>364</v>
      </c>
      <c r="H83" s="19" t="s">
        <v>365</v>
      </c>
      <c r="I83" s="17" t="s">
        <v>121</v>
      </c>
      <c r="J83" s="17" t="s">
        <v>122</v>
      </c>
      <c r="K83" s="20"/>
      <c r="L83" s="17" t="s">
        <v>76</v>
      </c>
      <c r="M83" s="17" t="n">
        <f aca="false">LEN(K83)</f>
        <v>0</v>
      </c>
      <c r="N83" s="17" t="str">
        <f aca="false">IF(M83=0,"-",ROUND(3+M83/안내!$C$12,0))</f>
        <v>-</v>
      </c>
      <c r="O83" s="21" t="str">
        <f aca="false">IF(K83="","(본문 입력 후 자동) | 삼상 3:10",IF(LEN(K83)&gt;28,LEFT(K83,28)&amp;"…",K83)&amp;" | 삼상 3:10")</f>
        <v>(본문 입력 후 자동) | 삼상 3:10</v>
      </c>
      <c r="P83" s="21" t="str">
        <f aca="false">"#"&amp;SUBSTITUTE(안내!$C$5," ","")&amp;" #성경구절 #말씀 #사무엘상 #순종"</f>
        <v>#오늘의말씀 #성경구절 #말씀 #사무엘상 #순종</v>
      </c>
      <c r="Q83" s="21" t="s">
        <v>77</v>
      </c>
      <c r="R83" s="22" t="n">
        <f aca="false">안내!$C$6+INT((D83-1)/안내!$C$7)</f>
        <v>46428</v>
      </c>
      <c r="S83" s="17" t="str">
        <f aca="false">IF(MOD(D83-1,안내!$C$7)=0,안내!$C$8,안내!$C$10)</f>
        <v>18:30</v>
      </c>
      <c r="T83" s="17" t="str">
        <f aca="false">CHOOSE(WEEKDAY(R83,2),"월","화","수","목","금","토","일")</f>
        <v>수</v>
      </c>
      <c r="U83" s="17" t="s">
        <v>78</v>
      </c>
      <c r="V83" s="17" t="s">
        <v>78</v>
      </c>
      <c r="W83" s="23"/>
      <c r="X83" s="23"/>
      <c r="Y83" s="21"/>
    </row>
    <row r="84" customFormat="false" ht="26.85" hidden="false" customHeight="false" outlineLevel="0" collapsed="false">
      <c r="A84" s="16" t="n">
        <v>83</v>
      </c>
      <c r="B84" s="15" t="s">
        <v>366</v>
      </c>
      <c r="C84" s="16" t="s">
        <v>70</v>
      </c>
      <c r="D84" s="16" t="n">
        <v>83</v>
      </c>
      <c r="E84" s="16" t="str">
        <f aca="false">C84&amp;"말씀 #"&amp;TEXT(D84,"000")</f>
        <v>구약말씀 #083</v>
      </c>
      <c r="F84" s="17" t="s">
        <v>358</v>
      </c>
      <c r="G84" s="18" t="s">
        <v>367</v>
      </c>
      <c r="H84" s="19" t="s">
        <v>368</v>
      </c>
      <c r="I84" s="17" t="s">
        <v>369</v>
      </c>
      <c r="J84" s="17" t="s">
        <v>148</v>
      </c>
      <c r="K84" s="20"/>
      <c r="L84" s="17" t="s">
        <v>76</v>
      </c>
      <c r="M84" s="17" t="n">
        <f aca="false">LEN(K84)</f>
        <v>0</v>
      </c>
      <c r="N84" s="17" t="str">
        <f aca="false">IF(M84=0,"-",ROUND(3+M84/안내!$C$12,0))</f>
        <v>-</v>
      </c>
      <c r="O84" s="21" t="str">
        <f aca="false">IF(K84="","(본문 입력 후 자동) | 삼상 7:12",IF(LEN(K84)&gt;28,LEFT(K84,28)&amp;"…",K84)&amp;" | 삼상 7:12")</f>
        <v>(본문 입력 후 자동) | 삼상 7:12</v>
      </c>
      <c r="P84" s="21" t="str">
        <f aca="false">"#"&amp;SUBSTITUTE(안내!$C$5," ","")&amp;" #성경구절 #말씀 #사무엘상 #감사"</f>
        <v>#오늘의말씀 #성경구절 #말씀 #사무엘상 #감사</v>
      </c>
      <c r="Q84" s="21" t="s">
        <v>77</v>
      </c>
      <c r="R84" s="22" t="n">
        <f aca="false">안내!$C$6+INT((D84-1)/안내!$C$7)</f>
        <v>46429</v>
      </c>
      <c r="S84" s="17" t="str">
        <f aca="false">IF(MOD(D84-1,안내!$C$7)=0,안내!$C$8,안내!$C$10)</f>
        <v>06:30</v>
      </c>
      <c r="T84" s="17" t="str">
        <f aca="false">CHOOSE(WEEKDAY(R84,2),"월","화","수","목","금","토","일")</f>
        <v>목</v>
      </c>
      <c r="U84" s="17" t="s">
        <v>78</v>
      </c>
      <c r="V84" s="17" t="s">
        <v>78</v>
      </c>
      <c r="W84" s="23"/>
      <c r="X84" s="23"/>
      <c r="Y84" s="21"/>
    </row>
    <row r="85" customFormat="false" ht="26.85" hidden="false" customHeight="false" outlineLevel="0" collapsed="false">
      <c r="A85" s="16" t="n">
        <v>84</v>
      </c>
      <c r="B85" s="15" t="s">
        <v>370</v>
      </c>
      <c r="C85" s="16" t="s">
        <v>70</v>
      </c>
      <c r="D85" s="16" t="n">
        <v>84</v>
      </c>
      <c r="E85" s="16" t="str">
        <f aca="false">C85&amp;"말씀 #"&amp;TEXT(D85,"000")</f>
        <v>구약말씀 #084</v>
      </c>
      <c r="F85" s="17" t="s">
        <v>358</v>
      </c>
      <c r="G85" s="18" t="s">
        <v>371</v>
      </c>
      <c r="H85" s="19" t="s">
        <v>372</v>
      </c>
      <c r="I85" s="17" t="s">
        <v>121</v>
      </c>
      <c r="J85" s="17" t="s">
        <v>122</v>
      </c>
      <c r="K85" s="20"/>
      <c r="L85" s="17" t="s">
        <v>76</v>
      </c>
      <c r="M85" s="17" t="n">
        <f aca="false">LEN(K85)</f>
        <v>0</v>
      </c>
      <c r="N85" s="17" t="str">
        <f aca="false">IF(M85=0,"-",ROUND(3+M85/안내!$C$12,0))</f>
        <v>-</v>
      </c>
      <c r="O85" s="21" t="str">
        <f aca="false">IF(K85="","(본문 입력 후 자동) | 삼상 15:22",IF(LEN(K85)&gt;28,LEFT(K85,28)&amp;"…",K85)&amp;" | 삼상 15:22")</f>
        <v>(본문 입력 후 자동) | 삼상 15:22</v>
      </c>
      <c r="P85" s="21" t="str">
        <f aca="false">"#"&amp;SUBSTITUTE(안내!$C$5," ","")&amp;" #성경구절 #말씀 #사무엘상 #순종"</f>
        <v>#오늘의말씀 #성경구절 #말씀 #사무엘상 #순종</v>
      </c>
      <c r="Q85" s="21" t="s">
        <v>77</v>
      </c>
      <c r="R85" s="22" t="n">
        <f aca="false">안내!$C$6+INT((D85-1)/안내!$C$7)</f>
        <v>46429</v>
      </c>
      <c r="S85" s="17" t="str">
        <f aca="false">IF(MOD(D85-1,안내!$C$7)=0,안내!$C$8,안내!$C$10)</f>
        <v>18:30</v>
      </c>
      <c r="T85" s="17" t="str">
        <f aca="false">CHOOSE(WEEKDAY(R85,2),"월","화","수","목","금","토","일")</f>
        <v>목</v>
      </c>
      <c r="U85" s="17" t="s">
        <v>78</v>
      </c>
      <c r="V85" s="17" t="s">
        <v>78</v>
      </c>
      <c r="W85" s="23"/>
      <c r="X85" s="23"/>
      <c r="Y85" s="21"/>
    </row>
    <row r="86" customFormat="false" ht="26.85" hidden="false" customHeight="false" outlineLevel="0" collapsed="false">
      <c r="A86" s="16" t="n">
        <v>85</v>
      </c>
      <c r="B86" s="15" t="s">
        <v>373</v>
      </c>
      <c r="C86" s="16" t="s">
        <v>70</v>
      </c>
      <c r="D86" s="16" t="n">
        <v>85</v>
      </c>
      <c r="E86" s="16" t="str">
        <f aca="false">C86&amp;"말씀 #"&amp;TEXT(D86,"000")</f>
        <v>구약말씀 #085</v>
      </c>
      <c r="F86" s="17" t="s">
        <v>358</v>
      </c>
      <c r="G86" s="18" t="s">
        <v>374</v>
      </c>
      <c r="H86" s="19" t="s">
        <v>375</v>
      </c>
      <c r="I86" s="17" t="s">
        <v>376</v>
      </c>
      <c r="J86" s="17" t="s">
        <v>94</v>
      </c>
      <c r="K86" s="20"/>
      <c r="L86" s="17" t="s">
        <v>76</v>
      </c>
      <c r="M86" s="17" t="n">
        <f aca="false">LEN(K86)</f>
        <v>0</v>
      </c>
      <c r="N86" s="17" t="str">
        <f aca="false">IF(M86=0,"-",ROUND(3+M86/안내!$C$12,0))</f>
        <v>-</v>
      </c>
      <c r="O86" s="21" t="str">
        <f aca="false">IF(K86="","(본문 입력 후 자동) | 삼상 16:7",IF(LEN(K86)&gt;28,LEFT(K86,28)&amp;"…",K86)&amp;" | 삼상 16:7")</f>
        <v>(본문 입력 후 자동) | 삼상 16:7</v>
      </c>
      <c r="P86" s="21" t="str">
        <f aca="false">"#"&amp;SUBSTITUTE(안내!$C$5," ","")&amp;" #성경구절 #말씀 #사무엘상 #마음"</f>
        <v>#오늘의말씀 #성경구절 #말씀 #사무엘상 #마음</v>
      </c>
      <c r="Q86" s="21" t="s">
        <v>77</v>
      </c>
      <c r="R86" s="22" t="n">
        <f aca="false">안내!$C$6+INT((D86-1)/안내!$C$7)</f>
        <v>46430</v>
      </c>
      <c r="S86" s="17" t="str">
        <f aca="false">IF(MOD(D86-1,안내!$C$7)=0,안내!$C$8,안내!$C$10)</f>
        <v>06:30</v>
      </c>
      <c r="T86" s="17" t="str">
        <f aca="false">CHOOSE(WEEKDAY(R86,2),"월","화","수","목","금","토","일")</f>
        <v>금</v>
      </c>
      <c r="U86" s="17" t="s">
        <v>78</v>
      </c>
      <c r="V86" s="17" t="s">
        <v>78</v>
      </c>
      <c r="W86" s="23"/>
      <c r="X86" s="23"/>
      <c r="Y86" s="21"/>
    </row>
    <row r="87" customFormat="false" ht="26.85" hidden="false" customHeight="false" outlineLevel="0" collapsed="false">
      <c r="A87" s="16" t="n">
        <v>86</v>
      </c>
      <c r="B87" s="15" t="s">
        <v>377</v>
      </c>
      <c r="C87" s="16" t="s">
        <v>70</v>
      </c>
      <c r="D87" s="16" t="n">
        <v>86</v>
      </c>
      <c r="E87" s="16" t="str">
        <f aca="false">C87&amp;"말씀 #"&amp;TEXT(D87,"000")</f>
        <v>구약말씀 #086</v>
      </c>
      <c r="F87" s="17" t="s">
        <v>358</v>
      </c>
      <c r="G87" s="18" t="s">
        <v>378</v>
      </c>
      <c r="H87" s="19" t="s">
        <v>379</v>
      </c>
      <c r="I87" s="17" t="s">
        <v>133</v>
      </c>
      <c r="J87" s="17" t="s">
        <v>113</v>
      </c>
      <c r="K87" s="20"/>
      <c r="L87" s="17" t="s">
        <v>76</v>
      </c>
      <c r="M87" s="17" t="n">
        <f aca="false">LEN(K87)</f>
        <v>0</v>
      </c>
      <c r="N87" s="17" t="str">
        <f aca="false">IF(M87=0,"-",ROUND(3+M87/안내!$C$12,0))</f>
        <v>-</v>
      </c>
      <c r="O87" s="21" t="str">
        <f aca="false">IF(K87="","(본문 입력 후 자동) | 삼상 17:45",IF(LEN(K87)&gt;28,LEFT(K87,28)&amp;"…",K87)&amp;" | 삼상 17:45")</f>
        <v>(본문 입력 후 자동) | 삼상 17:45</v>
      </c>
      <c r="P87" s="21" t="str">
        <f aca="false">"#"&amp;SUBSTITUTE(안내!$C$5," ","")&amp;" #성경구절 #말씀 #사무엘상 #믿음"</f>
        <v>#오늘의말씀 #성경구절 #말씀 #사무엘상 #믿음</v>
      </c>
      <c r="Q87" s="21" t="s">
        <v>77</v>
      </c>
      <c r="R87" s="22" t="n">
        <f aca="false">안내!$C$6+INT((D87-1)/안내!$C$7)</f>
        <v>46430</v>
      </c>
      <c r="S87" s="17" t="str">
        <f aca="false">IF(MOD(D87-1,안내!$C$7)=0,안내!$C$8,안내!$C$10)</f>
        <v>18:30</v>
      </c>
      <c r="T87" s="17" t="str">
        <f aca="false">CHOOSE(WEEKDAY(R87,2),"월","화","수","목","금","토","일")</f>
        <v>금</v>
      </c>
      <c r="U87" s="17" t="s">
        <v>78</v>
      </c>
      <c r="V87" s="17" t="s">
        <v>78</v>
      </c>
      <c r="W87" s="23"/>
      <c r="X87" s="23"/>
      <c r="Y87" s="21"/>
    </row>
    <row r="88" customFormat="false" ht="26.85" hidden="false" customHeight="false" outlineLevel="0" collapsed="false">
      <c r="A88" s="16" t="n">
        <v>87</v>
      </c>
      <c r="B88" s="15" t="s">
        <v>380</v>
      </c>
      <c r="C88" s="16" t="s">
        <v>70</v>
      </c>
      <c r="D88" s="16" t="n">
        <v>87</v>
      </c>
      <c r="E88" s="16" t="str">
        <f aca="false">C88&amp;"말씀 #"&amp;TEXT(D88,"000")</f>
        <v>구약말씀 #087</v>
      </c>
      <c r="F88" s="17" t="s">
        <v>358</v>
      </c>
      <c r="G88" s="18" t="s">
        <v>381</v>
      </c>
      <c r="H88" s="19" t="s">
        <v>382</v>
      </c>
      <c r="I88" s="17" t="s">
        <v>207</v>
      </c>
      <c r="J88" s="17" t="s">
        <v>113</v>
      </c>
      <c r="K88" s="20"/>
      <c r="L88" s="17" t="s">
        <v>76</v>
      </c>
      <c r="M88" s="17" t="n">
        <f aca="false">LEN(K88)</f>
        <v>0</v>
      </c>
      <c r="N88" s="17" t="str">
        <f aca="false">IF(M88=0,"-",ROUND(3+M88/안내!$C$12,0))</f>
        <v>-</v>
      </c>
      <c r="O88" s="21" t="str">
        <f aca="false">IF(K88="","(본문 입력 후 자동) | 삼상 17:47",IF(LEN(K88)&gt;28,LEFT(K88,28)&amp;"…",K88)&amp;" | 삼상 17:47")</f>
        <v>(본문 입력 후 자동) | 삼상 17:47</v>
      </c>
      <c r="P88" s="21" t="str">
        <f aca="false">"#"&amp;SUBSTITUTE(안내!$C$5," ","")&amp;" #성경구절 #말씀 #사무엘상 #승리"</f>
        <v>#오늘의말씀 #성경구절 #말씀 #사무엘상 #승리</v>
      </c>
      <c r="Q88" s="21" t="s">
        <v>77</v>
      </c>
      <c r="R88" s="22" t="n">
        <f aca="false">안내!$C$6+INT((D88-1)/안내!$C$7)</f>
        <v>46431</v>
      </c>
      <c r="S88" s="17" t="str">
        <f aca="false">IF(MOD(D88-1,안내!$C$7)=0,안내!$C$8,안내!$C$10)</f>
        <v>06:30</v>
      </c>
      <c r="T88" s="17" t="str">
        <f aca="false">CHOOSE(WEEKDAY(R88,2),"월","화","수","목","금","토","일")</f>
        <v>토</v>
      </c>
      <c r="U88" s="17" t="s">
        <v>78</v>
      </c>
      <c r="V88" s="17" t="s">
        <v>78</v>
      </c>
      <c r="W88" s="23"/>
      <c r="X88" s="23"/>
      <c r="Y88" s="21"/>
    </row>
    <row r="89" customFormat="false" ht="26.85" hidden="false" customHeight="false" outlineLevel="0" collapsed="false">
      <c r="A89" s="16" t="n">
        <v>88</v>
      </c>
      <c r="B89" s="15" t="s">
        <v>383</v>
      </c>
      <c r="C89" s="16" t="s">
        <v>70</v>
      </c>
      <c r="D89" s="16" t="n">
        <v>88</v>
      </c>
      <c r="E89" s="16" t="str">
        <f aca="false">C89&amp;"말씀 #"&amp;TEXT(D89,"000")</f>
        <v>구약말씀 #088</v>
      </c>
      <c r="F89" s="17" t="s">
        <v>384</v>
      </c>
      <c r="G89" s="18" t="s">
        <v>385</v>
      </c>
      <c r="H89" s="19" t="s">
        <v>386</v>
      </c>
      <c r="I89" s="17" t="s">
        <v>196</v>
      </c>
      <c r="J89" s="17" t="s">
        <v>75</v>
      </c>
      <c r="K89" s="20"/>
      <c r="L89" s="17" t="s">
        <v>76</v>
      </c>
      <c r="M89" s="17" t="n">
        <f aca="false">LEN(K89)</f>
        <v>0</v>
      </c>
      <c r="N89" s="17" t="str">
        <f aca="false">IF(M89=0,"-",ROUND(3+M89/안내!$C$12,0))</f>
        <v>-</v>
      </c>
      <c r="O89" s="21" t="str">
        <f aca="false">IF(K89="","(본문 입력 후 자동) | 삼하 7:22",IF(LEN(K89)&gt;28,LEFT(K89,28)&amp;"…",K89)&amp;" | 삼하 7:22")</f>
        <v>(본문 입력 후 자동) | 삼하 7:22</v>
      </c>
      <c r="P89" s="21" t="str">
        <f aca="false">"#"&amp;SUBSTITUTE(안내!$C$5," ","")&amp;" #성경구절 #말씀 #사무엘하 #찬양"</f>
        <v>#오늘의말씀 #성경구절 #말씀 #사무엘하 #찬양</v>
      </c>
      <c r="Q89" s="21" t="s">
        <v>77</v>
      </c>
      <c r="R89" s="22" t="n">
        <f aca="false">안내!$C$6+INT((D89-1)/안내!$C$7)</f>
        <v>46431</v>
      </c>
      <c r="S89" s="17" t="str">
        <f aca="false">IF(MOD(D89-1,안내!$C$7)=0,안내!$C$8,안내!$C$10)</f>
        <v>18:30</v>
      </c>
      <c r="T89" s="17" t="str">
        <f aca="false">CHOOSE(WEEKDAY(R89,2),"월","화","수","목","금","토","일")</f>
        <v>토</v>
      </c>
      <c r="U89" s="17" t="s">
        <v>78</v>
      </c>
      <c r="V89" s="17" t="s">
        <v>78</v>
      </c>
      <c r="W89" s="23"/>
      <c r="X89" s="23"/>
      <c r="Y89" s="21"/>
    </row>
    <row r="90" customFormat="false" ht="26.85" hidden="false" customHeight="false" outlineLevel="0" collapsed="false">
      <c r="A90" s="16" t="n">
        <v>89</v>
      </c>
      <c r="B90" s="15" t="s">
        <v>387</v>
      </c>
      <c r="C90" s="16" t="s">
        <v>70</v>
      </c>
      <c r="D90" s="16" t="n">
        <v>89</v>
      </c>
      <c r="E90" s="16" t="str">
        <f aca="false">C90&amp;"말씀 #"&amp;TEXT(D90,"000")</f>
        <v>구약말씀 #089</v>
      </c>
      <c r="F90" s="17" t="s">
        <v>384</v>
      </c>
      <c r="G90" s="18" t="s">
        <v>388</v>
      </c>
      <c r="H90" s="19" t="s">
        <v>389</v>
      </c>
      <c r="I90" s="17" t="s">
        <v>390</v>
      </c>
      <c r="J90" s="17" t="s">
        <v>113</v>
      </c>
      <c r="K90" s="20"/>
      <c r="L90" s="17" t="s">
        <v>76</v>
      </c>
      <c r="M90" s="17" t="n">
        <f aca="false">LEN(K90)</f>
        <v>0</v>
      </c>
      <c r="N90" s="17" t="str">
        <f aca="false">IF(M90=0,"-",ROUND(3+M90/안내!$C$12,0))</f>
        <v>-</v>
      </c>
      <c r="O90" s="21" t="str">
        <f aca="false">IF(K90="","(본문 입력 후 자동) | 삼하 22:2",IF(LEN(K90)&gt;28,LEFT(K90,28)&amp;"…",K90)&amp;" | 삼하 22:2")</f>
        <v>(본문 입력 후 자동) | 삼하 22:2</v>
      </c>
      <c r="P90" s="21" t="str">
        <f aca="false">"#"&amp;SUBSTITUTE(안내!$C$5," ","")&amp;" #성경구절 #말씀 #사무엘하 #피난처"</f>
        <v>#오늘의말씀 #성경구절 #말씀 #사무엘하 #피난처</v>
      </c>
      <c r="Q90" s="21" t="s">
        <v>77</v>
      </c>
      <c r="R90" s="22" t="n">
        <f aca="false">안내!$C$6+INT((D90-1)/안내!$C$7)</f>
        <v>46432</v>
      </c>
      <c r="S90" s="17" t="str">
        <f aca="false">IF(MOD(D90-1,안내!$C$7)=0,안내!$C$8,안내!$C$10)</f>
        <v>06:30</v>
      </c>
      <c r="T90" s="17" t="str">
        <f aca="false">CHOOSE(WEEKDAY(R90,2),"월","화","수","목","금","토","일")</f>
        <v>일</v>
      </c>
      <c r="U90" s="17" t="s">
        <v>78</v>
      </c>
      <c r="V90" s="17" t="s">
        <v>78</v>
      </c>
      <c r="W90" s="23"/>
      <c r="X90" s="23"/>
      <c r="Y90" s="21"/>
    </row>
    <row r="91" customFormat="false" ht="26.85" hidden="false" customHeight="false" outlineLevel="0" collapsed="false">
      <c r="A91" s="16" t="n">
        <v>90</v>
      </c>
      <c r="B91" s="15" t="s">
        <v>391</v>
      </c>
      <c r="C91" s="16" t="s">
        <v>70</v>
      </c>
      <c r="D91" s="16" t="n">
        <v>90</v>
      </c>
      <c r="E91" s="16" t="str">
        <f aca="false">C91&amp;"말씀 #"&amp;TEXT(D91,"000")</f>
        <v>구약말씀 #090</v>
      </c>
      <c r="F91" s="17" t="s">
        <v>384</v>
      </c>
      <c r="G91" s="18" t="s">
        <v>392</v>
      </c>
      <c r="H91" s="19" t="s">
        <v>393</v>
      </c>
      <c r="I91" s="17" t="s">
        <v>390</v>
      </c>
      <c r="J91" s="17" t="s">
        <v>113</v>
      </c>
      <c r="K91" s="20"/>
      <c r="L91" s="17" t="s">
        <v>76</v>
      </c>
      <c r="M91" s="17" t="n">
        <f aca="false">LEN(K91)</f>
        <v>0</v>
      </c>
      <c r="N91" s="17" t="str">
        <f aca="false">IF(M91=0,"-",ROUND(3+M91/안내!$C$12,0))</f>
        <v>-</v>
      </c>
      <c r="O91" s="21" t="str">
        <f aca="false">IF(K91="","(본문 입력 후 자동) | 삼하 22:3",IF(LEN(K91)&gt;28,LEFT(K91,28)&amp;"…",K91)&amp;" | 삼하 22:3")</f>
        <v>(본문 입력 후 자동) | 삼하 22:3</v>
      </c>
      <c r="P91" s="21" t="str">
        <f aca="false">"#"&amp;SUBSTITUTE(안내!$C$5," ","")&amp;" #성경구절 #말씀 #사무엘하 #피난처"</f>
        <v>#오늘의말씀 #성경구절 #말씀 #사무엘하 #피난처</v>
      </c>
      <c r="Q91" s="21" t="s">
        <v>77</v>
      </c>
      <c r="R91" s="22" t="n">
        <f aca="false">안내!$C$6+INT((D91-1)/안내!$C$7)</f>
        <v>46432</v>
      </c>
      <c r="S91" s="17" t="str">
        <f aca="false">IF(MOD(D91-1,안내!$C$7)=0,안내!$C$8,안내!$C$10)</f>
        <v>18:30</v>
      </c>
      <c r="T91" s="17" t="str">
        <f aca="false">CHOOSE(WEEKDAY(R91,2),"월","화","수","목","금","토","일")</f>
        <v>일</v>
      </c>
      <c r="U91" s="17" t="s">
        <v>78</v>
      </c>
      <c r="V91" s="17" t="s">
        <v>78</v>
      </c>
      <c r="W91" s="23"/>
      <c r="X91" s="23"/>
      <c r="Y91" s="21"/>
    </row>
    <row r="92" customFormat="false" ht="26.85" hidden="false" customHeight="false" outlineLevel="0" collapsed="false">
      <c r="A92" s="16" t="n">
        <v>91</v>
      </c>
      <c r="B92" s="15" t="s">
        <v>394</v>
      </c>
      <c r="C92" s="16" t="s">
        <v>70</v>
      </c>
      <c r="D92" s="16" t="n">
        <v>91</v>
      </c>
      <c r="E92" s="16" t="str">
        <f aca="false">C92&amp;"말씀 #"&amp;TEXT(D92,"000")</f>
        <v>구약말씀 #091</v>
      </c>
      <c r="F92" s="17" t="s">
        <v>384</v>
      </c>
      <c r="G92" s="18" t="s">
        <v>395</v>
      </c>
      <c r="H92" s="19" t="s">
        <v>396</v>
      </c>
      <c r="I92" s="17" t="s">
        <v>284</v>
      </c>
      <c r="J92" s="17" t="s">
        <v>148</v>
      </c>
      <c r="K92" s="20"/>
      <c r="L92" s="17" t="s">
        <v>76</v>
      </c>
      <c r="M92" s="17" t="n">
        <f aca="false">LEN(K92)</f>
        <v>0</v>
      </c>
      <c r="N92" s="17" t="str">
        <f aca="false">IF(M92=0,"-",ROUND(3+M92/안내!$C$12,0))</f>
        <v>-</v>
      </c>
      <c r="O92" s="21" t="str">
        <f aca="false">IF(K92="","(본문 입력 후 자동) | 삼하 22:31",IF(LEN(K92)&gt;28,LEFT(K92,28)&amp;"…",K92)&amp;" | 삼하 22:31")</f>
        <v>(본문 입력 후 자동) | 삼하 22:31</v>
      </c>
      <c r="P92" s="21" t="str">
        <f aca="false">"#"&amp;SUBSTITUTE(안내!$C$5," ","")&amp;" #성경구절 #말씀 #사무엘하 #말씀"</f>
        <v>#오늘의말씀 #성경구절 #말씀 #사무엘하 #말씀</v>
      </c>
      <c r="Q92" s="21" t="s">
        <v>77</v>
      </c>
      <c r="R92" s="22" t="n">
        <f aca="false">안내!$C$6+INT((D92-1)/안내!$C$7)</f>
        <v>46433</v>
      </c>
      <c r="S92" s="17" t="str">
        <f aca="false">IF(MOD(D92-1,안내!$C$7)=0,안내!$C$8,안내!$C$10)</f>
        <v>06:30</v>
      </c>
      <c r="T92" s="17" t="str">
        <f aca="false">CHOOSE(WEEKDAY(R92,2),"월","화","수","목","금","토","일")</f>
        <v>월</v>
      </c>
      <c r="U92" s="17" t="s">
        <v>78</v>
      </c>
      <c r="V92" s="17" t="s">
        <v>78</v>
      </c>
      <c r="W92" s="23"/>
      <c r="X92" s="23"/>
      <c r="Y92" s="21"/>
    </row>
    <row r="93" customFormat="false" ht="26.85" hidden="false" customHeight="false" outlineLevel="0" collapsed="false">
      <c r="A93" s="16" t="n">
        <v>92</v>
      </c>
      <c r="B93" s="15" t="s">
        <v>397</v>
      </c>
      <c r="C93" s="16" t="s">
        <v>70</v>
      </c>
      <c r="D93" s="16" t="n">
        <v>92</v>
      </c>
      <c r="E93" s="16" t="str">
        <f aca="false">C93&amp;"말씀 #"&amp;TEXT(D93,"000")</f>
        <v>구약말씀 #092</v>
      </c>
      <c r="F93" s="17" t="s">
        <v>384</v>
      </c>
      <c r="G93" s="18" t="s">
        <v>398</v>
      </c>
      <c r="H93" s="19" t="s">
        <v>399</v>
      </c>
      <c r="I93" s="17" t="s">
        <v>196</v>
      </c>
      <c r="J93" s="17" t="s">
        <v>75</v>
      </c>
      <c r="K93" s="20"/>
      <c r="L93" s="17" t="s">
        <v>76</v>
      </c>
      <c r="M93" s="17" t="n">
        <f aca="false">LEN(K93)</f>
        <v>0</v>
      </c>
      <c r="N93" s="17" t="str">
        <f aca="false">IF(M93=0,"-",ROUND(3+M93/안내!$C$12,0))</f>
        <v>-</v>
      </c>
      <c r="O93" s="21" t="str">
        <f aca="false">IF(K93="","(본문 입력 후 자동) | 삼하 22:47",IF(LEN(K93)&gt;28,LEFT(K93,28)&amp;"…",K93)&amp;" | 삼하 22:47")</f>
        <v>(본문 입력 후 자동) | 삼하 22:47</v>
      </c>
      <c r="P93" s="21" t="str">
        <f aca="false">"#"&amp;SUBSTITUTE(안내!$C$5," ","")&amp;" #성경구절 #말씀 #사무엘하 #찬양"</f>
        <v>#오늘의말씀 #성경구절 #말씀 #사무엘하 #찬양</v>
      </c>
      <c r="Q93" s="21" t="s">
        <v>77</v>
      </c>
      <c r="R93" s="22" t="n">
        <f aca="false">안내!$C$6+INT((D93-1)/안내!$C$7)</f>
        <v>46433</v>
      </c>
      <c r="S93" s="17" t="str">
        <f aca="false">IF(MOD(D93-1,안내!$C$7)=0,안내!$C$8,안내!$C$10)</f>
        <v>18:30</v>
      </c>
      <c r="T93" s="17" t="str">
        <f aca="false">CHOOSE(WEEKDAY(R93,2),"월","화","수","목","금","토","일")</f>
        <v>월</v>
      </c>
      <c r="U93" s="17" t="s">
        <v>78</v>
      </c>
      <c r="V93" s="17" t="s">
        <v>78</v>
      </c>
      <c r="W93" s="23"/>
      <c r="X93" s="23"/>
      <c r="Y93" s="21"/>
    </row>
    <row r="94" customFormat="false" ht="25.35" hidden="false" customHeight="false" outlineLevel="0" collapsed="false">
      <c r="A94" s="16" t="n">
        <v>93</v>
      </c>
      <c r="B94" s="15" t="s">
        <v>400</v>
      </c>
      <c r="C94" s="16" t="s">
        <v>70</v>
      </c>
      <c r="D94" s="16" t="n">
        <v>93</v>
      </c>
      <c r="E94" s="16" t="str">
        <f aca="false">C94&amp;"말씀 #"&amp;TEXT(D94,"000")</f>
        <v>구약말씀 #093</v>
      </c>
      <c r="F94" s="17" t="s">
        <v>401</v>
      </c>
      <c r="G94" s="18" t="s">
        <v>96</v>
      </c>
      <c r="H94" s="19" t="s">
        <v>402</v>
      </c>
      <c r="I94" s="17" t="s">
        <v>403</v>
      </c>
      <c r="J94" s="17" t="s">
        <v>148</v>
      </c>
      <c r="K94" s="20"/>
      <c r="L94" s="17" t="s">
        <v>76</v>
      </c>
      <c r="M94" s="17" t="n">
        <f aca="false">LEN(K94)</f>
        <v>0</v>
      </c>
      <c r="N94" s="17" t="str">
        <f aca="false">IF(M94=0,"-",ROUND(3+M94/안내!$C$12,0))</f>
        <v>-</v>
      </c>
      <c r="O94" s="21" t="str">
        <f aca="false">IF(K94="","(본문 입력 후 자동) | 왕상 3:9",IF(LEN(K94)&gt;28,LEFT(K94,28)&amp;"…",K94)&amp;" | 왕상 3:9")</f>
        <v>(본문 입력 후 자동) | 왕상 3:9</v>
      </c>
      <c r="P94" s="21" t="str">
        <f aca="false">"#"&amp;SUBSTITUTE(안내!$C$5," ","")&amp;" #성경구절 #말씀 #열왕기상 #지혜"</f>
        <v>#오늘의말씀 #성경구절 #말씀 #열왕기상 #지혜</v>
      </c>
      <c r="Q94" s="21" t="s">
        <v>77</v>
      </c>
      <c r="R94" s="22" t="n">
        <f aca="false">안내!$C$6+INT((D94-1)/안내!$C$7)</f>
        <v>46434</v>
      </c>
      <c r="S94" s="17" t="str">
        <f aca="false">IF(MOD(D94-1,안내!$C$7)=0,안내!$C$8,안내!$C$10)</f>
        <v>06:30</v>
      </c>
      <c r="T94" s="17" t="str">
        <f aca="false">CHOOSE(WEEKDAY(R94,2),"월","화","수","목","금","토","일")</f>
        <v>화</v>
      </c>
      <c r="U94" s="17" t="s">
        <v>78</v>
      </c>
      <c r="V94" s="17" t="s">
        <v>78</v>
      </c>
      <c r="W94" s="23"/>
      <c r="X94" s="23"/>
      <c r="Y94" s="21"/>
    </row>
    <row r="95" customFormat="false" ht="26.85" hidden="false" customHeight="false" outlineLevel="0" collapsed="false">
      <c r="A95" s="16" t="n">
        <v>94</v>
      </c>
      <c r="B95" s="15" t="s">
        <v>404</v>
      </c>
      <c r="C95" s="16" t="s">
        <v>70</v>
      </c>
      <c r="D95" s="16" t="n">
        <v>94</v>
      </c>
      <c r="E95" s="16" t="str">
        <f aca="false">C95&amp;"말씀 #"&amp;TEXT(D95,"000")</f>
        <v>구약말씀 #094</v>
      </c>
      <c r="F95" s="17" t="s">
        <v>401</v>
      </c>
      <c r="G95" s="18" t="s">
        <v>405</v>
      </c>
      <c r="H95" s="19" t="s">
        <v>406</v>
      </c>
      <c r="I95" s="17" t="s">
        <v>156</v>
      </c>
      <c r="J95" s="17" t="s">
        <v>75</v>
      </c>
      <c r="K95" s="20"/>
      <c r="L95" s="17" t="s">
        <v>76</v>
      </c>
      <c r="M95" s="17" t="n">
        <f aca="false">LEN(K95)</f>
        <v>0</v>
      </c>
      <c r="N95" s="17" t="str">
        <f aca="false">IF(M95=0,"-",ROUND(3+M95/안내!$C$12,0))</f>
        <v>-</v>
      </c>
      <c r="O95" s="21" t="str">
        <f aca="false">IF(K95="","(본문 입력 후 자동) | 왕상 8:27",IF(LEN(K95)&gt;28,LEFT(K95,28)&amp;"…",K95)&amp;" | 왕상 8:27")</f>
        <v>(본문 입력 후 자동) | 왕상 8:27</v>
      </c>
      <c r="P95" s="21" t="str">
        <f aca="false">"#"&amp;SUBSTITUTE(안내!$C$5," ","")&amp;" #성경구절 #말씀 #열왕기상 #임재"</f>
        <v>#오늘의말씀 #성경구절 #말씀 #열왕기상 #임재</v>
      </c>
      <c r="Q95" s="21" t="s">
        <v>77</v>
      </c>
      <c r="R95" s="22" t="n">
        <f aca="false">안내!$C$6+INT((D95-1)/안내!$C$7)</f>
        <v>46434</v>
      </c>
      <c r="S95" s="17" t="str">
        <f aca="false">IF(MOD(D95-1,안내!$C$7)=0,안내!$C$8,안내!$C$10)</f>
        <v>18:30</v>
      </c>
      <c r="T95" s="17" t="str">
        <f aca="false">CHOOSE(WEEKDAY(R95,2),"월","화","수","목","금","토","일")</f>
        <v>화</v>
      </c>
      <c r="U95" s="17" t="s">
        <v>78</v>
      </c>
      <c r="V95" s="17" t="s">
        <v>78</v>
      </c>
      <c r="W95" s="23"/>
      <c r="X95" s="23"/>
      <c r="Y95" s="21"/>
    </row>
    <row r="96" customFormat="false" ht="26.85" hidden="false" customHeight="false" outlineLevel="0" collapsed="false">
      <c r="A96" s="16" t="n">
        <v>95</v>
      </c>
      <c r="B96" s="15" t="s">
        <v>407</v>
      </c>
      <c r="C96" s="16" t="s">
        <v>70</v>
      </c>
      <c r="D96" s="16" t="n">
        <v>95</v>
      </c>
      <c r="E96" s="16" t="str">
        <f aca="false">C96&amp;"말씀 #"&amp;TEXT(D96,"000")</f>
        <v>구약말씀 #095</v>
      </c>
      <c r="F96" s="17" t="s">
        <v>401</v>
      </c>
      <c r="G96" s="18" t="s">
        <v>408</v>
      </c>
      <c r="H96" s="19" t="s">
        <v>409</v>
      </c>
      <c r="I96" s="17" t="s">
        <v>333</v>
      </c>
      <c r="J96" s="17" t="s">
        <v>122</v>
      </c>
      <c r="K96" s="20"/>
      <c r="L96" s="17" t="s">
        <v>76</v>
      </c>
      <c r="M96" s="17" t="n">
        <f aca="false">LEN(K96)</f>
        <v>0</v>
      </c>
      <c r="N96" s="17" t="str">
        <f aca="false">IF(M96=0,"-",ROUND(3+M96/안내!$C$12,0))</f>
        <v>-</v>
      </c>
      <c r="O96" s="21" t="str">
        <f aca="false">IF(K96="","(본문 입력 후 자동) | 왕상 8:61",IF(LEN(K96)&gt;28,LEFT(K96,28)&amp;"…",K96)&amp;" | 왕상 8:61")</f>
        <v>(본문 입력 후 자동) | 왕상 8:61</v>
      </c>
      <c r="P96" s="21" t="str">
        <f aca="false">"#"&amp;SUBSTITUTE(안내!$C$5," ","")&amp;" #성경구절 #말씀 #열왕기상 #헌신"</f>
        <v>#오늘의말씀 #성경구절 #말씀 #열왕기상 #헌신</v>
      </c>
      <c r="Q96" s="21" t="s">
        <v>77</v>
      </c>
      <c r="R96" s="22" t="n">
        <f aca="false">안내!$C$6+INT((D96-1)/안내!$C$7)</f>
        <v>46435</v>
      </c>
      <c r="S96" s="17" t="str">
        <f aca="false">IF(MOD(D96-1,안내!$C$7)=0,안내!$C$8,안내!$C$10)</f>
        <v>06:30</v>
      </c>
      <c r="T96" s="17" t="str">
        <f aca="false">CHOOSE(WEEKDAY(R96,2),"월","화","수","목","금","토","일")</f>
        <v>수</v>
      </c>
      <c r="U96" s="17" t="s">
        <v>78</v>
      </c>
      <c r="V96" s="17" t="s">
        <v>78</v>
      </c>
      <c r="W96" s="23"/>
      <c r="X96" s="23"/>
      <c r="Y96" s="21"/>
    </row>
    <row r="97" customFormat="false" ht="26.85" hidden="false" customHeight="false" outlineLevel="0" collapsed="false">
      <c r="A97" s="16" t="n">
        <v>96</v>
      </c>
      <c r="B97" s="15" t="s">
        <v>410</v>
      </c>
      <c r="C97" s="16" t="s">
        <v>70</v>
      </c>
      <c r="D97" s="16" t="n">
        <v>96</v>
      </c>
      <c r="E97" s="16" t="str">
        <f aca="false">C97&amp;"말씀 #"&amp;TEXT(D97,"000")</f>
        <v>구약말씀 #096</v>
      </c>
      <c r="F97" s="17" t="s">
        <v>401</v>
      </c>
      <c r="G97" s="18" t="s">
        <v>411</v>
      </c>
      <c r="H97" s="19" t="s">
        <v>412</v>
      </c>
      <c r="I97" s="17" t="s">
        <v>413</v>
      </c>
      <c r="J97" s="17" t="s">
        <v>122</v>
      </c>
      <c r="K97" s="20"/>
      <c r="L97" s="17" t="s">
        <v>76</v>
      </c>
      <c r="M97" s="17" t="n">
        <f aca="false">LEN(K97)</f>
        <v>0</v>
      </c>
      <c r="N97" s="17" t="str">
        <f aca="false">IF(M97=0,"-",ROUND(3+M97/안내!$C$12,0))</f>
        <v>-</v>
      </c>
      <c r="O97" s="21" t="str">
        <f aca="false">IF(K97="","(본문 입력 후 자동) | 왕상 18:21",IF(LEN(K97)&gt;28,LEFT(K97,28)&amp;"…",K97)&amp;" | 왕상 18:21")</f>
        <v>(본문 입력 후 자동) | 왕상 18:21</v>
      </c>
      <c r="P97" s="21" t="str">
        <f aca="false">"#"&amp;SUBSTITUTE(안내!$C$5," ","")&amp;" #성경구절 #말씀 #열왕기상 #결단"</f>
        <v>#오늘의말씀 #성경구절 #말씀 #열왕기상 #결단</v>
      </c>
      <c r="Q97" s="21" t="s">
        <v>77</v>
      </c>
      <c r="R97" s="22" t="n">
        <f aca="false">안내!$C$6+INT((D97-1)/안내!$C$7)</f>
        <v>46435</v>
      </c>
      <c r="S97" s="17" t="str">
        <f aca="false">IF(MOD(D97-1,안내!$C$7)=0,안내!$C$8,안내!$C$10)</f>
        <v>18:30</v>
      </c>
      <c r="T97" s="17" t="str">
        <f aca="false">CHOOSE(WEEKDAY(R97,2),"월","화","수","목","금","토","일")</f>
        <v>수</v>
      </c>
      <c r="U97" s="17" t="s">
        <v>78</v>
      </c>
      <c r="V97" s="17" t="s">
        <v>78</v>
      </c>
      <c r="W97" s="23"/>
      <c r="X97" s="23"/>
      <c r="Y97" s="21"/>
    </row>
    <row r="98" customFormat="false" ht="26.85" hidden="false" customHeight="false" outlineLevel="0" collapsed="false">
      <c r="A98" s="16" t="n">
        <v>97</v>
      </c>
      <c r="B98" s="15" t="s">
        <v>414</v>
      </c>
      <c r="C98" s="16" t="s">
        <v>70</v>
      </c>
      <c r="D98" s="16" t="n">
        <v>97</v>
      </c>
      <c r="E98" s="16" t="str">
        <f aca="false">C98&amp;"말씀 #"&amp;TEXT(D98,"000")</f>
        <v>구약말씀 #097</v>
      </c>
      <c r="F98" s="17" t="s">
        <v>401</v>
      </c>
      <c r="G98" s="18" t="s">
        <v>415</v>
      </c>
      <c r="H98" s="19" t="s">
        <v>416</v>
      </c>
      <c r="I98" s="17" t="s">
        <v>176</v>
      </c>
      <c r="J98" s="17" t="s">
        <v>75</v>
      </c>
      <c r="K98" s="20"/>
      <c r="L98" s="17" t="s">
        <v>76</v>
      </c>
      <c r="M98" s="17" t="n">
        <f aca="false">LEN(K98)</f>
        <v>0</v>
      </c>
      <c r="N98" s="17" t="str">
        <f aca="false">IF(M98=0,"-",ROUND(3+M98/안내!$C$12,0))</f>
        <v>-</v>
      </c>
      <c r="O98" s="21" t="str">
        <f aca="false">IF(K98="","(본문 입력 후 자동) | 왕상 18:39",IF(LEN(K98)&gt;28,LEFT(K98,28)&amp;"…",K98)&amp;" | 왕상 18:39")</f>
        <v>(본문 입력 후 자동) | 왕상 18:39</v>
      </c>
      <c r="P98" s="21" t="str">
        <f aca="false">"#"&amp;SUBSTITUTE(안내!$C$5," ","")&amp;" #성경구절 #말씀 #열왕기상 #하나님"</f>
        <v>#오늘의말씀 #성경구절 #말씀 #열왕기상 #하나님</v>
      </c>
      <c r="Q98" s="21" t="s">
        <v>77</v>
      </c>
      <c r="R98" s="22" t="n">
        <f aca="false">안내!$C$6+INT((D98-1)/안내!$C$7)</f>
        <v>46436</v>
      </c>
      <c r="S98" s="17" t="str">
        <f aca="false">IF(MOD(D98-1,안내!$C$7)=0,안내!$C$8,안내!$C$10)</f>
        <v>06:30</v>
      </c>
      <c r="T98" s="17" t="str">
        <f aca="false">CHOOSE(WEEKDAY(R98,2),"월","화","수","목","금","토","일")</f>
        <v>목</v>
      </c>
      <c r="U98" s="17" t="s">
        <v>78</v>
      </c>
      <c r="V98" s="17" t="s">
        <v>78</v>
      </c>
      <c r="W98" s="23"/>
      <c r="X98" s="23"/>
      <c r="Y98" s="21"/>
    </row>
    <row r="99" customFormat="false" ht="26.85" hidden="false" customHeight="false" outlineLevel="0" collapsed="false">
      <c r="A99" s="16" t="n">
        <v>98</v>
      </c>
      <c r="B99" s="15" t="s">
        <v>417</v>
      </c>
      <c r="C99" s="16" t="s">
        <v>70</v>
      </c>
      <c r="D99" s="16" t="n">
        <v>98</v>
      </c>
      <c r="E99" s="16" t="str">
        <f aca="false">C99&amp;"말씀 #"&amp;TEXT(D99,"000")</f>
        <v>구약말씀 #098</v>
      </c>
      <c r="F99" s="17" t="s">
        <v>401</v>
      </c>
      <c r="G99" s="18" t="s">
        <v>418</v>
      </c>
      <c r="H99" s="19" t="s">
        <v>419</v>
      </c>
      <c r="I99" s="17" t="s">
        <v>156</v>
      </c>
      <c r="J99" s="17" t="s">
        <v>75</v>
      </c>
      <c r="K99" s="20"/>
      <c r="L99" s="17" t="s">
        <v>76</v>
      </c>
      <c r="M99" s="17" t="n">
        <f aca="false">LEN(K99)</f>
        <v>0</v>
      </c>
      <c r="N99" s="17" t="str">
        <f aca="false">IF(M99=0,"-",ROUND(3+M99/안내!$C$12,0))</f>
        <v>-</v>
      </c>
      <c r="O99" s="21" t="str">
        <f aca="false">IF(K99="","(본문 입력 후 자동) | 왕상 19:12",IF(LEN(K99)&gt;28,LEFT(K99,28)&amp;"…",K99)&amp;" | 왕상 19:12")</f>
        <v>(본문 입력 후 자동) | 왕상 19:12</v>
      </c>
      <c r="P99" s="21" t="str">
        <f aca="false">"#"&amp;SUBSTITUTE(안내!$C$5," ","")&amp;" #성경구절 #말씀 #열왕기상 #임재"</f>
        <v>#오늘의말씀 #성경구절 #말씀 #열왕기상 #임재</v>
      </c>
      <c r="Q99" s="21" t="s">
        <v>77</v>
      </c>
      <c r="R99" s="22" t="n">
        <f aca="false">안내!$C$6+INT((D99-1)/안내!$C$7)</f>
        <v>46436</v>
      </c>
      <c r="S99" s="17" t="str">
        <f aca="false">IF(MOD(D99-1,안내!$C$7)=0,안내!$C$8,안내!$C$10)</f>
        <v>18:30</v>
      </c>
      <c r="T99" s="17" t="str">
        <f aca="false">CHOOSE(WEEKDAY(R99,2),"월","화","수","목","금","토","일")</f>
        <v>목</v>
      </c>
      <c r="U99" s="17" t="s">
        <v>78</v>
      </c>
      <c r="V99" s="17" t="s">
        <v>78</v>
      </c>
      <c r="W99" s="23"/>
      <c r="X99" s="23"/>
      <c r="Y99" s="21"/>
    </row>
    <row r="100" customFormat="false" ht="26.85" hidden="false" customHeight="false" outlineLevel="0" collapsed="false">
      <c r="A100" s="16" t="n">
        <v>99</v>
      </c>
      <c r="B100" s="15" t="s">
        <v>420</v>
      </c>
      <c r="C100" s="16" t="s">
        <v>70</v>
      </c>
      <c r="D100" s="16" t="n">
        <v>99</v>
      </c>
      <c r="E100" s="16" t="str">
        <f aca="false">C100&amp;"말씀 #"&amp;TEXT(D100,"000")</f>
        <v>구약말씀 #099</v>
      </c>
      <c r="F100" s="17" t="s">
        <v>421</v>
      </c>
      <c r="G100" s="18" t="s">
        <v>422</v>
      </c>
      <c r="H100" s="19" t="s">
        <v>423</v>
      </c>
      <c r="I100" s="17" t="s">
        <v>353</v>
      </c>
      <c r="J100" s="17" t="s">
        <v>113</v>
      </c>
      <c r="K100" s="20"/>
      <c r="L100" s="17" t="s">
        <v>76</v>
      </c>
      <c r="M100" s="17" t="n">
        <f aca="false">LEN(K100)</f>
        <v>0</v>
      </c>
      <c r="N100" s="17" t="str">
        <f aca="false">IF(M100=0,"-",ROUND(3+M100/안내!$C$12,0))</f>
        <v>-</v>
      </c>
      <c r="O100" s="21" t="str">
        <f aca="false">IF(K100="","(본문 입력 후 자동) | 왕하 6:16",IF(LEN(K100)&gt;28,LEFT(K100,28)&amp;"…",K100)&amp;" | 왕하 6:16")</f>
        <v>(본문 입력 후 자동) | 왕하 6:16</v>
      </c>
      <c r="P100" s="21" t="str">
        <f aca="false">"#"&amp;SUBSTITUTE(안내!$C$5," ","")&amp;" #성경구절 #말씀 #열왕기하 #보호"</f>
        <v>#오늘의말씀 #성경구절 #말씀 #열왕기하 #보호</v>
      </c>
      <c r="Q100" s="21" t="s">
        <v>77</v>
      </c>
      <c r="R100" s="22" t="n">
        <f aca="false">안내!$C$6+INT((D100-1)/안내!$C$7)</f>
        <v>46437</v>
      </c>
      <c r="S100" s="17" t="str">
        <f aca="false">IF(MOD(D100-1,안내!$C$7)=0,안내!$C$8,안내!$C$10)</f>
        <v>06:30</v>
      </c>
      <c r="T100" s="17" t="str">
        <f aca="false">CHOOSE(WEEKDAY(R100,2),"월","화","수","목","금","토","일")</f>
        <v>금</v>
      </c>
      <c r="U100" s="17" t="s">
        <v>78</v>
      </c>
      <c r="V100" s="17" t="s">
        <v>78</v>
      </c>
      <c r="W100" s="23"/>
      <c r="X100" s="23"/>
      <c r="Y100" s="21"/>
    </row>
    <row r="101" customFormat="false" ht="26.85" hidden="false" customHeight="false" outlineLevel="0" collapsed="false">
      <c r="A101" s="16" t="n">
        <v>100</v>
      </c>
      <c r="B101" s="15" t="s">
        <v>424</v>
      </c>
      <c r="C101" s="16" t="s">
        <v>70</v>
      </c>
      <c r="D101" s="16" t="n">
        <v>100</v>
      </c>
      <c r="E101" s="16" t="str">
        <f aca="false">C101&amp;"말씀 #"&amp;TEXT(D101,"000")</f>
        <v>구약말씀 #100</v>
      </c>
      <c r="F101" s="17" t="s">
        <v>421</v>
      </c>
      <c r="G101" s="18" t="s">
        <v>425</v>
      </c>
      <c r="H101" s="19" t="s">
        <v>426</v>
      </c>
      <c r="I101" s="17" t="s">
        <v>133</v>
      </c>
      <c r="J101" s="17" t="s">
        <v>113</v>
      </c>
      <c r="K101" s="20"/>
      <c r="L101" s="17" t="s">
        <v>76</v>
      </c>
      <c r="M101" s="17" t="n">
        <f aca="false">LEN(K101)</f>
        <v>0</v>
      </c>
      <c r="N101" s="17" t="str">
        <f aca="false">IF(M101=0,"-",ROUND(3+M101/안내!$C$12,0))</f>
        <v>-</v>
      </c>
      <c r="O101" s="21" t="str">
        <f aca="false">IF(K101="","(본문 입력 후 자동) | 왕하 6:17",IF(LEN(K101)&gt;28,LEFT(K101,28)&amp;"…",K101)&amp;" | 왕하 6:17")</f>
        <v>(본문 입력 후 자동) | 왕하 6:17</v>
      </c>
      <c r="P101" s="21" t="str">
        <f aca="false">"#"&amp;SUBSTITUTE(안내!$C$5," ","")&amp;" #성경구절 #말씀 #열왕기하 #믿음"</f>
        <v>#오늘의말씀 #성경구절 #말씀 #열왕기하 #믿음</v>
      </c>
      <c r="Q101" s="21" t="s">
        <v>77</v>
      </c>
      <c r="R101" s="22" t="n">
        <f aca="false">안내!$C$6+INT((D101-1)/안내!$C$7)</f>
        <v>46437</v>
      </c>
      <c r="S101" s="17" t="str">
        <f aca="false">IF(MOD(D101-1,안내!$C$7)=0,안내!$C$8,안내!$C$10)</f>
        <v>18:30</v>
      </c>
      <c r="T101" s="17" t="str">
        <f aca="false">CHOOSE(WEEKDAY(R101,2),"월","화","수","목","금","토","일")</f>
        <v>금</v>
      </c>
      <c r="U101" s="17" t="s">
        <v>78</v>
      </c>
      <c r="V101" s="17" t="s">
        <v>78</v>
      </c>
      <c r="W101" s="23"/>
      <c r="X101" s="23"/>
      <c r="Y101" s="21"/>
    </row>
    <row r="102" customFormat="false" ht="26.85" hidden="false" customHeight="false" outlineLevel="0" collapsed="false">
      <c r="A102" s="16" t="n">
        <v>101</v>
      </c>
      <c r="B102" s="15" t="s">
        <v>427</v>
      </c>
      <c r="C102" s="16" t="s">
        <v>70</v>
      </c>
      <c r="D102" s="16" t="n">
        <v>101</v>
      </c>
      <c r="E102" s="16" t="str">
        <f aca="false">C102&amp;"말씀 #"&amp;TEXT(D102,"000")</f>
        <v>구약말씀 #101</v>
      </c>
      <c r="F102" s="17" t="s">
        <v>421</v>
      </c>
      <c r="G102" s="18" t="s">
        <v>428</v>
      </c>
      <c r="H102" s="19" t="s">
        <v>429</v>
      </c>
      <c r="I102" s="17" t="s">
        <v>160</v>
      </c>
      <c r="J102" s="17" t="s">
        <v>104</v>
      </c>
      <c r="K102" s="20"/>
      <c r="L102" s="17" t="s">
        <v>76</v>
      </c>
      <c r="M102" s="17" t="n">
        <f aca="false">LEN(K102)</f>
        <v>0</v>
      </c>
      <c r="N102" s="17" t="str">
        <f aca="false">IF(M102=0,"-",ROUND(3+M102/안내!$C$12,0))</f>
        <v>-</v>
      </c>
      <c r="O102" s="21" t="str">
        <f aca="false">IF(K102="","(본문 입력 후 자동) | 왕하 19:15",IF(LEN(K102)&gt;28,LEFT(K102,28)&amp;"…",K102)&amp;" | 왕하 19:15")</f>
        <v>(본문 입력 후 자동) | 왕하 19:15</v>
      </c>
      <c r="P102" s="21" t="str">
        <f aca="false">"#"&amp;SUBSTITUTE(안내!$C$5," ","")&amp;" #성경구절 #말씀 #열왕기하 #기도"</f>
        <v>#오늘의말씀 #성경구절 #말씀 #열왕기하 #기도</v>
      </c>
      <c r="Q102" s="21" t="s">
        <v>77</v>
      </c>
      <c r="R102" s="22" t="n">
        <f aca="false">안내!$C$6+INT((D102-1)/안내!$C$7)</f>
        <v>46438</v>
      </c>
      <c r="S102" s="17" t="str">
        <f aca="false">IF(MOD(D102-1,안내!$C$7)=0,안내!$C$8,안내!$C$10)</f>
        <v>06:30</v>
      </c>
      <c r="T102" s="17" t="str">
        <f aca="false">CHOOSE(WEEKDAY(R102,2),"월","화","수","목","금","토","일")</f>
        <v>토</v>
      </c>
      <c r="U102" s="17" t="s">
        <v>78</v>
      </c>
      <c r="V102" s="17" t="s">
        <v>78</v>
      </c>
      <c r="W102" s="23"/>
      <c r="X102" s="23"/>
      <c r="Y102" s="21"/>
    </row>
    <row r="103" customFormat="false" ht="26.85" hidden="false" customHeight="false" outlineLevel="0" collapsed="false">
      <c r="A103" s="16" t="n">
        <v>102</v>
      </c>
      <c r="B103" s="15" t="s">
        <v>430</v>
      </c>
      <c r="C103" s="16" t="s">
        <v>70</v>
      </c>
      <c r="D103" s="16" t="n">
        <v>102</v>
      </c>
      <c r="E103" s="16" t="str">
        <f aca="false">C103&amp;"말씀 #"&amp;TEXT(D103,"000")</f>
        <v>구약말씀 #102</v>
      </c>
      <c r="F103" s="17" t="s">
        <v>421</v>
      </c>
      <c r="G103" s="18" t="s">
        <v>431</v>
      </c>
      <c r="H103" s="19" t="s">
        <v>432</v>
      </c>
      <c r="I103" s="17" t="s">
        <v>200</v>
      </c>
      <c r="J103" s="17" t="s">
        <v>99</v>
      </c>
      <c r="K103" s="20"/>
      <c r="L103" s="17" t="s">
        <v>76</v>
      </c>
      <c r="M103" s="17" t="n">
        <f aca="false">LEN(K103)</f>
        <v>0</v>
      </c>
      <c r="N103" s="17" t="str">
        <f aca="false">IF(M103=0,"-",ROUND(3+M103/안내!$C$12,0))</f>
        <v>-</v>
      </c>
      <c r="O103" s="21" t="str">
        <f aca="false">IF(K103="","(본문 입력 후 자동) | 왕하 20:5",IF(LEN(K103)&gt;28,LEFT(K103,28)&amp;"…",K103)&amp;" | 왕하 20:5")</f>
        <v>(본문 입력 후 자동) | 왕하 20:5</v>
      </c>
      <c r="P103" s="21" t="str">
        <f aca="false">"#"&amp;SUBSTITUTE(안내!$C$5," ","")&amp;" #성경구절 #말씀 #열왕기하 #치료"</f>
        <v>#오늘의말씀 #성경구절 #말씀 #열왕기하 #치료</v>
      </c>
      <c r="Q103" s="21" t="s">
        <v>77</v>
      </c>
      <c r="R103" s="22" t="n">
        <f aca="false">안내!$C$6+INT((D103-1)/안내!$C$7)</f>
        <v>46438</v>
      </c>
      <c r="S103" s="17" t="str">
        <f aca="false">IF(MOD(D103-1,안내!$C$7)=0,안내!$C$8,안내!$C$10)</f>
        <v>18:30</v>
      </c>
      <c r="T103" s="17" t="str">
        <f aca="false">CHOOSE(WEEKDAY(R103,2),"월","화","수","목","금","토","일")</f>
        <v>토</v>
      </c>
      <c r="U103" s="17" t="s">
        <v>78</v>
      </c>
      <c r="V103" s="17" t="s">
        <v>78</v>
      </c>
      <c r="W103" s="23"/>
      <c r="X103" s="23"/>
      <c r="Y103" s="21"/>
    </row>
    <row r="104" customFormat="false" ht="39.55" hidden="false" customHeight="false" outlineLevel="0" collapsed="false">
      <c r="A104" s="16" t="n">
        <v>103</v>
      </c>
      <c r="B104" s="15" t="s">
        <v>433</v>
      </c>
      <c r="C104" s="16" t="s">
        <v>70</v>
      </c>
      <c r="D104" s="16" t="n">
        <v>103</v>
      </c>
      <c r="E104" s="16" t="str">
        <f aca="false">C104&amp;"말씀 #"&amp;TEXT(D104,"000")</f>
        <v>구약말씀 #103</v>
      </c>
      <c r="F104" s="17" t="s">
        <v>434</v>
      </c>
      <c r="G104" s="18" t="s">
        <v>435</v>
      </c>
      <c r="H104" s="19" t="s">
        <v>436</v>
      </c>
      <c r="I104" s="17" t="s">
        <v>160</v>
      </c>
      <c r="J104" s="17" t="s">
        <v>104</v>
      </c>
      <c r="K104" s="20"/>
      <c r="L104" s="17" t="s">
        <v>76</v>
      </c>
      <c r="M104" s="17" t="n">
        <f aca="false">LEN(K104)</f>
        <v>0</v>
      </c>
      <c r="N104" s="17" t="str">
        <f aca="false">IF(M104=0,"-",ROUND(3+M104/안내!$C$12,0))</f>
        <v>-</v>
      </c>
      <c r="O104" s="21" t="str">
        <f aca="false">IF(K104="","(본문 입력 후 자동) | 대상 4:10",IF(LEN(K104)&gt;28,LEFT(K104,28)&amp;"…",K104)&amp;" | 대상 4:10")</f>
        <v>(본문 입력 후 자동) | 대상 4:10</v>
      </c>
      <c r="P104" s="21" t="str">
        <f aca="false">"#"&amp;SUBSTITUTE(안내!$C$5," ","")&amp;" #성경구절 #말씀 #역대상 #기도"</f>
        <v>#오늘의말씀 #성경구절 #말씀 #역대상 #기도</v>
      </c>
      <c r="Q104" s="24" t="s">
        <v>437</v>
      </c>
      <c r="R104" s="22" t="n">
        <f aca="false">안내!$C$6+INT((D104-1)/안내!$C$7)</f>
        <v>46439</v>
      </c>
      <c r="S104" s="17" t="str">
        <f aca="false">IF(MOD(D104-1,안내!$C$7)=0,안내!$C$8,안내!$C$10)</f>
        <v>06:30</v>
      </c>
      <c r="T104" s="17" t="str">
        <f aca="false">CHOOSE(WEEKDAY(R104,2),"월","화","수","목","금","토","일")</f>
        <v>일</v>
      </c>
      <c r="U104" s="17" t="s">
        <v>78</v>
      </c>
      <c r="V104" s="17" t="s">
        <v>78</v>
      </c>
      <c r="W104" s="23"/>
      <c r="X104" s="23"/>
      <c r="Y104" s="21"/>
    </row>
    <row r="105" customFormat="false" ht="26.85" hidden="false" customHeight="false" outlineLevel="0" collapsed="false">
      <c r="A105" s="16" t="n">
        <v>104</v>
      </c>
      <c r="B105" s="15" t="s">
        <v>438</v>
      </c>
      <c r="C105" s="16" t="s">
        <v>70</v>
      </c>
      <c r="D105" s="16" t="n">
        <v>104</v>
      </c>
      <c r="E105" s="16" t="str">
        <f aca="false">C105&amp;"말씀 #"&amp;TEXT(D105,"000")</f>
        <v>구약말씀 #104</v>
      </c>
      <c r="F105" s="17" t="s">
        <v>434</v>
      </c>
      <c r="G105" s="18" t="s">
        <v>439</v>
      </c>
      <c r="H105" s="19" t="s">
        <v>440</v>
      </c>
      <c r="I105" s="17" t="s">
        <v>160</v>
      </c>
      <c r="J105" s="17" t="s">
        <v>104</v>
      </c>
      <c r="K105" s="20"/>
      <c r="L105" s="17" t="s">
        <v>76</v>
      </c>
      <c r="M105" s="17" t="n">
        <f aca="false">LEN(K105)</f>
        <v>0</v>
      </c>
      <c r="N105" s="17" t="str">
        <f aca="false">IF(M105=0,"-",ROUND(3+M105/안내!$C$12,0))</f>
        <v>-</v>
      </c>
      <c r="O105" s="21" t="str">
        <f aca="false">IF(K105="","(본문 입력 후 자동) | 대상 16:11",IF(LEN(K105)&gt;28,LEFT(K105,28)&amp;"…",K105)&amp;" | 대상 16:11")</f>
        <v>(본문 입력 후 자동) | 대상 16:11</v>
      </c>
      <c r="P105" s="21" t="str">
        <f aca="false">"#"&amp;SUBSTITUTE(안내!$C$5," ","")&amp;" #성경구절 #말씀 #역대상 #기도"</f>
        <v>#오늘의말씀 #성경구절 #말씀 #역대상 #기도</v>
      </c>
      <c r="Q105" s="21" t="s">
        <v>77</v>
      </c>
      <c r="R105" s="22" t="n">
        <f aca="false">안내!$C$6+INT((D105-1)/안내!$C$7)</f>
        <v>46439</v>
      </c>
      <c r="S105" s="17" t="str">
        <f aca="false">IF(MOD(D105-1,안내!$C$7)=0,안내!$C$8,안내!$C$10)</f>
        <v>18:30</v>
      </c>
      <c r="T105" s="17" t="str">
        <f aca="false">CHOOSE(WEEKDAY(R105,2),"월","화","수","목","금","토","일")</f>
        <v>일</v>
      </c>
      <c r="U105" s="17" t="s">
        <v>78</v>
      </c>
      <c r="V105" s="17" t="s">
        <v>78</v>
      </c>
      <c r="W105" s="23"/>
      <c r="X105" s="23"/>
      <c r="Y105" s="21"/>
    </row>
    <row r="106" customFormat="false" ht="26.85" hidden="false" customHeight="false" outlineLevel="0" collapsed="false">
      <c r="A106" s="16" t="n">
        <v>105</v>
      </c>
      <c r="B106" s="15" t="s">
        <v>441</v>
      </c>
      <c r="C106" s="16" t="s">
        <v>70</v>
      </c>
      <c r="D106" s="16" t="n">
        <v>105</v>
      </c>
      <c r="E106" s="16" t="str">
        <f aca="false">C106&amp;"말씀 #"&amp;TEXT(D106,"000")</f>
        <v>구약말씀 #105</v>
      </c>
      <c r="F106" s="17" t="s">
        <v>434</v>
      </c>
      <c r="G106" s="18" t="s">
        <v>442</v>
      </c>
      <c r="H106" s="19" t="s">
        <v>443</v>
      </c>
      <c r="I106" s="17" t="s">
        <v>369</v>
      </c>
      <c r="J106" s="17" t="s">
        <v>148</v>
      </c>
      <c r="K106" s="20"/>
      <c r="L106" s="17" t="s">
        <v>76</v>
      </c>
      <c r="M106" s="17" t="n">
        <f aca="false">LEN(K106)</f>
        <v>0</v>
      </c>
      <c r="N106" s="17" t="str">
        <f aca="false">IF(M106=0,"-",ROUND(3+M106/안내!$C$12,0))</f>
        <v>-</v>
      </c>
      <c r="O106" s="21" t="str">
        <f aca="false">IF(K106="","(본문 입력 후 자동) | 대상 16:34",IF(LEN(K106)&gt;28,LEFT(K106,28)&amp;"…",K106)&amp;" | 대상 16:34")</f>
        <v>(본문 입력 후 자동) | 대상 16:34</v>
      </c>
      <c r="P106" s="21" t="str">
        <f aca="false">"#"&amp;SUBSTITUTE(안내!$C$5," ","")&amp;" #성경구절 #말씀 #역대상 #감사"</f>
        <v>#오늘의말씀 #성경구절 #말씀 #역대상 #감사</v>
      </c>
      <c r="Q106" s="21" t="s">
        <v>77</v>
      </c>
      <c r="R106" s="22" t="n">
        <f aca="false">안내!$C$6+INT((D106-1)/안내!$C$7)</f>
        <v>46440</v>
      </c>
      <c r="S106" s="17" t="str">
        <f aca="false">IF(MOD(D106-1,안내!$C$7)=0,안내!$C$8,안내!$C$10)</f>
        <v>06:30</v>
      </c>
      <c r="T106" s="17" t="str">
        <f aca="false">CHOOSE(WEEKDAY(R106,2),"월","화","수","목","금","토","일")</f>
        <v>월</v>
      </c>
      <c r="U106" s="17" t="s">
        <v>78</v>
      </c>
      <c r="V106" s="17" t="s">
        <v>78</v>
      </c>
      <c r="W106" s="23"/>
      <c r="X106" s="23"/>
      <c r="Y106" s="21"/>
    </row>
    <row r="107" customFormat="false" ht="26.85" hidden="false" customHeight="false" outlineLevel="0" collapsed="false">
      <c r="A107" s="16" t="n">
        <v>106</v>
      </c>
      <c r="B107" s="15" t="s">
        <v>444</v>
      </c>
      <c r="C107" s="16" t="s">
        <v>70</v>
      </c>
      <c r="D107" s="16" t="n">
        <v>106</v>
      </c>
      <c r="E107" s="16" t="str">
        <f aca="false">C107&amp;"말씀 #"&amp;TEXT(D107,"000")</f>
        <v>구약말씀 #106</v>
      </c>
      <c r="F107" s="17" t="s">
        <v>434</v>
      </c>
      <c r="G107" s="18" t="s">
        <v>445</v>
      </c>
      <c r="H107" s="19" t="s">
        <v>446</v>
      </c>
      <c r="I107" s="17" t="s">
        <v>333</v>
      </c>
      <c r="J107" s="17" t="s">
        <v>122</v>
      </c>
      <c r="K107" s="20"/>
      <c r="L107" s="17" t="s">
        <v>76</v>
      </c>
      <c r="M107" s="17" t="n">
        <f aca="false">LEN(K107)</f>
        <v>0</v>
      </c>
      <c r="N107" s="17" t="str">
        <f aca="false">IF(M107=0,"-",ROUND(3+M107/안내!$C$12,0))</f>
        <v>-</v>
      </c>
      <c r="O107" s="21" t="str">
        <f aca="false">IF(K107="","(본문 입력 후 자동) | 대상 28:9",IF(LEN(K107)&gt;28,LEFT(K107,28)&amp;"…",K107)&amp;" | 대상 28:9")</f>
        <v>(본문 입력 후 자동) | 대상 28:9</v>
      </c>
      <c r="P107" s="21" t="str">
        <f aca="false">"#"&amp;SUBSTITUTE(안내!$C$5," ","")&amp;" #성경구절 #말씀 #역대상 #헌신"</f>
        <v>#오늘의말씀 #성경구절 #말씀 #역대상 #헌신</v>
      </c>
      <c r="Q107" s="21" t="s">
        <v>77</v>
      </c>
      <c r="R107" s="22" t="n">
        <f aca="false">안내!$C$6+INT((D107-1)/안내!$C$7)</f>
        <v>46440</v>
      </c>
      <c r="S107" s="17" t="str">
        <f aca="false">IF(MOD(D107-1,안내!$C$7)=0,안내!$C$8,안내!$C$10)</f>
        <v>18:30</v>
      </c>
      <c r="T107" s="17" t="str">
        <f aca="false">CHOOSE(WEEKDAY(R107,2),"월","화","수","목","금","토","일")</f>
        <v>월</v>
      </c>
      <c r="U107" s="17" t="s">
        <v>78</v>
      </c>
      <c r="V107" s="17" t="s">
        <v>78</v>
      </c>
      <c r="W107" s="23"/>
      <c r="X107" s="23"/>
      <c r="Y107" s="21"/>
    </row>
    <row r="108" customFormat="false" ht="26.85" hidden="false" customHeight="false" outlineLevel="0" collapsed="false">
      <c r="A108" s="16" t="n">
        <v>107</v>
      </c>
      <c r="B108" s="15" t="s">
        <v>447</v>
      </c>
      <c r="C108" s="16" t="s">
        <v>70</v>
      </c>
      <c r="D108" s="16" t="n">
        <v>107</v>
      </c>
      <c r="E108" s="16" t="str">
        <f aca="false">C108&amp;"말씀 #"&amp;TEXT(D108,"000")</f>
        <v>구약말씀 #107</v>
      </c>
      <c r="F108" s="17" t="s">
        <v>434</v>
      </c>
      <c r="G108" s="18" t="s">
        <v>448</v>
      </c>
      <c r="H108" s="19" t="s">
        <v>449</v>
      </c>
      <c r="I108" s="17" t="s">
        <v>196</v>
      </c>
      <c r="J108" s="17" t="s">
        <v>75</v>
      </c>
      <c r="K108" s="20"/>
      <c r="L108" s="17" t="s">
        <v>76</v>
      </c>
      <c r="M108" s="17" t="n">
        <f aca="false">LEN(K108)</f>
        <v>0</v>
      </c>
      <c r="N108" s="17" t="str">
        <f aca="false">IF(M108=0,"-",ROUND(3+M108/안내!$C$12,0))</f>
        <v>-</v>
      </c>
      <c r="O108" s="21" t="str">
        <f aca="false">IF(K108="","(본문 입력 후 자동) | 대상 29:11",IF(LEN(K108)&gt;28,LEFT(K108,28)&amp;"…",K108)&amp;" | 대상 29:11")</f>
        <v>(본문 입력 후 자동) | 대상 29:11</v>
      </c>
      <c r="P108" s="21" t="str">
        <f aca="false">"#"&amp;SUBSTITUTE(안내!$C$5," ","")&amp;" #성경구절 #말씀 #역대상 #찬양"</f>
        <v>#오늘의말씀 #성경구절 #말씀 #역대상 #찬양</v>
      </c>
      <c r="Q108" s="21" t="s">
        <v>77</v>
      </c>
      <c r="R108" s="22" t="n">
        <f aca="false">안내!$C$6+INT((D108-1)/안내!$C$7)</f>
        <v>46441</v>
      </c>
      <c r="S108" s="17" t="str">
        <f aca="false">IF(MOD(D108-1,안내!$C$7)=0,안내!$C$8,안내!$C$10)</f>
        <v>06:30</v>
      </c>
      <c r="T108" s="17" t="str">
        <f aca="false">CHOOSE(WEEKDAY(R108,2),"월","화","수","목","금","토","일")</f>
        <v>화</v>
      </c>
      <c r="U108" s="17" t="s">
        <v>78</v>
      </c>
      <c r="V108" s="17" t="s">
        <v>78</v>
      </c>
      <c r="W108" s="23"/>
      <c r="X108" s="23"/>
      <c r="Y108" s="21"/>
    </row>
    <row r="109" customFormat="false" ht="26.85" hidden="false" customHeight="false" outlineLevel="0" collapsed="false">
      <c r="A109" s="16" t="n">
        <v>108</v>
      </c>
      <c r="B109" s="15" t="s">
        <v>450</v>
      </c>
      <c r="C109" s="16" t="s">
        <v>70</v>
      </c>
      <c r="D109" s="16" t="n">
        <v>108</v>
      </c>
      <c r="E109" s="16" t="str">
        <f aca="false">C109&amp;"말씀 #"&amp;TEXT(D109,"000")</f>
        <v>구약말씀 #108</v>
      </c>
      <c r="F109" s="17" t="s">
        <v>451</v>
      </c>
      <c r="G109" s="18" t="s">
        <v>452</v>
      </c>
      <c r="H109" s="19" t="s">
        <v>453</v>
      </c>
      <c r="I109" s="17" t="s">
        <v>454</v>
      </c>
      <c r="J109" s="17" t="s">
        <v>104</v>
      </c>
      <c r="K109" s="20"/>
      <c r="L109" s="17" t="s">
        <v>76</v>
      </c>
      <c r="M109" s="17" t="n">
        <f aca="false">LEN(K109)</f>
        <v>0</v>
      </c>
      <c r="N109" s="17" t="str">
        <f aca="false">IF(M109=0,"-",ROUND(3+M109/안내!$C$12,0))</f>
        <v>-</v>
      </c>
      <c r="O109" s="21" t="str">
        <f aca="false">IF(K109="","(본문 입력 후 자동) | 대하 7:14",IF(LEN(K109)&gt;28,LEFT(K109,28)&amp;"…",K109)&amp;" | 대하 7:14")</f>
        <v>(본문 입력 후 자동) | 대하 7:14</v>
      </c>
      <c r="P109" s="21" t="str">
        <f aca="false">"#"&amp;SUBSTITUTE(안내!$C$5," ","")&amp;" #성경구절 #말씀 #역대하 #회개"</f>
        <v>#오늘의말씀 #성경구절 #말씀 #역대하 #회개</v>
      </c>
      <c r="Q109" s="21" t="s">
        <v>77</v>
      </c>
      <c r="R109" s="22" t="n">
        <f aca="false">안내!$C$6+INT((D109-1)/안내!$C$7)</f>
        <v>46441</v>
      </c>
      <c r="S109" s="17" t="str">
        <f aca="false">IF(MOD(D109-1,안내!$C$7)=0,안내!$C$8,안내!$C$10)</f>
        <v>18:30</v>
      </c>
      <c r="T109" s="17" t="str">
        <f aca="false">CHOOSE(WEEKDAY(R109,2),"월","화","수","목","금","토","일")</f>
        <v>화</v>
      </c>
      <c r="U109" s="17" t="s">
        <v>78</v>
      </c>
      <c r="V109" s="17" t="s">
        <v>78</v>
      </c>
      <c r="W109" s="23"/>
      <c r="X109" s="23"/>
      <c r="Y109" s="21"/>
    </row>
    <row r="110" customFormat="false" ht="26.85" hidden="false" customHeight="false" outlineLevel="0" collapsed="false">
      <c r="A110" s="16" t="n">
        <v>109</v>
      </c>
      <c r="B110" s="15" t="s">
        <v>455</v>
      </c>
      <c r="C110" s="16" t="s">
        <v>70</v>
      </c>
      <c r="D110" s="16" t="n">
        <v>109</v>
      </c>
      <c r="E110" s="16" t="str">
        <f aca="false">C110&amp;"말씀 #"&amp;TEXT(D110,"000")</f>
        <v>구약말씀 #109</v>
      </c>
      <c r="F110" s="17" t="s">
        <v>451</v>
      </c>
      <c r="G110" s="18" t="s">
        <v>194</v>
      </c>
      <c r="H110" s="19" t="s">
        <v>456</v>
      </c>
      <c r="I110" s="17" t="s">
        <v>152</v>
      </c>
      <c r="J110" s="17" t="s">
        <v>122</v>
      </c>
      <c r="K110" s="20"/>
      <c r="L110" s="17" t="s">
        <v>76</v>
      </c>
      <c r="M110" s="17" t="n">
        <f aca="false">LEN(K110)</f>
        <v>0</v>
      </c>
      <c r="N110" s="17" t="str">
        <f aca="false">IF(M110=0,"-",ROUND(3+M110/안내!$C$12,0))</f>
        <v>-</v>
      </c>
      <c r="O110" s="21" t="str">
        <f aca="false">IF(K110="","(본문 입력 후 자동) | 대하 15:2",IF(LEN(K110)&gt;28,LEFT(K110,28)&amp;"…",K110)&amp;" | 대하 15:2")</f>
        <v>(본문 입력 후 자동) | 대하 15:2</v>
      </c>
      <c r="P110" s="21" t="str">
        <f aca="false">"#"&amp;SUBSTITUTE(안내!$C$5," ","")&amp;" #성경구절 #말씀 #역대하 #동행"</f>
        <v>#오늘의말씀 #성경구절 #말씀 #역대하 #동행</v>
      </c>
      <c r="Q110" s="21" t="s">
        <v>77</v>
      </c>
      <c r="R110" s="22" t="n">
        <f aca="false">안내!$C$6+INT((D110-1)/안내!$C$7)</f>
        <v>46442</v>
      </c>
      <c r="S110" s="17" t="str">
        <f aca="false">IF(MOD(D110-1,안내!$C$7)=0,안내!$C$8,안내!$C$10)</f>
        <v>06:30</v>
      </c>
      <c r="T110" s="17" t="str">
        <f aca="false">CHOOSE(WEEKDAY(R110,2),"월","화","수","목","금","토","일")</f>
        <v>수</v>
      </c>
      <c r="U110" s="17" t="s">
        <v>78</v>
      </c>
      <c r="V110" s="17" t="s">
        <v>78</v>
      </c>
      <c r="W110" s="23"/>
      <c r="X110" s="23"/>
      <c r="Y110" s="21"/>
    </row>
    <row r="111" customFormat="false" ht="26.85" hidden="false" customHeight="false" outlineLevel="0" collapsed="false">
      <c r="A111" s="16" t="n">
        <v>110</v>
      </c>
      <c r="B111" s="15" t="s">
        <v>457</v>
      </c>
      <c r="C111" s="16" t="s">
        <v>70</v>
      </c>
      <c r="D111" s="16" t="n">
        <v>110</v>
      </c>
      <c r="E111" s="16" t="str">
        <f aca="false">C111&amp;"말씀 #"&amp;TEXT(D111,"000")</f>
        <v>구약말씀 #110</v>
      </c>
      <c r="F111" s="17" t="s">
        <v>451</v>
      </c>
      <c r="G111" s="18" t="s">
        <v>458</v>
      </c>
      <c r="H111" s="19" t="s">
        <v>459</v>
      </c>
      <c r="I111" s="17" t="s">
        <v>112</v>
      </c>
      <c r="J111" s="17" t="s">
        <v>113</v>
      </c>
      <c r="K111" s="20"/>
      <c r="L111" s="17" t="s">
        <v>76</v>
      </c>
      <c r="M111" s="17" t="n">
        <f aca="false">LEN(K111)</f>
        <v>0</v>
      </c>
      <c r="N111" s="17" t="str">
        <f aca="false">IF(M111=0,"-",ROUND(3+M111/안내!$C$12,0))</f>
        <v>-</v>
      </c>
      <c r="O111" s="21" t="str">
        <f aca="false">IF(K111="","(본문 입력 후 자동) | 대하 16:9",IF(LEN(K111)&gt;28,LEFT(K111,28)&amp;"…",K111)&amp;" | 대하 16:9")</f>
        <v>(본문 입력 후 자동) | 대하 16:9</v>
      </c>
      <c r="P111" s="21" t="str">
        <f aca="false">"#"&amp;SUBSTITUTE(안내!$C$5," ","")&amp;" #성경구절 #말씀 #역대하 #신실하심"</f>
        <v>#오늘의말씀 #성경구절 #말씀 #역대하 #신실하심</v>
      </c>
      <c r="Q111" s="21" t="s">
        <v>77</v>
      </c>
      <c r="R111" s="22" t="n">
        <f aca="false">안내!$C$6+INT((D111-1)/안내!$C$7)</f>
        <v>46442</v>
      </c>
      <c r="S111" s="17" t="str">
        <f aca="false">IF(MOD(D111-1,안내!$C$7)=0,안내!$C$8,안내!$C$10)</f>
        <v>18:30</v>
      </c>
      <c r="T111" s="17" t="str">
        <f aca="false">CHOOSE(WEEKDAY(R111,2),"월","화","수","목","금","토","일")</f>
        <v>수</v>
      </c>
      <c r="U111" s="17" t="s">
        <v>78</v>
      </c>
      <c r="V111" s="17" t="s">
        <v>78</v>
      </c>
      <c r="W111" s="23"/>
      <c r="X111" s="23"/>
      <c r="Y111" s="21"/>
    </row>
    <row r="112" customFormat="false" ht="26.85" hidden="false" customHeight="false" outlineLevel="0" collapsed="false">
      <c r="A112" s="16" t="n">
        <v>111</v>
      </c>
      <c r="B112" s="15" t="s">
        <v>460</v>
      </c>
      <c r="C112" s="16" t="s">
        <v>70</v>
      </c>
      <c r="D112" s="16" t="n">
        <v>111</v>
      </c>
      <c r="E112" s="16" t="str">
        <f aca="false">C112&amp;"말씀 #"&amp;TEXT(D112,"000")</f>
        <v>구약말씀 #111</v>
      </c>
      <c r="F112" s="17" t="s">
        <v>451</v>
      </c>
      <c r="G112" s="18" t="s">
        <v>216</v>
      </c>
      <c r="H112" s="19" t="s">
        <v>461</v>
      </c>
      <c r="I112" s="17" t="s">
        <v>160</v>
      </c>
      <c r="J112" s="17" t="s">
        <v>104</v>
      </c>
      <c r="K112" s="20"/>
      <c r="L112" s="17" t="s">
        <v>76</v>
      </c>
      <c r="M112" s="17" t="n">
        <f aca="false">LEN(K112)</f>
        <v>0</v>
      </c>
      <c r="N112" s="17" t="str">
        <f aca="false">IF(M112=0,"-",ROUND(3+M112/안내!$C$12,0))</f>
        <v>-</v>
      </c>
      <c r="O112" s="21" t="str">
        <f aca="false">IF(K112="","(본문 입력 후 자동) | 대하 20:12",IF(LEN(K112)&gt;28,LEFT(K112,28)&amp;"…",K112)&amp;" | 대하 20:12")</f>
        <v>(본문 입력 후 자동) | 대하 20:12</v>
      </c>
      <c r="P112" s="21" t="str">
        <f aca="false">"#"&amp;SUBSTITUTE(안내!$C$5," ","")&amp;" #성경구절 #말씀 #역대하 #기도"</f>
        <v>#오늘의말씀 #성경구절 #말씀 #역대하 #기도</v>
      </c>
      <c r="Q112" s="21" t="s">
        <v>77</v>
      </c>
      <c r="R112" s="22" t="n">
        <f aca="false">안내!$C$6+INT((D112-1)/안내!$C$7)</f>
        <v>46443</v>
      </c>
      <c r="S112" s="17" t="str">
        <f aca="false">IF(MOD(D112-1,안내!$C$7)=0,안내!$C$8,안내!$C$10)</f>
        <v>06:30</v>
      </c>
      <c r="T112" s="17" t="str">
        <f aca="false">CHOOSE(WEEKDAY(R112,2),"월","화","수","목","금","토","일")</f>
        <v>목</v>
      </c>
      <c r="U112" s="17" t="s">
        <v>78</v>
      </c>
      <c r="V112" s="17" t="s">
        <v>78</v>
      </c>
      <c r="W112" s="23"/>
      <c r="X112" s="23"/>
      <c r="Y112" s="21"/>
    </row>
    <row r="113" customFormat="false" ht="26.85" hidden="false" customHeight="false" outlineLevel="0" collapsed="false">
      <c r="A113" s="16" t="n">
        <v>112</v>
      </c>
      <c r="B113" s="15" t="s">
        <v>462</v>
      </c>
      <c r="C113" s="16" t="s">
        <v>70</v>
      </c>
      <c r="D113" s="16" t="n">
        <v>112</v>
      </c>
      <c r="E113" s="16" t="str">
        <f aca="false">C113&amp;"말씀 #"&amp;TEXT(D113,"000")</f>
        <v>구약말씀 #112</v>
      </c>
      <c r="F113" s="17" t="s">
        <v>451</v>
      </c>
      <c r="G113" s="18" t="s">
        <v>463</v>
      </c>
      <c r="H113" s="19" t="s">
        <v>464</v>
      </c>
      <c r="I113" s="17" t="s">
        <v>140</v>
      </c>
      <c r="J113" s="17" t="s">
        <v>113</v>
      </c>
      <c r="K113" s="20"/>
      <c r="L113" s="17" t="s">
        <v>76</v>
      </c>
      <c r="M113" s="17" t="n">
        <f aca="false">LEN(K113)</f>
        <v>0</v>
      </c>
      <c r="N113" s="17" t="str">
        <f aca="false">IF(M113=0,"-",ROUND(3+M113/안내!$C$12,0))</f>
        <v>-</v>
      </c>
      <c r="O113" s="21" t="str">
        <f aca="false">IF(K113="","(본문 입력 후 자동) | 대하 20:15",IF(LEN(K113)&gt;28,LEFT(K113,28)&amp;"…",K113)&amp;" | 대하 20:15")</f>
        <v>(본문 입력 후 자동) | 대하 20:15</v>
      </c>
      <c r="P113" s="21" t="str">
        <f aca="false">"#"&amp;SUBSTITUTE(안내!$C$5," ","")&amp;" #성경구절 #말씀 #역대하 #능력"</f>
        <v>#오늘의말씀 #성경구절 #말씀 #역대하 #능력</v>
      </c>
      <c r="Q113" s="21" t="s">
        <v>77</v>
      </c>
      <c r="R113" s="22" t="n">
        <f aca="false">안내!$C$6+INT((D113-1)/안내!$C$7)</f>
        <v>46443</v>
      </c>
      <c r="S113" s="17" t="str">
        <f aca="false">IF(MOD(D113-1,안내!$C$7)=0,안내!$C$8,안내!$C$10)</f>
        <v>18:30</v>
      </c>
      <c r="T113" s="17" t="str">
        <f aca="false">CHOOSE(WEEKDAY(R113,2),"월","화","수","목","금","토","일")</f>
        <v>목</v>
      </c>
      <c r="U113" s="17" t="s">
        <v>78</v>
      </c>
      <c r="V113" s="17" t="s">
        <v>78</v>
      </c>
      <c r="W113" s="23"/>
      <c r="X113" s="23"/>
      <c r="Y113" s="21"/>
    </row>
    <row r="114" customFormat="false" ht="26.85" hidden="false" customHeight="false" outlineLevel="0" collapsed="false">
      <c r="A114" s="16" t="n">
        <v>113</v>
      </c>
      <c r="B114" s="15" t="s">
        <v>465</v>
      </c>
      <c r="C114" s="16" t="s">
        <v>70</v>
      </c>
      <c r="D114" s="16" t="n">
        <v>113</v>
      </c>
      <c r="E114" s="16" t="str">
        <f aca="false">C114&amp;"말씀 #"&amp;TEXT(D114,"000")</f>
        <v>구약말씀 #113</v>
      </c>
      <c r="F114" s="17" t="s">
        <v>451</v>
      </c>
      <c r="G114" s="18" t="s">
        <v>466</v>
      </c>
      <c r="H114" s="19" t="s">
        <v>467</v>
      </c>
      <c r="I114" s="17" t="s">
        <v>196</v>
      </c>
      <c r="J114" s="17" t="s">
        <v>75</v>
      </c>
      <c r="K114" s="20"/>
      <c r="L114" s="17" t="s">
        <v>76</v>
      </c>
      <c r="M114" s="17" t="n">
        <f aca="false">LEN(K114)</f>
        <v>0</v>
      </c>
      <c r="N114" s="17" t="str">
        <f aca="false">IF(M114=0,"-",ROUND(3+M114/안내!$C$12,0))</f>
        <v>-</v>
      </c>
      <c r="O114" s="21" t="str">
        <f aca="false">IF(K114="","(본문 입력 후 자동) | 대하 20:21",IF(LEN(K114)&gt;28,LEFT(K114,28)&amp;"…",K114)&amp;" | 대하 20:21")</f>
        <v>(본문 입력 후 자동) | 대하 20:21</v>
      </c>
      <c r="P114" s="21" t="str">
        <f aca="false">"#"&amp;SUBSTITUTE(안내!$C$5," ","")&amp;" #성경구절 #말씀 #역대하 #찬양"</f>
        <v>#오늘의말씀 #성경구절 #말씀 #역대하 #찬양</v>
      </c>
      <c r="Q114" s="21" t="s">
        <v>77</v>
      </c>
      <c r="R114" s="22" t="n">
        <f aca="false">안내!$C$6+INT((D114-1)/안내!$C$7)</f>
        <v>46444</v>
      </c>
      <c r="S114" s="17" t="str">
        <f aca="false">IF(MOD(D114-1,안내!$C$7)=0,안내!$C$8,안내!$C$10)</f>
        <v>06:30</v>
      </c>
      <c r="T114" s="17" t="str">
        <f aca="false">CHOOSE(WEEKDAY(R114,2),"월","화","수","목","금","토","일")</f>
        <v>금</v>
      </c>
      <c r="U114" s="17" t="s">
        <v>78</v>
      </c>
      <c r="V114" s="17" t="s">
        <v>78</v>
      </c>
      <c r="W114" s="23"/>
      <c r="X114" s="23"/>
      <c r="Y114" s="21"/>
    </row>
    <row r="115" customFormat="false" ht="15" hidden="false" customHeight="false" outlineLevel="0" collapsed="false">
      <c r="A115" s="16" t="n">
        <v>114</v>
      </c>
      <c r="B115" s="15" t="s">
        <v>468</v>
      </c>
      <c r="C115" s="16" t="s">
        <v>70</v>
      </c>
      <c r="D115" s="16" t="n">
        <v>114</v>
      </c>
      <c r="E115" s="16" t="str">
        <f aca="false">C115&amp;"말씀 #"&amp;TEXT(D115,"000")</f>
        <v>구약말씀 #114</v>
      </c>
      <c r="F115" s="17" t="s">
        <v>469</v>
      </c>
      <c r="G115" s="18" t="s">
        <v>470</v>
      </c>
      <c r="H115" s="19" t="s">
        <v>471</v>
      </c>
      <c r="I115" s="17" t="s">
        <v>284</v>
      </c>
      <c r="J115" s="17" t="s">
        <v>148</v>
      </c>
      <c r="K115" s="20"/>
      <c r="L115" s="17" t="s">
        <v>76</v>
      </c>
      <c r="M115" s="17" t="n">
        <f aca="false">LEN(K115)</f>
        <v>0</v>
      </c>
      <c r="N115" s="17" t="str">
        <f aca="false">IF(M115=0,"-",ROUND(3+M115/안내!$C$12,0))</f>
        <v>-</v>
      </c>
      <c r="O115" s="21" t="str">
        <f aca="false">IF(K115="","(본문 입력 후 자동) | 스 7:10",IF(LEN(K115)&gt;28,LEFT(K115,28)&amp;"…",K115)&amp;" | 스 7:10")</f>
        <v>(본문 입력 후 자동) | 스 7:10</v>
      </c>
      <c r="P115" s="21" t="str">
        <f aca="false">"#"&amp;SUBSTITUTE(안내!$C$5," ","")&amp;" #성경구절 #말씀 #에스라 #말씀"</f>
        <v>#오늘의말씀 #성경구절 #말씀 #에스라 #말씀</v>
      </c>
      <c r="Q115" s="21" t="s">
        <v>77</v>
      </c>
      <c r="R115" s="22" t="n">
        <f aca="false">안내!$C$6+INT((D115-1)/안내!$C$7)</f>
        <v>46444</v>
      </c>
      <c r="S115" s="17" t="str">
        <f aca="false">IF(MOD(D115-1,안내!$C$7)=0,안내!$C$8,안내!$C$10)</f>
        <v>18:30</v>
      </c>
      <c r="T115" s="17" t="str">
        <f aca="false">CHOOSE(WEEKDAY(R115,2),"월","화","수","목","금","토","일")</f>
        <v>금</v>
      </c>
      <c r="U115" s="17" t="s">
        <v>78</v>
      </c>
      <c r="V115" s="17" t="s">
        <v>78</v>
      </c>
      <c r="W115" s="23"/>
      <c r="X115" s="23"/>
      <c r="Y115" s="21"/>
    </row>
    <row r="116" customFormat="false" ht="15" hidden="false" customHeight="false" outlineLevel="0" collapsed="false">
      <c r="A116" s="16" t="n">
        <v>115</v>
      </c>
      <c r="B116" s="15" t="s">
        <v>472</v>
      </c>
      <c r="C116" s="16" t="s">
        <v>70</v>
      </c>
      <c r="D116" s="16" t="n">
        <v>115</v>
      </c>
      <c r="E116" s="16" t="str">
        <f aca="false">C116&amp;"말씀 #"&amp;TEXT(D116,"000")</f>
        <v>구약말씀 #115</v>
      </c>
      <c r="F116" s="17" t="s">
        <v>469</v>
      </c>
      <c r="G116" s="18" t="s">
        <v>110</v>
      </c>
      <c r="H116" s="19" t="s">
        <v>473</v>
      </c>
      <c r="I116" s="17" t="s">
        <v>353</v>
      </c>
      <c r="J116" s="17" t="s">
        <v>113</v>
      </c>
      <c r="K116" s="20"/>
      <c r="L116" s="17" t="s">
        <v>76</v>
      </c>
      <c r="M116" s="17" t="n">
        <f aca="false">LEN(K116)</f>
        <v>0</v>
      </c>
      <c r="N116" s="17" t="str">
        <f aca="false">IF(M116=0,"-",ROUND(3+M116/안내!$C$12,0))</f>
        <v>-</v>
      </c>
      <c r="O116" s="21" t="str">
        <f aca="false">IF(K116="","(본문 입력 후 자동) | 스 8:22",IF(LEN(K116)&gt;28,LEFT(K116,28)&amp;"…",K116)&amp;" | 스 8:22")</f>
        <v>(본문 입력 후 자동) | 스 8:22</v>
      </c>
      <c r="P116" s="21" t="str">
        <f aca="false">"#"&amp;SUBSTITUTE(안내!$C$5," ","")&amp;" #성경구절 #말씀 #에스라 #보호"</f>
        <v>#오늘의말씀 #성경구절 #말씀 #에스라 #보호</v>
      </c>
      <c r="Q116" s="21" t="s">
        <v>77</v>
      </c>
      <c r="R116" s="22" t="n">
        <f aca="false">안내!$C$6+INT((D116-1)/안내!$C$7)</f>
        <v>46445</v>
      </c>
      <c r="S116" s="17" t="str">
        <f aca="false">IF(MOD(D116-1,안내!$C$7)=0,안내!$C$8,안내!$C$10)</f>
        <v>06:30</v>
      </c>
      <c r="T116" s="17" t="str">
        <f aca="false">CHOOSE(WEEKDAY(R116,2),"월","화","수","목","금","토","일")</f>
        <v>토</v>
      </c>
      <c r="U116" s="17" t="s">
        <v>78</v>
      </c>
      <c r="V116" s="17" t="s">
        <v>78</v>
      </c>
      <c r="W116" s="23"/>
      <c r="X116" s="23"/>
      <c r="Y116" s="21"/>
    </row>
    <row r="117" customFormat="false" ht="15" hidden="false" customHeight="false" outlineLevel="0" collapsed="false">
      <c r="A117" s="16" t="n">
        <v>116</v>
      </c>
      <c r="B117" s="15" t="s">
        <v>474</v>
      </c>
      <c r="C117" s="16" t="s">
        <v>70</v>
      </c>
      <c r="D117" s="16" t="n">
        <v>116</v>
      </c>
      <c r="E117" s="16" t="str">
        <f aca="false">C117&amp;"말씀 #"&amp;TEXT(D117,"000")</f>
        <v>구약말씀 #116</v>
      </c>
      <c r="F117" s="17" t="s">
        <v>475</v>
      </c>
      <c r="G117" s="18" t="s">
        <v>476</v>
      </c>
      <c r="H117" s="19" t="s">
        <v>477</v>
      </c>
      <c r="I117" s="17" t="s">
        <v>160</v>
      </c>
      <c r="J117" s="17" t="s">
        <v>104</v>
      </c>
      <c r="K117" s="20"/>
      <c r="L117" s="17" t="s">
        <v>76</v>
      </c>
      <c r="M117" s="17" t="n">
        <f aca="false">LEN(K117)</f>
        <v>0</v>
      </c>
      <c r="N117" s="17" t="str">
        <f aca="false">IF(M117=0,"-",ROUND(3+M117/안내!$C$12,0))</f>
        <v>-</v>
      </c>
      <c r="O117" s="21" t="str">
        <f aca="false">IF(K117="","(본문 입력 후 자동) | 느 1:11",IF(LEN(K117)&gt;28,LEFT(K117,28)&amp;"…",K117)&amp;" | 느 1:11")</f>
        <v>(본문 입력 후 자동) | 느 1:11</v>
      </c>
      <c r="P117" s="21" t="str">
        <f aca="false">"#"&amp;SUBSTITUTE(안내!$C$5," ","")&amp;" #성경구절 #말씀 #느헤미야 #기도"</f>
        <v>#오늘의말씀 #성경구절 #말씀 #느헤미야 #기도</v>
      </c>
      <c r="Q117" s="21" t="s">
        <v>77</v>
      </c>
      <c r="R117" s="22" t="n">
        <f aca="false">안내!$C$6+INT((D117-1)/안내!$C$7)</f>
        <v>46445</v>
      </c>
      <c r="S117" s="17" t="str">
        <f aca="false">IF(MOD(D117-1,안내!$C$7)=0,안내!$C$8,안내!$C$10)</f>
        <v>18:30</v>
      </c>
      <c r="T117" s="17" t="str">
        <f aca="false">CHOOSE(WEEKDAY(R117,2),"월","화","수","목","금","토","일")</f>
        <v>토</v>
      </c>
      <c r="U117" s="17" t="s">
        <v>78</v>
      </c>
      <c r="V117" s="17" t="s">
        <v>78</v>
      </c>
      <c r="W117" s="23"/>
      <c r="X117" s="23"/>
      <c r="Y117" s="21"/>
    </row>
    <row r="118" customFormat="false" ht="15" hidden="false" customHeight="false" outlineLevel="0" collapsed="false">
      <c r="A118" s="16" t="n">
        <v>117</v>
      </c>
      <c r="B118" s="15" t="s">
        <v>478</v>
      </c>
      <c r="C118" s="16" t="s">
        <v>70</v>
      </c>
      <c r="D118" s="16" t="n">
        <v>117</v>
      </c>
      <c r="E118" s="16" t="str">
        <f aca="false">C118&amp;"말씀 #"&amp;TEXT(D118,"000")</f>
        <v>구약말씀 #117</v>
      </c>
      <c r="F118" s="17" t="s">
        <v>475</v>
      </c>
      <c r="G118" s="18" t="s">
        <v>355</v>
      </c>
      <c r="H118" s="19" t="s">
        <v>479</v>
      </c>
      <c r="I118" s="17" t="s">
        <v>305</v>
      </c>
      <c r="J118" s="17" t="s">
        <v>113</v>
      </c>
      <c r="K118" s="20"/>
      <c r="L118" s="17" t="s">
        <v>76</v>
      </c>
      <c r="M118" s="17" t="n">
        <f aca="false">LEN(K118)</f>
        <v>0</v>
      </c>
      <c r="N118" s="17" t="str">
        <f aca="false">IF(M118=0,"-",ROUND(3+M118/안내!$C$12,0))</f>
        <v>-</v>
      </c>
      <c r="O118" s="21" t="str">
        <f aca="false">IF(K118="","(본문 입력 후 자동) | 느 4:14",IF(LEN(K118)&gt;28,LEFT(K118,28)&amp;"…",K118)&amp;" | 느 4:14")</f>
        <v>(본문 입력 후 자동) | 느 4:14</v>
      </c>
      <c r="P118" s="21" t="str">
        <f aca="false">"#"&amp;SUBSTITUTE(안내!$C$5," ","")&amp;" #성경구절 #말씀 #느헤미야 #담대함"</f>
        <v>#오늘의말씀 #성경구절 #말씀 #느헤미야 #담대함</v>
      </c>
      <c r="Q118" s="21" t="s">
        <v>77</v>
      </c>
      <c r="R118" s="22" t="n">
        <f aca="false">안내!$C$6+INT((D118-1)/안내!$C$7)</f>
        <v>46446</v>
      </c>
      <c r="S118" s="17" t="str">
        <f aca="false">IF(MOD(D118-1,안내!$C$7)=0,안내!$C$8,안내!$C$10)</f>
        <v>06:30</v>
      </c>
      <c r="T118" s="17" t="str">
        <f aca="false">CHOOSE(WEEKDAY(R118,2),"월","화","수","목","금","토","일")</f>
        <v>일</v>
      </c>
      <c r="U118" s="17" t="s">
        <v>78</v>
      </c>
      <c r="V118" s="17" t="s">
        <v>78</v>
      </c>
      <c r="W118" s="23"/>
      <c r="X118" s="23"/>
      <c r="Y118" s="21"/>
    </row>
    <row r="119" customFormat="false" ht="15" hidden="false" customHeight="false" outlineLevel="0" collapsed="false">
      <c r="A119" s="16" t="n">
        <v>118</v>
      </c>
      <c r="B119" s="15" t="s">
        <v>480</v>
      </c>
      <c r="C119" s="16" t="s">
        <v>70</v>
      </c>
      <c r="D119" s="16" t="n">
        <v>118</v>
      </c>
      <c r="E119" s="16" t="str">
        <f aca="false">C119&amp;"말씀 #"&amp;TEXT(D119,"000")</f>
        <v>구약말씀 #118</v>
      </c>
      <c r="F119" s="17" t="s">
        <v>475</v>
      </c>
      <c r="G119" s="18" t="s">
        <v>481</v>
      </c>
      <c r="H119" s="19" t="s">
        <v>482</v>
      </c>
      <c r="I119" s="17" t="s">
        <v>483</v>
      </c>
      <c r="J119" s="17" t="s">
        <v>89</v>
      </c>
      <c r="K119" s="20"/>
      <c r="L119" s="17" t="s">
        <v>76</v>
      </c>
      <c r="M119" s="17" t="n">
        <f aca="false">LEN(K119)</f>
        <v>0</v>
      </c>
      <c r="N119" s="17" t="str">
        <f aca="false">IF(M119=0,"-",ROUND(3+M119/안내!$C$12,0))</f>
        <v>-</v>
      </c>
      <c r="O119" s="21" t="str">
        <f aca="false">IF(K119="","(본문 입력 후 자동) | 느 8:10",IF(LEN(K119)&gt;28,LEFT(K119,28)&amp;"…",K119)&amp;" | 느 8:10")</f>
        <v>(본문 입력 후 자동) | 느 8:10</v>
      </c>
      <c r="P119" s="21" t="str">
        <f aca="false">"#"&amp;SUBSTITUTE(안내!$C$5," ","")&amp;" #성경구절 #말씀 #느헤미야 #기쁨"</f>
        <v>#오늘의말씀 #성경구절 #말씀 #느헤미야 #기쁨</v>
      </c>
      <c r="Q119" s="21" t="s">
        <v>77</v>
      </c>
      <c r="R119" s="22" t="n">
        <f aca="false">안내!$C$6+INT((D119-1)/안내!$C$7)</f>
        <v>46446</v>
      </c>
      <c r="S119" s="17" t="str">
        <f aca="false">IF(MOD(D119-1,안내!$C$7)=0,안내!$C$8,안내!$C$10)</f>
        <v>18:30</v>
      </c>
      <c r="T119" s="17" t="str">
        <f aca="false">CHOOSE(WEEKDAY(R119,2),"월","화","수","목","금","토","일")</f>
        <v>일</v>
      </c>
      <c r="U119" s="17" t="s">
        <v>78</v>
      </c>
      <c r="V119" s="17" t="s">
        <v>78</v>
      </c>
      <c r="W119" s="23"/>
      <c r="X119" s="23"/>
      <c r="Y119" s="21"/>
    </row>
    <row r="120" customFormat="false" ht="15" hidden="false" customHeight="false" outlineLevel="0" collapsed="false">
      <c r="A120" s="16" t="n">
        <v>119</v>
      </c>
      <c r="B120" s="15" t="s">
        <v>484</v>
      </c>
      <c r="C120" s="16" t="s">
        <v>70</v>
      </c>
      <c r="D120" s="16" t="n">
        <v>119</v>
      </c>
      <c r="E120" s="16" t="str">
        <f aca="false">C120&amp;"말씀 #"&amp;TEXT(D120,"000")</f>
        <v>구약말씀 #119</v>
      </c>
      <c r="F120" s="17" t="s">
        <v>475</v>
      </c>
      <c r="G120" s="18" t="s">
        <v>485</v>
      </c>
      <c r="H120" s="19" t="s">
        <v>486</v>
      </c>
      <c r="I120" s="17" t="s">
        <v>74</v>
      </c>
      <c r="J120" s="17" t="s">
        <v>75</v>
      </c>
      <c r="K120" s="20"/>
      <c r="L120" s="17" t="s">
        <v>76</v>
      </c>
      <c r="M120" s="17" t="n">
        <f aca="false">LEN(K120)</f>
        <v>0</v>
      </c>
      <c r="N120" s="17" t="str">
        <f aca="false">IF(M120=0,"-",ROUND(3+M120/안내!$C$12,0))</f>
        <v>-</v>
      </c>
      <c r="O120" s="21" t="str">
        <f aca="false">IF(K120="","(본문 입력 후 자동) | 느 9:6",IF(LEN(K120)&gt;28,LEFT(K120,28)&amp;"…",K120)&amp;" | 느 9:6")</f>
        <v>(본문 입력 후 자동) | 느 9:6</v>
      </c>
      <c r="P120" s="21" t="str">
        <f aca="false">"#"&amp;SUBSTITUTE(안내!$C$5," ","")&amp;" #성경구절 #말씀 #느헤미야 #창조"</f>
        <v>#오늘의말씀 #성경구절 #말씀 #느헤미야 #창조</v>
      </c>
      <c r="Q120" s="21" t="s">
        <v>77</v>
      </c>
      <c r="R120" s="22" t="n">
        <f aca="false">안내!$C$6+INT((D120-1)/안내!$C$7)</f>
        <v>46447</v>
      </c>
      <c r="S120" s="17" t="str">
        <f aca="false">IF(MOD(D120-1,안내!$C$7)=0,안내!$C$8,안내!$C$10)</f>
        <v>06:30</v>
      </c>
      <c r="T120" s="17" t="str">
        <f aca="false">CHOOSE(WEEKDAY(R120,2),"월","화","수","목","금","토","일")</f>
        <v>월</v>
      </c>
      <c r="U120" s="17" t="s">
        <v>78</v>
      </c>
      <c r="V120" s="17" t="s">
        <v>78</v>
      </c>
      <c r="W120" s="23"/>
      <c r="X120" s="23"/>
      <c r="Y120" s="21"/>
    </row>
    <row r="121" customFormat="false" ht="15" hidden="false" customHeight="false" outlineLevel="0" collapsed="false">
      <c r="A121" s="16" t="n">
        <v>120</v>
      </c>
      <c r="B121" s="15" t="s">
        <v>487</v>
      </c>
      <c r="C121" s="16" t="s">
        <v>70</v>
      </c>
      <c r="D121" s="16" t="n">
        <v>120</v>
      </c>
      <c r="E121" s="16" t="str">
        <f aca="false">C121&amp;"말씀 #"&amp;TEXT(D121,"000")</f>
        <v>구약말씀 #120</v>
      </c>
      <c r="F121" s="17" t="s">
        <v>488</v>
      </c>
      <c r="G121" s="18" t="s">
        <v>355</v>
      </c>
      <c r="H121" s="19" t="s">
        <v>489</v>
      </c>
      <c r="I121" s="17" t="s">
        <v>167</v>
      </c>
      <c r="J121" s="17" t="s">
        <v>75</v>
      </c>
      <c r="K121" s="20"/>
      <c r="L121" s="17" t="s">
        <v>76</v>
      </c>
      <c r="M121" s="17" t="n">
        <f aca="false">LEN(K121)</f>
        <v>0</v>
      </c>
      <c r="N121" s="17" t="str">
        <f aca="false">IF(M121=0,"-",ROUND(3+M121/안내!$C$12,0))</f>
        <v>-</v>
      </c>
      <c r="O121" s="21" t="str">
        <f aca="false">IF(K121="","(본문 입력 후 자동) | 에 4:14",IF(LEN(K121)&gt;28,LEFT(K121,28)&amp;"…",K121)&amp;" | 에 4:14")</f>
        <v>(본문 입력 후 자동) | 에 4:14</v>
      </c>
      <c r="P121" s="21" t="str">
        <f aca="false">"#"&amp;SUBSTITUTE(안내!$C$5," ","")&amp;" #성경구절 #말씀 #에스더 #섭리"</f>
        <v>#오늘의말씀 #성경구절 #말씀 #에스더 #섭리</v>
      </c>
      <c r="Q121" s="21" t="s">
        <v>77</v>
      </c>
      <c r="R121" s="22" t="n">
        <f aca="false">안내!$C$6+INT((D121-1)/안내!$C$7)</f>
        <v>46447</v>
      </c>
      <c r="S121" s="17" t="str">
        <f aca="false">IF(MOD(D121-1,안내!$C$7)=0,안내!$C$8,안내!$C$10)</f>
        <v>18:30</v>
      </c>
      <c r="T121" s="17" t="str">
        <f aca="false">CHOOSE(WEEKDAY(R121,2),"월","화","수","목","금","토","일")</f>
        <v>월</v>
      </c>
      <c r="U121" s="17" t="s">
        <v>78</v>
      </c>
      <c r="V121" s="17" t="s">
        <v>78</v>
      </c>
      <c r="W121" s="23"/>
      <c r="X121" s="23"/>
      <c r="Y121" s="21"/>
    </row>
    <row r="122" customFormat="false" ht="15" hidden="false" customHeight="false" outlineLevel="0" collapsed="false">
      <c r="A122" s="16" t="n">
        <v>121</v>
      </c>
      <c r="B122" s="15" t="s">
        <v>490</v>
      </c>
      <c r="C122" s="16" t="s">
        <v>70</v>
      </c>
      <c r="D122" s="16" t="n">
        <v>121</v>
      </c>
      <c r="E122" s="16" t="str">
        <f aca="false">C122&amp;"말씀 #"&amp;TEXT(D122,"000")</f>
        <v>구약말씀 #121</v>
      </c>
      <c r="F122" s="17" t="s">
        <v>488</v>
      </c>
      <c r="G122" s="18" t="s">
        <v>491</v>
      </c>
      <c r="H122" s="19" t="s">
        <v>492</v>
      </c>
      <c r="I122" s="17" t="s">
        <v>333</v>
      </c>
      <c r="J122" s="17" t="s">
        <v>122</v>
      </c>
      <c r="K122" s="20"/>
      <c r="L122" s="17" t="s">
        <v>76</v>
      </c>
      <c r="M122" s="17" t="n">
        <f aca="false">LEN(K122)</f>
        <v>0</v>
      </c>
      <c r="N122" s="17" t="str">
        <f aca="false">IF(M122=0,"-",ROUND(3+M122/안내!$C$12,0))</f>
        <v>-</v>
      </c>
      <c r="O122" s="21" t="str">
        <f aca="false">IF(K122="","(본문 입력 후 자동) | 에 4:16",IF(LEN(K122)&gt;28,LEFT(K122,28)&amp;"…",K122)&amp;" | 에 4:16")</f>
        <v>(본문 입력 후 자동) | 에 4:16</v>
      </c>
      <c r="P122" s="21" t="str">
        <f aca="false">"#"&amp;SUBSTITUTE(안내!$C$5," ","")&amp;" #성경구절 #말씀 #에스더 #헌신"</f>
        <v>#오늘의말씀 #성경구절 #말씀 #에스더 #헌신</v>
      </c>
      <c r="Q122" s="21" t="s">
        <v>77</v>
      </c>
      <c r="R122" s="22" t="n">
        <f aca="false">안내!$C$6+INT((D122-1)/안내!$C$7)</f>
        <v>46448</v>
      </c>
      <c r="S122" s="17" t="str">
        <f aca="false">IF(MOD(D122-1,안내!$C$7)=0,안내!$C$8,안내!$C$10)</f>
        <v>06:30</v>
      </c>
      <c r="T122" s="17" t="str">
        <f aca="false">CHOOSE(WEEKDAY(R122,2),"월","화","수","목","금","토","일")</f>
        <v>화</v>
      </c>
      <c r="U122" s="17" t="s">
        <v>78</v>
      </c>
      <c r="V122" s="17" t="s">
        <v>78</v>
      </c>
      <c r="W122" s="23"/>
      <c r="X122" s="23"/>
      <c r="Y122" s="21"/>
    </row>
    <row r="123" customFormat="false" ht="15" hidden="false" customHeight="false" outlineLevel="0" collapsed="false">
      <c r="A123" s="16" t="n">
        <v>122</v>
      </c>
      <c r="B123" s="15" t="s">
        <v>493</v>
      </c>
      <c r="C123" s="16" t="s">
        <v>70</v>
      </c>
      <c r="D123" s="16" t="n">
        <v>122</v>
      </c>
      <c r="E123" s="16" t="str">
        <f aca="false">C123&amp;"말씀 #"&amp;TEXT(D123,"000")</f>
        <v>구약말씀 #122</v>
      </c>
      <c r="F123" s="17" t="s">
        <v>494</v>
      </c>
      <c r="G123" s="18" t="s">
        <v>495</v>
      </c>
      <c r="H123" s="19" t="s">
        <v>496</v>
      </c>
      <c r="I123" s="17" t="s">
        <v>497</v>
      </c>
      <c r="J123" s="17" t="s">
        <v>113</v>
      </c>
      <c r="K123" s="20"/>
      <c r="L123" s="17" t="s">
        <v>76</v>
      </c>
      <c r="M123" s="17" t="n">
        <f aca="false">LEN(K123)</f>
        <v>0</v>
      </c>
      <c r="N123" s="17" t="str">
        <f aca="false">IF(M123=0,"-",ROUND(3+M123/안내!$C$12,0))</f>
        <v>-</v>
      </c>
      <c r="O123" s="21" t="str">
        <f aca="false">IF(K123="","(본문 입력 후 자동) | 욥 1:21",IF(LEN(K123)&gt;28,LEFT(K123,28)&amp;"…",K123)&amp;" | 욥 1:21")</f>
        <v>(본문 입력 후 자동) | 욥 1:21</v>
      </c>
      <c r="P123" s="21" t="str">
        <f aca="false">"#"&amp;SUBSTITUTE(안내!$C$5," ","")&amp;" #성경구절 #말씀 #욥기 #신뢰"</f>
        <v>#오늘의말씀 #성경구절 #말씀 #욥기 #신뢰</v>
      </c>
      <c r="Q123" s="21" t="s">
        <v>77</v>
      </c>
      <c r="R123" s="22" t="n">
        <f aca="false">안내!$C$6+INT((D123-1)/안내!$C$7)</f>
        <v>46448</v>
      </c>
      <c r="S123" s="17" t="str">
        <f aca="false">IF(MOD(D123-1,안내!$C$7)=0,안내!$C$8,안내!$C$10)</f>
        <v>18:30</v>
      </c>
      <c r="T123" s="17" t="str">
        <f aca="false">CHOOSE(WEEKDAY(R123,2),"월","화","수","목","금","토","일")</f>
        <v>화</v>
      </c>
      <c r="U123" s="17" t="s">
        <v>78</v>
      </c>
      <c r="V123" s="17" t="s">
        <v>78</v>
      </c>
      <c r="W123" s="23"/>
      <c r="X123" s="23"/>
      <c r="Y123" s="21"/>
    </row>
    <row r="124" customFormat="false" ht="15" hidden="false" customHeight="false" outlineLevel="0" collapsed="false">
      <c r="A124" s="16" t="n">
        <v>123</v>
      </c>
      <c r="B124" s="15" t="s">
        <v>498</v>
      </c>
      <c r="C124" s="16" t="s">
        <v>70</v>
      </c>
      <c r="D124" s="16" t="n">
        <v>123</v>
      </c>
      <c r="E124" s="16" t="str">
        <f aca="false">C124&amp;"말씀 #"&amp;TEXT(D124,"000")</f>
        <v>구약말씀 #123</v>
      </c>
      <c r="F124" s="17" t="s">
        <v>494</v>
      </c>
      <c r="G124" s="18" t="s">
        <v>499</v>
      </c>
      <c r="H124" s="19" t="s">
        <v>500</v>
      </c>
      <c r="I124" s="17" t="s">
        <v>497</v>
      </c>
      <c r="J124" s="17" t="s">
        <v>113</v>
      </c>
      <c r="K124" s="20"/>
      <c r="L124" s="17" t="s">
        <v>76</v>
      </c>
      <c r="M124" s="17" t="n">
        <f aca="false">LEN(K124)</f>
        <v>0</v>
      </c>
      <c r="N124" s="17" t="str">
        <f aca="false">IF(M124=0,"-",ROUND(3+M124/안내!$C$12,0))</f>
        <v>-</v>
      </c>
      <c r="O124" s="21" t="str">
        <f aca="false">IF(K124="","(본문 입력 후 자동) | 욥 2:10",IF(LEN(K124)&gt;28,LEFT(K124,28)&amp;"…",K124)&amp;" | 욥 2:10")</f>
        <v>(본문 입력 후 자동) | 욥 2:10</v>
      </c>
      <c r="P124" s="21" t="str">
        <f aca="false">"#"&amp;SUBSTITUTE(안내!$C$5," ","")&amp;" #성경구절 #말씀 #욥기 #신뢰"</f>
        <v>#오늘의말씀 #성경구절 #말씀 #욥기 #신뢰</v>
      </c>
      <c r="Q124" s="21" t="s">
        <v>77</v>
      </c>
      <c r="R124" s="22" t="n">
        <f aca="false">안내!$C$6+INT((D124-1)/안내!$C$7)</f>
        <v>46449</v>
      </c>
      <c r="S124" s="17" t="str">
        <f aca="false">IF(MOD(D124-1,안내!$C$7)=0,안내!$C$8,안내!$C$10)</f>
        <v>06:30</v>
      </c>
      <c r="T124" s="17" t="str">
        <f aca="false">CHOOSE(WEEKDAY(R124,2),"월","화","수","목","금","토","일")</f>
        <v>수</v>
      </c>
      <c r="U124" s="17" t="s">
        <v>78</v>
      </c>
      <c r="V124" s="17" t="s">
        <v>78</v>
      </c>
      <c r="W124" s="23"/>
      <c r="X124" s="23"/>
      <c r="Y124" s="21"/>
    </row>
    <row r="125" customFormat="false" ht="15" hidden="false" customHeight="false" outlineLevel="0" collapsed="false">
      <c r="A125" s="16" t="n">
        <v>124</v>
      </c>
      <c r="B125" s="15" t="s">
        <v>501</v>
      </c>
      <c r="C125" s="16" t="s">
        <v>70</v>
      </c>
      <c r="D125" s="16" t="n">
        <v>124</v>
      </c>
      <c r="E125" s="16" t="str">
        <f aca="false">C125&amp;"말씀 #"&amp;TEXT(D125,"000")</f>
        <v>구약말씀 #124</v>
      </c>
      <c r="F125" s="17" t="s">
        <v>494</v>
      </c>
      <c r="G125" s="18" t="s">
        <v>502</v>
      </c>
      <c r="H125" s="19" t="s">
        <v>503</v>
      </c>
      <c r="I125" s="17" t="s">
        <v>504</v>
      </c>
      <c r="J125" s="17" t="s">
        <v>113</v>
      </c>
      <c r="K125" s="20"/>
      <c r="L125" s="17" t="s">
        <v>76</v>
      </c>
      <c r="M125" s="17" t="n">
        <f aca="false">LEN(K125)</f>
        <v>0</v>
      </c>
      <c r="N125" s="17" t="str">
        <f aca="false">IF(M125=0,"-",ROUND(3+M125/안내!$C$12,0))</f>
        <v>-</v>
      </c>
      <c r="O125" s="21" t="str">
        <f aca="false">IF(K125="","(본문 입력 후 자동) | 욥 5:17",IF(LEN(K125)&gt;28,LEFT(K125,28)&amp;"…",K125)&amp;" | 욥 5:17")</f>
        <v>(본문 입력 후 자동) | 욥 5:17</v>
      </c>
      <c r="P125" s="21" t="str">
        <f aca="false">"#"&amp;SUBSTITUTE(안내!$C$5," ","")&amp;" #성경구절 #말씀 #욥기 #연단"</f>
        <v>#오늘의말씀 #성경구절 #말씀 #욥기 #연단</v>
      </c>
      <c r="Q125" s="21" t="s">
        <v>77</v>
      </c>
      <c r="R125" s="22" t="n">
        <f aca="false">안내!$C$6+INT((D125-1)/안내!$C$7)</f>
        <v>46449</v>
      </c>
      <c r="S125" s="17" t="str">
        <f aca="false">IF(MOD(D125-1,안내!$C$7)=0,안내!$C$8,안내!$C$10)</f>
        <v>18:30</v>
      </c>
      <c r="T125" s="17" t="str">
        <f aca="false">CHOOSE(WEEKDAY(R125,2),"월","화","수","목","금","토","일")</f>
        <v>수</v>
      </c>
      <c r="U125" s="17" t="s">
        <v>78</v>
      </c>
      <c r="V125" s="17" t="s">
        <v>78</v>
      </c>
      <c r="W125" s="23"/>
      <c r="X125" s="23"/>
      <c r="Y125" s="21"/>
    </row>
    <row r="126" customFormat="false" ht="25.35" hidden="false" customHeight="false" outlineLevel="0" collapsed="false">
      <c r="A126" s="16" t="n">
        <v>125</v>
      </c>
      <c r="B126" s="15" t="s">
        <v>505</v>
      </c>
      <c r="C126" s="16" t="s">
        <v>70</v>
      </c>
      <c r="D126" s="16" t="n">
        <v>125</v>
      </c>
      <c r="E126" s="16" t="str">
        <f aca="false">C126&amp;"말씀 #"&amp;TEXT(D126,"000")</f>
        <v>구약말씀 #125</v>
      </c>
      <c r="F126" s="17" t="s">
        <v>494</v>
      </c>
      <c r="G126" s="18" t="s">
        <v>506</v>
      </c>
      <c r="H126" s="19" t="s">
        <v>507</v>
      </c>
      <c r="I126" s="17" t="s">
        <v>497</v>
      </c>
      <c r="J126" s="17" t="s">
        <v>113</v>
      </c>
      <c r="K126" s="20"/>
      <c r="L126" s="17" t="s">
        <v>76</v>
      </c>
      <c r="M126" s="17" t="n">
        <f aca="false">LEN(K126)</f>
        <v>0</v>
      </c>
      <c r="N126" s="17" t="str">
        <f aca="false">IF(M126=0,"-",ROUND(3+M126/안내!$C$12,0))</f>
        <v>-</v>
      </c>
      <c r="O126" s="21" t="str">
        <f aca="false">IF(K126="","(본문 입력 후 자동) | 욥 13:15",IF(LEN(K126)&gt;28,LEFT(K126,28)&amp;"…",K126)&amp;" | 욥 13:15")</f>
        <v>(본문 입력 후 자동) | 욥 13:15</v>
      </c>
      <c r="P126" s="21" t="str">
        <f aca="false">"#"&amp;SUBSTITUTE(안내!$C$5," ","")&amp;" #성경구절 #말씀 #욥기 #신뢰"</f>
        <v>#오늘의말씀 #성경구절 #말씀 #욥기 #신뢰</v>
      </c>
      <c r="Q126" s="21" t="s">
        <v>77</v>
      </c>
      <c r="R126" s="22" t="n">
        <f aca="false">안내!$C$6+INT((D126-1)/안내!$C$7)</f>
        <v>46450</v>
      </c>
      <c r="S126" s="17" t="str">
        <f aca="false">IF(MOD(D126-1,안내!$C$7)=0,안내!$C$8,안내!$C$10)</f>
        <v>06:30</v>
      </c>
      <c r="T126" s="17" t="str">
        <f aca="false">CHOOSE(WEEKDAY(R126,2),"월","화","수","목","금","토","일")</f>
        <v>목</v>
      </c>
      <c r="U126" s="17" t="s">
        <v>78</v>
      </c>
      <c r="V126" s="17" t="s">
        <v>78</v>
      </c>
      <c r="W126" s="23"/>
      <c r="X126" s="23"/>
      <c r="Y126" s="21"/>
    </row>
    <row r="127" customFormat="false" ht="25.35" hidden="false" customHeight="false" outlineLevel="0" collapsed="false">
      <c r="A127" s="16" t="n">
        <v>126</v>
      </c>
      <c r="B127" s="15" t="s">
        <v>508</v>
      </c>
      <c r="C127" s="16" t="s">
        <v>70</v>
      </c>
      <c r="D127" s="16" t="n">
        <v>126</v>
      </c>
      <c r="E127" s="16" t="str">
        <f aca="false">C127&amp;"말씀 #"&amp;TEXT(D127,"000")</f>
        <v>구약말씀 #126</v>
      </c>
      <c r="F127" s="17" t="s">
        <v>494</v>
      </c>
      <c r="G127" s="18" t="s">
        <v>509</v>
      </c>
      <c r="H127" s="19" t="s">
        <v>510</v>
      </c>
      <c r="I127" s="17" t="s">
        <v>511</v>
      </c>
      <c r="J127" s="17" t="s">
        <v>89</v>
      </c>
      <c r="K127" s="20"/>
      <c r="L127" s="17" t="s">
        <v>76</v>
      </c>
      <c r="M127" s="17" t="n">
        <f aca="false">LEN(K127)</f>
        <v>0</v>
      </c>
      <c r="N127" s="17" t="str">
        <f aca="false">IF(M127=0,"-",ROUND(3+M127/안내!$C$12,0))</f>
        <v>-</v>
      </c>
      <c r="O127" s="21" t="str">
        <f aca="false">IF(K127="","(본문 입력 후 자동) | 욥 19:25",IF(LEN(K127)&gt;28,LEFT(K127,28)&amp;"…",K127)&amp;" | 욥 19:25")</f>
        <v>(본문 입력 후 자동) | 욥 19:25</v>
      </c>
      <c r="P127" s="21" t="str">
        <f aca="false">"#"&amp;SUBSTITUTE(안내!$C$5," ","")&amp;" #성경구절 #말씀 #욥기 #소망"</f>
        <v>#오늘의말씀 #성경구절 #말씀 #욥기 #소망</v>
      </c>
      <c r="Q127" s="21" t="s">
        <v>77</v>
      </c>
      <c r="R127" s="22" t="n">
        <f aca="false">안내!$C$6+INT((D127-1)/안내!$C$7)</f>
        <v>46450</v>
      </c>
      <c r="S127" s="17" t="str">
        <f aca="false">IF(MOD(D127-1,안내!$C$7)=0,안내!$C$8,안내!$C$10)</f>
        <v>18:30</v>
      </c>
      <c r="T127" s="17" t="str">
        <f aca="false">CHOOSE(WEEKDAY(R127,2),"월","화","수","목","금","토","일")</f>
        <v>목</v>
      </c>
      <c r="U127" s="17" t="s">
        <v>78</v>
      </c>
      <c r="V127" s="17" t="s">
        <v>78</v>
      </c>
      <c r="W127" s="23"/>
      <c r="X127" s="23"/>
      <c r="Y127" s="21"/>
    </row>
    <row r="128" customFormat="false" ht="25.35" hidden="false" customHeight="false" outlineLevel="0" collapsed="false">
      <c r="A128" s="16" t="n">
        <v>127</v>
      </c>
      <c r="B128" s="15" t="s">
        <v>512</v>
      </c>
      <c r="C128" s="16" t="s">
        <v>70</v>
      </c>
      <c r="D128" s="16" t="n">
        <v>127</v>
      </c>
      <c r="E128" s="16" t="str">
        <f aca="false">C128&amp;"말씀 #"&amp;TEXT(D128,"000")</f>
        <v>구약말씀 #127</v>
      </c>
      <c r="F128" s="17" t="s">
        <v>494</v>
      </c>
      <c r="G128" s="18" t="s">
        <v>513</v>
      </c>
      <c r="H128" s="19" t="s">
        <v>514</v>
      </c>
      <c r="I128" s="17" t="s">
        <v>504</v>
      </c>
      <c r="J128" s="17" t="s">
        <v>113</v>
      </c>
      <c r="K128" s="20"/>
      <c r="L128" s="17" t="s">
        <v>76</v>
      </c>
      <c r="M128" s="17" t="n">
        <f aca="false">LEN(K128)</f>
        <v>0</v>
      </c>
      <c r="N128" s="17" t="str">
        <f aca="false">IF(M128=0,"-",ROUND(3+M128/안내!$C$12,0))</f>
        <v>-</v>
      </c>
      <c r="O128" s="21" t="str">
        <f aca="false">IF(K128="","(본문 입력 후 자동) | 욥 23:10",IF(LEN(K128)&gt;28,LEFT(K128,28)&amp;"…",K128)&amp;" | 욥 23:10")</f>
        <v>(본문 입력 후 자동) | 욥 23:10</v>
      </c>
      <c r="P128" s="21" t="str">
        <f aca="false">"#"&amp;SUBSTITUTE(안내!$C$5," ","")&amp;" #성경구절 #말씀 #욥기 #연단"</f>
        <v>#오늘의말씀 #성경구절 #말씀 #욥기 #연단</v>
      </c>
      <c r="Q128" s="21" t="s">
        <v>77</v>
      </c>
      <c r="R128" s="22" t="n">
        <f aca="false">안내!$C$6+INT((D128-1)/안내!$C$7)</f>
        <v>46451</v>
      </c>
      <c r="S128" s="17" t="str">
        <f aca="false">IF(MOD(D128-1,안내!$C$7)=0,안내!$C$8,안내!$C$10)</f>
        <v>06:30</v>
      </c>
      <c r="T128" s="17" t="str">
        <f aca="false">CHOOSE(WEEKDAY(R128,2),"월","화","수","목","금","토","일")</f>
        <v>금</v>
      </c>
      <c r="U128" s="17" t="s">
        <v>78</v>
      </c>
      <c r="V128" s="17" t="s">
        <v>78</v>
      </c>
      <c r="W128" s="23"/>
      <c r="X128" s="23"/>
      <c r="Y128" s="21"/>
    </row>
    <row r="129" customFormat="false" ht="15" hidden="false" customHeight="false" outlineLevel="0" collapsed="false">
      <c r="A129" s="16" t="n">
        <v>128</v>
      </c>
      <c r="B129" s="15" t="s">
        <v>515</v>
      </c>
      <c r="C129" s="16" t="s">
        <v>70</v>
      </c>
      <c r="D129" s="16" t="n">
        <v>128</v>
      </c>
      <c r="E129" s="16" t="str">
        <f aca="false">C129&amp;"말씀 #"&amp;TEXT(D129,"000")</f>
        <v>구약말씀 #128</v>
      </c>
      <c r="F129" s="17" t="s">
        <v>494</v>
      </c>
      <c r="G129" s="18" t="s">
        <v>516</v>
      </c>
      <c r="H129" s="19" t="s">
        <v>517</v>
      </c>
      <c r="I129" s="17" t="s">
        <v>74</v>
      </c>
      <c r="J129" s="17" t="s">
        <v>75</v>
      </c>
      <c r="K129" s="20"/>
      <c r="L129" s="17" t="s">
        <v>76</v>
      </c>
      <c r="M129" s="17" t="n">
        <f aca="false">LEN(K129)</f>
        <v>0</v>
      </c>
      <c r="N129" s="17" t="str">
        <f aca="false">IF(M129=0,"-",ROUND(3+M129/안내!$C$12,0))</f>
        <v>-</v>
      </c>
      <c r="O129" s="21" t="str">
        <f aca="false">IF(K129="","(본문 입력 후 자동) | 욥 26:7",IF(LEN(K129)&gt;28,LEFT(K129,28)&amp;"…",K129)&amp;" | 욥 26:7")</f>
        <v>(본문 입력 후 자동) | 욥 26:7</v>
      </c>
      <c r="P129" s="21" t="str">
        <f aca="false">"#"&amp;SUBSTITUTE(안내!$C$5," ","")&amp;" #성경구절 #말씀 #욥기 #창조"</f>
        <v>#오늘의말씀 #성경구절 #말씀 #욥기 #창조</v>
      </c>
      <c r="Q129" s="21" t="s">
        <v>77</v>
      </c>
      <c r="R129" s="22" t="n">
        <f aca="false">안내!$C$6+INT((D129-1)/안내!$C$7)</f>
        <v>46451</v>
      </c>
      <c r="S129" s="17" t="str">
        <f aca="false">IF(MOD(D129-1,안내!$C$7)=0,안내!$C$8,안내!$C$10)</f>
        <v>18:30</v>
      </c>
      <c r="T129" s="17" t="str">
        <f aca="false">CHOOSE(WEEKDAY(R129,2),"월","화","수","목","금","토","일")</f>
        <v>금</v>
      </c>
      <c r="U129" s="17" t="s">
        <v>78</v>
      </c>
      <c r="V129" s="17" t="s">
        <v>78</v>
      </c>
      <c r="W129" s="23"/>
      <c r="X129" s="23"/>
      <c r="Y129" s="21"/>
    </row>
    <row r="130" customFormat="false" ht="25.35" hidden="false" customHeight="false" outlineLevel="0" collapsed="false">
      <c r="A130" s="16" t="n">
        <v>129</v>
      </c>
      <c r="B130" s="15" t="s">
        <v>518</v>
      </c>
      <c r="C130" s="16" t="s">
        <v>70</v>
      </c>
      <c r="D130" s="16" t="n">
        <v>129</v>
      </c>
      <c r="E130" s="16" t="str">
        <f aca="false">C130&amp;"말씀 #"&amp;TEXT(D130,"000")</f>
        <v>구약말씀 #129</v>
      </c>
      <c r="F130" s="17" t="s">
        <v>494</v>
      </c>
      <c r="G130" s="18" t="s">
        <v>519</v>
      </c>
      <c r="H130" s="19" t="s">
        <v>520</v>
      </c>
      <c r="I130" s="17" t="s">
        <v>403</v>
      </c>
      <c r="J130" s="17" t="s">
        <v>148</v>
      </c>
      <c r="K130" s="20"/>
      <c r="L130" s="17" t="s">
        <v>76</v>
      </c>
      <c r="M130" s="17" t="n">
        <f aca="false">LEN(K130)</f>
        <v>0</v>
      </c>
      <c r="N130" s="17" t="str">
        <f aca="false">IF(M130=0,"-",ROUND(3+M130/안내!$C$12,0))</f>
        <v>-</v>
      </c>
      <c r="O130" s="21" t="str">
        <f aca="false">IF(K130="","(본문 입력 후 자동) | 욥 28:28",IF(LEN(K130)&gt;28,LEFT(K130,28)&amp;"…",K130)&amp;" | 욥 28:28")</f>
        <v>(본문 입력 후 자동) | 욥 28:28</v>
      </c>
      <c r="P130" s="21" t="str">
        <f aca="false">"#"&amp;SUBSTITUTE(안내!$C$5," ","")&amp;" #성경구절 #말씀 #욥기 #지혜"</f>
        <v>#오늘의말씀 #성경구절 #말씀 #욥기 #지혜</v>
      </c>
      <c r="Q130" s="21" t="s">
        <v>77</v>
      </c>
      <c r="R130" s="22" t="n">
        <f aca="false">안내!$C$6+INT((D130-1)/안내!$C$7)</f>
        <v>46452</v>
      </c>
      <c r="S130" s="17" t="str">
        <f aca="false">IF(MOD(D130-1,안내!$C$7)=0,안내!$C$8,안내!$C$10)</f>
        <v>06:30</v>
      </c>
      <c r="T130" s="17" t="str">
        <f aca="false">CHOOSE(WEEKDAY(R130,2),"월","화","수","목","금","토","일")</f>
        <v>토</v>
      </c>
      <c r="U130" s="17" t="s">
        <v>78</v>
      </c>
      <c r="V130" s="17" t="s">
        <v>78</v>
      </c>
      <c r="W130" s="23"/>
      <c r="X130" s="23"/>
      <c r="Y130" s="21"/>
    </row>
    <row r="131" customFormat="false" ht="15" hidden="false" customHeight="false" outlineLevel="0" collapsed="false">
      <c r="A131" s="16" t="n">
        <v>130</v>
      </c>
      <c r="B131" s="15" t="s">
        <v>521</v>
      </c>
      <c r="C131" s="16" t="s">
        <v>70</v>
      </c>
      <c r="D131" s="16" t="n">
        <v>130</v>
      </c>
      <c r="E131" s="16" t="str">
        <f aca="false">C131&amp;"말씀 #"&amp;TEXT(D131,"000")</f>
        <v>구약말씀 #130</v>
      </c>
      <c r="F131" s="17" t="s">
        <v>494</v>
      </c>
      <c r="G131" s="18" t="s">
        <v>522</v>
      </c>
      <c r="H131" s="19" t="s">
        <v>523</v>
      </c>
      <c r="I131" s="17" t="s">
        <v>88</v>
      </c>
      <c r="J131" s="17" t="s">
        <v>89</v>
      </c>
      <c r="K131" s="20"/>
      <c r="L131" s="17" t="s">
        <v>76</v>
      </c>
      <c r="M131" s="17" t="n">
        <f aca="false">LEN(K131)</f>
        <v>0</v>
      </c>
      <c r="N131" s="17" t="str">
        <f aca="false">IF(M131=0,"-",ROUND(3+M131/안내!$C$12,0))</f>
        <v>-</v>
      </c>
      <c r="O131" s="21" t="str">
        <f aca="false">IF(K131="","(본문 입력 후 자동) | 욥 33:4",IF(LEN(K131)&gt;28,LEFT(K131,28)&amp;"…",K131)&amp;" | 욥 33:4")</f>
        <v>(본문 입력 후 자동) | 욥 33:4</v>
      </c>
      <c r="P131" s="21" t="str">
        <f aca="false">"#"&amp;SUBSTITUTE(안내!$C$5," ","")&amp;" #성경구절 #말씀 #욥기 #생명"</f>
        <v>#오늘의말씀 #성경구절 #말씀 #욥기 #생명</v>
      </c>
      <c r="Q131" s="21" t="s">
        <v>77</v>
      </c>
      <c r="R131" s="22" t="n">
        <f aca="false">안내!$C$6+INT((D131-1)/안내!$C$7)</f>
        <v>46452</v>
      </c>
      <c r="S131" s="17" t="str">
        <f aca="false">IF(MOD(D131-1,안내!$C$7)=0,안내!$C$8,안내!$C$10)</f>
        <v>18:30</v>
      </c>
      <c r="T131" s="17" t="str">
        <f aca="false">CHOOSE(WEEKDAY(R131,2),"월","화","수","목","금","토","일")</f>
        <v>토</v>
      </c>
      <c r="U131" s="17" t="s">
        <v>78</v>
      </c>
      <c r="V131" s="17" t="s">
        <v>78</v>
      </c>
      <c r="W131" s="23"/>
      <c r="X131" s="23"/>
      <c r="Y131" s="21"/>
    </row>
    <row r="132" customFormat="false" ht="15" hidden="false" customHeight="false" outlineLevel="0" collapsed="false">
      <c r="A132" s="16" t="n">
        <v>131</v>
      </c>
      <c r="B132" s="15" t="s">
        <v>524</v>
      </c>
      <c r="C132" s="16" t="s">
        <v>70</v>
      </c>
      <c r="D132" s="16" t="n">
        <v>131</v>
      </c>
      <c r="E132" s="16" t="str">
        <f aca="false">C132&amp;"말씀 #"&amp;TEXT(D132,"000")</f>
        <v>구약말씀 #131</v>
      </c>
      <c r="F132" s="17" t="s">
        <v>494</v>
      </c>
      <c r="G132" s="18" t="s">
        <v>525</v>
      </c>
      <c r="H132" s="19" t="s">
        <v>526</v>
      </c>
      <c r="I132" s="17" t="s">
        <v>74</v>
      </c>
      <c r="J132" s="17" t="s">
        <v>75</v>
      </c>
      <c r="K132" s="20"/>
      <c r="L132" s="17" t="s">
        <v>76</v>
      </c>
      <c r="M132" s="17" t="n">
        <f aca="false">LEN(K132)</f>
        <v>0</v>
      </c>
      <c r="N132" s="17" t="str">
        <f aca="false">IF(M132=0,"-",ROUND(3+M132/안내!$C$12,0))</f>
        <v>-</v>
      </c>
      <c r="O132" s="21" t="str">
        <f aca="false">IF(K132="","(본문 입력 후 자동) | 욥 38:4",IF(LEN(K132)&gt;28,LEFT(K132,28)&amp;"…",K132)&amp;" | 욥 38:4")</f>
        <v>(본문 입력 후 자동) | 욥 38:4</v>
      </c>
      <c r="P132" s="21" t="str">
        <f aca="false">"#"&amp;SUBSTITUTE(안내!$C$5," ","")&amp;" #성경구절 #말씀 #욥기 #창조"</f>
        <v>#오늘의말씀 #성경구절 #말씀 #욥기 #창조</v>
      </c>
      <c r="Q132" s="21" t="s">
        <v>77</v>
      </c>
      <c r="R132" s="22" t="n">
        <f aca="false">안내!$C$6+INT((D132-1)/안내!$C$7)</f>
        <v>46453</v>
      </c>
      <c r="S132" s="17" t="str">
        <f aca="false">IF(MOD(D132-1,안내!$C$7)=0,안내!$C$8,안내!$C$10)</f>
        <v>06:30</v>
      </c>
      <c r="T132" s="17" t="str">
        <f aca="false">CHOOSE(WEEKDAY(R132,2),"월","화","수","목","금","토","일")</f>
        <v>일</v>
      </c>
      <c r="U132" s="17" t="s">
        <v>78</v>
      </c>
      <c r="V132" s="17" t="s">
        <v>78</v>
      </c>
      <c r="W132" s="23"/>
      <c r="X132" s="23"/>
      <c r="Y132" s="21"/>
    </row>
    <row r="133" customFormat="false" ht="15" hidden="false" customHeight="false" outlineLevel="0" collapsed="false">
      <c r="A133" s="16" t="n">
        <v>132</v>
      </c>
      <c r="B133" s="15" t="s">
        <v>527</v>
      </c>
      <c r="C133" s="16" t="s">
        <v>70</v>
      </c>
      <c r="D133" s="16" t="n">
        <v>132</v>
      </c>
      <c r="E133" s="16" t="str">
        <f aca="false">C133&amp;"말씀 #"&amp;TEXT(D133,"000")</f>
        <v>구약말씀 #132</v>
      </c>
      <c r="F133" s="17" t="s">
        <v>494</v>
      </c>
      <c r="G133" s="18" t="s">
        <v>528</v>
      </c>
      <c r="H133" s="19" t="s">
        <v>529</v>
      </c>
      <c r="I133" s="17" t="s">
        <v>140</v>
      </c>
      <c r="J133" s="17" t="s">
        <v>113</v>
      </c>
      <c r="K133" s="20"/>
      <c r="L133" s="17" t="s">
        <v>76</v>
      </c>
      <c r="M133" s="17" t="n">
        <f aca="false">LEN(K133)</f>
        <v>0</v>
      </c>
      <c r="N133" s="17" t="str">
        <f aca="false">IF(M133=0,"-",ROUND(3+M133/안내!$C$12,0))</f>
        <v>-</v>
      </c>
      <c r="O133" s="21" t="str">
        <f aca="false">IF(K133="","(본문 입력 후 자동) | 욥 42:2",IF(LEN(K133)&gt;28,LEFT(K133,28)&amp;"…",K133)&amp;" | 욥 42:2")</f>
        <v>(본문 입력 후 자동) | 욥 42:2</v>
      </c>
      <c r="P133" s="21" t="str">
        <f aca="false">"#"&amp;SUBSTITUTE(안내!$C$5," ","")&amp;" #성경구절 #말씀 #욥기 #능력"</f>
        <v>#오늘의말씀 #성경구절 #말씀 #욥기 #능력</v>
      </c>
      <c r="Q133" s="21" t="s">
        <v>77</v>
      </c>
      <c r="R133" s="22" t="n">
        <f aca="false">안내!$C$6+INT((D133-1)/안내!$C$7)</f>
        <v>46453</v>
      </c>
      <c r="S133" s="17" t="str">
        <f aca="false">IF(MOD(D133-1,안내!$C$7)=0,안내!$C$8,안내!$C$10)</f>
        <v>18:30</v>
      </c>
      <c r="T133" s="17" t="str">
        <f aca="false">CHOOSE(WEEKDAY(R133,2),"월","화","수","목","금","토","일")</f>
        <v>일</v>
      </c>
      <c r="U133" s="17" t="s">
        <v>78</v>
      </c>
      <c r="V133" s="17" t="s">
        <v>78</v>
      </c>
      <c r="W133" s="23"/>
      <c r="X133" s="23"/>
      <c r="Y133" s="21"/>
    </row>
    <row r="134" customFormat="false" ht="15" hidden="false" customHeight="false" outlineLevel="0" collapsed="false">
      <c r="A134" s="16" t="n">
        <v>133</v>
      </c>
      <c r="B134" s="15" t="s">
        <v>530</v>
      </c>
      <c r="C134" s="16" t="s">
        <v>70</v>
      </c>
      <c r="D134" s="16" t="n">
        <v>133</v>
      </c>
      <c r="E134" s="16" t="str">
        <f aca="false">C134&amp;"말씀 #"&amp;TEXT(D134,"000")</f>
        <v>구약말씀 #133</v>
      </c>
      <c r="F134" s="17" t="s">
        <v>494</v>
      </c>
      <c r="G134" s="18" t="s">
        <v>531</v>
      </c>
      <c r="H134" s="19" t="s">
        <v>532</v>
      </c>
      <c r="I134" s="17" t="s">
        <v>133</v>
      </c>
      <c r="J134" s="17" t="s">
        <v>113</v>
      </c>
      <c r="K134" s="20"/>
      <c r="L134" s="17" t="s">
        <v>76</v>
      </c>
      <c r="M134" s="17" t="n">
        <f aca="false">LEN(K134)</f>
        <v>0</v>
      </c>
      <c r="N134" s="17" t="str">
        <f aca="false">IF(M134=0,"-",ROUND(3+M134/안내!$C$12,0))</f>
        <v>-</v>
      </c>
      <c r="O134" s="21" t="str">
        <f aca="false">IF(K134="","(본문 입력 후 자동) | 욥 42:5",IF(LEN(K134)&gt;28,LEFT(K134,28)&amp;"…",K134)&amp;" | 욥 42:5")</f>
        <v>(본문 입력 후 자동) | 욥 42:5</v>
      </c>
      <c r="P134" s="21" t="str">
        <f aca="false">"#"&amp;SUBSTITUTE(안내!$C$5," ","")&amp;" #성경구절 #말씀 #욥기 #믿음"</f>
        <v>#오늘의말씀 #성경구절 #말씀 #욥기 #믿음</v>
      </c>
      <c r="Q134" s="21" t="s">
        <v>77</v>
      </c>
      <c r="R134" s="22" t="n">
        <f aca="false">안내!$C$6+INT((D134-1)/안내!$C$7)</f>
        <v>46454</v>
      </c>
      <c r="S134" s="17" t="str">
        <f aca="false">IF(MOD(D134-1,안내!$C$7)=0,안내!$C$8,안내!$C$10)</f>
        <v>06:30</v>
      </c>
      <c r="T134" s="17" t="str">
        <f aca="false">CHOOSE(WEEKDAY(R134,2),"월","화","수","목","금","토","일")</f>
        <v>월</v>
      </c>
      <c r="U134" s="17" t="s">
        <v>78</v>
      </c>
      <c r="V134" s="17" t="s">
        <v>78</v>
      </c>
      <c r="W134" s="23"/>
      <c r="X134" s="23"/>
      <c r="Y134" s="21"/>
    </row>
    <row r="135" customFormat="false" ht="15" hidden="false" customHeight="false" outlineLevel="0" collapsed="false">
      <c r="A135" s="16" t="n">
        <v>134</v>
      </c>
      <c r="B135" s="15" t="s">
        <v>533</v>
      </c>
      <c r="C135" s="16" t="s">
        <v>70</v>
      </c>
      <c r="D135" s="16" t="n">
        <v>134</v>
      </c>
      <c r="E135" s="16" t="str">
        <f aca="false">C135&amp;"말씀 #"&amp;TEXT(D135,"000")</f>
        <v>구약말씀 #134</v>
      </c>
      <c r="F135" s="17" t="s">
        <v>534</v>
      </c>
      <c r="G135" s="18" t="s">
        <v>72</v>
      </c>
      <c r="H135" s="19" t="s">
        <v>535</v>
      </c>
      <c r="I135" s="17" t="s">
        <v>536</v>
      </c>
      <c r="J135" s="17" t="s">
        <v>148</v>
      </c>
      <c r="K135" s="20"/>
      <c r="L135" s="17" t="s">
        <v>76</v>
      </c>
      <c r="M135" s="17" t="n">
        <f aca="false">LEN(K135)</f>
        <v>0</v>
      </c>
      <c r="N135" s="17" t="str">
        <f aca="false">IF(M135=0,"-",ROUND(3+M135/안내!$C$12,0))</f>
        <v>-</v>
      </c>
      <c r="O135" s="21" t="str">
        <f aca="false">IF(K135="","(본문 입력 후 자동) | 시 1:1",IF(LEN(K135)&gt;28,LEFT(K135,28)&amp;"…",K135)&amp;" | 시 1:1")</f>
        <v>(본문 입력 후 자동) | 시 1:1</v>
      </c>
      <c r="P135" s="21" t="str">
        <f aca="false">"#"&amp;SUBSTITUTE(안내!$C$5," ","")&amp;" #성경구절 #말씀 #시편 #복"</f>
        <v>#오늘의말씀 #성경구절 #말씀 #시편 #복</v>
      </c>
      <c r="Q135" s="21" t="s">
        <v>77</v>
      </c>
      <c r="R135" s="22" t="n">
        <f aca="false">안내!$C$6+INT((D135-1)/안내!$C$7)</f>
        <v>46454</v>
      </c>
      <c r="S135" s="17" t="str">
        <f aca="false">IF(MOD(D135-1,안내!$C$7)=0,안내!$C$8,안내!$C$10)</f>
        <v>18:30</v>
      </c>
      <c r="T135" s="17" t="str">
        <f aca="false">CHOOSE(WEEKDAY(R135,2),"월","화","수","목","금","토","일")</f>
        <v>월</v>
      </c>
      <c r="U135" s="17" t="s">
        <v>78</v>
      </c>
      <c r="V135" s="17" t="s">
        <v>78</v>
      </c>
      <c r="W135" s="23"/>
      <c r="X135" s="23"/>
      <c r="Y135" s="21"/>
    </row>
    <row r="136" customFormat="false" ht="15" hidden="false" customHeight="false" outlineLevel="0" collapsed="false">
      <c r="A136" s="16" t="n">
        <v>135</v>
      </c>
      <c r="B136" s="15" t="s">
        <v>537</v>
      </c>
      <c r="C136" s="16" t="s">
        <v>70</v>
      </c>
      <c r="D136" s="16" t="n">
        <v>135</v>
      </c>
      <c r="E136" s="16" t="str">
        <f aca="false">C136&amp;"말씀 #"&amp;TEXT(D136,"000")</f>
        <v>구약말씀 #135</v>
      </c>
      <c r="F136" s="17" t="s">
        <v>534</v>
      </c>
      <c r="G136" s="18" t="s">
        <v>538</v>
      </c>
      <c r="H136" s="19" t="s">
        <v>539</v>
      </c>
      <c r="I136" s="17" t="s">
        <v>284</v>
      </c>
      <c r="J136" s="17" t="s">
        <v>148</v>
      </c>
      <c r="K136" s="20"/>
      <c r="L136" s="17" t="s">
        <v>76</v>
      </c>
      <c r="M136" s="17" t="n">
        <f aca="false">LEN(K136)</f>
        <v>0</v>
      </c>
      <c r="N136" s="17" t="str">
        <f aca="false">IF(M136=0,"-",ROUND(3+M136/안내!$C$12,0))</f>
        <v>-</v>
      </c>
      <c r="O136" s="21" t="str">
        <f aca="false">IF(K136="","(본문 입력 후 자동) | 시 1:2",IF(LEN(K136)&gt;28,LEFT(K136,28)&amp;"…",K136)&amp;" | 시 1:2")</f>
        <v>(본문 입력 후 자동) | 시 1:2</v>
      </c>
      <c r="P136" s="21" t="str">
        <f aca="false">"#"&amp;SUBSTITUTE(안내!$C$5," ","")&amp;" #성경구절 #말씀 #시편 #말씀"</f>
        <v>#오늘의말씀 #성경구절 #말씀 #시편 #말씀</v>
      </c>
      <c r="Q136" s="21" t="s">
        <v>77</v>
      </c>
      <c r="R136" s="22" t="n">
        <f aca="false">안내!$C$6+INT((D136-1)/안내!$C$7)</f>
        <v>46455</v>
      </c>
      <c r="S136" s="17" t="str">
        <f aca="false">IF(MOD(D136-1,안내!$C$7)=0,안내!$C$8,안내!$C$10)</f>
        <v>06:30</v>
      </c>
      <c r="T136" s="17" t="str">
        <f aca="false">CHOOSE(WEEKDAY(R136,2),"월","화","수","목","금","토","일")</f>
        <v>화</v>
      </c>
      <c r="U136" s="17" t="s">
        <v>78</v>
      </c>
      <c r="V136" s="17" t="s">
        <v>78</v>
      </c>
      <c r="W136" s="23"/>
      <c r="X136" s="23"/>
      <c r="Y136" s="21"/>
    </row>
    <row r="137" customFormat="false" ht="15" hidden="false" customHeight="false" outlineLevel="0" collapsed="false">
      <c r="A137" s="16" t="n">
        <v>136</v>
      </c>
      <c r="B137" s="15" t="s">
        <v>540</v>
      </c>
      <c r="C137" s="16" t="s">
        <v>70</v>
      </c>
      <c r="D137" s="16" t="n">
        <v>136</v>
      </c>
      <c r="E137" s="16" t="str">
        <f aca="false">C137&amp;"말씀 #"&amp;TEXT(D137,"000")</f>
        <v>구약말씀 #136</v>
      </c>
      <c r="F137" s="17" t="s">
        <v>534</v>
      </c>
      <c r="G137" s="18" t="s">
        <v>541</v>
      </c>
      <c r="H137" s="19" t="s">
        <v>542</v>
      </c>
      <c r="I137" s="17" t="s">
        <v>353</v>
      </c>
      <c r="J137" s="17" t="s">
        <v>113</v>
      </c>
      <c r="K137" s="20"/>
      <c r="L137" s="17" t="s">
        <v>76</v>
      </c>
      <c r="M137" s="17" t="n">
        <f aca="false">LEN(K137)</f>
        <v>0</v>
      </c>
      <c r="N137" s="17" t="str">
        <f aca="false">IF(M137=0,"-",ROUND(3+M137/안내!$C$12,0))</f>
        <v>-</v>
      </c>
      <c r="O137" s="21" t="str">
        <f aca="false">IF(K137="","(본문 입력 후 자동) | 시 3:3",IF(LEN(K137)&gt;28,LEFT(K137,28)&amp;"…",K137)&amp;" | 시 3:3")</f>
        <v>(본문 입력 후 자동) | 시 3:3</v>
      </c>
      <c r="P137" s="21" t="str">
        <f aca="false">"#"&amp;SUBSTITUTE(안내!$C$5," ","")&amp;" #성경구절 #말씀 #시편 #보호"</f>
        <v>#오늘의말씀 #성경구절 #말씀 #시편 #보호</v>
      </c>
      <c r="Q137" s="21" t="s">
        <v>77</v>
      </c>
      <c r="R137" s="22" t="n">
        <f aca="false">안내!$C$6+INT((D137-1)/안내!$C$7)</f>
        <v>46455</v>
      </c>
      <c r="S137" s="17" t="str">
        <f aca="false">IF(MOD(D137-1,안내!$C$7)=0,안내!$C$8,안내!$C$10)</f>
        <v>18:30</v>
      </c>
      <c r="T137" s="17" t="str">
        <f aca="false">CHOOSE(WEEKDAY(R137,2),"월","화","수","목","금","토","일")</f>
        <v>화</v>
      </c>
      <c r="U137" s="17" t="s">
        <v>78</v>
      </c>
      <c r="V137" s="17" t="s">
        <v>78</v>
      </c>
      <c r="W137" s="23"/>
      <c r="X137" s="23"/>
      <c r="Y137" s="21"/>
    </row>
    <row r="138" customFormat="false" ht="15" hidden="false" customHeight="false" outlineLevel="0" collapsed="false">
      <c r="A138" s="16" t="n">
        <v>137</v>
      </c>
      <c r="B138" s="15" t="s">
        <v>543</v>
      </c>
      <c r="C138" s="16" t="s">
        <v>70</v>
      </c>
      <c r="D138" s="16" t="n">
        <v>137</v>
      </c>
      <c r="E138" s="16" t="str">
        <f aca="false">C138&amp;"말씀 #"&amp;TEXT(D138,"000")</f>
        <v>구약말씀 #137</v>
      </c>
      <c r="F138" s="17" t="s">
        <v>534</v>
      </c>
      <c r="G138" s="18" t="s">
        <v>544</v>
      </c>
      <c r="H138" s="19" t="s">
        <v>545</v>
      </c>
      <c r="I138" s="17" t="s">
        <v>221</v>
      </c>
      <c r="J138" s="17" t="s">
        <v>99</v>
      </c>
      <c r="K138" s="20"/>
      <c r="L138" s="17" t="s">
        <v>76</v>
      </c>
      <c r="M138" s="17" t="n">
        <f aca="false">LEN(K138)</f>
        <v>0</v>
      </c>
      <c r="N138" s="17" t="str">
        <f aca="false">IF(M138=0,"-",ROUND(3+M138/안내!$C$12,0))</f>
        <v>-</v>
      </c>
      <c r="O138" s="21" t="str">
        <f aca="false">IF(K138="","(본문 입력 후 자동) | 시 4:8",IF(LEN(K138)&gt;28,LEFT(K138,28)&amp;"…",K138)&amp;" | 시 4:8")</f>
        <v>(본문 입력 후 자동) | 시 4:8</v>
      </c>
      <c r="P138" s="21" t="str">
        <f aca="false">"#"&amp;SUBSTITUTE(안내!$C$5," ","")&amp;" #성경구절 #말씀 #시편 #평안"</f>
        <v>#오늘의말씀 #성경구절 #말씀 #시편 #평안</v>
      </c>
      <c r="Q138" s="21" t="s">
        <v>77</v>
      </c>
      <c r="R138" s="22" t="n">
        <f aca="false">안내!$C$6+INT((D138-1)/안내!$C$7)</f>
        <v>46456</v>
      </c>
      <c r="S138" s="17" t="str">
        <f aca="false">IF(MOD(D138-1,안내!$C$7)=0,안내!$C$8,안내!$C$10)</f>
        <v>06:30</v>
      </c>
      <c r="T138" s="17" t="str">
        <f aca="false">CHOOSE(WEEKDAY(R138,2),"월","화","수","목","금","토","일")</f>
        <v>수</v>
      </c>
      <c r="U138" s="17" t="s">
        <v>78</v>
      </c>
      <c r="V138" s="17" t="s">
        <v>78</v>
      </c>
      <c r="W138" s="23"/>
      <c r="X138" s="23"/>
      <c r="Y138" s="21"/>
    </row>
    <row r="139" customFormat="false" ht="15" hidden="false" customHeight="false" outlineLevel="0" collapsed="false">
      <c r="A139" s="16" t="n">
        <v>138</v>
      </c>
      <c r="B139" s="15" t="s">
        <v>546</v>
      </c>
      <c r="C139" s="16" t="s">
        <v>70</v>
      </c>
      <c r="D139" s="16" t="n">
        <v>138</v>
      </c>
      <c r="E139" s="16" t="str">
        <f aca="false">C139&amp;"말씀 #"&amp;TEXT(D139,"000")</f>
        <v>구약말씀 #138</v>
      </c>
      <c r="F139" s="17" t="s">
        <v>534</v>
      </c>
      <c r="G139" s="18" t="s">
        <v>547</v>
      </c>
      <c r="H139" s="19" t="s">
        <v>548</v>
      </c>
      <c r="I139" s="17" t="s">
        <v>160</v>
      </c>
      <c r="J139" s="17" t="s">
        <v>104</v>
      </c>
      <c r="K139" s="20"/>
      <c r="L139" s="17" t="s">
        <v>76</v>
      </c>
      <c r="M139" s="17" t="n">
        <f aca="false">LEN(K139)</f>
        <v>0</v>
      </c>
      <c r="N139" s="17" t="str">
        <f aca="false">IF(M139=0,"-",ROUND(3+M139/안내!$C$12,0))</f>
        <v>-</v>
      </c>
      <c r="O139" s="21" t="str">
        <f aca="false">IF(K139="","(본문 입력 후 자동) | 시 5:3",IF(LEN(K139)&gt;28,LEFT(K139,28)&amp;"…",K139)&amp;" | 시 5:3")</f>
        <v>(본문 입력 후 자동) | 시 5:3</v>
      </c>
      <c r="P139" s="21" t="str">
        <f aca="false">"#"&amp;SUBSTITUTE(안내!$C$5," ","")&amp;" #성경구절 #말씀 #시편 #기도"</f>
        <v>#오늘의말씀 #성경구절 #말씀 #시편 #기도</v>
      </c>
      <c r="Q139" s="21" t="s">
        <v>77</v>
      </c>
      <c r="R139" s="22" t="n">
        <f aca="false">안내!$C$6+INT((D139-1)/안내!$C$7)</f>
        <v>46456</v>
      </c>
      <c r="S139" s="17" t="str">
        <f aca="false">IF(MOD(D139-1,안내!$C$7)=0,안내!$C$8,안내!$C$10)</f>
        <v>18:30</v>
      </c>
      <c r="T139" s="17" t="str">
        <f aca="false">CHOOSE(WEEKDAY(R139,2),"월","화","수","목","금","토","일")</f>
        <v>수</v>
      </c>
      <c r="U139" s="17" t="s">
        <v>78</v>
      </c>
      <c r="V139" s="17" t="s">
        <v>78</v>
      </c>
      <c r="W139" s="23"/>
      <c r="X139" s="23"/>
      <c r="Y139" s="21"/>
    </row>
    <row r="140" customFormat="false" ht="15" hidden="false" customHeight="false" outlineLevel="0" collapsed="false">
      <c r="A140" s="16" t="n">
        <v>139</v>
      </c>
      <c r="B140" s="15" t="s">
        <v>549</v>
      </c>
      <c r="C140" s="16" t="s">
        <v>70</v>
      </c>
      <c r="D140" s="16" t="n">
        <v>139</v>
      </c>
      <c r="E140" s="16" t="str">
        <f aca="false">C140&amp;"말씀 #"&amp;TEXT(D140,"000")</f>
        <v>구약말씀 #139</v>
      </c>
      <c r="F140" s="17" t="s">
        <v>534</v>
      </c>
      <c r="G140" s="18" t="s">
        <v>550</v>
      </c>
      <c r="H140" s="19" t="s">
        <v>551</v>
      </c>
      <c r="I140" s="17" t="s">
        <v>196</v>
      </c>
      <c r="J140" s="17" t="s">
        <v>75</v>
      </c>
      <c r="K140" s="20"/>
      <c r="L140" s="17" t="s">
        <v>76</v>
      </c>
      <c r="M140" s="17" t="n">
        <f aca="false">LEN(K140)</f>
        <v>0</v>
      </c>
      <c r="N140" s="17" t="str">
        <f aca="false">IF(M140=0,"-",ROUND(3+M140/안내!$C$12,0))</f>
        <v>-</v>
      </c>
      <c r="O140" s="21" t="str">
        <f aca="false">IF(K140="","(본문 입력 후 자동) | 시 8:1",IF(LEN(K140)&gt;28,LEFT(K140,28)&amp;"…",K140)&amp;" | 시 8:1")</f>
        <v>(본문 입력 후 자동) | 시 8:1</v>
      </c>
      <c r="P140" s="21" t="str">
        <f aca="false">"#"&amp;SUBSTITUTE(안내!$C$5," ","")&amp;" #성경구절 #말씀 #시편 #찬양"</f>
        <v>#오늘의말씀 #성경구절 #말씀 #시편 #찬양</v>
      </c>
      <c r="Q140" s="21" t="s">
        <v>77</v>
      </c>
      <c r="R140" s="22" t="n">
        <f aca="false">안내!$C$6+INT((D140-1)/안내!$C$7)</f>
        <v>46457</v>
      </c>
      <c r="S140" s="17" t="str">
        <f aca="false">IF(MOD(D140-1,안내!$C$7)=0,안내!$C$8,안내!$C$10)</f>
        <v>06:30</v>
      </c>
      <c r="T140" s="17" t="str">
        <f aca="false">CHOOSE(WEEKDAY(R140,2),"월","화","수","목","금","토","일")</f>
        <v>목</v>
      </c>
      <c r="U140" s="17" t="s">
        <v>78</v>
      </c>
      <c r="V140" s="17" t="s">
        <v>78</v>
      </c>
      <c r="W140" s="23"/>
      <c r="X140" s="23"/>
      <c r="Y140" s="21"/>
    </row>
    <row r="141" customFormat="false" ht="15" hidden="false" customHeight="false" outlineLevel="0" collapsed="false">
      <c r="A141" s="16" t="n">
        <v>140</v>
      </c>
      <c r="B141" s="15" t="s">
        <v>552</v>
      </c>
      <c r="C141" s="16" t="s">
        <v>70</v>
      </c>
      <c r="D141" s="16" t="n">
        <v>140</v>
      </c>
      <c r="E141" s="16" t="str">
        <f aca="false">C141&amp;"말씀 #"&amp;TEXT(D141,"000")</f>
        <v>구약말씀 #140</v>
      </c>
      <c r="F141" s="17" t="s">
        <v>534</v>
      </c>
      <c r="G141" s="18" t="s">
        <v>553</v>
      </c>
      <c r="H141" s="19" t="s">
        <v>554</v>
      </c>
      <c r="I141" s="17" t="s">
        <v>74</v>
      </c>
      <c r="J141" s="17" t="s">
        <v>75</v>
      </c>
      <c r="K141" s="20"/>
      <c r="L141" s="17" t="s">
        <v>76</v>
      </c>
      <c r="M141" s="17" t="n">
        <f aca="false">LEN(K141)</f>
        <v>0</v>
      </c>
      <c r="N141" s="17" t="str">
        <f aca="false">IF(M141=0,"-",ROUND(3+M141/안내!$C$12,0))</f>
        <v>-</v>
      </c>
      <c r="O141" s="21" t="str">
        <f aca="false">IF(K141="","(본문 입력 후 자동) | 시 8:4",IF(LEN(K141)&gt;28,LEFT(K141,28)&amp;"…",K141)&amp;" | 시 8:4")</f>
        <v>(본문 입력 후 자동) | 시 8:4</v>
      </c>
      <c r="P141" s="21" t="str">
        <f aca="false">"#"&amp;SUBSTITUTE(안내!$C$5," ","")&amp;" #성경구절 #말씀 #시편 #창조"</f>
        <v>#오늘의말씀 #성경구절 #말씀 #시편 #창조</v>
      </c>
      <c r="Q141" s="21" t="s">
        <v>77</v>
      </c>
      <c r="R141" s="22" t="n">
        <f aca="false">안내!$C$6+INT((D141-1)/안내!$C$7)</f>
        <v>46457</v>
      </c>
      <c r="S141" s="17" t="str">
        <f aca="false">IF(MOD(D141-1,안내!$C$7)=0,안내!$C$8,안내!$C$10)</f>
        <v>18:30</v>
      </c>
      <c r="T141" s="17" t="str">
        <f aca="false">CHOOSE(WEEKDAY(R141,2),"월","화","수","목","금","토","일")</f>
        <v>목</v>
      </c>
      <c r="U141" s="17" t="s">
        <v>78</v>
      </c>
      <c r="V141" s="17" t="s">
        <v>78</v>
      </c>
      <c r="W141" s="23"/>
      <c r="X141" s="23"/>
      <c r="Y141" s="21"/>
    </row>
    <row r="142" customFormat="false" ht="15" hidden="false" customHeight="false" outlineLevel="0" collapsed="false">
      <c r="A142" s="16" t="n">
        <v>141</v>
      </c>
      <c r="B142" s="15" t="s">
        <v>555</v>
      </c>
      <c r="C142" s="16" t="s">
        <v>70</v>
      </c>
      <c r="D142" s="16" t="n">
        <v>141</v>
      </c>
      <c r="E142" s="16" t="str">
        <f aca="false">C142&amp;"말씀 #"&amp;TEXT(D142,"000")</f>
        <v>구약말씀 #141</v>
      </c>
      <c r="F142" s="17" t="s">
        <v>534</v>
      </c>
      <c r="G142" s="18" t="s">
        <v>556</v>
      </c>
      <c r="H142" s="19" t="s">
        <v>557</v>
      </c>
      <c r="I142" s="17" t="s">
        <v>369</v>
      </c>
      <c r="J142" s="17" t="s">
        <v>148</v>
      </c>
      <c r="K142" s="20"/>
      <c r="L142" s="17" t="s">
        <v>76</v>
      </c>
      <c r="M142" s="17" t="n">
        <f aca="false">LEN(K142)</f>
        <v>0</v>
      </c>
      <c r="N142" s="17" t="str">
        <f aca="false">IF(M142=0,"-",ROUND(3+M142/안내!$C$12,0))</f>
        <v>-</v>
      </c>
      <c r="O142" s="21" t="str">
        <f aca="false">IF(K142="","(본문 입력 후 자동) | 시 9:1",IF(LEN(K142)&gt;28,LEFT(K142,28)&amp;"…",K142)&amp;" | 시 9:1")</f>
        <v>(본문 입력 후 자동) | 시 9:1</v>
      </c>
      <c r="P142" s="21" t="str">
        <f aca="false">"#"&amp;SUBSTITUTE(안내!$C$5," ","")&amp;" #성경구절 #말씀 #시편 #감사"</f>
        <v>#오늘의말씀 #성경구절 #말씀 #시편 #감사</v>
      </c>
      <c r="Q142" s="21" t="s">
        <v>77</v>
      </c>
      <c r="R142" s="22" t="n">
        <f aca="false">안내!$C$6+INT((D142-1)/안내!$C$7)</f>
        <v>46458</v>
      </c>
      <c r="S142" s="17" t="str">
        <f aca="false">IF(MOD(D142-1,안내!$C$7)=0,안내!$C$8,안내!$C$10)</f>
        <v>06:30</v>
      </c>
      <c r="T142" s="17" t="str">
        <f aca="false">CHOOSE(WEEKDAY(R142,2),"월","화","수","목","금","토","일")</f>
        <v>금</v>
      </c>
      <c r="U142" s="17" t="s">
        <v>78</v>
      </c>
      <c r="V142" s="17" t="s">
        <v>78</v>
      </c>
      <c r="W142" s="23"/>
      <c r="X142" s="23"/>
      <c r="Y142" s="21"/>
    </row>
    <row r="143" customFormat="false" ht="15" hidden="false" customHeight="false" outlineLevel="0" collapsed="false">
      <c r="A143" s="16" t="n">
        <v>142</v>
      </c>
      <c r="B143" s="15" t="s">
        <v>558</v>
      </c>
      <c r="C143" s="16" t="s">
        <v>70</v>
      </c>
      <c r="D143" s="16" t="n">
        <v>142</v>
      </c>
      <c r="E143" s="16" t="str">
        <f aca="false">C143&amp;"말씀 #"&amp;TEXT(D143,"000")</f>
        <v>구약말씀 #142</v>
      </c>
      <c r="F143" s="17" t="s">
        <v>534</v>
      </c>
      <c r="G143" s="18" t="s">
        <v>559</v>
      </c>
      <c r="H143" s="19" t="s">
        <v>560</v>
      </c>
      <c r="I143" s="17" t="s">
        <v>152</v>
      </c>
      <c r="J143" s="17" t="s">
        <v>122</v>
      </c>
      <c r="K143" s="20"/>
      <c r="L143" s="17" t="s">
        <v>76</v>
      </c>
      <c r="M143" s="17" t="n">
        <f aca="false">LEN(K143)</f>
        <v>0</v>
      </c>
      <c r="N143" s="17" t="str">
        <f aca="false">IF(M143=0,"-",ROUND(3+M143/안내!$C$12,0))</f>
        <v>-</v>
      </c>
      <c r="O143" s="21" t="str">
        <f aca="false">IF(K143="","(본문 입력 후 자동) | 시 16:8",IF(LEN(K143)&gt;28,LEFT(K143,28)&amp;"…",K143)&amp;" | 시 16:8")</f>
        <v>(본문 입력 후 자동) | 시 16:8</v>
      </c>
      <c r="P143" s="21" t="str">
        <f aca="false">"#"&amp;SUBSTITUTE(안내!$C$5," ","")&amp;" #성경구절 #말씀 #시편 #동행"</f>
        <v>#오늘의말씀 #성경구절 #말씀 #시편 #동행</v>
      </c>
      <c r="Q143" s="21" t="s">
        <v>77</v>
      </c>
      <c r="R143" s="22" t="n">
        <f aca="false">안내!$C$6+INT((D143-1)/안내!$C$7)</f>
        <v>46458</v>
      </c>
      <c r="S143" s="17" t="str">
        <f aca="false">IF(MOD(D143-1,안내!$C$7)=0,안내!$C$8,안내!$C$10)</f>
        <v>18:30</v>
      </c>
      <c r="T143" s="17" t="str">
        <f aca="false">CHOOSE(WEEKDAY(R143,2),"월","화","수","목","금","토","일")</f>
        <v>금</v>
      </c>
      <c r="U143" s="17" t="s">
        <v>78</v>
      </c>
      <c r="V143" s="17" t="s">
        <v>78</v>
      </c>
      <c r="W143" s="23"/>
      <c r="X143" s="23"/>
      <c r="Y143" s="21"/>
    </row>
    <row r="144" customFormat="false" ht="25.35" hidden="false" customHeight="false" outlineLevel="0" collapsed="false">
      <c r="A144" s="16" t="n">
        <v>143</v>
      </c>
      <c r="B144" s="15" t="s">
        <v>561</v>
      </c>
      <c r="C144" s="16" t="s">
        <v>70</v>
      </c>
      <c r="D144" s="16" t="n">
        <v>143</v>
      </c>
      <c r="E144" s="16" t="str">
        <f aca="false">C144&amp;"말씀 #"&amp;TEXT(D144,"000")</f>
        <v>구약말씀 #143</v>
      </c>
      <c r="F144" s="17" t="s">
        <v>534</v>
      </c>
      <c r="G144" s="18" t="s">
        <v>439</v>
      </c>
      <c r="H144" s="19" t="s">
        <v>562</v>
      </c>
      <c r="I144" s="17" t="s">
        <v>483</v>
      </c>
      <c r="J144" s="17" t="s">
        <v>89</v>
      </c>
      <c r="K144" s="20"/>
      <c r="L144" s="17" t="s">
        <v>76</v>
      </c>
      <c r="M144" s="17" t="n">
        <f aca="false">LEN(K144)</f>
        <v>0</v>
      </c>
      <c r="N144" s="17" t="str">
        <f aca="false">IF(M144=0,"-",ROUND(3+M144/안내!$C$12,0))</f>
        <v>-</v>
      </c>
      <c r="O144" s="21" t="str">
        <f aca="false">IF(K144="","(본문 입력 후 자동) | 시 16:11",IF(LEN(K144)&gt;28,LEFT(K144,28)&amp;"…",K144)&amp;" | 시 16:11")</f>
        <v>(본문 입력 후 자동) | 시 16:11</v>
      </c>
      <c r="P144" s="21" t="str">
        <f aca="false">"#"&amp;SUBSTITUTE(안내!$C$5," ","")&amp;" #성경구절 #말씀 #시편 #기쁨"</f>
        <v>#오늘의말씀 #성경구절 #말씀 #시편 #기쁨</v>
      </c>
      <c r="Q144" s="21" t="s">
        <v>77</v>
      </c>
      <c r="R144" s="22" t="n">
        <f aca="false">안내!$C$6+INT((D144-1)/안내!$C$7)</f>
        <v>46459</v>
      </c>
      <c r="S144" s="17" t="str">
        <f aca="false">IF(MOD(D144-1,안내!$C$7)=0,안내!$C$8,안내!$C$10)</f>
        <v>06:30</v>
      </c>
      <c r="T144" s="17" t="str">
        <f aca="false">CHOOSE(WEEKDAY(R144,2),"월","화","수","목","금","토","일")</f>
        <v>토</v>
      </c>
      <c r="U144" s="17" t="s">
        <v>78</v>
      </c>
      <c r="V144" s="17" t="s">
        <v>78</v>
      </c>
      <c r="W144" s="23"/>
      <c r="X144" s="23"/>
      <c r="Y144" s="21"/>
    </row>
    <row r="145" customFormat="false" ht="15" hidden="false" customHeight="false" outlineLevel="0" collapsed="false">
      <c r="A145" s="16" t="n">
        <v>144</v>
      </c>
      <c r="B145" s="15" t="s">
        <v>563</v>
      </c>
      <c r="C145" s="16" t="s">
        <v>70</v>
      </c>
      <c r="D145" s="16" t="n">
        <v>144</v>
      </c>
      <c r="E145" s="16" t="str">
        <f aca="false">C145&amp;"말씀 #"&amp;TEXT(D145,"000")</f>
        <v>구약말씀 #144</v>
      </c>
      <c r="F145" s="17" t="s">
        <v>534</v>
      </c>
      <c r="G145" s="18" t="s">
        <v>564</v>
      </c>
      <c r="H145" s="19" t="s">
        <v>565</v>
      </c>
      <c r="I145" s="17" t="s">
        <v>239</v>
      </c>
      <c r="J145" s="17" t="s">
        <v>94</v>
      </c>
      <c r="K145" s="20"/>
      <c r="L145" s="17" t="s">
        <v>76</v>
      </c>
      <c r="M145" s="17" t="n">
        <f aca="false">LEN(K145)</f>
        <v>0</v>
      </c>
      <c r="N145" s="17" t="str">
        <f aca="false">IF(M145=0,"-",ROUND(3+M145/안내!$C$12,0))</f>
        <v>-</v>
      </c>
      <c r="O145" s="21" t="str">
        <f aca="false">IF(K145="","(본문 입력 후 자동) | 시 18:1",IF(LEN(K145)&gt;28,LEFT(K145,28)&amp;"…",K145)&amp;" | 시 18:1")</f>
        <v>(본문 입력 후 자동) | 시 18:1</v>
      </c>
      <c r="P145" s="21" t="str">
        <f aca="false">"#"&amp;SUBSTITUTE(안내!$C$5," ","")&amp;" #성경구절 #말씀 #시편 #사랑"</f>
        <v>#오늘의말씀 #성경구절 #말씀 #시편 #사랑</v>
      </c>
      <c r="Q145" s="21" t="s">
        <v>77</v>
      </c>
      <c r="R145" s="22" t="n">
        <f aca="false">안내!$C$6+INT((D145-1)/안내!$C$7)</f>
        <v>46459</v>
      </c>
      <c r="S145" s="17" t="str">
        <f aca="false">IF(MOD(D145-1,안내!$C$7)=0,안내!$C$8,안내!$C$10)</f>
        <v>18:30</v>
      </c>
      <c r="T145" s="17" t="str">
        <f aca="false">CHOOSE(WEEKDAY(R145,2),"월","화","수","목","금","토","일")</f>
        <v>토</v>
      </c>
      <c r="U145" s="17" t="s">
        <v>78</v>
      </c>
      <c r="V145" s="17" t="s">
        <v>78</v>
      </c>
      <c r="W145" s="23"/>
      <c r="X145" s="23"/>
      <c r="Y145" s="21"/>
    </row>
    <row r="146" customFormat="false" ht="15" hidden="false" customHeight="false" outlineLevel="0" collapsed="false">
      <c r="A146" s="16" t="n">
        <v>145</v>
      </c>
      <c r="B146" s="15" t="s">
        <v>566</v>
      </c>
      <c r="C146" s="16" t="s">
        <v>70</v>
      </c>
      <c r="D146" s="16" t="n">
        <v>145</v>
      </c>
      <c r="E146" s="16" t="str">
        <f aca="false">C146&amp;"말씀 #"&amp;TEXT(D146,"000")</f>
        <v>구약말씀 #145</v>
      </c>
      <c r="F146" s="17" t="s">
        <v>534</v>
      </c>
      <c r="G146" s="18" t="s">
        <v>567</v>
      </c>
      <c r="H146" s="19" t="s">
        <v>568</v>
      </c>
      <c r="I146" s="17" t="s">
        <v>390</v>
      </c>
      <c r="J146" s="17" t="s">
        <v>113</v>
      </c>
      <c r="K146" s="20"/>
      <c r="L146" s="17" t="s">
        <v>76</v>
      </c>
      <c r="M146" s="17" t="n">
        <f aca="false">LEN(K146)</f>
        <v>0</v>
      </c>
      <c r="N146" s="17" t="str">
        <f aca="false">IF(M146=0,"-",ROUND(3+M146/안내!$C$12,0))</f>
        <v>-</v>
      </c>
      <c r="O146" s="21" t="str">
        <f aca="false">IF(K146="","(본문 입력 후 자동) | 시 18:2",IF(LEN(K146)&gt;28,LEFT(K146,28)&amp;"…",K146)&amp;" | 시 18:2")</f>
        <v>(본문 입력 후 자동) | 시 18:2</v>
      </c>
      <c r="P146" s="21" t="str">
        <f aca="false">"#"&amp;SUBSTITUTE(안내!$C$5," ","")&amp;" #성경구절 #말씀 #시편 #피난처"</f>
        <v>#오늘의말씀 #성경구절 #말씀 #시편 #피난처</v>
      </c>
      <c r="Q146" s="21" t="s">
        <v>77</v>
      </c>
      <c r="R146" s="22" t="n">
        <f aca="false">안내!$C$6+INT((D146-1)/안내!$C$7)</f>
        <v>46460</v>
      </c>
      <c r="S146" s="17" t="str">
        <f aca="false">IF(MOD(D146-1,안내!$C$7)=0,안내!$C$8,안내!$C$10)</f>
        <v>06:30</v>
      </c>
      <c r="T146" s="17" t="str">
        <f aca="false">CHOOSE(WEEKDAY(R146,2),"월","화","수","목","금","토","일")</f>
        <v>일</v>
      </c>
      <c r="U146" s="17" t="s">
        <v>78</v>
      </c>
      <c r="V146" s="17" t="s">
        <v>78</v>
      </c>
      <c r="W146" s="23"/>
      <c r="X146" s="23"/>
      <c r="Y146" s="21"/>
    </row>
    <row r="147" customFormat="false" ht="15" hidden="false" customHeight="false" outlineLevel="0" collapsed="false">
      <c r="A147" s="16" t="n">
        <v>146</v>
      </c>
      <c r="B147" s="15" t="s">
        <v>569</v>
      </c>
      <c r="C147" s="16" t="s">
        <v>70</v>
      </c>
      <c r="D147" s="16" t="n">
        <v>146</v>
      </c>
      <c r="E147" s="16" t="str">
        <f aca="false">C147&amp;"말씀 #"&amp;TEXT(D147,"000")</f>
        <v>구약말씀 #146</v>
      </c>
      <c r="F147" s="17" t="s">
        <v>534</v>
      </c>
      <c r="G147" s="18" t="s">
        <v>570</v>
      </c>
      <c r="H147" s="19" t="s">
        <v>571</v>
      </c>
      <c r="I147" s="17" t="s">
        <v>74</v>
      </c>
      <c r="J147" s="17" t="s">
        <v>75</v>
      </c>
      <c r="K147" s="20"/>
      <c r="L147" s="17" t="s">
        <v>76</v>
      </c>
      <c r="M147" s="17" t="n">
        <f aca="false">LEN(K147)</f>
        <v>0</v>
      </c>
      <c r="N147" s="17" t="str">
        <f aca="false">IF(M147=0,"-",ROUND(3+M147/안내!$C$12,0))</f>
        <v>-</v>
      </c>
      <c r="O147" s="21" t="str">
        <f aca="false">IF(K147="","(본문 입력 후 자동) | 시 19:1",IF(LEN(K147)&gt;28,LEFT(K147,28)&amp;"…",K147)&amp;" | 시 19:1")</f>
        <v>(본문 입력 후 자동) | 시 19:1</v>
      </c>
      <c r="P147" s="21" t="str">
        <f aca="false">"#"&amp;SUBSTITUTE(안내!$C$5," ","")&amp;" #성경구절 #말씀 #시편 #창조"</f>
        <v>#오늘의말씀 #성경구절 #말씀 #시편 #창조</v>
      </c>
      <c r="Q147" s="21" t="s">
        <v>77</v>
      </c>
      <c r="R147" s="22" t="n">
        <f aca="false">안내!$C$6+INT((D147-1)/안내!$C$7)</f>
        <v>46460</v>
      </c>
      <c r="S147" s="17" t="str">
        <f aca="false">IF(MOD(D147-1,안내!$C$7)=0,안내!$C$8,안내!$C$10)</f>
        <v>18:30</v>
      </c>
      <c r="T147" s="17" t="str">
        <f aca="false">CHOOSE(WEEKDAY(R147,2),"월","화","수","목","금","토","일")</f>
        <v>일</v>
      </c>
      <c r="U147" s="17" t="s">
        <v>78</v>
      </c>
      <c r="V147" s="17" t="s">
        <v>78</v>
      </c>
      <c r="W147" s="23"/>
      <c r="X147" s="23"/>
      <c r="Y147" s="21"/>
    </row>
    <row r="148" customFormat="false" ht="25.35" hidden="false" customHeight="false" outlineLevel="0" collapsed="false">
      <c r="A148" s="16" t="n">
        <v>147</v>
      </c>
      <c r="B148" s="15" t="s">
        <v>572</v>
      </c>
      <c r="C148" s="16" t="s">
        <v>70</v>
      </c>
      <c r="D148" s="16" t="n">
        <v>147</v>
      </c>
      <c r="E148" s="16" t="str">
        <f aca="false">C148&amp;"말씀 #"&amp;TEXT(D148,"000")</f>
        <v>구약말씀 #147</v>
      </c>
      <c r="F148" s="17" t="s">
        <v>534</v>
      </c>
      <c r="G148" s="18" t="s">
        <v>573</v>
      </c>
      <c r="H148" s="19" t="s">
        <v>574</v>
      </c>
      <c r="I148" s="17" t="s">
        <v>160</v>
      </c>
      <c r="J148" s="17" t="s">
        <v>104</v>
      </c>
      <c r="K148" s="20"/>
      <c r="L148" s="17" t="s">
        <v>76</v>
      </c>
      <c r="M148" s="17" t="n">
        <f aca="false">LEN(K148)</f>
        <v>0</v>
      </c>
      <c r="N148" s="17" t="str">
        <f aca="false">IF(M148=0,"-",ROUND(3+M148/안내!$C$12,0))</f>
        <v>-</v>
      </c>
      <c r="O148" s="21" t="str">
        <f aca="false">IF(K148="","(본문 입력 후 자동) | 시 19:14",IF(LEN(K148)&gt;28,LEFT(K148,28)&amp;"…",K148)&amp;" | 시 19:14")</f>
        <v>(본문 입력 후 자동) | 시 19:14</v>
      </c>
      <c r="P148" s="21" t="str">
        <f aca="false">"#"&amp;SUBSTITUTE(안내!$C$5," ","")&amp;" #성경구절 #말씀 #시편 #기도"</f>
        <v>#오늘의말씀 #성경구절 #말씀 #시편 #기도</v>
      </c>
      <c r="Q148" s="21" t="s">
        <v>77</v>
      </c>
      <c r="R148" s="22" t="n">
        <f aca="false">안내!$C$6+INT((D148-1)/안내!$C$7)</f>
        <v>46461</v>
      </c>
      <c r="S148" s="17" t="str">
        <f aca="false">IF(MOD(D148-1,안내!$C$7)=0,안내!$C$8,안내!$C$10)</f>
        <v>06:30</v>
      </c>
      <c r="T148" s="17" t="str">
        <f aca="false">CHOOSE(WEEKDAY(R148,2),"월","화","수","목","금","토","일")</f>
        <v>월</v>
      </c>
      <c r="U148" s="17" t="s">
        <v>78</v>
      </c>
      <c r="V148" s="17" t="s">
        <v>78</v>
      </c>
      <c r="W148" s="23"/>
      <c r="X148" s="23"/>
      <c r="Y148" s="21"/>
    </row>
    <row r="149" customFormat="false" ht="15" hidden="false" customHeight="false" outlineLevel="0" collapsed="false">
      <c r="A149" s="16" t="n">
        <v>148</v>
      </c>
      <c r="B149" s="15" t="s">
        <v>575</v>
      </c>
      <c r="C149" s="16" t="s">
        <v>70</v>
      </c>
      <c r="D149" s="16" t="n">
        <v>148</v>
      </c>
      <c r="E149" s="16" t="str">
        <f aca="false">C149&amp;"말씀 #"&amp;TEXT(D149,"000")</f>
        <v>구약말씀 #148</v>
      </c>
      <c r="F149" s="17" t="s">
        <v>534</v>
      </c>
      <c r="G149" s="18" t="s">
        <v>576</v>
      </c>
      <c r="H149" s="19" t="s">
        <v>577</v>
      </c>
      <c r="I149" s="17" t="s">
        <v>180</v>
      </c>
      <c r="J149" s="17" t="s">
        <v>122</v>
      </c>
      <c r="K149" s="20"/>
      <c r="L149" s="17" t="s">
        <v>76</v>
      </c>
      <c r="M149" s="17" t="n">
        <f aca="false">LEN(K149)</f>
        <v>0</v>
      </c>
      <c r="N149" s="17" t="str">
        <f aca="false">IF(M149=0,"-",ROUND(3+M149/안내!$C$12,0))</f>
        <v>-</v>
      </c>
      <c r="O149" s="21" t="str">
        <f aca="false">IF(K149="","(본문 입력 후 자동) | 시 23:1",IF(LEN(K149)&gt;28,LEFT(K149,28)&amp;"…",K149)&amp;" | 시 23:1")</f>
        <v>(본문 입력 후 자동) | 시 23:1</v>
      </c>
      <c r="P149" s="21" t="str">
        <f aca="false">"#"&amp;SUBSTITUTE(안내!$C$5," ","")&amp;" #성경구절 #말씀 #시편 #인도"</f>
        <v>#오늘의말씀 #성경구절 #말씀 #시편 #인도</v>
      </c>
      <c r="Q149" s="21" t="s">
        <v>77</v>
      </c>
      <c r="R149" s="22" t="n">
        <f aca="false">안내!$C$6+INT((D149-1)/안내!$C$7)</f>
        <v>46461</v>
      </c>
      <c r="S149" s="17" t="str">
        <f aca="false">IF(MOD(D149-1,안내!$C$7)=0,안내!$C$8,안내!$C$10)</f>
        <v>18:30</v>
      </c>
      <c r="T149" s="17" t="str">
        <f aca="false">CHOOSE(WEEKDAY(R149,2),"월","화","수","목","금","토","일")</f>
        <v>월</v>
      </c>
      <c r="U149" s="17" t="s">
        <v>78</v>
      </c>
      <c r="V149" s="17" t="s">
        <v>78</v>
      </c>
      <c r="W149" s="23"/>
      <c r="X149" s="23"/>
      <c r="Y149" s="21"/>
    </row>
    <row r="150" customFormat="false" ht="15" hidden="false" customHeight="false" outlineLevel="0" collapsed="false">
      <c r="A150" s="16" t="n">
        <v>149</v>
      </c>
      <c r="B150" s="15" t="s">
        <v>578</v>
      </c>
      <c r="C150" s="16" t="s">
        <v>70</v>
      </c>
      <c r="D150" s="16" t="n">
        <v>149</v>
      </c>
      <c r="E150" s="16" t="str">
        <f aca="false">C150&amp;"말씀 #"&amp;TEXT(D150,"000")</f>
        <v>구약말씀 #149</v>
      </c>
      <c r="F150" s="17" t="s">
        <v>534</v>
      </c>
      <c r="G150" s="18" t="s">
        <v>579</v>
      </c>
      <c r="H150" s="19" t="s">
        <v>580</v>
      </c>
      <c r="I150" s="17" t="s">
        <v>129</v>
      </c>
      <c r="J150" s="17" t="s">
        <v>99</v>
      </c>
      <c r="K150" s="20"/>
      <c r="L150" s="17" t="s">
        <v>76</v>
      </c>
      <c r="M150" s="17" t="n">
        <f aca="false">LEN(K150)</f>
        <v>0</v>
      </c>
      <c r="N150" s="17" t="str">
        <f aca="false">IF(M150=0,"-",ROUND(3+M150/안내!$C$12,0))</f>
        <v>-</v>
      </c>
      <c r="O150" s="21" t="str">
        <f aca="false">IF(K150="","(본문 입력 후 자동) | 시 23:4",IF(LEN(K150)&gt;28,LEFT(K150,28)&amp;"…",K150)&amp;" | 시 23:4")</f>
        <v>(본문 입력 후 자동) | 시 23:4</v>
      </c>
      <c r="P150" s="21" t="str">
        <f aca="false">"#"&amp;SUBSTITUTE(안내!$C$5," ","")&amp;" #성경구절 #말씀 #시편 #위로"</f>
        <v>#오늘의말씀 #성경구절 #말씀 #시편 #위로</v>
      </c>
      <c r="Q150" s="21" t="s">
        <v>77</v>
      </c>
      <c r="R150" s="22" t="n">
        <f aca="false">안내!$C$6+INT((D150-1)/안내!$C$7)</f>
        <v>46462</v>
      </c>
      <c r="S150" s="17" t="str">
        <f aca="false">IF(MOD(D150-1,안내!$C$7)=0,안내!$C$8,안내!$C$10)</f>
        <v>06:30</v>
      </c>
      <c r="T150" s="17" t="str">
        <f aca="false">CHOOSE(WEEKDAY(R150,2),"월","화","수","목","금","토","일")</f>
        <v>화</v>
      </c>
      <c r="U150" s="17" t="s">
        <v>78</v>
      </c>
      <c r="V150" s="17" t="s">
        <v>78</v>
      </c>
      <c r="W150" s="23"/>
      <c r="X150" s="23"/>
      <c r="Y150" s="21"/>
    </row>
    <row r="151" customFormat="false" ht="15" hidden="false" customHeight="false" outlineLevel="0" collapsed="false">
      <c r="A151" s="16" t="n">
        <v>150</v>
      </c>
      <c r="B151" s="15" t="s">
        <v>581</v>
      </c>
      <c r="C151" s="16" t="s">
        <v>70</v>
      </c>
      <c r="D151" s="16" t="n">
        <v>150</v>
      </c>
      <c r="E151" s="16" t="str">
        <f aca="false">C151&amp;"말씀 #"&amp;TEXT(D151,"000")</f>
        <v>구약말씀 #150</v>
      </c>
      <c r="F151" s="17" t="s">
        <v>534</v>
      </c>
      <c r="G151" s="18" t="s">
        <v>582</v>
      </c>
      <c r="H151" s="19" t="s">
        <v>583</v>
      </c>
      <c r="I151" s="17" t="s">
        <v>98</v>
      </c>
      <c r="J151" s="17" t="s">
        <v>99</v>
      </c>
      <c r="K151" s="20"/>
      <c r="L151" s="17" t="s">
        <v>76</v>
      </c>
      <c r="M151" s="17" t="n">
        <f aca="false">LEN(K151)</f>
        <v>0</v>
      </c>
      <c r="N151" s="17" t="str">
        <f aca="false">IF(M151=0,"-",ROUND(3+M151/안내!$C$12,0))</f>
        <v>-</v>
      </c>
      <c r="O151" s="21" t="str">
        <f aca="false">IF(K151="","(본문 입력 후 자동) | 시 23:6",IF(LEN(K151)&gt;28,LEFT(K151,28)&amp;"…",K151)&amp;" | 시 23:6")</f>
        <v>(본문 입력 후 자동) | 시 23:6</v>
      </c>
      <c r="P151" s="21" t="str">
        <f aca="false">"#"&amp;SUBSTITUTE(안내!$C$5," ","")&amp;" #성경구절 #말씀 #시편 #은혜"</f>
        <v>#오늘의말씀 #성경구절 #말씀 #시편 #은혜</v>
      </c>
      <c r="Q151" s="21" t="s">
        <v>77</v>
      </c>
      <c r="R151" s="22" t="n">
        <f aca="false">안내!$C$6+INT((D151-1)/안내!$C$7)</f>
        <v>46462</v>
      </c>
      <c r="S151" s="17" t="str">
        <f aca="false">IF(MOD(D151-1,안내!$C$7)=0,안내!$C$8,안내!$C$10)</f>
        <v>18:30</v>
      </c>
      <c r="T151" s="17" t="str">
        <f aca="false">CHOOSE(WEEKDAY(R151,2),"월","화","수","목","금","토","일")</f>
        <v>화</v>
      </c>
      <c r="U151" s="17" t="s">
        <v>78</v>
      </c>
      <c r="V151" s="17" t="s">
        <v>78</v>
      </c>
      <c r="W151" s="23"/>
      <c r="X151" s="23"/>
      <c r="Y151" s="21"/>
    </row>
    <row r="152" customFormat="false" ht="15" hidden="false" customHeight="false" outlineLevel="0" collapsed="false">
      <c r="A152" s="16" t="n">
        <v>151</v>
      </c>
      <c r="B152" s="15" t="s">
        <v>584</v>
      </c>
      <c r="C152" s="16" t="s">
        <v>70</v>
      </c>
      <c r="D152" s="16" t="n">
        <v>151</v>
      </c>
      <c r="E152" s="16" t="str">
        <f aca="false">C152&amp;"말씀 #"&amp;TEXT(D152,"000")</f>
        <v>구약말씀 #151</v>
      </c>
      <c r="F152" s="17" t="s">
        <v>534</v>
      </c>
      <c r="G152" s="18" t="s">
        <v>585</v>
      </c>
      <c r="H152" s="19" t="s">
        <v>586</v>
      </c>
      <c r="I152" s="17" t="s">
        <v>180</v>
      </c>
      <c r="J152" s="17" t="s">
        <v>122</v>
      </c>
      <c r="K152" s="20"/>
      <c r="L152" s="17" t="s">
        <v>76</v>
      </c>
      <c r="M152" s="17" t="n">
        <f aca="false">LEN(K152)</f>
        <v>0</v>
      </c>
      <c r="N152" s="17" t="str">
        <f aca="false">IF(M152=0,"-",ROUND(3+M152/안내!$C$12,0))</f>
        <v>-</v>
      </c>
      <c r="O152" s="21" t="str">
        <f aca="false">IF(K152="","(본문 입력 후 자동) | 시 25:4",IF(LEN(K152)&gt;28,LEFT(K152,28)&amp;"…",K152)&amp;" | 시 25:4")</f>
        <v>(본문 입력 후 자동) | 시 25:4</v>
      </c>
      <c r="P152" s="21" t="str">
        <f aca="false">"#"&amp;SUBSTITUTE(안내!$C$5," ","")&amp;" #성경구절 #말씀 #시편 #인도"</f>
        <v>#오늘의말씀 #성경구절 #말씀 #시편 #인도</v>
      </c>
      <c r="Q152" s="21" t="s">
        <v>77</v>
      </c>
      <c r="R152" s="22" t="n">
        <f aca="false">안내!$C$6+INT((D152-1)/안내!$C$7)</f>
        <v>46463</v>
      </c>
      <c r="S152" s="17" t="str">
        <f aca="false">IF(MOD(D152-1,안내!$C$7)=0,안내!$C$8,안내!$C$10)</f>
        <v>06:30</v>
      </c>
      <c r="T152" s="17" t="str">
        <f aca="false">CHOOSE(WEEKDAY(R152,2),"월","화","수","목","금","토","일")</f>
        <v>수</v>
      </c>
      <c r="U152" s="17" t="s">
        <v>78</v>
      </c>
      <c r="V152" s="17" t="s">
        <v>78</v>
      </c>
      <c r="W152" s="23"/>
      <c r="X152" s="23"/>
      <c r="Y152" s="21"/>
    </row>
    <row r="153" customFormat="false" ht="15" hidden="false" customHeight="false" outlineLevel="0" collapsed="false">
      <c r="A153" s="16" t="n">
        <v>152</v>
      </c>
      <c r="B153" s="15" t="s">
        <v>587</v>
      </c>
      <c r="C153" s="16" t="s">
        <v>70</v>
      </c>
      <c r="D153" s="16" t="n">
        <v>152</v>
      </c>
      <c r="E153" s="16" t="str">
        <f aca="false">C153&amp;"말씀 #"&amp;TEXT(D153,"000")</f>
        <v>구약말씀 #152</v>
      </c>
      <c r="F153" s="17" t="s">
        <v>534</v>
      </c>
      <c r="G153" s="18" t="s">
        <v>588</v>
      </c>
      <c r="H153" s="19" t="s">
        <v>589</v>
      </c>
      <c r="I153" s="17" t="s">
        <v>305</v>
      </c>
      <c r="J153" s="17" t="s">
        <v>113</v>
      </c>
      <c r="K153" s="20"/>
      <c r="L153" s="17" t="s">
        <v>76</v>
      </c>
      <c r="M153" s="17" t="n">
        <f aca="false">LEN(K153)</f>
        <v>0</v>
      </c>
      <c r="N153" s="17" t="str">
        <f aca="false">IF(M153=0,"-",ROUND(3+M153/안내!$C$12,0))</f>
        <v>-</v>
      </c>
      <c r="O153" s="21" t="str">
        <f aca="false">IF(K153="","(본문 입력 후 자동) | 시 27:1",IF(LEN(K153)&gt;28,LEFT(K153,28)&amp;"…",K153)&amp;" | 시 27:1")</f>
        <v>(본문 입력 후 자동) | 시 27:1</v>
      </c>
      <c r="P153" s="21" t="str">
        <f aca="false">"#"&amp;SUBSTITUTE(안내!$C$5," ","")&amp;" #성경구절 #말씀 #시편 #담대함"</f>
        <v>#오늘의말씀 #성경구절 #말씀 #시편 #담대함</v>
      </c>
      <c r="Q153" s="21" t="s">
        <v>77</v>
      </c>
      <c r="R153" s="22" t="n">
        <f aca="false">안내!$C$6+INT((D153-1)/안내!$C$7)</f>
        <v>46463</v>
      </c>
      <c r="S153" s="17" t="str">
        <f aca="false">IF(MOD(D153-1,안내!$C$7)=0,안내!$C$8,안내!$C$10)</f>
        <v>18:30</v>
      </c>
      <c r="T153" s="17" t="str">
        <f aca="false">CHOOSE(WEEKDAY(R153,2),"월","화","수","목","금","토","일")</f>
        <v>수</v>
      </c>
      <c r="U153" s="17" t="s">
        <v>78</v>
      </c>
      <c r="V153" s="17" t="s">
        <v>78</v>
      </c>
      <c r="W153" s="23"/>
      <c r="X153" s="23"/>
      <c r="Y153" s="21"/>
    </row>
    <row r="154" customFormat="false" ht="15" hidden="false" customHeight="false" outlineLevel="0" collapsed="false">
      <c r="A154" s="16" t="n">
        <v>153</v>
      </c>
      <c r="B154" s="15" t="s">
        <v>590</v>
      </c>
      <c r="C154" s="16" t="s">
        <v>70</v>
      </c>
      <c r="D154" s="16" t="n">
        <v>153</v>
      </c>
      <c r="E154" s="16" t="str">
        <f aca="false">C154&amp;"말씀 #"&amp;TEXT(D154,"000")</f>
        <v>구약말씀 #153</v>
      </c>
      <c r="F154" s="17" t="s">
        <v>534</v>
      </c>
      <c r="G154" s="18" t="s">
        <v>591</v>
      </c>
      <c r="H154" s="19" t="s">
        <v>592</v>
      </c>
      <c r="I154" s="17" t="s">
        <v>593</v>
      </c>
      <c r="J154" s="17" t="s">
        <v>75</v>
      </c>
      <c r="K154" s="20"/>
      <c r="L154" s="17" t="s">
        <v>76</v>
      </c>
      <c r="M154" s="17" t="n">
        <f aca="false">LEN(K154)</f>
        <v>0</v>
      </c>
      <c r="N154" s="17" t="str">
        <f aca="false">IF(M154=0,"-",ROUND(3+M154/안내!$C$12,0))</f>
        <v>-</v>
      </c>
      <c r="O154" s="21" t="str">
        <f aca="false">IF(K154="","(본문 입력 후 자동) | 시 27:4",IF(LEN(K154)&gt;28,LEFT(K154,28)&amp;"…",K154)&amp;" | 시 27:4")</f>
        <v>(본문 입력 후 자동) | 시 27:4</v>
      </c>
      <c r="P154" s="21" t="str">
        <f aca="false">"#"&amp;SUBSTITUTE(안내!$C$5," ","")&amp;" #성경구절 #말씀 #시편 #예배"</f>
        <v>#오늘의말씀 #성경구절 #말씀 #시편 #예배</v>
      </c>
      <c r="Q154" s="21" t="s">
        <v>77</v>
      </c>
      <c r="R154" s="22" t="n">
        <f aca="false">안내!$C$6+INT((D154-1)/안내!$C$7)</f>
        <v>46464</v>
      </c>
      <c r="S154" s="17" t="str">
        <f aca="false">IF(MOD(D154-1,안내!$C$7)=0,안내!$C$8,안내!$C$10)</f>
        <v>06:30</v>
      </c>
      <c r="T154" s="17" t="str">
        <f aca="false">CHOOSE(WEEKDAY(R154,2),"월","화","수","목","금","토","일")</f>
        <v>목</v>
      </c>
      <c r="U154" s="17" t="s">
        <v>78</v>
      </c>
      <c r="V154" s="17" t="s">
        <v>78</v>
      </c>
      <c r="W154" s="23"/>
      <c r="X154" s="23"/>
      <c r="Y154" s="21"/>
    </row>
    <row r="155" customFormat="false" ht="25.35" hidden="false" customHeight="false" outlineLevel="0" collapsed="false">
      <c r="A155" s="16" t="n">
        <v>154</v>
      </c>
      <c r="B155" s="15" t="s">
        <v>594</v>
      </c>
      <c r="C155" s="16" t="s">
        <v>70</v>
      </c>
      <c r="D155" s="16" t="n">
        <v>154</v>
      </c>
      <c r="E155" s="16" t="str">
        <f aca="false">C155&amp;"말씀 #"&amp;TEXT(D155,"000")</f>
        <v>구약말씀 #154</v>
      </c>
      <c r="F155" s="17" t="s">
        <v>534</v>
      </c>
      <c r="G155" s="18" t="s">
        <v>595</v>
      </c>
      <c r="H155" s="19" t="s">
        <v>596</v>
      </c>
      <c r="I155" s="17" t="s">
        <v>511</v>
      </c>
      <c r="J155" s="17" t="s">
        <v>89</v>
      </c>
      <c r="K155" s="20"/>
      <c r="L155" s="17" t="s">
        <v>76</v>
      </c>
      <c r="M155" s="17" t="n">
        <f aca="false">LEN(K155)</f>
        <v>0</v>
      </c>
      <c r="N155" s="17" t="str">
        <f aca="false">IF(M155=0,"-",ROUND(3+M155/안내!$C$12,0))</f>
        <v>-</v>
      </c>
      <c r="O155" s="21" t="str">
        <f aca="false">IF(K155="","(본문 입력 후 자동) | 시 27:14",IF(LEN(K155)&gt;28,LEFT(K155,28)&amp;"…",K155)&amp;" | 시 27:14")</f>
        <v>(본문 입력 후 자동) | 시 27:14</v>
      </c>
      <c r="P155" s="21" t="str">
        <f aca="false">"#"&amp;SUBSTITUTE(안내!$C$5," ","")&amp;" #성경구절 #말씀 #시편 #소망"</f>
        <v>#오늘의말씀 #성경구절 #말씀 #시편 #소망</v>
      </c>
      <c r="Q155" s="21" t="s">
        <v>77</v>
      </c>
      <c r="R155" s="22" t="n">
        <f aca="false">안내!$C$6+INT((D155-1)/안내!$C$7)</f>
        <v>46464</v>
      </c>
      <c r="S155" s="17" t="str">
        <f aca="false">IF(MOD(D155-1,안내!$C$7)=0,안내!$C$8,안내!$C$10)</f>
        <v>18:30</v>
      </c>
      <c r="T155" s="17" t="str">
        <f aca="false">CHOOSE(WEEKDAY(R155,2),"월","화","수","목","금","토","일")</f>
        <v>목</v>
      </c>
      <c r="U155" s="17" t="s">
        <v>78</v>
      </c>
      <c r="V155" s="17" t="s">
        <v>78</v>
      </c>
      <c r="W155" s="23"/>
      <c r="X155" s="23"/>
      <c r="Y155" s="21"/>
    </row>
    <row r="156" customFormat="false" ht="15" hidden="false" customHeight="false" outlineLevel="0" collapsed="false">
      <c r="A156" s="16" t="n">
        <v>155</v>
      </c>
      <c r="B156" s="15" t="s">
        <v>597</v>
      </c>
      <c r="C156" s="16" t="s">
        <v>70</v>
      </c>
      <c r="D156" s="16" t="n">
        <v>155</v>
      </c>
      <c r="E156" s="16" t="str">
        <f aca="false">C156&amp;"말씀 #"&amp;TEXT(D156,"000")</f>
        <v>구약말씀 #155</v>
      </c>
      <c r="F156" s="17" t="s">
        <v>534</v>
      </c>
      <c r="G156" s="18" t="s">
        <v>598</v>
      </c>
      <c r="H156" s="19" t="s">
        <v>599</v>
      </c>
      <c r="I156" s="17" t="s">
        <v>497</v>
      </c>
      <c r="J156" s="17" t="s">
        <v>113</v>
      </c>
      <c r="K156" s="20"/>
      <c r="L156" s="17" t="s">
        <v>76</v>
      </c>
      <c r="M156" s="17" t="n">
        <f aca="false">LEN(K156)</f>
        <v>0</v>
      </c>
      <c r="N156" s="17" t="str">
        <f aca="false">IF(M156=0,"-",ROUND(3+M156/안내!$C$12,0))</f>
        <v>-</v>
      </c>
      <c r="O156" s="21" t="str">
        <f aca="false">IF(K156="","(본문 입력 후 자동) | 시 28:7",IF(LEN(K156)&gt;28,LEFT(K156,28)&amp;"…",K156)&amp;" | 시 28:7")</f>
        <v>(본문 입력 후 자동) | 시 28:7</v>
      </c>
      <c r="P156" s="21" t="str">
        <f aca="false">"#"&amp;SUBSTITUTE(안내!$C$5," ","")&amp;" #성경구절 #말씀 #시편 #신뢰"</f>
        <v>#오늘의말씀 #성경구절 #말씀 #시편 #신뢰</v>
      </c>
      <c r="Q156" s="21" t="s">
        <v>77</v>
      </c>
      <c r="R156" s="22" t="n">
        <f aca="false">안내!$C$6+INT((D156-1)/안내!$C$7)</f>
        <v>46465</v>
      </c>
      <c r="S156" s="17" t="str">
        <f aca="false">IF(MOD(D156-1,안내!$C$7)=0,안내!$C$8,안내!$C$10)</f>
        <v>06:30</v>
      </c>
      <c r="T156" s="17" t="str">
        <f aca="false">CHOOSE(WEEKDAY(R156,2),"월","화","수","목","금","토","일")</f>
        <v>금</v>
      </c>
      <c r="U156" s="17" t="s">
        <v>78</v>
      </c>
      <c r="V156" s="17" t="s">
        <v>78</v>
      </c>
      <c r="W156" s="23"/>
      <c r="X156" s="23"/>
      <c r="Y156" s="21"/>
    </row>
    <row r="157" customFormat="false" ht="15" hidden="false" customHeight="false" outlineLevel="0" collapsed="false">
      <c r="A157" s="16" t="n">
        <v>156</v>
      </c>
      <c r="B157" s="15" t="s">
        <v>600</v>
      </c>
      <c r="C157" s="16" t="s">
        <v>70</v>
      </c>
      <c r="D157" s="16" t="n">
        <v>156</v>
      </c>
      <c r="E157" s="16" t="str">
        <f aca="false">C157&amp;"말씀 #"&amp;TEXT(D157,"000")</f>
        <v>구약말씀 #156</v>
      </c>
      <c r="F157" s="17" t="s">
        <v>534</v>
      </c>
      <c r="G157" s="18" t="s">
        <v>601</v>
      </c>
      <c r="H157" s="19" t="s">
        <v>602</v>
      </c>
      <c r="I157" s="17" t="s">
        <v>129</v>
      </c>
      <c r="J157" s="17" t="s">
        <v>99</v>
      </c>
      <c r="K157" s="20"/>
      <c r="L157" s="17" t="s">
        <v>76</v>
      </c>
      <c r="M157" s="17" t="n">
        <f aca="false">LEN(K157)</f>
        <v>0</v>
      </c>
      <c r="N157" s="17" t="str">
        <f aca="false">IF(M157=0,"-",ROUND(3+M157/안내!$C$12,0))</f>
        <v>-</v>
      </c>
      <c r="O157" s="21" t="str">
        <f aca="false">IF(K157="","(본문 입력 후 자동) | 시 30:5",IF(LEN(K157)&gt;28,LEFT(K157,28)&amp;"…",K157)&amp;" | 시 30:5")</f>
        <v>(본문 입력 후 자동) | 시 30:5</v>
      </c>
      <c r="P157" s="21" t="str">
        <f aca="false">"#"&amp;SUBSTITUTE(안내!$C$5," ","")&amp;" #성경구절 #말씀 #시편 #위로"</f>
        <v>#오늘의말씀 #성경구절 #말씀 #시편 #위로</v>
      </c>
      <c r="Q157" s="21" t="s">
        <v>77</v>
      </c>
      <c r="R157" s="22" t="n">
        <f aca="false">안내!$C$6+INT((D157-1)/안내!$C$7)</f>
        <v>46465</v>
      </c>
      <c r="S157" s="17" t="str">
        <f aca="false">IF(MOD(D157-1,안내!$C$7)=0,안내!$C$8,안내!$C$10)</f>
        <v>18:30</v>
      </c>
      <c r="T157" s="17" t="str">
        <f aca="false">CHOOSE(WEEKDAY(R157,2),"월","화","수","목","금","토","일")</f>
        <v>금</v>
      </c>
      <c r="U157" s="17" t="s">
        <v>78</v>
      </c>
      <c r="V157" s="17" t="s">
        <v>78</v>
      </c>
      <c r="W157" s="23"/>
      <c r="X157" s="23"/>
      <c r="Y157" s="21"/>
    </row>
    <row r="158" customFormat="false" ht="25.35" hidden="false" customHeight="false" outlineLevel="0" collapsed="false">
      <c r="A158" s="16" t="n">
        <v>157</v>
      </c>
      <c r="B158" s="15" t="s">
        <v>603</v>
      </c>
      <c r="C158" s="16" t="s">
        <v>70</v>
      </c>
      <c r="D158" s="16" t="n">
        <v>157</v>
      </c>
      <c r="E158" s="16" t="str">
        <f aca="false">C158&amp;"말씀 #"&amp;TEXT(D158,"000")</f>
        <v>구약말씀 #157</v>
      </c>
      <c r="F158" s="17" t="s">
        <v>534</v>
      </c>
      <c r="G158" s="18" t="s">
        <v>604</v>
      </c>
      <c r="H158" s="19" t="s">
        <v>605</v>
      </c>
      <c r="I158" s="17" t="s">
        <v>305</v>
      </c>
      <c r="J158" s="17" t="s">
        <v>113</v>
      </c>
      <c r="K158" s="20"/>
      <c r="L158" s="17" t="s">
        <v>76</v>
      </c>
      <c r="M158" s="17" t="n">
        <f aca="false">LEN(K158)</f>
        <v>0</v>
      </c>
      <c r="N158" s="17" t="str">
        <f aca="false">IF(M158=0,"-",ROUND(3+M158/안내!$C$12,0))</f>
        <v>-</v>
      </c>
      <c r="O158" s="21" t="str">
        <f aca="false">IF(K158="","(본문 입력 후 자동) | 시 31:24",IF(LEN(K158)&gt;28,LEFT(K158,28)&amp;"…",K158)&amp;" | 시 31:24")</f>
        <v>(본문 입력 후 자동) | 시 31:24</v>
      </c>
      <c r="P158" s="21" t="str">
        <f aca="false">"#"&amp;SUBSTITUTE(안내!$C$5," ","")&amp;" #성경구절 #말씀 #시편 #담대함"</f>
        <v>#오늘의말씀 #성경구절 #말씀 #시편 #담대함</v>
      </c>
      <c r="Q158" s="21" t="s">
        <v>77</v>
      </c>
      <c r="R158" s="22" t="n">
        <f aca="false">안내!$C$6+INT((D158-1)/안내!$C$7)</f>
        <v>46466</v>
      </c>
      <c r="S158" s="17" t="str">
        <f aca="false">IF(MOD(D158-1,안내!$C$7)=0,안내!$C$8,안내!$C$10)</f>
        <v>06:30</v>
      </c>
      <c r="T158" s="17" t="str">
        <f aca="false">CHOOSE(WEEKDAY(R158,2),"월","화","수","목","금","토","일")</f>
        <v>토</v>
      </c>
      <c r="U158" s="17" t="s">
        <v>78</v>
      </c>
      <c r="V158" s="17" t="s">
        <v>78</v>
      </c>
      <c r="W158" s="23"/>
      <c r="X158" s="23"/>
      <c r="Y158" s="21"/>
    </row>
    <row r="159" customFormat="false" ht="15" hidden="false" customHeight="false" outlineLevel="0" collapsed="false">
      <c r="A159" s="16" t="n">
        <v>158</v>
      </c>
      <c r="B159" s="15" t="s">
        <v>606</v>
      </c>
      <c r="C159" s="16" t="s">
        <v>70</v>
      </c>
      <c r="D159" s="16" t="n">
        <v>158</v>
      </c>
      <c r="E159" s="16" t="str">
        <f aca="false">C159&amp;"말씀 #"&amp;TEXT(D159,"000")</f>
        <v>구약말씀 #158</v>
      </c>
      <c r="F159" s="17" t="s">
        <v>534</v>
      </c>
      <c r="G159" s="18" t="s">
        <v>607</v>
      </c>
      <c r="H159" s="19" t="s">
        <v>608</v>
      </c>
      <c r="I159" s="17" t="s">
        <v>180</v>
      </c>
      <c r="J159" s="17" t="s">
        <v>122</v>
      </c>
      <c r="K159" s="20"/>
      <c r="L159" s="17" t="s">
        <v>76</v>
      </c>
      <c r="M159" s="17" t="n">
        <f aca="false">LEN(K159)</f>
        <v>0</v>
      </c>
      <c r="N159" s="17" t="str">
        <f aca="false">IF(M159=0,"-",ROUND(3+M159/안내!$C$12,0))</f>
        <v>-</v>
      </c>
      <c r="O159" s="21" t="str">
        <f aca="false">IF(K159="","(본문 입력 후 자동) | 시 32:8",IF(LEN(K159)&gt;28,LEFT(K159,28)&amp;"…",K159)&amp;" | 시 32:8")</f>
        <v>(본문 입력 후 자동) | 시 32:8</v>
      </c>
      <c r="P159" s="21" t="str">
        <f aca="false">"#"&amp;SUBSTITUTE(안내!$C$5," ","")&amp;" #성경구절 #말씀 #시편 #인도"</f>
        <v>#오늘의말씀 #성경구절 #말씀 #시편 #인도</v>
      </c>
      <c r="Q159" s="21" t="s">
        <v>77</v>
      </c>
      <c r="R159" s="22" t="n">
        <f aca="false">안내!$C$6+INT((D159-1)/안내!$C$7)</f>
        <v>46466</v>
      </c>
      <c r="S159" s="17" t="str">
        <f aca="false">IF(MOD(D159-1,안내!$C$7)=0,안내!$C$8,안내!$C$10)</f>
        <v>18:30</v>
      </c>
      <c r="T159" s="17" t="str">
        <f aca="false">CHOOSE(WEEKDAY(R159,2),"월","화","수","목","금","토","일")</f>
        <v>토</v>
      </c>
      <c r="U159" s="17" t="s">
        <v>78</v>
      </c>
      <c r="V159" s="17" t="s">
        <v>78</v>
      </c>
      <c r="W159" s="23"/>
      <c r="X159" s="23"/>
      <c r="Y159" s="21"/>
    </row>
    <row r="160" customFormat="false" ht="15" hidden="false" customHeight="false" outlineLevel="0" collapsed="false">
      <c r="A160" s="16" t="n">
        <v>159</v>
      </c>
      <c r="B160" s="15" t="s">
        <v>609</v>
      </c>
      <c r="C160" s="16" t="s">
        <v>70</v>
      </c>
      <c r="D160" s="16" t="n">
        <v>159</v>
      </c>
      <c r="E160" s="16" t="str">
        <f aca="false">C160&amp;"말씀 #"&amp;TEXT(D160,"000")</f>
        <v>구약말씀 #159</v>
      </c>
      <c r="F160" s="17" t="s">
        <v>534</v>
      </c>
      <c r="G160" s="18" t="s">
        <v>610</v>
      </c>
      <c r="H160" s="19" t="s">
        <v>611</v>
      </c>
      <c r="I160" s="17" t="s">
        <v>98</v>
      </c>
      <c r="J160" s="17" t="s">
        <v>99</v>
      </c>
      <c r="K160" s="20"/>
      <c r="L160" s="17" t="s">
        <v>76</v>
      </c>
      <c r="M160" s="17" t="n">
        <f aca="false">LEN(K160)</f>
        <v>0</v>
      </c>
      <c r="N160" s="17" t="str">
        <f aca="false">IF(M160=0,"-",ROUND(3+M160/안내!$C$12,0))</f>
        <v>-</v>
      </c>
      <c r="O160" s="21" t="str">
        <f aca="false">IF(K160="","(본문 입력 후 자동) | 시 34:8",IF(LEN(K160)&gt;28,LEFT(K160,28)&amp;"…",K160)&amp;" | 시 34:8")</f>
        <v>(본문 입력 후 자동) | 시 34:8</v>
      </c>
      <c r="P160" s="21" t="str">
        <f aca="false">"#"&amp;SUBSTITUTE(안내!$C$5," ","")&amp;" #성경구절 #말씀 #시편 #은혜"</f>
        <v>#오늘의말씀 #성경구절 #말씀 #시편 #은혜</v>
      </c>
      <c r="Q160" s="21" t="s">
        <v>77</v>
      </c>
      <c r="R160" s="22" t="n">
        <f aca="false">안내!$C$6+INT((D160-1)/안내!$C$7)</f>
        <v>46467</v>
      </c>
      <c r="S160" s="17" t="str">
        <f aca="false">IF(MOD(D160-1,안내!$C$7)=0,안내!$C$8,안내!$C$10)</f>
        <v>06:30</v>
      </c>
      <c r="T160" s="17" t="str">
        <f aca="false">CHOOSE(WEEKDAY(R160,2),"월","화","수","목","금","토","일")</f>
        <v>일</v>
      </c>
      <c r="U160" s="17" t="s">
        <v>78</v>
      </c>
      <c r="V160" s="17" t="s">
        <v>78</v>
      </c>
      <c r="W160" s="23"/>
      <c r="X160" s="23"/>
      <c r="Y160" s="21"/>
    </row>
    <row r="161" customFormat="false" ht="25.35" hidden="false" customHeight="false" outlineLevel="0" collapsed="false">
      <c r="A161" s="16" t="n">
        <v>160</v>
      </c>
      <c r="B161" s="15" t="s">
        <v>612</v>
      </c>
      <c r="C161" s="16" t="s">
        <v>70</v>
      </c>
      <c r="D161" s="16" t="n">
        <v>160</v>
      </c>
      <c r="E161" s="16" t="str">
        <f aca="false">C161&amp;"말씀 #"&amp;TEXT(D161,"000")</f>
        <v>구약말씀 #160</v>
      </c>
      <c r="F161" s="17" t="s">
        <v>534</v>
      </c>
      <c r="G161" s="18" t="s">
        <v>613</v>
      </c>
      <c r="H161" s="19" t="s">
        <v>614</v>
      </c>
      <c r="I161" s="17" t="s">
        <v>129</v>
      </c>
      <c r="J161" s="17" t="s">
        <v>99</v>
      </c>
      <c r="K161" s="20"/>
      <c r="L161" s="17" t="s">
        <v>76</v>
      </c>
      <c r="M161" s="17" t="n">
        <f aca="false">LEN(K161)</f>
        <v>0</v>
      </c>
      <c r="N161" s="17" t="str">
        <f aca="false">IF(M161=0,"-",ROUND(3+M161/안내!$C$12,0))</f>
        <v>-</v>
      </c>
      <c r="O161" s="21" t="str">
        <f aca="false">IF(K161="","(본문 입력 후 자동) | 시 34:18",IF(LEN(K161)&gt;28,LEFT(K161,28)&amp;"…",K161)&amp;" | 시 34:18")</f>
        <v>(본문 입력 후 자동) | 시 34:18</v>
      </c>
      <c r="P161" s="21" t="str">
        <f aca="false">"#"&amp;SUBSTITUTE(안내!$C$5," ","")&amp;" #성경구절 #말씀 #시편 #위로"</f>
        <v>#오늘의말씀 #성경구절 #말씀 #시편 #위로</v>
      </c>
      <c r="Q161" s="21" t="s">
        <v>77</v>
      </c>
      <c r="R161" s="22" t="n">
        <f aca="false">안내!$C$6+INT((D161-1)/안내!$C$7)</f>
        <v>46467</v>
      </c>
      <c r="S161" s="17" t="str">
        <f aca="false">IF(MOD(D161-1,안내!$C$7)=0,안내!$C$8,안내!$C$10)</f>
        <v>18:30</v>
      </c>
      <c r="T161" s="17" t="str">
        <f aca="false">CHOOSE(WEEKDAY(R161,2),"월","화","수","목","금","토","일")</f>
        <v>일</v>
      </c>
      <c r="U161" s="17" t="s">
        <v>78</v>
      </c>
      <c r="V161" s="17" t="s">
        <v>78</v>
      </c>
      <c r="W161" s="23"/>
      <c r="X161" s="23"/>
      <c r="Y161" s="21"/>
    </row>
    <row r="162" customFormat="false" ht="15" hidden="false" customHeight="false" outlineLevel="0" collapsed="false">
      <c r="A162" s="16" t="n">
        <v>161</v>
      </c>
      <c r="B162" s="15" t="s">
        <v>615</v>
      </c>
      <c r="C162" s="16" t="s">
        <v>70</v>
      </c>
      <c r="D162" s="16" t="n">
        <v>161</v>
      </c>
      <c r="E162" s="16" t="str">
        <f aca="false">C162&amp;"말씀 #"&amp;TEXT(D162,"000")</f>
        <v>구약말씀 #161</v>
      </c>
      <c r="F162" s="17" t="s">
        <v>534</v>
      </c>
      <c r="G162" s="18" t="s">
        <v>616</v>
      </c>
      <c r="H162" s="19" t="s">
        <v>617</v>
      </c>
      <c r="I162" s="17" t="s">
        <v>483</v>
      </c>
      <c r="J162" s="17" t="s">
        <v>89</v>
      </c>
      <c r="K162" s="20"/>
      <c r="L162" s="17" t="s">
        <v>76</v>
      </c>
      <c r="M162" s="17" t="n">
        <f aca="false">LEN(K162)</f>
        <v>0</v>
      </c>
      <c r="N162" s="17" t="str">
        <f aca="false">IF(M162=0,"-",ROUND(3+M162/안내!$C$12,0))</f>
        <v>-</v>
      </c>
      <c r="O162" s="21" t="str">
        <f aca="false">IF(K162="","(본문 입력 후 자동) | 시 37:4",IF(LEN(K162)&gt;28,LEFT(K162,28)&amp;"…",K162)&amp;" | 시 37:4")</f>
        <v>(본문 입력 후 자동) | 시 37:4</v>
      </c>
      <c r="P162" s="21" t="str">
        <f aca="false">"#"&amp;SUBSTITUTE(안내!$C$5," ","")&amp;" #성경구절 #말씀 #시편 #기쁨"</f>
        <v>#오늘의말씀 #성경구절 #말씀 #시편 #기쁨</v>
      </c>
      <c r="Q162" s="21" t="s">
        <v>77</v>
      </c>
      <c r="R162" s="22" t="n">
        <f aca="false">안내!$C$6+INT((D162-1)/안내!$C$7)</f>
        <v>46468</v>
      </c>
      <c r="S162" s="17" t="str">
        <f aca="false">IF(MOD(D162-1,안내!$C$7)=0,안내!$C$8,안내!$C$10)</f>
        <v>06:30</v>
      </c>
      <c r="T162" s="17" t="str">
        <f aca="false">CHOOSE(WEEKDAY(R162,2),"월","화","수","목","금","토","일")</f>
        <v>월</v>
      </c>
      <c r="U162" s="17" t="s">
        <v>78</v>
      </c>
      <c r="V162" s="17" t="s">
        <v>78</v>
      </c>
      <c r="W162" s="23"/>
      <c r="X162" s="23"/>
      <c r="Y162" s="21"/>
    </row>
    <row r="163" customFormat="false" ht="15" hidden="false" customHeight="false" outlineLevel="0" collapsed="false">
      <c r="A163" s="16" t="n">
        <v>162</v>
      </c>
      <c r="B163" s="15" t="s">
        <v>618</v>
      </c>
      <c r="C163" s="16" t="s">
        <v>70</v>
      </c>
      <c r="D163" s="16" t="n">
        <v>162</v>
      </c>
      <c r="E163" s="16" t="str">
        <f aca="false">C163&amp;"말씀 #"&amp;TEXT(D163,"000")</f>
        <v>구약말씀 #162</v>
      </c>
      <c r="F163" s="17" t="s">
        <v>534</v>
      </c>
      <c r="G163" s="18" t="s">
        <v>619</v>
      </c>
      <c r="H163" s="19" t="s">
        <v>620</v>
      </c>
      <c r="I163" s="17" t="s">
        <v>497</v>
      </c>
      <c r="J163" s="17" t="s">
        <v>113</v>
      </c>
      <c r="K163" s="20"/>
      <c r="L163" s="17" t="s">
        <v>76</v>
      </c>
      <c r="M163" s="17" t="n">
        <f aca="false">LEN(K163)</f>
        <v>0</v>
      </c>
      <c r="N163" s="17" t="str">
        <f aca="false">IF(M163=0,"-",ROUND(3+M163/안내!$C$12,0))</f>
        <v>-</v>
      </c>
      <c r="O163" s="21" t="str">
        <f aca="false">IF(K163="","(본문 입력 후 자동) | 시 37:5",IF(LEN(K163)&gt;28,LEFT(K163,28)&amp;"…",K163)&amp;" | 시 37:5")</f>
        <v>(본문 입력 후 자동) | 시 37:5</v>
      </c>
      <c r="P163" s="21" t="str">
        <f aca="false">"#"&amp;SUBSTITUTE(안내!$C$5," ","")&amp;" #성경구절 #말씀 #시편 #신뢰"</f>
        <v>#오늘의말씀 #성경구절 #말씀 #시편 #신뢰</v>
      </c>
      <c r="Q163" s="21" t="s">
        <v>77</v>
      </c>
      <c r="R163" s="22" t="n">
        <f aca="false">안내!$C$6+INT((D163-1)/안내!$C$7)</f>
        <v>46468</v>
      </c>
      <c r="S163" s="17" t="str">
        <f aca="false">IF(MOD(D163-1,안내!$C$7)=0,안내!$C$8,안내!$C$10)</f>
        <v>18:30</v>
      </c>
      <c r="T163" s="17" t="str">
        <f aca="false">CHOOSE(WEEKDAY(R163,2),"월","화","수","목","금","토","일")</f>
        <v>월</v>
      </c>
      <c r="U163" s="17" t="s">
        <v>78</v>
      </c>
      <c r="V163" s="17" t="s">
        <v>78</v>
      </c>
      <c r="W163" s="23"/>
      <c r="X163" s="23"/>
      <c r="Y163" s="21"/>
    </row>
    <row r="164" customFormat="false" ht="15" hidden="false" customHeight="false" outlineLevel="0" collapsed="false">
      <c r="A164" s="16" t="n">
        <v>163</v>
      </c>
      <c r="B164" s="15" t="s">
        <v>621</v>
      </c>
      <c r="C164" s="16" t="s">
        <v>70</v>
      </c>
      <c r="D164" s="16" t="n">
        <v>163</v>
      </c>
      <c r="E164" s="16" t="str">
        <f aca="false">C164&amp;"말씀 #"&amp;TEXT(D164,"000")</f>
        <v>구약말씀 #163</v>
      </c>
      <c r="F164" s="17" t="s">
        <v>534</v>
      </c>
      <c r="G164" s="18" t="s">
        <v>622</v>
      </c>
      <c r="H164" s="19" t="s">
        <v>623</v>
      </c>
      <c r="I164" s="17" t="s">
        <v>160</v>
      </c>
      <c r="J164" s="17" t="s">
        <v>104</v>
      </c>
      <c r="K164" s="20"/>
      <c r="L164" s="17" t="s">
        <v>76</v>
      </c>
      <c r="M164" s="17" t="n">
        <f aca="false">LEN(K164)</f>
        <v>0</v>
      </c>
      <c r="N164" s="17" t="str">
        <f aca="false">IF(M164=0,"-",ROUND(3+M164/안내!$C$12,0))</f>
        <v>-</v>
      </c>
      <c r="O164" s="21" t="str">
        <f aca="false">IF(K164="","(본문 입력 후 자동) | 시 40:1",IF(LEN(K164)&gt;28,LEFT(K164,28)&amp;"…",K164)&amp;" | 시 40:1")</f>
        <v>(본문 입력 후 자동) | 시 40:1</v>
      </c>
      <c r="P164" s="21" t="str">
        <f aca="false">"#"&amp;SUBSTITUTE(안내!$C$5," ","")&amp;" #성경구절 #말씀 #시편 #기도"</f>
        <v>#오늘의말씀 #성경구절 #말씀 #시편 #기도</v>
      </c>
      <c r="Q164" s="21" t="s">
        <v>77</v>
      </c>
      <c r="R164" s="22" t="n">
        <f aca="false">안내!$C$6+INT((D164-1)/안내!$C$7)</f>
        <v>46469</v>
      </c>
      <c r="S164" s="17" t="str">
        <f aca="false">IF(MOD(D164-1,안내!$C$7)=0,안내!$C$8,안내!$C$10)</f>
        <v>06:30</v>
      </c>
      <c r="T164" s="17" t="str">
        <f aca="false">CHOOSE(WEEKDAY(R164,2),"월","화","수","목","금","토","일")</f>
        <v>화</v>
      </c>
      <c r="U164" s="17" t="s">
        <v>78</v>
      </c>
      <c r="V164" s="17" t="s">
        <v>78</v>
      </c>
      <c r="W164" s="23"/>
      <c r="X164" s="23"/>
      <c r="Y164" s="21"/>
    </row>
    <row r="165" customFormat="false" ht="15" hidden="false" customHeight="false" outlineLevel="0" collapsed="false">
      <c r="A165" s="16" t="n">
        <v>164</v>
      </c>
      <c r="B165" s="15" t="s">
        <v>624</v>
      </c>
      <c r="C165" s="16" t="s">
        <v>70</v>
      </c>
      <c r="D165" s="16" t="n">
        <v>164</v>
      </c>
      <c r="E165" s="16" t="str">
        <f aca="false">C165&amp;"말씀 #"&amp;TEXT(D165,"000")</f>
        <v>구약말씀 #164</v>
      </c>
      <c r="F165" s="17" t="s">
        <v>534</v>
      </c>
      <c r="G165" s="18" t="s">
        <v>625</v>
      </c>
      <c r="H165" s="19" t="s">
        <v>626</v>
      </c>
      <c r="I165" s="17" t="s">
        <v>593</v>
      </c>
      <c r="J165" s="17" t="s">
        <v>75</v>
      </c>
      <c r="K165" s="20"/>
      <c r="L165" s="17" t="s">
        <v>76</v>
      </c>
      <c r="M165" s="17" t="n">
        <f aca="false">LEN(K165)</f>
        <v>0</v>
      </c>
      <c r="N165" s="17" t="str">
        <f aca="false">IF(M165=0,"-",ROUND(3+M165/안내!$C$12,0))</f>
        <v>-</v>
      </c>
      <c r="O165" s="21" t="str">
        <f aca="false">IF(K165="","(본문 입력 후 자동) | 시 42:1",IF(LEN(K165)&gt;28,LEFT(K165,28)&amp;"…",K165)&amp;" | 시 42:1")</f>
        <v>(본문 입력 후 자동) | 시 42:1</v>
      </c>
      <c r="P165" s="21" t="str">
        <f aca="false">"#"&amp;SUBSTITUTE(안내!$C$5," ","")&amp;" #성경구절 #말씀 #시편 #예배"</f>
        <v>#오늘의말씀 #성경구절 #말씀 #시편 #예배</v>
      </c>
      <c r="Q165" s="21" t="s">
        <v>77</v>
      </c>
      <c r="R165" s="22" t="n">
        <f aca="false">안내!$C$6+INT((D165-1)/안내!$C$7)</f>
        <v>46469</v>
      </c>
      <c r="S165" s="17" t="str">
        <f aca="false">IF(MOD(D165-1,안내!$C$7)=0,안내!$C$8,안내!$C$10)</f>
        <v>18:30</v>
      </c>
      <c r="T165" s="17" t="str">
        <f aca="false">CHOOSE(WEEKDAY(R165,2),"월","화","수","목","금","토","일")</f>
        <v>화</v>
      </c>
      <c r="U165" s="17" t="s">
        <v>78</v>
      </c>
      <c r="V165" s="17" t="s">
        <v>78</v>
      </c>
      <c r="W165" s="23"/>
      <c r="X165" s="23"/>
      <c r="Y165" s="21"/>
    </row>
    <row r="166" customFormat="false" ht="25.35" hidden="false" customHeight="false" outlineLevel="0" collapsed="false">
      <c r="A166" s="16" t="n">
        <v>165</v>
      </c>
      <c r="B166" s="15" t="s">
        <v>627</v>
      </c>
      <c r="C166" s="16" t="s">
        <v>70</v>
      </c>
      <c r="D166" s="16" t="n">
        <v>165</v>
      </c>
      <c r="E166" s="16" t="str">
        <f aca="false">C166&amp;"말씀 #"&amp;TEXT(D166,"000")</f>
        <v>구약말씀 #165</v>
      </c>
      <c r="F166" s="17" t="s">
        <v>534</v>
      </c>
      <c r="G166" s="18" t="s">
        <v>628</v>
      </c>
      <c r="H166" s="19" t="s">
        <v>629</v>
      </c>
      <c r="I166" s="17" t="s">
        <v>511</v>
      </c>
      <c r="J166" s="17" t="s">
        <v>89</v>
      </c>
      <c r="K166" s="20"/>
      <c r="L166" s="17" t="s">
        <v>76</v>
      </c>
      <c r="M166" s="17" t="n">
        <f aca="false">LEN(K166)</f>
        <v>0</v>
      </c>
      <c r="N166" s="17" t="str">
        <f aca="false">IF(M166=0,"-",ROUND(3+M166/안내!$C$12,0))</f>
        <v>-</v>
      </c>
      <c r="O166" s="21" t="str">
        <f aca="false">IF(K166="","(본문 입력 후 자동) | 시 42:11",IF(LEN(K166)&gt;28,LEFT(K166,28)&amp;"…",K166)&amp;" | 시 42:11")</f>
        <v>(본문 입력 후 자동) | 시 42:11</v>
      </c>
      <c r="P166" s="21" t="str">
        <f aca="false">"#"&amp;SUBSTITUTE(안내!$C$5," ","")&amp;" #성경구절 #말씀 #시편 #소망"</f>
        <v>#오늘의말씀 #성경구절 #말씀 #시편 #소망</v>
      </c>
      <c r="Q166" s="21" t="s">
        <v>77</v>
      </c>
      <c r="R166" s="22" t="n">
        <f aca="false">안내!$C$6+INT((D166-1)/안내!$C$7)</f>
        <v>46470</v>
      </c>
      <c r="S166" s="17" t="str">
        <f aca="false">IF(MOD(D166-1,안내!$C$7)=0,안내!$C$8,안내!$C$10)</f>
        <v>06:30</v>
      </c>
      <c r="T166" s="17" t="str">
        <f aca="false">CHOOSE(WEEKDAY(R166,2),"월","화","수","목","금","토","일")</f>
        <v>수</v>
      </c>
      <c r="U166" s="17" t="s">
        <v>78</v>
      </c>
      <c r="V166" s="17" t="s">
        <v>78</v>
      </c>
      <c r="W166" s="23"/>
      <c r="X166" s="23"/>
      <c r="Y166" s="21"/>
    </row>
    <row r="167" customFormat="false" ht="15" hidden="false" customHeight="false" outlineLevel="0" collapsed="false">
      <c r="A167" s="16" t="n">
        <v>166</v>
      </c>
      <c r="B167" s="15" t="s">
        <v>630</v>
      </c>
      <c r="C167" s="16" t="s">
        <v>70</v>
      </c>
      <c r="D167" s="16" t="n">
        <v>166</v>
      </c>
      <c r="E167" s="16" t="str">
        <f aca="false">C167&amp;"말씀 #"&amp;TEXT(D167,"000")</f>
        <v>구약말씀 #166</v>
      </c>
      <c r="F167" s="17" t="s">
        <v>534</v>
      </c>
      <c r="G167" s="18" t="s">
        <v>631</v>
      </c>
      <c r="H167" s="19" t="s">
        <v>632</v>
      </c>
      <c r="I167" s="17" t="s">
        <v>390</v>
      </c>
      <c r="J167" s="17" t="s">
        <v>113</v>
      </c>
      <c r="K167" s="20"/>
      <c r="L167" s="17" t="s">
        <v>76</v>
      </c>
      <c r="M167" s="17" t="n">
        <f aca="false">LEN(K167)</f>
        <v>0</v>
      </c>
      <c r="N167" s="17" t="str">
        <f aca="false">IF(M167=0,"-",ROUND(3+M167/안내!$C$12,0))</f>
        <v>-</v>
      </c>
      <c r="O167" s="21" t="str">
        <f aca="false">IF(K167="","(본문 입력 후 자동) | 시 46:1",IF(LEN(K167)&gt;28,LEFT(K167,28)&amp;"…",K167)&amp;" | 시 46:1")</f>
        <v>(본문 입력 후 자동) | 시 46:1</v>
      </c>
      <c r="P167" s="21" t="str">
        <f aca="false">"#"&amp;SUBSTITUTE(안내!$C$5," ","")&amp;" #성경구절 #말씀 #시편 #피난처"</f>
        <v>#오늘의말씀 #성경구절 #말씀 #시편 #피난처</v>
      </c>
      <c r="Q167" s="21" t="s">
        <v>77</v>
      </c>
      <c r="R167" s="22" t="n">
        <f aca="false">안내!$C$6+INT((D167-1)/안내!$C$7)</f>
        <v>46470</v>
      </c>
      <c r="S167" s="17" t="str">
        <f aca="false">IF(MOD(D167-1,안내!$C$7)=0,안내!$C$8,안내!$C$10)</f>
        <v>18:30</v>
      </c>
      <c r="T167" s="17" t="str">
        <f aca="false">CHOOSE(WEEKDAY(R167,2),"월","화","수","목","금","토","일")</f>
        <v>수</v>
      </c>
      <c r="U167" s="17" t="s">
        <v>78</v>
      </c>
      <c r="V167" s="17" t="s">
        <v>78</v>
      </c>
      <c r="W167" s="23"/>
      <c r="X167" s="23"/>
      <c r="Y167" s="21"/>
    </row>
    <row r="168" customFormat="false" ht="25.35" hidden="false" customHeight="false" outlineLevel="0" collapsed="false">
      <c r="A168" s="16" t="n">
        <v>167</v>
      </c>
      <c r="B168" s="15" t="s">
        <v>633</v>
      </c>
      <c r="C168" s="16" t="s">
        <v>70</v>
      </c>
      <c r="D168" s="16" t="n">
        <v>167</v>
      </c>
      <c r="E168" s="16" t="str">
        <f aca="false">C168&amp;"말씀 #"&amp;TEXT(D168,"000")</f>
        <v>구약말씀 #167</v>
      </c>
      <c r="F168" s="17" t="s">
        <v>534</v>
      </c>
      <c r="G168" s="18" t="s">
        <v>634</v>
      </c>
      <c r="H168" s="19" t="s">
        <v>635</v>
      </c>
      <c r="I168" s="17" t="s">
        <v>221</v>
      </c>
      <c r="J168" s="17" t="s">
        <v>99</v>
      </c>
      <c r="K168" s="20"/>
      <c r="L168" s="17" t="s">
        <v>76</v>
      </c>
      <c r="M168" s="17" t="n">
        <f aca="false">LEN(K168)</f>
        <v>0</v>
      </c>
      <c r="N168" s="17" t="str">
        <f aca="false">IF(M168=0,"-",ROUND(3+M168/안내!$C$12,0))</f>
        <v>-</v>
      </c>
      <c r="O168" s="21" t="str">
        <f aca="false">IF(K168="","(본문 입력 후 자동) | 시 46:10",IF(LEN(K168)&gt;28,LEFT(K168,28)&amp;"…",K168)&amp;" | 시 46:10")</f>
        <v>(본문 입력 후 자동) | 시 46:10</v>
      </c>
      <c r="P168" s="21" t="str">
        <f aca="false">"#"&amp;SUBSTITUTE(안내!$C$5," ","")&amp;" #성경구절 #말씀 #시편 #평안"</f>
        <v>#오늘의말씀 #성경구절 #말씀 #시편 #평안</v>
      </c>
      <c r="Q168" s="21" t="s">
        <v>77</v>
      </c>
      <c r="R168" s="22" t="n">
        <f aca="false">안내!$C$6+INT((D168-1)/안내!$C$7)</f>
        <v>46471</v>
      </c>
      <c r="S168" s="17" t="str">
        <f aca="false">IF(MOD(D168-1,안내!$C$7)=0,안내!$C$8,안내!$C$10)</f>
        <v>06:30</v>
      </c>
      <c r="T168" s="17" t="str">
        <f aca="false">CHOOSE(WEEKDAY(R168,2),"월","화","수","목","금","토","일")</f>
        <v>목</v>
      </c>
      <c r="U168" s="17" t="s">
        <v>78</v>
      </c>
      <c r="V168" s="17" t="s">
        <v>78</v>
      </c>
      <c r="W168" s="23"/>
      <c r="X168" s="23"/>
      <c r="Y168" s="21"/>
    </row>
    <row r="169" customFormat="false" ht="25.35" hidden="false" customHeight="false" outlineLevel="0" collapsed="false">
      <c r="A169" s="16" t="n">
        <v>168</v>
      </c>
      <c r="B169" s="15" t="s">
        <v>636</v>
      </c>
      <c r="C169" s="16" t="s">
        <v>70</v>
      </c>
      <c r="D169" s="16" t="n">
        <v>168</v>
      </c>
      <c r="E169" s="16" t="str">
        <f aca="false">C169&amp;"말씀 #"&amp;TEXT(D169,"000")</f>
        <v>구약말씀 #168</v>
      </c>
      <c r="F169" s="17" t="s">
        <v>534</v>
      </c>
      <c r="G169" s="18" t="s">
        <v>637</v>
      </c>
      <c r="H169" s="19" t="s">
        <v>638</v>
      </c>
      <c r="I169" s="17" t="s">
        <v>454</v>
      </c>
      <c r="J169" s="17" t="s">
        <v>104</v>
      </c>
      <c r="K169" s="20"/>
      <c r="L169" s="17" t="s">
        <v>76</v>
      </c>
      <c r="M169" s="17" t="n">
        <f aca="false">LEN(K169)</f>
        <v>0</v>
      </c>
      <c r="N169" s="17" t="str">
        <f aca="false">IF(M169=0,"-",ROUND(3+M169/안내!$C$12,0))</f>
        <v>-</v>
      </c>
      <c r="O169" s="21" t="str">
        <f aca="false">IF(K169="","(본문 입력 후 자동) | 시 51:10",IF(LEN(K169)&gt;28,LEFT(K169,28)&amp;"…",K169)&amp;" | 시 51:10")</f>
        <v>(본문 입력 후 자동) | 시 51:10</v>
      </c>
      <c r="P169" s="21" t="str">
        <f aca="false">"#"&amp;SUBSTITUTE(안내!$C$5," ","")&amp;" #성경구절 #말씀 #시편 #회개"</f>
        <v>#오늘의말씀 #성경구절 #말씀 #시편 #회개</v>
      </c>
      <c r="Q169" s="21" t="s">
        <v>77</v>
      </c>
      <c r="R169" s="22" t="n">
        <f aca="false">안내!$C$6+INT((D169-1)/안내!$C$7)</f>
        <v>46471</v>
      </c>
      <c r="S169" s="17" t="str">
        <f aca="false">IF(MOD(D169-1,안내!$C$7)=0,안내!$C$8,안내!$C$10)</f>
        <v>18:30</v>
      </c>
      <c r="T169" s="17" t="str">
        <f aca="false">CHOOSE(WEEKDAY(R169,2),"월","화","수","목","금","토","일")</f>
        <v>목</v>
      </c>
      <c r="U169" s="17" t="s">
        <v>78</v>
      </c>
      <c r="V169" s="17" t="s">
        <v>78</v>
      </c>
      <c r="W169" s="23"/>
      <c r="X169" s="23"/>
      <c r="Y169" s="21"/>
    </row>
    <row r="170" customFormat="false" ht="25.35" hidden="false" customHeight="false" outlineLevel="0" collapsed="false">
      <c r="A170" s="16" t="n">
        <v>169</v>
      </c>
      <c r="B170" s="15" t="s">
        <v>639</v>
      </c>
      <c r="C170" s="16" t="s">
        <v>70</v>
      </c>
      <c r="D170" s="16" t="n">
        <v>169</v>
      </c>
      <c r="E170" s="16" t="str">
        <f aca="false">C170&amp;"말씀 #"&amp;TEXT(D170,"000")</f>
        <v>구약말씀 #169</v>
      </c>
      <c r="F170" s="17" t="s">
        <v>534</v>
      </c>
      <c r="G170" s="18" t="s">
        <v>640</v>
      </c>
      <c r="H170" s="19" t="s">
        <v>641</v>
      </c>
      <c r="I170" s="17" t="s">
        <v>454</v>
      </c>
      <c r="J170" s="17" t="s">
        <v>104</v>
      </c>
      <c r="K170" s="20"/>
      <c r="L170" s="17" t="s">
        <v>76</v>
      </c>
      <c r="M170" s="17" t="n">
        <f aca="false">LEN(K170)</f>
        <v>0</v>
      </c>
      <c r="N170" s="17" t="str">
        <f aca="false">IF(M170=0,"-",ROUND(3+M170/안내!$C$12,0))</f>
        <v>-</v>
      </c>
      <c r="O170" s="21" t="str">
        <f aca="false">IF(K170="","(본문 입력 후 자동) | 시 51:17",IF(LEN(K170)&gt;28,LEFT(K170,28)&amp;"…",K170)&amp;" | 시 51:17")</f>
        <v>(본문 입력 후 자동) | 시 51:17</v>
      </c>
      <c r="P170" s="21" t="str">
        <f aca="false">"#"&amp;SUBSTITUTE(안내!$C$5," ","")&amp;" #성경구절 #말씀 #시편 #회개"</f>
        <v>#오늘의말씀 #성경구절 #말씀 #시편 #회개</v>
      </c>
      <c r="Q170" s="21" t="s">
        <v>77</v>
      </c>
      <c r="R170" s="22" t="n">
        <f aca="false">안내!$C$6+INT((D170-1)/안내!$C$7)</f>
        <v>46472</v>
      </c>
      <c r="S170" s="17" t="str">
        <f aca="false">IF(MOD(D170-1,안내!$C$7)=0,안내!$C$8,안내!$C$10)</f>
        <v>06:30</v>
      </c>
      <c r="T170" s="17" t="str">
        <f aca="false">CHOOSE(WEEKDAY(R170,2),"월","화","수","목","금","토","일")</f>
        <v>금</v>
      </c>
      <c r="U170" s="17" t="s">
        <v>78</v>
      </c>
      <c r="V170" s="17" t="s">
        <v>78</v>
      </c>
      <c r="W170" s="23"/>
      <c r="X170" s="23"/>
      <c r="Y170" s="21"/>
    </row>
    <row r="171" customFormat="false" ht="25.35" hidden="false" customHeight="false" outlineLevel="0" collapsed="false">
      <c r="A171" s="16" t="n">
        <v>170</v>
      </c>
      <c r="B171" s="15" t="s">
        <v>642</v>
      </c>
      <c r="C171" s="16" t="s">
        <v>70</v>
      </c>
      <c r="D171" s="16" t="n">
        <v>170</v>
      </c>
      <c r="E171" s="16" t="str">
        <f aca="false">C171&amp;"말씀 #"&amp;TEXT(D171,"000")</f>
        <v>구약말씀 #170</v>
      </c>
      <c r="F171" s="17" t="s">
        <v>534</v>
      </c>
      <c r="G171" s="18" t="s">
        <v>643</v>
      </c>
      <c r="H171" s="19" t="s">
        <v>644</v>
      </c>
      <c r="I171" s="17" t="s">
        <v>497</v>
      </c>
      <c r="J171" s="17" t="s">
        <v>113</v>
      </c>
      <c r="K171" s="20"/>
      <c r="L171" s="17" t="s">
        <v>76</v>
      </c>
      <c r="M171" s="17" t="n">
        <f aca="false">LEN(K171)</f>
        <v>0</v>
      </c>
      <c r="N171" s="17" t="str">
        <f aca="false">IF(M171=0,"-",ROUND(3+M171/안내!$C$12,0))</f>
        <v>-</v>
      </c>
      <c r="O171" s="21" t="str">
        <f aca="false">IF(K171="","(본문 입력 후 자동) | 시 55:22",IF(LEN(K171)&gt;28,LEFT(K171,28)&amp;"…",K171)&amp;" | 시 55:22")</f>
        <v>(본문 입력 후 자동) | 시 55:22</v>
      </c>
      <c r="P171" s="21" t="str">
        <f aca="false">"#"&amp;SUBSTITUTE(안내!$C$5," ","")&amp;" #성경구절 #말씀 #시편 #신뢰"</f>
        <v>#오늘의말씀 #성경구절 #말씀 #시편 #신뢰</v>
      </c>
      <c r="Q171" s="21" t="s">
        <v>77</v>
      </c>
      <c r="R171" s="22" t="n">
        <f aca="false">안내!$C$6+INT((D171-1)/안내!$C$7)</f>
        <v>46472</v>
      </c>
      <c r="S171" s="17" t="str">
        <f aca="false">IF(MOD(D171-1,안내!$C$7)=0,안내!$C$8,안내!$C$10)</f>
        <v>18:30</v>
      </c>
      <c r="T171" s="17" t="str">
        <f aca="false">CHOOSE(WEEKDAY(R171,2),"월","화","수","목","금","토","일")</f>
        <v>금</v>
      </c>
      <c r="U171" s="17" t="s">
        <v>78</v>
      </c>
      <c r="V171" s="17" t="s">
        <v>78</v>
      </c>
      <c r="W171" s="23"/>
      <c r="X171" s="23"/>
      <c r="Y171" s="21"/>
    </row>
    <row r="172" customFormat="false" ht="15" hidden="false" customHeight="false" outlineLevel="0" collapsed="false">
      <c r="A172" s="16" t="n">
        <v>171</v>
      </c>
      <c r="B172" s="15" t="s">
        <v>645</v>
      </c>
      <c r="C172" s="16" t="s">
        <v>70</v>
      </c>
      <c r="D172" s="16" t="n">
        <v>171</v>
      </c>
      <c r="E172" s="16" t="str">
        <f aca="false">C172&amp;"말씀 #"&amp;TEXT(D172,"000")</f>
        <v>구약말씀 #171</v>
      </c>
      <c r="F172" s="17" t="s">
        <v>534</v>
      </c>
      <c r="G172" s="18" t="s">
        <v>646</v>
      </c>
      <c r="H172" s="19" t="s">
        <v>647</v>
      </c>
      <c r="I172" s="17" t="s">
        <v>497</v>
      </c>
      <c r="J172" s="17" t="s">
        <v>113</v>
      </c>
      <c r="K172" s="20"/>
      <c r="L172" s="17" t="s">
        <v>76</v>
      </c>
      <c r="M172" s="17" t="n">
        <f aca="false">LEN(K172)</f>
        <v>0</v>
      </c>
      <c r="N172" s="17" t="str">
        <f aca="false">IF(M172=0,"-",ROUND(3+M172/안내!$C$12,0))</f>
        <v>-</v>
      </c>
      <c r="O172" s="21" t="str">
        <f aca="false">IF(K172="","(본문 입력 후 자동) | 시 56:3",IF(LEN(K172)&gt;28,LEFT(K172,28)&amp;"…",K172)&amp;" | 시 56:3")</f>
        <v>(본문 입력 후 자동) | 시 56:3</v>
      </c>
      <c r="P172" s="21" t="str">
        <f aca="false">"#"&amp;SUBSTITUTE(안내!$C$5," ","")&amp;" #성경구절 #말씀 #시편 #신뢰"</f>
        <v>#오늘의말씀 #성경구절 #말씀 #시편 #신뢰</v>
      </c>
      <c r="Q172" s="21" t="s">
        <v>77</v>
      </c>
      <c r="R172" s="22" t="n">
        <f aca="false">안내!$C$6+INT((D172-1)/안내!$C$7)</f>
        <v>46473</v>
      </c>
      <c r="S172" s="17" t="str">
        <f aca="false">IF(MOD(D172-1,안내!$C$7)=0,안내!$C$8,안내!$C$10)</f>
        <v>06:30</v>
      </c>
      <c r="T172" s="17" t="str">
        <f aca="false">CHOOSE(WEEKDAY(R172,2),"월","화","수","목","금","토","일")</f>
        <v>토</v>
      </c>
      <c r="U172" s="17" t="s">
        <v>78</v>
      </c>
      <c r="V172" s="17" t="s">
        <v>78</v>
      </c>
      <c r="W172" s="23"/>
      <c r="X172" s="23"/>
      <c r="Y172" s="21"/>
    </row>
    <row r="173" customFormat="false" ht="15" hidden="false" customHeight="false" outlineLevel="0" collapsed="false">
      <c r="A173" s="16" t="n">
        <v>172</v>
      </c>
      <c r="B173" s="15" t="s">
        <v>648</v>
      </c>
      <c r="C173" s="16" t="s">
        <v>70</v>
      </c>
      <c r="D173" s="16" t="n">
        <v>172</v>
      </c>
      <c r="E173" s="16" t="str">
        <f aca="false">C173&amp;"말씀 #"&amp;TEXT(D173,"000")</f>
        <v>구약말씀 #172</v>
      </c>
      <c r="F173" s="17" t="s">
        <v>534</v>
      </c>
      <c r="G173" s="18" t="s">
        <v>649</v>
      </c>
      <c r="H173" s="19" t="s">
        <v>650</v>
      </c>
      <c r="I173" s="17" t="s">
        <v>221</v>
      </c>
      <c r="J173" s="17" t="s">
        <v>99</v>
      </c>
      <c r="K173" s="20"/>
      <c r="L173" s="17" t="s">
        <v>76</v>
      </c>
      <c r="M173" s="17" t="n">
        <f aca="false">LEN(K173)</f>
        <v>0</v>
      </c>
      <c r="N173" s="17" t="str">
        <f aca="false">IF(M173=0,"-",ROUND(3+M173/안내!$C$12,0))</f>
        <v>-</v>
      </c>
      <c r="O173" s="21" t="str">
        <f aca="false">IF(K173="","(본문 입력 후 자동) | 시 62:1",IF(LEN(K173)&gt;28,LEFT(K173,28)&amp;"…",K173)&amp;" | 시 62:1")</f>
        <v>(본문 입력 후 자동) | 시 62:1</v>
      </c>
      <c r="P173" s="21" t="str">
        <f aca="false">"#"&amp;SUBSTITUTE(안내!$C$5," ","")&amp;" #성경구절 #말씀 #시편 #평안"</f>
        <v>#오늘의말씀 #성경구절 #말씀 #시편 #평안</v>
      </c>
      <c r="Q173" s="21" t="s">
        <v>77</v>
      </c>
      <c r="R173" s="22" t="n">
        <f aca="false">안내!$C$6+INT((D173-1)/안내!$C$7)</f>
        <v>46473</v>
      </c>
      <c r="S173" s="17" t="str">
        <f aca="false">IF(MOD(D173-1,안내!$C$7)=0,안내!$C$8,안내!$C$10)</f>
        <v>18:30</v>
      </c>
      <c r="T173" s="17" t="str">
        <f aca="false">CHOOSE(WEEKDAY(R173,2),"월","화","수","목","금","토","일")</f>
        <v>토</v>
      </c>
      <c r="U173" s="17" t="s">
        <v>78</v>
      </c>
      <c r="V173" s="17" t="s">
        <v>78</v>
      </c>
      <c r="W173" s="23"/>
      <c r="X173" s="23"/>
      <c r="Y173" s="21"/>
    </row>
    <row r="174" customFormat="false" ht="15" hidden="false" customHeight="false" outlineLevel="0" collapsed="false">
      <c r="A174" s="16" t="n">
        <v>173</v>
      </c>
      <c r="B174" s="15" t="s">
        <v>651</v>
      </c>
      <c r="C174" s="16" t="s">
        <v>70</v>
      </c>
      <c r="D174" s="16" t="n">
        <v>173</v>
      </c>
      <c r="E174" s="16" t="str">
        <f aca="false">C174&amp;"말씀 #"&amp;TEXT(D174,"000")</f>
        <v>구약말씀 #173</v>
      </c>
      <c r="F174" s="17" t="s">
        <v>534</v>
      </c>
      <c r="G174" s="18" t="s">
        <v>652</v>
      </c>
      <c r="H174" s="19" t="s">
        <v>653</v>
      </c>
      <c r="I174" s="17" t="s">
        <v>593</v>
      </c>
      <c r="J174" s="17" t="s">
        <v>75</v>
      </c>
      <c r="K174" s="20"/>
      <c r="L174" s="17" t="s">
        <v>76</v>
      </c>
      <c r="M174" s="17" t="n">
        <f aca="false">LEN(K174)</f>
        <v>0</v>
      </c>
      <c r="N174" s="17" t="str">
        <f aca="false">IF(M174=0,"-",ROUND(3+M174/안내!$C$12,0))</f>
        <v>-</v>
      </c>
      <c r="O174" s="21" t="str">
        <f aca="false">IF(K174="","(본문 입력 후 자동) | 시 63:1",IF(LEN(K174)&gt;28,LEFT(K174,28)&amp;"…",K174)&amp;" | 시 63:1")</f>
        <v>(본문 입력 후 자동) | 시 63:1</v>
      </c>
      <c r="P174" s="21" t="str">
        <f aca="false">"#"&amp;SUBSTITUTE(안내!$C$5," ","")&amp;" #성경구절 #말씀 #시편 #예배"</f>
        <v>#오늘의말씀 #성경구절 #말씀 #시편 #예배</v>
      </c>
      <c r="Q174" s="21" t="s">
        <v>77</v>
      </c>
      <c r="R174" s="22" t="n">
        <f aca="false">안내!$C$6+INT((D174-1)/안내!$C$7)</f>
        <v>46474</v>
      </c>
      <c r="S174" s="17" t="str">
        <f aca="false">IF(MOD(D174-1,안내!$C$7)=0,안내!$C$8,안내!$C$10)</f>
        <v>06:30</v>
      </c>
      <c r="T174" s="17" t="str">
        <f aca="false">CHOOSE(WEEKDAY(R174,2),"월","화","수","목","금","토","일")</f>
        <v>일</v>
      </c>
      <c r="U174" s="17" t="s">
        <v>78</v>
      </c>
      <c r="V174" s="17" t="s">
        <v>78</v>
      </c>
      <c r="W174" s="23"/>
      <c r="X174" s="23"/>
      <c r="Y174" s="21"/>
    </row>
    <row r="175" customFormat="false" ht="15" hidden="false" customHeight="false" outlineLevel="0" collapsed="false">
      <c r="A175" s="16" t="n">
        <v>174</v>
      </c>
      <c r="B175" s="15" t="s">
        <v>654</v>
      </c>
      <c r="C175" s="16" t="s">
        <v>70</v>
      </c>
      <c r="D175" s="16" t="n">
        <v>174</v>
      </c>
      <c r="E175" s="16" t="str">
        <f aca="false">C175&amp;"말씀 #"&amp;TEXT(D175,"000")</f>
        <v>구약말씀 #174</v>
      </c>
      <c r="F175" s="17" t="s">
        <v>534</v>
      </c>
      <c r="G175" s="18" t="s">
        <v>655</v>
      </c>
      <c r="H175" s="19" t="s">
        <v>656</v>
      </c>
      <c r="I175" s="17" t="s">
        <v>196</v>
      </c>
      <c r="J175" s="17" t="s">
        <v>75</v>
      </c>
      <c r="K175" s="20"/>
      <c r="L175" s="17" t="s">
        <v>76</v>
      </c>
      <c r="M175" s="17" t="n">
        <f aca="false">LEN(K175)</f>
        <v>0</v>
      </c>
      <c r="N175" s="17" t="str">
        <f aca="false">IF(M175=0,"-",ROUND(3+M175/안내!$C$12,0))</f>
        <v>-</v>
      </c>
      <c r="O175" s="21" t="str">
        <f aca="false">IF(K175="","(본문 입력 후 자동) | 시 63:3",IF(LEN(K175)&gt;28,LEFT(K175,28)&amp;"…",K175)&amp;" | 시 63:3")</f>
        <v>(본문 입력 후 자동) | 시 63:3</v>
      </c>
      <c r="P175" s="21" t="str">
        <f aca="false">"#"&amp;SUBSTITUTE(안내!$C$5," ","")&amp;" #성경구절 #말씀 #시편 #찬양"</f>
        <v>#오늘의말씀 #성경구절 #말씀 #시편 #찬양</v>
      </c>
      <c r="Q175" s="21" t="s">
        <v>77</v>
      </c>
      <c r="R175" s="22" t="n">
        <f aca="false">안내!$C$6+INT((D175-1)/안내!$C$7)</f>
        <v>46474</v>
      </c>
      <c r="S175" s="17" t="str">
        <f aca="false">IF(MOD(D175-1,안내!$C$7)=0,안내!$C$8,안내!$C$10)</f>
        <v>18:30</v>
      </c>
      <c r="T175" s="17" t="str">
        <f aca="false">CHOOSE(WEEKDAY(R175,2),"월","화","수","목","금","토","일")</f>
        <v>일</v>
      </c>
      <c r="U175" s="17" t="s">
        <v>78</v>
      </c>
      <c r="V175" s="17" t="s">
        <v>78</v>
      </c>
      <c r="W175" s="23"/>
      <c r="X175" s="23"/>
      <c r="Y175" s="21"/>
    </row>
    <row r="176" customFormat="false" ht="25.35" hidden="false" customHeight="false" outlineLevel="0" collapsed="false">
      <c r="A176" s="16" t="n">
        <v>175</v>
      </c>
      <c r="B176" s="15" t="s">
        <v>657</v>
      </c>
      <c r="C176" s="16" t="s">
        <v>70</v>
      </c>
      <c r="D176" s="16" t="n">
        <v>175</v>
      </c>
      <c r="E176" s="16" t="str">
        <f aca="false">C176&amp;"말씀 #"&amp;TEXT(D176,"000")</f>
        <v>구약말씀 #175</v>
      </c>
      <c r="F176" s="17" t="s">
        <v>534</v>
      </c>
      <c r="G176" s="18" t="s">
        <v>658</v>
      </c>
      <c r="H176" s="19" t="s">
        <v>659</v>
      </c>
      <c r="I176" s="17" t="s">
        <v>98</v>
      </c>
      <c r="J176" s="17" t="s">
        <v>99</v>
      </c>
      <c r="K176" s="20"/>
      <c r="L176" s="17" t="s">
        <v>76</v>
      </c>
      <c r="M176" s="17" t="n">
        <f aca="false">LEN(K176)</f>
        <v>0</v>
      </c>
      <c r="N176" s="17" t="str">
        <f aca="false">IF(M176=0,"-",ROUND(3+M176/안내!$C$12,0))</f>
        <v>-</v>
      </c>
      <c r="O176" s="21" t="str">
        <f aca="false">IF(K176="","(본문 입력 후 자동) | 시 68:19",IF(LEN(K176)&gt;28,LEFT(K176,28)&amp;"…",K176)&amp;" | 시 68:19")</f>
        <v>(본문 입력 후 자동) | 시 68:19</v>
      </c>
      <c r="P176" s="21" t="str">
        <f aca="false">"#"&amp;SUBSTITUTE(안내!$C$5," ","")&amp;" #성경구절 #말씀 #시편 #은혜"</f>
        <v>#오늘의말씀 #성경구절 #말씀 #시편 #은혜</v>
      </c>
      <c r="Q176" s="21" t="s">
        <v>77</v>
      </c>
      <c r="R176" s="22" t="n">
        <f aca="false">안내!$C$6+INT((D176-1)/안내!$C$7)</f>
        <v>46475</v>
      </c>
      <c r="S176" s="17" t="str">
        <f aca="false">IF(MOD(D176-1,안내!$C$7)=0,안내!$C$8,안내!$C$10)</f>
        <v>06:30</v>
      </c>
      <c r="T176" s="17" t="str">
        <f aca="false">CHOOSE(WEEKDAY(R176,2),"월","화","수","목","금","토","일")</f>
        <v>월</v>
      </c>
      <c r="U176" s="17" t="s">
        <v>78</v>
      </c>
      <c r="V176" s="17" t="s">
        <v>78</v>
      </c>
      <c r="W176" s="23"/>
      <c r="X176" s="23"/>
      <c r="Y176" s="21"/>
    </row>
    <row r="177" customFormat="false" ht="25.35" hidden="false" customHeight="false" outlineLevel="0" collapsed="false">
      <c r="A177" s="16" t="n">
        <v>176</v>
      </c>
      <c r="B177" s="15" t="s">
        <v>660</v>
      </c>
      <c r="C177" s="16" t="s">
        <v>70</v>
      </c>
      <c r="D177" s="16" t="n">
        <v>176</v>
      </c>
      <c r="E177" s="16" t="str">
        <f aca="false">C177&amp;"말씀 #"&amp;TEXT(D177,"000")</f>
        <v>구약말씀 #176</v>
      </c>
      <c r="F177" s="17" t="s">
        <v>534</v>
      </c>
      <c r="G177" s="18" t="s">
        <v>661</v>
      </c>
      <c r="H177" s="19" t="s">
        <v>662</v>
      </c>
      <c r="I177" s="17" t="s">
        <v>497</v>
      </c>
      <c r="J177" s="17" t="s">
        <v>113</v>
      </c>
      <c r="K177" s="20"/>
      <c r="L177" s="17" t="s">
        <v>76</v>
      </c>
      <c r="M177" s="17" t="n">
        <f aca="false">LEN(K177)</f>
        <v>0</v>
      </c>
      <c r="N177" s="17" t="str">
        <f aca="false">IF(M177=0,"-",ROUND(3+M177/안내!$C$12,0))</f>
        <v>-</v>
      </c>
      <c r="O177" s="21" t="str">
        <f aca="false">IF(K177="","(본문 입력 후 자동) | 시 73:26",IF(LEN(K177)&gt;28,LEFT(K177,28)&amp;"…",K177)&amp;" | 시 73:26")</f>
        <v>(본문 입력 후 자동) | 시 73:26</v>
      </c>
      <c r="P177" s="21" t="str">
        <f aca="false">"#"&amp;SUBSTITUTE(안내!$C$5," ","")&amp;" #성경구절 #말씀 #시편 #신뢰"</f>
        <v>#오늘의말씀 #성경구절 #말씀 #시편 #신뢰</v>
      </c>
      <c r="Q177" s="21" t="s">
        <v>77</v>
      </c>
      <c r="R177" s="22" t="n">
        <f aca="false">안내!$C$6+INT((D177-1)/안내!$C$7)</f>
        <v>46475</v>
      </c>
      <c r="S177" s="17" t="str">
        <f aca="false">IF(MOD(D177-1,안내!$C$7)=0,안내!$C$8,안내!$C$10)</f>
        <v>18:30</v>
      </c>
      <c r="T177" s="17" t="str">
        <f aca="false">CHOOSE(WEEKDAY(R177,2),"월","화","수","목","금","토","일")</f>
        <v>월</v>
      </c>
      <c r="U177" s="17" t="s">
        <v>78</v>
      </c>
      <c r="V177" s="17" t="s">
        <v>78</v>
      </c>
      <c r="W177" s="23"/>
      <c r="X177" s="23"/>
      <c r="Y177" s="21"/>
    </row>
    <row r="178" customFormat="false" ht="25.35" hidden="false" customHeight="false" outlineLevel="0" collapsed="false">
      <c r="A178" s="16" t="n">
        <v>177</v>
      </c>
      <c r="B178" s="15" t="s">
        <v>663</v>
      </c>
      <c r="C178" s="16" t="s">
        <v>70</v>
      </c>
      <c r="D178" s="16" t="n">
        <v>177</v>
      </c>
      <c r="E178" s="16" t="str">
        <f aca="false">C178&amp;"말씀 #"&amp;TEXT(D178,"000")</f>
        <v>구약말씀 #177</v>
      </c>
      <c r="F178" s="17" t="s">
        <v>534</v>
      </c>
      <c r="G178" s="18" t="s">
        <v>664</v>
      </c>
      <c r="H178" s="19" t="s">
        <v>665</v>
      </c>
      <c r="I178" s="17" t="s">
        <v>593</v>
      </c>
      <c r="J178" s="17" t="s">
        <v>75</v>
      </c>
      <c r="K178" s="20"/>
      <c r="L178" s="17" t="s">
        <v>76</v>
      </c>
      <c r="M178" s="17" t="n">
        <f aca="false">LEN(K178)</f>
        <v>0</v>
      </c>
      <c r="N178" s="17" t="str">
        <f aca="false">IF(M178=0,"-",ROUND(3+M178/안내!$C$12,0))</f>
        <v>-</v>
      </c>
      <c r="O178" s="21" t="str">
        <f aca="false">IF(K178="","(본문 입력 후 자동) | 시 84:10",IF(LEN(K178)&gt;28,LEFT(K178,28)&amp;"…",K178)&amp;" | 시 84:10")</f>
        <v>(본문 입력 후 자동) | 시 84:10</v>
      </c>
      <c r="P178" s="21" t="str">
        <f aca="false">"#"&amp;SUBSTITUTE(안내!$C$5," ","")&amp;" #성경구절 #말씀 #시편 #예배"</f>
        <v>#오늘의말씀 #성경구절 #말씀 #시편 #예배</v>
      </c>
      <c r="Q178" s="21" t="s">
        <v>77</v>
      </c>
      <c r="R178" s="22" t="n">
        <f aca="false">안내!$C$6+INT((D178-1)/안내!$C$7)</f>
        <v>46476</v>
      </c>
      <c r="S178" s="17" t="str">
        <f aca="false">IF(MOD(D178-1,안내!$C$7)=0,안내!$C$8,안내!$C$10)</f>
        <v>06:30</v>
      </c>
      <c r="T178" s="17" t="str">
        <f aca="false">CHOOSE(WEEKDAY(R178,2),"월","화","수","목","금","토","일")</f>
        <v>화</v>
      </c>
      <c r="U178" s="17" t="s">
        <v>78</v>
      </c>
      <c r="V178" s="17" t="s">
        <v>78</v>
      </c>
      <c r="W178" s="23"/>
      <c r="X178" s="23"/>
      <c r="Y178" s="21"/>
    </row>
    <row r="179" customFormat="false" ht="25.35" hidden="false" customHeight="false" outlineLevel="0" collapsed="false">
      <c r="A179" s="16" t="n">
        <v>178</v>
      </c>
      <c r="B179" s="15" t="s">
        <v>666</v>
      </c>
      <c r="C179" s="16" t="s">
        <v>70</v>
      </c>
      <c r="D179" s="16" t="n">
        <v>178</v>
      </c>
      <c r="E179" s="16" t="str">
        <f aca="false">C179&amp;"말씀 #"&amp;TEXT(D179,"000")</f>
        <v>구약말씀 #178</v>
      </c>
      <c r="F179" s="17" t="s">
        <v>534</v>
      </c>
      <c r="G179" s="18" t="s">
        <v>667</v>
      </c>
      <c r="H179" s="19" t="s">
        <v>668</v>
      </c>
      <c r="I179" s="17" t="s">
        <v>403</v>
      </c>
      <c r="J179" s="17" t="s">
        <v>148</v>
      </c>
      <c r="K179" s="20"/>
      <c r="L179" s="17" t="s">
        <v>76</v>
      </c>
      <c r="M179" s="17" t="n">
        <f aca="false">LEN(K179)</f>
        <v>0</v>
      </c>
      <c r="N179" s="17" t="str">
        <f aca="false">IF(M179=0,"-",ROUND(3+M179/안내!$C$12,0))</f>
        <v>-</v>
      </c>
      <c r="O179" s="21" t="str">
        <f aca="false">IF(K179="","(본문 입력 후 자동) | 시 90:12",IF(LEN(K179)&gt;28,LEFT(K179,28)&amp;"…",K179)&amp;" | 시 90:12")</f>
        <v>(본문 입력 후 자동) | 시 90:12</v>
      </c>
      <c r="P179" s="21" t="str">
        <f aca="false">"#"&amp;SUBSTITUTE(안내!$C$5," ","")&amp;" #성경구절 #말씀 #시편 #지혜"</f>
        <v>#오늘의말씀 #성경구절 #말씀 #시편 #지혜</v>
      </c>
      <c r="Q179" s="21" t="s">
        <v>77</v>
      </c>
      <c r="R179" s="22" t="n">
        <f aca="false">안내!$C$6+INT((D179-1)/안내!$C$7)</f>
        <v>46476</v>
      </c>
      <c r="S179" s="17" t="str">
        <f aca="false">IF(MOD(D179-1,안내!$C$7)=0,안내!$C$8,안내!$C$10)</f>
        <v>18:30</v>
      </c>
      <c r="T179" s="17" t="str">
        <f aca="false">CHOOSE(WEEKDAY(R179,2),"월","화","수","목","금","토","일")</f>
        <v>화</v>
      </c>
      <c r="U179" s="17" t="s">
        <v>78</v>
      </c>
      <c r="V179" s="17" t="s">
        <v>78</v>
      </c>
      <c r="W179" s="23"/>
      <c r="X179" s="23"/>
      <c r="Y179" s="21"/>
    </row>
    <row r="180" customFormat="false" ht="15" hidden="false" customHeight="false" outlineLevel="0" collapsed="false">
      <c r="A180" s="16" t="n">
        <v>179</v>
      </c>
      <c r="B180" s="15" t="s">
        <v>669</v>
      </c>
      <c r="C180" s="16" t="s">
        <v>70</v>
      </c>
      <c r="D180" s="16" t="n">
        <v>179</v>
      </c>
      <c r="E180" s="16" t="str">
        <f aca="false">C180&amp;"말씀 #"&amp;TEXT(D180,"000")</f>
        <v>구약말씀 #179</v>
      </c>
      <c r="F180" s="17" t="s">
        <v>534</v>
      </c>
      <c r="G180" s="18" t="s">
        <v>670</v>
      </c>
      <c r="H180" s="19" t="s">
        <v>671</v>
      </c>
      <c r="I180" s="17" t="s">
        <v>353</v>
      </c>
      <c r="J180" s="17" t="s">
        <v>113</v>
      </c>
      <c r="K180" s="20"/>
      <c r="L180" s="17" t="s">
        <v>76</v>
      </c>
      <c r="M180" s="17" t="n">
        <f aca="false">LEN(K180)</f>
        <v>0</v>
      </c>
      <c r="N180" s="17" t="str">
        <f aca="false">IF(M180=0,"-",ROUND(3+M180/안내!$C$12,0))</f>
        <v>-</v>
      </c>
      <c r="O180" s="21" t="str">
        <f aca="false">IF(K180="","(본문 입력 후 자동) | 시 91:1",IF(LEN(K180)&gt;28,LEFT(K180,28)&amp;"…",K180)&amp;" | 시 91:1")</f>
        <v>(본문 입력 후 자동) | 시 91:1</v>
      </c>
      <c r="P180" s="21" t="str">
        <f aca="false">"#"&amp;SUBSTITUTE(안내!$C$5," ","")&amp;" #성경구절 #말씀 #시편 #보호"</f>
        <v>#오늘의말씀 #성경구절 #말씀 #시편 #보호</v>
      </c>
      <c r="Q180" s="21" t="s">
        <v>77</v>
      </c>
      <c r="R180" s="22" t="n">
        <f aca="false">안내!$C$6+INT((D180-1)/안내!$C$7)</f>
        <v>46477</v>
      </c>
      <c r="S180" s="17" t="str">
        <f aca="false">IF(MOD(D180-1,안내!$C$7)=0,안내!$C$8,안내!$C$10)</f>
        <v>06:30</v>
      </c>
      <c r="T180" s="17" t="str">
        <f aca="false">CHOOSE(WEEKDAY(R180,2),"월","화","수","목","금","토","일")</f>
        <v>수</v>
      </c>
      <c r="U180" s="17" t="s">
        <v>78</v>
      </c>
      <c r="V180" s="17" t="s">
        <v>78</v>
      </c>
      <c r="W180" s="23"/>
      <c r="X180" s="23"/>
      <c r="Y180" s="21"/>
    </row>
    <row r="181" customFormat="false" ht="39.55" hidden="false" customHeight="false" outlineLevel="0" collapsed="false">
      <c r="A181" s="16" t="n">
        <v>180</v>
      </c>
      <c r="B181" s="15" t="s">
        <v>672</v>
      </c>
      <c r="C181" s="16" t="s">
        <v>70</v>
      </c>
      <c r="D181" s="16" t="n">
        <v>180</v>
      </c>
      <c r="E181" s="16" t="str">
        <f aca="false">C181&amp;"말씀 #"&amp;TEXT(D181,"000")</f>
        <v>구약말씀 #180</v>
      </c>
      <c r="F181" s="17" t="s">
        <v>534</v>
      </c>
      <c r="G181" s="18" t="s">
        <v>673</v>
      </c>
      <c r="H181" s="19" t="s">
        <v>674</v>
      </c>
      <c r="I181" s="17" t="s">
        <v>353</v>
      </c>
      <c r="J181" s="17" t="s">
        <v>113</v>
      </c>
      <c r="K181" s="20"/>
      <c r="L181" s="17" t="s">
        <v>76</v>
      </c>
      <c r="M181" s="17" t="n">
        <f aca="false">LEN(K181)</f>
        <v>0</v>
      </c>
      <c r="N181" s="17" t="str">
        <f aca="false">IF(M181=0,"-",ROUND(3+M181/안내!$C$12,0))</f>
        <v>-</v>
      </c>
      <c r="O181" s="21" t="str">
        <f aca="false">IF(K181="","(본문 입력 후 자동) | 시 91:11",IF(LEN(K181)&gt;28,LEFT(K181,28)&amp;"…",K181)&amp;" | 시 91:11")</f>
        <v>(본문 입력 후 자동) | 시 91:11</v>
      </c>
      <c r="P181" s="21" t="str">
        <f aca="false">"#"&amp;SUBSTITUTE(안내!$C$5," ","")&amp;" #성경구절 #말씀 #시편 #보호"</f>
        <v>#오늘의말씀 #성경구절 #말씀 #시편 #보호</v>
      </c>
      <c r="Q181" s="24" t="s">
        <v>675</v>
      </c>
      <c r="R181" s="22" t="n">
        <f aca="false">안내!$C$6+INT((D181-1)/안내!$C$7)</f>
        <v>46477</v>
      </c>
      <c r="S181" s="17" t="str">
        <f aca="false">IF(MOD(D181-1,안내!$C$7)=0,안내!$C$8,안내!$C$10)</f>
        <v>18:30</v>
      </c>
      <c r="T181" s="17" t="str">
        <f aca="false">CHOOSE(WEEKDAY(R181,2),"월","화","수","목","금","토","일")</f>
        <v>수</v>
      </c>
      <c r="U181" s="17" t="s">
        <v>78</v>
      </c>
      <c r="V181" s="17" t="s">
        <v>78</v>
      </c>
      <c r="W181" s="23"/>
      <c r="X181" s="23"/>
      <c r="Y181" s="21"/>
    </row>
    <row r="182" customFormat="false" ht="15" hidden="false" customHeight="false" outlineLevel="0" collapsed="false">
      <c r="A182" s="16" t="n">
        <v>181</v>
      </c>
      <c r="B182" s="15" t="s">
        <v>676</v>
      </c>
      <c r="C182" s="16" t="s">
        <v>70</v>
      </c>
      <c r="D182" s="16" t="n">
        <v>181</v>
      </c>
      <c r="E182" s="16" t="str">
        <f aca="false">C182&amp;"말씀 #"&amp;TEXT(D182,"000")</f>
        <v>구약말씀 #181</v>
      </c>
      <c r="F182" s="17" t="s">
        <v>534</v>
      </c>
      <c r="G182" s="18" t="s">
        <v>677</v>
      </c>
      <c r="H182" s="19" t="s">
        <v>678</v>
      </c>
      <c r="I182" s="17" t="s">
        <v>593</v>
      </c>
      <c r="J182" s="17" t="s">
        <v>75</v>
      </c>
      <c r="K182" s="20"/>
      <c r="L182" s="17" t="s">
        <v>76</v>
      </c>
      <c r="M182" s="17" t="n">
        <f aca="false">LEN(K182)</f>
        <v>0</v>
      </c>
      <c r="N182" s="17" t="str">
        <f aca="false">IF(M182=0,"-",ROUND(3+M182/안내!$C$12,0))</f>
        <v>-</v>
      </c>
      <c r="O182" s="21" t="str">
        <f aca="false">IF(K182="","(본문 입력 후 자동) | 시 95:6",IF(LEN(K182)&gt;28,LEFT(K182,28)&amp;"…",K182)&amp;" | 시 95:6")</f>
        <v>(본문 입력 후 자동) | 시 95:6</v>
      </c>
      <c r="P182" s="21" t="str">
        <f aca="false">"#"&amp;SUBSTITUTE(안내!$C$5," ","")&amp;" #성경구절 #말씀 #시편 #예배"</f>
        <v>#오늘의말씀 #성경구절 #말씀 #시편 #예배</v>
      </c>
      <c r="Q182" s="21" t="s">
        <v>77</v>
      </c>
      <c r="R182" s="22" t="n">
        <f aca="false">안내!$C$6+INT((D182-1)/안내!$C$7)</f>
        <v>46478</v>
      </c>
      <c r="S182" s="17" t="str">
        <f aca="false">IF(MOD(D182-1,안내!$C$7)=0,안내!$C$8,안내!$C$10)</f>
        <v>06:30</v>
      </c>
      <c r="T182" s="17" t="str">
        <f aca="false">CHOOSE(WEEKDAY(R182,2),"월","화","수","목","금","토","일")</f>
        <v>목</v>
      </c>
      <c r="U182" s="17" t="s">
        <v>78</v>
      </c>
      <c r="V182" s="17" t="s">
        <v>78</v>
      </c>
      <c r="W182" s="23"/>
      <c r="X182" s="23"/>
      <c r="Y182" s="21"/>
    </row>
    <row r="183" customFormat="false" ht="15" hidden="false" customHeight="false" outlineLevel="0" collapsed="false">
      <c r="A183" s="16" t="n">
        <v>182</v>
      </c>
      <c r="B183" s="15" t="s">
        <v>679</v>
      </c>
      <c r="C183" s="16" t="s">
        <v>70</v>
      </c>
      <c r="D183" s="16" t="n">
        <v>182</v>
      </c>
      <c r="E183" s="16" t="str">
        <f aca="false">C183&amp;"말씀 #"&amp;TEXT(D183,"000")</f>
        <v>구약말씀 #182</v>
      </c>
      <c r="F183" s="17" t="s">
        <v>534</v>
      </c>
      <c r="G183" s="18" t="s">
        <v>680</v>
      </c>
      <c r="H183" s="19" t="s">
        <v>681</v>
      </c>
      <c r="I183" s="17" t="s">
        <v>196</v>
      </c>
      <c r="J183" s="17" t="s">
        <v>75</v>
      </c>
      <c r="K183" s="20"/>
      <c r="L183" s="17" t="s">
        <v>76</v>
      </c>
      <c r="M183" s="17" t="n">
        <f aca="false">LEN(K183)</f>
        <v>0</v>
      </c>
      <c r="N183" s="17" t="str">
        <f aca="false">IF(M183=0,"-",ROUND(3+M183/안내!$C$12,0))</f>
        <v>-</v>
      </c>
      <c r="O183" s="21" t="str">
        <f aca="false">IF(K183="","(본문 입력 후 자동) | 시 96:1",IF(LEN(K183)&gt;28,LEFT(K183,28)&amp;"…",K183)&amp;" | 시 96:1")</f>
        <v>(본문 입력 후 자동) | 시 96:1</v>
      </c>
      <c r="P183" s="21" t="str">
        <f aca="false">"#"&amp;SUBSTITUTE(안내!$C$5," ","")&amp;" #성경구절 #말씀 #시편 #찬양"</f>
        <v>#오늘의말씀 #성경구절 #말씀 #시편 #찬양</v>
      </c>
      <c r="Q183" s="21" t="s">
        <v>77</v>
      </c>
      <c r="R183" s="22" t="n">
        <f aca="false">안내!$C$6+INT((D183-1)/안내!$C$7)</f>
        <v>46478</v>
      </c>
      <c r="S183" s="17" t="str">
        <f aca="false">IF(MOD(D183-1,안내!$C$7)=0,안내!$C$8,안내!$C$10)</f>
        <v>18:30</v>
      </c>
      <c r="T183" s="17" t="str">
        <f aca="false">CHOOSE(WEEKDAY(R183,2),"월","화","수","목","금","토","일")</f>
        <v>목</v>
      </c>
      <c r="U183" s="17" t="s">
        <v>78</v>
      </c>
      <c r="V183" s="17" t="s">
        <v>78</v>
      </c>
      <c r="W183" s="23"/>
      <c r="X183" s="23"/>
      <c r="Y183" s="21"/>
    </row>
    <row r="184" customFormat="false" ht="25.35" hidden="false" customHeight="false" outlineLevel="0" collapsed="false">
      <c r="A184" s="16" t="n">
        <v>183</v>
      </c>
      <c r="B184" s="15" t="s">
        <v>682</v>
      </c>
      <c r="C184" s="16" t="s">
        <v>70</v>
      </c>
      <c r="D184" s="16" t="n">
        <v>183</v>
      </c>
      <c r="E184" s="16" t="str">
        <f aca="false">C184&amp;"말씀 #"&amp;TEXT(D184,"000")</f>
        <v>구약말씀 #183</v>
      </c>
      <c r="F184" s="17" t="s">
        <v>534</v>
      </c>
      <c r="G184" s="18" t="s">
        <v>683</v>
      </c>
      <c r="H184" s="19" t="s">
        <v>684</v>
      </c>
      <c r="I184" s="17" t="s">
        <v>369</v>
      </c>
      <c r="J184" s="17" t="s">
        <v>148</v>
      </c>
      <c r="K184" s="20"/>
      <c r="L184" s="17" t="s">
        <v>76</v>
      </c>
      <c r="M184" s="17" t="n">
        <f aca="false">LEN(K184)</f>
        <v>0</v>
      </c>
      <c r="N184" s="17" t="str">
        <f aca="false">IF(M184=0,"-",ROUND(3+M184/안내!$C$12,0))</f>
        <v>-</v>
      </c>
      <c r="O184" s="21" t="str">
        <f aca="false">IF(K184="","(본문 입력 후 자동) | 시 100:4",IF(LEN(K184)&gt;28,LEFT(K184,28)&amp;"…",K184)&amp;" | 시 100:4")</f>
        <v>(본문 입력 후 자동) | 시 100:4</v>
      </c>
      <c r="P184" s="21" t="str">
        <f aca="false">"#"&amp;SUBSTITUTE(안내!$C$5," ","")&amp;" #성경구절 #말씀 #시편 #감사"</f>
        <v>#오늘의말씀 #성경구절 #말씀 #시편 #감사</v>
      </c>
      <c r="Q184" s="21" t="s">
        <v>77</v>
      </c>
      <c r="R184" s="22" t="n">
        <f aca="false">안내!$C$6+INT((D184-1)/안내!$C$7)</f>
        <v>46479</v>
      </c>
      <c r="S184" s="17" t="str">
        <f aca="false">IF(MOD(D184-1,안내!$C$7)=0,안내!$C$8,안내!$C$10)</f>
        <v>06:30</v>
      </c>
      <c r="T184" s="17" t="str">
        <f aca="false">CHOOSE(WEEKDAY(R184,2),"월","화","수","목","금","토","일")</f>
        <v>금</v>
      </c>
      <c r="U184" s="17" t="s">
        <v>78</v>
      </c>
      <c r="V184" s="17" t="s">
        <v>78</v>
      </c>
      <c r="W184" s="23"/>
      <c r="X184" s="23"/>
      <c r="Y184" s="21"/>
    </row>
    <row r="185" customFormat="false" ht="25.35" hidden="false" customHeight="false" outlineLevel="0" collapsed="false">
      <c r="A185" s="16" t="n">
        <v>184</v>
      </c>
      <c r="B185" s="15" t="s">
        <v>685</v>
      </c>
      <c r="C185" s="16" t="s">
        <v>70</v>
      </c>
      <c r="D185" s="16" t="n">
        <v>184</v>
      </c>
      <c r="E185" s="16" t="str">
        <f aca="false">C185&amp;"말씀 #"&amp;TEXT(D185,"000")</f>
        <v>구약말씀 #184</v>
      </c>
      <c r="F185" s="17" t="s">
        <v>534</v>
      </c>
      <c r="G185" s="18" t="s">
        <v>686</v>
      </c>
      <c r="H185" s="19" t="s">
        <v>687</v>
      </c>
      <c r="I185" s="17" t="s">
        <v>112</v>
      </c>
      <c r="J185" s="17" t="s">
        <v>113</v>
      </c>
      <c r="K185" s="20"/>
      <c r="L185" s="17" t="s">
        <v>76</v>
      </c>
      <c r="M185" s="17" t="n">
        <f aca="false">LEN(K185)</f>
        <v>0</v>
      </c>
      <c r="N185" s="17" t="str">
        <f aca="false">IF(M185=0,"-",ROUND(3+M185/안내!$C$12,0))</f>
        <v>-</v>
      </c>
      <c r="O185" s="21" t="str">
        <f aca="false">IF(K185="","(본문 입력 후 자동) | 시 100:5",IF(LEN(K185)&gt;28,LEFT(K185,28)&amp;"…",K185)&amp;" | 시 100:5")</f>
        <v>(본문 입력 후 자동) | 시 100:5</v>
      </c>
      <c r="P185" s="21" t="str">
        <f aca="false">"#"&amp;SUBSTITUTE(안내!$C$5," ","")&amp;" #성경구절 #말씀 #시편 #신실하심"</f>
        <v>#오늘의말씀 #성경구절 #말씀 #시편 #신실하심</v>
      </c>
      <c r="Q185" s="21" t="s">
        <v>77</v>
      </c>
      <c r="R185" s="22" t="n">
        <f aca="false">안내!$C$6+INT((D185-1)/안내!$C$7)</f>
        <v>46479</v>
      </c>
      <c r="S185" s="17" t="str">
        <f aca="false">IF(MOD(D185-1,안내!$C$7)=0,안내!$C$8,안내!$C$10)</f>
        <v>18:30</v>
      </c>
      <c r="T185" s="17" t="str">
        <f aca="false">CHOOSE(WEEKDAY(R185,2),"월","화","수","목","금","토","일")</f>
        <v>금</v>
      </c>
      <c r="U185" s="17" t="s">
        <v>78</v>
      </c>
      <c r="V185" s="17" t="s">
        <v>78</v>
      </c>
      <c r="W185" s="23"/>
      <c r="X185" s="23"/>
      <c r="Y185" s="21"/>
    </row>
    <row r="186" customFormat="false" ht="25.35" hidden="false" customHeight="false" outlineLevel="0" collapsed="false">
      <c r="A186" s="16" t="n">
        <v>185</v>
      </c>
      <c r="B186" s="15" t="s">
        <v>688</v>
      </c>
      <c r="C186" s="16" t="s">
        <v>70</v>
      </c>
      <c r="D186" s="16" t="n">
        <v>185</v>
      </c>
      <c r="E186" s="16" t="str">
        <f aca="false">C186&amp;"말씀 #"&amp;TEXT(D186,"000")</f>
        <v>구약말씀 #185</v>
      </c>
      <c r="F186" s="17" t="s">
        <v>534</v>
      </c>
      <c r="G186" s="18" t="s">
        <v>689</v>
      </c>
      <c r="H186" s="19" t="s">
        <v>690</v>
      </c>
      <c r="I186" s="17" t="s">
        <v>369</v>
      </c>
      <c r="J186" s="17" t="s">
        <v>148</v>
      </c>
      <c r="K186" s="20"/>
      <c r="L186" s="17" t="s">
        <v>76</v>
      </c>
      <c r="M186" s="17" t="n">
        <f aca="false">LEN(K186)</f>
        <v>0</v>
      </c>
      <c r="N186" s="17" t="str">
        <f aca="false">IF(M186=0,"-",ROUND(3+M186/안내!$C$12,0))</f>
        <v>-</v>
      </c>
      <c r="O186" s="21" t="str">
        <f aca="false">IF(K186="","(본문 입력 후 자동) | 시 103:2",IF(LEN(K186)&gt;28,LEFT(K186,28)&amp;"…",K186)&amp;" | 시 103:2")</f>
        <v>(본문 입력 후 자동) | 시 103:2</v>
      </c>
      <c r="P186" s="21" t="str">
        <f aca="false">"#"&amp;SUBSTITUTE(안내!$C$5," ","")&amp;" #성경구절 #말씀 #시편 #감사"</f>
        <v>#오늘의말씀 #성경구절 #말씀 #시편 #감사</v>
      </c>
      <c r="Q186" s="21" t="s">
        <v>77</v>
      </c>
      <c r="R186" s="22" t="n">
        <f aca="false">안내!$C$6+INT((D186-1)/안내!$C$7)</f>
        <v>46480</v>
      </c>
      <c r="S186" s="17" t="str">
        <f aca="false">IF(MOD(D186-1,안내!$C$7)=0,안내!$C$8,안내!$C$10)</f>
        <v>06:30</v>
      </c>
      <c r="T186" s="17" t="str">
        <f aca="false">CHOOSE(WEEKDAY(R186,2),"월","화","수","목","금","토","일")</f>
        <v>토</v>
      </c>
      <c r="U186" s="17" t="s">
        <v>78</v>
      </c>
      <c r="V186" s="17" t="s">
        <v>78</v>
      </c>
      <c r="W186" s="23"/>
      <c r="X186" s="23"/>
      <c r="Y186" s="21"/>
    </row>
    <row r="187" customFormat="false" ht="26.85" hidden="false" customHeight="false" outlineLevel="0" collapsed="false">
      <c r="A187" s="16" t="n">
        <v>186</v>
      </c>
      <c r="B187" s="15" t="s">
        <v>691</v>
      </c>
      <c r="C187" s="16" t="s">
        <v>70</v>
      </c>
      <c r="D187" s="16" t="n">
        <v>186</v>
      </c>
      <c r="E187" s="16" t="str">
        <f aca="false">C187&amp;"말씀 #"&amp;TEXT(D187,"000")</f>
        <v>구약말씀 #186</v>
      </c>
      <c r="F187" s="17" t="s">
        <v>534</v>
      </c>
      <c r="G187" s="18" t="s">
        <v>692</v>
      </c>
      <c r="H187" s="19" t="s">
        <v>693</v>
      </c>
      <c r="I187" s="17" t="s">
        <v>694</v>
      </c>
      <c r="J187" s="17" t="s">
        <v>99</v>
      </c>
      <c r="K187" s="20"/>
      <c r="L187" s="17" t="s">
        <v>76</v>
      </c>
      <c r="M187" s="17" t="n">
        <f aca="false">LEN(K187)</f>
        <v>0</v>
      </c>
      <c r="N187" s="17" t="str">
        <f aca="false">IF(M187=0,"-",ROUND(3+M187/안내!$C$12,0))</f>
        <v>-</v>
      </c>
      <c r="O187" s="21" t="str">
        <f aca="false">IF(K187="","(본문 입력 후 자동) | 시 103:12",IF(LEN(K187)&gt;28,LEFT(K187,28)&amp;"…",K187)&amp;" | 시 103:12")</f>
        <v>(본문 입력 후 자동) | 시 103:12</v>
      </c>
      <c r="P187" s="21" t="str">
        <f aca="false">"#"&amp;SUBSTITUTE(안내!$C$5," ","")&amp;" #성경구절 #말씀 #시편 #용서"</f>
        <v>#오늘의말씀 #성경구절 #말씀 #시편 #용서</v>
      </c>
      <c r="Q187" s="21" t="s">
        <v>77</v>
      </c>
      <c r="R187" s="22" t="n">
        <f aca="false">안내!$C$6+INT((D187-1)/안내!$C$7)</f>
        <v>46480</v>
      </c>
      <c r="S187" s="17" t="str">
        <f aca="false">IF(MOD(D187-1,안내!$C$7)=0,안내!$C$8,안내!$C$10)</f>
        <v>18:30</v>
      </c>
      <c r="T187" s="17" t="str">
        <f aca="false">CHOOSE(WEEKDAY(R187,2),"월","화","수","목","금","토","일")</f>
        <v>토</v>
      </c>
      <c r="U187" s="17" t="s">
        <v>78</v>
      </c>
      <c r="V187" s="17" t="s">
        <v>78</v>
      </c>
      <c r="W187" s="23"/>
      <c r="X187" s="23"/>
      <c r="Y187" s="21"/>
    </row>
    <row r="188" customFormat="false" ht="25.35" hidden="false" customHeight="false" outlineLevel="0" collapsed="false">
      <c r="A188" s="16" t="n">
        <v>187</v>
      </c>
      <c r="B188" s="15" t="s">
        <v>695</v>
      </c>
      <c r="C188" s="16" t="s">
        <v>70</v>
      </c>
      <c r="D188" s="16" t="n">
        <v>187</v>
      </c>
      <c r="E188" s="16" t="str">
        <f aca="false">C188&amp;"말씀 #"&amp;TEXT(D188,"000")</f>
        <v>구약말씀 #187</v>
      </c>
      <c r="F188" s="17" t="s">
        <v>534</v>
      </c>
      <c r="G188" s="18" t="s">
        <v>696</v>
      </c>
      <c r="H188" s="19" t="s">
        <v>697</v>
      </c>
      <c r="I188" s="17" t="s">
        <v>369</v>
      </c>
      <c r="J188" s="17" t="s">
        <v>148</v>
      </c>
      <c r="K188" s="20"/>
      <c r="L188" s="17" t="s">
        <v>76</v>
      </c>
      <c r="M188" s="17" t="n">
        <f aca="false">LEN(K188)</f>
        <v>0</v>
      </c>
      <c r="N188" s="17" t="str">
        <f aca="false">IF(M188=0,"-",ROUND(3+M188/안내!$C$12,0))</f>
        <v>-</v>
      </c>
      <c r="O188" s="21" t="str">
        <f aca="false">IF(K188="","(본문 입력 후 자동) | 시 107:1",IF(LEN(K188)&gt;28,LEFT(K188,28)&amp;"…",K188)&amp;" | 시 107:1")</f>
        <v>(본문 입력 후 자동) | 시 107:1</v>
      </c>
      <c r="P188" s="21" t="str">
        <f aca="false">"#"&amp;SUBSTITUTE(안내!$C$5," ","")&amp;" #성경구절 #말씀 #시편 #감사"</f>
        <v>#오늘의말씀 #성경구절 #말씀 #시편 #감사</v>
      </c>
      <c r="Q188" s="21" t="s">
        <v>77</v>
      </c>
      <c r="R188" s="22" t="n">
        <f aca="false">안내!$C$6+INT((D188-1)/안내!$C$7)</f>
        <v>46481</v>
      </c>
      <c r="S188" s="17" t="str">
        <f aca="false">IF(MOD(D188-1,안내!$C$7)=0,안내!$C$8,안내!$C$10)</f>
        <v>06:30</v>
      </c>
      <c r="T188" s="17" t="str">
        <f aca="false">CHOOSE(WEEKDAY(R188,2),"월","화","수","목","금","토","일")</f>
        <v>일</v>
      </c>
      <c r="U188" s="17" t="s">
        <v>78</v>
      </c>
      <c r="V188" s="17" t="s">
        <v>78</v>
      </c>
      <c r="W188" s="23"/>
      <c r="X188" s="23"/>
      <c r="Y188" s="21"/>
    </row>
    <row r="189" customFormat="false" ht="25.35" hidden="false" customHeight="false" outlineLevel="0" collapsed="false">
      <c r="A189" s="16" t="n">
        <v>188</v>
      </c>
      <c r="B189" s="15" t="s">
        <v>698</v>
      </c>
      <c r="C189" s="16" t="s">
        <v>70</v>
      </c>
      <c r="D189" s="16" t="n">
        <v>188</v>
      </c>
      <c r="E189" s="16" t="str">
        <f aca="false">C189&amp;"말씀 #"&amp;TEXT(D189,"000")</f>
        <v>구약말씀 #188</v>
      </c>
      <c r="F189" s="17" t="s">
        <v>534</v>
      </c>
      <c r="G189" s="18" t="s">
        <v>699</v>
      </c>
      <c r="H189" s="19" t="s">
        <v>700</v>
      </c>
      <c r="I189" s="17" t="s">
        <v>160</v>
      </c>
      <c r="J189" s="17" t="s">
        <v>104</v>
      </c>
      <c r="K189" s="20"/>
      <c r="L189" s="17" t="s">
        <v>76</v>
      </c>
      <c r="M189" s="17" t="n">
        <f aca="false">LEN(K189)</f>
        <v>0</v>
      </c>
      <c r="N189" s="17" t="str">
        <f aca="false">IF(M189=0,"-",ROUND(3+M189/안내!$C$12,0))</f>
        <v>-</v>
      </c>
      <c r="O189" s="21" t="str">
        <f aca="false">IF(K189="","(본문 입력 후 자동) | 시 116:1",IF(LEN(K189)&gt;28,LEFT(K189,28)&amp;"…",K189)&amp;" | 시 116:1")</f>
        <v>(본문 입력 후 자동) | 시 116:1</v>
      </c>
      <c r="P189" s="21" t="str">
        <f aca="false">"#"&amp;SUBSTITUTE(안내!$C$5," ","")&amp;" #성경구절 #말씀 #시편 #기도"</f>
        <v>#오늘의말씀 #성경구절 #말씀 #시편 #기도</v>
      </c>
      <c r="Q189" s="21" t="s">
        <v>77</v>
      </c>
      <c r="R189" s="22" t="n">
        <f aca="false">안내!$C$6+INT((D189-1)/안내!$C$7)</f>
        <v>46481</v>
      </c>
      <c r="S189" s="17" t="str">
        <f aca="false">IF(MOD(D189-1,안내!$C$7)=0,안내!$C$8,안내!$C$10)</f>
        <v>18:30</v>
      </c>
      <c r="T189" s="17" t="str">
        <f aca="false">CHOOSE(WEEKDAY(R189,2),"월","화","수","목","금","토","일")</f>
        <v>일</v>
      </c>
      <c r="U189" s="17" t="s">
        <v>78</v>
      </c>
      <c r="V189" s="17" t="s">
        <v>78</v>
      </c>
      <c r="W189" s="23"/>
      <c r="X189" s="23"/>
      <c r="Y189" s="21"/>
    </row>
    <row r="190" customFormat="false" ht="26.85" hidden="false" customHeight="false" outlineLevel="0" collapsed="false">
      <c r="A190" s="16" t="n">
        <v>189</v>
      </c>
      <c r="B190" s="15" t="s">
        <v>701</v>
      </c>
      <c r="C190" s="16" t="s">
        <v>70</v>
      </c>
      <c r="D190" s="16" t="n">
        <v>189</v>
      </c>
      <c r="E190" s="16" t="str">
        <f aca="false">C190&amp;"말씀 #"&amp;TEXT(D190,"000")</f>
        <v>구약말씀 #189</v>
      </c>
      <c r="F190" s="17" t="s">
        <v>534</v>
      </c>
      <c r="G190" s="18" t="s">
        <v>702</v>
      </c>
      <c r="H190" s="19" t="s">
        <v>703</v>
      </c>
      <c r="I190" s="17" t="s">
        <v>483</v>
      </c>
      <c r="J190" s="17" t="s">
        <v>89</v>
      </c>
      <c r="K190" s="20"/>
      <c r="L190" s="17" t="s">
        <v>76</v>
      </c>
      <c r="M190" s="17" t="n">
        <f aca="false">LEN(K190)</f>
        <v>0</v>
      </c>
      <c r="N190" s="17" t="str">
        <f aca="false">IF(M190=0,"-",ROUND(3+M190/안내!$C$12,0))</f>
        <v>-</v>
      </c>
      <c r="O190" s="21" t="str">
        <f aca="false">IF(K190="","(본문 입력 후 자동) | 시 118:24",IF(LEN(K190)&gt;28,LEFT(K190,28)&amp;"…",K190)&amp;" | 시 118:24")</f>
        <v>(본문 입력 후 자동) | 시 118:24</v>
      </c>
      <c r="P190" s="21" t="str">
        <f aca="false">"#"&amp;SUBSTITUTE(안내!$C$5," ","")&amp;" #성경구절 #말씀 #시편 #기쁨"</f>
        <v>#오늘의말씀 #성경구절 #말씀 #시편 #기쁨</v>
      </c>
      <c r="Q190" s="21" t="s">
        <v>77</v>
      </c>
      <c r="R190" s="22" t="n">
        <f aca="false">안내!$C$6+INT((D190-1)/안내!$C$7)</f>
        <v>46482</v>
      </c>
      <c r="S190" s="17" t="str">
        <f aca="false">IF(MOD(D190-1,안내!$C$7)=0,안내!$C$8,안내!$C$10)</f>
        <v>06:30</v>
      </c>
      <c r="T190" s="17" t="str">
        <f aca="false">CHOOSE(WEEKDAY(R190,2),"월","화","수","목","금","토","일")</f>
        <v>월</v>
      </c>
      <c r="U190" s="17" t="s">
        <v>78</v>
      </c>
      <c r="V190" s="17" t="s">
        <v>78</v>
      </c>
      <c r="W190" s="23"/>
      <c r="X190" s="23"/>
      <c r="Y190" s="21"/>
    </row>
    <row r="191" customFormat="false" ht="25.35" hidden="false" customHeight="false" outlineLevel="0" collapsed="false">
      <c r="A191" s="16" t="n">
        <v>190</v>
      </c>
      <c r="B191" s="15" t="s">
        <v>704</v>
      </c>
      <c r="C191" s="16" t="s">
        <v>70</v>
      </c>
      <c r="D191" s="16" t="n">
        <v>190</v>
      </c>
      <c r="E191" s="16" t="str">
        <f aca="false">C191&amp;"말씀 #"&amp;TEXT(D191,"000")</f>
        <v>구약말씀 #190</v>
      </c>
      <c r="F191" s="17" t="s">
        <v>534</v>
      </c>
      <c r="G191" s="18" t="s">
        <v>705</v>
      </c>
      <c r="H191" s="19" t="s">
        <v>706</v>
      </c>
      <c r="I191" s="17" t="s">
        <v>284</v>
      </c>
      <c r="J191" s="17" t="s">
        <v>148</v>
      </c>
      <c r="K191" s="20"/>
      <c r="L191" s="17" t="s">
        <v>76</v>
      </c>
      <c r="M191" s="17" t="n">
        <f aca="false">LEN(K191)</f>
        <v>0</v>
      </c>
      <c r="N191" s="17" t="str">
        <f aca="false">IF(M191=0,"-",ROUND(3+M191/안내!$C$12,0))</f>
        <v>-</v>
      </c>
      <c r="O191" s="21" t="str">
        <f aca="false">IF(K191="","(본문 입력 후 자동) | 시 119:9",IF(LEN(K191)&gt;28,LEFT(K191,28)&amp;"…",K191)&amp;" | 시 119:9")</f>
        <v>(본문 입력 후 자동) | 시 119:9</v>
      </c>
      <c r="P191" s="21" t="str">
        <f aca="false">"#"&amp;SUBSTITUTE(안내!$C$5," ","")&amp;" #성경구절 #말씀 #시편 #말씀"</f>
        <v>#오늘의말씀 #성경구절 #말씀 #시편 #말씀</v>
      </c>
      <c r="Q191" s="21" t="s">
        <v>77</v>
      </c>
      <c r="R191" s="22" t="n">
        <f aca="false">안내!$C$6+INT((D191-1)/안내!$C$7)</f>
        <v>46482</v>
      </c>
      <c r="S191" s="17" t="str">
        <f aca="false">IF(MOD(D191-1,안내!$C$7)=0,안내!$C$8,안내!$C$10)</f>
        <v>18:30</v>
      </c>
      <c r="T191" s="17" t="str">
        <f aca="false">CHOOSE(WEEKDAY(R191,2),"월","화","수","목","금","토","일")</f>
        <v>월</v>
      </c>
      <c r="U191" s="17" t="s">
        <v>78</v>
      </c>
      <c r="V191" s="17" t="s">
        <v>78</v>
      </c>
      <c r="W191" s="23"/>
      <c r="X191" s="23"/>
      <c r="Y191" s="21"/>
    </row>
    <row r="192" customFormat="false" ht="26.85" hidden="false" customHeight="false" outlineLevel="0" collapsed="false">
      <c r="A192" s="16" t="n">
        <v>191</v>
      </c>
      <c r="B192" s="15" t="s">
        <v>707</v>
      </c>
      <c r="C192" s="16" t="s">
        <v>70</v>
      </c>
      <c r="D192" s="16" t="n">
        <v>191</v>
      </c>
      <c r="E192" s="16" t="str">
        <f aca="false">C192&amp;"말씀 #"&amp;TEXT(D192,"000")</f>
        <v>구약말씀 #191</v>
      </c>
      <c r="F192" s="17" t="s">
        <v>534</v>
      </c>
      <c r="G192" s="18" t="s">
        <v>708</v>
      </c>
      <c r="H192" s="19" t="s">
        <v>709</v>
      </c>
      <c r="I192" s="17" t="s">
        <v>284</v>
      </c>
      <c r="J192" s="17" t="s">
        <v>148</v>
      </c>
      <c r="K192" s="20"/>
      <c r="L192" s="17" t="s">
        <v>76</v>
      </c>
      <c r="M192" s="17" t="n">
        <f aca="false">LEN(K192)</f>
        <v>0</v>
      </c>
      <c r="N192" s="17" t="str">
        <f aca="false">IF(M192=0,"-",ROUND(3+M192/안내!$C$12,0))</f>
        <v>-</v>
      </c>
      <c r="O192" s="21" t="str">
        <f aca="false">IF(K192="","(본문 입력 후 자동) | 시 119:11",IF(LEN(K192)&gt;28,LEFT(K192,28)&amp;"…",K192)&amp;" | 시 119:11")</f>
        <v>(본문 입력 후 자동) | 시 119:11</v>
      </c>
      <c r="P192" s="21" t="str">
        <f aca="false">"#"&amp;SUBSTITUTE(안내!$C$5," ","")&amp;" #성경구절 #말씀 #시편 #말씀"</f>
        <v>#오늘의말씀 #성경구절 #말씀 #시편 #말씀</v>
      </c>
      <c r="Q192" s="21" t="s">
        <v>77</v>
      </c>
      <c r="R192" s="22" t="n">
        <f aca="false">안내!$C$6+INT((D192-1)/안내!$C$7)</f>
        <v>46483</v>
      </c>
      <c r="S192" s="17" t="str">
        <f aca="false">IF(MOD(D192-1,안내!$C$7)=0,안내!$C$8,안내!$C$10)</f>
        <v>06:30</v>
      </c>
      <c r="T192" s="17" t="str">
        <f aca="false">CHOOSE(WEEKDAY(R192,2),"월","화","수","목","금","토","일")</f>
        <v>화</v>
      </c>
      <c r="U192" s="17" t="s">
        <v>78</v>
      </c>
      <c r="V192" s="17" t="s">
        <v>78</v>
      </c>
      <c r="W192" s="23"/>
      <c r="X192" s="23"/>
      <c r="Y192" s="21"/>
    </row>
    <row r="193" customFormat="false" ht="26.85" hidden="false" customHeight="false" outlineLevel="0" collapsed="false">
      <c r="A193" s="16" t="n">
        <v>192</v>
      </c>
      <c r="B193" s="15" t="s">
        <v>710</v>
      </c>
      <c r="C193" s="16" t="s">
        <v>70</v>
      </c>
      <c r="D193" s="16" t="n">
        <v>192</v>
      </c>
      <c r="E193" s="16" t="str">
        <f aca="false">C193&amp;"말씀 #"&amp;TEXT(D193,"000")</f>
        <v>구약말씀 #192</v>
      </c>
      <c r="F193" s="17" t="s">
        <v>534</v>
      </c>
      <c r="G193" s="18" t="s">
        <v>711</v>
      </c>
      <c r="H193" s="19" t="s">
        <v>712</v>
      </c>
      <c r="I193" s="17" t="s">
        <v>284</v>
      </c>
      <c r="J193" s="17" t="s">
        <v>148</v>
      </c>
      <c r="K193" s="20"/>
      <c r="L193" s="17" t="s">
        <v>76</v>
      </c>
      <c r="M193" s="17" t="n">
        <f aca="false">LEN(K193)</f>
        <v>0</v>
      </c>
      <c r="N193" s="17" t="str">
        <f aca="false">IF(M193=0,"-",ROUND(3+M193/안내!$C$12,0))</f>
        <v>-</v>
      </c>
      <c r="O193" s="21" t="str">
        <f aca="false">IF(K193="","(본문 입력 후 자동) | 시 119:105",IF(LEN(K193)&gt;28,LEFT(K193,28)&amp;"…",K193)&amp;" | 시 119:105")</f>
        <v>(본문 입력 후 자동) | 시 119:105</v>
      </c>
      <c r="P193" s="21" t="str">
        <f aca="false">"#"&amp;SUBSTITUTE(안내!$C$5," ","")&amp;" #성경구절 #말씀 #시편 #말씀"</f>
        <v>#오늘의말씀 #성경구절 #말씀 #시편 #말씀</v>
      </c>
      <c r="Q193" s="21" t="s">
        <v>77</v>
      </c>
      <c r="R193" s="22" t="n">
        <f aca="false">안내!$C$6+INT((D193-1)/안내!$C$7)</f>
        <v>46483</v>
      </c>
      <c r="S193" s="17" t="str">
        <f aca="false">IF(MOD(D193-1,안내!$C$7)=0,안내!$C$8,안내!$C$10)</f>
        <v>18:30</v>
      </c>
      <c r="T193" s="17" t="str">
        <f aca="false">CHOOSE(WEEKDAY(R193,2),"월","화","수","목","금","토","일")</f>
        <v>화</v>
      </c>
      <c r="U193" s="17" t="s">
        <v>78</v>
      </c>
      <c r="V193" s="17" t="s">
        <v>78</v>
      </c>
      <c r="W193" s="23"/>
      <c r="X193" s="23"/>
      <c r="Y193" s="21"/>
    </row>
    <row r="194" customFormat="false" ht="25.35" hidden="false" customHeight="false" outlineLevel="0" collapsed="false">
      <c r="A194" s="16" t="n">
        <v>193</v>
      </c>
      <c r="B194" s="15" t="s">
        <v>713</v>
      </c>
      <c r="C194" s="16" t="s">
        <v>70</v>
      </c>
      <c r="D194" s="16" t="n">
        <v>193</v>
      </c>
      <c r="E194" s="16" t="str">
        <f aca="false">C194&amp;"말씀 #"&amp;TEXT(D194,"000")</f>
        <v>구약말씀 #193</v>
      </c>
      <c r="F194" s="17" t="s">
        <v>534</v>
      </c>
      <c r="G194" s="18" t="s">
        <v>714</v>
      </c>
      <c r="H194" s="19" t="s">
        <v>715</v>
      </c>
      <c r="I194" s="17" t="s">
        <v>511</v>
      </c>
      <c r="J194" s="17" t="s">
        <v>89</v>
      </c>
      <c r="K194" s="20"/>
      <c r="L194" s="17" t="s">
        <v>76</v>
      </c>
      <c r="M194" s="17" t="n">
        <f aca="false">LEN(K194)</f>
        <v>0</v>
      </c>
      <c r="N194" s="17" t="str">
        <f aca="false">IF(M194=0,"-",ROUND(3+M194/안내!$C$12,0))</f>
        <v>-</v>
      </c>
      <c r="O194" s="21" t="str">
        <f aca="false">IF(K194="","(본문 입력 후 자동) | 시 121:1",IF(LEN(K194)&gt;28,LEFT(K194,28)&amp;"…",K194)&amp;" | 시 121:1")</f>
        <v>(본문 입력 후 자동) | 시 121:1</v>
      </c>
      <c r="P194" s="21" t="str">
        <f aca="false">"#"&amp;SUBSTITUTE(안내!$C$5," ","")&amp;" #성경구절 #말씀 #시편 #소망"</f>
        <v>#오늘의말씀 #성경구절 #말씀 #시편 #소망</v>
      </c>
      <c r="Q194" s="21" t="s">
        <v>77</v>
      </c>
      <c r="R194" s="22" t="n">
        <f aca="false">안내!$C$6+INT((D194-1)/안내!$C$7)</f>
        <v>46484</v>
      </c>
      <c r="S194" s="17" t="str">
        <f aca="false">IF(MOD(D194-1,안내!$C$7)=0,안내!$C$8,안내!$C$10)</f>
        <v>06:30</v>
      </c>
      <c r="T194" s="17" t="str">
        <f aca="false">CHOOSE(WEEKDAY(R194,2),"월","화","수","목","금","토","일")</f>
        <v>수</v>
      </c>
      <c r="U194" s="17" t="s">
        <v>78</v>
      </c>
      <c r="V194" s="17" t="s">
        <v>78</v>
      </c>
      <c r="W194" s="23"/>
      <c r="X194" s="23"/>
      <c r="Y194" s="21"/>
    </row>
    <row r="195" customFormat="false" ht="25.35" hidden="false" customHeight="false" outlineLevel="0" collapsed="false">
      <c r="A195" s="16" t="n">
        <v>194</v>
      </c>
      <c r="B195" s="15" t="s">
        <v>716</v>
      </c>
      <c r="C195" s="16" t="s">
        <v>70</v>
      </c>
      <c r="D195" s="16" t="n">
        <v>194</v>
      </c>
      <c r="E195" s="16" t="str">
        <f aca="false">C195&amp;"말씀 #"&amp;TEXT(D195,"000")</f>
        <v>구약말씀 #194</v>
      </c>
      <c r="F195" s="17" t="s">
        <v>534</v>
      </c>
      <c r="G195" s="18" t="s">
        <v>717</v>
      </c>
      <c r="H195" s="19" t="s">
        <v>718</v>
      </c>
      <c r="I195" s="17" t="s">
        <v>353</v>
      </c>
      <c r="J195" s="17" t="s">
        <v>113</v>
      </c>
      <c r="K195" s="20"/>
      <c r="L195" s="17" t="s">
        <v>76</v>
      </c>
      <c r="M195" s="17" t="n">
        <f aca="false">LEN(K195)</f>
        <v>0</v>
      </c>
      <c r="N195" s="17" t="str">
        <f aca="false">IF(M195=0,"-",ROUND(3+M195/안내!$C$12,0))</f>
        <v>-</v>
      </c>
      <c r="O195" s="21" t="str">
        <f aca="false">IF(K195="","(본문 입력 후 자동) | 시 121:2",IF(LEN(K195)&gt;28,LEFT(K195,28)&amp;"…",K195)&amp;" | 시 121:2")</f>
        <v>(본문 입력 후 자동) | 시 121:2</v>
      </c>
      <c r="P195" s="21" t="str">
        <f aca="false">"#"&amp;SUBSTITUTE(안내!$C$5," ","")&amp;" #성경구절 #말씀 #시편 #보호"</f>
        <v>#오늘의말씀 #성경구절 #말씀 #시편 #보호</v>
      </c>
      <c r="Q195" s="21" t="s">
        <v>77</v>
      </c>
      <c r="R195" s="22" t="n">
        <f aca="false">안내!$C$6+INT((D195-1)/안내!$C$7)</f>
        <v>46484</v>
      </c>
      <c r="S195" s="17" t="str">
        <f aca="false">IF(MOD(D195-1,안내!$C$7)=0,안내!$C$8,안내!$C$10)</f>
        <v>18:30</v>
      </c>
      <c r="T195" s="17" t="str">
        <f aca="false">CHOOSE(WEEKDAY(R195,2),"월","화","수","목","금","토","일")</f>
        <v>수</v>
      </c>
      <c r="U195" s="17" t="s">
        <v>78</v>
      </c>
      <c r="V195" s="17" t="s">
        <v>78</v>
      </c>
      <c r="W195" s="23"/>
      <c r="X195" s="23"/>
      <c r="Y195" s="21"/>
    </row>
    <row r="196" customFormat="false" ht="25.35" hidden="false" customHeight="false" outlineLevel="0" collapsed="false">
      <c r="A196" s="16" t="n">
        <v>195</v>
      </c>
      <c r="B196" s="15" t="s">
        <v>719</v>
      </c>
      <c r="C196" s="16" t="s">
        <v>70</v>
      </c>
      <c r="D196" s="16" t="n">
        <v>195</v>
      </c>
      <c r="E196" s="16" t="str">
        <f aca="false">C196&amp;"말씀 #"&amp;TEXT(D196,"000")</f>
        <v>구약말씀 #195</v>
      </c>
      <c r="F196" s="17" t="s">
        <v>534</v>
      </c>
      <c r="G196" s="18" t="s">
        <v>720</v>
      </c>
      <c r="H196" s="19" t="s">
        <v>721</v>
      </c>
      <c r="I196" s="17" t="s">
        <v>511</v>
      </c>
      <c r="J196" s="17" t="s">
        <v>89</v>
      </c>
      <c r="K196" s="20"/>
      <c r="L196" s="17" t="s">
        <v>76</v>
      </c>
      <c r="M196" s="17" t="n">
        <f aca="false">LEN(K196)</f>
        <v>0</v>
      </c>
      <c r="N196" s="17" t="str">
        <f aca="false">IF(M196=0,"-",ROUND(3+M196/안내!$C$12,0))</f>
        <v>-</v>
      </c>
      <c r="O196" s="21" t="str">
        <f aca="false">IF(K196="","(본문 입력 후 자동) | 시 126:5",IF(LEN(K196)&gt;28,LEFT(K196,28)&amp;"…",K196)&amp;" | 시 126:5")</f>
        <v>(본문 입력 후 자동) | 시 126:5</v>
      </c>
      <c r="P196" s="21" t="str">
        <f aca="false">"#"&amp;SUBSTITUTE(안내!$C$5," ","")&amp;" #성경구절 #말씀 #시편 #소망"</f>
        <v>#오늘의말씀 #성경구절 #말씀 #시편 #소망</v>
      </c>
      <c r="Q196" s="21" t="s">
        <v>77</v>
      </c>
      <c r="R196" s="22" t="n">
        <f aca="false">안내!$C$6+INT((D196-1)/안내!$C$7)</f>
        <v>46485</v>
      </c>
      <c r="S196" s="17" t="str">
        <f aca="false">IF(MOD(D196-1,안내!$C$7)=0,안내!$C$8,안내!$C$10)</f>
        <v>06:30</v>
      </c>
      <c r="T196" s="17" t="str">
        <f aca="false">CHOOSE(WEEKDAY(R196,2),"월","화","수","목","금","토","일")</f>
        <v>목</v>
      </c>
      <c r="U196" s="17" t="s">
        <v>78</v>
      </c>
      <c r="V196" s="17" t="s">
        <v>78</v>
      </c>
      <c r="W196" s="23"/>
      <c r="X196" s="23"/>
      <c r="Y196" s="21"/>
    </row>
    <row r="197" customFormat="false" ht="25.35" hidden="false" customHeight="false" outlineLevel="0" collapsed="false">
      <c r="A197" s="16" t="n">
        <v>196</v>
      </c>
      <c r="B197" s="15" t="s">
        <v>722</v>
      </c>
      <c r="C197" s="16" t="s">
        <v>70</v>
      </c>
      <c r="D197" s="16" t="n">
        <v>196</v>
      </c>
      <c r="E197" s="16" t="str">
        <f aca="false">C197&amp;"말씀 #"&amp;TEXT(D197,"000")</f>
        <v>구약말씀 #196</v>
      </c>
      <c r="F197" s="17" t="s">
        <v>534</v>
      </c>
      <c r="G197" s="18" t="s">
        <v>723</v>
      </c>
      <c r="H197" s="19" t="s">
        <v>724</v>
      </c>
      <c r="I197" s="17" t="s">
        <v>93</v>
      </c>
      <c r="J197" s="17" t="s">
        <v>94</v>
      </c>
      <c r="K197" s="20"/>
      <c r="L197" s="17" t="s">
        <v>76</v>
      </c>
      <c r="M197" s="17" t="n">
        <f aca="false">LEN(K197)</f>
        <v>0</v>
      </c>
      <c r="N197" s="17" t="str">
        <f aca="false">IF(M197=0,"-",ROUND(3+M197/안내!$C$12,0))</f>
        <v>-</v>
      </c>
      <c r="O197" s="21" t="str">
        <f aca="false">IF(K197="","(본문 입력 후 자동) | 시 127:1",IF(LEN(K197)&gt;28,LEFT(K197,28)&amp;"…",K197)&amp;" | 시 127:1")</f>
        <v>(본문 입력 후 자동) | 시 127:1</v>
      </c>
      <c r="P197" s="21" t="str">
        <f aca="false">"#"&amp;SUBSTITUTE(안내!$C$5," ","")&amp;" #성경구절 #말씀 #시편 #가정"</f>
        <v>#오늘의말씀 #성경구절 #말씀 #시편 #가정</v>
      </c>
      <c r="Q197" s="21" t="s">
        <v>77</v>
      </c>
      <c r="R197" s="22" t="n">
        <f aca="false">안내!$C$6+INT((D197-1)/안내!$C$7)</f>
        <v>46485</v>
      </c>
      <c r="S197" s="17" t="str">
        <f aca="false">IF(MOD(D197-1,안내!$C$7)=0,안내!$C$8,안내!$C$10)</f>
        <v>18:30</v>
      </c>
      <c r="T197" s="17" t="str">
        <f aca="false">CHOOSE(WEEKDAY(R197,2),"월","화","수","목","금","토","일")</f>
        <v>목</v>
      </c>
      <c r="U197" s="17" t="s">
        <v>78</v>
      </c>
      <c r="V197" s="17" t="s">
        <v>78</v>
      </c>
      <c r="W197" s="23"/>
      <c r="X197" s="23"/>
      <c r="Y197" s="21"/>
    </row>
    <row r="198" customFormat="false" ht="25.35" hidden="false" customHeight="false" outlineLevel="0" collapsed="false">
      <c r="A198" s="16" t="n">
        <v>197</v>
      </c>
      <c r="B198" s="15" t="s">
        <v>725</v>
      </c>
      <c r="C198" s="16" t="s">
        <v>70</v>
      </c>
      <c r="D198" s="16" t="n">
        <v>197</v>
      </c>
      <c r="E198" s="16" t="str">
        <f aca="false">C198&amp;"말씀 #"&amp;TEXT(D198,"000")</f>
        <v>구약말씀 #197</v>
      </c>
      <c r="F198" s="17" t="s">
        <v>534</v>
      </c>
      <c r="G198" s="18" t="s">
        <v>726</v>
      </c>
      <c r="H198" s="19" t="s">
        <v>727</v>
      </c>
      <c r="I198" s="17" t="s">
        <v>728</v>
      </c>
      <c r="J198" s="17" t="s">
        <v>94</v>
      </c>
      <c r="K198" s="20"/>
      <c r="L198" s="17" t="s">
        <v>76</v>
      </c>
      <c r="M198" s="17" t="n">
        <f aca="false">LEN(K198)</f>
        <v>0</v>
      </c>
      <c r="N198" s="17" t="str">
        <f aca="false">IF(M198=0,"-",ROUND(3+M198/안내!$C$12,0))</f>
        <v>-</v>
      </c>
      <c r="O198" s="21" t="str">
        <f aca="false">IF(K198="","(본문 입력 후 자동) | 시 133:1",IF(LEN(K198)&gt;28,LEFT(K198,28)&amp;"…",K198)&amp;" | 시 133:1")</f>
        <v>(본문 입력 후 자동) | 시 133:1</v>
      </c>
      <c r="P198" s="21" t="str">
        <f aca="false">"#"&amp;SUBSTITUTE(안내!$C$5," ","")&amp;" #성경구절 #말씀 #시편 #연합"</f>
        <v>#오늘의말씀 #성경구절 #말씀 #시편 #연합</v>
      </c>
      <c r="Q198" s="21" t="s">
        <v>77</v>
      </c>
      <c r="R198" s="22" t="n">
        <f aca="false">안내!$C$6+INT((D198-1)/안내!$C$7)</f>
        <v>46486</v>
      </c>
      <c r="S198" s="17" t="str">
        <f aca="false">IF(MOD(D198-1,안내!$C$7)=0,안내!$C$8,안내!$C$10)</f>
        <v>06:30</v>
      </c>
      <c r="T198" s="17" t="str">
        <f aca="false">CHOOSE(WEEKDAY(R198,2),"월","화","수","목","금","토","일")</f>
        <v>금</v>
      </c>
      <c r="U198" s="17" t="s">
        <v>78</v>
      </c>
      <c r="V198" s="17" t="s">
        <v>78</v>
      </c>
      <c r="W198" s="23"/>
      <c r="X198" s="23"/>
      <c r="Y198" s="21"/>
    </row>
    <row r="199" customFormat="false" ht="26.85" hidden="false" customHeight="false" outlineLevel="0" collapsed="false">
      <c r="A199" s="16" t="n">
        <v>198</v>
      </c>
      <c r="B199" s="15" t="s">
        <v>729</v>
      </c>
      <c r="C199" s="16" t="s">
        <v>70</v>
      </c>
      <c r="D199" s="16" t="n">
        <v>198</v>
      </c>
      <c r="E199" s="16" t="str">
        <f aca="false">C199&amp;"말씀 #"&amp;TEXT(D199,"000")</f>
        <v>구약말씀 #198</v>
      </c>
      <c r="F199" s="17" t="s">
        <v>534</v>
      </c>
      <c r="G199" s="18" t="s">
        <v>730</v>
      </c>
      <c r="H199" s="19" t="s">
        <v>731</v>
      </c>
      <c r="I199" s="17" t="s">
        <v>74</v>
      </c>
      <c r="J199" s="17" t="s">
        <v>75</v>
      </c>
      <c r="K199" s="20"/>
      <c r="L199" s="17" t="s">
        <v>76</v>
      </c>
      <c r="M199" s="17" t="n">
        <f aca="false">LEN(K199)</f>
        <v>0</v>
      </c>
      <c r="N199" s="17" t="str">
        <f aca="false">IF(M199=0,"-",ROUND(3+M199/안내!$C$12,0))</f>
        <v>-</v>
      </c>
      <c r="O199" s="21" t="str">
        <f aca="false">IF(K199="","(본문 입력 후 자동) | 시 139:14",IF(LEN(K199)&gt;28,LEFT(K199,28)&amp;"…",K199)&amp;" | 시 139:14")</f>
        <v>(본문 입력 후 자동) | 시 139:14</v>
      </c>
      <c r="P199" s="21" t="str">
        <f aca="false">"#"&amp;SUBSTITUTE(안내!$C$5," ","")&amp;" #성경구절 #말씀 #시편 #창조"</f>
        <v>#오늘의말씀 #성경구절 #말씀 #시편 #창조</v>
      </c>
      <c r="Q199" s="21" t="s">
        <v>77</v>
      </c>
      <c r="R199" s="22" t="n">
        <f aca="false">안내!$C$6+INT((D199-1)/안내!$C$7)</f>
        <v>46486</v>
      </c>
      <c r="S199" s="17" t="str">
        <f aca="false">IF(MOD(D199-1,안내!$C$7)=0,안내!$C$8,안내!$C$10)</f>
        <v>18:30</v>
      </c>
      <c r="T199" s="17" t="str">
        <f aca="false">CHOOSE(WEEKDAY(R199,2),"월","화","수","목","금","토","일")</f>
        <v>금</v>
      </c>
      <c r="U199" s="17" t="s">
        <v>78</v>
      </c>
      <c r="V199" s="17" t="s">
        <v>78</v>
      </c>
      <c r="W199" s="23"/>
      <c r="X199" s="23"/>
      <c r="Y199" s="21"/>
    </row>
    <row r="200" customFormat="false" ht="26.85" hidden="false" customHeight="false" outlineLevel="0" collapsed="false">
      <c r="A200" s="16" t="n">
        <v>199</v>
      </c>
      <c r="B200" s="15" t="s">
        <v>732</v>
      </c>
      <c r="C200" s="16" t="s">
        <v>70</v>
      </c>
      <c r="D200" s="16" t="n">
        <v>199</v>
      </c>
      <c r="E200" s="16" t="str">
        <f aca="false">C200&amp;"말씀 #"&amp;TEXT(D200,"000")</f>
        <v>구약말씀 #199</v>
      </c>
      <c r="F200" s="17" t="s">
        <v>534</v>
      </c>
      <c r="G200" s="18" t="s">
        <v>733</v>
      </c>
      <c r="H200" s="19" t="s">
        <v>734</v>
      </c>
      <c r="I200" s="17" t="s">
        <v>160</v>
      </c>
      <c r="J200" s="17" t="s">
        <v>104</v>
      </c>
      <c r="K200" s="20"/>
      <c r="L200" s="17" t="s">
        <v>76</v>
      </c>
      <c r="M200" s="17" t="n">
        <f aca="false">LEN(K200)</f>
        <v>0</v>
      </c>
      <c r="N200" s="17" t="str">
        <f aca="false">IF(M200=0,"-",ROUND(3+M200/안내!$C$12,0))</f>
        <v>-</v>
      </c>
      <c r="O200" s="21" t="str">
        <f aca="false">IF(K200="","(본문 입력 후 자동) | 시 139:23",IF(LEN(K200)&gt;28,LEFT(K200,28)&amp;"…",K200)&amp;" | 시 139:23")</f>
        <v>(본문 입력 후 자동) | 시 139:23</v>
      </c>
      <c r="P200" s="21" t="str">
        <f aca="false">"#"&amp;SUBSTITUTE(안내!$C$5," ","")&amp;" #성경구절 #말씀 #시편 #기도"</f>
        <v>#오늘의말씀 #성경구절 #말씀 #시편 #기도</v>
      </c>
      <c r="Q200" s="21" t="s">
        <v>77</v>
      </c>
      <c r="R200" s="22" t="n">
        <f aca="false">안내!$C$6+INT((D200-1)/안내!$C$7)</f>
        <v>46487</v>
      </c>
      <c r="S200" s="17" t="str">
        <f aca="false">IF(MOD(D200-1,안내!$C$7)=0,안내!$C$8,안내!$C$10)</f>
        <v>06:30</v>
      </c>
      <c r="T200" s="17" t="str">
        <f aca="false">CHOOSE(WEEKDAY(R200,2),"월","화","수","목","금","토","일")</f>
        <v>토</v>
      </c>
      <c r="U200" s="17" t="s">
        <v>78</v>
      </c>
      <c r="V200" s="17" t="s">
        <v>78</v>
      </c>
      <c r="W200" s="23"/>
      <c r="X200" s="23"/>
      <c r="Y200" s="21"/>
    </row>
    <row r="201" customFormat="false" ht="25.35" hidden="false" customHeight="false" outlineLevel="0" collapsed="false">
      <c r="A201" s="16" t="n">
        <v>200</v>
      </c>
      <c r="B201" s="15" t="s">
        <v>735</v>
      </c>
      <c r="C201" s="16" t="s">
        <v>70</v>
      </c>
      <c r="D201" s="16" t="n">
        <v>200</v>
      </c>
      <c r="E201" s="16" t="str">
        <f aca="false">C201&amp;"말씀 #"&amp;TEXT(D201,"000")</f>
        <v>구약말씀 #200</v>
      </c>
      <c r="F201" s="17" t="s">
        <v>534</v>
      </c>
      <c r="G201" s="18" t="s">
        <v>736</v>
      </c>
      <c r="H201" s="19" t="s">
        <v>737</v>
      </c>
      <c r="I201" s="17" t="s">
        <v>180</v>
      </c>
      <c r="J201" s="17" t="s">
        <v>122</v>
      </c>
      <c r="K201" s="20"/>
      <c r="L201" s="17" t="s">
        <v>76</v>
      </c>
      <c r="M201" s="17" t="n">
        <f aca="false">LEN(K201)</f>
        <v>0</v>
      </c>
      <c r="N201" s="17" t="str">
        <f aca="false">IF(M201=0,"-",ROUND(3+M201/안내!$C$12,0))</f>
        <v>-</v>
      </c>
      <c r="O201" s="21" t="str">
        <f aca="false">IF(K201="","(본문 입력 후 자동) | 시 143:8",IF(LEN(K201)&gt;28,LEFT(K201,28)&amp;"…",K201)&amp;" | 시 143:8")</f>
        <v>(본문 입력 후 자동) | 시 143:8</v>
      </c>
      <c r="P201" s="21" t="str">
        <f aca="false">"#"&amp;SUBSTITUTE(안내!$C$5," ","")&amp;" #성경구절 #말씀 #시편 #인도"</f>
        <v>#오늘의말씀 #성경구절 #말씀 #시편 #인도</v>
      </c>
      <c r="Q201" s="21" t="s">
        <v>77</v>
      </c>
      <c r="R201" s="22" t="n">
        <f aca="false">안내!$C$6+INT((D201-1)/안내!$C$7)</f>
        <v>46487</v>
      </c>
      <c r="S201" s="17" t="str">
        <f aca="false">IF(MOD(D201-1,안내!$C$7)=0,안내!$C$8,안내!$C$10)</f>
        <v>18:30</v>
      </c>
      <c r="T201" s="17" t="str">
        <f aca="false">CHOOSE(WEEKDAY(R201,2),"월","화","수","목","금","토","일")</f>
        <v>토</v>
      </c>
      <c r="U201" s="17" t="s">
        <v>78</v>
      </c>
      <c r="V201" s="17" t="s">
        <v>78</v>
      </c>
      <c r="W201" s="23"/>
      <c r="X201" s="23"/>
      <c r="Y201" s="21"/>
    </row>
    <row r="202" customFormat="false" ht="26.85" hidden="false" customHeight="false" outlineLevel="0" collapsed="false">
      <c r="A202" s="16" t="n">
        <v>201</v>
      </c>
      <c r="B202" s="15" t="s">
        <v>738</v>
      </c>
      <c r="C202" s="16" t="s">
        <v>70</v>
      </c>
      <c r="D202" s="16" t="n">
        <v>201</v>
      </c>
      <c r="E202" s="16" t="str">
        <f aca="false">C202&amp;"말씀 #"&amp;TEXT(D202,"000")</f>
        <v>구약말씀 #201</v>
      </c>
      <c r="F202" s="17" t="s">
        <v>534</v>
      </c>
      <c r="G202" s="18" t="s">
        <v>739</v>
      </c>
      <c r="H202" s="19" t="s">
        <v>740</v>
      </c>
      <c r="I202" s="17" t="s">
        <v>160</v>
      </c>
      <c r="J202" s="17" t="s">
        <v>104</v>
      </c>
      <c r="K202" s="20"/>
      <c r="L202" s="17" t="s">
        <v>76</v>
      </c>
      <c r="M202" s="17" t="n">
        <f aca="false">LEN(K202)</f>
        <v>0</v>
      </c>
      <c r="N202" s="17" t="str">
        <f aca="false">IF(M202=0,"-",ROUND(3+M202/안내!$C$12,0))</f>
        <v>-</v>
      </c>
      <c r="O202" s="21" t="str">
        <f aca="false">IF(K202="","(본문 입력 후 자동) | 시 145:18",IF(LEN(K202)&gt;28,LEFT(K202,28)&amp;"…",K202)&amp;" | 시 145:18")</f>
        <v>(본문 입력 후 자동) | 시 145:18</v>
      </c>
      <c r="P202" s="21" t="str">
        <f aca="false">"#"&amp;SUBSTITUTE(안내!$C$5," ","")&amp;" #성경구절 #말씀 #시편 #기도"</f>
        <v>#오늘의말씀 #성경구절 #말씀 #시편 #기도</v>
      </c>
      <c r="Q202" s="21" t="s">
        <v>77</v>
      </c>
      <c r="R202" s="22" t="n">
        <f aca="false">안내!$C$6+INT((D202-1)/안내!$C$7)</f>
        <v>46488</v>
      </c>
      <c r="S202" s="17" t="str">
        <f aca="false">IF(MOD(D202-1,안내!$C$7)=0,안내!$C$8,안내!$C$10)</f>
        <v>06:30</v>
      </c>
      <c r="T202" s="17" t="str">
        <f aca="false">CHOOSE(WEEKDAY(R202,2),"월","화","수","목","금","토","일")</f>
        <v>일</v>
      </c>
      <c r="U202" s="17" t="s">
        <v>78</v>
      </c>
      <c r="V202" s="17" t="s">
        <v>78</v>
      </c>
      <c r="W202" s="23"/>
      <c r="X202" s="23"/>
      <c r="Y202" s="21"/>
    </row>
    <row r="203" customFormat="false" ht="25.35" hidden="false" customHeight="false" outlineLevel="0" collapsed="false">
      <c r="A203" s="16" t="n">
        <v>202</v>
      </c>
      <c r="B203" s="15" t="s">
        <v>741</v>
      </c>
      <c r="C203" s="16" t="s">
        <v>70</v>
      </c>
      <c r="D203" s="16" t="n">
        <v>202</v>
      </c>
      <c r="E203" s="16" t="str">
        <f aca="false">C203&amp;"말씀 #"&amp;TEXT(D203,"000")</f>
        <v>구약말씀 #202</v>
      </c>
      <c r="F203" s="17" t="s">
        <v>534</v>
      </c>
      <c r="G203" s="18" t="s">
        <v>742</v>
      </c>
      <c r="H203" s="19" t="s">
        <v>743</v>
      </c>
      <c r="I203" s="17" t="s">
        <v>129</v>
      </c>
      <c r="J203" s="17" t="s">
        <v>99</v>
      </c>
      <c r="K203" s="20"/>
      <c r="L203" s="17" t="s">
        <v>76</v>
      </c>
      <c r="M203" s="17" t="n">
        <f aca="false">LEN(K203)</f>
        <v>0</v>
      </c>
      <c r="N203" s="17" t="str">
        <f aca="false">IF(M203=0,"-",ROUND(3+M203/안내!$C$12,0))</f>
        <v>-</v>
      </c>
      <c r="O203" s="21" t="str">
        <f aca="false">IF(K203="","(본문 입력 후 자동) | 시 147:3",IF(LEN(K203)&gt;28,LEFT(K203,28)&amp;"…",K203)&amp;" | 시 147:3")</f>
        <v>(본문 입력 후 자동) | 시 147:3</v>
      </c>
      <c r="P203" s="21" t="str">
        <f aca="false">"#"&amp;SUBSTITUTE(안내!$C$5," ","")&amp;" #성경구절 #말씀 #시편 #위로"</f>
        <v>#오늘의말씀 #성경구절 #말씀 #시편 #위로</v>
      </c>
      <c r="Q203" s="21" t="s">
        <v>77</v>
      </c>
      <c r="R203" s="22" t="n">
        <f aca="false">안내!$C$6+INT((D203-1)/안내!$C$7)</f>
        <v>46488</v>
      </c>
      <c r="S203" s="17" t="str">
        <f aca="false">IF(MOD(D203-1,안내!$C$7)=0,안내!$C$8,안내!$C$10)</f>
        <v>18:30</v>
      </c>
      <c r="T203" s="17" t="str">
        <f aca="false">CHOOSE(WEEKDAY(R203,2),"월","화","수","목","금","토","일")</f>
        <v>일</v>
      </c>
      <c r="U203" s="17" t="s">
        <v>78</v>
      </c>
      <c r="V203" s="17" t="s">
        <v>78</v>
      </c>
      <c r="W203" s="23"/>
      <c r="X203" s="23"/>
      <c r="Y203" s="21"/>
    </row>
    <row r="204" customFormat="false" ht="25.35" hidden="false" customHeight="false" outlineLevel="0" collapsed="false">
      <c r="A204" s="16" t="n">
        <v>203</v>
      </c>
      <c r="B204" s="15" t="s">
        <v>744</v>
      </c>
      <c r="C204" s="16" t="s">
        <v>70</v>
      </c>
      <c r="D204" s="16" t="n">
        <v>203</v>
      </c>
      <c r="E204" s="16" t="str">
        <f aca="false">C204&amp;"말씀 #"&amp;TEXT(D204,"000")</f>
        <v>구약말씀 #203</v>
      </c>
      <c r="F204" s="17" t="s">
        <v>534</v>
      </c>
      <c r="G204" s="18" t="s">
        <v>745</v>
      </c>
      <c r="H204" s="19" t="s">
        <v>746</v>
      </c>
      <c r="I204" s="17" t="s">
        <v>196</v>
      </c>
      <c r="J204" s="17" t="s">
        <v>75</v>
      </c>
      <c r="K204" s="20"/>
      <c r="L204" s="17" t="s">
        <v>76</v>
      </c>
      <c r="M204" s="17" t="n">
        <f aca="false">LEN(K204)</f>
        <v>0</v>
      </c>
      <c r="N204" s="17" t="str">
        <f aca="false">IF(M204=0,"-",ROUND(3+M204/안내!$C$12,0))</f>
        <v>-</v>
      </c>
      <c r="O204" s="21" t="str">
        <f aca="false">IF(K204="","(본문 입력 후 자동) | 시 150:6",IF(LEN(K204)&gt;28,LEFT(K204,28)&amp;"…",K204)&amp;" | 시 150:6")</f>
        <v>(본문 입력 후 자동) | 시 150:6</v>
      </c>
      <c r="P204" s="21" t="str">
        <f aca="false">"#"&amp;SUBSTITUTE(안내!$C$5," ","")&amp;" #성경구절 #말씀 #시편 #찬양"</f>
        <v>#오늘의말씀 #성경구절 #말씀 #시편 #찬양</v>
      </c>
      <c r="Q204" s="21" t="s">
        <v>77</v>
      </c>
      <c r="R204" s="22" t="n">
        <f aca="false">안내!$C$6+INT((D204-1)/안내!$C$7)</f>
        <v>46489</v>
      </c>
      <c r="S204" s="17" t="str">
        <f aca="false">IF(MOD(D204-1,안내!$C$7)=0,안내!$C$8,안내!$C$10)</f>
        <v>06:30</v>
      </c>
      <c r="T204" s="17" t="str">
        <f aca="false">CHOOSE(WEEKDAY(R204,2),"월","화","수","목","금","토","일")</f>
        <v>월</v>
      </c>
      <c r="U204" s="17" t="s">
        <v>78</v>
      </c>
      <c r="V204" s="17" t="s">
        <v>78</v>
      </c>
      <c r="W204" s="23"/>
      <c r="X204" s="23"/>
      <c r="Y204" s="21"/>
    </row>
    <row r="205" customFormat="false" ht="15" hidden="false" customHeight="false" outlineLevel="0" collapsed="false">
      <c r="A205" s="16" t="n">
        <v>204</v>
      </c>
      <c r="B205" s="15" t="s">
        <v>747</v>
      </c>
      <c r="C205" s="16" t="s">
        <v>70</v>
      </c>
      <c r="D205" s="16" t="n">
        <v>204</v>
      </c>
      <c r="E205" s="16" t="str">
        <f aca="false">C205&amp;"말씀 #"&amp;TEXT(D205,"000")</f>
        <v>구약말씀 #204</v>
      </c>
      <c r="F205" s="17" t="s">
        <v>748</v>
      </c>
      <c r="G205" s="18" t="s">
        <v>749</v>
      </c>
      <c r="H205" s="19" t="s">
        <v>750</v>
      </c>
      <c r="I205" s="17" t="s">
        <v>403</v>
      </c>
      <c r="J205" s="17" t="s">
        <v>148</v>
      </c>
      <c r="K205" s="20"/>
      <c r="L205" s="17" t="s">
        <v>76</v>
      </c>
      <c r="M205" s="17" t="n">
        <f aca="false">LEN(K205)</f>
        <v>0</v>
      </c>
      <c r="N205" s="17" t="str">
        <f aca="false">IF(M205=0,"-",ROUND(3+M205/안내!$C$12,0))</f>
        <v>-</v>
      </c>
      <c r="O205" s="21" t="str">
        <f aca="false">IF(K205="","(본문 입력 후 자동) | 잠 1:7",IF(LEN(K205)&gt;28,LEFT(K205,28)&amp;"…",K205)&amp;" | 잠 1:7")</f>
        <v>(본문 입력 후 자동) | 잠 1:7</v>
      </c>
      <c r="P205" s="21" t="str">
        <f aca="false">"#"&amp;SUBSTITUTE(안내!$C$5," ","")&amp;" #성경구절 #말씀 #잠언 #지혜"</f>
        <v>#오늘의말씀 #성경구절 #말씀 #잠언 #지혜</v>
      </c>
      <c r="Q205" s="21" t="s">
        <v>77</v>
      </c>
      <c r="R205" s="22" t="n">
        <f aca="false">안내!$C$6+INT((D205-1)/안내!$C$7)</f>
        <v>46489</v>
      </c>
      <c r="S205" s="17" t="str">
        <f aca="false">IF(MOD(D205-1,안내!$C$7)=0,안내!$C$8,안내!$C$10)</f>
        <v>18:30</v>
      </c>
      <c r="T205" s="17" t="str">
        <f aca="false">CHOOSE(WEEKDAY(R205,2),"월","화","수","목","금","토","일")</f>
        <v>월</v>
      </c>
      <c r="U205" s="17" t="s">
        <v>78</v>
      </c>
      <c r="V205" s="17" t="s">
        <v>78</v>
      </c>
      <c r="W205" s="23"/>
      <c r="X205" s="23"/>
      <c r="Y205" s="21"/>
    </row>
    <row r="206" customFormat="false" ht="15" hidden="false" customHeight="false" outlineLevel="0" collapsed="false">
      <c r="A206" s="16" t="n">
        <v>205</v>
      </c>
      <c r="B206" s="15" t="s">
        <v>751</v>
      </c>
      <c r="C206" s="16" t="s">
        <v>70</v>
      </c>
      <c r="D206" s="16" t="n">
        <v>205</v>
      </c>
      <c r="E206" s="16" t="str">
        <f aca="false">C206&amp;"말씀 #"&amp;TEXT(D206,"000")</f>
        <v>구약말씀 #205</v>
      </c>
      <c r="F206" s="17" t="s">
        <v>748</v>
      </c>
      <c r="G206" s="18" t="s">
        <v>170</v>
      </c>
      <c r="H206" s="19" t="s">
        <v>752</v>
      </c>
      <c r="I206" s="17" t="s">
        <v>497</v>
      </c>
      <c r="J206" s="17" t="s">
        <v>113</v>
      </c>
      <c r="K206" s="20"/>
      <c r="L206" s="17" t="s">
        <v>76</v>
      </c>
      <c r="M206" s="17" t="n">
        <f aca="false">LEN(K206)</f>
        <v>0</v>
      </c>
      <c r="N206" s="17" t="str">
        <f aca="false">IF(M206=0,"-",ROUND(3+M206/안내!$C$12,0))</f>
        <v>-</v>
      </c>
      <c r="O206" s="21" t="str">
        <f aca="false">IF(K206="","(본문 입력 후 자동) | 잠 3:5",IF(LEN(K206)&gt;28,LEFT(K206,28)&amp;"…",K206)&amp;" | 잠 3:5")</f>
        <v>(본문 입력 후 자동) | 잠 3:5</v>
      </c>
      <c r="P206" s="21" t="str">
        <f aca="false">"#"&amp;SUBSTITUTE(안내!$C$5," ","")&amp;" #성경구절 #말씀 #잠언 #신뢰"</f>
        <v>#오늘의말씀 #성경구절 #말씀 #잠언 #신뢰</v>
      </c>
      <c r="Q206" s="21" t="s">
        <v>77</v>
      </c>
      <c r="R206" s="22" t="n">
        <f aca="false">안내!$C$6+INT((D206-1)/안내!$C$7)</f>
        <v>46490</v>
      </c>
      <c r="S206" s="17" t="str">
        <f aca="false">IF(MOD(D206-1,안내!$C$7)=0,안내!$C$8,안내!$C$10)</f>
        <v>06:30</v>
      </c>
      <c r="T206" s="17" t="str">
        <f aca="false">CHOOSE(WEEKDAY(R206,2),"월","화","수","목","금","토","일")</f>
        <v>화</v>
      </c>
      <c r="U206" s="17" t="s">
        <v>78</v>
      </c>
      <c r="V206" s="17" t="s">
        <v>78</v>
      </c>
      <c r="W206" s="23"/>
      <c r="X206" s="23"/>
      <c r="Y206" s="21"/>
    </row>
    <row r="207" customFormat="false" ht="15" hidden="false" customHeight="false" outlineLevel="0" collapsed="false">
      <c r="A207" s="16" t="n">
        <v>206</v>
      </c>
      <c r="B207" s="15" t="s">
        <v>753</v>
      </c>
      <c r="C207" s="16" t="s">
        <v>70</v>
      </c>
      <c r="D207" s="16" t="n">
        <v>206</v>
      </c>
      <c r="E207" s="16" t="str">
        <f aca="false">C207&amp;"말씀 #"&amp;TEXT(D207,"000")</f>
        <v>구약말씀 #206</v>
      </c>
      <c r="F207" s="17" t="s">
        <v>748</v>
      </c>
      <c r="G207" s="18" t="s">
        <v>754</v>
      </c>
      <c r="H207" s="19" t="s">
        <v>755</v>
      </c>
      <c r="I207" s="17" t="s">
        <v>180</v>
      </c>
      <c r="J207" s="17" t="s">
        <v>122</v>
      </c>
      <c r="K207" s="20"/>
      <c r="L207" s="17" t="s">
        <v>76</v>
      </c>
      <c r="M207" s="17" t="n">
        <f aca="false">LEN(K207)</f>
        <v>0</v>
      </c>
      <c r="N207" s="17" t="str">
        <f aca="false">IF(M207=0,"-",ROUND(3+M207/안내!$C$12,0))</f>
        <v>-</v>
      </c>
      <c r="O207" s="21" t="str">
        <f aca="false">IF(K207="","(본문 입력 후 자동) | 잠 3:6",IF(LEN(K207)&gt;28,LEFT(K207,28)&amp;"…",K207)&amp;" | 잠 3:6")</f>
        <v>(본문 입력 후 자동) | 잠 3:6</v>
      </c>
      <c r="P207" s="21" t="str">
        <f aca="false">"#"&amp;SUBSTITUTE(안내!$C$5," ","")&amp;" #성경구절 #말씀 #잠언 #인도"</f>
        <v>#오늘의말씀 #성경구절 #말씀 #잠언 #인도</v>
      </c>
      <c r="Q207" s="21" t="s">
        <v>77</v>
      </c>
      <c r="R207" s="22" t="n">
        <f aca="false">안내!$C$6+INT((D207-1)/안내!$C$7)</f>
        <v>46490</v>
      </c>
      <c r="S207" s="17" t="str">
        <f aca="false">IF(MOD(D207-1,안내!$C$7)=0,안내!$C$8,안내!$C$10)</f>
        <v>18:30</v>
      </c>
      <c r="T207" s="17" t="str">
        <f aca="false">CHOOSE(WEEKDAY(R207,2),"월","화","수","목","금","토","일")</f>
        <v>화</v>
      </c>
      <c r="U207" s="17" t="s">
        <v>78</v>
      </c>
      <c r="V207" s="17" t="s">
        <v>78</v>
      </c>
      <c r="W207" s="23"/>
      <c r="X207" s="23"/>
      <c r="Y207" s="21"/>
    </row>
    <row r="208" customFormat="false" ht="15" hidden="false" customHeight="false" outlineLevel="0" collapsed="false">
      <c r="A208" s="16" t="n">
        <v>207</v>
      </c>
      <c r="B208" s="15" t="s">
        <v>756</v>
      </c>
      <c r="C208" s="16" t="s">
        <v>70</v>
      </c>
      <c r="D208" s="16" t="n">
        <v>207</v>
      </c>
      <c r="E208" s="16" t="str">
        <f aca="false">C208&amp;"말씀 #"&amp;TEXT(D208,"000")</f>
        <v>구약말씀 #207</v>
      </c>
      <c r="F208" s="17" t="s">
        <v>748</v>
      </c>
      <c r="G208" s="18" t="s">
        <v>757</v>
      </c>
      <c r="H208" s="19" t="s">
        <v>758</v>
      </c>
      <c r="I208" s="17" t="s">
        <v>504</v>
      </c>
      <c r="J208" s="17" t="s">
        <v>113</v>
      </c>
      <c r="K208" s="20"/>
      <c r="L208" s="17" t="s">
        <v>76</v>
      </c>
      <c r="M208" s="17" t="n">
        <f aca="false">LEN(K208)</f>
        <v>0</v>
      </c>
      <c r="N208" s="17" t="str">
        <f aca="false">IF(M208=0,"-",ROUND(3+M208/안내!$C$12,0))</f>
        <v>-</v>
      </c>
      <c r="O208" s="21" t="str">
        <f aca="false">IF(K208="","(본문 입력 후 자동) | 잠 3:11",IF(LEN(K208)&gt;28,LEFT(K208,28)&amp;"…",K208)&amp;" | 잠 3:11")</f>
        <v>(본문 입력 후 자동) | 잠 3:11</v>
      </c>
      <c r="P208" s="21" t="str">
        <f aca="false">"#"&amp;SUBSTITUTE(안내!$C$5," ","")&amp;" #성경구절 #말씀 #잠언 #연단"</f>
        <v>#오늘의말씀 #성경구절 #말씀 #잠언 #연단</v>
      </c>
      <c r="Q208" s="21" t="s">
        <v>77</v>
      </c>
      <c r="R208" s="22" t="n">
        <f aca="false">안내!$C$6+INT((D208-1)/안내!$C$7)</f>
        <v>46491</v>
      </c>
      <c r="S208" s="17" t="str">
        <f aca="false">IF(MOD(D208-1,안내!$C$7)=0,안내!$C$8,안내!$C$10)</f>
        <v>06:30</v>
      </c>
      <c r="T208" s="17" t="str">
        <f aca="false">CHOOSE(WEEKDAY(R208,2),"월","화","수","목","금","토","일")</f>
        <v>수</v>
      </c>
      <c r="U208" s="17" t="s">
        <v>78</v>
      </c>
      <c r="V208" s="17" t="s">
        <v>78</v>
      </c>
      <c r="W208" s="23"/>
      <c r="X208" s="23"/>
      <c r="Y208" s="21"/>
    </row>
    <row r="209" customFormat="false" ht="15" hidden="false" customHeight="false" outlineLevel="0" collapsed="false">
      <c r="A209" s="16" t="n">
        <v>208</v>
      </c>
      <c r="B209" s="15" t="s">
        <v>759</v>
      </c>
      <c r="C209" s="16" t="s">
        <v>70</v>
      </c>
      <c r="D209" s="16" t="n">
        <v>208</v>
      </c>
      <c r="E209" s="16" t="str">
        <f aca="false">C209&amp;"말씀 #"&amp;TEXT(D209,"000")</f>
        <v>구약말씀 #208</v>
      </c>
      <c r="F209" s="17" t="s">
        <v>748</v>
      </c>
      <c r="G209" s="18" t="s">
        <v>760</v>
      </c>
      <c r="H209" s="19" t="s">
        <v>761</v>
      </c>
      <c r="I209" s="17" t="s">
        <v>376</v>
      </c>
      <c r="J209" s="17" t="s">
        <v>94</v>
      </c>
      <c r="K209" s="20"/>
      <c r="L209" s="17" t="s">
        <v>76</v>
      </c>
      <c r="M209" s="17" t="n">
        <f aca="false">LEN(K209)</f>
        <v>0</v>
      </c>
      <c r="N209" s="17" t="str">
        <f aca="false">IF(M209=0,"-",ROUND(3+M209/안내!$C$12,0))</f>
        <v>-</v>
      </c>
      <c r="O209" s="21" t="str">
        <f aca="false">IF(K209="","(본문 입력 후 자동) | 잠 4:23",IF(LEN(K209)&gt;28,LEFT(K209,28)&amp;"…",K209)&amp;" | 잠 4:23")</f>
        <v>(본문 입력 후 자동) | 잠 4:23</v>
      </c>
      <c r="P209" s="21" t="str">
        <f aca="false">"#"&amp;SUBSTITUTE(안내!$C$5," ","")&amp;" #성경구절 #말씀 #잠언 #마음"</f>
        <v>#오늘의말씀 #성경구절 #말씀 #잠언 #마음</v>
      </c>
      <c r="Q209" s="21" t="s">
        <v>77</v>
      </c>
      <c r="R209" s="22" t="n">
        <f aca="false">안내!$C$6+INT((D209-1)/안내!$C$7)</f>
        <v>46491</v>
      </c>
      <c r="S209" s="17" t="str">
        <f aca="false">IF(MOD(D209-1,안내!$C$7)=0,안내!$C$8,안내!$C$10)</f>
        <v>18:30</v>
      </c>
      <c r="T209" s="17" t="str">
        <f aca="false">CHOOSE(WEEKDAY(R209,2),"월","화","수","목","금","토","일")</f>
        <v>수</v>
      </c>
      <c r="U209" s="17" t="s">
        <v>78</v>
      </c>
      <c r="V209" s="17" t="s">
        <v>78</v>
      </c>
      <c r="W209" s="23"/>
      <c r="X209" s="23"/>
      <c r="Y209" s="21"/>
    </row>
    <row r="210" customFormat="false" ht="15" hidden="false" customHeight="false" outlineLevel="0" collapsed="false">
      <c r="A210" s="16" t="n">
        <v>209</v>
      </c>
      <c r="B210" s="15" t="s">
        <v>762</v>
      </c>
      <c r="C210" s="16" t="s">
        <v>70</v>
      </c>
      <c r="D210" s="16" t="n">
        <v>209</v>
      </c>
      <c r="E210" s="16" t="str">
        <f aca="false">C210&amp;"말씀 #"&amp;TEXT(D210,"000")</f>
        <v>구약말씀 #209</v>
      </c>
      <c r="F210" s="17" t="s">
        <v>748</v>
      </c>
      <c r="G210" s="18" t="s">
        <v>282</v>
      </c>
      <c r="H210" s="19" t="s">
        <v>763</v>
      </c>
      <c r="I210" s="17" t="s">
        <v>403</v>
      </c>
      <c r="J210" s="17" t="s">
        <v>148</v>
      </c>
      <c r="K210" s="20"/>
      <c r="L210" s="17" t="s">
        <v>76</v>
      </c>
      <c r="M210" s="17" t="n">
        <f aca="false">LEN(K210)</f>
        <v>0</v>
      </c>
      <c r="N210" s="17" t="str">
        <f aca="false">IF(M210=0,"-",ROUND(3+M210/안내!$C$12,0))</f>
        <v>-</v>
      </c>
      <c r="O210" s="21" t="str">
        <f aca="false">IF(K210="","(본문 입력 후 자동) | 잠 6:6",IF(LEN(K210)&gt;28,LEFT(K210,28)&amp;"…",K210)&amp;" | 잠 6:6")</f>
        <v>(본문 입력 후 자동) | 잠 6:6</v>
      </c>
      <c r="P210" s="21" t="str">
        <f aca="false">"#"&amp;SUBSTITUTE(안내!$C$5," ","")&amp;" #성경구절 #말씀 #잠언 #지혜"</f>
        <v>#오늘의말씀 #성경구절 #말씀 #잠언 #지혜</v>
      </c>
      <c r="Q210" s="21" t="s">
        <v>77</v>
      </c>
      <c r="R210" s="22" t="n">
        <f aca="false">안내!$C$6+INT((D210-1)/안내!$C$7)</f>
        <v>46492</v>
      </c>
      <c r="S210" s="17" t="str">
        <f aca="false">IF(MOD(D210-1,안내!$C$7)=0,안내!$C$8,안내!$C$10)</f>
        <v>06:30</v>
      </c>
      <c r="T210" s="17" t="str">
        <f aca="false">CHOOSE(WEEKDAY(R210,2),"월","화","수","목","금","토","일")</f>
        <v>목</v>
      </c>
      <c r="U210" s="17" t="s">
        <v>78</v>
      </c>
      <c r="V210" s="17" t="s">
        <v>78</v>
      </c>
      <c r="W210" s="23"/>
      <c r="X210" s="23"/>
      <c r="Y210" s="21"/>
    </row>
    <row r="211" customFormat="false" ht="15" hidden="false" customHeight="false" outlineLevel="0" collapsed="false">
      <c r="A211" s="16" t="n">
        <v>210</v>
      </c>
      <c r="B211" s="15" t="s">
        <v>764</v>
      </c>
      <c r="C211" s="16" t="s">
        <v>70</v>
      </c>
      <c r="D211" s="16" t="n">
        <v>210</v>
      </c>
      <c r="E211" s="16" t="str">
        <f aca="false">C211&amp;"말씀 #"&amp;TEXT(D211,"000")</f>
        <v>구약말씀 #210</v>
      </c>
      <c r="F211" s="17" t="s">
        <v>748</v>
      </c>
      <c r="G211" s="18" t="s">
        <v>765</v>
      </c>
      <c r="H211" s="19" t="s">
        <v>766</v>
      </c>
      <c r="I211" s="17" t="s">
        <v>403</v>
      </c>
      <c r="J211" s="17" t="s">
        <v>148</v>
      </c>
      <c r="K211" s="20"/>
      <c r="L211" s="17" t="s">
        <v>76</v>
      </c>
      <c r="M211" s="17" t="n">
        <f aca="false">LEN(K211)</f>
        <v>0</v>
      </c>
      <c r="N211" s="17" t="str">
        <f aca="false">IF(M211=0,"-",ROUND(3+M211/안내!$C$12,0))</f>
        <v>-</v>
      </c>
      <c r="O211" s="21" t="str">
        <f aca="false">IF(K211="","(본문 입력 후 자동) | 잠 8:17",IF(LEN(K211)&gt;28,LEFT(K211,28)&amp;"…",K211)&amp;" | 잠 8:17")</f>
        <v>(본문 입력 후 자동) | 잠 8:17</v>
      </c>
      <c r="P211" s="21" t="str">
        <f aca="false">"#"&amp;SUBSTITUTE(안내!$C$5," ","")&amp;" #성경구절 #말씀 #잠언 #지혜"</f>
        <v>#오늘의말씀 #성경구절 #말씀 #잠언 #지혜</v>
      </c>
      <c r="Q211" s="21" t="s">
        <v>77</v>
      </c>
      <c r="R211" s="22" t="n">
        <f aca="false">안내!$C$6+INT((D211-1)/안내!$C$7)</f>
        <v>46492</v>
      </c>
      <c r="S211" s="17" t="str">
        <f aca="false">IF(MOD(D211-1,안내!$C$7)=0,안내!$C$8,안내!$C$10)</f>
        <v>18:30</v>
      </c>
      <c r="T211" s="17" t="str">
        <f aca="false">CHOOSE(WEEKDAY(R211,2),"월","화","수","목","금","토","일")</f>
        <v>목</v>
      </c>
      <c r="U211" s="17" t="s">
        <v>78</v>
      </c>
      <c r="V211" s="17" t="s">
        <v>78</v>
      </c>
      <c r="W211" s="23"/>
      <c r="X211" s="23"/>
      <c r="Y211" s="21"/>
    </row>
    <row r="212" customFormat="false" ht="15" hidden="false" customHeight="false" outlineLevel="0" collapsed="false">
      <c r="A212" s="16" t="n">
        <v>211</v>
      </c>
      <c r="B212" s="15" t="s">
        <v>767</v>
      </c>
      <c r="C212" s="16" t="s">
        <v>70</v>
      </c>
      <c r="D212" s="16" t="n">
        <v>211</v>
      </c>
      <c r="E212" s="16" t="str">
        <f aca="false">C212&amp;"말씀 #"&amp;TEXT(D212,"000")</f>
        <v>구약말씀 #211</v>
      </c>
      <c r="F212" s="17" t="s">
        <v>748</v>
      </c>
      <c r="G212" s="18" t="s">
        <v>768</v>
      </c>
      <c r="H212" s="19" t="s">
        <v>769</v>
      </c>
      <c r="I212" s="17" t="s">
        <v>403</v>
      </c>
      <c r="J212" s="17" t="s">
        <v>148</v>
      </c>
      <c r="K212" s="20"/>
      <c r="L212" s="17" t="s">
        <v>76</v>
      </c>
      <c r="M212" s="17" t="n">
        <f aca="false">LEN(K212)</f>
        <v>0</v>
      </c>
      <c r="N212" s="17" t="str">
        <f aca="false">IF(M212=0,"-",ROUND(3+M212/안내!$C$12,0))</f>
        <v>-</v>
      </c>
      <c r="O212" s="21" t="str">
        <f aca="false">IF(K212="","(본문 입력 후 자동) | 잠 9:10",IF(LEN(K212)&gt;28,LEFT(K212,28)&amp;"…",K212)&amp;" | 잠 9:10")</f>
        <v>(본문 입력 후 자동) | 잠 9:10</v>
      </c>
      <c r="P212" s="21" t="str">
        <f aca="false">"#"&amp;SUBSTITUTE(안내!$C$5," ","")&amp;" #성경구절 #말씀 #잠언 #지혜"</f>
        <v>#오늘의말씀 #성경구절 #말씀 #잠언 #지혜</v>
      </c>
      <c r="Q212" s="21" t="s">
        <v>77</v>
      </c>
      <c r="R212" s="22" t="n">
        <f aca="false">안내!$C$6+INT((D212-1)/안내!$C$7)</f>
        <v>46493</v>
      </c>
      <c r="S212" s="17" t="str">
        <f aca="false">IF(MOD(D212-1,안내!$C$7)=0,안내!$C$8,안내!$C$10)</f>
        <v>06:30</v>
      </c>
      <c r="T212" s="17" t="str">
        <f aca="false">CHOOSE(WEEKDAY(R212,2),"월","화","수","목","금","토","일")</f>
        <v>금</v>
      </c>
      <c r="U212" s="17" t="s">
        <v>78</v>
      </c>
      <c r="V212" s="17" t="s">
        <v>78</v>
      </c>
      <c r="W212" s="23"/>
      <c r="X212" s="23"/>
      <c r="Y212" s="21"/>
    </row>
    <row r="213" customFormat="false" ht="25.35" hidden="false" customHeight="false" outlineLevel="0" collapsed="false">
      <c r="A213" s="16" t="n">
        <v>212</v>
      </c>
      <c r="B213" s="15" t="s">
        <v>770</v>
      </c>
      <c r="C213" s="16" t="s">
        <v>70</v>
      </c>
      <c r="D213" s="16" t="n">
        <v>212</v>
      </c>
      <c r="E213" s="16" t="str">
        <f aca="false">C213&amp;"말씀 #"&amp;TEXT(D213,"000")</f>
        <v>구약말씀 #212</v>
      </c>
      <c r="F213" s="17" t="s">
        <v>748</v>
      </c>
      <c r="G213" s="18" t="s">
        <v>294</v>
      </c>
      <c r="H213" s="19" t="s">
        <v>771</v>
      </c>
      <c r="I213" s="17" t="s">
        <v>239</v>
      </c>
      <c r="J213" s="17" t="s">
        <v>94</v>
      </c>
      <c r="K213" s="20"/>
      <c r="L213" s="17" t="s">
        <v>76</v>
      </c>
      <c r="M213" s="17" t="n">
        <f aca="false">LEN(K213)</f>
        <v>0</v>
      </c>
      <c r="N213" s="17" t="str">
        <f aca="false">IF(M213=0,"-",ROUND(3+M213/안내!$C$12,0))</f>
        <v>-</v>
      </c>
      <c r="O213" s="21" t="str">
        <f aca="false">IF(K213="","(본문 입력 후 자동) | 잠 10:12",IF(LEN(K213)&gt;28,LEFT(K213,28)&amp;"…",K213)&amp;" | 잠 10:12")</f>
        <v>(본문 입력 후 자동) | 잠 10:12</v>
      </c>
      <c r="P213" s="21" t="str">
        <f aca="false">"#"&amp;SUBSTITUTE(안내!$C$5," ","")&amp;" #성경구절 #말씀 #잠언 #사랑"</f>
        <v>#오늘의말씀 #성경구절 #말씀 #잠언 #사랑</v>
      </c>
      <c r="Q213" s="21" t="s">
        <v>77</v>
      </c>
      <c r="R213" s="22" t="n">
        <f aca="false">안내!$C$6+INT((D213-1)/안내!$C$7)</f>
        <v>46493</v>
      </c>
      <c r="S213" s="17" t="str">
        <f aca="false">IF(MOD(D213-1,안내!$C$7)=0,안내!$C$8,안내!$C$10)</f>
        <v>18:30</v>
      </c>
      <c r="T213" s="17" t="str">
        <f aca="false">CHOOSE(WEEKDAY(R213,2),"월","화","수","목","금","토","일")</f>
        <v>금</v>
      </c>
      <c r="U213" s="17" t="s">
        <v>78</v>
      </c>
      <c r="V213" s="17" t="s">
        <v>78</v>
      </c>
      <c r="W213" s="23"/>
      <c r="X213" s="23"/>
      <c r="Y213" s="21"/>
    </row>
    <row r="214" customFormat="false" ht="15" hidden="false" customHeight="false" outlineLevel="0" collapsed="false">
      <c r="A214" s="16" t="n">
        <v>213</v>
      </c>
      <c r="B214" s="15" t="s">
        <v>772</v>
      </c>
      <c r="C214" s="16" t="s">
        <v>70</v>
      </c>
      <c r="D214" s="16" t="n">
        <v>213</v>
      </c>
      <c r="E214" s="16" t="str">
        <f aca="false">C214&amp;"말씀 #"&amp;TEXT(D214,"000")</f>
        <v>구약말씀 #213</v>
      </c>
      <c r="F214" s="17" t="s">
        <v>748</v>
      </c>
      <c r="G214" s="18" t="s">
        <v>773</v>
      </c>
      <c r="H214" s="19" t="s">
        <v>774</v>
      </c>
      <c r="I214" s="17" t="s">
        <v>775</v>
      </c>
      <c r="J214" s="17" t="s">
        <v>94</v>
      </c>
      <c r="K214" s="20"/>
      <c r="L214" s="17" t="s">
        <v>76</v>
      </c>
      <c r="M214" s="17" t="n">
        <f aca="false">LEN(K214)</f>
        <v>0</v>
      </c>
      <c r="N214" s="17" t="str">
        <f aca="false">IF(M214=0,"-",ROUND(3+M214/안내!$C$12,0))</f>
        <v>-</v>
      </c>
      <c r="O214" s="21" t="str">
        <f aca="false">IF(K214="","(본문 입력 후 자동) | 잠 11:2",IF(LEN(K214)&gt;28,LEFT(K214,28)&amp;"…",K214)&amp;" | 잠 11:2")</f>
        <v>(본문 입력 후 자동) | 잠 11:2</v>
      </c>
      <c r="P214" s="21" t="str">
        <f aca="false">"#"&amp;SUBSTITUTE(안내!$C$5," ","")&amp;" #성경구절 #말씀 #잠언 #겸손"</f>
        <v>#오늘의말씀 #성경구절 #말씀 #잠언 #겸손</v>
      </c>
      <c r="Q214" s="21" t="s">
        <v>77</v>
      </c>
      <c r="R214" s="22" t="n">
        <f aca="false">안내!$C$6+INT((D214-1)/안내!$C$7)</f>
        <v>46494</v>
      </c>
      <c r="S214" s="17" t="str">
        <f aca="false">IF(MOD(D214-1,안내!$C$7)=0,안내!$C$8,안내!$C$10)</f>
        <v>06:30</v>
      </c>
      <c r="T214" s="17" t="str">
        <f aca="false">CHOOSE(WEEKDAY(R214,2),"월","화","수","목","금","토","일")</f>
        <v>토</v>
      </c>
      <c r="U214" s="17" t="s">
        <v>78</v>
      </c>
      <c r="V214" s="17" t="s">
        <v>78</v>
      </c>
      <c r="W214" s="23"/>
      <c r="X214" s="23"/>
      <c r="Y214" s="21"/>
    </row>
    <row r="215" customFormat="false" ht="25.35" hidden="false" customHeight="false" outlineLevel="0" collapsed="false">
      <c r="A215" s="16" t="n">
        <v>214</v>
      </c>
      <c r="B215" s="15" t="s">
        <v>776</v>
      </c>
      <c r="C215" s="16" t="s">
        <v>70</v>
      </c>
      <c r="D215" s="16" t="n">
        <v>214</v>
      </c>
      <c r="E215" s="16" t="str">
        <f aca="false">C215&amp;"말씀 #"&amp;TEXT(D215,"000")</f>
        <v>구약말씀 #214</v>
      </c>
      <c r="F215" s="17" t="s">
        <v>748</v>
      </c>
      <c r="G215" s="18" t="s">
        <v>777</v>
      </c>
      <c r="H215" s="19" t="s">
        <v>778</v>
      </c>
      <c r="I215" s="17" t="s">
        <v>129</v>
      </c>
      <c r="J215" s="17" t="s">
        <v>99</v>
      </c>
      <c r="K215" s="20"/>
      <c r="L215" s="17" t="s">
        <v>76</v>
      </c>
      <c r="M215" s="17" t="n">
        <f aca="false">LEN(K215)</f>
        <v>0</v>
      </c>
      <c r="N215" s="17" t="str">
        <f aca="false">IF(M215=0,"-",ROUND(3+M215/안내!$C$12,0))</f>
        <v>-</v>
      </c>
      <c r="O215" s="21" t="str">
        <f aca="false">IF(K215="","(본문 입력 후 자동) | 잠 12:25",IF(LEN(K215)&gt;28,LEFT(K215,28)&amp;"…",K215)&amp;" | 잠 12:25")</f>
        <v>(본문 입력 후 자동) | 잠 12:25</v>
      </c>
      <c r="P215" s="21" t="str">
        <f aca="false">"#"&amp;SUBSTITUTE(안내!$C$5," ","")&amp;" #성경구절 #말씀 #잠언 #위로"</f>
        <v>#오늘의말씀 #성경구절 #말씀 #잠언 #위로</v>
      </c>
      <c r="Q215" s="21" t="s">
        <v>77</v>
      </c>
      <c r="R215" s="22" t="n">
        <f aca="false">안내!$C$6+INT((D215-1)/안내!$C$7)</f>
        <v>46494</v>
      </c>
      <c r="S215" s="17" t="str">
        <f aca="false">IF(MOD(D215-1,안내!$C$7)=0,안내!$C$8,안내!$C$10)</f>
        <v>18:30</v>
      </c>
      <c r="T215" s="17" t="str">
        <f aca="false">CHOOSE(WEEKDAY(R215,2),"월","화","수","목","금","토","일")</f>
        <v>토</v>
      </c>
      <c r="U215" s="17" t="s">
        <v>78</v>
      </c>
      <c r="V215" s="17" t="s">
        <v>78</v>
      </c>
      <c r="W215" s="23"/>
      <c r="X215" s="23"/>
      <c r="Y215" s="21"/>
    </row>
    <row r="216" customFormat="false" ht="25.35" hidden="false" customHeight="false" outlineLevel="0" collapsed="false">
      <c r="A216" s="16" t="n">
        <v>215</v>
      </c>
      <c r="B216" s="15" t="s">
        <v>779</v>
      </c>
      <c r="C216" s="16" t="s">
        <v>70</v>
      </c>
      <c r="D216" s="16" t="n">
        <v>215</v>
      </c>
      <c r="E216" s="16" t="str">
        <f aca="false">C216&amp;"말씀 #"&amp;TEXT(D216,"000")</f>
        <v>구약말씀 #215</v>
      </c>
      <c r="F216" s="17" t="s">
        <v>748</v>
      </c>
      <c r="G216" s="18" t="s">
        <v>780</v>
      </c>
      <c r="H216" s="19" t="s">
        <v>781</v>
      </c>
      <c r="I216" s="17" t="s">
        <v>403</v>
      </c>
      <c r="J216" s="17" t="s">
        <v>148</v>
      </c>
      <c r="K216" s="20"/>
      <c r="L216" s="17" t="s">
        <v>76</v>
      </c>
      <c r="M216" s="17" t="n">
        <f aca="false">LEN(K216)</f>
        <v>0</v>
      </c>
      <c r="N216" s="17" t="str">
        <f aca="false">IF(M216=0,"-",ROUND(3+M216/안내!$C$12,0))</f>
        <v>-</v>
      </c>
      <c r="O216" s="21" t="str">
        <f aca="false">IF(K216="","(본문 입력 후 자동) | 잠 13:20",IF(LEN(K216)&gt;28,LEFT(K216,28)&amp;"…",K216)&amp;" | 잠 13:20")</f>
        <v>(본문 입력 후 자동) | 잠 13:20</v>
      </c>
      <c r="P216" s="21" t="str">
        <f aca="false">"#"&amp;SUBSTITUTE(안내!$C$5," ","")&amp;" #성경구절 #말씀 #잠언 #지혜"</f>
        <v>#오늘의말씀 #성경구절 #말씀 #잠언 #지혜</v>
      </c>
      <c r="Q216" s="21" t="s">
        <v>77</v>
      </c>
      <c r="R216" s="22" t="n">
        <f aca="false">안내!$C$6+INT((D216-1)/안내!$C$7)</f>
        <v>46495</v>
      </c>
      <c r="S216" s="17" t="str">
        <f aca="false">IF(MOD(D216-1,안내!$C$7)=0,안내!$C$8,안내!$C$10)</f>
        <v>06:30</v>
      </c>
      <c r="T216" s="17" t="str">
        <f aca="false">CHOOSE(WEEKDAY(R216,2),"월","화","수","목","금","토","일")</f>
        <v>일</v>
      </c>
      <c r="U216" s="17" t="s">
        <v>78</v>
      </c>
      <c r="V216" s="17" t="s">
        <v>78</v>
      </c>
      <c r="W216" s="23"/>
      <c r="X216" s="23"/>
      <c r="Y216" s="21"/>
    </row>
    <row r="217" customFormat="false" ht="25.35" hidden="false" customHeight="false" outlineLevel="0" collapsed="false">
      <c r="A217" s="16" t="n">
        <v>216</v>
      </c>
      <c r="B217" s="15" t="s">
        <v>782</v>
      </c>
      <c r="C217" s="16" t="s">
        <v>70</v>
      </c>
      <c r="D217" s="16" t="n">
        <v>216</v>
      </c>
      <c r="E217" s="16" t="str">
        <f aca="false">C217&amp;"말씀 #"&amp;TEXT(D217,"000")</f>
        <v>구약말씀 #216</v>
      </c>
      <c r="F217" s="17" t="s">
        <v>748</v>
      </c>
      <c r="G217" s="18" t="s">
        <v>783</v>
      </c>
      <c r="H217" s="19" t="s">
        <v>784</v>
      </c>
      <c r="I217" s="17" t="s">
        <v>403</v>
      </c>
      <c r="J217" s="17" t="s">
        <v>148</v>
      </c>
      <c r="K217" s="20"/>
      <c r="L217" s="17" t="s">
        <v>76</v>
      </c>
      <c r="M217" s="17" t="n">
        <f aca="false">LEN(K217)</f>
        <v>0</v>
      </c>
      <c r="N217" s="17" t="str">
        <f aca="false">IF(M217=0,"-",ROUND(3+M217/안내!$C$12,0))</f>
        <v>-</v>
      </c>
      <c r="O217" s="21" t="str">
        <f aca="false">IF(K217="","(본문 입력 후 자동) | 잠 14:12",IF(LEN(K217)&gt;28,LEFT(K217,28)&amp;"…",K217)&amp;" | 잠 14:12")</f>
        <v>(본문 입력 후 자동) | 잠 14:12</v>
      </c>
      <c r="P217" s="21" t="str">
        <f aca="false">"#"&amp;SUBSTITUTE(안내!$C$5," ","")&amp;" #성경구절 #말씀 #잠언 #지혜"</f>
        <v>#오늘의말씀 #성경구절 #말씀 #잠언 #지혜</v>
      </c>
      <c r="Q217" s="21" t="s">
        <v>77</v>
      </c>
      <c r="R217" s="22" t="n">
        <f aca="false">안내!$C$6+INT((D217-1)/안내!$C$7)</f>
        <v>46495</v>
      </c>
      <c r="S217" s="17" t="str">
        <f aca="false">IF(MOD(D217-1,안내!$C$7)=0,안내!$C$8,안내!$C$10)</f>
        <v>18:30</v>
      </c>
      <c r="T217" s="17" t="str">
        <f aca="false">CHOOSE(WEEKDAY(R217,2),"월","화","수","목","금","토","일")</f>
        <v>일</v>
      </c>
      <c r="U217" s="17" t="s">
        <v>78</v>
      </c>
      <c r="V217" s="17" t="s">
        <v>78</v>
      </c>
      <c r="W217" s="23"/>
      <c r="X217" s="23"/>
      <c r="Y217" s="21"/>
    </row>
    <row r="218" customFormat="false" ht="15" hidden="false" customHeight="false" outlineLevel="0" collapsed="false">
      <c r="A218" s="16" t="n">
        <v>217</v>
      </c>
      <c r="B218" s="15" t="s">
        <v>785</v>
      </c>
      <c r="C218" s="16" t="s">
        <v>70</v>
      </c>
      <c r="D218" s="16" t="n">
        <v>217</v>
      </c>
      <c r="E218" s="16" t="str">
        <f aca="false">C218&amp;"말씀 #"&amp;TEXT(D218,"000")</f>
        <v>구약말씀 #217</v>
      </c>
      <c r="F218" s="17" t="s">
        <v>748</v>
      </c>
      <c r="G218" s="18" t="s">
        <v>127</v>
      </c>
      <c r="H218" s="19" t="s">
        <v>786</v>
      </c>
      <c r="I218" s="17" t="s">
        <v>787</v>
      </c>
      <c r="J218" s="17" t="s">
        <v>94</v>
      </c>
      <c r="K218" s="20"/>
      <c r="L218" s="17" t="s">
        <v>76</v>
      </c>
      <c r="M218" s="17" t="n">
        <f aca="false">LEN(K218)</f>
        <v>0</v>
      </c>
      <c r="N218" s="17" t="str">
        <f aca="false">IF(M218=0,"-",ROUND(3+M218/안내!$C$12,0))</f>
        <v>-</v>
      </c>
      <c r="O218" s="21" t="str">
        <f aca="false">IF(K218="","(본문 입력 후 자동) | 잠 15:1",IF(LEN(K218)&gt;28,LEFT(K218,28)&amp;"…",K218)&amp;" | 잠 15:1")</f>
        <v>(본문 입력 후 자동) | 잠 15:1</v>
      </c>
      <c r="P218" s="21" t="str">
        <f aca="false">"#"&amp;SUBSTITUTE(안내!$C$5," ","")&amp;" #성경구절 #말씀 #잠언 #말"</f>
        <v>#오늘의말씀 #성경구절 #말씀 #잠언 #말</v>
      </c>
      <c r="Q218" s="21" t="s">
        <v>77</v>
      </c>
      <c r="R218" s="22" t="n">
        <f aca="false">안내!$C$6+INT((D218-1)/안내!$C$7)</f>
        <v>46496</v>
      </c>
      <c r="S218" s="17" t="str">
        <f aca="false">IF(MOD(D218-1,안내!$C$7)=0,안내!$C$8,안내!$C$10)</f>
        <v>06:30</v>
      </c>
      <c r="T218" s="17" t="str">
        <f aca="false">CHOOSE(WEEKDAY(R218,2),"월","화","수","목","금","토","일")</f>
        <v>월</v>
      </c>
      <c r="U218" s="17" t="s">
        <v>78</v>
      </c>
      <c r="V218" s="17" t="s">
        <v>78</v>
      </c>
      <c r="W218" s="23"/>
      <c r="X218" s="23"/>
      <c r="Y218" s="21"/>
    </row>
    <row r="219" customFormat="false" ht="15" hidden="false" customHeight="false" outlineLevel="0" collapsed="false">
      <c r="A219" s="16" t="n">
        <v>218</v>
      </c>
      <c r="B219" s="15" t="s">
        <v>788</v>
      </c>
      <c r="C219" s="16" t="s">
        <v>70</v>
      </c>
      <c r="D219" s="16" t="n">
        <v>218</v>
      </c>
      <c r="E219" s="16" t="str">
        <f aca="false">C219&amp;"말씀 #"&amp;TEXT(D219,"000")</f>
        <v>구약말씀 #218</v>
      </c>
      <c r="F219" s="17" t="s">
        <v>748</v>
      </c>
      <c r="G219" s="18" t="s">
        <v>789</v>
      </c>
      <c r="H219" s="19" t="s">
        <v>790</v>
      </c>
      <c r="I219" s="17" t="s">
        <v>176</v>
      </c>
      <c r="J219" s="17" t="s">
        <v>75</v>
      </c>
      <c r="K219" s="20"/>
      <c r="L219" s="17" t="s">
        <v>76</v>
      </c>
      <c r="M219" s="17" t="n">
        <f aca="false">LEN(K219)</f>
        <v>0</v>
      </c>
      <c r="N219" s="17" t="str">
        <f aca="false">IF(M219=0,"-",ROUND(3+M219/안내!$C$12,0))</f>
        <v>-</v>
      </c>
      <c r="O219" s="21" t="str">
        <f aca="false">IF(K219="","(본문 입력 후 자동) | 잠 15:3",IF(LEN(K219)&gt;28,LEFT(K219,28)&amp;"…",K219)&amp;" | 잠 15:3")</f>
        <v>(본문 입력 후 자동) | 잠 15:3</v>
      </c>
      <c r="P219" s="21" t="str">
        <f aca="false">"#"&amp;SUBSTITUTE(안내!$C$5," ","")&amp;" #성경구절 #말씀 #잠언 #하나님"</f>
        <v>#오늘의말씀 #성경구절 #말씀 #잠언 #하나님</v>
      </c>
      <c r="Q219" s="21" t="s">
        <v>77</v>
      </c>
      <c r="R219" s="22" t="n">
        <f aca="false">안내!$C$6+INT((D219-1)/안내!$C$7)</f>
        <v>46496</v>
      </c>
      <c r="S219" s="17" t="str">
        <f aca="false">IF(MOD(D219-1,안내!$C$7)=0,안내!$C$8,안내!$C$10)</f>
        <v>18:30</v>
      </c>
      <c r="T219" s="17" t="str">
        <f aca="false">CHOOSE(WEEKDAY(R219,2),"월","화","수","목","금","토","일")</f>
        <v>월</v>
      </c>
      <c r="U219" s="17" t="s">
        <v>78</v>
      </c>
      <c r="V219" s="17" t="s">
        <v>78</v>
      </c>
      <c r="W219" s="23"/>
      <c r="X219" s="23"/>
      <c r="Y219" s="21"/>
    </row>
    <row r="220" customFormat="false" ht="15" hidden="false" customHeight="false" outlineLevel="0" collapsed="false">
      <c r="A220" s="16" t="n">
        <v>219</v>
      </c>
      <c r="B220" s="15" t="s">
        <v>791</v>
      </c>
      <c r="C220" s="16" t="s">
        <v>70</v>
      </c>
      <c r="D220" s="16" t="n">
        <v>219</v>
      </c>
      <c r="E220" s="16" t="str">
        <f aca="false">C220&amp;"말씀 #"&amp;TEXT(D220,"000")</f>
        <v>구약말씀 #219</v>
      </c>
      <c r="F220" s="17" t="s">
        <v>748</v>
      </c>
      <c r="G220" s="18" t="s">
        <v>792</v>
      </c>
      <c r="H220" s="19" t="s">
        <v>793</v>
      </c>
      <c r="I220" s="17" t="s">
        <v>497</v>
      </c>
      <c r="J220" s="17" t="s">
        <v>113</v>
      </c>
      <c r="K220" s="20"/>
      <c r="L220" s="17" t="s">
        <v>76</v>
      </c>
      <c r="M220" s="17" t="n">
        <f aca="false">LEN(K220)</f>
        <v>0</v>
      </c>
      <c r="N220" s="17" t="str">
        <f aca="false">IF(M220=0,"-",ROUND(3+M220/안내!$C$12,0))</f>
        <v>-</v>
      </c>
      <c r="O220" s="21" t="str">
        <f aca="false">IF(K220="","(본문 입력 후 자동) | 잠 16:3",IF(LEN(K220)&gt;28,LEFT(K220,28)&amp;"…",K220)&amp;" | 잠 16:3")</f>
        <v>(본문 입력 후 자동) | 잠 16:3</v>
      </c>
      <c r="P220" s="21" t="str">
        <f aca="false">"#"&amp;SUBSTITUTE(안내!$C$5," ","")&amp;" #성경구절 #말씀 #잠언 #신뢰"</f>
        <v>#오늘의말씀 #성경구절 #말씀 #잠언 #신뢰</v>
      </c>
      <c r="Q220" s="21" t="s">
        <v>77</v>
      </c>
      <c r="R220" s="22" t="n">
        <f aca="false">안내!$C$6+INT((D220-1)/안내!$C$7)</f>
        <v>46497</v>
      </c>
      <c r="S220" s="17" t="str">
        <f aca="false">IF(MOD(D220-1,안내!$C$7)=0,안내!$C$8,안내!$C$10)</f>
        <v>06:30</v>
      </c>
      <c r="T220" s="17" t="str">
        <f aca="false">CHOOSE(WEEKDAY(R220,2),"월","화","수","목","금","토","일")</f>
        <v>화</v>
      </c>
      <c r="U220" s="17" t="s">
        <v>78</v>
      </c>
      <c r="V220" s="17" t="s">
        <v>78</v>
      </c>
      <c r="W220" s="23"/>
      <c r="X220" s="23"/>
      <c r="Y220" s="21"/>
    </row>
    <row r="221" customFormat="false" ht="15" hidden="false" customHeight="false" outlineLevel="0" collapsed="false">
      <c r="A221" s="16" t="n">
        <v>220</v>
      </c>
      <c r="B221" s="15" t="s">
        <v>794</v>
      </c>
      <c r="C221" s="16" t="s">
        <v>70</v>
      </c>
      <c r="D221" s="16" t="n">
        <v>220</v>
      </c>
      <c r="E221" s="16" t="str">
        <f aca="false">C221&amp;"말씀 #"&amp;TEXT(D221,"000")</f>
        <v>구약말씀 #220</v>
      </c>
      <c r="F221" s="17" t="s">
        <v>748</v>
      </c>
      <c r="G221" s="18" t="s">
        <v>458</v>
      </c>
      <c r="H221" s="19" t="s">
        <v>795</v>
      </c>
      <c r="I221" s="17" t="s">
        <v>180</v>
      </c>
      <c r="J221" s="17" t="s">
        <v>122</v>
      </c>
      <c r="K221" s="20"/>
      <c r="L221" s="17" t="s">
        <v>76</v>
      </c>
      <c r="M221" s="17" t="n">
        <f aca="false">LEN(K221)</f>
        <v>0</v>
      </c>
      <c r="N221" s="17" t="str">
        <f aca="false">IF(M221=0,"-",ROUND(3+M221/안내!$C$12,0))</f>
        <v>-</v>
      </c>
      <c r="O221" s="21" t="str">
        <f aca="false">IF(K221="","(본문 입력 후 자동) | 잠 16:9",IF(LEN(K221)&gt;28,LEFT(K221,28)&amp;"…",K221)&amp;" | 잠 16:9")</f>
        <v>(본문 입력 후 자동) | 잠 16:9</v>
      </c>
      <c r="P221" s="21" t="str">
        <f aca="false">"#"&amp;SUBSTITUTE(안내!$C$5," ","")&amp;" #성경구절 #말씀 #잠언 #인도"</f>
        <v>#오늘의말씀 #성경구절 #말씀 #잠언 #인도</v>
      </c>
      <c r="Q221" s="21" t="s">
        <v>77</v>
      </c>
      <c r="R221" s="22" t="n">
        <f aca="false">안내!$C$6+INT((D221-1)/안내!$C$7)</f>
        <v>46497</v>
      </c>
      <c r="S221" s="17" t="str">
        <f aca="false">IF(MOD(D221-1,안내!$C$7)=0,안내!$C$8,안내!$C$10)</f>
        <v>18:30</v>
      </c>
      <c r="T221" s="17" t="str">
        <f aca="false">CHOOSE(WEEKDAY(R221,2),"월","화","수","목","금","토","일")</f>
        <v>화</v>
      </c>
      <c r="U221" s="17" t="s">
        <v>78</v>
      </c>
      <c r="V221" s="17" t="s">
        <v>78</v>
      </c>
      <c r="W221" s="23"/>
      <c r="X221" s="23"/>
      <c r="Y221" s="21"/>
    </row>
    <row r="222" customFormat="false" ht="25.35" hidden="false" customHeight="false" outlineLevel="0" collapsed="false">
      <c r="A222" s="16" t="n">
        <v>221</v>
      </c>
      <c r="B222" s="15" t="s">
        <v>796</v>
      </c>
      <c r="C222" s="16" t="s">
        <v>70</v>
      </c>
      <c r="D222" s="16" t="n">
        <v>221</v>
      </c>
      <c r="E222" s="16" t="str">
        <f aca="false">C222&amp;"말씀 #"&amp;TEXT(D222,"000")</f>
        <v>구약말씀 #221</v>
      </c>
      <c r="F222" s="17" t="s">
        <v>748</v>
      </c>
      <c r="G222" s="18" t="s">
        <v>797</v>
      </c>
      <c r="H222" s="19" t="s">
        <v>798</v>
      </c>
      <c r="I222" s="17" t="s">
        <v>775</v>
      </c>
      <c r="J222" s="17" t="s">
        <v>94</v>
      </c>
      <c r="K222" s="20"/>
      <c r="L222" s="17" t="s">
        <v>76</v>
      </c>
      <c r="M222" s="17" t="n">
        <f aca="false">LEN(K222)</f>
        <v>0</v>
      </c>
      <c r="N222" s="17" t="str">
        <f aca="false">IF(M222=0,"-",ROUND(3+M222/안내!$C$12,0))</f>
        <v>-</v>
      </c>
      <c r="O222" s="21" t="str">
        <f aca="false">IF(K222="","(본문 입력 후 자동) | 잠 16:18",IF(LEN(K222)&gt;28,LEFT(K222,28)&amp;"…",K222)&amp;" | 잠 16:18")</f>
        <v>(본문 입력 후 자동) | 잠 16:18</v>
      </c>
      <c r="P222" s="21" t="str">
        <f aca="false">"#"&amp;SUBSTITUTE(안내!$C$5," ","")&amp;" #성경구절 #말씀 #잠언 #겸손"</f>
        <v>#오늘의말씀 #성경구절 #말씀 #잠언 #겸손</v>
      </c>
      <c r="Q222" s="21" t="s">
        <v>77</v>
      </c>
      <c r="R222" s="22" t="n">
        <f aca="false">안내!$C$6+INT((D222-1)/안내!$C$7)</f>
        <v>46498</v>
      </c>
      <c r="S222" s="17" t="str">
        <f aca="false">IF(MOD(D222-1,안내!$C$7)=0,안내!$C$8,안내!$C$10)</f>
        <v>06:30</v>
      </c>
      <c r="T222" s="17" t="str">
        <f aca="false">CHOOSE(WEEKDAY(R222,2),"월","화","수","목","금","토","일")</f>
        <v>수</v>
      </c>
      <c r="U222" s="17" t="s">
        <v>78</v>
      </c>
      <c r="V222" s="17" t="s">
        <v>78</v>
      </c>
      <c r="W222" s="23"/>
      <c r="X222" s="23"/>
      <c r="Y222" s="21"/>
    </row>
    <row r="223" customFormat="false" ht="25.35" hidden="false" customHeight="false" outlineLevel="0" collapsed="false">
      <c r="A223" s="16" t="n">
        <v>222</v>
      </c>
      <c r="B223" s="15" t="s">
        <v>799</v>
      </c>
      <c r="C223" s="16" t="s">
        <v>70</v>
      </c>
      <c r="D223" s="16" t="n">
        <v>222</v>
      </c>
      <c r="E223" s="16" t="str">
        <f aca="false">C223&amp;"말씀 #"&amp;TEXT(D223,"000")</f>
        <v>구약말씀 #222</v>
      </c>
      <c r="F223" s="17" t="s">
        <v>748</v>
      </c>
      <c r="G223" s="18" t="s">
        <v>800</v>
      </c>
      <c r="H223" s="19" t="s">
        <v>801</v>
      </c>
      <c r="I223" s="17" t="s">
        <v>403</v>
      </c>
      <c r="J223" s="17" t="s">
        <v>148</v>
      </c>
      <c r="K223" s="20"/>
      <c r="L223" s="17" t="s">
        <v>76</v>
      </c>
      <c r="M223" s="17" t="n">
        <f aca="false">LEN(K223)</f>
        <v>0</v>
      </c>
      <c r="N223" s="17" t="str">
        <f aca="false">IF(M223=0,"-",ROUND(3+M223/안내!$C$12,0))</f>
        <v>-</v>
      </c>
      <c r="O223" s="21" t="str">
        <f aca="false">IF(K223="","(본문 입력 후 자동) | 잠 16:32",IF(LEN(K223)&gt;28,LEFT(K223,28)&amp;"…",K223)&amp;" | 잠 16:32")</f>
        <v>(본문 입력 후 자동) | 잠 16:32</v>
      </c>
      <c r="P223" s="21" t="str">
        <f aca="false">"#"&amp;SUBSTITUTE(안내!$C$5," ","")&amp;" #성경구절 #말씀 #잠언 #지혜"</f>
        <v>#오늘의말씀 #성경구절 #말씀 #잠언 #지혜</v>
      </c>
      <c r="Q223" s="21" t="s">
        <v>77</v>
      </c>
      <c r="R223" s="22" t="n">
        <f aca="false">안내!$C$6+INT((D223-1)/안내!$C$7)</f>
        <v>46498</v>
      </c>
      <c r="S223" s="17" t="str">
        <f aca="false">IF(MOD(D223-1,안내!$C$7)=0,안내!$C$8,안내!$C$10)</f>
        <v>18:30</v>
      </c>
      <c r="T223" s="17" t="str">
        <f aca="false">CHOOSE(WEEKDAY(R223,2),"월","화","수","목","금","토","일")</f>
        <v>수</v>
      </c>
      <c r="U223" s="17" t="s">
        <v>78</v>
      </c>
      <c r="V223" s="17" t="s">
        <v>78</v>
      </c>
      <c r="W223" s="23"/>
      <c r="X223" s="23"/>
      <c r="Y223" s="21"/>
    </row>
    <row r="224" customFormat="false" ht="25.35" hidden="false" customHeight="false" outlineLevel="0" collapsed="false">
      <c r="A224" s="16" t="n">
        <v>223</v>
      </c>
      <c r="B224" s="15" t="s">
        <v>802</v>
      </c>
      <c r="C224" s="16" t="s">
        <v>70</v>
      </c>
      <c r="D224" s="16" t="n">
        <v>223</v>
      </c>
      <c r="E224" s="16" t="str">
        <f aca="false">C224&amp;"말씀 #"&amp;TEXT(D224,"000")</f>
        <v>구약말씀 #223</v>
      </c>
      <c r="F224" s="17" t="s">
        <v>748</v>
      </c>
      <c r="G224" s="18" t="s">
        <v>803</v>
      </c>
      <c r="H224" s="19" t="s">
        <v>804</v>
      </c>
      <c r="I224" s="17" t="s">
        <v>239</v>
      </c>
      <c r="J224" s="17" t="s">
        <v>94</v>
      </c>
      <c r="K224" s="20"/>
      <c r="L224" s="17" t="s">
        <v>76</v>
      </c>
      <c r="M224" s="17" t="n">
        <f aca="false">LEN(K224)</f>
        <v>0</v>
      </c>
      <c r="N224" s="17" t="str">
        <f aca="false">IF(M224=0,"-",ROUND(3+M224/안내!$C$12,0))</f>
        <v>-</v>
      </c>
      <c r="O224" s="21" t="str">
        <f aca="false">IF(K224="","(본문 입력 후 자동) | 잠 17:17",IF(LEN(K224)&gt;28,LEFT(K224,28)&amp;"…",K224)&amp;" | 잠 17:17")</f>
        <v>(본문 입력 후 자동) | 잠 17:17</v>
      </c>
      <c r="P224" s="21" t="str">
        <f aca="false">"#"&amp;SUBSTITUTE(안내!$C$5," ","")&amp;" #성경구절 #말씀 #잠언 #사랑"</f>
        <v>#오늘의말씀 #성경구절 #말씀 #잠언 #사랑</v>
      </c>
      <c r="Q224" s="21" t="s">
        <v>77</v>
      </c>
      <c r="R224" s="22" t="n">
        <f aca="false">안내!$C$6+INT((D224-1)/안내!$C$7)</f>
        <v>46499</v>
      </c>
      <c r="S224" s="17" t="str">
        <f aca="false">IF(MOD(D224-1,안내!$C$7)=0,안내!$C$8,안내!$C$10)</f>
        <v>06:30</v>
      </c>
      <c r="T224" s="17" t="str">
        <f aca="false">CHOOSE(WEEKDAY(R224,2),"월","화","수","목","금","토","일")</f>
        <v>목</v>
      </c>
      <c r="U224" s="17" t="s">
        <v>78</v>
      </c>
      <c r="V224" s="17" t="s">
        <v>78</v>
      </c>
      <c r="W224" s="23"/>
      <c r="X224" s="23"/>
      <c r="Y224" s="21"/>
    </row>
    <row r="225" customFormat="false" ht="25.35" hidden="false" customHeight="false" outlineLevel="0" collapsed="false">
      <c r="A225" s="16" t="n">
        <v>224</v>
      </c>
      <c r="B225" s="15" t="s">
        <v>805</v>
      </c>
      <c r="C225" s="16" t="s">
        <v>70</v>
      </c>
      <c r="D225" s="16" t="n">
        <v>224</v>
      </c>
      <c r="E225" s="16" t="str">
        <f aca="false">C225&amp;"말씀 #"&amp;TEXT(D225,"000")</f>
        <v>구약말씀 #224</v>
      </c>
      <c r="F225" s="17" t="s">
        <v>748</v>
      </c>
      <c r="G225" s="18" t="s">
        <v>806</v>
      </c>
      <c r="H225" s="19" t="s">
        <v>807</v>
      </c>
      <c r="I225" s="17" t="s">
        <v>483</v>
      </c>
      <c r="J225" s="17" t="s">
        <v>89</v>
      </c>
      <c r="K225" s="20"/>
      <c r="L225" s="17" t="s">
        <v>76</v>
      </c>
      <c r="M225" s="17" t="n">
        <f aca="false">LEN(K225)</f>
        <v>0</v>
      </c>
      <c r="N225" s="17" t="str">
        <f aca="false">IF(M225=0,"-",ROUND(3+M225/안내!$C$12,0))</f>
        <v>-</v>
      </c>
      <c r="O225" s="21" t="str">
        <f aca="false">IF(K225="","(본문 입력 후 자동) | 잠 17:22",IF(LEN(K225)&gt;28,LEFT(K225,28)&amp;"…",K225)&amp;" | 잠 17:22")</f>
        <v>(본문 입력 후 자동) | 잠 17:22</v>
      </c>
      <c r="P225" s="21" t="str">
        <f aca="false">"#"&amp;SUBSTITUTE(안내!$C$5," ","")&amp;" #성경구절 #말씀 #잠언 #기쁨"</f>
        <v>#오늘의말씀 #성경구절 #말씀 #잠언 #기쁨</v>
      </c>
      <c r="Q225" s="21" t="s">
        <v>77</v>
      </c>
      <c r="R225" s="22" t="n">
        <f aca="false">안내!$C$6+INT((D225-1)/안내!$C$7)</f>
        <v>46499</v>
      </c>
      <c r="S225" s="17" t="str">
        <f aca="false">IF(MOD(D225-1,안내!$C$7)=0,안내!$C$8,안내!$C$10)</f>
        <v>18:30</v>
      </c>
      <c r="T225" s="17" t="str">
        <f aca="false">CHOOSE(WEEKDAY(R225,2),"월","화","수","목","금","토","일")</f>
        <v>목</v>
      </c>
      <c r="U225" s="17" t="s">
        <v>78</v>
      </c>
      <c r="V225" s="17" t="s">
        <v>78</v>
      </c>
      <c r="W225" s="23"/>
      <c r="X225" s="23"/>
      <c r="Y225" s="21"/>
    </row>
    <row r="226" customFormat="false" ht="25.35" hidden="false" customHeight="false" outlineLevel="0" collapsed="false">
      <c r="A226" s="16" t="n">
        <v>225</v>
      </c>
      <c r="B226" s="15" t="s">
        <v>808</v>
      </c>
      <c r="C226" s="16" t="s">
        <v>70</v>
      </c>
      <c r="D226" s="16" t="n">
        <v>225</v>
      </c>
      <c r="E226" s="16" t="str">
        <f aca="false">C226&amp;"말씀 #"&amp;TEXT(D226,"000")</f>
        <v>구약말씀 #225</v>
      </c>
      <c r="F226" s="17" t="s">
        <v>748</v>
      </c>
      <c r="G226" s="18" t="s">
        <v>809</v>
      </c>
      <c r="H226" s="19" t="s">
        <v>810</v>
      </c>
      <c r="I226" s="17" t="s">
        <v>390</v>
      </c>
      <c r="J226" s="17" t="s">
        <v>113</v>
      </c>
      <c r="K226" s="20"/>
      <c r="L226" s="17" t="s">
        <v>76</v>
      </c>
      <c r="M226" s="17" t="n">
        <f aca="false">LEN(K226)</f>
        <v>0</v>
      </c>
      <c r="N226" s="17" t="str">
        <f aca="false">IF(M226=0,"-",ROUND(3+M226/안내!$C$12,0))</f>
        <v>-</v>
      </c>
      <c r="O226" s="21" t="str">
        <f aca="false">IF(K226="","(본문 입력 후 자동) | 잠 18:10",IF(LEN(K226)&gt;28,LEFT(K226,28)&amp;"…",K226)&amp;" | 잠 18:10")</f>
        <v>(본문 입력 후 자동) | 잠 18:10</v>
      </c>
      <c r="P226" s="21" t="str">
        <f aca="false">"#"&amp;SUBSTITUTE(안내!$C$5," ","")&amp;" #성경구절 #말씀 #잠언 #피난처"</f>
        <v>#오늘의말씀 #성경구절 #말씀 #잠언 #피난처</v>
      </c>
      <c r="Q226" s="21" t="s">
        <v>77</v>
      </c>
      <c r="R226" s="22" t="n">
        <f aca="false">안내!$C$6+INT((D226-1)/안내!$C$7)</f>
        <v>46500</v>
      </c>
      <c r="S226" s="17" t="str">
        <f aca="false">IF(MOD(D226-1,안내!$C$7)=0,안내!$C$8,안내!$C$10)</f>
        <v>06:30</v>
      </c>
      <c r="T226" s="17" t="str">
        <f aca="false">CHOOSE(WEEKDAY(R226,2),"월","화","수","목","금","토","일")</f>
        <v>금</v>
      </c>
      <c r="U226" s="17" t="s">
        <v>78</v>
      </c>
      <c r="V226" s="17" t="s">
        <v>78</v>
      </c>
      <c r="W226" s="23"/>
      <c r="X226" s="23"/>
      <c r="Y226" s="21"/>
    </row>
    <row r="227" customFormat="false" ht="25.35" hidden="false" customHeight="false" outlineLevel="0" collapsed="false">
      <c r="A227" s="16" t="n">
        <v>226</v>
      </c>
      <c r="B227" s="15" t="s">
        <v>811</v>
      </c>
      <c r="C227" s="16" t="s">
        <v>70</v>
      </c>
      <c r="D227" s="16" t="n">
        <v>226</v>
      </c>
      <c r="E227" s="16" t="str">
        <f aca="false">C227&amp;"말씀 #"&amp;TEXT(D227,"000")</f>
        <v>구약말씀 #226</v>
      </c>
      <c r="F227" s="17" t="s">
        <v>748</v>
      </c>
      <c r="G227" s="18" t="s">
        <v>411</v>
      </c>
      <c r="H227" s="19" t="s">
        <v>812</v>
      </c>
      <c r="I227" s="17" t="s">
        <v>787</v>
      </c>
      <c r="J227" s="17" t="s">
        <v>94</v>
      </c>
      <c r="K227" s="20"/>
      <c r="L227" s="17" t="s">
        <v>76</v>
      </c>
      <c r="M227" s="17" t="n">
        <f aca="false">LEN(K227)</f>
        <v>0</v>
      </c>
      <c r="N227" s="17" t="str">
        <f aca="false">IF(M227=0,"-",ROUND(3+M227/안내!$C$12,0))</f>
        <v>-</v>
      </c>
      <c r="O227" s="21" t="str">
        <f aca="false">IF(K227="","(본문 입력 후 자동) | 잠 18:21",IF(LEN(K227)&gt;28,LEFT(K227,28)&amp;"…",K227)&amp;" | 잠 18:21")</f>
        <v>(본문 입력 후 자동) | 잠 18:21</v>
      </c>
      <c r="P227" s="21" t="str">
        <f aca="false">"#"&amp;SUBSTITUTE(안내!$C$5," ","")&amp;" #성경구절 #말씀 #잠언 #말"</f>
        <v>#오늘의말씀 #성경구절 #말씀 #잠언 #말</v>
      </c>
      <c r="Q227" s="21" t="s">
        <v>77</v>
      </c>
      <c r="R227" s="22" t="n">
        <f aca="false">안내!$C$6+INT((D227-1)/안내!$C$7)</f>
        <v>46500</v>
      </c>
      <c r="S227" s="17" t="str">
        <f aca="false">IF(MOD(D227-1,안내!$C$7)=0,안내!$C$8,안내!$C$10)</f>
        <v>18:30</v>
      </c>
      <c r="T227" s="17" t="str">
        <f aca="false">CHOOSE(WEEKDAY(R227,2),"월","화","수","목","금","토","일")</f>
        <v>금</v>
      </c>
      <c r="U227" s="17" t="s">
        <v>78</v>
      </c>
      <c r="V227" s="17" t="s">
        <v>78</v>
      </c>
      <c r="W227" s="23"/>
      <c r="X227" s="23"/>
      <c r="Y227" s="21"/>
    </row>
    <row r="228" customFormat="false" ht="25.35" hidden="false" customHeight="false" outlineLevel="0" collapsed="false">
      <c r="A228" s="16" t="n">
        <v>227</v>
      </c>
      <c r="B228" s="15" t="s">
        <v>813</v>
      </c>
      <c r="C228" s="16" t="s">
        <v>70</v>
      </c>
      <c r="D228" s="16" t="n">
        <v>227</v>
      </c>
      <c r="E228" s="16" t="str">
        <f aca="false">C228&amp;"말씀 #"&amp;TEXT(D228,"000")</f>
        <v>구약말씀 #227</v>
      </c>
      <c r="F228" s="17" t="s">
        <v>748</v>
      </c>
      <c r="G228" s="18" t="s">
        <v>814</v>
      </c>
      <c r="H228" s="19" t="s">
        <v>815</v>
      </c>
      <c r="I228" s="17" t="s">
        <v>239</v>
      </c>
      <c r="J228" s="17" t="s">
        <v>94</v>
      </c>
      <c r="K228" s="20"/>
      <c r="L228" s="17" t="s">
        <v>76</v>
      </c>
      <c r="M228" s="17" t="n">
        <f aca="false">LEN(K228)</f>
        <v>0</v>
      </c>
      <c r="N228" s="17" t="str">
        <f aca="false">IF(M228=0,"-",ROUND(3+M228/안내!$C$12,0))</f>
        <v>-</v>
      </c>
      <c r="O228" s="21" t="str">
        <f aca="false">IF(K228="","(본문 입력 후 자동) | 잠 18:24",IF(LEN(K228)&gt;28,LEFT(K228,28)&amp;"…",K228)&amp;" | 잠 18:24")</f>
        <v>(본문 입력 후 자동) | 잠 18:24</v>
      </c>
      <c r="P228" s="21" t="str">
        <f aca="false">"#"&amp;SUBSTITUTE(안내!$C$5," ","")&amp;" #성경구절 #말씀 #잠언 #사랑"</f>
        <v>#오늘의말씀 #성경구절 #말씀 #잠언 #사랑</v>
      </c>
      <c r="Q228" s="21" t="s">
        <v>77</v>
      </c>
      <c r="R228" s="22" t="n">
        <f aca="false">안내!$C$6+INT((D228-1)/안내!$C$7)</f>
        <v>46501</v>
      </c>
      <c r="S228" s="17" t="str">
        <f aca="false">IF(MOD(D228-1,안내!$C$7)=0,안내!$C$8,안내!$C$10)</f>
        <v>06:30</v>
      </c>
      <c r="T228" s="17" t="str">
        <f aca="false">CHOOSE(WEEKDAY(R228,2),"월","화","수","목","금","토","일")</f>
        <v>토</v>
      </c>
      <c r="U228" s="17" t="s">
        <v>78</v>
      </c>
      <c r="V228" s="17" t="s">
        <v>78</v>
      </c>
      <c r="W228" s="23"/>
      <c r="X228" s="23"/>
      <c r="Y228" s="21"/>
    </row>
    <row r="229" customFormat="false" ht="25.35" hidden="false" customHeight="false" outlineLevel="0" collapsed="false">
      <c r="A229" s="16" t="n">
        <v>228</v>
      </c>
      <c r="B229" s="15" t="s">
        <v>816</v>
      </c>
      <c r="C229" s="16" t="s">
        <v>70</v>
      </c>
      <c r="D229" s="16" t="n">
        <v>228</v>
      </c>
      <c r="E229" s="16" t="str">
        <f aca="false">C229&amp;"말씀 #"&amp;TEXT(D229,"000")</f>
        <v>구약말씀 #228</v>
      </c>
      <c r="F229" s="17" t="s">
        <v>748</v>
      </c>
      <c r="G229" s="18" t="s">
        <v>817</v>
      </c>
      <c r="H229" s="19" t="s">
        <v>818</v>
      </c>
      <c r="I229" s="17" t="s">
        <v>167</v>
      </c>
      <c r="J229" s="17" t="s">
        <v>75</v>
      </c>
      <c r="K229" s="20"/>
      <c r="L229" s="17" t="s">
        <v>76</v>
      </c>
      <c r="M229" s="17" t="n">
        <f aca="false">LEN(K229)</f>
        <v>0</v>
      </c>
      <c r="N229" s="17" t="str">
        <f aca="false">IF(M229=0,"-",ROUND(3+M229/안내!$C$12,0))</f>
        <v>-</v>
      </c>
      <c r="O229" s="21" t="str">
        <f aca="false">IF(K229="","(본문 입력 후 자동) | 잠 19:21",IF(LEN(K229)&gt;28,LEFT(K229,28)&amp;"…",K229)&amp;" | 잠 19:21")</f>
        <v>(본문 입력 후 자동) | 잠 19:21</v>
      </c>
      <c r="P229" s="21" t="str">
        <f aca="false">"#"&amp;SUBSTITUTE(안내!$C$5," ","")&amp;" #성경구절 #말씀 #잠언 #섭리"</f>
        <v>#오늘의말씀 #성경구절 #말씀 #잠언 #섭리</v>
      </c>
      <c r="Q229" s="21" t="s">
        <v>77</v>
      </c>
      <c r="R229" s="22" t="n">
        <f aca="false">안내!$C$6+INT((D229-1)/안내!$C$7)</f>
        <v>46501</v>
      </c>
      <c r="S229" s="17" t="str">
        <f aca="false">IF(MOD(D229-1,안내!$C$7)=0,안내!$C$8,안내!$C$10)</f>
        <v>18:30</v>
      </c>
      <c r="T229" s="17" t="str">
        <f aca="false">CHOOSE(WEEKDAY(R229,2),"월","화","수","목","금","토","일")</f>
        <v>토</v>
      </c>
      <c r="U229" s="17" t="s">
        <v>78</v>
      </c>
      <c r="V229" s="17" t="s">
        <v>78</v>
      </c>
      <c r="W229" s="23"/>
      <c r="X229" s="23"/>
      <c r="Y229" s="21"/>
    </row>
    <row r="230" customFormat="false" ht="15" hidden="false" customHeight="false" outlineLevel="0" collapsed="false">
      <c r="A230" s="16" t="n">
        <v>229</v>
      </c>
      <c r="B230" s="15" t="s">
        <v>819</v>
      </c>
      <c r="C230" s="16" t="s">
        <v>70</v>
      </c>
      <c r="D230" s="16" t="n">
        <v>229</v>
      </c>
      <c r="E230" s="16" t="str">
        <f aca="false">C230&amp;"말씀 #"&amp;TEXT(D230,"000")</f>
        <v>구약말씀 #229</v>
      </c>
      <c r="F230" s="17" t="s">
        <v>748</v>
      </c>
      <c r="G230" s="18" t="s">
        <v>820</v>
      </c>
      <c r="H230" s="19" t="s">
        <v>821</v>
      </c>
      <c r="I230" s="17" t="s">
        <v>167</v>
      </c>
      <c r="J230" s="17" t="s">
        <v>75</v>
      </c>
      <c r="K230" s="20"/>
      <c r="L230" s="17" t="s">
        <v>76</v>
      </c>
      <c r="M230" s="17" t="n">
        <f aca="false">LEN(K230)</f>
        <v>0</v>
      </c>
      <c r="N230" s="17" t="str">
        <f aca="false">IF(M230=0,"-",ROUND(3+M230/안내!$C$12,0))</f>
        <v>-</v>
      </c>
      <c r="O230" s="21" t="str">
        <f aca="false">IF(K230="","(본문 입력 후 자동) | 잠 21:1",IF(LEN(K230)&gt;28,LEFT(K230,28)&amp;"…",K230)&amp;" | 잠 21:1")</f>
        <v>(본문 입력 후 자동) | 잠 21:1</v>
      </c>
      <c r="P230" s="21" t="str">
        <f aca="false">"#"&amp;SUBSTITUTE(안내!$C$5," ","")&amp;" #성경구절 #말씀 #잠언 #섭리"</f>
        <v>#오늘의말씀 #성경구절 #말씀 #잠언 #섭리</v>
      </c>
      <c r="Q230" s="21" t="s">
        <v>77</v>
      </c>
      <c r="R230" s="22" t="n">
        <f aca="false">안내!$C$6+INT((D230-1)/안내!$C$7)</f>
        <v>46502</v>
      </c>
      <c r="S230" s="17" t="str">
        <f aca="false">IF(MOD(D230-1,안내!$C$7)=0,안내!$C$8,안내!$C$10)</f>
        <v>06:30</v>
      </c>
      <c r="T230" s="17" t="str">
        <f aca="false">CHOOSE(WEEKDAY(R230,2),"월","화","수","목","금","토","일")</f>
        <v>일</v>
      </c>
      <c r="U230" s="17" t="s">
        <v>78</v>
      </c>
      <c r="V230" s="17" t="s">
        <v>78</v>
      </c>
      <c r="W230" s="23"/>
      <c r="X230" s="23"/>
      <c r="Y230" s="21"/>
    </row>
    <row r="231" customFormat="false" ht="15" hidden="false" customHeight="false" outlineLevel="0" collapsed="false">
      <c r="A231" s="16" t="n">
        <v>230</v>
      </c>
      <c r="B231" s="15" t="s">
        <v>822</v>
      </c>
      <c r="C231" s="16" t="s">
        <v>70</v>
      </c>
      <c r="D231" s="16" t="n">
        <v>230</v>
      </c>
      <c r="E231" s="16" t="str">
        <f aca="false">C231&amp;"말씀 #"&amp;TEXT(D231,"000")</f>
        <v>구약말씀 #230</v>
      </c>
      <c r="F231" s="17" t="s">
        <v>748</v>
      </c>
      <c r="G231" s="18" t="s">
        <v>823</v>
      </c>
      <c r="H231" s="19" t="s">
        <v>824</v>
      </c>
      <c r="I231" s="17" t="s">
        <v>403</v>
      </c>
      <c r="J231" s="17" t="s">
        <v>148</v>
      </c>
      <c r="K231" s="20"/>
      <c r="L231" s="17" t="s">
        <v>76</v>
      </c>
      <c r="M231" s="17" t="n">
        <f aca="false">LEN(K231)</f>
        <v>0</v>
      </c>
      <c r="N231" s="17" t="str">
        <f aca="false">IF(M231=0,"-",ROUND(3+M231/안내!$C$12,0))</f>
        <v>-</v>
      </c>
      <c r="O231" s="21" t="str">
        <f aca="false">IF(K231="","(본문 입력 후 자동) | 잠 22:1",IF(LEN(K231)&gt;28,LEFT(K231,28)&amp;"…",K231)&amp;" | 잠 22:1")</f>
        <v>(본문 입력 후 자동) | 잠 22:1</v>
      </c>
      <c r="P231" s="21" t="str">
        <f aca="false">"#"&amp;SUBSTITUTE(안내!$C$5," ","")&amp;" #성경구절 #말씀 #잠언 #지혜"</f>
        <v>#오늘의말씀 #성경구절 #말씀 #잠언 #지혜</v>
      </c>
      <c r="Q231" s="21" t="s">
        <v>77</v>
      </c>
      <c r="R231" s="22" t="n">
        <f aca="false">안내!$C$6+INT((D231-1)/안내!$C$7)</f>
        <v>46502</v>
      </c>
      <c r="S231" s="17" t="str">
        <f aca="false">IF(MOD(D231-1,안내!$C$7)=0,안내!$C$8,안내!$C$10)</f>
        <v>18:30</v>
      </c>
      <c r="T231" s="17" t="str">
        <f aca="false">CHOOSE(WEEKDAY(R231,2),"월","화","수","목","금","토","일")</f>
        <v>일</v>
      </c>
      <c r="U231" s="17" t="s">
        <v>78</v>
      </c>
      <c r="V231" s="17" t="s">
        <v>78</v>
      </c>
      <c r="W231" s="23"/>
      <c r="X231" s="23"/>
      <c r="Y231" s="21"/>
    </row>
    <row r="232" customFormat="false" ht="15" hidden="false" customHeight="false" outlineLevel="0" collapsed="false">
      <c r="A232" s="16" t="n">
        <v>231</v>
      </c>
      <c r="B232" s="15" t="s">
        <v>825</v>
      </c>
      <c r="C232" s="16" t="s">
        <v>70</v>
      </c>
      <c r="D232" s="16" t="n">
        <v>231</v>
      </c>
      <c r="E232" s="16" t="str">
        <f aca="false">C232&amp;"말씀 #"&amp;TEXT(D232,"000")</f>
        <v>구약말씀 #231</v>
      </c>
      <c r="F232" s="17" t="s">
        <v>748</v>
      </c>
      <c r="G232" s="18" t="s">
        <v>826</v>
      </c>
      <c r="H232" s="19" t="s">
        <v>827</v>
      </c>
      <c r="I232" s="17" t="s">
        <v>93</v>
      </c>
      <c r="J232" s="17" t="s">
        <v>94</v>
      </c>
      <c r="K232" s="20"/>
      <c r="L232" s="17" t="s">
        <v>76</v>
      </c>
      <c r="M232" s="17" t="n">
        <f aca="false">LEN(K232)</f>
        <v>0</v>
      </c>
      <c r="N232" s="17" t="str">
        <f aca="false">IF(M232=0,"-",ROUND(3+M232/안내!$C$12,0))</f>
        <v>-</v>
      </c>
      <c r="O232" s="21" t="str">
        <f aca="false">IF(K232="","(본문 입력 후 자동) | 잠 22:6",IF(LEN(K232)&gt;28,LEFT(K232,28)&amp;"…",K232)&amp;" | 잠 22:6")</f>
        <v>(본문 입력 후 자동) | 잠 22:6</v>
      </c>
      <c r="P232" s="21" t="str">
        <f aca="false">"#"&amp;SUBSTITUTE(안내!$C$5," ","")&amp;" #성경구절 #말씀 #잠언 #가정"</f>
        <v>#오늘의말씀 #성경구절 #말씀 #잠언 #가정</v>
      </c>
      <c r="Q232" s="21" t="s">
        <v>77</v>
      </c>
      <c r="R232" s="22" t="n">
        <f aca="false">안내!$C$6+INT((D232-1)/안내!$C$7)</f>
        <v>46503</v>
      </c>
      <c r="S232" s="17" t="str">
        <f aca="false">IF(MOD(D232-1,안내!$C$7)=0,안내!$C$8,안내!$C$10)</f>
        <v>06:30</v>
      </c>
      <c r="T232" s="17" t="str">
        <f aca="false">CHOOSE(WEEKDAY(R232,2),"월","화","수","목","금","토","일")</f>
        <v>월</v>
      </c>
      <c r="U232" s="17" t="s">
        <v>78</v>
      </c>
      <c r="V232" s="17" t="s">
        <v>78</v>
      </c>
      <c r="W232" s="23"/>
      <c r="X232" s="23"/>
      <c r="Y232" s="21"/>
    </row>
    <row r="233" customFormat="false" ht="25.35" hidden="false" customHeight="false" outlineLevel="0" collapsed="false">
      <c r="A233" s="16" t="n">
        <v>232</v>
      </c>
      <c r="B233" s="15" t="s">
        <v>828</v>
      </c>
      <c r="C233" s="16" t="s">
        <v>70</v>
      </c>
      <c r="D233" s="16" t="n">
        <v>232</v>
      </c>
      <c r="E233" s="16" t="str">
        <f aca="false">C233&amp;"말씀 #"&amp;TEXT(D233,"000")</f>
        <v>구약말씀 #232</v>
      </c>
      <c r="F233" s="17" t="s">
        <v>748</v>
      </c>
      <c r="G233" s="18" t="s">
        <v>829</v>
      </c>
      <c r="H233" s="19" t="s">
        <v>830</v>
      </c>
      <c r="I233" s="17" t="s">
        <v>511</v>
      </c>
      <c r="J233" s="17" t="s">
        <v>89</v>
      </c>
      <c r="K233" s="20"/>
      <c r="L233" s="17" t="s">
        <v>76</v>
      </c>
      <c r="M233" s="17" t="n">
        <f aca="false">LEN(K233)</f>
        <v>0</v>
      </c>
      <c r="N233" s="17" t="str">
        <f aca="false">IF(M233=0,"-",ROUND(3+M233/안내!$C$12,0))</f>
        <v>-</v>
      </c>
      <c r="O233" s="21" t="str">
        <f aca="false">IF(K233="","(본문 입력 후 자동) | 잠 24:16",IF(LEN(K233)&gt;28,LEFT(K233,28)&amp;"…",K233)&amp;" | 잠 24:16")</f>
        <v>(본문 입력 후 자동) | 잠 24:16</v>
      </c>
      <c r="P233" s="21" t="str">
        <f aca="false">"#"&amp;SUBSTITUTE(안내!$C$5," ","")&amp;" #성경구절 #말씀 #잠언 #소망"</f>
        <v>#오늘의말씀 #성경구절 #말씀 #잠언 #소망</v>
      </c>
      <c r="Q233" s="21" t="s">
        <v>77</v>
      </c>
      <c r="R233" s="22" t="n">
        <f aca="false">안내!$C$6+INT((D233-1)/안내!$C$7)</f>
        <v>46503</v>
      </c>
      <c r="S233" s="17" t="str">
        <f aca="false">IF(MOD(D233-1,안내!$C$7)=0,안내!$C$8,안내!$C$10)</f>
        <v>18:30</v>
      </c>
      <c r="T233" s="17" t="str">
        <f aca="false">CHOOSE(WEEKDAY(R233,2),"월","화","수","목","금","토","일")</f>
        <v>월</v>
      </c>
      <c r="U233" s="17" t="s">
        <v>78</v>
      </c>
      <c r="V233" s="17" t="s">
        <v>78</v>
      </c>
      <c r="W233" s="23"/>
      <c r="X233" s="23"/>
      <c r="Y233" s="21"/>
    </row>
    <row r="234" customFormat="false" ht="25.35" hidden="false" customHeight="false" outlineLevel="0" collapsed="false">
      <c r="A234" s="16" t="n">
        <v>233</v>
      </c>
      <c r="B234" s="15" t="s">
        <v>831</v>
      </c>
      <c r="C234" s="16" t="s">
        <v>70</v>
      </c>
      <c r="D234" s="16" t="n">
        <v>233</v>
      </c>
      <c r="E234" s="16" t="str">
        <f aca="false">C234&amp;"말씀 #"&amp;TEXT(D234,"000")</f>
        <v>구약말씀 #233</v>
      </c>
      <c r="F234" s="17" t="s">
        <v>748</v>
      </c>
      <c r="G234" s="18" t="s">
        <v>832</v>
      </c>
      <c r="H234" s="19" t="s">
        <v>833</v>
      </c>
      <c r="I234" s="17" t="s">
        <v>787</v>
      </c>
      <c r="J234" s="17" t="s">
        <v>94</v>
      </c>
      <c r="K234" s="20"/>
      <c r="L234" s="17" t="s">
        <v>76</v>
      </c>
      <c r="M234" s="17" t="n">
        <f aca="false">LEN(K234)</f>
        <v>0</v>
      </c>
      <c r="N234" s="17" t="str">
        <f aca="false">IF(M234=0,"-",ROUND(3+M234/안내!$C$12,0))</f>
        <v>-</v>
      </c>
      <c r="O234" s="21" t="str">
        <f aca="false">IF(K234="","(본문 입력 후 자동) | 잠 25:11",IF(LEN(K234)&gt;28,LEFT(K234,28)&amp;"…",K234)&amp;" | 잠 25:11")</f>
        <v>(본문 입력 후 자동) | 잠 25:11</v>
      </c>
      <c r="P234" s="21" t="str">
        <f aca="false">"#"&amp;SUBSTITUTE(안내!$C$5," ","")&amp;" #성경구절 #말씀 #잠언 #말"</f>
        <v>#오늘의말씀 #성경구절 #말씀 #잠언 #말</v>
      </c>
      <c r="Q234" s="21" t="s">
        <v>77</v>
      </c>
      <c r="R234" s="22" t="n">
        <f aca="false">안내!$C$6+INT((D234-1)/안내!$C$7)</f>
        <v>46504</v>
      </c>
      <c r="S234" s="17" t="str">
        <f aca="false">IF(MOD(D234-1,안내!$C$7)=0,안내!$C$8,안내!$C$10)</f>
        <v>06:30</v>
      </c>
      <c r="T234" s="17" t="str">
        <f aca="false">CHOOSE(WEEKDAY(R234,2),"월","화","수","목","금","토","일")</f>
        <v>화</v>
      </c>
      <c r="U234" s="17" t="s">
        <v>78</v>
      </c>
      <c r="V234" s="17" t="s">
        <v>78</v>
      </c>
      <c r="W234" s="23"/>
      <c r="X234" s="23"/>
      <c r="Y234" s="21"/>
    </row>
    <row r="235" customFormat="false" ht="25.35" hidden="false" customHeight="false" outlineLevel="0" collapsed="false">
      <c r="A235" s="16" t="n">
        <v>234</v>
      </c>
      <c r="B235" s="15" t="s">
        <v>834</v>
      </c>
      <c r="C235" s="16" t="s">
        <v>70</v>
      </c>
      <c r="D235" s="16" t="n">
        <v>234</v>
      </c>
      <c r="E235" s="16" t="str">
        <f aca="false">C235&amp;"말씀 #"&amp;TEXT(D235,"000")</f>
        <v>구약말씀 #234</v>
      </c>
      <c r="F235" s="17" t="s">
        <v>748</v>
      </c>
      <c r="G235" s="18" t="s">
        <v>835</v>
      </c>
      <c r="H235" s="19" t="s">
        <v>836</v>
      </c>
      <c r="I235" s="17" t="s">
        <v>239</v>
      </c>
      <c r="J235" s="17" t="s">
        <v>94</v>
      </c>
      <c r="K235" s="20"/>
      <c r="L235" s="17" t="s">
        <v>76</v>
      </c>
      <c r="M235" s="17" t="n">
        <f aca="false">LEN(K235)</f>
        <v>0</v>
      </c>
      <c r="N235" s="17" t="str">
        <f aca="false">IF(M235=0,"-",ROUND(3+M235/안내!$C$12,0))</f>
        <v>-</v>
      </c>
      <c r="O235" s="21" t="str">
        <f aca="false">IF(K235="","(본문 입력 후 자동) | 잠 25:21",IF(LEN(K235)&gt;28,LEFT(K235,28)&amp;"…",K235)&amp;" | 잠 25:21")</f>
        <v>(본문 입력 후 자동) | 잠 25:21</v>
      </c>
      <c r="P235" s="21" t="str">
        <f aca="false">"#"&amp;SUBSTITUTE(안내!$C$5," ","")&amp;" #성경구절 #말씀 #잠언 #사랑"</f>
        <v>#오늘의말씀 #성경구절 #말씀 #잠언 #사랑</v>
      </c>
      <c r="Q235" s="21" t="s">
        <v>77</v>
      </c>
      <c r="R235" s="22" t="n">
        <f aca="false">안내!$C$6+INT((D235-1)/안내!$C$7)</f>
        <v>46504</v>
      </c>
      <c r="S235" s="17" t="str">
        <f aca="false">IF(MOD(D235-1,안내!$C$7)=0,안내!$C$8,안내!$C$10)</f>
        <v>18:30</v>
      </c>
      <c r="T235" s="17" t="str">
        <f aca="false">CHOOSE(WEEKDAY(R235,2),"월","화","수","목","금","토","일")</f>
        <v>화</v>
      </c>
      <c r="U235" s="17" t="s">
        <v>78</v>
      </c>
      <c r="V235" s="17" t="s">
        <v>78</v>
      </c>
      <c r="W235" s="23"/>
      <c r="X235" s="23"/>
      <c r="Y235" s="21"/>
    </row>
    <row r="236" customFormat="false" ht="15" hidden="false" customHeight="false" outlineLevel="0" collapsed="false">
      <c r="A236" s="16" t="n">
        <v>235</v>
      </c>
      <c r="B236" s="15" t="s">
        <v>837</v>
      </c>
      <c r="C236" s="16" t="s">
        <v>70</v>
      </c>
      <c r="D236" s="16" t="n">
        <v>235</v>
      </c>
      <c r="E236" s="16" t="str">
        <f aca="false">C236&amp;"말씀 #"&amp;TEXT(D236,"000")</f>
        <v>구약말씀 #235</v>
      </c>
      <c r="F236" s="17" t="s">
        <v>748</v>
      </c>
      <c r="G236" s="18" t="s">
        <v>588</v>
      </c>
      <c r="H236" s="19" t="s">
        <v>838</v>
      </c>
      <c r="I236" s="17" t="s">
        <v>775</v>
      </c>
      <c r="J236" s="17" t="s">
        <v>94</v>
      </c>
      <c r="K236" s="20"/>
      <c r="L236" s="17" t="s">
        <v>76</v>
      </c>
      <c r="M236" s="17" t="n">
        <f aca="false">LEN(K236)</f>
        <v>0</v>
      </c>
      <c r="N236" s="17" t="str">
        <f aca="false">IF(M236=0,"-",ROUND(3+M236/안내!$C$12,0))</f>
        <v>-</v>
      </c>
      <c r="O236" s="21" t="str">
        <f aca="false">IF(K236="","(본문 입력 후 자동) | 잠 27:1",IF(LEN(K236)&gt;28,LEFT(K236,28)&amp;"…",K236)&amp;" | 잠 27:1")</f>
        <v>(본문 입력 후 자동) | 잠 27:1</v>
      </c>
      <c r="P236" s="21" t="str">
        <f aca="false">"#"&amp;SUBSTITUTE(안내!$C$5," ","")&amp;" #성경구절 #말씀 #잠언 #겸손"</f>
        <v>#오늘의말씀 #성경구절 #말씀 #잠언 #겸손</v>
      </c>
      <c r="Q236" s="21" t="s">
        <v>77</v>
      </c>
      <c r="R236" s="22" t="n">
        <f aca="false">안내!$C$6+INT((D236-1)/안내!$C$7)</f>
        <v>46505</v>
      </c>
      <c r="S236" s="17" t="str">
        <f aca="false">IF(MOD(D236-1,안내!$C$7)=0,안내!$C$8,안내!$C$10)</f>
        <v>06:30</v>
      </c>
      <c r="T236" s="17" t="str">
        <f aca="false">CHOOSE(WEEKDAY(R236,2),"월","화","수","목","금","토","일")</f>
        <v>수</v>
      </c>
      <c r="U236" s="17" t="s">
        <v>78</v>
      </c>
      <c r="V236" s="17" t="s">
        <v>78</v>
      </c>
      <c r="W236" s="23"/>
      <c r="X236" s="23"/>
      <c r="Y236" s="21"/>
    </row>
    <row r="237" customFormat="false" ht="25.35" hidden="false" customHeight="false" outlineLevel="0" collapsed="false">
      <c r="A237" s="16" t="n">
        <v>236</v>
      </c>
      <c r="B237" s="15" t="s">
        <v>839</v>
      </c>
      <c r="C237" s="16" t="s">
        <v>70</v>
      </c>
      <c r="D237" s="16" t="n">
        <v>236</v>
      </c>
      <c r="E237" s="16" t="str">
        <f aca="false">C237&amp;"말씀 #"&amp;TEXT(D237,"000")</f>
        <v>구약말씀 #236</v>
      </c>
      <c r="F237" s="17" t="s">
        <v>748</v>
      </c>
      <c r="G237" s="18" t="s">
        <v>840</v>
      </c>
      <c r="H237" s="19" t="s">
        <v>841</v>
      </c>
      <c r="I237" s="17" t="s">
        <v>728</v>
      </c>
      <c r="J237" s="17" t="s">
        <v>94</v>
      </c>
      <c r="K237" s="20"/>
      <c r="L237" s="17" t="s">
        <v>76</v>
      </c>
      <c r="M237" s="17" t="n">
        <f aca="false">LEN(K237)</f>
        <v>0</v>
      </c>
      <c r="N237" s="17" t="str">
        <f aca="false">IF(M237=0,"-",ROUND(3+M237/안내!$C$12,0))</f>
        <v>-</v>
      </c>
      <c r="O237" s="21" t="str">
        <f aca="false">IF(K237="","(본문 입력 후 자동) | 잠 27:17",IF(LEN(K237)&gt;28,LEFT(K237,28)&amp;"…",K237)&amp;" | 잠 27:17")</f>
        <v>(본문 입력 후 자동) | 잠 27:17</v>
      </c>
      <c r="P237" s="21" t="str">
        <f aca="false">"#"&amp;SUBSTITUTE(안내!$C$5," ","")&amp;" #성경구절 #말씀 #잠언 #연합"</f>
        <v>#오늘의말씀 #성경구절 #말씀 #잠언 #연합</v>
      </c>
      <c r="Q237" s="21" t="s">
        <v>77</v>
      </c>
      <c r="R237" s="22" t="n">
        <f aca="false">안내!$C$6+INT((D237-1)/안내!$C$7)</f>
        <v>46505</v>
      </c>
      <c r="S237" s="17" t="str">
        <f aca="false">IF(MOD(D237-1,안내!$C$7)=0,안내!$C$8,안내!$C$10)</f>
        <v>18:30</v>
      </c>
      <c r="T237" s="17" t="str">
        <f aca="false">CHOOSE(WEEKDAY(R237,2),"월","화","수","목","금","토","일")</f>
        <v>수</v>
      </c>
      <c r="U237" s="17" t="s">
        <v>78</v>
      </c>
      <c r="V237" s="17" t="s">
        <v>78</v>
      </c>
      <c r="W237" s="23"/>
      <c r="X237" s="23"/>
      <c r="Y237" s="21"/>
    </row>
    <row r="238" customFormat="false" ht="25.35" hidden="false" customHeight="false" outlineLevel="0" collapsed="false">
      <c r="A238" s="16" t="n">
        <v>237</v>
      </c>
      <c r="B238" s="15" t="s">
        <v>842</v>
      </c>
      <c r="C238" s="16" t="s">
        <v>70</v>
      </c>
      <c r="D238" s="16" t="n">
        <v>237</v>
      </c>
      <c r="E238" s="16" t="str">
        <f aca="false">C238&amp;"말씀 #"&amp;TEXT(D238,"000")</f>
        <v>구약말씀 #237</v>
      </c>
      <c r="F238" s="17" t="s">
        <v>748</v>
      </c>
      <c r="G238" s="18" t="s">
        <v>843</v>
      </c>
      <c r="H238" s="19" t="s">
        <v>844</v>
      </c>
      <c r="I238" s="17" t="s">
        <v>454</v>
      </c>
      <c r="J238" s="17" t="s">
        <v>104</v>
      </c>
      <c r="K238" s="20"/>
      <c r="L238" s="17" t="s">
        <v>76</v>
      </c>
      <c r="M238" s="17" t="n">
        <f aca="false">LEN(K238)</f>
        <v>0</v>
      </c>
      <c r="N238" s="17" t="str">
        <f aca="false">IF(M238=0,"-",ROUND(3+M238/안내!$C$12,0))</f>
        <v>-</v>
      </c>
      <c r="O238" s="21" t="str">
        <f aca="false">IF(K238="","(본문 입력 후 자동) | 잠 28:13",IF(LEN(K238)&gt;28,LEFT(K238,28)&amp;"…",K238)&amp;" | 잠 28:13")</f>
        <v>(본문 입력 후 자동) | 잠 28:13</v>
      </c>
      <c r="P238" s="21" t="str">
        <f aca="false">"#"&amp;SUBSTITUTE(안내!$C$5," ","")&amp;" #성경구절 #말씀 #잠언 #회개"</f>
        <v>#오늘의말씀 #성경구절 #말씀 #잠언 #회개</v>
      </c>
      <c r="Q238" s="21" t="s">
        <v>77</v>
      </c>
      <c r="R238" s="22" t="n">
        <f aca="false">안내!$C$6+INT((D238-1)/안내!$C$7)</f>
        <v>46506</v>
      </c>
      <c r="S238" s="17" t="str">
        <f aca="false">IF(MOD(D238-1,안내!$C$7)=0,안내!$C$8,안내!$C$10)</f>
        <v>06:30</v>
      </c>
      <c r="T238" s="17" t="str">
        <f aca="false">CHOOSE(WEEKDAY(R238,2),"월","화","수","목","금","토","일")</f>
        <v>목</v>
      </c>
      <c r="U238" s="17" t="s">
        <v>78</v>
      </c>
      <c r="V238" s="17" t="s">
        <v>78</v>
      </c>
      <c r="W238" s="23"/>
      <c r="X238" s="23"/>
      <c r="Y238" s="21"/>
    </row>
    <row r="239" customFormat="false" ht="39.55" hidden="false" customHeight="false" outlineLevel="0" collapsed="false">
      <c r="A239" s="16" t="n">
        <v>238</v>
      </c>
      <c r="B239" s="15" t="s">
        <v>845</v>
      </c>
      <c r="C239" s="16" t="s">
        <v>70</v>
      </c>
      <c r="D239" s="16" t="n">
        <v>238</v>
      </c>
      <c r="E239" s="16" t="str">
        <f aca="false">C239&amp;"말씀 #"&amp;TEXT(D239,"000")</f>
        <v>구약말씀 #238</v>
      </c>
      <c r="F239" s="17" t="s">
        <v>748</v>
      </c>
      <c r="G239" s="18" t="s">
        <v>846</v>
      </c>
      <c r="H239" s="19" t="s">
        <v>847</v>
      </c>
      <c r="I239" s="17" t="s">
        <v>284</v>
      </c>
      <c r="J239" s="17" t="s">
        <v>148</v>
      </c>
      <c r="K239" s="20"/>
      <c r="L239" s="17" t="s">
        <v>76</v>
      </c>
      <c r="M239" s="17" t="n">
        <f aca="false">LEN(K239)</f>
        <v>0</v>
      </c>
      <c r="N239" s="17" t="str">
        <f aca="false">IF(M239=0,"-",ROUND(3+M239/안내!$C$12,0))</f>
        <v>-</v>
      </c>
      <c r="O239" s="21" t="str">
        <f aca="false">IF(K239="","(본문 입력 후 자동) | 잠 29:18",IF(LEN(K239)&gt;28,LEFT(K239,28)&amp;"…",K239)&amp;" | 잠 29:18")</f>
        <v>(본문 입력 후 자동) | 잠 29:18</v>
      </c>
      <c r="P239" s="21" t="str">
        <f aca="false">"#"&amp;SUBSTITUTE(안내!$C$5," ","")&amp;" #성경구절 #말씀 #잠언 #말씀"</f>
        <v>#오늘의말씀 #성경구절 #말씀 #잠언 #말씀</v>
      </c>
      <c r="Q239" s="25" t="s">
        <v>848</v>
      </c>
      <c r="R239" s="22" t="n">
        <f aca="false">안내!$C$6+INT((D239-1)/안내!$C$7)</f>
        <v>46506</v>
      </c>
      <c r="S239" s="17" t="str">
        <f aca="false">IF(MOD(D239-1,안내!$C$7)=0,안내!$C$8,안내!$C$10)</f>
        <v>18:30</v>
      </c>
      <c r="T239" s="17" t="str">
        <f aca="false">CHOOSE(WEEKDAY(R239,2),"월","화","수","목","금","토","일")</f>
        <v>목</v>
      </c>
      <c r="U239" s="17" t="s">
        <v>78</v>
      </c>
      <c r="V239" s="17" t="s">
        <v>78</v>
      </c>
      <c r="W239" s="23"/>
      <c r="X239" s="23"/>
      <c r="Y239" s="21"/>
    </row>
    <row r="240" customFormat="false" ht="25.35" hidden="false" customHeight="false" outlineLevel="0" collapsed="false">
      <c r="A240" s="16" t="n">
        <v>239</v>
      </c>
      <c r="B240" s="15" t="s">
        <v>849</v>
      </c>
      <c r="C240" s="16" t="s">
        <v>70</v>
      </c>
      <c r="D240" s="16" t="n">
        <v>239</v>
      </c>
      <c r="E240" s="16" t="str">
        <f aca="false">C240&amp;"말씀 #"&amp;TEXT(D240,"000")</f>
        <v>구약말씀 #239</v>
      </c>
      <c r="F240" s="17" t="s">
        <v>748</v>
      </c>
      <c r="G240" s="18" t="s">
        <v>850</v>
      </c>
      <c r="H240" s="19" t="s">
        <v>851</v>
      </c>
      <c r="I240" s="17" t="s">
        <v>497</v>
      </c>
      <c r="J240" s="17" t="s">
        <v>113</v>
      </c>
      <c r="K240" s="20"/>
      <c r="L240" s="17" t="s">
        <v>76</v>
      </c>
      <c r="M240" s="17" t="n">
        <f aca="false">LEN(K240)</f>
        <v>0</v>
      </c>
      <c r="N240" s="17" t="str">
        <f aca="false">IF(M240=0,"-",ROUND(3+M240/안내!$C$12,0))</f>
        <v>-</v>
      </c>
      <c r="O240" s="21" t="str">
        <f aca="false">IF(K240="","(본문 입력 후 자동) | 잠 29:25",IF(LEN(K240)&gt;28,LEFT(K240,28)&amp;"…",K240)&amp;" | 잠 29:25")</f>
        <v>(본문 입력 후 자동) | 잠 29:25</v>
      </c>
      <c r="P240" s="21" t="str">
        <f aca="false">"#"&amp;SUBSTITUTE(안내!$C$5," ","")&amp;" #성경구절 #말씀 #잠언 #신뢰"</f>
        <v>#오늘의말씀 #성경구절 #말씀 #잠언 #신뢰</v>
      </c>
      <c r="Q240" s="21" t="s">
        <v>77</v>
      </c>
      <c r="R240" s="22" t="n">
        <f aca="false">안내!$C$6+INT((D240-1)/안내!$C$7)</f>
        <v>46507</v>
      </c>
      <c r="S240" s="17" t="str">
        <f aca="false">IF(MOD(D240-1,안내!$C$7)=0,안내!$C$8,안내!$C$10)</f>
        <v>06:30</v>
      </c>
      <c r="T240" s="17" t="str">
        <f aca="false">CHOOSE(WEEKDAY(R240,2),"월","화","수","목","금","토","일")</f>
        <v>금</v>
      </c>
      <c r="U240" s="17" t="s">
        <v>78</v>
      </c>
      <c r="V240" s="17" t="s">
        <v>78</v>
      </c>
      <c r="W240" s="23"/>
      <c r="X240" s="23"/>
      <c r="Y240" s="21"/>
    </row>
    <row r="241" customFormat="false" ht="15" hidden="false" customHeight="false" outlineLevel="0" collapsed="false">
      <c r="A241" s="16" t="n">
        <v>240</v>
      </c>
      <c r="B241" s="15" t="s">
        <v>852</v>
      </c>
      <c r="C241" s="16" t="s">
        <v>70</v>
      </c>
      <c r="D241" s="16" t="n">
        <v>240</v>
      </c>
      <c r="E241" s="16" t="str">
        <f aca="false">C241&amp;"말씀 #"&amp;TEXT(D241,"000")</f>
        <v>구약말씀 #240</v>
      </c>
      <c r="F241" s="17" t="s">
        <v>748</v>
      </c>
      <c r="G241" s="18" t="s">
        <v>601</v>
      </c>
      <c r="H241" s="19" t="s">
        <v>853</v>
      </c>
      <c r="I241" s="17" t="s">
        <v>284</v>
      </c>
      <c r="J241" s="17" t="s">
        <v>148</v>
      </c>
      <c r="K241" s="20"/>
      <c r="L241" s="17" t="s">
        <v>76</v>
      </c>
      <c r="M241" s="17" t="n">
        <f aca="false">LEN(K241)</f>
        <v>0</v>
      </c>
      <c r="N241" s="17" t="str">
        <f aca="false">IF(M241=0,"-",ROUND(3+M241/안내!$C$12,0))</f>
        <v>-</v>
      </c>
      <c r="O241" s="21" t="str">
        <f aca="false">IF(K241="","(본문 입력 후 자동) | 잠 30:5",IF(LEN(K241)&gt;28,LEFT(K241,28)&amp;"…",K241)&amp;" | 잠 30:5")</f>
        <v>(본문 입력 후 자동) | 잠 30:5</v>
      </c>
      <c r="P241" s="21" t="str">
        <f aca="false">"#"&amp;SUBSTITUTE(안내!$C$5," ","")&amp;" #성경구절 #말씀 #잠언 #말씀"</f>
        <v>#오늘의말씀 #성경구절 #말씀 #잠언 #말씀</v>
      </c>
      <c r="Q241" s="21" t="s">
        <v>77</v>
      </c>
      <c r="R241" s="22" t="n">
        <f aca="false">안내!$C$6+INT((D241-1)/안내!$C$7)</f>
        <v>46507</v>
      </c>
      <c r="S241" s="17" t="str">
        <f aca="false">IF(MOD(D241-1,안내!$C$7)=0,안내!$C$8,안내!$C$10)</f>
        <v>18:30</v>
      </c>
      <c r="T241" s="17" t="str">
        <f aca="false">CHOOSE(WEEKDAY(R241,2),"월","화","수","목","금","토","일")</f>
        <v>금</v>
      </c>
      <c r="U241" s="17" t="s">
        <v>78</v>
      </c>
      <c r="V241" s="17" t="s">
        <v>78</v>
      </c>
      <c r="W241" s="23"/>
      <c r="X241" s="23"/>
      <c r="Y241" s="21"/>
    </row>
    <row r="242" customFormat="false" ht="25.35" hidden="false" customHeight="false" outlineLevel="0" collapsed="false">
      <c r="A242" s="16" t="n">
        <v>241</v>
      </c>
      <c r="B242" s="15" t="s">
        <v>854</v>
      </c>
      <c r="C242" s="16" t="s">
        <v>70</v>
      </c>
      <c r="D242" s="16" t="n">
        <v>241</v>
      </c>
      <c r="E242" s="16" t="str">
        <f aca="false">C242&amp;"말씀 #"&amp;TEXT(D242,"000")</f>
        <v>구약말씀 #241</v>
      </c>
      <c r="F242" s="17" t="s">
        <v>748</v>
      </c>
      <c r="G242" s="18" t="s">
        <v>855</v>
      </c>
      <c r="H242" s="19" t="s">
        <v>856</v>
      </c>
      <c r="I242" s="17" t="s">
        <v>857</v>
      </c>
      <c r="J242" s="17" t="s">
        <v>75</v>
      </c>
      <c r="K242" s="20"/>
      <c r="L242" s="17" t="s">
        <v>76</v>
      </c>
      <c r="M242" s="17" t="n">
        <f aca="false">LEN(K242)</f>
        <v>0</v>
      </c>
      <c r="N242" s="17" t="str">
        <f aca="false">IF(M242=0,"-",ROUND(3+M242/안내!$C$12,0))</f>
        <v>-</v>
      </c>
      <c r="O242" s="21" t="str">
        <f aca="false">IF(K242="","(본문 입력 후 자동) | 잠 31:30",IF(LEN(K242)&gt;28,LEFT(K242,28)&amp;"…",K242)&amp;" | 잠 31:30")</f>
        <v>(본문 입력 후 자동) | 잠 31:30</v>
      </c>
      <c r="P242" s="21" t="str">
        <f aca="false">"#"&amp;SUBSTITUTE(안내!$C$5," ","")&amp;" #성경구절 #말씀 #잠언 #경외"</f>
        <v>#오늘의말씀 #성경구절 #말씀 #잠언 #경외</v>
      </c>
      <c r="Q242" s="21" t="s">
        <v>77</v>
      </c>
      <c r="R242" s="22" t="n">
        <f aca="false">안내!$C$6+INT((D242-1)/안내!$C$7)</f>
        <v>46508</v>
      </c>
      <c r="S242" s="17" t="str">
        <f aca="false">IF(MOD(D242-1,안내!$C$7)=0,안내!$C$8,안내!$C$10)</f>
        <v>06:30</v>
      </c>
      <c r="T242" s="17" t="str">
        <f aca="false">CHOOSE(WEEKDAY(R242,2),"월","화","수","목","금","토","일")</f>
        <v>토</v>
      </c>
      <c r="U242" s="17" t="s">
        <v>78</v>
      </c>
      <c r="V242" s="17" t="s">
        <v>78</v>
      </c>
      <c r="W242" s="23"/>
      <c r="X242" s="23"/>
      <c r="Y242" s="21"/>
    </row>
    <row r="243" customFormat="false" ht="15" hidden="false" customHeight="false" outlineLevel="0" collapsed="false">
      <c r="A243" s="16" t="n">
        <v>242</v>
      </c>
      <c r="B243" s="15" t="s">
        <v>858</v>
      </c>
      <c r="C243" s="16" t="s">
        <v>70</v>
      </c>
      <c r="D243" s="16" t="n">
        <v>242</v>
      </c>
      <c r="E243" s="16" t="str">
        <f aca="false">C243&amp;"말씀 #"&amp;TEXT(D243,"000")</f>
        <v>구약말씀 #242</v>
      </c>
      <c r="F243" s="17" t="s">
        <v>859</v>
      </c>
      <c r="G243" s="18" t="s">
        <v>860</v>
      </c>
      <c r="H243" s="19" t="s">
        <v>861</v>
      </c>
      <c r="I243" s="17" t="s">
        <v>167</v>
      </c>
      <c r="J243" s="17" t="s">
        <v>75</v>
      </c>
      <c r="K243" s="20"/>
      <c r="L243" s="17" t="s">
        <v>76</v>
      </c>
      <c r="M243" s="17" t="n">
        <f aca="false">LEN(K243)</f>
        <v>0</v>
      </c>
      <c r="N243" s="17" t="str">
        <f aca="false">IF(M243=0,"-",ROUND(3+M243/안내!$C$12,0))</f>
        <v>-</v>
      </c>
      <c r="O243" s="21" t="str">
        <f aca="false">IF(K243="","(본문 입력 후 자동) | 전 3:1",IF(LEN(K243)&gt;28,LEFT(K243,28)&amp;"…",K243)&amp;" | 전 3:1")</f>
        <v>(본문 입력 후 자동) | 전 3:1</v>
      </c>
      <c r="P243" s="21" t="str">
        <f aca="false">"#"&amp;SUBSTITUTE(안내!$C$5," ","")&amp;" #성경구절 #말씀 #전도서 #섭리"</f>
        <v>#오늘의말씀 #성경구절 #말씀 #전도서 #섭리</v>
      </c>
      <c r="Q243" s="21" t="s">
        <v>77</v>
      </c>
      <c r="R243" s="22" t="n">
        <f aca="false">안내!$C$6+INT((D243-1)/안내!$C$7)</f>
        <v>46508</v>
      </c>
      <c r="S243" s="17" t="str">
        <f aca="false">IF(MOD(D243-1,안내!$C$7)=0,안내!$C$8,안내!$C$10)</f>
        <v>18:30</v>
      </c>
      <c r="T243" s="17" t="str">
        <f aca="false">CHOOSE(WEEKDAY(R243,2),"월","화","수","목","금","토","일")</f>
        <v>토</v>
      </c>
      <c r="U243" s="17" t="s">
        <v>78</v>
      </c>
      <c r="V243" s="17" t="s">
        <v>78</v>
      </c>
      <c r="W243" s="23"/>
      <c r="X243" s="23"/>
      <c r="Y243" s="21"/>
    </row>
    <row r="244" customFormat="false" ht="15" hidden="false" customHeight="false" outlineLevel="0" collapsed="false">
      <c r="A244" s="16" t="n">
        <v>243</v>
      </c>
      <c r="B244" s="15" t="s">
        <v>862</v>
      </c>
      <c r="C244" s="16" t="s">
        <v>70</v>
      </c>
      <c r="D244" s="16" t="n">
        <v>243</v>
      </c>
      <c r="E244" s="16" t="str">
        <f aca="false">C244&amp;"말씀 #"&amp;TEXT(D244,"000")</f>
        <v>구약말씀 #243</v>
      </c>
      <c r="F244" s="17" t="s">
        <v>859</v>
      </c>
      <c r="G244" s="18" t="s">
        <v>757</v>
      </c>
      <c r="H244" s="19" t="s">
        <v>863</v>
      </c>
      <c r="I244" s="17" t="s">
        <v>167</v>
      </c>
      <c r="J244" s="17" t="s">
        <v>75</v>
      </c>
      <c r="K244" s="20"/>
      <c r="L244" s="17" t="s">
        <v>76</v>
      </c>
      <c r="M244" s="17" t="n">
        <f aca="false">LEN(K244)</f>
        <v>0</v>
      </c>
      <c r="N244" s="17" t="str">
        <f aca="false">IF(M244=0,"-",ROUND(3+M244/안내!$C$12,0))</f>
        <v>-</v>
      </c>
      <c r="O244" s="21" t="str">
        <f aca="false">IF(K244="","(본문 입력 후 자동) | 전 3:11",IF(LEN(K244)&gt;28,LEFT(K244,28)&amp;"…",K244)&amp;" | 전 3:11")</f>
        <v>(본문 입력 후 자동) | 전 3:11</v>
      </c>
      <c r="P244" s="21" t="str">
        <f aca="false">"#"&amp;SUBSTITUTE(안내!$C$5," ","")&amp;" #성경구절 #말씀 #전도서 #섭리"</f>
        <v>#오늘의말씀 #성경구절 #말씀 #전도서 #섭리</v>
      </c>
      <c r="Q244" s="21" t="s">
        <v>77</v>
      </c>
      <c r="R244" s="22" t="n">
        <f aca="false">안내!$C$6+INT((D244-1)/안내!$C$7)</f>
        <v>46509</v>
      </c>
      <c r="S244" s="17" t="str">
        <f aca="false">IF(MOD(D244-1,안내!$C$7)=0,안내!$C$8,안내!$C$10)</f>
        <v>06:30</v>
      </c>
      <c r="T244" s="17" t="str">
        <f aca="false">CHOOSE(WEEKDAY(R244,2),"월","화","수","목","금","토","일")</f>
        <v>일</v>
      </c>
      <c r="U244" s="17" t="s">
        <v>78</v>
      </c>
      <c r="V244" s="17" t="s">
        <v>78</v>
      </c>
      <c r="W244" s="23"/>
      <c r="X244" s="23"/>
      <c r="Y244" s="21"/>
    </row>
    <row r="245" customFormat="false" ht="15" hidden="false" customHeight="false" outlineLevel="0" collapsed="false">
      <c r="A245" s="16" t="n">
        <v>244</v>
      </c>
      <c r="B245" s="15" t="s">
        <v>864</v>
      </c>
      <c r="C245" s="16" t="s">
        <v>70</v>
      </c>
      <c r="D245" s="16" t="n">
        <v>244</v>
      </c>
      <c r="E245" s="16" t="str">
        <f aca="false">C245&amp;"말씀 #"&amp;TEXT(D245,"000")</f>
        <v>구약말씀 #244</v>
      </c>
      <c r="F245" s="17" t="s">
        <v>859</v>
      </c>
      <c r="G245" s="18" t="s">
        <v>865</v>
      </c>
      <c r="H245" s="19" t="s">
        <v>866</v>
      </c>
      <c r="I245" s="17" t="s">
        <v>728</v>
      </c>
      <c r="J245" s="17" t="s">
        <v>94</v>
      </c>
      <c r="K245" s="20"/>
      <c r="L245" s="17" t="s">
        <v>76</v>
      </c>
      <c r="M245" s="17" t="n">
        <f aca="false">LEN(K245)</f>
        <v>0</v>
      </c>
      <c r="N245" s="17" t="str">
        <f aca="false">IF(M245=0,"-",ROUND(3+M245/안내!$C$12,0))</f>
        <v>-</v>
      </c>
      <c r="O245" s="21" t="str">
        <f aca="false">IF(K245="","(본문 입력 후 자동) | 전 4:9",IF(LEN(K245)&gt;28,LEFT(K245,28)&amp;"…",K245)&amp;" | 전 4:9")</f>
        <v>(본문 입력 후 자동) | 전 4:9</v>
      </c>
      <c r="P245" s="21" t="str">
        <f aca="false">"#"&amp;SUBSTITUTE(안내!$C$5," ","")&amp;" #성경구절 #말씀 #전도서 #연합"</f>
        <v>#오늘의말씀 #성경구절 #말씀 #전도서 #연합</v>
      </c>
      <c r="Q245" s="21" t="s">
        <v>77</v>
      </c>
      <c r="R245" s="22" t="n">
        <f aca="false">안내!$C$6+INT((D245-1)/안내!$C$7)</f>
        <v>46509</v>
      </c>
      <c r="S245" s="17" t="str">
        <f aca="false">IF(MOD(D245-1,안내!$C$7)=0,안내!$C$8,안내!$C$10)</f>
        <v>18:30</v>
      </c>
      <c r="T245" s="17" t="str">
        <f aca="false">CHOOSE(WEEKDAY(R245,2),"월","화","수","목","금","토","일")</f>
        <v>일</v>
      </c>
      <c r="U245" s="17" t="s">
        <v>78</v>
      </c>
      <c r="V245" s="17" t="s">
        <v>78</v>
      </c>
      <c r="W245" s="23"/>
      <c r="X245" s="23"/>
      <c r="Y245" s="21"/>
    </row>
    <row r="246" customFormat="false" ht="15" hidden="false" customHeight="false" outlineLevel="0" collapsed="false">
      <c r="A246" s="16" t="n">
        <v>245</v>
      </c>
      <c r="B246" s="15" t="s">
        <v>867</v>
      </c>
      <c r="C246" s="16" t="s">
        <v>70</v>
      </c>
      <c r="D246" s="16" t="n">
        <v>245</v>
      </c>
      <c r="E246" s="16" t="str">
        <f aca="false">C246&amp;"말씀 #"&amp;TEXT(D246,"000")</f>
        <v>구약말씀 #245</v>
      </c>
      <c r="F246" s="17" t="s">
        <v>859</v>
      </c>
      <c r="G246" s="18" t="s">
        <v>178</v>
      </c>
      <c r="H246" s="19" t="s">
        <v>868</v>
      </c>
      <c r="I246" s="17" t="s">
        <v>728</v>
      </c>
      <c r="J246" s="17" t="s">
        <v>94</v>
      </c>
      <c r="K246" s="20"/>
      <c r="L246" s="17" t="s">
        <v>76</v>
      </c>
      <c r="M246" s="17" t="n">
        <f aca="false">LEN(K246)</f>
        <v>0</v>
      </c>
      <c r="N246" s="17" t="str">
        <f aca="false">IF(M246=0,"-",ROUND(3+M246/안내!$C$12,0))</f>
        <v>-</v>
      </c>
      <c r="O246" s="21" t="str">
        <f aca="false">IF(K246="","(본문 입력 후 자동) | 전 4:12",IF(LEN(K246)&gt;28,LEFT(K246,28)&amp;"…",K246)&amp;" | 전 4:12")</f>
        <v>(본문 입력 후 자동) | 전 4:12</v>
      </c>
      <c r="P246" s="21" t="str">
        <f aca="false">"#"&amp;SUBSTITUTE(안내!$C$5," ","")&amp;" #성경구절 #말씀 #전도서 #연합"</f>
        <v>#오늘의말씀 #성경구절 #말씀 #전도서 #연합</v>
      </c>
      <c r="Q246" s="21" t="s">
        <v>77</v>
      </c>
      <c r="R246" s="22" t="n">
        <f aca="false">안내!$C$6+INT((D246-1)/안내!$C$7)</f>
        <v>46510</v>
      </c>
      <c r="S246" s="17" t="str">
        <f aca="false">IF(MOD(D246-1,안내!$C$7)=0,안내!$C$8,안내!$C$10)</f>
        <v>06:30</v>
      </c>
      <c r="T246" s="17" t="str">
        <f aca="false">CHOOSE(WEEKDAY(R246,2),"월","화","수","목","금","토","일")</f>
        <v>월</v>
      </c>
      <c r="U246" s="17" t="s">
        <v>78</v>
      </c>
      <c r="V246" s="17" t="s">
        <v>78</v>
      </c>
      <c r="W246" s="23"/>
      <c r="X246" s="23"/>
      <c r="Y246" s="21"/>
    </row>
    <row r="247" customFormat="false" ht="15" hidden="false" customHeight="false" outlineLevel="0" collapsed="false">
      <c r="A247" s="16" t="n">
        <v>246</v>
      </c>
      <c r="B247" s="15" t="s">
        <v>869</v>
      </c>
      <c r="C247" s="16" t="s">
        <v>70</v>
      </c>
      <c r="D247" s="16" t="n">
        <v>246</v>
      </c>
      <c r="E247" s="16" t="str">
        <f aca="false">C247&amp;"말씀 #"&amp;TEXT(D247,"000")</f>
        <v>구약말씀 #246</v>
      </c>
      <c r="F247" s="17" t="s">
        <v>859</v>
      </c>
      <c r="G247" s="18" t="s">
        <v>870</v>
      </c>
      <c r="H247" s="19" t="s">
        <v>871</v>
      </c>
      <c r="I247" s="17" t="s">
        <v>593</v>
      </c>
      <c r="J247" s="17" t="s">
        <v>75</v>
      </c>
      <c r="K247" s="20"/>
      <c r="L247" s="17" t="s">
        <v>76</v>
      </c>
      <c r="M247" s="17" t="n">
        <f aca="false">LEN(K247)</f>
        <v>0</v>
      </c>
      <c r="N247" s="17" t="str">
        <f aca="false">IF(M247=0,"-",ROUND(3+M247/안내!$C$12,0))</f>
        <v>-</v>
      </c>
      <c r="O247" s="21" t="str">
        <f aca="false">IF(K247="","(본문 입력 후 자동) | 전 5:2",IF(LEN(K247)&gt;28,LEFT(K247,28)&amp;"…",K247)&amp;" | 전 5:2")</f>
        <v>(본문 입력 후 자동) | 전 5:2</v>
      </c>
      <c r="P247" s="21" t="str">
        <f aca="false">"#"&amp;SUBSTITUTE(안내!$C$5," ","")&amp;" #성경구절 #말씀 #전도서 #예배"</f>
        <v>#오늘의말씀 #성경구절 #말씀 #전도서 #예배</v>
      </c>
      <c r="Q247" s="21" t="s">
        <v>77</v>
      </c>
      <c r="R247" s="22" t="n">
        <f aca="false">안내!$C$6+INT((D247-1)/안내!$C$7)</f>
        <v>46510</v>
      </c>
      <c r="S247" s="17" t="str">
        <f aca="false">IF(MOD(D247-1,안내!$C$7)=0,안내!$C$8,안내!$C$10)</f>
        <v>18:30</v>
      </c>
      <c r="T247" s="17" t="str">
        <f aca="false">CHOOSE(WEEKDAY(R247,2),"월","화","수","목","금","토","일")</f>
        <v>월</v>
      </c>
      <c r="U247" s="17" t="s">
        <v>78</v>
      </c>
      <c r="V247" s="17" t="s">
        <v>78</v>
      </c>
      <c r="W247" s="23"/>
      <c r="X247" s="23"/>
      <c r="Y247" s="21"/>
    </row>
    <row r="248" customFormat="false" ht="15" hidden="false" customHeight="false" outlineLevel="0" collapsed="false">
      <c r="A248" s="16" t="n">
        <v>247</v>
      </c>
      <c r="B248" s="15" t="s">
        <v>872</v>
      </c>
      <c r="C248" s="16" t="s">
        <v>70</v>
      </c>
      <c r="D248" s="16" t="n">
        <v>247</v>
      </c>
      <c r="E248" s="16" t="str">
        <f aca="false">C248&amp;"말씀 #"&amp;TEXT(D248,"000")</f>
        <v>구약말씀 #247</v>
      </c>
      <c r="F248" s="17" t="s">
        <v>859</v>
      </c>
      <c r="G248" s="18" t="s">
        <v>452</v>
      </c>
      <c r="H248" s="19" t="s">
        <v>873</v>
      </c>
      <c r="I248" s="17" t="s">
        <v>167</v>
      </c>
      <c r="J248" s="17" t="s">
        <v>75</v>
      </c>
      <c r="K248" s="20"/>
      <c r="L248" s="17" t="s">
        <v>76</v>
      </c>
      <c r="M248" s="17" t="n">
        <f aca="false">LEN(K248)</f>
        <v>0</v>
      </c>
      <c r="N248" s="17" t="str">
        <f aca="false">IF(M248=0,"-",ROUND(3+M248/안내!$C$12,0))</f>
        <v>-</v>
      </c>
      <c r="O248" s="21" t="str">
        <f aca="false">IF(K248="","(본문 입력 후 자동) | 전 7:14",IF(LEN(K248)&gt;28,LEFT(K248,28)&amp;"…",K248)&amp;" | 전 7:14")</f>
        <v>(본문 입력 후 자동) | 전 7:14</v>
      </c>
      <c r="P248" s="21" t="str">
        <f aca="false">"#"&amp;SUBSTITUTE(안내!$C$5," ","")&amp;" #성경구절 #말씀 #전도서 #섭리"</f>
        <v>#오늘의말씀 #성경구절 #말씀 #전도서 #섭리</v>
      </c>
      <c r="Q248" s="21" t="s">
        <v>77</v>
      </c>
      <c r="R248" s="22" t="n">
        <f aca="false">안내!$C$6+INT((D248-1)/안내!$C$7)</f>
        <v>46511</v>
      </c>
      <c r="S248" s="17" t="str">
        <f aca="false">IF(MOD(D248-1,안내!$C$7)=0,안내!$C$8,안내!$C$10)</f>
        <v>06:30</v>
      </c>
      <c r="T248" s="17" t="str">
        <f aca="false">CHOOSE(WEEKDAY(R248,2),"월","화","수","목","금","토","일")</f>
        <v>화</v>
      </c>
      <c r="U248" s="17" t="s">
        <v>78</v>
      </c>
      <c r="V248" s="17" t="s">
        <v>78</v>
      </c>
      <c r="W248" s="23"/>
      <c r="X248" s="23"/>
      <c r="Y248" s="21"/>
    </row>
    <row r="249" customFormat="false" ht="15" hidden="false" customHeight="false" outlineLevel="0" collapsed="false">
      <c r="A249" s="16" t="n">
        <v>248</v>
      </c>
      <c r="B249" s="15" t="s">
        <v>874</v>
      </c>
      <c r="C249" s="16" t="s">
        <v>70</v>
      </c>
      <c r="D249" s="16" t="n">
        <v>248</v>
      </c>
      <c r="E249" s="16" t="str">
        <f aca="false">C249&amp;"말씀 #"&amp;TEXT(D249,"000")</f>
        <v>구약말씀 #248</v>
      </c>
      <c r="F249" s="17" t="s">
        <v>859</v>
      </c>
      <c r="G249" s="18" t="s">
        <v>119</v>
      </c>
      <c r="H249" s="19" t="s">
        <v>875</v>
      </c>
      <c r="I249" s="17" t="s">
        <v>857</v>
      </c>
      <c r="J249" s="17" t="s">
        <v>75</v>
      </c>
      <c r="K249" s="20"/>
      <c r="L249" s="17" t="s">
        <v>76</v>
      </c>
      <c r="M249" s="17" t="n">
        <f aca="false">LEN(K249)</f>
        <v>0</v>
      </c>
      <c r="N249" s="17" t="str">
        <f aca="false">IF(M249=0,"-",ROUND(3+M249/안내!$C$12,0))</f>
        <v>-</v>
      </c>
      <c r="O249" s="21" t="str">
        <f aca="false">IF(K249="","(본문 입력 후 자동) | 전 12:1",IF(LEN(K249)&gt;28,LEFT(K249,28)&amp;"…",K249)&amp;" | 전 12:1")</f>
        <v>(본문 입력 후 자동) | 전 12:1</v>
      </c>
      <c r="P249" s="21" t="str">
        <f aca="false">"#"&amp;SUBSTITUTE(안내!$C$5," ","")&amp;" #성경구절 #말씀 #전도서 #경외"</f>
        <v>#오늘의말씀 #성경구절 #말씀 #전도서 #경외</v>
      </c>
      <c r="Q249" s="21" t="s">
        <v>77</v>
      </c>
      <c r="R249" s="22" t="n">
        <f aca="false">안내!$C$6+INT((D249-1)/안내!$C$7)</f>
        <v>46511</v>
      </c>
      <c r="S249" s="17" t="str">
        <f aca="false">IF(MOD(D249-1,안내!$C$7)=0,안내!$C$8,안내!$C$10)</f>
        <v>18:30</v>
      </c>
      <c r="T249" s="17" t="str">
        <f aca="false">CHOOSE(WEEKDAY(R249,2),"월","화","수","목","금","토","일")</f>
        <v>화</v>
      </c>
      <c r="U249" s="17" t="s">
        <v>78</v>
      </c>
      <c r="V249" s="17" t="s">
        <v>78</v>
      </c>
      <c r="W249" s="23"/>
      <c r="X249" s="23"/>
      <c r="Y249" s="21"/>
    </row>
    <row r="250" customFormat="false" ht="25.35" hidden="false" customHeight="false" outlineLevel="0" collapsed="false">
      <c r="A250" s="16" t="n">
        <v>249</v>
      </c>
      <c r="B250" s="15" t="s">
        <v>876</v>
      </c>
      <c r="C250" s="16" t="s">
        <v>70</v>
      </c>
      <c r="D250" s="16" t="n">
        <v>249</v>
      </c>
      <c r="E250" s="16" t="str">
        <f aca="false">C250&amp;"말씀 #"&amp;TEXT(D250,"000")</f>
        <v>구약말씀 #249</v>
      </c>
      <c r="F250" s="17" t="s">
        <v>859</v>
      </c>
      <c r="G250" s="18" t="s">
        <v>185</v>
      </c>
      <c r="H250" s="19" t="s">
        <v>877</v>
      </c>
      <c r="I250" s="17" t="s">
        <v>857</v>
      </c>
      <c r="J250" s="17" t="s">
        <v>75</v>
      </c>
      <c r="K250" s="20"/>
      <c r="L250" s="17" t="s">
        <v>76</v>
      </c>
      <c r="M250" s="17" t="n">
        <f aca="false">LEN(K250)</f>
        <v>0</v>
      </c>
      <c r="N250" s="17" t="str">
        <f aca="false">IF(M250=0,"-",ROUND(3+M250/안내!$C$12,0))</f>
        <v>-</v>
      </c>
      <c r="O250" s="21" t="str">
        <f aca="false">IF(K250="","(본문 입력 후 자동) | 전 12:13",IF(LEN(K250)&gt;28,LEFT(K250,28)&amp;"…",K250)&amp;" | 전 12:13")</f>
        <v>(본문 입력 후 자동) | 전 12:13</v>
      </c>
      <c r="P250" s="21" t="str">
        <f aca="false">"#"&amp;SUBSTITUTE(안내!$C$5," ","")&amp;" #성경구절 #말씀 #전도서 #경외"</f>
        <v>#오늘의말씀 #성경구절 #말씀 #전도서 #경외</v>
      </c>
      <c r="Q250" s="21" t="s">
        <v>77</v>
      </c>
      <c r="R250" s="22" t="n">
        <f aca="false">안내!$C$6+INT((D250-1)/안내!$C$7)</f>
        <v>46512</v>
      </c>
      <c r="S250" s="17" t="str">
        <f aca="false">IF(MOD(D250-1,안내!$C$7)=0,안내!$C$8,안내!$C$10)</f>
        <v>06:30</v>
      </c>
      <c r="T250" s="17" t="str">
        <f aca="false">CHOOSE(WEEKDAY(R250,2),"월","화","수","목","금","토","일")</f>
        <v>수</v>
      </c>
      <c r="U250" s="17" t="s">
        <v>78</v>
      </c>
      <c r="V250" s="17" t="s">
        <v>78</v>
      </c>
      <c r="W250" s="23"/>
      <c r="X250" s="23"/>
      <c r="Y250" s="21"/>
    </row>
    <row r="251" customFormat="false" ht="15" hidden="false" customHeight="false" outlineLevel="0" collapsed="false">
      <c r="A251" s="16" t="n">
        <v>250</v>
      </c>
      <c r="B251" s="15" t="s">
        <v>878</v>
      </c>
      <c r="C251" s="16" t="s">
        <v>70</v>
      </c>
      <c r="D251" s="16" t="n">
        <v>250</v>
      </c>
      <c r="E251" s="16" t="str">
        <f aca="false">C251&amp;"말씀 #"&amp;TEXT(D251,"000")</f>
        <v>구약말씀 #250</v>
      </c>
      <c r="F251" s="17" t="s">
        <v>879</v>
      </c>
      <c r="G251" s="18" t="s">
        <v>880</v>
      </c>
      <c r="H251" s="19" t="s">
        <v>881</v>
      </c>
      <c r="I251" s="17" t="s">
        <v>239</v>
      </c>
      <c r="J251" s="17" t="s">
        <v>94</v>
      </c>
      <c r="K251" s="20"/>
      <c r="L251" s="17" t="s">
        <v>76</v>
      </c>
      <c r="M251" s="17" t="n">
        <f aca="false">LEN(K251)</f>
        <v>0</v>
      </c>
      <c r="N251" s="17" t="str">
        <f aca="false">IF(M251=0,"-",ROUND(3+M251/안내!$C$12,0))</f>
        <v>-</v>
      </c>
      <c r="O251" s="21" t="str">
        <f aca="false">IF(K251="","(본문 입력 후 자동) | 아 2:4",IF(LEN(K251)&gt;28,LEFT(K251,28)&amp;"…",K251)&amp;" | 아 2:4")</f>
        <v>(본문 입력 후 자동) | 아 2:4</v>
      </c>
      <c r="P251" s="21" t="str">
        <f aca="false">"#"&amp;SUBSTITUTE(안내!$C$5," ","")&amp;" #성경구절 #말씀 #아가 #사랑"</f>
        <v>#오늘의말씀 #성경구절 #말씀 #아가 #사랑</v>
      </c>
      <c r="Q251" s="21" t="s">
        <v>77</v>
      </c>
      <c r="R251" s="22" t="n">
        <f aca="false">안내!$C$6+INT((D251-1)/안내!$C$7)</f>
        <v>46512</v>
      </c>
      <c r="S251" s="17" t="str">
        <f aca="false">IF(MOD(D251-1,안내!$C$7)=0,안내!$C$8,안내!$C$10)</f>
        <v>18:30</v>
      </c>
      <c r="T251" s="17" t="str">
        <f aca="false">CHOOSE(WEEKDAY(R251,2),"월","화","수","목","금","토","일")</f>
        <v>수</v>
      </c>
      <c r="U251" s="17" t="s">
        <v>78</v>
      </c>
      <c r="V251" s="17" t="s">
        <v>78</v>
      </c>
      <c r="W251" s="23"/>
      <c r="X251" s="23"/>
      <c r="Y251" s="21"/>
    </row>
    <row r="252" customFormat="false" ht="15" hidden="false" customHeight="false" outlineLevel="0" collapsed="false">
      <c r="A252" s="16" t="n">
        <v>251</v>
      </c>
      <c r="B252" s="15" t="s">
        <v>882</v>
      </c>
      <c r="C252" s="16" t="s">
        <v>70</v>
      </c>
      <c r="D252" s="16" t="n">
        <v>251</v>
      </c>
      <c r="E252" s="16" t="str">
        <f aca="false">C252&amp;"말씀 #"&amp;TEXT(D252,"000")</f>
        <v>구약말씀 #251</v>
      </c>
      <c r="F252" s="17" t="s">
        <v>879</v>
      </c>
      <c r="G252" s="18" t="s">
        <v>883</v>
      </c>
      <c r="H252" s="19" t="s">
        <v>884</v>
      </c>
      <c r="I252" s="17" t="s">
        <v>239</v>
      </c>
      <c r="J252" s="17" t="s">
        <v>94</v>
      </c>
      <c r="K252" s="20"/>
      <c r="L252" s="17" t="s">
        <v>76</v>
      </c>
      <c r="M252" s="17" t="n">
        <f aca="false">LEN(K252)</f>
        <v>0</v>
      </c>
      <c r="N252" s="17" t="str">
        <f aca="false">IF(M252=0,"-",ROUND(3+M252/안내!$C$12,0))</f>
        <v>-</v>
      </c>
      <c r="O252" s="21" t="str">
        <f aca="false">IF(K252="","(본문 입력 후 자동) | 아 8:6",IF(LEN(K252)&gt;28,LEFT(K252,28)&amp;"…",K252)&amp;" | 아 8:6")</f>
        <v>(본문 입력 후 자동) | 아 8:6</v>
      </c>
      <c r="P252" s="21" t="str">
        <f aca="false">"#"&amp;SUBSTITUTE(안내!$C$5," ","")&amp;" #성경구절 #말씀 #아가 #사랑"</f>
        <v>#오늘의말씀 #성경구절 #말씀 #아가 #사랑</v>
      </c>
      <c r="Q252" s="21" t="s">
        <v>77</v>
      </c>
      <c r="R252" s="22" t="n">
        <f aca="false">안내!$C$6+INT((D252-1)/안내!$C$7)</f>
        <v>46513</v>
      </c>
      <c r="S252" s="17" t="str">
        <f aca="false">IF(MOD(D252-1,안내!$C$7)=0,안내!$C$8,안내!$C$10)</f>
        <v>06:30</v>
      </c>
      <c r="T252" s="17" t="str">
        <f aca="false">CHOOSE(WEEKDAY(R252,2),"월","화","수","목","금","토","일")</f>
        <v>목</v>
      </c>
      <c r="U252" s="17" t="s">
        <v>78</v>
      </c>
      <c r="V252" s="17" t="s">
        <v>78</v>
      </c>
      <c r="W252" s="23"/>
      <c r="X252" s="23"/>
      <c r="Y252" s="21"/>
    </row>
    <row r="253" customFormat="false" ht="15" hidden="false" customHeight="false" outlineLevel="0" collapsed="false">
      <c r="A253" s="16" t="n">
        <v>252</v>
      </c>
      <c r="B253" s="15" t="s">
        <v>885</v>
      </c>
      <c r="C253" s="16" t="s">
        <v>70</v>
      </c>
      <c r="D253" s="16" t="n">
        <v>252</v>
      </c>
      <c r="E253" s="16" t="str">
        <f aca="false">C253&amp;"말씀 #"&amp;TEXT(D253,"000")</f>
        <v>구약말씀 #252</v>
      </c>
      <c r="F253" s="17" t="s">
        <v>879</v>
      </c>
      <c r="G253" s="18" t="s">
        <v>886</v>
      </c>
      <c r="H253" s="19" t="s">
        <v>887</v>
      </c>
      <c r="I253" s="17" t="s">
        <v>239</v>
      </c>
      <c r="J253" s="17" t="s">
        <v>94</v>
      </c>
      <c r="K253" s="20"/>
      <c r="L253" s="17" t="s">
        <v>76</v>
      </c>
      <c r="M253" s="17" t="n">
        <f aca="false">LEN(K253)</f>
        <v>0</v>
      </c>
      <c r="N253" s="17" t="str">
        <f aca="false">IF(M253=0,"-",ROUND(3+M253/안내!$C$12,0))</f>
        <v>-</v>
      </c>
      <c r="O253" s="21" t="str">
        <f aca="false">IF(K253="","(본문 입력 후 자동) | 아 8:7",IF(LEN(K253)&gt;28,LEFT(K253,28)&amp;"…",K253)&amp;" | 아 8:7")</f>
        <v>(본문 입력 후 자동) | 아 8:7</v>
      </c>
      <c r="P253" s="21" t="str">
        <f aca="false">"#"&amp;SUBSTITUTE(안내!$C$5," ","")&amp;" #성경구절 #말씀 #아가 #사랑"</f>
        <v>#오늘의말씀 #성경구절 #말씀 #아가 #사랑</v>
      </c>
      <c r="Q253" s="21" t="s">
        <v>77</v>
      </c>
      <c r="R253" s="22" t="n">
        <f aca="false">안내!$C$6+INT((D253-1)/안내!$C$7)</f>
        <v>46513</v>
      </c>
      <c r="S253" s="17" t="str">
        <f aca="false">IF(MOD(D253-1,안내!$C$7)=0,안내!$C$8,안내!$C$10)</f>
        <v>18:30</v>
      </c>
      <c r="T253" s="17" t="str">
        <f aca="false">CHOOSE(WEEKDAY(R253,2),"월","화","수","목","금","토","일")</f>
        <v>목</v>
      </c>
      <c r="U253" s="17" t="s">
        <v>78</v>
      </c>
      <c r="V253" s="17" t="s">
        <v>78</v>
      </c>
      <c r="W253" s="23"/>
      <c r="X253" s="23"/>
      <c r="Y253" s="21"/>
    </row>
    <row r="254" customFormat="false" ht="15" hidden="false" customHeight="false" outlineLevel="0" collapsed="false">
      <c r="A254" s="16" t="n">
        <v>253</v>
      </c>
      <c r="B254" s="15" t="s">
        <v>888</v>
      </c>
      <c r="C254" s="16" t="s">
        <v>70</v>
      </c>
      <c r="D254" s="16" t="n">
        <v>253</v>
      </c>
      <c r="E254" s="16" t="str">
        <f aca="false">C254&amp;"말씀 #"&amp;TEXT(D254,"000")</f>
        <v>구약말씀 #253</v>
      </c>
      <c r="F254" s="17" t="s">
        <v>889</v>
      </c>
      <c r="G254" s="18" t="s">
        <v>890</v>
      </c>
      <c r="H254" s="19" t="s">
        <v>891</v>
      </c>
      <c r="I254" s="17" t="s">
        <v>694</v>
      </c>
      <c r="J254" s="17" t="s">
        <v>99</v>
      </c>
      <c r="K254" s="20"/>
      <c r="L254" s="17" t="s">
        <v>76</v>
      </c>
      <c r="M254" s="17" t="n">
        <f aca="false">LEN(K254)</f>
        <v>0</v>
      </c>
      <c r="N254" s="17" t="str">
        <f aca="false">IF(M254=0,"-",ROUND(3+M254/안내!$C$12,0))</f>
        <v>-</v>
      </c>
      <c r="O254" s="21" t="str">
        <f aca="false">IF(K254="","(본문 입력 후 자동) | 사 1:18",IF(LEN(K254)&gt;28,LEFT(K254,28)&amp;"…",K254)&amp;" | 사 1:18")</f>
        <v>(본문 입력 후 자동) | 사 1:18</v>
      </c>
      <c r="P254" s="21" t="str">
        <f aca="false">"#"&amp;SUBSTITUTE(안내!$C$5," ","")&amp;" #성경구절 #말씀 #이사야 #용서"</f>
        <v>#오늘의말씀 #성경구절 #말씀 #이사야 #용서</v>
      </c>
      <c r="Q254" s="21" t="s">
        <v>77</v>
      </c>
      <c r="R254" s="22" t="n">
        <f aca="false">안내!$C$6+INT((D254-1)/안내!$C$7)</f>
        <v>46514</v>
      </c>
      <c r="S254" s="17" t="str">
        <f aca="false">IF(MOD(D254-1,안내!$C$7)=0,안내!$C$8,안내!$C$10)</f>
        <v>06:30</v>
      </c>
      <c r="T254" s="17" t="str">
        <f aca="false">CHOOSE(WEEKDAY(R254,2),"월","화","수","목","금","토","일")</f>
        <v>금</v>
      </c>
      <c r="U254" s="17" t="s">
        <v>78</v>
      </c>
      <c r="V254" s="17" t="s">
        <v>78</v>
      </c>
      <c r="W254" s="23"/>
      <c r="X254" s="23"/>
      <c r="Y254" s="21"/>
    </row>
    <row r="255" customFormat="false" ht="15" hidden="false" customHeight="false" outlineLevel="0" collapsed="false">
      <c r="A255" s="16" t="n">
        <v>254</v>
      </c>
      <c r="B255" s="15" t="s">
        <v>892</v>
      </c>
      <c r="C255" s="16" t="s">
        <v>70</v>
      </c>
      <c r="D255" s="16" t="n">
        <v>254</v>
      </c>
      <c r="E255" s="16" t="str">
        <f aca="false">C255&amp;"말씀 #"&amp;TEXT(D255,"000")</f>
        <v>구약말씀 #254</v>
      </c>
      <c r="F255" s="17" t="s">
        <v>889</v>
      </c>
      <c r="G255" s="18" t="s">
        <v>893</v>
      </c>
      <c r="H255" s="19" t="s">
        <v>894</v>
      </c>
      <c r="I255" s="17" t="s">
        <v>172</v>
      </c>
      <c r="J255" s="17" t="s">
        <v>75</v>
      </c>
      <c r="K255" s="20"/>
      <c r="L255" s="17" t="s">
        <v>76</v>
      </c>
      <c r="M255" s="17" t="n">
        <f aca="false">LEN(K255)</f>
        <v>0</v>
      </c>
      <c r="N255" s="17" t="str">
        <f aca="false">IF(M255=0,"-",ROUND(3+M255/안내!$C$12,0))</f>
        <v>-</v>
      </c>
      <c r="O255" s="21" t="str">
        <f aca="false">IF(K255="","(본문 입력 후 자동) | 사 6:3",IF(LEN(K255)&gt;28,LEFT(K255,28)&amp;"…",K255)&amp;" | 사 6:3")</f>
        <v>(본문 입력 후 자동) | 사 6:3</v>
      </c>
      <c r="P255" s="21" t="str">
        <f aca="false">"#"&amp;SUBSTITUTE(안내!$C$5," ","")&amp;" #성경구절 #말씀 #이사야 #거룩"</f>
        <v>#오늘의말씀 #성경구절 #말씀 #이사야 #거룩</v>
      </c>
      <c r="Q255" s="21" t="s">
        <v>77</v>
      </c>
      <c r="R255" s="22" t="n">
        <f aca="false">안내!$C$6+INT((D255-1)/안내!$C$7)</f>
        <v>46514</v>
      </c>
      <c r="S255" s="17" t="str">
        <f aca="false">IF(MOD(D255-1,안내!$C$7)=0,안내!$C$8,안내!$C$10)</f>
        <v>18:30</v>
      </c>
      <c r="T255" s="17" t="str">
        <f aca="false">CHOOSE(WEEKDAY(R255,2),"월","화","수","목","금","토","일")</f>
        <v>금</v>
      </c>
      <c r="U255" s="17" t="s">
        <v>78</v>
      </c>
      <c r="V255" s="17" t="s">
        <v>78</v>
      </c>
      <c r="W255" s="23"/>
      <c r="X255" s="23"/>
      <c r="Y255" s="21"/>
    </row>
    <row r="256" customFormat="false" ht="15" hidden="false" customHeight="false" outlineLevel="0" collapsed="false">
      <c r="A256" s="16" t="n">
        <v>255</v>
      </c>
      <c r="B256" s="15" t="s">
        <v>895</v>
      </c>
      <c r="C256" s="16" t="s">
        <v>70</v>
      </c>
      <c r="D256" s="16" t="n">
        <v>255</v>
      </c>
      <c r="E256" s="16" t="str">
        <f aca="false">C256&amp;"말씀 #"&amp;TEXT(D256,"000")</f>
        <v>구약말씀 #255</v>
      </c>
      <c r="F256" s="17" t="s">
        <v>889</v>
      </c>
      <c r="G256" s="18" t="s">
        <v>107</v>
      </c>
      <c r="H256" s="19" t="s">
        <v>896</v>
      </c>
      <c r="I256" s="17" t="s">
        <v>333</v>
      </c>
      <c r="J256" s="17" t="s">
        <v>122</v>
      </c>
      <c r="K256" s="20"/>
      <c r="L256" s="17" t="s">
        <v>76</v>
      </c>
      <c r="M256" s="17" t="n">
        <f aca="false">LEN(K256)</f>
        <v>0</v>
      </c>
      <c r="N256" s="17" t="str">
        <f aca="false">IF(M256=0,"-",ROUND(3+M256/안내!$C$12,0))</f>
        <v>-</v>
      </c>
      <c r="O256" s="21" t="str">
        <f aca="false">IF(K256="","(본문 입력 후 자동) | 사 6:8",IF(LEN(K256)&gt;28,LEFT(K256,28)&amp;"…",K256)&amp;" | 사 6:8")</f>
        <v>(본문 입력 후 자동) | 사 6:8</v>
      </c>
      <c r="P256" s="21" t="str">
        <f aca="false">"#"&amp;SUBSTITUTE(안내!$C$5," ","")&amp;" #성경구절 #말씀 #이사야 #헌신"</f>
        <v>#오늘의말씀 #성경구절 #말씀 #이사야 #헌신</v>
      </c>
      <c r="Q256" s="21" t="s">
        <v>77</v>
      </c>
      <c r="R256" s="22" t="n">
        <f aca="false">안내!$C$6+INT((D256-1)/안내!$C$7)</f>
        <v>46515</v>
      </c>
      <c r="S256" s="17" t="str">
        <f aca="false">IF(MOD(D256-1,안내!$C$7)=0,안내!$C$8,안내!$C$10)</f>
        <v>06:30</v>
      </c>
      <c r="T256" s="17" t="str">
        <f aca="false">CHOOSE(WEEKDAY(R256,2),"월","화","수","목","금","토","일")</f>
        <v>토</v>
      </c>
      <c r="U256" s="17" t="s">
        <v>78</v>
      </c>
      <c r="V256" s="17" t="s">
        <v>78</v>
      </c>
      <c r="W256" s="23"/>
      <c r="X256" s="23"/>
      <c r="Y256" s="21"/>
    </row>
    <row r="257" customFormat="false" ht="39.55" hidden="false" customHeight="false" outlineLevel="0" collapsed="false">
      <c r="A257" s="16" t="n">
        <v>256</v>
      </c>
      <c r="B257" s="15" t="s">
        <v>897</v>
      </c>
      <c r="C257" s="16" t="s">
        <v>70</v>
      </c>
      <c r="D257" s="16" t="n">
        <v>256</v>
      </c>
      <c r="E257" s="16" t="str">
        <f aca="false">C257&amp;"말씀 #"&amp;TEXT(D257,"000")</f>
        <v>구약말씀 #256</v>
      </c>
      <c r="F257" s="17" t="s">
        <v>889</v>
      </c>
      <c r="G257" s="18" t="s">
        <v>452</v>
      </c>
      <c r="H257" s="19" t="s">
        <v>898</v>
      </c>
      <c r="I257" s="17" t="s">
        <v>103</v>
      </c>
      <c r="J257" s="17" t="s">
        <v>104</v>
      </c>
      <c r="K257" s="20"/>
      <c r="L257" s="17" t="s">
        <v>76</v>
      </c>
      <c r="M257" s="17" t="n">
        <f aca="false">LEN(K257)</f>
        <v>0</v>
      </c>
      <c r="N257" s="17" t="str">
        <f aca="false">IF(M257=0,"-",ROUND(3+M257/안내!$C$12,0))</f>
        <v>-</v>
      </c>
      <c r="O257" s="21" t="str">
        <f aca="false">IF(K257="","(본문 입력 후 자동) | 사 7:14",IF(LEN(K257)&gt;28,LEFT(K257,28)&amp;"…",K257)&amp;" | 사 7:14")</f>
        <v>(본문 입력 후 자동) | 사 7:14</v>
      </c>
      <c r="P257" s="21" t="str">
        <f aca="false">"#"&amp;SUBSTITUTE(안내!$C$5," ","")&amp;" #성경구절 #말씀 #이사야 #구원"</f>
        <v>#오늘의말씀 #성경구절 #말씀 #이사야 #구원</v>
      </c>
      <c r="Q257" s="24" t="s">
        <v>899</v>
      </c>
      <c r="R257" s="22" t="n">
        <f aca="false">안내!$C$6+INT((D257-1)/안내!$C$7)</f>
        <v>46515</v>
      </c>
      <c r="S257" s="17" t="str">
        <f aca="false">IF(MOD(D257-1,안내!$C$7)=0,안내!$C$8,안내!$C$10)</f>
        <v>18:30</v>
      </c>
      <c r="T257" s="17" t="str">
        <f aca="false">CHOOSE(WEEKDAY(R257,2),"월","화","수","목","금","토","일")</f>
        <v>토</v>
      </c>
      <c r="U257" s="17" t="s">
        <v>78</v>
      </c>
      <c r="V257" s="17" t="s">
        <v>78</v>
      </c>
      <c r="W257" s="23"/>
      <c r="X257" s="23"/>
      <c r="Y257" s="21"/>
    </row>
    <row r="258" customFormat="false" ht="15" hidden="false" customHeight="false" outlineLevel="0" collapsed="false">
      <c r="A258" s="16" t="n">
        <v>257</v>
      </c>
      <c r="B258" s="15" t="s">
        <v>900</v>
      </c>
      <c r="C258" s="16" t="s">
        <v>70</v>
      </c>
      <c r="D258" s="16" t="n">
        <v>257</v>
      </c>
      <c r="E258" s="16" t="str">
        <f aca="false">C258&amp;"말씀 #"&amp;TEXT(D258,"000")</f>
        <v>구약말씀 #257</v>
      </c>
      <c r="F258" s="17" t="s">
        <v>889</v>
      </c>
      <c r="G258" s="18" t="s">
        <v>485</v>
      </c>
      <c r="H258" s="19" t="s">
        <v>901</v>
      </c>
      <c r="I258" s="17" t="s">
        <v>103</v>
      </c>
      <c r="J258" s="17" t="s">
        <v>104</v>
      </c>
      <c r="K258" s="20"/>
      <c r="L258" s="17" t="s">
        <v>76</v>
      </c>
      <c r="M258" s="17" t="n">
        <f aca="false">LEN(K258)</f>
        <v>0</v>
      </c>
      <c r="N258" s="17" t="str">
        <f aca="false">IF(M258=0,"-",ROUND(3+M258/안내!$C$12,0))</f>
        <v>-</v>
      </c>
      <c r="O258" s="21" t="str">
        <f aca="false">IF(K258="","(본문 입력 후 자동) | 사 9:6",IF(LEN(K258)&gt;28,LEFT(K258,28)&amp;"…",K258)&amp;" | 사 9:6")</f>
        <v>(본문 입력 후 자동) | 사 9:6</v>
      </c>
      <c r="P258" s="21" t="str">
        <f aca="false">"#"&amp;SUBSTITUTE(안내!$C$5," ","")&amp;" #성경구절 #말씀 #이사야 #구원"</f>
        <v>#오늘의말씀 #성경구절 #말씀 #이사야 #구원</v>
      </c>
      <c r="Q258" s="21" t="s">
        <v>77</v>
      </c>
      <c r="R258" s="22" t="n">
        <f aca="false">안내!$C$6+INT((D258-1)/안내!$C$7)</f>
        <v>46516</v>
      </c>
      <c r="S258" s="17" t="str">
        <f aca="false">IF(MOD(D258-1,안내!$C$7)=0,안내!$C$8,안내!$C$10)</f>
        <v>06:30</v>
      </c>
      <c r="T258" s="17" t="str">
        <f aca="false">CHOOSE(WEEKDAY(R258,2),"월","화","수","목","금","토","일")</f>
        <v>일</v>
      </c>
      <c r="U258" s="17" t="s">
        <v>78</v>
      </c>
      <c r="V258" s="17" t="s">
        <v>78</v>
      </c>
      <c r="W258" s="23"/>
      <c r="X258" s="23"/>
      <c r="Y258" s="21"/>
    </row>
    <row r="259" customFormat="false" ht="15" hidden="false" customHeight="false" outlineLevel="0" collapsed="false">
      <c r="A259" s="16" t="n">
        <v>258</v>
      </c>
      <c r="B259" s="15" t="s">
        <v>902</v>
      </c>
      <c r="C259" s="16" t="s">
        <v>70</v>
      </c>
      <c r="D259" s="16" t="n">
        <v>258</v>
      </c>
      <c r="E259" s="16" t="str">
        <f aca="false">C259&amp;"말씀 #"&amp;TEXT(D259,"000")</f>
        <v>구약말씀 #258</v>
      </c>
      <c r="F259" s="17" t="s">
        <v>889</v>
      </c>
      <c r="G259" s="18" t="s">
        <v>124</v>
      </c>
      <c r="H259" s="19" t="s">
        <v>903</v>
      </c>
      <c r="I259" s="17" t="s">
        <v>103</v>
      </c>
      <c r="J259" s="17" t="s">
        <v>104</v>
      </c>
      <c r="K259" s="20"/>
      <c r="L259" s="17" t="s">
        <v>76</v>
      </c>
      <c r="M259" s="17" t="n">
        <f aca="false">LEN(K259)</f>
        <v>0</v>
      </c>
      <c r="N259" s="17" t="str">
        <f aca="false">IF(M259=0,"-",ROUND(3+M259/안내!$C$12,0))</f>
        <v>-</v>
      </c>
      <c r="O259" s="21" t="str">
        <f aca="false">IF(K259="","(본문 입력 후 자동) | 사 12:2",IF(LEN(K259)&gt;28,LEFT(K259,28)&amp;"…",K259)&amp;" | 사 12:2")</f>
        <v>(본문 입력 후 자동) | 사 12:2</v>
      </c>
      <c r="P259" s="21" t="str">
        <f aca="false">"#"&amp;SUBSTITUTE(안내!$C$5," ","")&amp;" #성경구절 #말씀 #이사야 #구원"</f>
        <v>#오늘의말씀 #성경구절 #말씀 #이사야 #구원</v>
      </c>
      <c r="Q259" s="21" t="s">
        <v>77</v>
      </c>
      <c r="R259" s="22" t="n">
        <f aca="false">안내!$C$6+INT((D259-1)/안내!$C$7)</f>
        <v>46516</v>
      </c>
      <c r="S259" s="17" t="str">
        <f aca="false">IF(MOD(D259-1,안내!$C$7)=0,안내!$C$8,안내!$C$10)</f>
        <v>18:30</v>
      </c>
      <c r="T259" s="17" t="str">
        <f aca="false">CHOOSE(WEEKDAY(R259,2),"월","화","수","목","금","토","일")</f>
        <v>일</v>
      </c>
      <c r="U259" s="17" t="s">
        <v>78</v>
      </c>
      <c r="V259" s="17" t="s">
        <v>78</v>
      </c>
      <c r="W259" s="23"/>
      <c r="X259" s="23"/>
      <c r="Y259" s="21"/>
    </row>
    <row r="260" customFormat="false" ht="15" hidden="false" customHeight="false" outlineLevel="0" collapsed="false">
      <c r="A260" s="16" t="n">
        <v>259</v>
      </c>
      <c r="B260" s="15" t="s">
        <v>904</v>
      </c>
      <c r="C260" s="16" t="s">
        <v>70</v>
      </c>
      <c r="D260" s="16" t="n">
        <v>259</v>
      </c>
      <c r="E260" s="16" t="str">
        <f aca="false">C260&amp;"말씀 #"&amp;TEXT(D260,"000")</f>
        <v>구약말씀 #259</v>
      </c>
      <c r="F260" s="17" t="s">
        <v>889</v>
      </c>
      <c r="G260" s="18" t="s">
        <v>905</v>
      </c>
      <c r="H260" s="19" t="s">
        <v>906</v>
      </c>
      <c r="I260" s="17" t="s">
        <v>511</v>
      </c>
      <c r="J260" s="17" t="s">
        <v>89</v>
      </c>
      <c r="K260" s="20"/>
      <c r="L260" s="17" t="s">
        <v>76</v>
      </c>
      <c r="M260" s="17" t="n">
        <f aca="false">LEN(K260)</f>
        <v>0</v>
      </c>
      <c r="N260" s="17" t="str">
        <f aca="false">IF(M260=0,"-",ROUND(3+M260/안내!$C$12,0))</f>
        <v>-</v>
      </c>
      <c r="O260" s="21" t="str">
        <f aca="false">IF(K260="","(본문 입력 후 자동) | 사 25:8",IF(LEN(K260)&gt;28,LEFT(K260,28)&amp;"…",K260)&amp;" | 사 25:8")</f>
        <v>(본문 입력 후 자동) | 사 25:8</v>
      </c>
      <c r="P260" s="21" t="str">
        <f aca="false">"#"&amp;SUBSTITUTE(안내!$C$5," ","")&amp;" #성경구절 #말씀 #이사야 #소망"</f>
        <v>#오늘의말씀 #성경구절 #말씀 #이사야 #소망</v>
      </c>
      <c r="Q260" s="21" t="s">
        <v>77</v>
      </c>
      <c r="R260" s="22" t="n">
        <f aca="false">안내!$C$6+INT((D260-1)/안내!$C$7)</f>
        <v>46517</v>
      </c>
      <c r="S260" s="17" t="str">
        <f aca="false">IF(MOD(D260-1,안내!$C$7)=0,안내!$C$8,안내!$C$10)</f>
        <v>06:30</v>
      </c>
      <c r="T260" s="17" t="str">
        <f aca="false">CHOOSE(WEEKDAY(R260,2),"월","화","수","목","금","토","일")</f>
        <v>월</v>
      </c>
      <c r="U260" s="17" t="s">
        <v>78</v>
      </c>
      <c r="V260" s="17" t="s">
        <v>78</v>
      </c>
      <c r="W260" s="23"/>
      <c r="X260" s="23"/>
      <c r="Y260" s="21"/>
    </row>
    <row r="261" customFormat="false" ht="15" hidden="false" customHeight="false" outlineLevel="0" collapsed="false">
      <c r="A261" s="16" t="n">
        <v>260</v>
      </c>
      <c r="B261" s="15" t="s">
        <v>907</v>
      </c>
      <c r="C261" s="16" t="s">
        <v>70</v>
      </c>
      <c r="D261" s="16" t="n">
        <v>260</v>
      </c>
      <c r="E261" s="16" t="str">
        <f aca="false">C261&amp;"말씀 #"&amp;TEXT(D261,"000")</f>
        <v>구약말씀 #260</v>
      </c>
      <c r="F261" s="17" t="s">
        <v>889</v>
      </c>
      <c r="G261" s="18" t="s">
        <v>908</v>
      </c>
      <c r="H261" s="19" t="s">
        <v>909</v>
      </c>
      <c r="I261" s="17" t="s">
        <v>221</v>
      </c>
      <c r="J261" s="17" t="s">
        <v>99</v>
      </c>
      <c r="K261" s="20"/>
      <c r="L261" s="17" t="s">
        <v>76</v>
      </c>
      <c r="M261" s="17" t="n">
        <f aca="false">LEN(K261)</f>
        <v>0</v>
      </c>
      <c r="N261" s="17" t="str">
        <f aca="false">IF(M261=0,"-",ROUND(3+M261/안내!$C$12,0))</f>
        <v>-</v>
      </c>
      <c r="O261" s="21" t="str">
        <f aca="false">IF(K261="","(본문 입력 후 자동) | 사 26:3",IF(LEN(K261)&gt;28,LEFT(K261,28)&amp;"…",K261)&amp;" | 사 26:3")</f>
        <v>(본문 입력 후 자동) | 사 26:3</v>
      </c>
      <c r="P261" s="21" t="str">
        <f aca="false">"#"&amp;SUBSTITUTE(안내!$C$5," ","")&amp;" #성경구절 #말씀 #이사야 #평안"</f>
        <v>#오늘의말씀 #성경구절 #말씀 #이사야 #평안</v>
      </c>
      <c r="Q261" s="21" t="s">
        <v>77</v>
      </c>
      <c r="R261" s="22" t="n">
        <f aca="false">안내!$C$6+INT((D261-1)/안내!$C$7)</f>
        <v>46517</v>
      </c>
      <c r="S261" s="17" t="str">
        <f aca="false">IF(MOD(D261-1,안내!$C$7)=0,안내!$C$8,안내!$C$10)</f>
        <v>18:30</v>
      </c>
      <c r="T261" s="17" t="str">
        <f aca="false">CHOOSE(WEEKDAY(R261,2),"월","화","수","목","금","토","일")</f>
        <v>월</v>
      </c>
      <c r="U261" s="17" t="s">
        <v>78</v>
      </c>
      <c r="V261" s="17" t="s">
        <v>78</v>
      </c>
      <c r="W261" s="23"/>
      <c r="X261" s="23"/>
      <c r="Y261" s="21"/>
    </row>
    <row r="262" customFormat="false" ht="15" hidden="false" customHeight="false" outlineLevel="0" collapsed="false">
      <c r="A262" s="16" t="n">
        <v>261</v>
      </c>
      <c r="B262" s="15" t="s">
        <v>910</v>
      </c>
      <c r="C262" s="16" t="s">
        <v>70</v>
      </c>
      <c r="D262" s="16" t="n">
        <v>261</v>
      </c>
      <c r="E262" s="16" t="str">
        <f aca="false">C262&amp;"말씀 #"&amp;TEXT(D262,"000")</f>
        <v>구약말씀 #261</v>
      </c>
      <c r="F262" s="17" t="s">
        <v>889</v>
      </c>
      <c r="G262" s="18" t="s">
        <v>911</v>
      </c>
      <c r="H262" s="19" t="s">
        <v>912</v>
      </c>
      <c r="I262" s="17" t="s">
        <v>497</v>
      </c>
      <c r="J262" s="17" t="s">
        <v>113</v>
      </c>
      <c r="K262" s="20"/>
      <c r="L262" s="17" t="s">
        <v>76</v>
      </c>
      <c r="M262" s="17" t="n">
        <f aca="false">LEN(K262)</f>
        <v>0</v>
      </c>
      <c r="N262" s="17" t="str">
        <f aca="false">IF(M262=0,"-",ROUND(3+M262/안내!$C$12,0))</f>
        <v>-</v>
      </c>
      <c r="O262" s="21" t="str">
        <f aca="false">IF(K262="","(본문 입력 후 자동) | 사 26:4",IF(LEN(K262)&gt;28,LEFT(K262,28)&amp;"…",K262)&amp;" | 사 26:4")</f>
        <v>(본문 입력 후 자동) | 사 26:4</v>
      </c>
      <c r="P262" s="21" t="str">
        <f aca="false">"#"&amp;SUBSTITUTE(안내!$C$5," ","")&amp;" #성경구절 #말씀 #이사야 #신뢰"</f>
        <v>#오늘의말씀 #성경구절 #말씀 #이사야 #신뢰</v>
      </c>
      <c r="Q262" s="21" t="s">
        <v>77</v>
      </c>
      <c r="R262" s="22" t="n">
        <f aca="false">안내!$C$6+INT((D262-1)/안내!$C$7)</f>
        <v>46518</v>
      </c>
      <c r="S262" s="17" t="str">
        <f aca="false">IF(MOD(D262-1,안내!$C$7)=0,안내!$C$8,안내!$C$10)</f>
        <v>06:30</v>
      </c>
      <c r="T262" s="17" t="str">
        <f aca="false">CHOOSE(WEEKDAY(R262,2),"월","화","수","목","금","토","일")</f>
        <v>화</v>
      </c>
      <c r="U262" s="17" t="s">
        <v>78</v>
      </c>
      <c r="V262" s="17" t="s">
        <v>78</v>
      </c>
      <c r="W262" s="23"/>
      <c r="X262" s="23"/>
      <c r="Y262" s="21"/>
    </row>
    <row r="263" customFormat="false" ht="25.35" hidden="false" customHeight="false" outlineLevel="0" collapsed="false">
      <c r="A263" s="16" t="n">
        <v>262</v>
      </c>
      <c r="B263" s="15" t="s">
        <v>913</v>
      </c>
      <c r="C263" s="16" t="s">
        <v>70</v>
      </c>
      <c r="D263" s="16" t="n">
        <v>262</v>
      </c>
      <c r="E263" s="16" t="str">
        <f aca="false">C263&amp;"말씀 #"&amp;TEXT(D263,"000")</f>
        <v>구약말씀 #262</v>
      </c>
      <c r="F263" s="17" t="s">
        <v>889</v>
      </c>
      <c r="G263" s="18" t="s">
        <v>914</v>
      </c>
      <c r="H263" s="19" t="s">
        <v>915</v>
      </c>
      <c r="I263" s="17" t="s">
        <v>497</v>
      </c>
      <c r="J263" s="17" t="s">
        <v>113</v>
      </c>
      <c r="K263" s="20"/>
      <c r="L263" s="17" t="s">
        <v>76</v>
      </c>
      <c r="M263" s="17" t="n">
        <f aca="false">LEN(K263)</f>
        <v>0</v>
      </c>
      <c r="N263" s="17" t="str">
        <f aca="false">IF(M263=0,"-",ROUND(3+M263/안내!$C$12,0))</f>
        <v>-</v>
      </c>
      <c r="O263" s="21" t="str">
        <f aca="false">IF(K263="","(본문 입력 후 자동) | 사 30:15",IF(LEN(K263)&gt;28,LEFT(K263,28)&amp;"…",K263)&amp;" | 사 30:15")</f>
        <v>(본문 입력 후 자동) | 사 30:15</v>
      </c>
      <c r="P263" s="21" t="str">
        <f aca="false">"#"&amp;SUBSTITUTE(안내!$C$5," ","")&amp;" #성경구절 #말씀 #이사야 #신뢰"</f>
        <v>#오늘의말씀 #성경구절 #말씀 #이사야 #신뢰</v>
      </c>
      <c r="Q263" s="21" t="s">
        <v>77</v>
      </c>
      <c r="R263" s="22" t="n">
        <f aca="false">안내!$C$6+INT((D263-1)/안내!$C$7)</f>
        <v>46518</v>
      </c>
      <c r="S263" s="17" t="str">
        <f aca="false">IF(MOD(D263-1,안내!$C$7)=0,안내!$C$8,안내!$C$10)</f>
        <v>18:30</v>
      </c>
      <c r="T263" s="17" t="str">
        <f aca="false">CHOOSE(WEEKDAY(R263,2),"월","화","수","목","금","토","일")</f>
        <v>화</v>
      </c>
      <c r="U263" s="17" t="s">
        <v>78</v>
      </c>
      <c r="V263" s="17" t="s">
        <v>78</v>
      </c>
      <c r="W263" s="23"/>
      <c r="X263" s="23"/>
      <c r="Y263" s="21"/>
    </row>
    <row r="264" customFormat="false" ht="25.35" hidden="false" customHeight="false" outlineLevel="0" collapsed="false">
      <c r="A264" s="16" t="n">
        <v>263</v>
      </c>
      <c r="B264" s="15" t="s">
        <v>916</v>
      </c>
      <c r="C264" s="16" t="s">
        <v>70</v>
      </c>
      <c r="D264" s="16" t="n">
        <v>263</v>
      </c>
      <c r="E264" s="16" t="str">
        <f aca="false">C264&amp;"말씀 #"&amp;TEXT(D264,"000")</f>
        <v>구약말씀 #263</v>
      </c>
      <c r="F264" s="17" t="s">
        <v>889</v>
      </c>
      <c r="G264" s="18" t="s">
        <v>917</v>
      </c>
      <c r="H264" s="19" t="s">
        <v>918</v>
      </c>
      <c r="I264" s="17" t="s">
        <v>180</v>
      </c>
      <c r="J264" s="17" t="s">
        <v>122</v>
      </c>
      <c r="K264" s="20"/>
      <c r="L264" s="17" t="s">
        <v>76</v>
      </c>
      <c r="M264" s="17" t="n">
        <f aca="false">LEN(K264)</f>
        <v>0</v>
      </c>
      <c r="N264" s="17" t="str">
        <f aca="false">IF(M264=0,"-",ROUND(3+M264/안내!$C$12,0))</f>
        <v>-</v>
      </c>
      <c r="O264" s="21" t="str">
        <f aca="false">IF(K264="","(본문 입력 후 자동) | 사 30:21",IF(LEN(K264)&gt;28,LEFT(K264,28)&amp;"…",K264)&amp;" | 사 30:21")</f>
        <v>(본문 입력 후 자동) | 사 30:21</v>
      </c>
      <c r="P264" s="21" t="str">
        <f aca="false">"#"&amp;SUBSTITUTE(안내!$C$5," ","")&amp;" #성경구절 #말씀 #이사야 #인도"</f>
        <v>#오늘의말씀 #성경구절 #말씀 #이사야 #인도</v>
      </c>
      <c r="Q264" s="21" t="s">
        <v>77</v>
      </c>
      <c r="R264" s="22" t="n">
        <f aca="false">안내!$C$6+INT((D264-1)/안내!$C$7)</f>
        <v>46519</v>
      </c>
      <c r="S264" s="17" t="str">
        <f aca="false">IF(MOD(D264-1,안내!$C$7)=0,안내!$C$8,안내!$C$10)</f>
        <v>06:30</v>
      </c>
      <c r="T264" s="17" t="str">
        <f aca="false">CHOOSE(WEEKDAY(R264,2),"월","화","수","목","금","토","일")</f>
        <v>수</v>
      </c>
      <c r="U264" s="17" t="s">
        <v>78</v>
      </c>
      <c r="V264" s="17" t="s">
        <v>78</v>
      </c>
      <c r="W264" s="23"/>
      <c r="X264" s="23"/>
      <c r="Y264" s="21"/>
    </row>
    <row r="265" customFormat="false" ht="15" hidden="false" customHeight="false" outlineLevel="0" collapsed="false">
      <c r="A265" s="16" t="n">
        <v>264</v>
      </c>
      <c r="B265" s="15" t="s">
        <v>919</v>
      </c>
      <c r="C265" s="16" t="s">
        <v>70</v>
      </c>
      <c r="D265" s="16" t="n">
        <v>264</v>
      </c>
      <c r="E265" s="16" t="str">
        <f aca="false">C265&amp;"말씀 #"&amp;TEXT(D265,"000")</f>
        <v>구약말씀 #264</v>
      </c>
      <c r="F265" s="17" t="s">
        <v>889</v>
      </c>
      <c r="G265" s="18" t="s">
        <v>920</v>
      </c>
      <c r="H265" s="19" t="s">
        <v>921</v>
      </c>
      <c r="I265" s="17" t="s">
        <v>305</v>
      </c>
      <c r="J265" s="17" t="s">
        <v>113</v>
      </c>
      <c r="K265" s="20"/>
      <c r="L265" s="17" t="s">
        <v>76</v>
      </c>
      <c r="M265" s="17" t="n">
        <f aca="false">LEN(K265)</f>
        <v>0</v>
      </c>
      <c r="N265" s="17" t="str">
        <f aca="false">IF(M265=0,"-",ROUND(3+M265/안내!$C$12,0))</f>
        <v>-</v>
      </c>
      <c r="O265" s="21" t="str">
        <f aca="false">IF(K265="","(본문 입력 후 자동) | 사 35:4",IF(LEN(K265)&gt;28,LEFT(K265,28)&amp;"…",K265)&amp;" | 사 35:4")</f>
        <v>(본문 입력 후 자동) | 사 35:4</v>
      </c>
      <c r="P265" s="21" t="str">
        <f aca="false">"#"&amp;SUBSTITUTE(안내!$C$5," ","")&amp;" #성경구절 #말씀 #이사야 #담대함"</f>
        <v>#오늘의말씀 #성경구절 #말씀 #이사야 #담대함</v>
      </c>
      <c r="Q265" s="21" t="s">
        <v>77</v>
      </c>
      <c r="R265" s="22" t="n">
        <f aca="false">안내!$C$6+INT((D265-1)/안내!$C$7)</f>
        <v>46519</v>
      </c>
      <c r="S265" s="17" t="str">
        <f aca="false">IF(MOD(D265-1,안내!$C$7)=0,안내!$C$8,안내!$C$10)</f>
        <v>18:30</v>
      </c>
      <c r="T265" s="17" t="str">
        <f aca="false">CHOOSE(WEEKDAY(R265,2),"월","화","수","목","금","토","일")</f>
        <v>수</v>
      </c>
      <c r="U265" s="17" t="s">
        <v>78</v>
      </c>
      <c r="V265" s="17" t="s">
        <v>78</v>
      </c>
      <c r="W265" s="23"/>
      <c r="X265" s="23"/>
      <c r="Y265" s="21"/>
    </row>
    <row r="266" customFormat="false" ht="15" hidden="false" customHeight="false" outlineLevel="0" collapsed="false">
      <c r="A266" s="16" t="n">
        <v>265</v>
      </c>
      <c r="B266" s="15" t="s">
        <v>922</v>
      </c>
      <c r="C266" s="16" t="s">
        <v>70</v>
      </c>
      <c r="D266" s="16" t="n">
        <v>265</v>
      </c>
      <c r="E266" s="16" t="str">
        <f aca="false">C266&amp;"말씀 #"&amp;TEXT(D266,"000")</f>
        <v>구약말씀 #265</v>
      </c>
      <c r="F266" s="17" t="s">
        <v>889</v>
      </c>
      <c r="G266" s="18" t="s">
        <v>923</v>
      </c>
      <c r="H266" s="19" t="s">
        <v>924</v>
      </c>
      <c r="I266" s="17" t="s">
        <v>284</v>
      </c>
      <c r="J266" s="17" t="s">
        <v>148</v>
      </c>
      <c r="K266" s="20"/>
      <c r="L266" s="17" t="s">
        <v>76</v>
      </c>
      <c r="M266" s="17" t="n">
        <f aca="false">LEN(K266)</f>
        <v>0</v>
      </c>
      <c r="N266" s="17" t="str">
        <f aca="false">IF(M266=0,"-",ROUND(3+M266/안내!$C$12,0))</f>
        <v>-</v>
      </c>
      <c r="O266" s="21" t="str">
        <f aca="false">IF(K266="","(본문 입력 후 자동) | 사 40:8",IF(LEN(K266)&gt;28,LEFT(K266,28)&amp;"…",K266)&amp;" | 사 40:8")</f>
        <v>(본문 입력 후 자동) | 사 40:8</v>
      </c>
      <c r="P266" s="21" t="str">
        <f aca="false">"#"&amp;SUBSTITUTE(안내!$C$5," ","")&amp;" #성경구절 #말씀 #이사야 #말씀"</f>
        <v>#오늘의말씀 #성경구절 #말씀 #이사야 #말씀</v>
      </c>
      <c r="Q266" s="21" t="s">
        <v>77</v>
      </c>
      <c r="R266" s="22" t="n">
        <f aca="false">안내!$C$6+INT((D266-1)/안내!$C$7)</f>
        <v>46520</v>
      </c>
      <c r="S266" s="17" t="str">
        <f aca="false">IF(MOD(D266-1,안내!$C$7)=0,안내!$C$8,안내!$C$10)</f>
        <v>06:30</v>
      </c>
      <c r="T266" s="17" t="str">
        <f aca="false">CHOOSE(WEEKDAY(R266,2),"월","화","수","목","금","토","일")</f>
        <v>목</v>
      </c>
      <c r="U266" s="17" t="s">
        <v>78</v>
      </c>
      <c r="V266" s="17" t="s">
        <v>78</v>
      </c>
      <c r="W266" s="23"/>
      <c r="X266" s="23"/>
      <c r="Y266" s="21"/>
    </row>
    <row r="267" customFormat="false" ht="25.35" hidden="false" customHeight="false" outlineLevel="0" collapsed="false">
      <c r="A267" s="16" t="n">
        <v>266</v>
      </c>
      <c r="B267" s="15" t="s">
        <v>925</v>
      </c>
      <c r="C267" s="16" t="s">
        <v>70</v>
      </c>
      <c r="D267" s="16" t="n">
        <v>266</v>
      </c>
      <c r="E267" s="16" t="str">
        <f aca="false">C267&amp;"말씀 #"&amp;TEXT(D267,"000")</f>
        <v>구약말씀 #266</v>
      </c>
      <c r="F267" s="17" t="s">
        <v>889</v>
      </c>
      <c r="G267" s="18" t="s">
        <v>926</v>
      </c>
      <c r="H267" s="19" t="s">
        <v>927</v>
      </c>
      <c r="I267" s="17" t="s">
        <v>129</v>
      </c>
      <c r="J267" s="17" t="s">
        <v>99</v>
      </c>
      <c r="K267" s="20"/>
      <c r="L267" s="17" t="s">
        <v>76</v>
      </c>
      <c r="M267" s="17" t="n">
        <f aca="false">LEN(K267)</f>
        <v>0</v>
      </c>
      <c r="N267" s="17" t="str">
        <f aca="false">IF(M267=0,"-",ROUND(3+M267/안내!$C$12,0))</f>
        <v>-</v>
      </c>
      <c r="O267" s="21" t="str">
        <f aca="false">IF(K267="","(본문 입력 후 자동) | 사 40:11",IF(LEN(K267)&gt;28,LEFT(K267,28)&amp;"…",K267)&amp;" | 사 40:11")</f>
        <v>(본문 입력 후 자동) | 사 40:11</v>
      </c>
      <c r="P267" s="21" t="str">
        <f aca="false">"#"&amp;SUBSTITUTE(안내!$C$5," ","")&amp;" #성경구절 #말씀 #이사야 #위로"</f>
        <v>#오늘의말씀 #성경구절 #말씀 #이사야 #위로</v>
      </c>
      <c r="Q267" s="21" t="s">
        <v>77</v>
      </c>
      <c r="R267" s="22" t="n">
        <f aca="false">안내!$C$6+INT((D267-1)/안내!$C$7)</f>
        <v>46520</v>
      </c>
      <c r="S267" s="17" t="str">
        <f aca="false">IF(MOD(D267-1,안내!$C$7)=0,안내!$C$8,안내!$C$10)</f>
        <v>18:30</v>
      </c>
      <c r="T267" s="17" t="str">
        <f aca="false">CHOOSE(WEEKDAY(R267,2),"월","화","수","목","금","토","일")</f>
        <v>목</v>
      </c>
      <c r="U267" s="17" t="s">
        <v>78</v>
      </c>
      <c r="V267" s="17" t="s">
        <v>78</v>
      </c>
      <c r="W267" s="23"/>
      <c r="X267" s="23"/>
      <c r="Y267" s="21"/>
    </row>
    <row r="268" customFormat="false" ht="25.35" hidden="false" customHeight="false" outlineLevel="0" collapsed="false">
      <c r="A268" s="16" t="n">
        <v>267</v>
      </c>
      <c r="B268" s="15" t="s">
        <v>928</v>
      </c>
      <c r="C268" s="16" t="s">
        <v>70</v>
      </c>
      <c r="D268" s="16" t="n">
        <v>267</v>
      </c>
      <c r="E268" s="16" t="str">
        <f aca="false">C268&amp;"말씀 #"&amp;TEXT(D268,"000")</f>
        <v>구약말씀 #267</v>
      </c>
      <c r="F268" s="17" t="s">
        <v>889</v>
      </c>
      <c r="G268" s="18" t="s">
        <v>929</v>
      </c>
      <c r="H268" s="19" t="s">
        <v>930</v>
      </c>
      <c r="I268" s="17" t="s">
        <v>140</v>
      </c>
      <c r="J268" s="17" t="s">
        <v>113</v>
      </c>
      <c r="K268" s="20"/>
      <c r="L268" s="17" t="s">
        <v>76</v>
      </c>
      <c r="M268" s="17" t="n">
        <f aca="false">LEN(K268)</f>
        <v>0</v>
      </c>
      <c r="N268" s="17" t="str">
        <f aca="false">IF(M268=0,"-",ROUND(3+M268/안내!$C$12,0))</f>
        <v>-</v>
      </c>
      <c r="O268" s="21" t="str">
        <f aca="false">IF(K268="","(본문 입력 후 자동) | 사 40:29",IF(LEN(K268)&gt;28,LEFT(K268,28)&amp;"…",K268)&amp;" | 사 40:29")</f>
        <v>(본문 입력 후 자동) | 사 40:29</v>
      </c>
      <c r="P268" s="21" t="str">
        <f aca="false">"#"&amp;SUBSTITUTE(안내!$C$5," ","")&amp;" #성경구절 #말씀 #이사야 #능력"</f>
        <v>#오늘의말씀 #성경구절 #말씀 #이사야 #능력</v>
      </c>
      <c r="Q268" s="21" t="s">
        <v>77</v>
      </c>
      <c r="R268" s="22" t="n">
        <f aca="false">안내!$C$6+INT((D268-1)/안내!$C$7)</f>
        <v>46521</v>
      </c>
      <c r="S268" s="17" t="str">
        <f aca="false">IF(MOD(D268-1,안내!$C$7)=0,안내!$C$8,안내!$C$10)</f>
        <v>06:30</v>
      </c>
      <c r="T268" s="17" t="str">
        <f aca="false">CHOOSE(WEEKDAY(R268,2),"월","화","수","목","금","토","일")</f>
        <v>금</v>
      </c>
      <c r="U268" s="17" t="s">
        <v>78</v>
      </c>
      <c r="V268" s="17" t="s">
        <v>78</v>
      </c>
      <c r="W268" s="23"/>
      <c r="X268" s="23"/>
      <c r="Y268" s="21"/>
    </row>
    <row r="269" customFormat="false" ht="25.35" hidden="false" customHeight="false" outlineLevel="0" collapsed="false">
      <c r="A269" s="16" t="n">
        <v>268</v>
      </c>
      <c r="B269" s="15" t="s">
        <v>931</v>
      </c>
      <c r="C269" s="16" t="s">
        <v>70</v>
      </c>
      <c r="D269" s="16" t="n">
        <v>268</v>
      </c>
      <c r="E269" s="16" t="str">
        <f aca="false">C269&amp;"말씀 #"&amp;TEXT(D269,"000")</f>
        <v>구약말씀 #268</v>
      </c>
      <c r="F269" s="17" t="s">
        <v>889</v>
      </c>
      <c r="G269" s="18" t="s">
        <v>932</v>
      </c>
      <c r="H269" s="19" t="s">
        <v>933</v>
      </c>
      <c r="I269" s="17" t="s">
        <v>511</v>
      </c>
      <c r="J269" s="17" t="s">
        <v>89</v>
      </c>
      <c r="K269" s="20"/>
      <c r="L269" s="17" t="s">
        <v>76</v>
      </c>
      <c r="M269" s="17" t="n">
        <f aca="false">LEN(K269)</f>
        <v>0</v>
      </c>
      <c r="N269" s="17" t="str">
        <f aca="false">IF(M269=0,"-",ROUND(3+M269/안내!$C$12,0))</f>
        <v>-</v>
      </c>
      <c r="O269" s="21" t="str">
        <f aca="false">IF(K269="","(본문 입력 후 자동) | 사 40:31",IF(LEN(K269)&gt;28,LEFT(K269,28)&amp;"…",K269)&amp;" | 사 40:31")</f>
        <v>(본문 입력 후 자동) | 사 40:31</v>
      </c>
      <c r="P269" s="21" t="str">
        <f aca="false">"#"&amp;SUBSTITUTE(안내!$C$5," ","")&amp;" #성경구절 #말씀 #이사야 #소망"</f>
        <v>#오늘의말씀 #성경구절 #말씀 #이사야 #소망</v>
      </c>
      <c r="Q269" s="21" t="s">
        <v>77</v>
      </c>
      <c r="R269" s="22" t="n">
        <f aca="false">안내!$C$6+INT((D269-1)/안내!$C$7)</f>
        <v>46521</v>
      </c>
      <c r="S269" s="17" t="str">
        <f aca="false">IF(MOD(D269-1,안내!$C$7)=0,안내!$C$8,안내!$C$10)</f>
        <v>18:30</v>
      </c>
      <c r="T269" s="17" t="str">
        <f aca="false">CHOOSE(WEEKDAY(R269,2),"월","화","수","목","금","토","일")</f>
        <v>금</v>
      </c>
      <c r="U269" s="17" t="s">
        <v>78</v>
      </c>
      <c r="V269" s="17" t="s">
        <v>78</v>
      </c>
      <c r="W269" s="23"/>
      <c r="X269" s="23"/>
      <c r="Y269" s="21"/>
    </row>
    <row r="270" customFormat="false" ht="25.35" hidden="false" customHeight="false" outlineLevel="0" collapsed="false">
      <c r="A270" s="16" t="n">
        <v>269</v>
      </c>
      <c r="B270" s="15" t="s">
        <v>934</v>
      </c>
      <c r="C270" s="16" t="s">
        <v>70</v>
      </c>
      <c r="D270" s="16" t="n">
        <v>269</v>
      </c>
      <c r="E270" s="16" t="str">
        <f aca="false">C270&amp;"말씀 #"&amp;TEXT(D270,"000")</f>
        <v>구약말씀 #269</v>
      </c>
      <c r="F270" s="17" t="s">
        <v>889</v>
      </c>
      <c r="G270" s="18" t="s">
        <v>935</v>
      </c>
      <c r="H270" s="19" t="s">
        <v>936</v>
      </c>
      <c r="I270" s="17" t="s">
        <v>305</v>
      </c>
      <c r="J270" s="17" t="s">
        <v>113</v>
      </c>
      <c r="K270" s="20"/>
      <c r="L270" s="17" t="s">
        <v>76</v>
      </c>
      <c r="M270" s="17" t="n">
        <f aca="false">LEN(K270)</f>
        <v>0</v>
      </c>
      <c r="N270" s="17" t="str">
        <f aca="false">IF(M270=0,"-",ROUND(3+M270/안내!$C$12,0))</f>
        <v>-</v>
      </c>
      <c r="O270" s="21" t="str">
        <f aca="false">IF(K270="","(본문 입력 후 자동) | 사 41:10",IF(LEN(K270)&gt;28,LEFT(K270,28)&amp;"…",K270)&amp;" | 사 41:10")</f>
        <v>(본문 입력 후 자동) | 사 41:10</v>
      </c>
      <c r="P270" s="21" t="str">
        <f aca="false">"#"&amp;SUBSTITUTE(안내!$C$5," ","")&amp;" #성경구절 #말씀 #이사야 #담대함"</f>
        <v>#오늘의말씀 #성경구절 #말씀 #이사야 #담대함</v>
      </c>
      <c r="Q270" s="21" t="s">
        <v>77</v>
      </c>
      <c r="R270" s="22" t="n">
        <f aca="false">안내!$C$6+INT((D270-1)/안내!$C$7)</f>
        <v>46522</v>
      </c>
      <c r="S270" s="17" t="str">
        <f aca="false">IF(MOD(D270-1,안내!$C$7)=0,안내!$C$8,안내!$C$10)</f>
        <v>06:30</v>
      </c>
      <c r="T270" s="17" t="str">
        <f aca="false">CHOOSE(WEEKDAY(R270,2),"월","화","수","목","금","토","일")</f>
        <v>토</v>
      </c>
      <c r="U270" s="17" t="s">
        <v>78</v>
      </c>
      <c r="V270" s="17" t="s">
        <v>78</v>
      </c>
      <c r="W270" s="23"/>
      <c r="X270" s="23"/>
      <c r="Y270" s="21"/>
    </row>
    <row r="271" customFormat="false" ht="25.35" hidden="false" customHeight="false" outlineLevel="0" collapsed="false">
      <c r="A271" s="16" t="n">
        <v>270</v>
      </c>
      <c r="B271" s="15" t="s">
        <v>937</v>
      </c>
      <c r="C271" s="16" t="s">
        <v>70</v>
      </c>
      <c r="D271" s="16" t="n">
        <v>270</v>
      </c>
      <c r="E271" s="16" t="str">
        <f aca="false">C271&amp;"말씀 #"&amp;TEXT(D271,"000")</f>
        <v>구약말씀 #270</v>
      </c>
      <c r="F271" s="17" t="s">
        <v>889</v>
      </c>
      <c r="G271" s="18" t="s">
        <v>938</v>
      </c>
      <c r="H271" s="19" t="s">
        <v>939</v>
      </c>
      <c r="I271" s="17" t="s">
        <v>152</v>
      </c>
      <c r="J271" s="17" t="s">
        <v>122</v>
      </c>
      <c r="K271" s="20"/>
      <c r="L271" s="17" t="s">
        <v>76</v>
      </c>
      <c r="M271" s="17" t="n">
        <f aca="false">LEN(K271)</f>
        <v>0</v>
      </c>
      <c r="N271" s="17" t="str">
        <f aca="false">IF(M271=0,"-",ROUND(3+M271/안내!$C$12,0))</f>
        <v>-</v>
      </c>
      <c r="O271" s="21" t="str">
        <f aca="false">IF(K271="","(본문 입력 후 자동) | 사 41:13",IF(LEN(K271)&gt;28,LEFT(K271,28)&amp;"…",K271)&amp;" | 사 41:13")</f>
        <v>(본문 입력 후 자동) | 사 41:13</v>
      </c>
      <c r="P271" s="21" t="str">
        <f aca="false">"#"&amp;SUBSTITUTE(안내!$C$5," ","")&amp;" #성경구절 #말씀 #이사야 #동행"</f>
        <v>#오늘의말씀 #성경구절 #말씀 #이사야 #동행</v>
      </c>
      <c r="Q271" s="21" t="s">
        <v>77</v>
      </c>
      <c r="R271" s="22" t="n">
        <f aca="false">안내!$C$6+INT((D271-1)/안내!$C$7)</f>
        <v>46522</v>
      </c>
      <c r="S271" s="17" t="str">
        <f aca="false">IF(MOD(D271-1,안내!$C$7)=0,안내!$C$8,안내!$C$10)</f>
        <v>18:30</v>
      </c>
      <c r="T271" s="17" t="str">
        <f aca="false">CHOOSE(WEEKDAY(R271,2),"월","화","수","목","금","토","일")</f>
        <v>토</v>
      </c>
      <c r="U271" s="17" t="s">
        <v>78</v>
      </c>
      <c r="V271" s="17" t="s">
        <v>78</v>
      </c>
      <c r="W271" s="23"/>
      <c r="X271" s="23"/>
      <c r="Y271" s="21"/>
    </row>
    <row r="272" customFormat="false" ht="15" hidden="false" customHeight="false" outlineLevel="0" collapsed="false">
      <c r="A272" s="16" t="n">
        <v>271</v>
      </c>
      <c r="B272" s="15" t="s">
        <v>940</v>
      </c>
      <c r="C272" s="16" t="s">
        <v>70</v>
      </c>
      <c r="D272" s="16" t="n">
        <v>271</v>
      </c>
      <c r="E272" s="16" t="str">
        <f aca="false">C272&amp;"말씀 #"&amp;TEXT(D272,"000")</f>
        <v>구약말씀 #271</v>
      </c>
      <c r="F272" s="17" t="s">
        <v>889</v>
      </c>
      <c r="G272" s="18" t="s">
        <v>941</v>
      </c>
      <c r="H272" s="19" t="s">
        <v>942</v>
      </c>
      <c r="I272" s="17" t="s">
        <v>129</v>
      </c>
      <c r="J272" s="17" t="s">
        <v>99</v>
      </c>
      <c r="K272" s="20"/>
      <c r="L272" s="17" t="s">
        <v>76</v>
      </c>
      <c r="M272" s="17" t="n">
        <f aca="false">LEN(K272)</f>
        <v>0</v>
      </c>
      <c r="N272" s="17" t="str">
        <f aca="false">IF(M272=0,"-",ROUND(3+M272/안내!$C$12,0))</f>
        <v>-</v>
      </c>
      <c r="O272" s="21" t="str">
        <f aca="false">IF(K272="","(본문 입력 후 자동) | 사 42:3",IF(LEN(K272)&gt;28,LEFT(K272,28)&amp;"…",K272)&amp;" | 사 42:3")</f>
        <v>(본문 입력 후 자동) | 사 42:3</v>
      </c>
      <c r="P272" s="21" t="str">
        <f aca="false">"#"&amp;SUBSTITUTE(안내!$C$5," ","")&amp;" #성경구절 #말씀 #이사야 #위로"</f>
        <v>#오늘의말씀 #성경구절 #말씀 #이사야 #위로</v>
      </c>
      <c r="Q272" s="21" t="s">
        <v>77</v>
      </c>
      <c r="R272" s="22" t="n">
        <f aca="false">안내!$C$6+INT((D272-1)/안내!$C$7)</f>
        <v>46523</v>
      </c>
      <c r="S272" s="17" t="str">
        <f aca="false">IF(MOD(D272-1,안내!$C$7)=0,안내!$C$8,안내!$C$10)</f>
        <v>06:30</v>
      </c>
      <c r="T272" s="17" t="str">
        <f aca="false">CHOOSE(WEEKDAY(R272,2),"월","화","수","목","금","토","일")</f>
        <v>일</v>
      </c>
      <c r="U272" s="17" t="s">
        <v>78</v>
      </c>
      <c r="V272" s="17" t="s">
        <v>78</v>
      </c>
      <c r="W272" s="23"/>
      <c r="X272" s="23"/>
      <c r="Y272" s="21"/>
    </row>
    <row r="273" customFormat="false" ht="15" hidden="false" customHeight="false" outlineLevel="0" collapsed="false">
      <c r="A273" s="16" t="n">
        <v>272</v>
      </c>
      <c r="B273" s="15" t="s">
        <v>943</v>
      </c>
      <c r="C273" s="16" t="s">
        <v>70</v>
      </c>
      <c r="D273" s="16" t="n">
        <v>272</v>
      </c>
      <c r="E273" s="16" t="str">
        <f aca="false">C273&amp;"말씀 #"&amp;TEXT(D273,"000")</f>
        <v>구약말씀 #272</v>
      </c>
      <c r="F273" s="17" t="s">
        <v>889</v>
      </c>
      <c r="G273" s="18" t="s">
        <v>944</v>
      </c>
      <c r="H273" s="19" t="s">
        <v>945</v>
      </c>
      <c r="I273" s="17" t="s">
        <v>98</v>
      </c>
      <c r="J273" s="17" t="s">
        <v>99</v>
      </c>
      <c r="K273" s="20"/>
      <c r="L273" s="17" t="s">
        <v>76</v>
      </c>
      <c r="M273" s="17" t="n">
        <f aca="false">LEN(K273)</f>
        <v>0</v>
      </c>
      <c r="N273" s="17" t="str">
        <f aca="false">IF(M273=0,"-",ROUND(3+M273/안내!$C$12,0))</f>
        <v>-</v>
      </c>
      <c r="O273" s="21" t="str">
        <f aca="false">IF(K273="","(본문 입력 후 자동) | 사 43:1",IF(LEN(K273)&gt;28,LEFT(K273,28)&amp;"…",K273)&amp;" | 사 43:1")</f>
        <v>(본문 입력 후 자동) | 사 43:1</v>
      </c>
      <c r="P273" s="21" t="str">
        <f aca="false">"#"&amp;SUBSTITUTE(안내!$C$5," ","")&amp;" #성경구절 #말씀 #이사야 #은혜"</f>
        <v>#오늘의말씀 #성경구절 #말씀 #이사야 #은혜</v>
      </c>
      <c r="Q273" s="21" t="s">
        <v>77</v>
      </c>
      <c r="R273" s="22" t="n">
        <f aca="false">안내!$C$6+INT((D273-1)/안내!$C$7)</f>
        <v>46523</v>
      </c>
      <c r="S273" s="17" t="str">
        <f aca="false">IF(MOD(D273-1,안내!$C$7)=0,안내!$C$8,안내!$C$10)</f>
        <v>18:30</v>
      </c>
      <c r="T273" s="17" t="str">
        <f aca="false">CHOOSE(WEEKDAY(R273,2),"월","화","수","목","금","토","일")</f>
        <v>일</v>
      </c>
      <c r="U273" s="17" t="s">
        <v>78</v>
      </c>
      <c r="V273" s="17" t="s">
        <v>78</v>
      </c>
      <c r="W273" s="23"/>
      <c r="X273" s="23"/>
      <c r="Y273" s="21"/>
    </row>
    <row r="274" customFormat="false" ht="15" hidden="false" customHeight="false" outlineLevel="0" collapsed="false">
      <c r="A274" s="16" t="n">
        <v>273</v>
      </c>
      <c r="B274" s="15" t="s">
        <v>946</v>
      </c>
      <c r="C274" s="16" t="s">
        <v>70</v>
      </c>
      <c r="D274" s="16" t="n">
        <v>273</v>
      </c>
      <c r="E274" s="16" t="str">
        <f aca="false">C274&amp;"말씀 #"&amp;TEXT(D274,"000")</f>
        <v>구약말씀 #273</v>
      </c>
      <c r="F274" s="17" t="s">
        <v>889</v>
      </c>
      <c r="G274" s="18" t="s">
        <v>947</v>
      </c>
      <c r="H274" s="19" t="s">
        <v>948</v>
      </c>
      <c r="I274" s="17" t="s">
        <v>353</v>
      </c>
      <c r="J274" s="17" t="s">
        <v>113</v>
      </c>
      <c r="K274" s="20"/>
      <c r="L274" s="17" t="s">
        <v>76</v>
      </c>
      <c r="M274" s="17" t="n">
        <f aca="false">LEN(K274)</f>
        <v>0</v>
      </c>
      <c r="N274" s="17" t="str">
        <f aca="false">IF(M274=0,"-",ROUND(3+M274/안내!$C$12,0))</f>
        <v>-</v>
      </c>
      <c r="O274" s="21" t="str">
        <f aca="false">IF(K274="","(본문 입력 후 자동) | 사 43:2",IF(LEN(K274)&gt;28,LEFT(K274,28)&amp;"…",K274)&amp;" | 사 43:2")</f>
        <v>(본문 입력 후 자동) | 사 43:2</v>
      </c>
      <c r="P274" s="21" t="str">
        <f aca="false">"#"&amp;SUBSTITUTE(안내!$C$5," ","")&amp;" #성경구절 #말씀 #이사야 #보호"</f>
        <v>#오늘의말씀 #성경구절 #말씀 #이사야 #보호</v>
      </c>
      <c r="Q274" s="21" t="s">
        <v>77</v>
      </c>
      <c r="R274" s="22" t="n">
        <f aca="false">안내!$C$6+INT((D274-1)/안내!$C$7)</f>
        <v>46524</v>
      </c>
      <c r="S274" s="17" t="str">
        <f aca="false">IF(MOD(D274-1,안내!$C$7)=0,안내!$C$8,안내!$C$10)</f>
        <v>06:30</v>
      </c>
      <c r="T274" s="17" t="str">
        <f aca="false">CHOOSE(WEEKDAY(R274,2),"월","화","수","목","금","토","일")</f>
        <v>월</v>
      </c>
      <c r="U274" s="17" t="s">
        <v>78</v>
      </c>
      <c r="V274" s="17" t="s">
        <v>78</v>
      </c>
      <c r="W274" s="23"/>
      <c r="X274" s="23"/>
      <c r="Y274" s="21"/>
    </row>
    <row r="275" customFormat="false" ht="25.35" hidden="false" customHeight="false" outlineLevel="0" collapsed="false">
      <c r="A275" s="16" t="n">
        <v>274</v>
      </c>
      <c r="B275" s="15" t="s">
        <v>949</v>
      </c>
      <c r="C275" s="16" t="s">
        <v>70</v>
      </c>
      <c r="D275" s="16" t="n">
        <v>274</v>
      </c>
      <c r="E275" s="16" t="str">
        <f aca="false">C275&amp;"말씀 #"&amp;TEXT(D275,"000")</f>
        <v>구약말씀 #274</v>
      </c>
      <c r="F275" s="17" t="s">
        <v>889</v>
      </c>
      <c r="G275" s="18" t="s">
        <v>950</v>
      </c>
      <c r="H275" s="19" t="s">
        <v>951</v>
      </c>
      <c r="I275" s="17" t="s">
        <v>511</v>
      </c>
      <c r="J275" s="17" t="s">
        <v>89</v>
      </c>
      <c r="K275" s="20"/>
      <c r="L275" s="17" t="s">
        <v>76</v>
      </c>
      <c r="M275" s="17" t="n">
        <f aca="false">LEN(K275)</f>
        <v>0</v>
      </c>
      <c r="N275" s="17" t="str">
        <f aca="false">IF(M275=0,"-",ROUND(3+M275/안내!$C$12,0))</f>
        <v>-</v>
      </c>
      <c r="O275" s="21" t="str">
        <f aca="false">IF(K275="","(본문 입력 후 자동) | 사 43:19",IF(LEN(K275)&gt;28,LEFT(K275,28)&amp;"…",K275)&amp;" | 사 43:19")</f>
        <v>(본문 입력 후 자동) | 사 43:19</v>
      </c>
      <c r="P275" s="21" t="str">
        <f aca="false">"#"&amp;SUBSTITUTE(안내!$C$5," ","")&amp;" #성경구절 #말씀 #이사야 #소망"</f>
        <v>#오늘의말씀 #성경구절 #말씀 #이사야 #소망</v>
      </c>
      <c r="Q275" s="21" t="s">
        <v>77</v>
      </c>
      <c r="R275" s="22" t="n">
        <f aca="false">안내!$C$6+INT((D275-1)/안내!$C$7)</f>
        <v>46524</v>
      </c>
      <c r="S275" s="17" t="str">
        <f aca="false">IF(MOD(D275-1,안내!$C$7)=0,안내!$C$8,안내!$C$10)</f>
        <v>18:30</v>
      </c>
      <c r="T275" s="17" t="str">
        <f aca="false">CHOOSE(WEEKDAY(R275,2),"월","화","수","목","금","토","일")</f>
        <v>월</v>
      </c>
      <c r="U275" s="17" t="s">
        <v>78</v>
      </c>
      <c r="V275" s="17" t="s">
        <v>78</v>
      </c>
      <c r="W275" s="23"/>
      <c r="X275" s="23"/>
      <c r="Y275" s="21"/>
    </row>
    <row r="276" customFormat="false" ht="25.35" hidden="false" customHeight="false" outlineLevel="0" collapsed="false">
      <c r="A276" s="16" t="n">
        <v>275</v>
      </c>
      <c r="B276" s="15" t="s">
        <v>952</v>
      </c>
      <c r="C276" s="16" t="s">
        <v>70</v>
      </c>
      <c r="D276" s="16" t="n">
        <v>275</v>
      </c>
      <c r="E276" s="16" t="str">
        <f aca="false">C276&amp;"말씀 #"&amp;TEXT(D276,"000")</f>
        <v>구약말씀 #275</v>
      </c>
      <c r="F276" s="17" t="s">
        <v>889</v>
      </c>
      <c r="G276" s="18" t="s">
        <v>953</v>
      </c>
      <c r="H276" s="19" t="s">
        <v>954</v>
      </c>
      <c r="I276" s="17" t="s">
        <v>694</v>
      </c>
      <c r="J276" s="17" t="s">
        <v>99</v>
      </c>
      <c r="K276" s="20"/>
      <c r="L276" s="17" t="s">
        <v>76</v>
      </c>
      <c r="M276" s="17" t="n">
        <f aca="false">LEN(K276)</f>
        <v>0</v>
      </c>
      <c r="N276" s="17" t="str">
        <f aca="false">IF(M276=0,"-",ROUND(3+M276/안내!$C$12,0))</f>
        <v>-</v>
      </c>
      <c r="O276" s="21" t="str">
        <f aca="false">IF(K276="","(본문 입력 후 자동) | 사 44:22",IF(LEN(K276)&gt;28,LEFT(K276,28)&amp;"…",K276)&amp;" | 사 44:22")</f>
        <v>(본문 입력 후 자동) | 사 44:22</v>
      </c>
      <c r="P276" s="21" t="str">
        <f aca="false">"#"&amp;SUBSTITUTE(안내!$C$5," ","")&amp;" #성경구절 #말씀 #이사야 #용서"</f>
        <v>#오늘의말씀 #성경구절 #말씀 #이사야 #용서</v>
      </c>
      <c r="Q276" s="21" t="s">
        <v>77</v>
      </c>
      <c r="R276" s="22" t="n">
        <f aca="false">안내!$C$6+INT((D276-1)/안내!$C$7)</f>
        <v>46525</v>
      </c>
      <c r="S276" s="17" t="str">
        <f aca="false">IF(MOD(D276-1,안내!$C$7)=0,안내!$C$8,안내!$C$10)</f>
        <v>06:30</v>
      </c>
      <c r="T276" s="17" t="str">
        <f aca="false">CHOOSE(WEEKDAY(R276,2),"월","화","수","목","금","토","일")</f>
        <v>화</v>
      </c>
      <c r="U276" s="17" t="s">
        <v>78</v>
      </c>
      <c r="V276" s="17" t="s">
        <v>78</v>
      </c>
      <c r="W276" s="23"/>
      <c r="X276" s="23"/>
      <c r="Y276" s="21"/>
    </row>
    <row r="277" customFormat="false" ht="25.35" hidden="false" customHeight="false" outlineLevel="0" collapsed="false">
      <c r="A277" s="16" t="n">
        <v>276</v>
      </c>
      <c r="B277" s="15" t="s">
        <v>955</v>
      </c>
      <c r="C277" s="16" t="s">
        <v>70</v>
      </c>
      <c r="D277" s="16" t="n">
        <v>276</v>
      </c>
      <c r="E277" s="16" t="str">
        <f aca="false">C277&amp;"말씀 #"&amp;TEXT(D277,"000")</f>
        <v>구약말씀 #276</v>
      </c>
      <c r="F277" s="17" t="s">
        <v>889</v>
      </c>
      <c r="G277" s="18" t="s">
        <v>956</v>
      </c>
      <c r="H277" s="19" t="s">
        <v>957</v>
      </c>
      <c r="I277" s="17" t="s">
        <v>103</v>
      </c>
      <c r="J277" s="17" t="s">
        <v>104</v>
      </c>
      <c r="K277" s="20"/>
      <c r="L277" s="17" t="s">
        <v>76</v>
      </c>
      <c r="M277" s="17" t="n">
        <f aca="false">LEN(K277)</f>
        <v>0</v>
      </c>
      <c r="N277" s="17" t="str">
        <f aca="false">IF(M277=0,"-",ROUND(3+M277/안내!$C$12,0))</f>
        <v>-</v>
      </c>
      <c r="O277" s="21" t="str">
        <f aca="false">IF(K277="","(본문 입력 후 자동) | 사 45:22",IF(LEN(K277)&gt;28,LEFT(K277,28)&amp;"…",K277)&amp;" | 사 45:22")</f>
        <v>(본문 입력 후 자동) | 사 45:22</v>
      </c>
      <c r="P277" s="21" t="str">
        <f aca="false">"#"&amp;SUBSTITUTE(안내!$C$5," ","")&amp;" #성경구절 #말씀 #이사야 #구원"</f>
        <v>#오늘의말씀 #성경구절 #말씀 #이사야 #구원</v>
      </c>
      <c r="Q277" s="21" t="s">
        <v>77</v>
      </c>
      <c r="R277" s="22" t="n">
        <f aca="false">안내!$C$6+INT((D277-1)/안내!$C$7)</f>
        <v>46525</v>
      </c>
      <c r="S277" s="17" t="str">
        <f aca="false">IF(MOD(D277-1,안내!$C$7)=0,안내!$C$8,안내!$C$10)</f>
        <v>18:30</v>
      </c>
      <c r="T277" s="17" t="str">
        <f aca="false">CHOOSE(WEEKDAY(R277,2),"월","화","수","목","금","토","일")</f>
        <v>화</v>
      </c>
      <c r="U277" s="17" t="s">
        <v>78</v>
      </c>
      <c r="V277" s="17" t="s">
        <v>78</v>
      </c>
      <c r="W277" s="23"/>
      <c r="X277" s="23"/>
      <c r="Y277" s="21"/>
    </row>
    <row r="278" customFormat="false" ht="15" hidden="false" customHeight="false" outlineLevel="0" collapsed="false">
      <c r="A278" s="16" t="n">
        <v>277</v>
      </c>
      <c r="B278" s="15" t="s">
        <v>958</v>
      </c>
      <c r="C278" s="16" t="s">
        <v>70</v>
      </c>
      <c r="D278" s="16" t="n">
        <v>277</v>
      </c>
      <c r="E278" s="16" t="str">
        <f aca="false">C278&amp;"말씀 #"&amp;TEXT(D278,"000")</f>
        <v>구약말씀 #277</v>
      </c>
      <c r="F278" s="17" t="s">
        <v>889</v>
      </c>
      <c r="G278" s="18" t="s">
        <v>959</v>
      </c>
      <c r="H278" s="19" t="s">
        <v>960</v>
      </c>
      <c r="I278" s="17" t="s">
        <v>353</v>
      </c>
      <c r="J278" s="17" t="s">
        <v>113</v>
      </c>
      <c r="K278" s="20"/>
      <c r="L278" s="17" t="s">
        <v>76</v>
      </c>
      <c r="M278" s="17" t="n">
        <f aca="false">LEN(K278)</f>
        <v>0</v>
      </c>
      <c r="N278" s="17" t="str">
        <f aca="false">IF(M278=0,"-",ROUND(3+M278/안내!$C$12,0))</f>
        <v>-</v>
      </c>
      <c r="O278" s="21" t="str">
        <f aca="false">IF(K278="","(본문 입력 후 자동) | 사 46:4",IF(LEN(K278)&gt;28,LEFT(K278,28)&amp;"…",K278)&amp;" | 사 46:4")</f>
        <v>(본문 입력 후 자동) | 사 46:4</v>
      </c>
      <c r="P278" s="21" t="str">
        <f aca="false">"#"&amp;SUBSTITUTE(안내!$C$5," ","")&amp;" #성경구절 #말씀 #이사야 #보호"</f>
        <v>#오늘의말씀 #성경구절 #말씀 #이사야 #보호</v>
      </c>
      <c r="Q278" s="21" t="s">
        <v>77</v>
      </c>
      <c r="R278" s="22" t="n">
        <f aca="false">안내!$C$6+INT((D278-1)/안내!$C$7)</f>
        <v>46526</v>
      </c>
      <c r="S278" s="17" t="str">
        <f aca="false">IF(MOD(D278-1,안내!$C$7)=0,안내!$C$8,안내!$C$10)</f>
        <v>06:30</v>
      </c>
      <c r="T278" s="17" t="str">
        <f aca="false">CHOOSE(WEEKDAY(R278,2),"월","화","수","목","금","토","일")</f>
        <v>수</v>
      </c>
      <c r="U278" s="17" t="s">
        <v>78</v>
      </c>
      <c r="V278" s="17" t="s">
        <v>78</v>
      </c>
      <c r="W278" s="23"/>
      <c r="X278" s="23"/>
      <c r="Y278" s="21"/>
    </row>
    <row r="279" customFormat="false" ht="25.35" hidden="false" customHeight="false" outlineLevel="0" collapsed="false">
      <c r="A279" s="16" t="n">
        <v>278</v>
      </c>
      <c r="B279" s="15" t="s">
        <v>961</v>
      </c>
      <c r="C279" s="16" t="s">
        <v>70</v>
      </c>
      <c r="D279" s="16" t="n">
        <v>278</v>
      </c>
      <c r="E279" s="16" t="str">
        <f aca="false">C279&amp;"말씀 #"&amp;TEXT(D279,"000")</f>
        <v>구약말씀 #278</v>
      </c>
      <c r="F279" s="17" t="s">
        <v>889</v>
      </c>
      <c r="G279" s="18" t="s">
        <v>962</v>
      </c>
      <c r="H279" s="19" t="s">
        <v>963</v>
      </c>
      <c r="I279" s="17" t="s">
        <v>239</v>
      </c>
      <c r="J279" s="17" t="s">
        <v>94</v>
      </c>
      <c r="K279" s="20"/>
      <c r="L279" s="17" t="s">
        <v>76</v>
      </c>
      <c r="M279" s="17" t="n">
        <f aca="false">LEN(K279)</f>
        <v>0</v>
      </c>
      <c r="N279" s="17" t="str">
        <f aca="false">IF(M279=0,"-",ROUND(3+M279/안내!$C$12,0))</f>
        <v>-</v>
      </c>
      <c r="O279" s="21" t="str">
        <f aca="false">IF(K279="","(본문 입력 후 자동) | 사 49:15",IF(LEN(K279)&gt;28,LEFT(K279,28)&amp;"…",K279)&amp;" | 사 49:15")</f>
        <v>(본문 입력 후 자동) | 사 49:15</v>
      </c>
      <c r="P279" s="21" t="str">
        <f aca="false">"#"&amp;SUBSTITUTE(안내!$C$5," ","")&amp;" #성경구절 #말씀 #이사야 #사랑"</f>
        <v>#오늘의말씀 #성경구절 #말씀 #이사야 #사랑</v>
      </c>
      <c r="Q279" s="21" t="s">
        <v>77</v>
      </c>
      <c r="R279" s="22" t="n">
        <f aca="false">안내!$C$6+INT((D279-1)/안내!$C$7)</f>
        <v>46526</v>
      </c>
      <c r="S279" s="17" t="str">
        <f aca="false">IF(MOD(D279-1,안내!$C$7)=0,안내!$C$8,안내!$C$10)</f>
        <v>18:30</v>
      </c>
      <c r="T279" s="17" t="str">
        <f aca="false">CHOOSE(WEEKDAY(R279,2),"월","화","수","목","금","토","일")</f>
        <v>수</v>
      </c>
      <c r="U279" s="17" t="s">
        <v>78</v>
      </c>
      <c r="V279" s="17" t="s">
        <v>78</v>
      </c>
      <c r="W279" s="23"/>
      <c r="X279" s="23"/>
      <c r="Y279" s="21"/>
    </row>
    <row r="280" customFormat="false" ht="25.35" hidden="false" customHeight="false" outlineLevel="0" collapsed="false">
      <c r="A280" s="16" t="n">
        <v>279</v>
      </c>
      <c r="B280" s="15" t="s">
        <v>964</v>
      </c>
      <c r="C280" s="16" t="s">
        <v>70</v>
      </c>
      <c r="D280" s="16" t="n">
        <v>279</v>
      </c>
      <c r="E280" s="16" t="str">
        <f aca="false">C280&amp;"말씀 #"&amp;TEXT(D280,"000")</f>
        <v>구약말씀 #279</v>
      </c>
      <c r="F280" s="17" t="s">
        <v>889</v>
      </c>
      <c r="G280" s="18" t="s">
        <v>965</v>
      </c>
      <c r="H280" s="19" t="s">
        <v>966</v>
      </c>
      <c r="I280" s="17" t="s">
        <v>239</v>
      </c>
      <c r="J280" s="17" t="s">
        <v>94</v>
      </c>
      <c r="K280" s="20"/>
      <c r="L280" s="17" t="s">
        <v>76</v>
      </c>
      <c r="M280" s="17" t="n">
        <f aca="false">LEN(K280)</f>
        <v>0</v>
      </c>
      <c r="N280" s="17" t="str">
        <f aca="false">IF(M280=0,"-",ROUND(3+M280/안내!$C$12,0))</f>
        <v>-</v>
      </c>
      <c r="O280" s="21" t="str">
        <f aca="false">IF(K280="","(본문 입력 후 자동) | 사 49:16",IF(LEN(K280)&gt;28,LEFT(K280,28)&amp;"…",K280)&amp;" | 사 49:16")</f>
        <v>(본문 입력 후 자동) | 사 49:16</v>
      </c>
      <c r="P280" s="21" t="str">
        <f aca="false">"#"&amp;SUBSTITUTE(안내!$C$5," ","")&amp;" #성경구절 #말씀 #이사야 #사랑"</f>
        <v>#오늘의말씀 #성경구절 #말씀 #이사야 #사랑</v>
      </c>
      <c r="Q280" s="21" t="s">
        <v>77</v>
      </c>
      <c r="R280" s="22" t="n">
        <f aca="false">안내!$C$6+INT((D280-1)/안내!$C$7)</f>
        <v>46527</v>
      </c>
      <c r="S280" s="17" t="str">
        <f aca="false">IF(MOD(D280-1,안내!$C$7)=0,안내!$C$8,안내!$C$10)</f>
        <v>06:30</v>
      </c>
      <c r="T280" s="17" t="str">
        <f aca="false">CHOOSE(WEEKDAY(R280,2),"월","화","수","목","금","토","일")</f>
        <v>목</v>
      </c>
      <c r="U280" s="17" t="s">
        <v>78</v>
      </c>
      <c r="V280" s="17" t="s">
        <v>78</v>
      </c>
      <c r="W280" s="23"/>
      <c r="X280" s="23"/>
      <c r="Y280" s="21"/>
    </row>
    <row r="281" customFormat="false" ht="15" hidden="false" customHeight="false" outlineLevel="0" collapsed="false">
      <c r="A281" s="16" t="n">
        <v>280</v>
      </c>
      <c r="B281" s="15" t="s">
        <v>967</v>
      </c>
      <c r="C281" s="16" t="s">
        <v>70</v>
      </c>
      <c r="D281" s="16" t="n">
        <v>280</v>
      </c>
      <c r="E281" s="16" t="str">
        <f aca="false">C281&amp;"말씀 #"&amp;TEXT(D281,"000")</f>
        <v>구약말씀 #280</v>
      </c>
      <c r="F281" s="17" t="s">
        <v>889</v>
      </c>
      <c r="G281" s="18" t="s">
        <v>968</v>
      </c>
      <c r="H281" s="19" t="s">
        <v>969</v>
      </c>
      <c r="I281" s="17" t="s">
        <v>970</v>
      </c>
      <c r="J281" s="17" t="s">
        <v>104</v>
      </c>
      <c r="K281" s="20"/>
      <c r="L281" s="17" t="s">
        <v>76</v>
      </c>
      <c r="M281" s="17" t="n">
        <f aca="false">LEN(K281)</f>
        <v>0</v>
      </c>
      <c r="N281" s="17" t="str">
        <f aca="false">IF(M281=0,"-",ROUND(3+M281/안내!$C$12,0))</f>
        <v>-</v>
      </c>
      <c r="O281" s="21" t="str">
        <f aca="false">IF(K281="","(본문 입력 후 자동) | 사 52:7",IF(LEN(K281)&gt;28,LEFT(K281,28)&amp;"…",K281)&amp;" | 사 52:7")</f>
        <v>(본문 입력 후 자동) | 사 52:7</v>
      </c>
      <c r="P281" s="21" t="str">
        <f aca="false">"#"&amp;SUBSTITUTE(안내!$C$5," ","")&amp;" #성경구절 #말씀 #이사야 #복음"</f>
        <v>#오늘의말씀 #성경구절 #말씀 #이사야 #복음</v>
      </c>
      <c r="Q281" s="21" t="s">
        <v>77</v>
      </c>
      <c r="R281" s="22" t="n">
        <f aca="false">안내!$C$6+INT((D281-1)/안내!$C$7)</f>
        <v>46527</v>
      </c>
      <c r="S281" s="17" t="str">
        <f aca="false">IF(MOD(D281-1,안내!$C$7)=0,안내!$C$8,안내!$C$10)</f>
        <v>18:30</v>
      </c>
      <c r="T281" s="17" t="str">
        <f aca="false">CHOOSE(WEEKDAY(R281,2),"월","화","수","목","금","토","일")</f>
        <v>목</v>
      </c>
      <c r="U281" s="17" t="s">
        <v>78</v>
      </c>
      <c r="V281" s="17" t="s">
        <v>78</v>
      </c>
      <c r="W281" s="23"/>
      <c r="X281" s="23"/>
      <c r="Y281" s="21"/>
    </row>
    <row r="282" customFormat="false" ht="39.55" hidden="false" customHeight="false" outlineLevel="0" collapsed="false">
      <c r="A282" s="16" t="n">
        <v>281</v>
      </c>
      <c r="B282" s="15" t="s">
        <v>971</v>
      </c>
      <c r="C282" s="16" t="s">
        <v>70</v>
      </c>
      <c r="D282" s="16" t="n">
        <v>281</v>
      </c>
      <c r="E282" s="16" t="str">
        <f aca="false">C282&amp;"말씀 #"&amp;TEXT(D282,"000")</f>
        <v>구약말씀 #281</v>
      </c>
      <c r="F282" s="17" t="s">
        <v>889</v>
      </c>
      <c r="G282" s="18" t="s">
        <v>972</v>
      </c>
      <c r="H282" s="19" t="s">
        <v>973</v>
      </c>
      <c r="I282" s="17" t="s">
        <v>103</v>
      </c>
      <c r="J282" s="17" t="s">
        <v>104</v>
      </c>
      <c r="K282" s="20"/>
      <c r="L282" s="17" t="s">
        <v>76</v>
      </c>
      <c r="M282" s="17" t="n">
        <f aca="false">LEN(K282)</f>
        <v>0</v>
      </c>
      <c r="N282" s="17" t="str">
        <f aca="false">IF(M282=0,"-",ROUND(3+M282/안내!$C$12,0))</f>
        <v>-</v>
      </c>
      <c r="O282" s="21" t="str">
        <f aca="false">IF(K282="","(본문 입력 후 자동) | 사 53:5",IF(LEN(K282)&gt;28,LEFT(K282,28)&amp;"…",K282)&amp;" | 사 53:5")</f>
        <v>(본문 입력 후 자동) | 사 53:5</v>
      </c>
      <c r="P282" s="21" t="str">
        <f aca="false">"#"&amp;SUBSTITUTE(안내!$C$5," ","")&amp;" #성경구절 #말씀 #이사야 #구원"</f>
        <v>#오늘의말씀 #성경구절 #말씀 #이사야 #구원</v>
      </c>
      <c r="Q282" s="24" t="s">
        <v>974</v>
      </c>
      <c r="R282" s="22" t="n">
        <f aca="false">안내!$C$6+INT((D282-1)/안내!$C$7)</f>
        <v>46528</v>
      </c>
      <c r="S282" s="17" t="str">
        <f aca="false">IF(MOD(D282-1,안내!$C$7)=0,안내!$C$8,안내!$C$10)</f>
        <v>06:30</v>
      </c>
      <c r="T282" s="17" t="str">
        <f aca="false">CHOOSE(WEEKDAY(R282,2),"월","화","수","목","금","토","일")</f>
        <v>금</v>
      </c>
      <c r="U282" s="17" t="s">
        <v>78</v>
      </c>
      <c r="V282" s="17" t="s">
        <v>78</v>
      </c>
      <c r="W282" s="23"/>
      <c r="X282" s="23"/>
      <c r="Y282" s="21"/>
    </row>
    <row r="283" customFormat="false" ht="15" hidden="false" customHeight="false" outlineLevel="0" collapsed="false">
      <c r="A283" s="16" t="n">
        <v>282</v>
      </c>
      <c r="B283" s="15" t="s">
        <v>975</v>
      </c>
      <c r="C283" s="16" t="s">
        <v>70</v>
      </c>
      <c r="D283" s="16" t="n">
        <v>282</v>
      </c>
      <c r="E283" s="16" t="str">
        <f aca="false">C283&amp;"말씀 #"&amp;TEXT(D283,"000")</f>
        <v>구약말씀 #282</v>
      </c>
      <c r="F283" s="17" t="s">
        <v>889</v>
      </c>
      <c r="G283" s="18" t="s">
        <v>976</v>
      </c>
      <c r="H283" s="19" t="s">
        <v>977</v>
      </c>
      <c r="I283" s="17" t="s">
        <v>103</v>
      </c>
      <c r="J283" s="17" t="s">
        <v>104</v>
      </c>
      <c r="K283" s="20"/>
      <c r="L283" s="17" t="s">
        <v>76</v>
      </c>
      <c r="M283" s="17" t="n">
        <f aca="false">LEN(K283)</f>
        <v>0</v>
      </c>
      <c r="N283" s="17" t="str">
        <f aca="false">IF(M283=0,"-",ROUND(3+M283/안내!$C$12,0))</f>
        <v>-</v>
      </c>
      <c r="O283" s="21" t="str">
        <f aca="false">IF(K283="","(본문 입력 후 자동) | 사 53:6",IF(LEN(K283)&gt;28,LEFT(K283,28)&amp;"…",K283)&amp;" | 사 53:6")</f>
        <v>(본문 입력 후 자동) | 사 53:6</v>
      </c>
      <c r="P283" s="21" t="str">
        <f aca="false">"#"&amp;SUBSTITUTE(안내!$C$5," ","")&amp;" #성경구절 #말씀 #이사야 #구원"</f>
        <v>#오늘의말씀 #성경구절 #말씀 #이사야 #구원</v>
      </c>
      <c r="Q283" s="21" t="s">
        <v>77</v>
      </c>
      <c r="R283" s="22" t="n">
        <f aca="false">안내!$C$6+INT((D283-1)/안내!$C$7)</f>
        <v>46528</v>
      </c>
      <c r="S283" s="17" t="str">
        <f aca="false">IF(MOD(D283-1,안내!$C$7)=0,안내!$C$8,안내!$C$10)</f>
        <v>18:30</v>
      </c>
      <c r="T283" s="17" t="str">
        <f aca="false">CHOOSE(WEEKDAY(R283,2),"월","화","수","목","금","토","일")</f>
        <v>금</v>
      </c>
      <c r="U283" s="17" t="s">
        <v>78</v>
      </c>
      <c r="V283" s="17" t="s">
        <v>78</v>
      </c>
      <c r="W283" s="23"/>
      <c r="X283" s="23"/>
      <c r="Y283" s="21"/>
    </row>
    <row r="284" customFormat="false" ht="15" hidden="false" customHeight="false" outlineLevel="0" collapsed="false">
      <c r="A284" s="16" t="n">
        <v>283</v>
      </c>
      <c r="B284" s="15" t="s">
        <v>978</v>
      </c>
      <c r="C284" s="16" t="s">
        <v>70</v>
      </c>
      <c r="D284" s="16" t="n">
        <v>283</v>
      </c>
      <c r="E284" s="16" t="str">
        <f aca="false">C284&amp;"말씀 #"&amp;TEXT(D284,"000")</f>
        <v>구약말씀 #283</v>
      </c>
      <c r="F284" s="17" t="s">
        <v>889</v>
      </c>
      <c r="G284" s="18" t="s">
        <v>979</v>
      </c>
      <c r="H284" s="19" t="s">
        <v>980</v>
      </c>
      <c r="I284" s="17" t="s">
        <v>98</v>
      </c>
      <c r="J284" s="17" t="s">
        <v>99</v>
      </c>
      <c r="K284" s="20"/>
      <c r="L284" s="17" t="s">
        <v>76</v>
      </c>
      <c r="M284" s="17" t="n">
        <f aca="false">LEN(K284)</f>
        <v>0</v>
      </c>
      <c r="N284" s="17" t="str">
        <f aca="false">IF(M284=0,"-",ROUND(3+M284/안내!$C$12,0))</f>
        <v>-</v>
      </c>
      <c r="O284" s="21" t="str">
        <f aca="false">IF(K284="","(본문 입력 후 자동) | 사 55:1",IF(LEN(K284)&gt;28,LEFT(K284,28)&amp;"…",K284)&amp;" | 사 55:1")</f>
        <v>(본문 입력 후 자동) | 사 55:1</v>
      </c>
      <c r="P284" s="21" t="str">
        <f aca="false">"#"&amp;SUBSTITUTE(안내!$C$5," ","")&amp;" #성경구절 #말씀 #이사야 #은혜"</f>
        <v>#오늘의말씀 #성경구절 #말씀 #이사야 #은혜</v>
      </c>
      <c r="Q284" s="21" t="s">
        <v>77</v>
      </c>
      <c r="R284" s="22" t="n">
        <f aca="false">안내!$C$6+INT((D284-1)/안내!$C$7)</f>
        <v>46529</v>
      </c>
      <c r="S284" s="17" t="str">
        <f aca="false">IF(MOD(D284-1,안내!$C$7)=0,안내!$C$8,안내!$C$10)</f>
        <v>06:30</v>
      </c>
      <c r="T284" s="17" t="str">
        <f aca="false">CHOOSE(WEEKDAY(R284,2),"월","화","수","목","금","토","일")</f>
        <v>토</v>
      </c>
      <c r="U284" s="17" t="s">
        <v>78</v>
      </c>
      <c r="V284" s="17" t="s">
        <v>78</v>
      </c>
      <c r="W284" s="23"/>
      <c r="X284" s="23"/>
      <c r="Y284" s="21"/>
    </row>
    <row r="285" customFormat="false" ht="15" hidden="false" customHeight="false" outlineLevel="0" collapsed="false">
      <c r="A285" s="16" t="n">
        <v>284</v>
      </c>
      <c r="B285" s="15" t="s">
        <v>981</v>
      </c>
      <c r="C285" s="16" t="s">
        <v>70</v>
      </c>
      <c r="D285" s="16" t="n">
        <v>284</v>
      </c>
      <c r="E285" s="16" t="str">
        <f aca="false">C285&amp;"말씀 #"&amp;TEXT(D285,"000")</f>
        <v>구약말씀 #284</v>
      </c>
      <c r="F285" s="17" t="s">
        <v>889</v>
      </c>
      <c r="G285" s="18" t="s">
        <v>982</v>
      </c>
      <c r="H285" s="19" t="s">
        <v>983</v>
      </c>
      <c r="I285" s="17" t="s">
        <v>454</v>
      </c>
      <c r="J285" s="17" t="s">
        <v>104</v>
      </c>
      <c r="K285" s="20"/>
      <c r="L285" s="17" t="s">
        <v>76</v>
      </c>
      <c r="M285" s="17" t="n">
        <f aca="false">LEN(K285)</f>
        <v>0</v>
      </c>
      <c r="N285" s="17" t="str">
        <f aca="false">IF(M285=0,"-",ROUND(3+M285/안내!$C$12,0))</f>
        <v>-</v>
      </c>
      <c r="O285" s="21" t="str">
        <f aca="false">IF(K285="","(본문 입력 후 자동) | 사 55:6",IF(LEN(K285)&gt;28,LEFT(K285,28)&amp;"…",K285)&amp;" | 사 55:6")</f>
        <v>(본문 입력 후 자동) | 사 55:6</v>
      </c>
      <c r="P285" s="21" t="str">
        <f aca="false">"#"&amp;SUBSTITUTE(안내!$C$5," ","")&amp;" #성경구절 #말씀 #이사야 #회개"</f>
        <v>#오늘의말씀 #성경구절 #말씀 #이사야 #회개</v>
      </c>
      <c r="Q285" s="21" t="s">
        <v>77</v>
      </c>
      <c r="R285" s="22" t="n">
        <f aca="false">안내!$C$6+INT((D285-1)/안내!$C$7)</f>
        <v>46529</v>
      </c>
      <c r="S285" s="17" t="str">
        <f aca="false">IF(MOD(D285-1,안내!$C$7)=0,안내!$C$8,안내!$C$10)</f>
        <v>18:30</v>
      </c>
      <c r="T285" s="17" t="str">
        <f aca="false">CHOOSE(WEEKDAY(R285,2),"월","화","수","목","금","토","일")</f>
        <v>토</v>
      </c>
      <c r="U285" s="17" t="s">
        <v>78</v>
      </c>
      <c r="V285" s="17" t="s">
        <v>78</v>
      </c>
      <c r="W285" s="23"/>
      <c r="X285" s="23"/>
      <c r="Y285" s="21"/>
    </row>
    <row r="286" customFormat="false" ht="15" hidden="false" customHeight="false" outlineLevel="0" collapsed="false">
      <c r="A286" s="16" t="n">
        <v>285</v>
      </c>
      <c r="B286" s="15" t="s">
        <v>984</v>
      </c>
      <c r="C286" s="16" t="s">
        <v>70</v>
      </c>
      <c r="D286" s="16" t="n">
        <v>285</v>
      </c>
      <c r="E286" s="16" t="str">
        <f aca="false">C286&amp;"말씀 #"&amp;TEXT(D286,"000")</f>
        <v>구약말씀 #285</v>
      </c>
      <c r="F286" s="17" t="s">
        <v>889</v>
      </c>
      <c r="G286" s="18" t="s">
        <v>985</v>
      </c>
      <c r="H286" s="19" t="s">
        <v>986</v>
      </c>
      <c r="I286" s="17" t="s">
        <v>167</v>
      </c>
      <c r="J286" s="17" t="s">
        <v>75</v>
      </c>
      <c r="K286" s="20"/>
      <c r="L286" s="17" t="s">
        <v>76</v>
      </c>
      <c r="M286" s="17" t="n">
        <f aca="false">LEN(K286)</f>
        <v>0</v>
      </c>
      <c r="N286" s="17" t="str">
        <f aca="false">IF(M286=0,"-",ROUND(3+M286/안내!$C$12,0))</f>
        <v>-</v>
      </c>
      <c r="O286" s="21" t="str">
        <f aca="false">IF(K286="","(본문 입력 후 자동) | 사 55:8",IF(LEN(K286)&gt;28,LEFT(K286,28)&amp;"…",K286)&amp;" | 사 55:8")</f>
        <v>(본문 입력 후 자동) | 사 55:8</v>
      </c>
      <c r="P286" s="21" t="str">
        <f aca="false">"#"&amp;SUBSTITUTE(안내!$C$5," ","")&amp;" #성경구절 #말씀 #이사야 #섭리"</f>
        <v>#오늘의말씀 #성경구절 #말씀 #이사야 #섭리</v>
      </c>
      <c r="Q286" s="21" t="s">
        <v>77</v>
      </c>
      <c r="R286" s="22" t="n">
        <f aca="false">안내!$C$6+INT((D286-1)/안내!$C$7)</f>
        <v>46530</v>
      </c>
      <c r="S286" s="17" t="str">
        <f aca="false">IF(MOD(D286-1,안내!$C$7)=0,안내!$C$8,안내!$C$10)</f>
        <v>06:30</v>
      </c>
      <c r="T286" s="17" t="str">
        <f aca="false">CHOOSE(WEEKDAY(R286,2),"월","화","수","목","금","토","일")</f>
        <v>일</v>
      </c>
      <c r="U286" s="17" t="s">
        <v>78</v>
      </c>
      <c r="V286" s="17" t="s">
        <v>78</v>
      </c>
      <c r="W286" s="23"/>
      <c r="X286" s="23"/>
      <c r="Y286" s="21"/>
    </row>
    <row r="287" customFormat="false" ht="25.35" hidden="false" customHeight="false" outlineLevel="0" collapsed="false">
      <c r="A287" s="16" t="n">
        <v>286</v>
      </c>
      <c r="B287" s="15" t="s">
        <v>987</v>
      </c>
      <c r="C287" s="16" t="s">
        <v>70</v>
      </c>
      <c r="D287" s="16" t="n">
        <v>286</v>
      </c>
      <c r="E287" s="16" t="str">
        <f aca="false">C287&amp;"말씀 #"&amp;TEXT(D287,"000")</f>
        <v>구약말씀 #286</v>
      </c>
      <c r="F287" s="17" t="s">
        <v>889</v>
      </c>
      <c r="G287" s="18" t="s">
        <v>988</v>
      </c>
      <c r="H287" s="19" t="s">
        <v>989</v>
      </c>
      <c r="I287" s="17" t="s">
        <v>284</v>
      </c>
      <c r="J287" s="17" t="s">
        <v>148</v>
      </c>
      <c r="K287" s="20"/>
      <c r="L287" s="17" t="s">
        <v>76</v>
      </c>
      <c r="M287" s="17" t="n">
        <f aca="false">LEN(K287)</f>
        <v>0</v>
      </c>
      <c r="N287" s="17" t="str">
        <f aca="false">IF(M287=0,"-",ROUND(3+M287/안내!$C$12,0))</f>
        <v>-</v>
      </c>
      <c r="O287" s="21" t="str">
        <f aca="false">IF(K287="","(본문 입력 후 자동) | 사 55:11",IF(LEN(K287)&gt;28,LEFT(K287,28)&amp;"…",K287)&amp;" | 사 55:11")</f>
        <v>(본문 입력 후 자동) | 사 55:11</v>
      </c>
      <c r="P287" s="21" t="str">
        <f aca="false">"#"&amp;SUBSTITUTE(안내!$C$5," ","")&amp;" #성경구절 #말씀 #이사야 #말씀"</f>
        <v>#오늘의말씀 #성경구절 #말씀 #이사야 #말씀</v>
      </c>
      <c r="Q287" s="21" t="s">
        <v>77</v>
      </c>
      <c r="R287" s="22" t="n">
        <f aca="false">안내!$C$6+INT((D287-1)/안내!$C$7)</f>
        <v>46530</v>
      </c>
      <c r="S287" s="17" t="str">
        <f aca="false">IF(MOD(D287-1,안내!$C$7)=0,안내!$C$8,안내!$C$10)</f>
        <v>18:30</v>
      </c>
      <c r="T287" s="17" t="str">
        <f aca="false">CHOOSE(WEEKDAY(R287,2),"월","화","수","목","금","토","일")</f>
        <v>일</v>
      </c>
      <c r="U287" s="17" t="s">
        <v>78</v>
      </c>
      <c r="V287" s="17" t="s">
        <v>78</v>
      </c>
      <c r="W287" s="23"/>
      <c r="X287" s="23"/>
      <c r="Y287" s="21"/>
    </row>
    <row r="288" customFormat="false" ht="25.35" hidden="false" customHeight="false" outlineLevel="0" collapsed="false">
      <c r="A288" s="16" t="n">
        <v>287</v>
      </c>
      <c r="B288" s="15" t="s">
        <v>990</v>
      </c>
      <c r="C288" s="16" t="s">
        <v>70</v>
      </c>
      <c r="D288" s="16" t="n">
        <v>287</v>
      </c>
      <c r="E288" s="16" t="str">
        <f aca="false">C288&amp;"말씀 #"&amp;TEXT(D288,"000")</f>
        <v>구약말씀 #287</v>
      </c>
      <c r="F288" s="17" t="s">
        <v>889</v>
      </c>
      <c r="G288" s="18" t="s">
        <v>991</v>
      </c>
      <c r="H288" s="19" t="s">
        <v>992</v>
      </c>
      <c r="I288" s="17" t="s">
        <v>180</v>
      </c>
      <c r="J288" s="17" t="s">
        <v>122</v>
      </c>
      <c r="K288" s="20"/>
      <c r="L288" s="17" t="s">
        <v>76</v>
      </c>
      <c r="M288" s="17" t="n">
        <f aca="false">LEN(K288)</f>
        <v>0</v>
      </c>
      <c r="N288" s="17" t="str">
        <f aca="false">IF(M288=0,"-",ROUND(3+M288/안내!$C$12,0))</f>
        <v>-</v>
      </c>
      <c r="O288" s="21" t="str">
        <f aca="false">IF(K288="","(본문 입력 후 자동) | 사 58:11",IF(LEN(K288)&gt;28,LEFT(K288,28)&amp;"…",K288)&amp;" | 사 58:11")</f>
        <v>(본문 입력 후 자동) | 사 58:11</v>
      </c>
      <c r="P288" s="21" t="str">
        <f aca="false">"#"&amp;SUBSTITUTE(안내!$C$5," ","")&amp;" #성경구절 #말씀 #이사야 #인도"</f>
        <v>#오늘의말씀 #성경구절 #말씀 #이사야 #인도</v>
      </c>
      <c r="Q288" s="21" t="s">
        <v>77</v>
      </c>
      <c r="R288" s="22" t="n">
        <f aca="false">안내!$C$6+INT((D288-1)/안내!$C$7)</f>
        <v>46531</v>
      </c>
      <c r="S288" s="17" t="str">
        <f aca="false">IF(MOD(D288-1,안내!$C$7)=0,안내!$C$8,안내!$C$10)</f>
        <v>06:30</v>
      </c>
      <c r="T288" s="17" t="str">
        <f aca="false">CHOOSE(WEEKDAY(R288,2),"월","화","수","목","금","토","일")</f>
        <v>월</v>
      </c>
      <c r="U288" s="17" t="s">
        <v>78</v>
      </c>
      <c r="V288" s="17" t="s">
        <v>78</v>
      </c>
      <c r="W288" s="23"/>
      <c r="X288" s="23"/>
      <c r="Y288" s="21"/>
    </row>
    <row r="289" customFormat="false" ht="15" hidden="false" customHeight="false" outlineLevel="0" collapsed="false">
      <c r="A289" s="16" t="n">
        <v>288</v>
      </c>
      <c r="B289" s="15" t="s">
        <v>993</v>
      </c>
      <c r="C289" s="16" t="s">
        <v>70</v>
      </c>
      <c r="D289" s="16" t="n">
        <v>288</v>
      </c>
      <c r="E289" s="16" t="str">
        <f aca="false">C289&amp;"말씀 #"&amp;TEXT(D289,"000")</f>
        <v>구약말씀 #288</v>
      </c>
      <c r="F289" s="17" t="s">
        <v>889</v>
      </c>
      <c r="G289" s="18" t="s">
        <v>994</v>
      </c>
      <c r="H289" s="19" t="s">
        <v>995</v>
      </c>
      <c r="I289" s="17" t="s">
        <v>511</v>
      </c>
      <c r="J289" s="17" t="s">
        <v>89</v>
      </c>
      <c r="K289" s="20"/>
      <c r="L289" s="17" t="s">
        <v>76</v>
      </c>
      <c r="M289" s="17" t="n">
        <f aca="false">LEN(K289)</f>
        <v>0</v>
      </c>
      <c r="N289" s="17" t="str">
        <f aca="false">IF(M289=0,"-",ROUND(3+M289/안내!$C$12,0))</f>
        <v>-</v>
      </c>
      <c r="O289" s="21" t="str">
        <f aca="false">IF(K289="","(본문 입력 후 자동) | 사 60:1",IF(LEN(K289)&gt;28,LEFT(K289,28)&amp;"…",K289)&amp;" | 사 60:1")</f>
        <v>(본문 입력 후 자동) | 사 60:1</v>
      </c>
      <c r="P289" s="21" t="str">
        <f aca="false">"#"&amp;SUBSTITUTE(안내!$C$5," ","")&amp;" #성경구절 #말씀 #이사야 #소망"</f>
        <v>#오늘의말씀 #성경구절 #말씀 #이사야 #소망</v>
      </c>
      <c r="Q289" s="21" t="s">
        <v>77</v>
      </c>
      <c r="R289" s="22" t="n">
        <f aca="false">안내!$C$6+INT((D289-1)/안내!$C$7)</f>
        <v>46531</v>
      </c>
      <c r="S289" s="17" t="str">
        <f aca="false">IF(MOD(D289-1,안내!$C$7)=0,안내!$C$8,안내!$C$10)</f>
        <v>18:30</v>
      </c>
      <c r="T289" s="17" t="str">
        <f aca="false">CHOOSE(WEEKDAY(R289,2),"월","화","수","목","금","토","일")</f>
        <v>월</v>
      </c>
      <c r="U289" s="17" t="s">
        <v>78</v>
      </c>
      <c r="V289" s="17" t="s">
        <v>78</v>
      </c>
      <c r="W289" s="23"/>
      <c r="X289" s="23"/>
      <c r="Y289" s="21"/>
    </row>
    <row r="290" customFormat="false" ht="15" hidden="false" customHeight="false" outlineLevel="0" collapsed="false">
      <c r="A290" s="16" t="n">
        <v>289</v>
      </c>
      <c r="B290" s="15" t="s">
        <v>996</v>
      </c>
      <c r="C290" s="16" t="s">
        <v>70</v>
      </c>
      <c r="D290" s="16" t="n">
        <v>289</v>
      </c>
      <c r="E290" s="16" t="str">
        <f aca="false">C290&amp;"말씀 #"&amp;TEXT(D290,"000")</f>
        <v>구약말씀 #289</v>
      </c>
      <c r="F290" s="17" t="s">
        <v>889</v>
      </c>
      <c r="G290" s="18" t="s">
        <v>997</v>
      </c>
      <c r="H290" s="19" t="s">
        <v>998</v>
      </c>
      <c r="I290" s="17" t="s">
        <v>970</v>
      </c>
      <c r="J290" s="17" t="s">
        <v>104</v>
      </c>
      <c r="K290" s="20"/>
      <c r="L290" s="17" t="s">
        <v>76</v>
      </c>
      <c r="M290" s="17" t="n">
        <f aca="false">LEN(K290)</f>
        <v>0</v>
      </c>
      <c r="N290" s="17" t="str">
        <f aca="false">IF(M290=0,"-",ROUND(3+M290/안내!$C$12,0))</f>
        <v>-</v>
      </c>
      <c r="O290" s="21" t="str">
        <f aca="false">IF(K290="","(본문 입력 후 자동) | 사 61:1",IF(LEN(K290)&gt;28,LEFT(K290,28)&amp;"…",K290)&amp;" | 사 61:1")</f>
        <v>(본문 입력 후 자동) | 사 61:1</v>
      </c>
      <c r="P290" s="21" t="str">
        <f aca="false">"#"&amp;SUBSTITUTE(안내!$C$5," ","")&amp;" #성경구절 #말씀 #이사야 #복음"</f>
        <v>#오늘의말씀 #성경구절 #말씀 #이사야 #복음</v>
      </c>
      <c r="Q290" s="21" t="s">
        <v>77</v>
      </c>
      <c r="R290" s="22" t="n">
        <f aca="false">안내!$C$6+INT((D290-1)/안내!$C$7)</f>
        <v>46532</v>
      </c>
      <c r="S290" s="17" t="str">
        <f aca="false">IF(MOD(D290-1,안내!$C$7)=0,안내!$C$8,안내!$C$10)</f>
        <v>06:30</v>
      </c>
      <c r="T290" s="17" t="str">
        <f aca="false">CHOOSE(WEEKDAY(R290,2),"월","화","수","목","금","토","일")</f>
        <v>화</v>
      </c>
      <c r="U290" s="17" t="s">
        <v>78</v>
      </c>
      <c r="V290" s="17" t="s">
        <v>78</v>
      </c>
      <c r="W290" s="23"/>
      <c r="X290" s="23"/>
      <c r="Y290" s="21"/>
    </row>
    <row r="291" customFormat="false" ht="15" hidden="false" customHeight="false" outlineLevel="0" collapsed="false">
      <c r="A291" s="16" t="n">
        <v>290</v>
      </c>
      <c r="B291" s="15" t="s">
        <v>999</v>
      </c>
      <c r="C291" s="16" t="s">
        <v>70</v>
      </c>
      <c r="D291" s="16" t="n">
        <v>290</v>
      </c>
      <c r="E291" s="16" t="str">
        <f aca="false">C291&amp;"말씀 #"&amp;TEXT(D291,"000")</f>
        <v>구약말씀 #290</v>
      </c>
      <c r="F291" s="17" t="s">
        <v>889</v>
      </c>
      <c r="G291" s="18" t="s">
        <v>1000</v>
      </c>
      <c r="H291" s="19" t="s">
        <v>1001</v>
      </c>
      <c r="I291" s="17" t="s">
        <v>98</v>
      </c>
      <c r="J291" s="17" t="s">
        <v>99</v>
      </c>
      <c r="K291" s="20"/>
      <c r="L291" s="17" t="s">
        <v>76</v>
      </c>
      <c r="M291" s="17" t="n">
        <f aca="false">LEN(K291)</f>
        <v>0</v>
      </c>
      <c r="N291" s="17" t="str">
        <f aca="false">IF(M291=0,"-",ROUND(3+M291/안내!$C$12,0))</f>
        <v>-</v>
      </c>
      <c r="O291" s="21" t="str">
        <f aca="false">IF(K291="","(본문 입력 후 자동) | 사 64:8",IF(LEN(K291)&gt;28,LEFT(K291,28)&amp;"…",K291)&amp;" | 사 64:8")</f>
        <v>(본문 입력 후 자동) | 사 64:8</v>
      </c>
      <c r="P291" s="21" t="str">
        <f aca="false">"#"&amp;SUBSTITUTE(안내!$C$5," ","")&amp;" #성경구절 #말씀 #이사야 #은혜"</f>
        <v>#오늘의말씀 #성경구절 #말씀 #이사야 #은혜</v>
      </c>
      <c r="Q291" s="21" t="s">
        <v>77</v>
      </c>
      <c r="R291" s="22" t="n">
        <f aca="false">안내!$C$6+INT((D291-1)/안내!$C$7)</f>
        <v>46532</v>
      </c>
      <c r="S291" s="17" t="str">
        <f aca="false">IF(MOD(D291-1,안내!$C$7)=0,안내!$C$8,안내!$C$10)</f>
        <v>18:30</v>
      </c>
      <c r="T291" s="17" t="str">
        <f aca="false">CHOOSE(WEEKDAY(R291,2),"월","화","수","목","금","토","일")</f>
        <v>화</v>
      </c>
      <c r="U291" s="17" t="s">
        <v>78</v>
      </c>
      <c r="V291" s="17" t="s">
        <v>78</v>
      </c>
      <c r="W291" s="23"/>
      <c r="X291" s="23"/>
      <c r="Y291" s="21"/>
    </row>
    <row r="292" customFormat="false" ht="25.35" hidden="false" customHeight="false" outlineLevel="0" collapsed="false">
      <c r="A292" s="16" t="n">
        <v>291</v>
      </c>
      <c r="B292" s="15" t="s">
        <v>1002</v>
      </c>
      <c r="C292" s="16" t="s">
        <v>70</v>
      </c>
      <c r="D292" s="16" t="n">
        <v>291</v>
      </c>
      <c r="E292" s="16" t="str">
        <f aca="false">C292&amp;"말씀 #"&amp;TEXT(D292,"000")</f>
        <v>구약말씀 #291</v>
      </c>
      <c r="F292" s="17" t="s">
        <v>889</v>
      </c>
      <c r="G292" s="18" t="s">
        <v>1003</v>
      </c>
      <c r="H292" s="19" t="s">
        <v>1004</v>
      </c>
      <c r="I292" s="17" t="s">
        <v>160</v>
      </c>
      <c r="J292" s="17" t="s">
        <v>104</v>
      </c>
      <c r="K292" s="20"/>
      <c r="L292" s="17" t="s">
        <v>76</v>
      </c>
      <c r="M292" s="17" t="n">
        <f aca="false">LEN(K292)</f>
        <v>0</v>
      </c>
      <c r="N292" s="17" t="str">
        <f aca="false">IF(M292=0,"-",ROUND(3+M292/안내!$C$12,0))</f>
        <v>-</v>
      </c>
      <c r="O292" s="21" t="str">
        <f aca="false">IF(K292="","(본문 입력 후 자동) | 사 65:24",IF(LEN(K292)&gt;28,LEFT(K292,28)&amp;"…",K292)&amp;" | 사 65:24")</f>
        <v>(본문 입력 후 자동) | 사 65:24</v>
      </c>
      <c r="P292" s="21" t="str">
        <f aca="false">"#"&amp;SUBSTITUTE(안내!$C$5," ","")&amp;" #성경구절 #말씀 #이사야 #기도"</f>
        <v>#오늘의말씀 #성경구절 #말씀 #이사야 #기도</v>
      </c>
      <c r="Q292" s="21" t="s">
        <v>77</v>
      </c>
      <c r="R292" s="22" t="n">
        <f aca="false">안내!$C$6+INT((D292-1)/안내!$C$7)</f>
        <v>46533</v>
      </c>
      <c r="S292" s="17" t="str">
        <f aca="false">IF(MOD(D292-1,안내!$C$7)=0,안내!$C$8,안내!$C$10)</f>
        <v>06:30</v>
      </c>
      <c r="T292" s="17" t="str">
        <f aca="false">CHOOSE(WEEKDAY(R292,2),"월","화","수","목","금","토","일")</f>
        <v>수</v>
      </c>
      <c r="U292" s="17" t="s">
        <v>78</v>
      </c>
      <c r="V292" s="17" t="s">
        <v>78</v>
      </c>
      <c r="W292" s="23"/>
      <c r="X292" s="23"/>
      <c r="Y292" s="21"/>
    </row>
    <row r="293" customFormat="false" ht="25.35" hidden="false" customHeight="false" outlineLevel="0" collapsed="false">
      <c r="A293" s="16" t="n">
        <v>292</v>
      </c>
      <c r="B293" s="15" t="s">
        <v>1005</v>
      </c>
      <c r="C293" s="16" t="s">
        <v>70</v>
      </c>
      <c r="D293" s="16" t="n">
        <v>292</v>
      </c>
      <c r="E293" s="16" t="str">
        <f aca="false">C293&amp;"말씀 #"&amp;TEXT(D293,"000")</f>
        <v>구약말씀 #292</v>
      </c>
      <c r="F293" s="17" t="s">
        <v>889</v>
      </c>
      <c r="G293" s="18" t="s">
        <v>1006</v>
      </c>
      <c r="H293" s="19" t="s">
        <v>1007</v>
      </c>
      <c r="I293" s="17" t="s">
        <v>129</v>
      </c>
      <c r="J293" s="17" t="s">
        <v>99</v>
      </c>
      <c r="K293" s="20"/>
      <c r="L293" s="17" t="s">
        <v>76</v>
      </c>
      <c r="M293" s="17" t="n">
        <f aca="false">LEN(K293)</f>
        <v>0</v>
      </c>
      <c r="N293" s="17" t="str">
        <f aca="false">IF(M293=0,"-",ROUND(3+M293/안내!$C$12,0))</f>
        <v>-</v>
      </c>
      <c r="O293" s="21" t="str">
        <f aca="false">IF(K293="","(본문 입력 후 자동) | 사 66:13",IF(LEN(K293)&gt;28,LEFT(K293,28)&amp;"…",K293)&amp;" | 사 66:13")</f>
        <v>(본문 입력 후 자동) | 사 66:13</v>
      </c>
      <c r="P293" s="21" t="str">
        <f aca="false">"#"&amp;SUBSTITUTE(안내!$C$5," ","")&amp;" #성경구절 #말씀 #이사야 #위로"</f>
        <v>#오늘의말씀 #성경구절 #말씀 #이사야 #위로</v>
      </c>
      <c r="Q293" s="21" t="s">
        <v>77</v>
      </c>
      <c r="R293" s="22" t="n">
        <f aca="false">안내!$C$6+INT((D293-1)/안내!$C$7)</f>
        <v>46533</v>
      </c>
      <c r="S293" s="17" t="str">
        <f aca="false">IF(MOD(D293-1,안내!$C$7)=0,안내!$C$8,안내!$C$10)</f>
        <v>18:30</v>
      </c>
      <c r="T293" s="17" t="str">
        <f aca="false">CHOOSE(WEEKDAY(R293,2),"월","화","수","목","금","토","일")</f>
        <v>수</v>
      </c>
      <c r="U293" s="17" t="s">
        <v>78</v>
      </c>
      <c r="V293" s="17" t="s">
        <v>78</v>
      </c>
      <c r="W293" s="23"/>
      <c r="X293" s="23"/>
      <c r="Y293" s="21"/>
    </row>
    <row r="294" customFormat="false" ht="15" hidden="false" customHeight="false" outlineLevel="0" collapsed="false">
      <c r="A294" s="16" t="n">
        <v>293</v>
      </c>
      <c r="B294" s="15" t="s">
        <v>1008</v>
      </c>
      <c r="C294" s="16" t="s">
        <v>70</v>
      </c>
      <c r="D294" s="16" t="n">
        <v>293</v>
      </c>
      <c r="E294" s="16" t="str">
        <f aca="false">C294&amp;"말씀 #"&amp;TEXT(D294,"000")</f>
        <v>구약말씀 #293</v>
      </c>
      <c r="F294" s="17" t="s">
        <v>1009</v>
      </c>
      <c r="G294" s="18" t="s">
        <v>317</v>
      </c>
      <c r="H294" s="19" t="s">
        <v>1010</v>
      </c>
      <c r="I294" s="17" t="s">
        <v>1011</v>
      </c>
      <c r="J294" s="17" t="s">
        <v>122</v>
      </c>
      <c r="K294" s="20"/>
      <c r="L294" s="17" t="s">
        <v>76</v>
      </c>
      <c r="M294" s="17" t="n">
        <f aca="false">LEN(K294)</f>
        <v>0</v>
      </c>
      <c r="N294" s="17" t="str">
        <f aca="false">IF(M294=0,"-",ROUND(3+M294/안내!$C$12,0))</f>
        <v>-</v>
      </c>
      <c r="O294" s="21" t="str">
        <f aca="false">IF(K294="","(본문 입력 후 자동) | 렘 1:5",IF(LEN(K294)&gt;28,LEFT(K294,28)&amp;"…",K294)&amp;" | 렘 1:5")</f>
        <v>(본문 입력 후 자동) | 렘 1:5</v>
      </c>
      <c r="P294" s="21" t="str">
        <f aca="false">"#"&amp;SUBSTITUTE(안내!$C$5," ","")&amp;" #성경구절 #말씀 #예레미야 #부르심"</f>
        <v>#오늘의말씀 #성경구절 #말씀 #예레미야 #부르심</v>
      </c>
      <c r="Q294" s="21" t="s">
        <v>77</v>
      </c>
      <c r="R294" s="22" t="n">
        <f aca="false">안내!$C$6+INT((D294-1)/안내!$C$7)</f>
        <v>46534</v>
      </c>
      <c r="S294" s="17" t="str">
        <f aca="false">IF(MOD(D294-1,안내!$C$7)=0,안내!$C$8,안내!$C$10)</f>
        <v>06:30</v>
      </c>
      <c r="T294" s="17" t="str">
        <f aca="false">CHOOSE(WEEKDAY(R294,2),"월","화","수","목","금","토","일")</f>
        <v>목</v>
      </c>
      <c r="U294" s="17" t="s">
        <v>78</v>
      </c>
      <c r="V294" s="17" t="s">
        <v>78</v>
      </c>
      <c r="W294" s="23"/>
      <c r="X294" s="23"/>
      <c r="Y294" s="21"/>
    </row>
    <row r="295" customFormat="false" ht="15" hidden="false" customHeight="false" outlineLevel="0" collapsed="false">
      <c r="A295" s="16" t="n">
        <v>294</v>
      </c>
      <c r="B295" s="15" t="s">
        <v>1012</v>
      </c>
      <c r="C295" s="16" t="s">
        <v>70</v>
      </c>
      <c r="D295" s="16" t="n">
        <v>294</v>
      </c>
      <c r="E295" s="16" t="str">
        <f aca="false">C295&amp;"말씀 #"&amp;TEXT(D295,"000")</f>
        <v>구약말씀 #294</v>
      </c>
      <c r="F295" s="17" t="s">
        <v>1009</v>
      </c>
      <c r="G295" s="18" t="s">
        <v>320</v>
      </c>
      <c r="H295" s="19" t="s">
        <v>1013</v>
      </c>
      <c r="I295" s="17" t="s">
        <v>305</v>
      </c>
      <c r="J295" s="17" t="s">
        <v>113</v>
      </c>
      <c r="K295" s="20"/>
      <c r="L295" s="17" t="s">
        <v>76</v>
      </c>
      <c r="M295" s="17" t="n">
        <f aca="false">LEN(K295)</f>
        <v>0</v>
      </c>
      <c r="N295" s="17" t="str">
        <f aca="false">IF(M295=0,"-",ROUND(3+M295/안내!$C$12,0))</f>
        <v>-</v>
      </c>
      <c r="O295" s="21" t="str">
        <f aca="false">IF(K295="","(본문 입력 후 자동) | 렘 1:8",IF(LEN(K295)&gt;28,LEFT(K295,28)&amp;"…",K295)&amp;" | 렘 1:8")</f>
        <v>(본문 입력 후 자동) | 렘 1:8</v>
      </c>
      <c r="P295" s="21" t="str">
        <f aca="false">"#"&amp;SUBSTITUTE(안내!$C$5," ","")&amp;" #성경구절 #말씀 #예레미야 #담대함"</f>
        <v>#오늘의말씀 #성경구절 #말씀 #예레미야 #담대함</v>
      </c>
      <c r="Q295" s="21" t="s">
        <v>77</v>
      </c>
      <c r="R295" s="22" t="n">
        <f aca="false">안내!$C$6+INT((D295-1)/안내!$C$7)</f>
        <v>46534</v>
      </c>
      <c r="S295" s="17" t="str">
        <f aca="false">IF(MOD(D295-1,안내!$C$7)=0,안내!$C$8,안내!$C$10)</f>
        <v>18:30</v>
      </c>
      <c r="T295" s="17" t="str">
        <f aca="false">CHOOSE(WEEKDAY(R295,2),"월","화","수","목","금","토","일")</f>
        <v>목</v>
      </c>
      <c r="U295" s="17" t="s">
        <v>78</v>
      </c>
      <c r="V295" s="17" t="s">
        <v>78</v>
      </c>
      <c r="W295" s="23"/>
      <c r="X295" s="23"/>
      <c r="Y295" s="21"/>
    </row>
    <row r="296" customFormat="false" ht="15" hidden="false" customHeight="false" outlineLevel="0" collapsed="false">
      <c r="A296" s="16" t="n">
        <v>295</v>
      </c>
      <c r="B296" s="15" t="s">
        <v>1014</v>
      </c>
      <c r="C296" s="16" t="s">
        <v>70</v>
      </c>
      <c r="D296" s="16" t="n">
        <v>295</v>
      </c>
      <c r="E296" s="16" t="str">
        <f aca="false">C296&amp;"말씀 #"&amp;TEXT(D296,"000")</f>
        <v>구약말씀 #295</v>
      </c>
      <c r="F296" s="17" t="s">
        <v>1009</v>
      </c>
      <c r="G296" s="18" t="s">
        <v>1015</v>
      </c>
      <c r="H296" s="19" t="s">
        <v>1016</v>
      </c>
      <c r="I296" s="17" t="s">
        <v>454</v>
      </c>
      <c r="J296" s="17" t="s">
        <v>104</v>
      </c>
      <c r="K296" s="20"/>
      <c r="L296" s="17" t="s">
        <v>76</v>
      </c>
      <c r="M296" s="17" t="n">
        <f aca="false">LEN(K296)</f>
        <v>0</v>
      </c>
      <c r="N296" s="17" t="str">
        <f aca="false">IF(M296=0,"-",ROUND(3+M296/안내!$C$12,0))</f>
        <v>-</v>
      </c>
      <c r="O296" s="21" t="str">
        <f aca="false">IF(K296="","(본문 입력 후 자동) | 렘 2:13",IF(LEN(K296)&gt;28,LEFT(K296,28)&amp;"…",K296)&amp;" | 렘 2:13")</f>
        <v>(본문 입력 후 자동) | 렘 2:13</v>
      </c>
      <c r="P296" s="21" t="str">
        <f aca="false">"#"&amp;SUBSTITUTE(안내!$C$5," ","")&amp;" #성경구절 #말씀 #예레미야 #회개"</f>
        <v>#오늘의말씀 #성경구절 #말씀 #예레미야 #회개</v>
      </c>
      <c r="Q296" s="21" t="s">
        <v>77</v>
      </c>
      <c r="R296" s="22" t="n">
        <f aca="false">안내!$C$6+INT((D296-1)/안내!$C$7)</f>
        <v>46535</v>
      </c>
      <c r="S296" s="17" t="str">
        <f aca="false">IF(MOD(D296-1,안내!$C$7)=0,안내!$C$8,안내!$C$10)</f>
        <v>06:30</v>
      </c>
      <c r="T296" s="17" t="str">
        <f aca="false">CHOOSE(WEEKDAY(R296,2),"월","화","수","목","금","토","일")</f>
        <v>금</v>
      </c>
      <c r="U296" s="17" t="s">
        <v>78</v>
      </c>
      <c r="V296" s="17" t="s">
        <v>78</v>
      </c>
      <c r="W296" s="23"/>
      <c r="X296" s="23"/>
      <c r="Y296" s="21"/>
    </row>
    <row r="297" customFormat="false" ht="15" hidden="false" customHeight="false" outlineLevel="0" collapsed="false">
      <c r="A297" s="16" t="n">
        <v>296</v>
      </c>
      <c r="B297" s="15" t="s">
        <v>1017</v>
      </c>
      <c r="C297" s="16" t="s">
        <v>70</v>
      </c>
      <c r="D297" s="16" t="n">
        <v>296</v>
      </c>
      <c r="E297" s="16" t="str">
        <f aca="false">C297&amp;"말씀 #"&amp;TEXT(D297,"000")</f>
        <v>구약말씀 #296</v>
      </c>
      <c r="F297" s="17" t="s">
        <v>1009</v>
      </c>
      <c r="G297" s="18" t="s">
        <v>1018</v>
      </c>
      <c r="H297" s="19" t="s">
        <v>1019</v>
      </c>
      <c r="I297" s="17" t="s">
        <v>176</v>
      </c>
      <c r="J297" s="17" t="s">
        <v>75</v>
      </c>
      <c r="K297" s="20"/>
      <c r="L297" s="17" t="s">
        <v>76</v>
      </c>
      <c r="M297" s="17" t="n">
        <f aca="false">LEN(K297)</f>
        <v>0</v>
      </c>
      <c r="N297" s="17" t="str">
        <f aca="false">IF(M297=0,"-",ROUND(3+M297/안내!$C$12,0))</f>
        <v>-</v>
      </c>
      <c r="O297" s="21" t="str">
        <f aca="false">IF(K297="","(본문 입력 후 자동) | 렘 9:24",IF(LEN(K297)&gt;28,LEFT(K297,28)&amp;"…",K297)&amp;" | 렘 9:24")</f>
        <v>(본문 입력 후 자동) | 렘 9:24</v>
      </c>
      <c r="P297" s="21" t="str">
        <f aca="false">"#"&amp;SUBSTITUTE(안내!$C$5," ","")&amp;" #성경구절 #말씀 #예레미야 #하나님"</f>
        <v>#오늘의말씀 #성경구절 #말씀 #예레미야 #하나님</v>
      </c>
      <c r="Q297" s="21" t="s">
        <v>77</v>
      </c>
      <c r="R297" s="22" t="n">
        <f aca="false">안내!$C$6+INT((D297-1)/안내!$C$7)</f>
        <v>46535</v>
      </c>
      <c r="S297" s="17" t="str">
        <f aca="false">IF(MOD(D297-1,안내!$C$7)=0,안내!$C$8,안내!$C$10)</f>
        <v>18:30</v>
      </c>
      <c r="T297" s="17" t="str">
        <f aca="false">CHOOSE(WEEKDAY(R297,2),"월","화","수","목","금","토","일")</f>
        <v>금</v>
      </c>
      <c r="U297" s="17" t="s">
        <v>78</v>
      </c>
      <c r="V297" s="17" t="s">
        <v>78</v>
      </c>
      <c r="W297" s="23"/>
      <c r="X297" s="23"/>
      <c r="Y297" s="21"/>
    </row>
    <row r="298" customFormat="false" ht="25.35" hidden="false" customHeight="false" outlineLevel="0" collapsed="false">
      <c r="A298" s="16" t="n">
        <v>297</v>
      </c>
      <c r="B298" s="15" t="s">
        <v>1020</v>
      </c>
      <c r="C298" s="16" t="s">
        <v>70</v>
      </c>
      <c r="D298" s="16" t="n">
        <v>297</v>
      </c>
      <c r="E298" s="16" t="str">
        <f aca="false">C298&amp;"말씀 #"&amp;TEXT(D298,"000")</f>
        <v>구약말씀 #297</v>
      </c>
      <c r="F298" s="17" t="s">
        <v>1009</v>
      </c>
      <c r="G298" s="18" t="s">
        <v>1021</v>
      </c>
      <c r="H298" s="19" t="s">
        <v>1022</v>
      </c>
      <c r="I298" s="17" t="s">
        <v>180</v>
      </c>
      <c r="J298" s="17" t="s">
        <v>122</v>
      </c>
      <c r="K298" s="20"/>
      <c r="L298" s="17" t="s">
        <v>76</v>
      </c>
      <c r="M298" s="17" t="n">
        <f aca="false">LEN(K298)</f>
        <v>0</v>
      </c>
      <c r="N298" s="17" t="str">
        <f aca="false">IF(M298=0,"-",ROUND(3+M298/안내!$C$12,0))</f>
        <v>-</v>
      </c>
      <c r="O298" s="21" t="str">
        <f aca="false">IF(K298="","(본문 입력 후 자동) | 렘 10:23",IF(LEN(K298)&gt;28,LEFT(K298,28)&amp;"…",K298)&amp;" | 렘 10:23")</f>
        <v>(본문 입력 후 자동) | 렘 10:23</v>
      </c>
      <c r="P298" s="21" t="str">
        <f aca="false">"#"&amp;SUBSTITUTE(안내!$C$5," ","")&amp;" #성경구절 #말씀 #예레미야 #인도"</f>
        <v>#오늘의말씀 #성경구절 #말씀 #예레미야 #인도</v>
      </c>
      <c r="Q298" s="21" t="s">
        <v>77</v>
      </c>
      <c r="R298" s="22" t="n">
        <f aca="false">안내!$C$6+INT((D298-1)/안내!$C$7)</f>
        <v>46536</v>
      </c>
      <c r="S298" s="17" t="str">
        <f aca="false">IF(MOD(D298-1,안내!$C$7)=0,안내!$C$8,안내!$C$10)</f>
        <v>06:30</v>
      </c>
      <c r="T298" s="17" t="str">
        <f aca="false">CHOOSE(WEEKDAY(R298,2),"월","화","수","목","금","토","일")</f>
        <v>토</v>
      </c>
      <c r="U298" s="17" t="s">
        <v>78</v>
      </c>
      <c r="V298" s="17" t="s">
        <v>78</v>
      </c>
      <c r="W298" s="23"/>
      <c r="X298" s="23"/>
      <c r="Y298" s="21"/>
    </row>
    <row r="299" customFormat="false" ht="25.35" hidden="false" customHeight="false" outlineLevel="0" collapsed="false">
      <c r="A299" s="16" t="n">
        <v>298</v>
      </c>
      <c r="B299" s="15" t="s">
        <v>1023</v>
      </c>
      <c r="C299" s="16" t="s">
        <v>70</v>
      </c>
      <c r="D299" s="16" t="n">
        <v>298</v>
      </c>
      <c r="E299" s="16" t="str">
        <f aca="false">C299&amp;"말씀 #"&amp;TEXT(D299,"000")</f>
        <v>구약말씀 #298</v>
      </c>
      <c r="F299" s="17" t="s">
        <v>1009</v>
      </c>
      <c r="G299" s="18" t="s">
        <v>1024</v>
      </c>
      <c r="H299" s="19" t="s">
        <v>1025</v>
      </c>
      <c r="I299" s="17" t="s">
        <v>284</v>
      </c>
      <c r="J299" s="17" t="s">
        <v>148</v>
      </c>
      <c r="K299" s="20"/>
      <c r="L299" s="17" t="s">
        <v>76</v>
      </c>
      <c r="M299" s="17" t="n">
        <f aca="false">LEN(K299)</f>
        <v>0</v>
      </c>
      <c r="N299" s="17" t="str">
        <f aca="false">IF(M299=0,"-",ROUND(3+M299/안내!$C$12,0))</f>
        <v>-</v>
      </c>
      <c r="O299" s="21" t="str">
        <f aca="false">IF(K299="","(본문 입력 후 자동) | 렘 15:16",IF(LEN(K299)&gt;28,LEFT(K299,28)&amp;"…",K299)&amp;" | 렘 15:16")</f>
        <v>(본문 입력 후 자동) | 렘 15:16</v>
      </c>
      <c r="P299" s="21" t="str">
        <f aca="false">"#"&amp;SUBSTITUTE(안내!$C$5," ","")&amp;" #성경구절 #말씀 #예레미야 #말씀"</f>
        <v>#오늘의말씀 #성경구절 #말씀 #예레미야 #말씀</v>
      </c>
      <c r="Q299" s="21" t="s">
        <v>77</v>
      </c>
      <c r="R299" s="22" t="n">
        <f aca="false">안내!$C$6+INT((D299-1)/안내!$C$7)</f>
        <v>46536</v>
      </c>
      <c r="S299" s="17" t="str">
        <f aca="false">IF(MOD(D299-1,안내!$C$7)=0,안내!$C$8,안내!$C$10)</f>
        <v>18:30</v>
      </c>
      <c r="T299" s="17" t="str">
        <f aca="false">CHOOSE(WEEKDAY(R299,2),"월","화","수","목","금","토","일")</f>
        <v>토</v>
      </c>
      <c r="U299" s="17" t="s">
        <v>78</v>
      </c>
      <c r="V299" s="17" t="s">
        <v>78</v>
      </c>
      <c r="W299" s="23"/>
      <c r="X299" s="23"/>
      <c r="Y299" s="21"/>
    </row>
    <row r="300" customFormat="false" ht="15" hidden="false" customHeight="false" outlineLevel="0" collapsed="false">
      <c r="A300" s="16" t="n">
        <v>299</v>
      </c>
      <c r="B300" s="15" t="s">
        <v>1026</v>
      </c>
      <c r="C300" s="16" t="s">
        <v>70</v>
      </c>
      <c r="D300" s="16" t="n">
        <v>299</v>
      </c>
      <c r="E300" s="16" t="str">
        <f aca="false">C300&amp;"말씀 #"&amp;TEXT(D300,"000")</f>
        <v>구약말씀 #299</v>
      </c>
      <c r="F300" s="17" t="s">
        <v>1009</v>
      </c>
      <c r="G300" s="18" t="s">
        <v>1027</v>
      </c>
      <c r="H300" s="19" t="s">
        <v>1028</v>
      </c>
      <c r="I300" s="17" t="s">
        <v>497</v>
      </c>
      <c r="J300" s="17" t="s">
        <v>113</v>
      </c>
      <c r="K300" s="20"/>
      <c r="L300" s="17" t="s">
        <v>76</v>
      </c>
      <c r="M300" s="17" t="n">
        <f aca="false">LEN(K300)</f>
        <v>0</v>
      </c>
      <c r="N300" s="17" t="str">
        <f aca="false">IF(M300=0,"-",ROUND(3+M300/안내!$C$12,0))</f>
        <v>-</v>
      </c>
      <c r="O300" s="21" t="str">
        <f aca="false">IF(K300="","(본문 입력 후 자동) | 렘 17:7",IF(LEN(K300)&gt;28,LEFT(K300,28)&amp;"…",K300)&amp;" | 렘 17:7")</f>
        <v>(본문 입력 후 자동) | 렘 17:7</v>
      </c>
      <c r="P300" s="21" t="str">
        <f aca="false">"#"&amp;SUBSTITUTE(안내!$C$5," ","")&amp;" #성경구절 #말씀 #예레미야 #신뢰"</f>
        <v>#오늘의말씀 #성경구절 #말씀 #예레미야 #신뢰</v>
      </c>
      <c r="Q300" s="21" t="s">
        <v>77</v>
      </c>
      <c r="R300" s="22" t="n">
        <f aca="false">안내!$C$6+INT((D300-1)/안내!$C$7)</f>
        <v>46537</v>
      </c>
      <c r="S300" s="17" t="str">
        <f aca="false">IF(MOD(D300-1,안내!$C$7)=0,안내!$C$8,안내!$C$10)</f>
        <v>06:30</v>
      </c>
      <c r="T300" s="17" t="str">
        <f aca="false">CHOOSE(WEEKDAY(R300,2),"월","화","수","목","금","토","일")</f>
        <v>일</v>
      </c>
      <c r="U300" s="17" t="s">
        <v>78</v>
      </c>
      <c r="V300" s="17" t="s">
        <v>78</v>
      </c>
      <c r="W300" s="23"/>
      <c r="X300" s="23"/>
      <c r="Y300" s="21"/>
    </row>
    <row r="301" customFormat="false" ht="15" hidden="false" customHeight="false" outlineLevel="0" collapsed="false">
      <c r="A301" s="16" t="n">
        <v>300</v>
      </c>
      <c r="B301" s="15" t="s">
        <v>1029</v>
      </c>
      <c r="C301" s="16" t="s">
        <v>70</v>
      </c>
      <c r="D301" s="16" t="n">
        <v>300</v>
      </c>
      <c r="E301" s="16" t="str">
        <f aca="false">C301&amp;"말씀 #"&amp;TEXT(D301,"000")</f>
        <v>구약말씀 #300</v>
      </c>
      <c r="F301" s="17" t="s">
        <v>1009</v>
      </c>
      <c r="G301" s="18" t="s">
        <v>1030</v>
      </c>
      <c r="H301" s="19" t="s">
        <v>1031</v>
      </c>
      <c r="I301" s="17" t="s">
        <v>376</v>
      </c>
      <c r="J301" s="17" t="s">
        <v>94</v>
      </c>
      <c r="K301" s="20"/>
      <c r="L301" s="17" t="s">
        <v>76</v>
      </c>
      <c r="M301" s="17" t="n">
        <f aca="false">LEN(K301)</f>
        <v>0</v>
      </c>
      <c r="N301" s="17" t="str">
        <f aca="false">IF(M301=0,"-",ROUND(3+M301/안내!$C$12,0))</f>
        <v>-</v>
      </c>
      <c r="O301" s="21" t="str">
        <f aca="false">IF(K301="","(본문 입력 후 자동) | 렘 17:9",IF(LEN(K301)&gt;28,LEFT(K301,28)&amp;"…",K301)&amp;" | 렘 17:9")</f>
        <v>(본문 입력 후 자동) | 렘 17:9</v>
      </c>
      <c r="P301" s="21" t="str">
        <f aca="false">"#"&amp;SUBSTITUTE(안내!$C$5," ","")&amp;" #성경구절 #말씀 #예레미야 #마음"</f>
        <v>#오늘의말씀 #성경구절 #말씀 #예레미야 #마음</v>
      </c>
      <c r="Q301" s="21" t="s">
        <v>77</v>
      </c>
      <c r="R301" s="22" t="n">
        <f aca="false">안내!$C$6+INT((D301-1)/안내!$C$7)</f>
        <v>46537</v>
      </c>
      <c r="S301" s="17" t="str">
        <f aca="false">IF(MOD(D301-1,안내!$C$7)=0,안내!$C$8,안내!$C$10)</f>
        <v>18:30</v>
      </c>
      <c r="T301" s="17" t="str">
        <f aca="false">CHOOSE(WEEKDAY(R301,2),"월","화","수","목","금","토","일")</f>
        <v>일</v>
      </c>
      <c r="U301" s="17" t="s">
        <v>78</v>
      </c>
      <c r="V301" s="17" t="s">
        <v>78</v>
      </c>
      <c r="W301" s="23"/>
      <c r="X301" s="23"/>
      <c r="Y301" s="21"/>
    </row>
    <row r="302" customFormat="false" ht="25.35" hidden="false" customHeight="false" outlineLevel="0" collapsed="false">
      <c r="A302" s="16" t="n">
        <v>301</v>
      </c>
      <c r="B302" s="15" t="s">
        <v>1032</v>
      </c>
      <c r="C302" s="16" t="s">
        <v>70</v>
      </c>
      <c r="D302" s="16" t="n">
        <v>301</v>
      </c>
      <c r="E302" s="16" t="str">
        <f aca="false">C302&amp;"말씀 #"&amp;TEXT(D302,"000")</f>
        <v>구약말씀 #301</v>
      </c>
      <c r="F302" s="17" t="s">
        <v>1009</v>
      </c>
      <c r="G302" s="18" t="s">
        <v>1033</v>
      </c>
      <c r="H302" s="19" t="s">
        <v>1034</v>
      </c>
      <c r="I302" s="17" t="s">
        <v>200</v>
      </c>
      <c r="J302" s="17" t="s">
        <v>99</v>
      </c>
      <c r="K302" s="20"/>
      <c r="L302" s="17" t="s">
        <v>76</v>
      </c>
      <c r="M302" s="17" t="n">
        <f aca="false">LEN(K302)</f>
        <v>0</v>
      </c>
      <c r="N302" s="17" t="str">
        <f aca="false">IF(M302=0,"-",ROUND(3+M302/안내!$C$12,0))</f>
        <v>-</v>
      </c>
      <c r="O302" s="21" t="str">
        <f aca="false">IF(K302="","(본문 입력 후 자동) | 렘 17:14",IF(LEN(K302)&gt;28,LEFT(K302,28)&amp;"…",K302)&amp;" | 렘 17:14")</f>
        <v>(본문 입력 후 자동) | 렘 17:14</v>
      </c>
      <c r="P302" s="21" t="str">
        <f aca="false">"#"&amp;SUBSTITUTE(안내!$C$5," ","")&amp;" #성경구절 #말씀 #예레미야 #치료"</f>
        <v>#오늘의말씀 #성경구절 #말씀 #예레미야 #치료</v>
      </c>
      <c r="Q302" s="21" t="s">
        <v>77</v>
      </c>
      <c r="R302" s="22" t="n">
        <f aca="false">안내!$C$6+INT((D302-1)/안내!$C$7)</f>
        <v>46538</v>
      </c>
      <c r="S302" s="17" t="str">
        <f aca="false">IF(MOD(D302-1,안내!$C$7)=0,안내!$C$8,안내!$C$10)</f>
        <v>06:30</v>
      </c>
      <c r="T302" s="17" t="str">
        <f aca="false">CHOOSE(WEEKDAY(R302,2),"월","화","수","목","금","토","일")</f>
        <v>월</v>
      </c>
      <c r="U302" s="17" t="s">
        <v>78</v>
      </c>
      <c r="V302" s="17" t="s">
        <v>78</v>
      </c>
      <c r="W302" s="23"/>
      <c r="X302" s="23"/>
      <c r="Y302" s="21"/>
    </row>
    <row r="303" customFormat="false" ht="15" hidden="false" customHeight="false" outlineLevel="0" collapsed="false">
      <c r="A303" s="16" t="n">
        <v>302</v>
      </c>
      <c r="B303" s="15" t="s">
        <v>1035</v>
      </c>
      <c r="C303" s="16" t="s">
        <v>70</v>
      </c>
      <c r="D303" s="16" t="n">
        <v>302</v>
      </c>
      <c r="E303" s="16" t="str">
        <f aca="false">C303&amp;"말씀 #"&amp;TEXT(D303,"000")</f>
        <v>구약말씀 #302</v>
      </c>
      <c r="F303" s="17" t="s">
        <v>1009</v>
      </c>
      <c r="G303" s="18" t="s">
        <v>1036</v>
      </c>
      <c r="H303" s="19" t="s">
        <v>1037</v>
      </c>
      <c r="I303" s="17" t="s">
        <v>98</v>
      </c>
      <c r="J303" s="17" t="s">
        <v>99</v>
      </c>
      <c r="K303" s="20"/>
      <c r="L303" s="17" t="s">
        <v>76</v>
      </c>
      <c r="M303" s="17" t="n">
        <f aca="false">LEN(K303)</f>
        <v>0</v>
      </c>
      <c r="N303" s="17" t="str">
        <f aca="false">IF(M303=0,"-",ROUND(3+M303/안내!$C$12,0))</f>
        <v>-</v>
      </c>
      <c r="O303" s="21" t="str">
        <f aca="false">IF(K303="","(본문 입력 후 자동) | 렘 18:6",IF(LEN(K303)&gt;28,LEFT(K303,28)&amp;"…",K303)&amp;" | 렘 18:6")</f>
        <v>(본문 입력 후 자동) | 렘 18:6</v>
      </c>
      <c r="P303" s="21" t="str">
        <f aca="false">"#"&amp;SUBSTITUTE(안내!$C$5," ","")&amp;" #성경구절 #말씀 #예레미야 #은혜"</f>
        <v>#오늘의말씀 #성경구절 #말씀 #예레미야 #은혜</v>
      </c>
      <c r="Q303" s="21" t="s">
        <v>77</v>
      </c>
      <c r="R303" s="22" t="n">
        <f aca="false">안내!$C$6+INT((D303-1)/안내!$C$7)</f>
        <v>46538</v>
      </c>
      <c r="S303" s="17" t="str">
        <f aca="false">IF(MOD(D303-1,안내!$C$7)=0,안내!$C$8,안내!$C$10)</f>
        <v>18:30</v>
      </c>
      <c r="T303" s="17" t="str">
        <f aca="false">CHOOSE(WEEKDAY(R303,2),"월","화","수","목","금","토","일")</f>
        <v>월</v>
      </c>
      <c r="U303" s="17" t="s">
        <v>78</v>
      </c>
      <c r="V303" s="17" t="s">
        <v>78</v>
      </c>
      <c r="W303" s="23"/>
      <c r="X303" s="23"/>
      <c r="Y303" s="21"/>
    </row>
    <row r="304" customFormat="false" ht="15" hidden="false" customHeight="false" outlineLevel="0" collapsed="false">
      <c r="A304" s="16" t="n">
        <v>303</v>
      </c>
      <c r="B304" s="15" t="s">
        <v>1038</v>
      </c>
      <c r="C304" s="16" t="s">
        <v>70</v>
      </c>
      <c r="D304" s="16" t="n">
        <v>303</v>
      </c>
      <c r="E304" s="16" t="str">
        <f aca="false">C304&amp;"말씀 #"&amp;TEXT(D304,"000")</f>
        <v>구약말씀 #303</v>
      </c>
      <c r="F304" s="17" t="s">
        <v>1009</v>
      </c>
      <c r="G304" s="18" t="s">
        <v>1039</v>
      </c>
      <c r="H304" s="19" t="s">
        <v>1040</v>
      </c>
      <c r="I304" s="17" t="s">
        <v>284</v>
      </c>
      <c r="J304" s="17" t="s">
        <v>148</v>
      </c>
      <c r="K304" s="20"/>
      <c r="L304" s="17" t="s">
        <v>76</v>
      </c>
      <c r="M304" s="17" t="n">
        <f aca="false">LEN(K304)</f>
        <v>0</v>
      </c>
      <c r="N304" s="17" t="str">
        <f aca="false">IF(M304=0,"-",ROUND(3+M304/안내!$C$12,0))</f>
        <v>-</v>
      </c>
      <c r="O304" s="21" t="str">
        <f aca="false">IF(K304="","(본문 입력 후 자동) | 렘 20:9",IF(LEN(K304)&gt;28,LEFT(K304,28)&amp;"…",K304)&amp;" | 렘 20:9")</f>
        <v>(본문 입력 후 자동) | 렘 20:9</v>
      </c>
      <c r="P304" s="21" t="str">
        <f aca="false">"#"&amp;SUBSTITUTE(안내!$C$5," ","")&amp;" #성경구절 #말씀 #예레미야 #말씀"</f>
        <v>#오늘의말씀 #성경구절 #말씀 #예레미야 #말씀</v>
      </c>
      <c r="Q304" s="21" t="s">
        <v>77</v>
      </c>
      <c r="R304" s="22" t="n">
        <f aca="false">안내!$C$6+INT((D304-1)/안내!$C$7)</f>
        <v>46539</v>
      </c>
      <c r="S304" s="17" t="str">
        <f aca="false">IF(MOD(D304-1,안내!$C$7)=0,안내!$C$8,안내!$C$10)</f>
        <v>06:30</v>
      </c>
      <c r="T304" s="17" t="str">
        <f aca="false">CHOOSE(WEEKDAY(R304,2),"월","화","수","목","금","토","일")</f>
        <v>화</v>
      </c>
      <c r="U304" s="17" t="s">
        <v>78</v>
      </c>
      <c r="V304" s="17" t="s">
        <v>78</v>
      </c>
      <c r="W304" s="23"/>
      <c r="X304" s="23"/>
      <c r="Y304" s="21"/>
    </row>
    <row r="305" customFormat="false" ht="25.35" hidden="false" customHeight="false" outlineLevel="0" collapsed="false">
      <c r="A305" s="16" t="n">
        <v>304</v>
      </c>
      <c r="B305" s="15" t="s">
        <v>1041</v>
      </c>
      <c r="C305" s="16" t="s">
        <v>70</v>
      </c>
      <c r="D305" s="16" t="n">
        <v>304</v>
      </c>
      <c r="E305" s="16" t="str">
        <f aca="false">C305&amp;"말씀 #"&amp;TEXT(D305,"000")</f>
        <v>구약말씀 #304</v>
      </c>
      <c r="F305" s="17" t="s">
        <v>1009</v>
      </c>
      <c r="G305" s="18" t="s">
        <v>1042</v>
      </c>
      <c r="H305" s="19" t="s">
        <v>1043</v>
      </c>
      <c r="I305" s="17" t="s">
        <v>156</v>
      </c>
      <c r="J305" s="17" t="s">
        <v>75</v>
      </c>
      <c r="K305" s="20"/>
      <c r="L305" s="17" t="s">
        <v>76</v>
      </c>
      <c r="M305" s="17" t="n">
        <f aca="false">LEN(K305)</f>
        <v>0</v>
      </c>
      <c r="N305" s="17" t="str">
        <f aca="false">IF(M305=0,"-",ROUND(3+M305/안내!$C$12,0))</f>
        <v>-</v>
      </c>
      <c r="O305" s="21" t="str">
        <f aca="false">IF(K305="","(본문 입력 후 자동) | 렘 23:24",IF(LEN(K305)&gt;28,LEFT(K305,28)&amp;"…",K305)&amp;" | 렘 23:24")</f>
        <v>(본문 입력 후 자동) | 렘 23:24</v>
      </c>
      <c r="P305" s="21" t="str">
        <f aca="false">"#"&amp;SUBSTITUTE(안내!$C$5," ","")&amp;" #성경구절 #말씀 #예레미야 #임재"</f>
        <v>#오늘의말씀 #성경구절 #말씀 #예레미야 #임재</v>
      </c>
      <c r="Q305" s="21" t="s">
        <v>77</v>
      </c>
      <c r="R305" s="22" t="n">
        <f aca="false">안내!$C$6+INT((D305-1)/안내!$C$7)</f>
        <v>46539</v>
      </c>
      <c r="S305" s="17" t="str">
        <f aca="false">IF(MOD(D305-1,안내!$C$7)=0,안내!$C$8,안내!$C$10)</f>
        <v>18:30</v>
      </c>
      <c r="T305" s="17" t="str">
        <f aca="false">CHOOSE(WEEKDAY(R305,2),"월","화","수","목","금","토","일")</f>
        <v>화</v>
      </c>
      <c r="U305" s="17" t="s">
        <v>78</v>
      </c>
      <c r="V305" s="17" t="s">
        <v>78</v>
      </c>
      <c r="W305" s="23"/>
      <c r="X305" s="23"/>
      <c r="Y305" s="21"/>
    </row>
    <row r="306" customFormat="false" ht="39.55" hidden="false" customHeight="false" outlineLevel="0" collapsed="false">
      <c r="A306" s="16" t="n">
        <v>305</v>
      </c>
      <c r="B306" s="15" t="s">
        <v>1044</v>
      </c>
      <c r="C306" s="16" t="s">
        <v>70</v>
      </c>
      <c r="D306" s="16" t="n">
        <v>305</v>
      </c>
      <c r="E306" s="16" t="str">
        <f aca="false">C306&amp;"말씀 #"&amp;TEXT(D306,"000")</f>
        <v>구약말씀 #305</v>
      </c>
      <c r="F306" s="17" t="s">
        <v>1009</v>
      </c>
      <c r="G306" s="18" t="s">
        <v>448</v>
      </c>
      <c r="H306" s="19" t="s">
        <v>1045</v>
      </c>
      <c r="I306" s="17" t="s">
        <v>511</v>
      </c>
      <c r="J306" s="17" t="s">
        <v>89</v>
      </c>
      <c r="K306" s="20"/>
      <c r="L306" s="17" t="s">
        <v>76</v>
      </c>
      <c r="M306" s="17" t="n">
        <f aca="false">LEN(K306)</f>
        <v>0</v>
      </c>
      <c r="N306" s="17" t="str">
        <f aca="false">IF(M306=0,"-",ROUND(3+M306/안내!$C$12,0))</f>
        <v>-</v>
      </c>
      <c r="O306" s="21" t="str">
        <f aca="false">IF(K306="","(본문 입력 후 자동) | 렘 29:11",IF(LEN(K306)&gt;28,LEFT(K306,28)&amp;"…",K306)&amp;" | 렘 29:11")</f>
        <v>(본문 입력 후 자동) | 렘 29:11</v>
      </c>
      <c r="P306" s="21" t="str">
        <f aca="false">"#"&amp;SUBSTITUTE(안내!$C$5," ","")&amp;" #성경구절 #말씀 #예레미야 #소망"</f>
        <v>#오늘의말씀 #성경구절 #말씀 #예레미야 #소망</v>
      </c>
      <c r="Q306" s="24" t="s">
        <v>1046</v>
      </c>
      <c r="R306" s="22" t="n">
        <f aca="false">안내!$C$6+INT((D306-1)/안내!$C$7)</f>
        <v>46540</v>
      </c>
      <c r="S306" s="17" t="str">
        <f aca="false">IF(MOD(D306-1,안내!$C$7)=0,안내!$C$8,안내!$C$10)</f>
        <v>06:30</v>
      </c>
      <c r="T306" s="17" t="str">
        <f aca="false">CHOOSE(WEEKDAY(R306,2),"월","화","수","목","금","토","일")</f>
        <v>수</v>
      </c>
      <c r="U306" s="17" t="s">
        <v>78</v>
      </c>
      <c r="V306" s="17" t="s">
        <v>78</v>
      </c>
      <c r="W306" s="23"/>
      <c r="X306" s="23"/>
      <c r="Y306" s="21"/>
    </row>
    <row r="307" customFormat="false" ht="25.35" hidden="false" customHeight="false" outlineLevel="0" collapsed="false">
      <c r="A307" s="16" t="n">
        <v>306</v>
      </c>
      <c r="B307" s="15" t="s">
        <v>1047</v>
      </c>
      <c r="C307" s="16" t="s">
        <v>70</v>
      </c>
      <c r="D307" s="16" t="n">
        <v>306</v>
      </c>
      <c r="E307" s="16" t="str">
        <f aca="false">C307&amp;"말씀 #"&amp;TEXT(D307,"000")</f>
        <v>구약말씀 #306</v>
      </c>
      <c r="F307" s="17" t="s">
        <v>1009</v>
      </c>
      <c r="G307" s="18" t="s">
        <v>1048</v>
      </c>
      <c r="H307" s="19" t="s">
        <v>1049</v>
      </c>
      <c r="I307" s="17" t="s">
        <v>160</v>
      </c>
      <c r="J307" s="17" t="s">
        <v>104</v>
      </c>
      <c r="K307" s="20"/>
      <c r="L307" s="17" t="s">
        <v>76</v>
      </c>
      <c r="M307" s="17" t="n">
        <f aca="false">LEN(K307)</f>
        <v>0</v>
      </c>
      <c r="N307" s="17" t="str">
        <f aca="false">IF(M307=0,"-",ROUND(3+M307/안내!$C$12,0))</f>
        <v>-</v>
      </c>
      <c r="O307" s="21" t="str">
        <f aca="false">IF(K307="","(본문 입력 후 자동) | 렘 29:13",IF(LEN(K307)&gt;28,LEFT(K307,28)&amp;"…",K307)&amp;" | 렘 29:13")</f>
        <v>(본문 입력 후 자동) | 렘 29:13</v>
      </c>
      <c r="P307" s="21" t="str">
        <f aca="false">"#"&amp;SUBSTITUTE(안내!$C$5," ","")&amp;" #성경구절 #말씀 #예레미야 #기도"</f>
        <v>#오늘의말씀 #성경구절 #말씀 #예레미야 #기도</v>
      </c>
      <c r="Q307" s="21" t="s">
        <v>77</v>
      </c>
      <c r="R307" s="22" t="n">
        <f aca="false">안내!$C$6+INT((D307-1)/안내!$C$7)</f>
        <v>46540</v>
      </c>
      <c r="S307" s="17" t="str">
        <f aca="false">IF(MOD(D307-1,안내!$C$7)=0,안내!$C$8,안내!$C$10)</f>
        <v>18:30</v>
      </c>
      <c r="T307" s="17" t="str">
        <f aca="false">CHOOSE(WEEKDAY(R307,2),"월","화","수","목","금","토","일")</f>
        <v>수</v>
      </c>
      <c r="U307" s="17" t="s">
        <v>78</v>
      </c>
      <c r="V307" s="17" t="s">
        <v>78</v>
      </c>
      <c r="W307" s="23"/>
      <c r="X307" s="23"/>
      <c r="Y307" s="21"/>
    </row>
    <row r="308" customFormat="false" ht="15" hidden="false" customHeight="false" outlineLevel="0" collapsed="false">
      <c r="A308" s="16" t="n">
        <v>307</v>
      </c>
      <c r="B308" s="15" t="s">
        <v>1050</v>
      </c>
      <c r="C308" s="16" t="s">
        <v>70</v>
      </c>
      <c r="D308" s="16" t="n">
        <v>307</v>
      </c>
      <c r="E308" s="16" t="str">
        <f aca="false">C308&amp;"말씀 #"&amp;TEXT(D308,"000")</f>
        <v>구약말씀 #307</v>
      </c>
      <c r="F308" s="17" t="s">
        <v>1009</v>
      </c>
      <c r="G308" s="18" t="s">
        <v>1051</v>
      </c>
      <c r="H308" s="19" t="s">
        <v>1052</v>
      </c>
      <c r="I308" s="17" t="s">
        <v>239</v>
      </c>
      <c r="J308" s="17" t="s">
        <v>94</v>
      </c>
      <c r="K308" s="20"/>
      <c r="L308" s="17" t="s">
        <v>76</v>
      </c>
      <c r="M308" s="17" t="n">
        <f aca="false">LEN(K308)</f>
        <v>0</v>
      </c>
      <c r="N308" s="17" t="str">
        <f aca="false">IF(M308=0,"-",ROUND(3+M308/안내!$C$12,0))</f>
        <v>-</v>
      </c>
      <c r="O308" s="21" t="str">
        <f aca="false">IF(K308="","(본문 입력 후 자동) | 렘 31:3",IF(LEN(K308)&gt;28,LEFT(K308,28)&amp;"…",K308)&amp;" | 렘 31:3")</f>
        <v>(본문 입력 후 자동) | 렘 31:3</v>
      </c>
      <c r="P308" s="21" t="str">
        <f aca="false">"#"&amp;SUBSTITUTE(안내!$C$5," ","")&amp;" #성경구절 #말씀 #예레미야 #사랑"</f>
        <v>#오늘의말씀 #성경구절 #말씀 #예레미야 #사랑</v>
      </c>
      <c r="Q308" s="21" t="s">
        <v>77</v>
      </c>
      <c r="R308" s="22" t="n">
        <f aca="false">안내!$C$6+INT((D308-1)/안내!$C$7)</f>
        <v>46541</v>
      </c>
      <c r="S308" s="17" t="str">
        <f aca="false">IF(MOD(D308-1,안내!$C$7)=0,안내!$C$8,안내!$C$10)</f>
        <v>06:30</v>
      </c>
      <c r="T308" s="17" t="str">
        <f aca="false">CHOOSE(WEEKDAY(R308,2),"월","화","수","목","금","토","일")</f>
        <v>목</v>
      </c>
      <c r="U308" s="17" t="s">
        <v>78</v>
      </c>
      <c r="V308" s="17" t="s">
        <v>78</v>
      </c>
      <c r="W308" s="23"/>
      <c r="X308" s="23"/>
      <c r="Y308" s="21"/>
    </row>
    <row r="309" customFormat="false" ht="25.35" hidden="false" customHeight="false" outlineLevel="0" collapsed="false">
      <c r="A309" s="16" t="n">
        <v>308</v>
      </c>
      <c r="B309" s="15" t="s">
        <v>1053</v>
      </c>
      <c r="C309" s="16" t="s">
        <v>70</v>
      </c>
      <c r="D309" s="16" t="n">
        <v>308</v>
      </c>
      <c r="E309" s="16" t="str">
        <f aca="false">C309&amp;"말씀 #"&amp;TEXT(D309,"000")</f>
        <v>구약말씀 #308</v>
      </c>
      <c r="F309" s="17" t="s">
        <v>1009</v>
      </c>
      <c r="G309" s="18" t="s">
        <v>1054</v>
      </c>
      <c r="H309" s="19" t="s">
        <v>1055</v>
      </c>
      <c r="I309" s="17" t="s">
        <v>117</v>
      </c>
      <c r="J309" s="17" t="s">
        <v>104</v>
      </c>
      <c r="K309" s="20"/>
      <c r="L309" s="17" t="s">
        <v>76</v>
      </c>
      <c r="M309" s="17" t="n">
        <f aca="false">LEN(K309)</f>
        <v>0</v>
      </c>
      <c r="N309" s="17" t="str">
        <f aca="false">IF(M309=0,"-",ROUND(3+M309/안내!$C$12,0))</f>
        <v>-</v>
      </c>
      <c r="O309" s="21" t="str">
        <f aca="false">IF(K309="","(본문 입력 후 자동) | 렘 31:33",IF(LEN(K309)&gt;28,LEFT(K309,28)&amp;"…",K309)&amp;" | 렘 31:33")</f>
        <v>(본문 입력 후 자동) | 렘 31:33</v>
      </c>
      <c r="P309" s="21" t="str">
        <f aca="false">"#"&amp;SUBSTITUTE(안내!$C$5," ","")&amp;" #성경구절 #말씀 #예레미야 #언약"</f>
        <v>#오늘의말씀 #성경구절 #말씀 #예레미야 #언약</v>
      </c>
      <c r="Q309" s="21" t="s">
        <v>77</v>
      </c>
      <c r="R309" s="22" t="n">
        <f aca="false">안내!$C$6+INT((D309-1)/안내!$C$7)</f>
        <v>46541</v>
      </c>
      <c r="S309" s="17" t="str">
        <f aca="false">IF(MOD(D309-1,안내!$C$7)=0,안내!$C$8,안내!$C$10)</f>
        <v>18:30</v>
      </c>
      <c r="T309" s="17" t="str">
        <f aca="false">CHOOSE(WEEKDAY(R309,2),"월","화","수","목","금","토","일")</f>
        <v>목</v>
      </c>
      <c r="U309" s="17" t="s">
        <v>78</v>
      </c>
      <c r="V309" s="17" t="s">
        <v>78</v>
      </c>
      <c r="W309" s="23"/>
      <c r="X309" s="23"/>
      <c r="Y309" s="21"/>
    </row>
    <row r="310" customFormat="false" ht="25.35" hidden="false" customHeight="false" outlineLevel="0" collapsed="false">
      <c r="A310" s="16" t="n">
        <v>309</v>
      </c>
      <c r="B310" s="15" t="s">
        <v>1056</v>
      </c>
      <c r="C310" s="16" t="s">
        <v>70</v>
      </c>
      <c r="D310" s="16" t="n">
        <v>309</v>
      </c>
      <c r="E310" s="16" t="str">
        <f aca="false">C310&amp;"말씀 #"&amp;TEXT(D310,"000")</f>
        <v>구약말씀 #309</v>
      </c>
      <c r="F310" s="17" t="s">
        <v>1009</v>
      </c>
      <c r="G310" s="18" t="s">
        <v>1057</v>
      </c>
      <c r="H310" s="19" t="s">
        <v>1058</v>
      </c>
      <c r="I310" s="17" t="s">
        <v>140</v>
      </c>
      <c r="J310" s="17" t="s">
        <v>113</v>
      </c>
      <c r="K310" s="20"/>
      <c r="L310" s="17" t="s">
        <v>76</v>
      </c>
      <c r="M310" s="17" t="n">
        <f aca="false">LEN(K310)</f>
        <v>0</v>
      </c>
      <c r="N310" s="17" t="str">
        <f aca="false">IF(M310=0,"-",ROUND(3+M310/안내!$C$12,0))</f>
        <v>-</v>
      </c>
      <c r="O310" s="21" t="str">
        <f aca="false">IF(K310="","(본문 입력 후 자동) | 렘 32:17",IF(LEN(K310)&gt;28,LEFT(K310,28)&amp;"…",K310)&amp;" | 렘 32:17")</f>
        <v>(본문 입력 후 자동) | 렘 32:17</v>
      </c>
      <c r="P310" s="21" t="str">
        <f aca="false">"#"&amp;SUBSTITUTE(안내!$C$5," ","")&amp;" #성경구절 #말씀 #예레미야 #능력"</f>
        <v>#오늘의말씀 #성경구절 #말씀 #예레미야 #능력</v>
      </c>
      <c r="Q310" s="21" t="s">
        <v>77</v>
      </c>
      <c r="R310" s="22" t="n">
        <f aca="false">안내!$C$6+INT((D310-1)/안내!$C$7)</f>
        <v>46542</v>
      </c>
      <c r="S310" s="17" t="str">
        <f aca="false">IF(MOD(D310-1,안내!$C$7)=0,안내!$C$8,안내!$C$10)</f>
        <v>06:30</v>
      </c>
      <c r="T310" s="17" t="str">
        <f aca="false">CHOOSE(WEEKDAY(R310,2),"월","화","수","목","금","토","일")</f>
        <v>금</v>
      </c>
      <c r="U310" s="17" t="s">
        <v>78</v>
      </c>
      <c r="V310" s="17" t="s">
        <v>78</v>
      </c>
      <c r="W310" s="23"/>
      <c r="X310" s="23"/>
      <c r="Y310" s="21"/>
    </row>
    <row r="311" customFormat="false" ht="15" hidden="false" customHeight="false" outlineLevel="0" collapsed="false">
      <c r="A311" s="16" t="n">
        <v>310</v>
      </c>
      <c r="B311" s="15" t="s">
        <v>1059</v>
      </c>
      <c r="C311" s="16" t="s">
        <v>70</v>
      </c>
      <c r="D311" s="16" t="n">
        <v>310</v>
      </c>
      <c r="E311" s="16" t="str">
        <f aca="false">C311&amp;"말씀 #"&amp;TEXT(D311,"000")</f>
        <v>구약말씀 #310</v>
      </c>
      <c r="F311" s="17" t="s">
        <v>1009</v>
      </c>
      <c r="G311" s="18" t="s">
        <v>1060</v>
      </c>
      <c r="H311" s="19" t="s">
        <v>1061</v>
      </c>
      <c r="I311" s="17" t="s">
        <v>160</v>
      </c>
      <c r="J311" s="17" t="s">
        <v>104</v>
      </c>
      <c r="K311" s="20"/>
      <c r="L311" s="17" t="s">
        <v>76</v>
      </c>
      <c r="M311" s="17" t="n">
        <f aca="false">LEN(K311)</f>
        <v>0</v>
      </c>
      <c r="N311" s="17" t="str">
        <f aca="false">IF(M311=0,"-",ROUND(3+M311/안내!$C$12,0))</f>
        <v>-</v>
      </c>
      <c r="O311" s="21" t="str">
        <f aca="false">IF(K311="","(본문 입력 후 자동) | 렘 33:3",IF(LEN(K311)&gt;28,LEFT(K311,28)&amp;"…",K311)&amp;" | 렘 33:3")</f>
        <v>(본문 입력 후 자동) | 렘 33:3</v>
      </c>
      <c r="P311" s="21" t="str">
        <f aca="false">"#"&amp;SUBSTITUTE(안내!$C$5," ","")&amp;" #성경구절 #말씀 #예레미야 #기도"</f>
        <v>#오늘의말씀 #성경구절 #말씀 #예레미야 #기도</v>
      </c>
      <c r="Q311" s="21" t="s">
        <v>77</v>
      </c>
      <c r="R311" s="22" t="n">
        <f aca="false">안내!$C$6+INT((D311-1)/안내!$C$7)</f>
        <v>46542</v>
      </c>
      <c r="S311" s="17" t="str">
        <f aca="false">IF(MOD(D311-1,안내!$C$7)=0,안내!$C$8,안내!$C$10)</f>
        <v>18:30</v>
      </c>
      <c r="T311" s="17" t="str">
        <f aca="false">CHOOSE(WEEKDAY(R311,2),"월","화","수","목","금","토","일")</f>
        <v>금</v>
      </c>
      <c r="U311" s="17" t="s">
        <v>78</v>
      </c>
      <c r="V311" s="17" t="s">
        <v>78</v>
      </c>
      <c r="W311" s="23"/>
      <c r="X311" s="23"/>
      <c r="Y311" s="21"/>
    </row>
    <row r="312" customFormat="false" ht="26.85" hidden="false" customHeight="false" outlineLevel="0" collapsed="false">
      <c r="A312" s="16" t="n">
        <v>311</v>
      </c>
      <c r="B312" s="15" t="s">
        <v>1062</v>
      </c>
      <c r="C312" s="16" t="s">
        <v>70</v>
      </c>
      <c r="D312" s="16" t="n">
        <v>311</v>
      </c>
      <c r="E312" s="16" t="str">
        <f aca="false">C312&amp;"말씀 #"&amp;TEXT(D312,"000")</f>
        <v>구약말씀 #311</v>
      </c>
      <c r="F312" s="17" t="s">
        <v>1063</v>
      </c>
      <c r="G312" s="18" t="s">
        <v>1064</v>
      </c>
      <c r="H312" s="19" t="s">
        <v>1065</v>
      </c>
      <c r="I312" s="17" t="s">
        <v>98</v>
      </c>
      <c r="J312" s="17" t="s">
        <v>99</v>
      </c>
      <c r="K312" s="20"/>
      <c r="L312" s="17" t="s">
        <v>76</v>
      </c>
      <c r="M312" s="17" t="n">
        <f aca="false">LEN(K312)</f>
        <v>0</v>
      </c>
      <c r="N312" s="17" t="str">
        <f aca="false">IF(M312=0,"-",ROUND(3+M312/안내!$C$12,0))</f>
        <v>-</v>
      </c>
      <c r="O312" s="21" t="str">
        <f aca="false">IF(K312="","(본문 입력 후 자동) | 애 3:22",IF(LEN(K312)&gt;28,LEFT(K312,28)&amp;"…",K312)&amp;" | 애 3:22")</f>
        <v>(본문 입력 후 자동) | 애 3:22</v>
      </c>
      <c r="P312" s="21" t="str">
        <f aca="false">"#"&amp;SUBSTITUTE(안내!$C$5," ","")&amp;" #성경구절 #말씀 #예레미야애가 #은혜"</f>
        <v>#오늘의말씀 #성경구절 #말씀 #예레미야애가 #은혜</v>
      </c>
      <c r="Q312" s="21" t="s">
        <v>77</v>
      </c>
      <c r="R312" s="22" t="n">
        <f aca="false">안내!$C$6+INT((D312-1)/안내!$C$7)</f>
        <v>46543</v>
      </c>
      <c r="S312" s="17" t="str">
        <f aca="false">IF(MOD(D312-1,안내!$C$7)=0,안내!$C$8,안내!$C$10)</f>
        <v>06:30</v>
      </c>
      <c r="T312" s="17" t="str">
        <f aca="false">CHOOSE(WEEKDAY(R312,2),"월","화","수","목","금","토","일")</f>
        <v>토</v>
      </c>
      <c r="U312" s="17" t="s">
        <v>78</v>
      </c>
      <c r="V312" s="17" t="s">
        <v>78</v>
      </c>
      <c r="W312" s="23"/>
      <c r="X312" s="23"/>
      <c r="Y312" s="21"/>
    </row>
    <row r="313" customFormat="false" ht="26.85" hidden="false" customHeight="false" outlineLevel="0" collapsed="false">
      <c r="A313" s="16" t="n">
        <v>312</v>
      </c>
      <c r="B313" s="15" t="s">
        <v>1066</v>
      </c>
      <c r="C313" s="16" t="s">
        <v>70</v>
      </c>
      <c r="D313" s="16" t="n">
        <v>312</v>
      </c>
      <c r="E313" s="16" t="str">
        <f aca="false">C313&amp;"말씀 #"&amp;TEXT(D313,"000")</f>
        <v>구약말씀 #312</v>
      </c>
      <c r="F313" s="17" t="s">
        <v>1063</v>
      </c>
      <c r="G313" s="18" t="s">
        <v>1067</v>
      </c>
      <c r="H313" s="19" t="s">
        <v>1068</v>
      </c>
      <c r="I313" s="17" t="s">
        <v>112</v>
      </c>
      <c r="J313" s="17" t="s">
        <v>113</v>
      </c>
      <c r="K313" s="20"/>
      <c r="L313" s="17" t="s">
        <v>76</v>
      </c>
      <c r="M313" s="17" t="n">
        <f aca="false">LEN(K313)</f>
        <v>0</v>
      </c>
      <c r="N313" s="17" t="str">
        <f aca="false">IF(M313=0,"-",ROUND(3+M313/안내!$C$12,0))</f>
        <v>-</v>
      </c>
      <c r="O313" s="21" t="str">
        <f aca="false">IF(K313="","(본문 입력 후 자동) | 애 3:23",IF(LEN(K313)&gt;28,LEFT(K313,28)&amp;"…",K313)&amp;" | 애 3:23")</f>
        <v>(본문 입력 후 자동) | 애 3:23</v>
      </c>
      <c r="P313" s="21" t="str">
        <f aca="false">"#"&amp;SUBSTITUTE(안내!$C$5," ","")&amp;" #성경구절 #말씀 #예레미야애가 #신실하심"</f>
        <v>#오늘의말씀 #성경구절 #말씀 #예레미야애가 #신실하심</v>
      </c>
      <c r="Q313" s="21" t="s">
        <v>77</v>
      </c>
      <c r="R313" s="22" t="n">
        <f aca="false">안내!$C$6+INT((D313-1)/안내!$C$7)</f>
        <v>46543</v>
      </c>
      <c r="S313" s="17" t="str">
        <f aca="false">IF(MOD(D313-1,안내!$C$7)=0,안내!$C$8,안내!$C$10)</f>
        <v>18:30</v>
      </c>
      <c r="T313" s="17" t="str">
        <f aca="false">CHOOSE(WEEKDAY(R313,2),"월","화","수","목","금","토","일")</f>
        <v>토</v>
      </c>
      <c r="U313" s="17" t="s">
        <v>78</v>
      </c>
      <c r="V313" s="17" t="s">
        <v>78</v>
      </c>
      <c r="W313" s="23"/>
      <c r="X313" s="23"/>
      <c r="Y313" s="21"/>
    </row>
    <row r="314" customFormat="false" ht="26.85" hidden="false" customHeight="false" outlineLevel="0" collapsed="false">
      <c r="A314" s="16" t="n">
        <v>313</v>
      </c>
      <c r="B314" s="15" t="s">
        <v>1069</v>
      </c>
      <c r="C314" s="16" t="s">
        <v>70</v>
      </c>
      <c r="D314" s="16" t="n">
        <v>313</v>
      </c>
      <c r="E314" s="16" t="str">
        <f aca="false">C314&amp;"말씀 #"&amp;TEXT(D314,"000")</f>
        <v>구약말씀 #313</v>
      </c>
      <c r="F314" s="17" t="s">
        <v>1063</v>
      </c>
      <c r="G314" s="18" t="s">
        <v>1070</v>
      </c>
      <c r="H314" s="19" t="s">
        <v>1071</v>
      </c>
      <c r="I314" s="17" t="s">
        <v>511</v>
      </c>
      <c r="J314" s="17" t="s">
        <v>89</v>
      </c>
      <c r="K314" s="20"/>
      <c r="L314" s="17" t="s">
        <v>76</v>
      </c>
      <c r="M314" s="17" t="n">
        <f aca="false">LEN(K314)</f>
        <v>0</v>
      </c>
      <c r="N314" s="17" t="str">
        <f aca="false">IF(M314=0,"-",ROUND(3+M314/안내!$C$12,0))</f>
        <v>-</v>
      </c>
      <c r="O314" s="21" t="str">
        <f aca="false">IF(K314="","(본문 입력 후 자동) | 애 3:25",IF(LEN(K314)&gt;28,LEFT(K314,28)&amp;"…",K314)&amp;" | 애 3:25")</f>
        <v>(본문 입력 후 자동) | 애 3:25</v>
      </c>
      <c r="P314" s="21" t="str">
        <f aca="false">"#"&amp;SUBSTITUTE(안내!$C$5," ","")&amp;" #성경구절 #말씀 #예레미야애가 #소망"</f>
        <v>#오늘의말씀 #성경구절 #말씀 #예레미야애가 #소망</v>
      </c>
      <c r="Q314" s="21" t="s">
        <v>77</v>
      </c>
      <c r="R314" s="22" t="n">
        <f aca="false">안내!$C$6+INT((D314-1)/안내!$C$7)</f>
        <v>46544</v>
      </c>
      <c r="S314" s="17" t="str">
        <f aca="false">IF(MOD(D314-1,안내!$C$7)=0,안내!$C$8,안내!$C$10)</f>
        <v>06:30</v>
      </c>
      <c r="T314" s="17" t="str">
        <f aca="false">CHOOSE(WEEKDAY(R314,2),"월","화","수","목","금","토","일")</f>
        <v>일</v>
      </c>
      <c r="U314" s="17" t="s">
        <v>78</v>
      </c>
      <c r="V314" s="17" t="s">
        <v>78</v>
      </c>
      <c r="W314" s="23"/>
      <c r="X314" s="23"/>
      <c r="Y314" s="21"/>
    </row>
    <row r="315" customFormat="false" ht="26.85" hidden="false" customHeight="false" outlineLevel="0" collapsed="false">
      <c r="A315" s="16" t="n">
        <v>314</v>
      </c>
      <c r="B315" s="15" t="s">
        <v>1072</v>
      </c>
      <c r="C315" s="16" t="s">
        <v>70</v>
      </c>
      <c r="D315" s="16" t="n">
        <v>314</v>
      </c>
      <c r="E315" s="16" t="str">
        <f aca="false">C315&amp;"말씀 #"&amp;TEXT(D315,"000")</f>
        <v>구약말씀 #314</v>
      </c>
      <c r="F315" s="17" t="s">
        <v>1063</v>
      </c>
      <c r="G315" s="18" t="s">
        <v>1073</v>
      </c>
      <c r="H315" s="19" t="s">
        <v>1074</v>
      </c>
      <c r="I315" s="17" t="s">
        <v>454</v>
      </c>
      <c r="J315" s="17" t="s">
        <v>104</v>
      </c>
      <c r="K315" s="20"/>
      <c r="L315" s="17" t="s">
        <v>76</v>
      </c>
      <c r="M315" s="17" t="n">
        <f aca="false">LEN(K315)</f>
        <v>0</v>
      </c>
      <c r="N315" s="17" t="str">
        <f aca="false">IF(M315=0,"-",ROUND(3+M315/안내!$C$12,0))</f>
        <v>-</v>
      </c>
      <c r="O315" s="21" t="str">
        <f aca="false">IF(K315="","(본문 입력 후 자동) | 애 3:40",IF(LEN(K315)&gt;28,LEFT(K315,28)&amp;"…",K315)&amp;" | 애 3:40")</f>
        <v>(본문 입력 후 자동) | 애 3:40</v>
      </c>
      <c r="P315" s="21" t="str">
        <f aca="false">"#"&amp;SUBSTITUTE(안내!$C$5," ","")&amp;" #성경구절 #말씀 #예레미야애가 #회개"</f>
        <v>#오늘의말씀 #성경구절 #말씀 #예레미야애가 #회개</v>
      </c>
      <c r="Q315" s="21" t="s">
        <v>77</v>
      </c>
      <c r="R315" s="22" t="n">
        <f aca="false">안내!$C$6+INT((D315-1)/안내!$C$7)</f>
        <v>46544</v>
      </c>
      <c r="S315" s="17" t="str">
        <f aca="false">IF(MOD(D315-1,안내!$C$7)=0,안내!$C$8,안내!$C$10)</f>
        <v>18:30</v>
      </c>
      <c r="T315" s="17" t="str">
        <f aca="false">CHOOSE(WEEKDAY(R315,2),"월","화","수","목","금","토","일")</f>
        <v>일</v>
      </c>
      <c r="U315" s="17" t="s">
        <v>78</v>
      </c>
      <c r="V315" s="17" t="s">
        <v>78</v>
      </c>
      <c r="W315" s="23"/>
      <c r="X315" s="23"/>
      <c r="Y315" s="21"/>
    </row>
    <row r="316" customFormat="false" ht="25.35" hidden="false" customHeight="false" outlineLevel="0" collapsed="false">
      <c r="A316" s="16" t="n">
        <v>315</v>
      </c>
      <c r="B316" s="15" t="s">
        <v>1075</v>
      </c>
      <c r="C316" s="16" t="s">
        <v>70</v>
      </c>
      <c r="D316" s="16" t="n">
        <v>315</v>
      </c>
      <c r="E316" s="16" t="str">
        <f aca="false">C316&amp;"말씀 #"&amp;TEXT(D316,"000")</f>
        <v>구약말씀 #315</v>
      </c>
      <c r="F316" s="17" t="s">
        <v>1076</v>
      </c>
      <c r="G316" s="18" t="s">
        <v>1077</v>
      </c>
      <c r="H316" s="19" t="s">
        <v>1078</v>
      </c>
      <c r="I316" s="17" t="s">
        <v>1079</v>
      </c>
      <c r="J316" s="17" t="s">
        <v>89</v>
      </c>
      <c r="K316" s="20"/>
      <c r="L316" s="17" t="s">
        <v>76</v>
      </c>
      <c r="M316" s="17" t="n">
        <f aca="false">LEN(K316)</f>
        <v>0</v>
      </c>
      <c r="N316" s="17" t="str">
        <f aca="false">IF(M316=0,"-",ROUND(3+M316/안내!$C$12,0))</f>
        <v>-</v>
      </c>
      <c r="O316" s="21" t="str">
        <f aca="false">IF(K316="","(본문 입력 후 자동) | 겔 11:19",IF(LEN(K316)&gt;28,LEFT(K316,28)&amp;"…",K316)&amp;" | 겔 11:19")</f>
        <v>(본문 입력 후 자동) | 겔 11:19</v>
      </c>
      <c r="P316" s="21" t="str">
        <f aca="false">"#"&amp;SUBSTITUTE(안내!$C$5," ","")&amp;" #성경구절 #말씀 #에스겔 #새마음"</f>
        <v>#오늘의말씀 #성경구절 #말씀 #에스겔 #새마음</v>
      </c>
      <c r="Q316" s="21" t="s">
        <v>77</v>
      </c>
      <c r="R316" s="22" t="n">
        <f aca="false">안내!$C$6+INT((D316-1)/안내!$C$7)</f>
        <v>46545</v>
      </c>
      <c r="S316" s="17" t="str">
        <f aca="false">IF(MOD(D316-1,안내!$C$7)=0,안내!$C$8,안내!$C$10)</f>
        <v>06:30</v>
      </c>
      <c r="T316" s="17" t="str">
        <f aca="false">CHOOSE(WEEKDAY(R316,2),"월","화","수","목","금","토","일")</f>
        <v>월</v>
      </c>
      <c r="U316" s="17" t="s">
        <v>78</v>
      </c>
      <c r="V316" s="17" t="s">
        <v>78</v>
      </c>
      <c r="W316" s="23"/>
      <c r="X316" s="23"/>
      <c r="Y316" s="21"/>
    </row>
    <row r="317" customFormat="false" ht="25.35" hidden="false" customHeight="false" outlineLevel="0" collapsed="false">
      <c r="A317" s="16" t="n">
        <v>316</v>
      </c>
      <c r="B317" s="15" t="s">
        <v>1080</v>
      </c>
      <c r="C317" s="16" t="s">
        <v>70</v>
      </c>
      <c r="D317" s="16" t="n">
        <v>316</v>
      </c>
      <c r="E317" s="16" t="str">
        <f aca="false">C317&amp;"말씀 #"&amp;TEXT(D317,"000")</f>
        <v>구약말씀 #316</v>
      </c>
      <c r="F317" s="17" t="s">
        <v>1076</v>
      </c>
      <c r="G317" s="18" t="s">
        <v>1081</v>
      </c>
      <c r="H317" s="19" t="s">
        <v>1082</v>
      </c>
      <c r="I317" s="17" t="s">
        <v>454</v>
      </c>
      <c r="J317" s="17" t="s">
        <v>104</v>
      </c>
      <c r="K317" s="20"/>
      <c r="L317" s="17" t="s">
        <v>76</v>
      </c>
      <c r="M317" s="17" t="n">
        <f aca="false">LEN(K317)</f>
        <v>0</v>
      </c>
      <c r="N317" s="17" t="str">
        <f aca="false">IF(M317=0,"-",ROUND(3+M317/안내!$C$12,0))</f>
        <v>-</v>
      </c>
      <c r="O317" s="21" t="str">
        <f aca="false">IF(K317="","(본문 입력 후 자동) | 겔 18:32",IF(LEN(K317)&gt;28,LEFT(K317,28)&amp;"…",K317)&amp;" | 겔 18:32")</f>
        <v>(본문 입력 후 자동) | 겔 18:32</v>
      </c>
      <c r="P317" s="21" t="str">
        <f aca="false">"#"&amp;SUBSTITUTE(안내!$C$5," ","")&amp;" #성경구절 #말씀 #에스겔 #회개"</f>
        <v>#오늘의말씀 #성경구절 #말씀 #에스겔 #회개</v>
      </c>
      <c r="Q317" s="21" t="s">
        <v>77</v>
      </c>
      <c r="R317" s="22" t="n">
        <f aca="false">안내!$C$6+INT((D317-1)/안내!$C$7)</f>
        <v>46545</v>
      </c>
      <c r="S317" s="17" t="str">
        <f aca="false">IF(MOD(D317-1,안내!$C$7)=0,안내!$C$8,안내!$C$10)</f>
        <v>18:30</v>
      </c>
      <c r="T317" s="17" t="str">
        <f aca="false">CHOOSE(WEEKDAY(R317,2),"월","화","수","목","금","토","일")</f>
        <v>월</v>
      </c>
      <c r="U317" s="17" t="s">
        <v>78</v>
      </c>
      <c r="V317" s="17" t="s">
        <v>78</v>
      </c>
      <c r="W317" s="23"/>
      <c r="X317" s="23"/>
      <c r="Y317" s="21"/>
    </row>
    <row r="318" customFormat="false" ht="25.35" hidden="false" customHeight="false" outlineLevel="0" collapsed="false">
      <c r="A318" s="16" t="n">
        <v>317</v>
      </c>
      <c r="B318" s="15" t="s">
        <v>1083</v>
      </c>
      <c r="C318" s="16" t="s">
        <v>70</v>
      </c>
      <c r="D318" s="16" t="n">
        <v>317</v>
      </c>
      <c r="E318" s="16" t="str">
        <f aca="false">C318&amp;"말씀 #"&amp;TEXT(D318,"000")</f>
        <v>구약말씀 #317</v>
      </c>
      <c r="F318" s="17" t="s">
        <v>1076</v>
      </c>
      <c r="G318" s="18" t="s">
        <v>1084</v>
      </c>
      <c r="H318" s="19" t="s">
        <v>1085</v>
      </c>
      <c r="I318" s="17" t="s">
        <v>333</v>
      </c>
      <c r="J318" s="17" t="s">
        <v>122</v>
      </c>
      <c r="K318" s="20"/>
      <c r="L318" s="17" t="s">
        <v>76</v>
      </c>
      <c r="M318" s="17" t="n">
        <f aca="false">LEN(K318)</f>
        <v>0</v>
      </c>
      <c r="N318" s="17" t="str">
        <f aca="false">IF(M318=0,"-",ROUND(3+M318/안내!$C$12,0))</f>
        <v>-</v>
      </c>
      <c r="O318" s="21" t="str">
        <f aca="false">IF(K318="","(본문 입력 후 자동) | 겔 22:30",IF(LEN(K318)&gt;28,LEFT(K318,28)&amp;"…",K318)&amp;" | 겔 22:30")</f>
        <v>(본문 입력 후 자동) | 겔 22:30</v>
      </c>
      <c r="P318" s="21" t="str">
        <f aca="false">"#"&amp;SUBSTITUTE(안내!$C$5," ","")&amp;" #성경구절 #말씀 #에스겔 #헌신"</f>
        <v>#오늘의말씀 #성경구절 #말씀 #에스겔 #헌신</v>
      </c>
      <c r="Q318" s="21" t="s">
        <v>77</v>
      </c>
      <c r="R318" s="22" t="n">
        <f aca="false">안내!$C$6+INT((D318-1)/안내!$C$7)</f>
        <v>46546</v>
      </c>
      <c r="S318" s="17" t="str">
        <f aca="false">IF(MOD(D318-1,안내!$C$7)=0,안내!$C$8,안내!$C$10)</f>
        <v>06:30</v>
      </c>
      <c r="T318" s="17" t="str">
        <f aca="false">CHOOSE(WEEKDAY(R318,2),"월","화","수","목","금","토","일")</f>
        <v>화</v>
      </c>
      <c r="U318" s="17" t="s">
        <v>78</v>
      </c>
      <c r="V318" s="17" t="s">
        <v>78</v>
      </c>
      <c r="W318" s="23"/>
      <c r="X318" s="23"/>
      <c r="Y318" s="21"/>
    </row>
    <row r="319" customFormat="false" ht="25.35" hidden="false" customHeight="false" outlineLevel="0" collapsed="false">
      <c r="A319" s="16" t="n">
        <v>318</v>
      </c>
      <c r="B319" s="15" t="s">
        <v>1086</v>
      </c>
      <c r="C319" s="16" t="s">
        <v>70</v>
      </c>
      <c r="D319" s="16" t="n">
        <v>318</v>
      </c>
      <c r="E319" s="16" t="str">
        <f aca="false">C319&amp;"말씀 #"&amp;TEXT(D319,"000")</f>
        <v>구약말씀 #318</v>
      </c>
      <c r="F319" s="17" t="s">
        <v>1076</v>
      </c>
      <c r="G319" s="18" t="s">
        <v>1087</v>
      </c>
      <c r="H319" s="19" t="s">
        <v>1088</v>
      </c>
      <c r="I319" s="17" t="s">
        <v>454</v>
      </c>
      <c r="J319" s="17" t="s">
        <v>104</v>
      </c>
      <c r="K319" s="20"/>
      <c r="L319" s="17" t="s">
        <v>76</v>
      </c>
      <c r="M319" s="17" t="n">
        <f aca="false">LEN(K319)</f>
        <v>0</v>
      </c>
      <c r="N319" s="17" t="str">
        <f aca="false">IF(M319=0,"-",ROUND(3+M319/안내!$C$12,0))</f>
        <v>-</v>
      </c>
      <c r="O319" s="21" t="str">
        <f aca="false">IF(K319="","(본문 입력 후 자동) | 겔 33:11",IF(LEN(K319)&gt;28,LEFT(K319,28)&amp;"…",K319)&amp;" | 겔 33:11")</f>
        <v>(본문 입력 후 자동) | 겔 33:11</v>
      </c>
      <c r="P319" s="21" t="str">
        <f aca="false">"#"&amp;SUBSTITUTE(안내!$C$5," ","")&amp;" #성경구절 #말씀 #에스겔 #회개"</f>
        <v>#오늘의말씀 #성경구절 #말씀 #에스겔 #회개</v>
      </c>
      <c r="Q319" s="21" t="s">
        <v>77</v>
      </c>
      <c r="R319" s="22" t="n">
        <f aca="false">안내!$C$6+INT((D319-1)/안내!$C$7)</f>
        <v>46546</v>
      </c>
      <c r="S319" s="17" t="str">
        <f aca="false">IF(MOD(D319-1,안내!$C$7)=0,안내!$C$8,안내!$C$10)</f>
        <v>18:30</v>
      </c>
      <c r="T319" s="17" t="str">
        <f aca="false">CHOOSE(WEEKDAY(R319,2),"월","화","수","목","금","토","일")</f>
        <v>화</v>
      </c>
      <c r="U319" s="17" t="s">
        <v>78</v>
      </c>
      <c r="V319" s="17" t="s">
        <v>78</v>
      </c>
      <c r="W319" s="23"/>
      <c r="X319" s="23"/>
      <c r="Y319" s="21"/>
    </row>
    <row r="320" customFormat="false" ht="25.35" hidden="false" customHeight="false" outlineLevel="0" collapsed="false">
      <c r="A320" s="16" t="n">
        <v>319</v>
      </c>
      <c r="B320" s="15" t="s">
        <v>1089</v>
      </c>
      <c r="C320" s="16" t="s">
        <v>70</v>
      </c>
      <c r="D320" s="16" t="n">
        <v>319</v>
      </c>
      <c r="E320" s="16" t="str">
        <f aca="false">C320&amp;"말씀 #"&amp;TEXT(D320,"000")</f>
        <v>구약말씀 #319</v>
      </c>
      <c r="F320" s="17" t="s">
        <v>1076</v>
      </c>
      <c r="G320" s="18" t="s">
        <v>1090</v>
      </c>
      <c r="H320" s="19" t="s">
        <v>1091</v>
      </c>
      <c r="I320" s="17" t="s">
        <v>98</v>
      </c>
      <c r="J320" s="17" t="s">
        <v>99</v>
      </c>
      <c r="K320" s="20"/>
      <c r="L320" s="17" t="s">
        <v>76</v>
      </c>
      <c r="M320" s="17" t="n">
        <f aca="false">LEN(K320)</f>
        <v>0</v>
      </c>
      <c r="N320" s="17" t="str">
        <f aca="false">IF(M320=0,"-",ROUND(3+M320/안내!$C$12,0))</f>
        <v>-</v>
      </c>
      <c r="O320" s="21" t="str">
        <f aca="false">IF(K320="","(본문 입력 후 자동) | 겔 34:16",IF(LEN(K320)&gt;28,LEFT(K320,28)&amp;"…",K320)&amp;" | 겔 34:16")</f>
        <v>(본문 입력 후 자동) | 겔 34:16</v>
      </c>
      <c r="P320" s="21" t="str">
        <f aca="false">"#"&amp;SUBSTITUTE(안내!$C$5," ","")&amp;" #성경구절 #말씀 #에스겔 #은혜"</f>
        <v>#오늘의말씀 #성경구절 #말씀 #에스겔 #은혜</v>
      </c>
      <c r="Q320" s="21" t="s">
        <v>77</v>
      </c>
      <c r="R320" s="22" t="n">
        <f aca="false">안내!$C$6+INT((D320-1)/안내!$C$7)</f>
        <v>46547</v>
      </c>
      <c r="S320" s="17" t="str">
        <f aca="false">IF(MOD(D320-1,안내!$C$7)=0,안내!$C$8,안내!$C$10)</f>
        <v>06:30</v>
      </c>
      <c r="T320" s="17" t="str">
        <f aca="false">CHOOSE(WEEKDAY(R320,2),"월","화","수","목","금","토","일")</f>
        <v>수</v>
      </c>
      <c r="U320" s="17" t="s">
        <v>78</v>
      </c>
      <c r="V320" s="17" t="s">
        <v>78</v>
      </c>
      <c r="W320" s="23"/>
      <c r="X320" s="23"/>
      <c r="Y320" s="21"/>
    </row>
    <row r="321" customFormat="false" ht="25.35" hidden="false" customHeight="false" outlineLevel="0" collapsed="false">
      <c r="A321" s="16" t="n">
        <v>320</v>
      </c>
      <c r="B321" s="15" t="s">
        <v>1092</v>
      </c>
      <c r="C321" s="16" t="s">
        <v>70</v>
      </c>
      <c r="D321" s="16" t="n">
        <v>320</v>
      </c>
      <c r="E321" s="16" t="str">
        <f aca="false">C321&amp;"말씀 #"&amp;TEXT(D321,"000")</f>
        <v>구약말씀 #320</v>
      </c>
      <c r="F321" s="17" t="s">
        <v>1076</v>
      </c>
      <c r="G321" s="18" t="s">
        <v>1093</v>
      </c>
      <c r="H321" s="19" t="s">
        <v>1094</v>
      </c>
      <c r="I321" s="17" t="s">
        <v>1079</v>
      </c>
      <c r="J321" s="17" t="s">
        <v>89</v>
      </c>
      <c r="K321" s="20"/>
      <c r="L321" s="17" t="s">
        <v>76</v>
      </c>
      <c r="M321" s="17" t="n">
        <f aca="false">LEN(K321)</f>
        <v>0</v>
      </c>
      <c r="N321" s="17" t="str">
        <f aca="false">IF(M321=0,"-",ROUND(3+M321/안내!$C$12,0))</f>
        <v>-</v>
      </c>
      <c r="O321" s="21" t="str">
        <f aca="false">IF(K321="","(본문 입력 후 자동) | 겔 36:26",IF(LEN(K321)&gt;28,LEFT(K321,28)&amp;"…",K321)&amp;" | 겔 36:26")</f>
        <v>(본문 입력 후 자동) | 겔 36:26</v>
      </c>
      <c r="P321" s="21" t="str">
        <f aca="false">"#"&amp;SUBSTITUTE(안내!$C$5," ","")&amp;" #성경구절 #말씀 #에스겔 #새마음"</f>
        <v>#오늘의말씀 #성경구절 #말씀 #에스겔 #새마음</v>
      </c>
      <c r="Q321" s="21" t="s">
        <v>77</v>
      </c>
      <c r="R321" s="22" t="n">
        <f aca="false">안내!$C$6+INT((D321-1)/안내!$C$7)</f>
        <v>46547</v>
      </c>
      <c r="S321" s="17" t="str">
        <f aca="false">IF(MOD(D321-1,안내!$C$7)=0,안내!$C$8,안내!$C$10)</f>
        <v>18:30</v>
      </c>
      <c r="T321" s="17" t="str">
        <f aca="false">CHOOSE(WEEKDAY(R321,2),"월","화","수","목","금","토","일")</f>
        <v>수</v>
      </c>
      <c r="U321" s="17" t="s">
        <v>78</v>
      </c>
      <c r="V321" s="17" t="s">
        <v>78</v>
      </c>
      <c r="W321" s="23"/>
      <c r="X321" s="23"/>
      <c r="Y321" s="21"/>
    </row>
    <row r="322" customFormat="false" ht="15" hidden="false" customHeight="false" outlineLevel="0" collapsed="false">
      <c r="A322" s="16" t="n">
        <v>321</v>
      </c>
      <c r="B322" s="15" t="s">
        <v>1095</v>
      </c>
      <c r="C322" s="16" t="s">
        <v>70</v>
      </c>
      <c r="D322" s="16" t="n">
        <v>321</v>
      </c>
      <c r="E322" s="16" t="str">
        <f aca="false">C322&amp;"말씀 #"&amp;TEXT(D322,"000")</f>
        <v>구약말씀 #321</v>
      </c>
      <c r="F322" s="17" t="s">
        <v>1076</v>
      </c>
      <c r="G322" s="18" t="s">
        <v>619</v>
      </c>
      <c r="H322" s="19" t="s">
        <v>1096</v>
      </c>
      <c r="I322" s="17" t="s">
        <v>88</v>
      </c>
      <c r="J322" s="17" t="s">
        <v>89</v>
      </c>
      <c r="K322" s="20"/>
      <c r="L322" s="17" t="s">
        <v>76</v>
      </c>
      <c r="M322" s="17" t="n">
        <f aca="false">LEN(K322)</f>
        <v>0</v>
      </c>
      <c r="N322" s="17" t="str">
        <f aca="false">IF(M322=0,"-",ROUND(3+M322/안내!$C$12,0))</f>
        <v>-</v>
      </c>
      <c r="O322" s="21" t="str">
        <f aca="false">IF(K322="","(본문 입력 후 자동) | 겔 37:5",IF(LEN(K322)&gt;28,LEFT(K322,28)&amp;"…",K322)&amp;" | 겔 37:5")</f>
        <v>(본문 입력 후 자동) | 겔 37:5</v>
      </c>
      <c r="P322" s="21" t="str">
        <f aca="false">"#"&amp;SUBSTITUTE(안내!$C$5," ","")&amp;" #성경구절 #말씀 #에스겔 #생명"</f>
        <v>#오늘의말씀 #성경구절 #말씀 #에스겔 #생명</v>
      </c>
      <c r="Q322" s="21" t="s">
        <v>77</v>
      </c>
      <c r="R322" s="22" t="n">
        <f aca="false">안내!$C$6+INT((D322-1)/안내!$C$7)</f>
        <v>46548</v>
      </c>
      <c r="S322" s="17" t="str">
        <f aca="false">IF(MOD(D322-1,안내!$C$7)=0,안내!$C$8,안내!$C$10)</f>
        <v>06:30</v>
      </c>
      <c r="T322" s="17" t="str">
        <f aca="false">CHOOSE(WEEKDAY(R322,2),"월","화","수","목","금","토","일")</f>
        <v>목</v>
      </c>
      <c r="U322" s="17" t="s">
        <v>78</v>
      </c>
      <c r="V322" s="17" t="s">
        <v>78</v>
      </c>
      <c r="W322" s="23"/>
      <c r="X322" s="23"/>
      <c r="Y322" s="21"/>
    </row>
    <row r="323" customFormat="false" ht="15" hidden="false" customHeight="false" outlineLevel="0" collapsed="false">
      <c r="A323" s="16" t="n">
        <v>322</v>
      </c>
      <c r="B323" s="15" t="s">
        <v>1097</v>
      </c>
      <c r="C323" s="16" t="s">
        <v>70</v>
      </c>
      <c r="D323" s="16" t="n">
        <v>322</v>
      </c>
      <c r="E323" s="16" t="str">
        <f aca="false">C323&amp;"말씀 #"&amp;TEXT(D323,"000")</f>
        <v>구약말씀 #322</v>
      </c>
      <c r="F323" s="17" t="s">
        <v>1076</v>
      </c>
      <c r="G323" s="18" t="s">
        <v>1098</v>
      </c>
      <c r="H323" s="19" t="s">
        <v>1099</v>
      </c>
      <c r="I323" s="17" t="s">
        <v>88</v>
      </c>
      <c r="J323" s="17" t="s">
        <v>89</v>
      </c>
      <c r="K323" s="20"/>
      <c r="L323" s="17" t="s">
        <v>76</v>
      </c>
      <c r="M323" s="17" t="n">
        <f aca="false">LEN(K323)</f>
        <v>0</v>
      </c>
      <c r="N323" s="17" t="str">
        <f aca="false">IF(M323=0,"-",ROUND(3+M323/안내!$C$12,0))</f>
        <v>-</v>
      </c>
      <c r="O323" s="21" t="str">
        <f aca="false">IF(K323="","(본문 입력 후 자동) | 겔 47:9",IF(LEN(K323)&gt;28,LEFT(K323,28)&amp;"…",K323)&amp;" | 겔 47:9")</f>
        <v>(본문 입력 후 자동) | 겔 47:9</v>
      </c>
      <c r="P323" s="21" t="str">
        <f aca="false">"#"&amp;SUBSTITUTE(안내!$C$5," ","")&amp;" #성경구절 #말씀 #에스겔 #생명"</f>
        <v>#오늘의말씀 #성경구절 #말씀 #에스겔 #생명</v>
      </c>
      <c r="Q323" s="21" t="s">
        <v>77</v>
      </c>
      <c r="R323" s="22" t="n">
        <f aca="false">안내!$C$6+INT((D323-1)/안내!$C$7)</f>
        <v>46548</v>
      </c>
      <c r="S323" s="17" t="str">
        <f aca="false">IF(MOD(D323-1,안내!$C$7)=0,안내!$C$8,안내!$C$10)</f>
        <v>18:30</v>
      </c>
      <c r="T323" s="17" t="str">
        <f aca="false">CHOOSE(WEEKDAY(R323,2),"월","화","수","목","금","토","일")</f>
        <v>목</v>
      </c>
      <c r="U323" s="17" t="s">
        <v>78</v>
      </c>
      <c r="V323" s="17" t="s">
        <v>78</v>
      </c>
      <c r="W323" s="23"/>
      <c r="X323" s="23"/>
      <c r="Y323" s="21"/>
    </row>
    <row r="324" customFormat="false" ht="15" hidden="false" customHeight="false" outlineLevel="0" collapsed="false">
      <c r="A324" s="16" t="n">
        <v>323</v>
      </c>
      <c r="B324" s="15" t="s">
        <v>1100</v>
      </c>
      <c r="C324" s="16" t="s">
        <v>70</v>
      </c>
      <c r="D324" s="16" t="n">
        <v>323</v>
      </c>
      <c r="E324" s="16" t="str">
        <f aca="false">C324&amp;"말씀 #"&amp;TEXT(D324,"000")</f>
        <v>구약말씀 #323</v>
      </c>
      <c r="F324" s="17" t="s">
        <v>1101</v>
      </c>
      <c r="G324" s="18" t="s">
        <v>320</v>
      </c>
      <c r="H324" s="19" t="s">
        <v>1102</v>
      </c>
      <c r="I324" s="17" t="s">
        <v>333</v>
      </c>
      <c r="J324" s="17" t="s">
        <v>122</v>
      </c>
      <c r="K324" s="20"/>
      <c r="L324" s="17" t="s">
        <v>76</v>
      </c>
      <c r="M324" s="17" t="n">
        <f aca="false">LEN(K324)</f>
        <v>0</v>
      </c>
      <c r="N324" s="17" t="str">
        <f aca="false">IF(M324=0,"-",ROUND(3+M324/안내!$C$12,0))</f>
        <v>-</v>
      </c>
      <c r="O324" s="21" t="str">
        <f aca="false">IF(K324="","(본문 입력 후 자동) | 단 1:8",IF(LEN(K324)&gt;28,LEFT(K324,28)&amp;"…",K324)&amp;" | 단 1:8")</f>
        <v>(본문 입력 후 자동) | 단 1:8</v>
      </c>
      <c r="P324" s="21" t="str">
        <f aca="false">"#"&amp;SUBSTITUTE(안내!$C$5," ","")&amp;" #성경구절 #말씀 #다니엘 #헌신"</f>
        <v>#오늘의말씀 #성경구절 #말씀 #다니엘 #헌신</v>
      </c>
      <c r="Q324" s="21" t="s">
        <v>77</v>
      </c>
      <c r="R324" s="22" t="n">
        <f aca="false">안내!$C$6+INT((D324-1)/안내!$C$7)</f>
        <v>46549</v>
      </c>
      <c r="S324" s="17" t="str">
        <f aca="false">IF(MOD(D324-1,안내!$C$7)=0,안내!$C$8,안내!$C$10)</f>
        <v>06:30</v>
      </c>
      <c r="T324" s="17" t="str">
        <f aca="false">CHOOSE(WEEKDAY(R324,2),"월","화","수","목","금","토","일")</f>
        <v>금</v>
      </c>
      <c r="U324" s="17" t="s">
        <v>78</v>
      </c>
      <c r="V324" s="17" t="s">
        <v>78</v>
      </c>
      <c r="W324" s="23"/>
      <c r="X324" s="23"/>
      <c r="Y324" s="21"/>
    </row>
    <row r="325" customFormat="false" ht="15" hidden="false" customHeight="false" outlineLevel="0" collapsed="false">
      <c r="A325" s="16" t="n">
        <v>324</v>
      </c>
      <c r="B325" s="15" t="s">
        <v>1103</v>
      </c>
      <c r="C325" s="16" t="s">
        <v>70</v>
      </c>
      <c r="D325" s="16" t="n">
        <v>324</v>
      </c>
      <c r="E325" s="16" t="str">
        <f aca="false">C325&amp;"말씀 #"&amp;TEXT(D325,"000")</f>
        <v>구약말씀 #324</v>
      </c>
      <c r="F325" s="17" t="s">
        <v>1101</v>
      </c>
      <c r="G325" s="18" t="s">
        <v>1104</v>
      </c>
      <c r="H325" s="19" t="s">
        <v>1105</v>
      </c>
      <c r="I325" s="17" t="s">
        <v>167</v>
      </c>
      <c r="J325" s="17" t="s">
        <v>75</v>
      </c>
      <c r="K325" s="20"/>
      <c r="L325" s="17" t="s">
        <v>76</v>
      </c>
      <c r="M325" s="17" t="n">
        <f aca="false">LEN(K325)</f>
        <v>0</v>
      </c>
      <c r="N325" s="17" t="str">
        <f aca="false">IF(M325=0,"-",ROUND(3+M325/안내!$C$12,0))</f>
        <v>-</v>
      </c>
      <c r="O325" s="21" t="str">
        <f aca="false">IF(K325="","(본문 입력 후 자동) | 단 2:21",IF(LEN(K325)&gt;28,LEFT(K325,28)&amp;"…",K325)&amp;" | 단 2:21")</f>
        <v>(본문 입력 후 자동) | 단 2:21</v>
      </c>
      <c r="P325" s="21" t="str">
        <f aca="false">"#"&amp;SUBSTITUTE(안내!$C$5," ","")&amp;" #성경구절 #말씀 #다니엘 #섭리"</f>
        <v>#오늘의말씀 #성경구절 #말씀 #다니엘 #섭리</v>
      </c>
      <c r="Q325" s="21" t="s">
        <v>77</v>
      </c>
      <c r="R325" s="22" t="n">
        <f aca="false">안내!$C$6+INT((D325-1)/안내!$C$7)</f>
        <v>46549</v>
      </c>
      <c r="S325" s="17" t="str">
        <f aca="false">IF(MOD(D325-1,안내!$C$7)=0,안내!$C$8,안내!$C$10)</f>
        <v>18:30</v>
      </c>
      <c r="T325" s="17" t="str">
        <f aca="false">CHOOSE(WEEKDAY(R325,2),"월","화","수","목","금","토","일")</f>
        <v>금</v>
      </c>
      <c r="U325" s="17" t="s">
        <v>78</v>
      </c>
      <c r="V325" s="17" t="s">
        <v>78</v>
      </c>
      <c r="W325" s="23"/>
      <c r="X325" s="23"/>
      <c r="Y325" s="21"/>
    </row>
    <row r="326" customFormat="false" ht="15" hidden="false" customHeight="false" outlineLevel="0" collapsed="false">
      <c r="A326" s="16" t="n">
        <v>325</v>
      </c>
      <c r="B326" s="15" t="s">
        <v>1106</v>
      </c>
      <c r="C326" s="16" t="s">
        <v>70</v>
      </c>
      <c r="D326" s="16" t="n">
        <v>325</v>
      </c>
      <c r="E326" s="16" t="str">
        <f aca="false">C326&amp;"말씀 #"&amp;TEXT(D326,"000")</f>
        <v>구약말씀 #325</v>
      </c>
      <c r="F326" s="17" t="s">
        <v>1101</v>
      </c>
      <c r="G326" s="18" t="s">
        <v>1107</v>
      </c>
      <c r="H326" s="19" t="s">
        <v>1108</v>
      </c>
      <c r="I326" s="17" t="s">
        <v>133</v>
      </c>
      <c r="J326" s="17" t="s">
        <v>113</v>
      </c>
      <c r="K326" s="20"/>
      <c r="L326" s="17" t="s">
        <v>76</v>
      </c>
      <c r="M326" s="17" t="n">
        <f aca="false">LEN(K326)</f>
        <v>0</v>
      </c>
      <c r="N326" s="17" t="str">
        <f aca="false">IF(M326=0,"-",ROUND(3+M326/안내!$C$12,0))</f>
        <v>-</v>
      </c>
      <c r="O326" s="21" t="str">
        <f aca="false">IF(K326="","(본문 입력 후 자동) | 단 3:17",IF(LEN(K326)&gt;28,LEFT(K326,28)&amp;"…",K326)&amp;" | 단 3:17")</f>
        <v>(본문 입력 후 자동) | 단 3:17</v>
      </c>
      <c r="P326" s="21" t="str">
        <f aca="false">"#"&amp;SUBSTITUTE(안내!$C$5," ","")&amp;" #성경구절 #말씀 #다니엘 #믿음"</f>
        <v>#오늘의말씀 #성경구절 #말씀 #다니엘 #믿음</v>
      </c>
      <c r="Q326" s="21" t="s">
        <v>77</v>
      </c>
      <c r="R326" s="22" t="n">
        <f aca="false">안내!$C$6+INT((D326-1)/안내!$C$7)</f>
        <v>46550</v>
      </c>
      <c r="S326" s="17" t="str">
        <f aca="false">IF(MOD(D326-1,안내!$C$7)=0,안내!$C$8,안내!$C$10)</f>
        <v>06:30</v>
      </c>
      <c r="T326" s="17" t="str">
        <f aca="false">CHOOSE(WEEKDAY(R326,2),"월","화","수","목","금","토","일")</f>
        <v>토</v>
      </c>
      <c r="U326" s="17" t="s">
        <v>78</v>
      </c>
      <c r="V326" s="17" t="s">
        <v>78</v>
      </c>
      <c r="W326" s="23"/>
      <c r="X326" s="23"/>
      <c r="Y326" s="21"/>
    </row>
    <row r="327" customFormat="false" ht="15" hidden="false" customHeight="false" outlineLevel="0" collapsed="false">
      <c r="A327" s="16" t="n">
        <v>326</v>
      </c>
      <c r="B327" s="15" t="s">
        <v>1109</v>
      </c>
      <c r="C327" s="16" t="s">
        <v>70</v>
      </c>
      <c r="D327" s="16" t="n">
        <v>326</v>
      </c>
      <c r="E327" s="16" t="str">
        <f aca="false">C327&amp;"말씀 #"&amp;TEXT(D327,"000")</f>
        <v>구약말씀 #326</v>
      </c>
      <c r="F327" s="17" t="s">
        <v>1101</v>
      </c>
      <c r="G327" s="18" t="s">
        <v>1110</v>
      </c>
      <c r="H327" s="19" t="s">
        <v>1111</v>
      </c>
      <c r="I327" s="17" t="s">
        <v>133</v>
      </c>
      <c r="J327" s="17" t="s">
        <v>113</v>
      </c>
      <c r="K327" s="20"/>
      <c r="L327" s="17" t="s">
        <v>76</v>
      </c>
      <c r="M327" s="17" t="n">
        <f aca="false">LEN(K327)</f>
        <v>0</v>
      </c>
      <c r="N327" s="17" t="str">
        <f aca="false">IF(M327=0,"-",ROUND(3+M327/안내!$C$12,0))</f>
        <v>-</v>
      </c>
      <c r="O327" s="21" t="str">
        <f aca="false">IF(K327="","(본문 입력 후 자동) | 단 3:18",IF(LEN(K327)&gt;28,LEFT(K327,28)&amp;"…",K327)&amp;" | 단 3:18")</f>
        <v>(본문 입력 후 자동) | 단 3:18</v>
      </c>
      <c r="P327" s="21" t="str">
        <f aca="false">"#"&amp;SUBSTITUTE(안내!$C$5," ","")&amp;" #성경구절 #말씀 #다니엘 #믿음"</f>
        <v>#오늘의말씀 #성경구절 #말씀 #다니엘 #믿음</v>
      </c>
      <c r="Q327" s="21" t="s">
        <v>77</v>
      </c>
      <c r="R327" s="22" t="n">
        <f aca="false">안내!$C$6+INT((D327-1)/안내!$C$7)</f>
        <v>46550</v>
      </c>
      <c r="S327" s="17" t="str">
        <f aca="false">IF(MOD(D327-1,안내!$C$7)=0,안내!$C$8,안내!$C$10)</f>
        <v>18:30</v>
      </c>
      <c r="T327" s="17" t="str">
        <f aca="false">CHOOSE(WEEKDAY(R327,2),"월","화","수","목","금","토","일")</f>
        <v>토</v>
      </c>
      <c r="U327" s="17" t="s">
        <v>78</v>
      </c>
      <c r="V327" s="17" t="s">
        <v>78</v>
      </c>
      <c r="W327" s="23"/>
      <c r="X327" s="23"/>
      <c r="Y327" s="21"/>
    </row>
    <row r="328" customFormat="false" ht="15" hidden="false" customHeight="false" outlineLevel="0" collapsed="false">
      <c r="A328" s="16" t="n">
        <v>327</v>
      </c>
      <c r="B328" s="15" t="s">
        <v>1112</v>
      </c>
      <c r="C328" s="16" t="s">
        <v>70</v>
      </c>
      <c r="D328" s="16" t="n">
        <v>327</v>
      </c>
      <c r="E328" s="16" t="str">
        <f aca="false">C328&amp;"말씀 #"&amp;TEXT(D328,"000")</f>
        <v>구약말씀 #327</v>
      </c>
      <c r="F328" s="17" t="s">
        <v>1101</v>
      </c>
      <c r="G328" s="18" t="s">
        <v>1113</v>
      </c>
      <c r="H328" s="19" t="s">
        <v>1114</v>
      </c>
      <c r="I328" s="17" t="s">
        <v>160</v>
      </c>
      <c r="J328" s="17" t="s">
        <v>104</v>
      </c>
      <c r="K328" s="20"/>
      <c r="L328" s="17" t="s">
        <v>76</v>
      </c>
      <c r="M328" s="17" t="n">
        <f aca="false">LEN(K328)</f>
        <v>0</v>
      </c>
      <c r="N328" s="17" t="str">
        <f aca="false">IF(M328=0,"-",ROUND(3+M328/안내!$C$12,0))</f>
        <v>-</v>
      </c>
      <c r="O328" s="21" t="str">
        <f aca="false">IF(K328="","(본문 입력 후 자동) | 단 6:10",IF(LEN(K328)&gt;28,LEFT(K328,28)&amp;"…",K328)&amp;" | 단 6:10")</f>
        <v>(본문 입력 후 자동) | 단 6:10</v>
      </c>
      <c r="P328" s="21" t="str">
        <f aca="false">"#"&amp;SUBSTITUTE(안내!$C$5," ","")&amp;" #성경구절 #말씀 #다니엘 #기도"</f>
        <v>#오늘의말씀 #성경구절 #말씀 #다니엘 #기도</v>
      </c>
      <c r="Q328" s="21" t="s">
        <v>77</v>
      </c>
      <c r="R328" s="22" t="n">
        <f aca="false">안내!$C$6+INT((D328-1)/안내!$C$7)</f>
        <v>46551</v>
      </c>
      <c r="S328" s="17" t="str">
        <f aca="false">IF(MOD(D328-1,안내!$C$7)=0,안내!$C$8,안내!$C$10)</f>
        <v>06:30</v>
      </c>
      <c r="T328" s="17" t="str">
        <f aca="false">CHOOSE(WEEKDAY(R328,2),"월","화","수","목","금","토","일")</f>
        <v>일</v>
      </c>
      <c r="U328" s="17" t="s">
        <v>78</v>
      </c>
      <c r="V328" s="17" t="s">
        <v>78</v>
      </c>
      <c r="W328" s="23"/>
      <c r="X328" s="23"/>
      <c r="Y328" s="21"/>
    </row>
    <row r="329" customFormat="false" ht="15" hidden="false" customHeight="false" outlineLevel="0" collapsed="false">
      <c r="A329" s="16" t="n">
        <v>328</v>
      </c>
      <c r="B329" s="15" t="s">
        <v>1115</v>
      </c>
      <c r="C329" s="16" t="s">
        <v>70</v>
      </c>
      <c r="D329" s="16" t="n">
        <v>328</v>
      </c>
      <c r="E329" s="16" t="str">
        <f aca="false">C329&amp;"말씀 #"&amp;TEXT(D329,"000")</f>
        <v>구약말씀 #328</v>
      </c>
      <c r="F329" s="17" t="s">
        <v>1101</v>
      </c>
      <c r="G329" s="18" t="s">
        <v>1116</v>
      </c>
      <c r="H329" s="19" t="s">
        <v>1117</v>
      </c>
      <c r="I329" s="17" t="s">
        <v>511</v>
      </c>
      <c r="J329" s="17" t="s">
        <v>89</v>
      </c>
      <c r="K329" s="20"/>
      <c r="L329" s="17" t="s">
        <v>76</v>
      </c>
      <c r="M329" s="17" t="n">
        <f aca="false">LEN(K329)</f>
        <v>0</v>
      </c>
      <c r="N329" s="17" t="str">
        <f aca="false">IF(M329=0,"-",ROUND(3+M329/안내!$C$12,0))</f>
        <v>-</v>
      </c>
      <c r="O329" s="21" t="str">
        <f aca="false">IF(K329="","(본문 입력 후 자동) | 단 12:3",IF(LEN(K329)&gt;28,LEFT(K329,28)&amp;"…",K329)&amp;" | 단 12:3")</f>
        <v>(본문 입력 후 자동) | 단 12:3</v>
      </c>
      <c r="P329" s="21" t="str">
        <f aca="false">"#"&amp;SUBSTITUTE(안내!$C$5," ","")&amp;" #성경구절 #말씀 #다니엘 #소망"</f>
        <v>#오늘의말씀 #성경구절 #말씀 #다니엘 #소망</v>
      </c>
      <c r="Q329" s="21" t="s">
        <v>77</v>
      </c>
      <c r="R329" s="22" t="n">
        <f aca="false">안내!$C$6+INT((D329-1)/안내!$C$7)</f>
        <v>46551</v>
      </c>
      <c r="S329" s="17" t="str">
        <f aca="false">IF(MOD(D329-1,안내!$C$7)=0,안내!$C$8,안내!$C$10)</f>
        <v>18:30</v>
      </c>
      <c r="T329" s="17" t="str">
        <f aca="false">CHOOSE(WEEKDAY(R329,2),"월","화","수","목","금","토","일")</f>
        <v>일</v>
      </c>
      <c r="U329" s="17" t="s">
        <v>78</v>
      </c>
      <c r="V329" s="17" t="s">
        <v>78</v>
      </c>
      <c r="W329" s="23"/>
      <c r="X329" s="23"/>
      <c r="Y329" s="21"/>
    </row>
    <row r="330" customFormat="false" ht="15" hidden="false" customHeight="false" outlineLevel="0" collapsed="false">
      <c r="A330" s="16" t="n">
        <v>329</v>
      </c>
      <c r="B330" s="15" t="s">
        <v>1118</v>
      </c>
      <c r="C330" s="16" t="s">
        <v>70</v>
      </c>
      <c r="D330" s="16" t="n">
        <v>329</v>
      </c>
      <c r="E330" s="16" t="str">
        <f aca="false">C330&amp;"말씀 #"&amp;TEXT(D330,"000")</f>
        <v>구약말씀 #329</v>
      </c>
      <c r="F330" s="17" t="s">
        <v>1119</v>
      </c>
      <c r="G330" s="18" t="s">
        <v>1120</v>
      </c>
      <c r="H330" s="19" t="s">
        <v>1121</v>
      </c>
      <c r="I330" s="17" t="s">
        <v>454</v>
      </c>
      <c r="J330" s="17" t="s">
        <v>104</v>
      </c>
      <c r="K330" s="20"/>
      <c r="L330" s="17" t="s">
        <v>76</v>
      </c>
      <c r="M330" s="17" t="n">
        <f aca="false">LEN(K330)</f>
        <v>0</v>
      </c>
      <c r="N330" s="17" t="str">
        <f aca="false">IF(M330=0,"-",ROUND(3+M330/안내!$C$12,0))</f>
        <v>-</v>
      </c>
      <c r="O330" s="21" t="str">
        <f aca="false">IF(K330="","(본문 입력 후 자동) | 호 6:1",IF(LEN(K330)&gt;28,LEFT(K330,28)&amp;"…",K330)&amp;" | 호 6:1")</f>
        <v>(본문 입력 후 자동) | 호 6:1</v>
      </c>
      <c r="P330" s="21" t="str">
        <f aca="false">"#"&amp;SUBSTITUTE(안내!$C$5," ","")&amp;" #성경구절 #말씀 #호세아 #회개"</f>
        <v>#오늘의말씀 #성경구절 #말씀 #호세아 #회개</v>
      </c>
      <c r="Q330" s="21" t="s">
        <v>77</v>
      </c>
      <c r="R330" s="22" t="n">
        <f aca="false">안내!$C$6+INT((D330-1)/안내!$C$7)</f>
        <v>46552</v>
      </c>
      <c r="S330" s="17" t="str">
        <f aca="false">IF(MOD(D330-1,안내!$C$7)=0,안내!$C$8,안내!$C$10)</f>
        <v>06:30</v>
      </c>
      <c r="T330" s="17" t="str">
        <f aca="false">CHOOSE(WEEKDAY(R330,2),"월","화","수","목","금","토","일")</f>
        <v>월</v>
      </c>
      <c r="U330" s="17" t="s">
        <v>78</v>
      </c>
      <c r="V330" s="17" t="s">
        <v>78</v>
      </c>
      <c r="W330" s="23"/>
      <c r="X330" s="23"/>
      <c r="Y330" s="21"/>
    </row>
    <row r="331" customFormat="false" ht="15" hidden="false" customHeight="false" outlineLevel="0" collapsed="false">
      <c r="A331" s="16" t="n">
        <v>330</v>
      </c>
      <c r="B331" s="15" t="s">
        <v>1122</v>
      </c>
      <c r="C331" s="16" t="s">
        <v>70</v>
      </c>
      <c r="D331" s="16" t="n">
        <v>330</v>
      </c>
      <c r="E331" s="16" t="str">
        <f aca="false">C331&amp;"말씀 #"&amp;TEXT(D331,"000")</f>
        <v>구약말씀 #330</v>
      </c>
      <c r="F331" s="17" t="s">
        <v>1119</v>
      </c>
      <c r="G331" s="18" t="s">
        <v>893</v>
      </c>
      <c r="H331" s="19" t="s">
        <v>1123</v>
      </c>
      <c r="I331" s="17" t="s">
        <v>176</v>
      </c>
      <c r="J331" s="17" t="s">
        <v>75</v>
      </c>
      <c r="K331" s="20"/>
      <c r="L331" s="17" t="s">
        <v>76</v>
      </c>
      <c r="M331" s="17" t="n">
        <f aca="false">LEN(K331)</f>
        <v>0</v>
      </c>
      <c r="N331" s="17" t="str">
        <f aca="false">IF(M331=0,"-",ROUND(3+M331/안내!$C$12,0))</f>
        <v>-</v>
      </c>
      <c r="O331" s="21" t="str">
        <f aca="false">IF(K331="","(본문 입력 후 자동) | 호 6:3",IF(LEN(K331)&gt;28,LEFT(K331,28)&amp;"…",K331)&amp;" | 호 6:3")</f>
        <v>(본문 입력 후 자동) | 호 6:3</v>
      </c>
      <c r="P331" s="21" t="str">
        <f aca="false">"#"&amp;SUBSTITUTE(안내!$C$5," ","")&amp;" #성경구절 #말씀 #호세아 #하나님"</f>
        <v>#오늘의말씀 #성경구절 #말씀 #호세아 #하나님</v>
      </c>
      <c r="Q331" s="21" t="s">
        <v>77</v>
      </c>
      <c r="R331" s="22" t="n">
        <f aca="false">안내!$C$6+INT((D331-1)/안내!$C$7)</f>
        <v>46552</v>
      </c>
      <c r="S331" s="17" t="str">
        <f aca="false">IF(MOD(D331-1,안내!$C$7)=0,안내!$C$8,안내!$C$10)</f>
        <v>18:30</v>
      </c>
      <c r="T331" s="17" t="str">
        <f aca="false">CHOOSE(WEEKDAY(R331,2),"월","화","수","목","금","토","일")</f>
        <v>월</v>
      </c>
      <c r="U331" s="17" t="s">
        <v>78</v>
      </c>
      <c r="V331" s="17" t="s">
        <v>78</v>
      </c>
      <c r="W331" s="23"/>
      <c r="X331" s="23"/>
      <c r="Y331" s="21"/>
    </row>
    <row r="332" customFormat="false" ht="25.35" hidden="false" customHeight="false" outlineLevel="0" collapsed="false">
      <c r="A332" s="16" t="n">
        <v>331</v>
      </c>
      <c r="B332" s="15" t="s">
        <v>1124</v>
      </c>
      <c r="C332" s="16" t="s">
        <v>70</v>
      </c>
      <c r="D332" s="16" t="n">
        <v>331</v>
      </c>
      <c r="E332" s="16" t="str">
        <f aca="false">C332&amp;"말씀 #"&amp;TEXT(D332,"000")</f>
        <v>구약말씀 #331</v>
      </c>
      <c r="F332" s="17" t="s">
        <v>1119</v>
      </c>
      <c r="G332" s="18" t="s">
        <v>294</v>
      </c>
      <c r="H332" s="19" t="s">
        <v>1125</v>
      </c>
      <c r="I332" s="17" t="s">
        <v>454</v>
      </c>
      <c r="J332" s="17" t="s">
        <v>104</v>
      </c>
      <c r="K332" s="20"/>
      <c r="L332" s="17" t="s">
        <v>76</v>
      </c>
      <c r="M332" s="17" t="n">
        <f aca="false">LEN(K332)</f>
        <v>0</v>
      </c>
      <c r="N332" s="17" t="str">
        <f aca="false">IF(M332=0,"-",ROUND(3+M332/안내!$C$12,0))</f>
        <v>-</v>
      </c>
      <c r="O332" s="21" t="str">
        <f aca="false">IF(K332="","(본문 입력 후 자동) | 호 10:12",IF(LEN(K332)&gt;28,LEFT(K332,28)&amp;"…",K332)&amp;" | 호 10:12")</f>
        <v>(본문 입력 후 자동) | 호 10:12</v>
      </c>
      <c r="P332" s="21" t="str">
        <f aca="false">"#"&amp;SUBSTITUTE(안내!$C$5," ","")&amp;" #성경구절 #말씀 #호세아 #회개"</f>
        <v>#오늘의말씀 #성경구절 #말씀 #호세아 #회개</v>
      </c>
      <c r="Q332" s="21" t="s">
        <v>77</v>
      </c>
      <c r="R332" s="22" t="n">
        <f aca="false">안내!$C$6+INT((D332-1)/안내!$C$7)</f>
        <v>46553</v>
      </c>
      <c r="S332" s="17" t="str">
        <f aca="false">IF(MOD(D332-1,안내!$C$7)=0,안내!$C$8,안내!$C$10)</f>
        <v>06:30</v>
      </c>
      <c r="T332" s="17" t="str">
        <f aca="false">CHOOSE(WEEKDAY(R332,2),"월","화","수","목","금","토","일")</f>
        <v>화</v>
      </c>
      <c r="U332" s="17" t="s">
        <v>78</v>
      </c>
      <c r="V332" s="17" t="s">
        <v>78</v>
      </c>
      <c r="W332" s="23"/>
      <c r="X332" s="23"/>
      <c r="Y332" s="21"/>
    </row>
    <row r="333" customFormat="false" ht="15" hidden="false" customHeight="false" outlineLevel="0" collapsed="false">
      <c r="A333" s="16" t="n">
        <v>332</v>
      </c>
      <c r="B333" s="15" t="s">
        <v>1126</v>
      </c>
      <c r="C333" s="16" t="s">
        <v>70</v>
      </c>
      <c r="D333" s="16" t="n">
        <v>332</v>
      </c>
      <c r="E333" s="16" t="str">
        <f aca="false">C333&amp;"말씀 #"&amp;TEXT(D333,"000")</f>
        <v>구약말씀 #332</v>
      </c>
      <c r="F333" s="17" t="s">
        <v>1119</v>
      </c>
      <c r="G333" s="18" t="s">
        <v>1127</v>
      </c>
      <c r="H333" s="19" t="s">
        <v>1128</v>
      </c>
      <c r="I333" s="17" t="s">
        <v>239</v>
      </c>
      <c r="J333" s="17" t="s">
        <v>94</v>
      </c>
      <c r="K333" s="20"/>
      <c r="L333" s="17" t="s">
        <v>76</v>
      </c>
      <c r="M333" s="17" t="n">
        <f aca="false">LEN(K333)</f>
        <v>0</v>
      </c>
      <c r="N333" s="17" t="str">
        <f aca="false">IF(M333=0,"-",ROUND(3+M333/안내!$C$12,0))</f>
        <v>-</v>
      </c>
      <c r="O333" s="21" t="str">
        <f aca="false">IF(K333="","(본문 입력 후 자동) | 호 14:4",IF(LEN(K333)&gt;28,LEFT(K333,28)&amp;"…",K333)&amp;" | 호 14:4")</f>
        <v>(본문 입력 후 자동) | 호 14:4</v>
      </c>
      <c r="P333" s="21" t="str">
        <f aca="false">"#"&amp;SUBSTITUTE(안내!$C$5," ","")&amp;" #성경구절 #말씀 #호세아 #사랑"</f>
        <v>#오늘의말씀 #성경구절 #말씀 #호세아 #사랑</v>
      </c>
      <c r="Q333" s="21" t="s">
        <v>77</v>
      </c>
      <c r="R333" s="22" t="n">
        <f aca="false">안내!$C$6+INT((D333-1)/안내!$C$7)</f>
        <v>46553</v>
      </c>
      <c r="S333" s="17" t="str">
        <f aca="false">IF(MOD(D333-1,안내!$C$7)=0,안내!$C$8,안내!$C$10)</f>
        <v>18:30</v>
      </c>
      <c r="T333" s="17" t="str">
        <f aca="false">CHOOSE(WEEKDAY(R333,2),"월","화","수","목","금","토","일")</f>
        <v>화</v>
      </c>
      <c r="U333" s="17" t="s">
        <v>78</v>
      </c>
      <c r="V333" s="17" t="s">
        <v>78</v>
      </c>
      <c r="W333" s="23"/>
      <c r="X333" s="23"/>
      <c r="Y333" s="21"/>
    </row>
    <row r="334" customFormat="false" ht="15" hidden="false" customHeight="false" outlineLevel="0" collapsed="false">
      <c r="A334" s="16" t="n">
        <v>333</v>
      </c>
      <c r="B334" s="15" t="s">
        <v>1129</v>
      </c>
      <c r="C334" s="16" t="s">
        <v>70</v>
      </c>
      <c r="D334" s="16" t="n">
        <v>333</v>
      </c>
      <c r="E334" s="16" t="str">
        <f aca="false">C334&amp;"말씀 #"&amp;TEXT(D334,"000")</f>
        <v>구약말씀 #333</v>
      </c>
      <c r="F334" s="17" t="s">
        <v>1130</v>
      </c>
      <c r="G334" s="18" t="s">
        <v>1015</v>
      </c>
      <c r="H334" s="19" t="s">
        <v>1131</v>
      </c>
      <c r="I334" s="17" t="s">
        <v>454</v>
      </c>
      <c r="J334" s="17" t="s">
        <v>104</v>
      </c>
      <c r="K334" s="20"/>
      <c r="L334" s="17" t="s">
        <v>76</v>
      </c>
      <c r="M334" s="17" t="n">
        <f aca="false">LEN(K334)</f>
        <v>0</v>
      </c>
      <c r="N334" s="17" t="str">
        <f aca="false">IF(M334=0,"-",ROUND(3+M334/안내!$C$12,0))</f>
        <v>-</v>
      </c>
      <c r="O334" s="21" t="str">
        <f aca="false">IF(K334="","(본문 입력 후 자동) | 욜 2:13",IF(LEN(K334)&gt;28,LEFT(K334,28)&amp;"…",K334)&amp;" | 욜 2:13")</f>
        <v>(본문 입력 후 자동) | 욜 2:13</v>
      </c>
      <c r="P334" s="21" t="str">
        <f aca="false">"#"&amp;SUBSTITUTE(안내!$C$5," ","")&amp;" #성경구절 #말씀 #요엘 #회개"</f>
        <v>#오늘의말씀 #성경구절 #말씀 #요엘 #회개</v>
      </c>
      <c r="Q334" s="21" t="s">
        <v>77</v>
      </c>
      <c r="R334" s="22" t="n">
        <f aca="false">안내!$C$6+INT((D334-1)/안내!$C$7)</f>
        <v>46554</v>
      </c>
      <c r="S334" s="17" t="str">
        <f aca="false">IF(MOD(D334-1,안내!$C$7)=0,안내!$C$8,안내!$C$10)</f>
        <v>06:30</v>
      </c>
      <c r="T334" s="17" t="str">
        <f aca="false">CHOOSE(WEEKDAY(R334,2),"월","화","수","목","금","토","일")</f>
        <v>수</v>
      </c>
      <c r="U334" s="17" t="s">
        <v>78</v>
      </c>
      <c r="V334" s="17" t="s">
        <v>78</v>
      </c>
      <c r="W334" s="23"/>
      <c r="X334" s="23"/>
      <c r="Y334" s="21"/>
    </row>
    <row r="335" customFormat="false" ht="15" hidden="false" customHeight="false" outlineLevel="0" collapsed="false">
      <c r="A335" s="16" t="n">
        <v>334</v>
      </c>
      <c r="B335" s="15" t="s">
        <v>1132</v>
      </c>
      <c r="C335" s="16" t="s">
        <v>70</v>
      </c>
      <c r="D335" s="16" t="n">
        <v>334</v>
      </c>
      <c r="E335" s="16" t="str">
        <f aca="false">C335&amp;"말씀 #"&amp;TEXT(D335,"000")</f>
        <v>구약말씀 #334</v>
      </c>
      <c r="F335" s="17" t="s">
        <v>1130</v>
      </c>
      <c r="G335" s="18" t="s">
        <v>1133</v>
      </c>
      <c r="H335" s="19" t="s">
        <v>1134</v>
      </c>
      <c r="I335" s="17" t="s">
        <v>1135</v>
      </c>
      <c r="J335" s="17" t="s">
        <v>89</v>
      </c>
      <c r="K335" s="20"/>
      <c r="L335" s="17" t="s">
        <v>76</v>
      </c>
      <c r="M335" s="17" t="n">
        <f aca="false">LEN(K335)</f>
        <v>0</v>
      </c>
      <c r="N335" s="17" t="str">
        <f aca="false">IF(M335=0,"-",ROUND(3+M335/안내!$C$12,0))</f>
        <v>-</v>
      </c>
      <c r="O335" s="21" t="str">
        <f aca="false">IF(K335="","(본문 입력 후 자동) | 욜 2:25",IF(LEN(K335)&gt;28,LEFT(K335,28)&amp;"…",K335)&amp;" | 욜 2:25")</f>
        <v>(본문 입력 후 자동) | 욜 2:25</v>
      </c>
      <c r="P335" s="21" t="str">
        <f aca="false">"#"&amp;SUBSTITUTE(안내!$C$5," ","")&amp;" #성경구절 #말씀 #요엘 #회복"</f>
        <v>#오늘의말씀 #성경구절 #말씀 #요엘 #회복</v>
      </c>
      <c r="Q335" s="21" t="s">
        <v>77</v>
      </c>
      <c r="R335" s="22" t="n">
        <f aca="false">안내!$C$6+INT((D335-1)/안내!$C$7)</f>
        <v>46554</v>
      </c>
      <c r="S335" s="17" t="str">
        <f aca="false">IF(MOD(D335-1,안내!$C$7)=0,안내!$C$8,안내!$C$10)</f>
        <v>18:30</v>
      </c>
      <c r="T335" s="17" t="str">
        <f aca="false">CHOOSE(WEEKDAY(R335,2),"월","화","수","목","금","토","일")</f>
        <v>수</v>
      </c>
      <c r="U335" s="17" t="s">
        <v>78</v>
      </c>
      <c r="V335" s="17" t="s">
        <v>78</v>
      </c>
      <c r="W335" s="23"/>
      <c r="X335" s="23"/>
      <c r="Y335" s="21"/>
    </row>
    <row r="336" customFormat="false" ht="15" hidden="false" customHeight="false" outlineLevel="0" collapsed="false">
      <c r="A336" s="16" t="n">
        <v>335</v>
      </c>
      <c r="B336" s="15" t="s">
        <v>1136</v>
      </c>
      <c r="C336" s="16" t="s">
        <v>70</v>
      </c>
      <c r="D336" s="16" t="n">
        <v>335</v>
      </c>
      <c r="E336" s="16" t="str">
        <f aca="false">C336&amp;"말씀 #"&amp;TEXT(D336,"000")</f>
        <v>구약말씀 #335</v>
      </c>
      <c r="F336" s="17" t="s">
        <v>1130</v>
      </c>
      <c r="G336" s="18" t="s">
        <v>1137</v>
      </c>
      <c r="H336" s="19" t="s">
        <v>1138</v>
      </c>
      <c r="I336" s="17" t="s">
        <v>1139</v>
      </c>
      <c r="J336" s="17" t="s">
        <v>75</v>
      </c>
      <c r="K336" s="20"/>
      <c r="L336" s="17" t="s">
        <v>76</v>
      </c>
      <c r="M336" s="17" t="n">
        <f aca="false">LEN(K336)</f>
        <v>0</v>
      </c>
      <c r="N336" s="17" t="str">
        <f aca="false">IF(M336=0,"-",ROUND(3+M336/안내!$C$12,0))</f>
        <v>-</v>
      </c>
      <c r="O336" s="21" t="str">
        <f aca="false">IF(K336="","(본문 입력 후 자동) | 욜 2:28",IF(LEN(K336)&gt;28,LEFT(K336,28)&amp;"…",K336)&amp;" | 욜 2:28")</f>
        <v>(본문 입력 후 자동) | 욜 2:28</v>
      </c>
      <c r="P336" s="21" t="str">
        <f aca="false">"#"&amp;SUBSTITUTE(안내!$C$5," ","")&amp;" #성경구절 #말씀 #요엘 #성령"</f>
        <v>#오늘의말씀 #성경구절 #말씀 #요엘 #성령</v>
      </c>
      <c r="Q336" s="21" t="s">
        <v>77</v>
      </c>
      <c r="R336" s="22" t="n">
        <f aca="false">안내!$C$6+INT((D336-1)/안내!$C$7)</f>
        <v>46555</v>
      </c>
      <c r="S336" s="17" t="str">
        <f aca="false">IF(MOD(D336-1,안내!$C$7)=0,안내!$C$8,안내!$C$10)</f>
        <v>06:30</v>
      </c>
      <c r="T336" s="17" t="str">
        <f aca="false">CHOOSE(WEEKDAY(R336,2),"월","화","수","목","금","토","일")</f>
        <v>목</v>
      </c>
      <c r="U336" s="17" t="s">
        <v>78</v>
      </c>
      <c r="V336" s="17" t="s">
        <v>78</v>
      </c>
      <c r="W336" s="23"/>
      <c r="X336" s="23"/>
      <c r="Y336" s="21"/>
    </row>
    <row r="337" customFormat="false" ht="15" hidden="false" customHeight="false" outlineLevel="0" collapsed="false">
      <c r="A337" s="16" t="n">
        <v>336</v>
      </c>
      <c r="B337" s="15" t="s">
        <v>1140</v>
      </c>
      <c r="C337" s="16" t="s">
        <v>70</v>
      </c>
      <c r="D337" s="16" t="n">
        <v>336</v>
      </c>
      <c r="E337" s="16" t="str">
        <f aca="false">C337&amp;"말씀 #"&amp;TEXT(D337,"000")</f>
        <v>구약말씀 #336</v>
      </c>
      <c r="F337" s="17" t="s">
        <v>1141</v>
      </c>
      <c r="G337" s="18" t="s">
        <v>178</v>
      </c>
      <c r="H337" s="19" t="s">
        <v>1142</v>
      </c>
      <c r="I337" s="17" t="s">
        <v>857</v>
      </c>
      <c r="J337" s="17" t="s">
        <v>75</v>
      </c>
      <c r="K337" s="20"/>
      <c r="L337" s="17" t="s">
        <v>76</v>
      </c>
      <c r="M337" s="17" t="n">
        <f aca="false">LEN(K337)</f>
        <v>0</v>
      </c>
      <c r="N337" s="17" t="str">
        <f aca="false">IF(M337=0,"-",ROUND(3+M337/안내!$C$12,0))</f>
        <v>-</v>
      </c>
      <c r="O337" s="21" t="str">
        <f aca="false">IF(K337="","(본문 입력 후 자동) | 암 4:12",IF(LEN(K337)&gt;28,LEFT(K337,28)&amp;"…",K337)&amp;" | 암 4:12")</f>
        <v>(본문 입력 후 자동) | 암 4:12</v>
      </c>
      <c r="P337" s="21" t="str">
        <f aca="false">"#"&amp;SUBSTITUTE(안내!$C$5," ","")&amp;" #성경구절 #말씀 #아모스 #경외"</f>
        <v>#오늘의말씀 #성경구절 #말씀 #아모스 #경외</v>
      </c>
      <c r="Q337" s="21" t="s">
        <v>77</v>
      </c>
      <c r="R337" s="22" t="n">
        <f aca="false">안내!$C$6+INT((D337-1)/안내!$C$7)</f>
        <v>46555</v>
      </c>
      <c r="S337" s="17" t="str">
        <f aca="false">IF(MOD(D337-1,안내!$C$7)=0,안내!$C$8,안내!$C$10)</f>
        <v>18:30</v>
      </c>
      <c r="T337" s="17" t="str">
        <f aca="false">CHOOSE(WEEKDAY(R337,2),"월","화","수","목","금","토","일")</f>
        <v>목</v>
      </c>
      <c r="U337" s="17" t="s">
        <v>78</v>
      </c>
      <c r="V337" s="17" t="s">
        <v>78</v>
      </c>
      <c r="W337" s="23"/>
      <c r="X337" s="23"/>
      <c r="Y337" s="21"/>
    </row>
    <row r="338" customFormat="false" ht="15" hidden="false" customHeight="false" outlineLevel="0" collapsed="false">
      <c r="A338" s="16" t="n">
        <v>337</v>
      </c>
      <c r="B338" s="15" t="s">
        <v>1143</v>
      </c>
      <c r="C338" s="16" t="s">
        <v>70</v>
      </c>
      <c r="D338" s="16" t="n">
        <v>337</v>
      </c>
      <c r="E338" s="16" t="str">
        <f aca="false">C338&amp;"말씀 #"&amp;TEXT(D338,"000")</f>
        <v>구약말씀 #337</v>
      </c>
      <c r="F338" s="17" t="s">
        <v>1141</v>
      </c>
      <c r="G338" s="18" t="s">
        <v>1144</v>
      </c>
      <c r="H338" s="19" t="s">
        <v>1145</v>
      </c>
      <c r="I338" s="17" t="s">
        <v>88</v>
      </c>
      <c r="J338" s="17" t="s">
        <v>89</v>
      </c>
      <c r="K338" s="20"/>
      <c r="L338" s="17" t="s">
        <v>76</v>
      </c>
      <c r="M338" s="17" t="n">
        <f aca="false">LEN(K338)</f>
        <v>0</v>
      </c>
      <c r="N338" s="17" t="str">
        <f aca="false">IF(M338=0,"-",ROUND(3+M338/안내!$C$12,0))</f>
        <v>-</v>
      </c>
      <c r="O338" s="21" t="str">
        <f aca="false">IF(K338="","(본문 입력 후 자동) | 암 5:4",IF(LEN(K338)&gt;28,LEFT(K338,28)&amp;"…",K338)&amp;" | 암 5:4")</f>
        <v>(본문 입력 후 자동) | 암 5:4</v>
      </c>
      <c r="P338" s="21" t="str">
        <f aca="false">"#"&amp;SUBSTITUTE(안내!$C$5," ","")&amp;" #성경구절 #말씀 #아모스 #생명"</f>
        <v>#오늘의말씀 #성경구절 #말씀 #아모스 #생명</v>
      </c>
      <c r="Q338" s="21" t="s">
        <v>77</v>
      </c>
      <c r="R338" s="22" t="n">
        <f aca="false">안내!$C$6+INT((D338-1)/안내!$C$7)</f>
        <v>46556</v>
      </c>
      <c r="S338" s="17" t="str">
        <f aca="false">IF(MOD(D338-1,안내!$C$7)=0,안내!$C$8,안내!$C$10)</f>
        <v>06:30</v>
      </c>
      <c r="T338" s="17" t="str">
        <f aca="false">CHOOSE(WEEKDAY(R338,2),"월","화","수","목","금","토","일")</f>
        <v>금</v>
      </c>
      <c r="U338" s="17" t="s">
        <v>78</v>
      </c>
      <c r="V338" s="17" t="s">
        <v>78</v>
      </c>
      <c r="W338" s="23"/>
      <c r="X338" s="23"/>
      <c r="Y338" s="21"/>
    </row>
    <row r="339" customFormat="false" ht="15" hidden="false" customHeight="false" outlineLevel="0" collapsed="false">
      <c r="A339" s="16" t="n">
        <v>338</v>
      </c>
      <c r="B339" s="15" t="s">
        <v>1146</v>
      </c>
      <c r="C339" s="16" t="s">
        <v>70</v>
      </c>
      <c r="D339" s="16" t="n">
        <v>338</v>
      </c>
      <c r="E339" s="16" t="str">
        <f aca="false">C339&amp;"말씀 #"&amp;TEXT(D339,"000")</f>
        <v>구약말씀 #338</v>
      </c>
      <c r="F339" s="17" t="s">
        <v>1141</v>
      </c>
      <c r="G339" s="18" t="s">
        <v>1147</v>
      </c>
      <c r="H339" s="19" t="s">
        <v>1148</v>
      </c>
      <c r="I339" s="17" t="s">
        <v>1149</v>
      </c>
      <c r="J339" s="17" t="s">
        <v>148</v>
      </c>
      <c r="K339" s="20"/>
      <c r="L339" s="17" t="s">
        <v>76</v>
      </c>
      <c r="M339" s="17" t="n">
        <f aca="false">LEN(K339)</f>
        <v>0</v>
      </c>
      <c r="N339" s="17" t="str">
        <f aca="false">IF(M339=0,"-",ROUND(3+M339/안내!$C$12,0))</f>
        <v>-</v>
      </c>
      <c r="O339" s="21" t="str">
        <f aca="false">IF(K339="","(본문 입력 후 자동) | 암 5:24",IF(LEN(K339)&gt;28,LEFT(K339,28)&amp;"…",K339)&amp;" | 암 5:24")</f>
        <v>(본문 입력 후 자동) | 암 5:24</v>
      </c>
      <c r="P339" s="21" t="str">
        <f aca="false">"#"&amp;SUBSTITUTE(안내!$C$5," ","")&amp;" #성경구절 #말씀 #아모스 #정의"</f>
        <v>#오늘의말씀 #성경구절 #말씀 #아모스 #정의</v>
      </c>
      <c r="Q339" s="21" t="s">
        <v>77</v>
      </c>
      <c r="R339" s="22" t="n">
        <f aca="false">안내!$C$6+INT((D339-1)/안내!$C$7)</f>
        <v>46556</v>
      </c>
      <c r="S339" s="17" t="str">
        <f aca="false">IF(MOD(D339-1,안내!$C$7)=0,안내!$C$8,안내!$C$10)</f>
        <v>18:30</v>
      </c>
      <c r="T339" s="17" t="str">
        <f aca="false">CHOOSE(WEEKDAY(R339,2),"월","화","수","목","금","토","일")</f>
        <v>금</v>
      </c>
      <c r="U339" s="17" t="s">
        <v>78</v>
      </c>
      <c r="V339" s="17" t="s">
        <v>78</v>
      </c>
      <c r="W339" s="23"/>
      <c r="X339" s="23"/>
      <c r="Y339" s="21"/>
    </row>
    <row r="340" customFormat="false" ht="15" hidden="false" customHeight="false" outlineLevel="0" collapsed="false">
      <c r="A340" s="16" t="n">
        <v>339</v>
      </c>
      <c r="B340" s="15" t="s">
        <v>1150</v>
      </c>
      <c r="C340" s="16" t="s">
        <v>70</v>
      </c>
      <c r="D340" s="16" t="n">
        <v>339</v>
      </c>
      <c r="E340" s="16" t="str">
        <f aca="false">C340&amp;"말씀 #"&amp;TEXT(D340,"000")</f>
        <v>구약말씀 #339</v>
      </c>
      <c r="F340" s="17" t="s">
        <v>1151</v>
      </c>
      <c r="G340" s="18" t="s">
        <v>1152</v>
      </c>
      <c r="H340" s="19" t="s">
        <v>1153</v>
      </c>
      <c r="I340" s="17" t="s">
        <v>775</v>
      </c>
      <c r="J340" s="17" t="s">
        <v>94</v>
      </c>
      <c r="K340" s="20"/>
      <c r="L340" s="17" t="s">
        <v>76</v>
      </c>
      <c r="M340" s="17" t="n">
        <f aca="false">LEN(K340)</f>
        <v>0</v>
      </c>
      <c r="N340" s="17" t="str">
        <f aca="false">IF(M340=0,"-",ROUND(3+M340/안내!$C$12,0))</f>
        <v>-</v>
      </c>
      <c r="O340" s="21" t="str">
        <f aca="false">IF(K340="","(본문 입력 후 자동) | 옵 1:3",IF(LEN(K340)&gt;28,LEFT(K340,28)&amp;"…",K340)&amp;" | 옵 1:3")</f>
        <v>(본문 입력 후 자동) | 옵 1:3</v>
      </c>
      <c r="P340" s="21" t="str">
        <f aca="false">"#"&amp;SUBSTITUTE(안내!$C$5," ","")&amp;" #성경구절 #말씀 #오바댜 #겸손"</f>
        <v>#오늘의말씀 #성경구절 #말씀 #오바댜 #겸손</v>
      </c>
      <c r="Q340" s="21" t="s">
        <v>77</v>
      </c>
      <c r="R340" s="22" t="n">
        <f aca="false">안내!$C$6+INT((D340-1)/안내!$C$7)</f>
        <v>46557</v>
      </c>
      <c r="S340" s="17" t="str">
        <f aca="false">IF(MOD(D340-1,안내!$C$7)=0,안내!$C$8,안내!$C$10)</f>
        <v>06:30</v>
      </c>
      <c r="T340" s="17" t="str">
        <f aca="false">CHOOSE(WEEKDAY(R340,2),"월","화","수","목","금","토","일")</f>
        <v>토</v>
      </c>
      <c r="U340" s="17" t="s">
        <v>78</v>
      </c>
      <c r="V340" s="17" t="s">
        <v>78</v>
      </c>
      <c r="W340" s="23"/>
      <c r="X340" s="23"/>
      <c r="Y340" s="21"/>
    </row>
    <row r="341" customFormat="false" ht="15" hidden="false" customHeight="false" outlineLevel="0" collapsed="false">
      <c r="A341" s="16" t="n">
        <v>340</v>
      </c>
      <c r="B341" s="15" t="s">
        <v>1154</v>
      </c>
      <c r="C341" s="16" t="s">
        <v>70</v>
      </c>
      <c r="D341" s="16" t="n">
        <v>340</v>
      </c>
      <c r="E341" s="16" t="str">
        <f aca="false">C341&amp;"말씀 #"&amp;TEXT(D341,"000")</f>
        <v>구약말씀 #340</v>
      </c>
      <c r="F341" s="17" t="s">
        <v>1155</v>
      </c>
      <c r="G341" s="18" t="s">
        <v>361</v>
      </c>
      <c r="H341" s="19" t="s">
        <v>1156</v>
      </c>
      <c r="I341" s="17" t="s">
        <v>160</v>
      </c>
      <c r="J341" s="17" t="s">
        <v>104</v>
      </c>
      <c r="K341" s="20"/>
      <c r="L341" s="17" t="s">
        <v>76</v>
      </c>
      <c r="M341" s="17" t="n">
        <f aca="false">LEN(K341)</f>
        <v>0</v>
      </c>
      <c r="N341" s="17" t="str">
        <f aca="false">IF(M341=0,"-",ROUND(3+M341/안내!$C$12,0))</f>
        <v>-</v>
      </c>
      <c r="O341" s="21" t="str">
        <f aca="false">IF(K341="","(본문 입력 후 자동) | 욘 2:2",IF(LEN(K341)&gt;28,LEFT(K341,28)&amp;"…",K341)&amp;" | 욘 2:2")</f>
        <v>(본문 입력 후 자동) | 욘 2:2</v>
      </c>
      <c r="P341" s="21" t="str">
        <f aca="false">"#"&amp;SUBSTITUTE(안내!$C$5," ","")&amp;" #성경구절 #말씀 #요나 #기도"</f>
        <v>#오늘의말씀 #성경구절 #말씀 #요나 #기도</v>
      </c>
      <c r="Q341" s="21" t="s">
        <v>77</v>
      </c>
      <c r="R341" s="22" t="n">
        <f aca="false">안내!$C$6+INT((D341-1)/안내!$C$7)</f>
        <v>46557</v>
      </c>
      <c r="S341" s="17" t="str">
        <f aca="false">IF(MOD(D341-1,안내!$C$7)=0,안내!$C$8,안내!$C$10)</f>
        <v>18:30</v>
      </c>
      <c r="T341" s="17" t="str">
        <f aca="false">CHOOSE(WEEKDAY(R341,2),"월","화","수","목","금","토","일")</f>
        <v>토</v>
      </c>
      <c r="U341" s="17" t="s">
        <v>78</v>
      </c>
      <c r="V341" s="17" t="s">
        <v>78</v>
      </c>
      <c r="W341" s="23"/>
      <c r="X341" s="23"/>
      <c r="Y341" s="21"/>
    </row>
    <row r="342" customFormat="false" ht="15" hidden="false" customHeight="false" outlineLevel="0" collapsed="false">
      <c r="A342" s="16" t="n">
        <v>341</v>
      </c>
      <c r="B342" s="15" t="s">
        <v>1157</v>
      </c>
      <c r="C342" s="16" t="s">
        <v>70</v>
      </c>
      <c r="D342" s="16" t="n">
        <v>341</v>
      </c>
      <c r="E342" s="16" t="str">
        <f aca="false">C342&amp;"말씀 #"&amp;TEXT(D342,"000")</f>
        <v>구약말씀 #341</v>
      </c>
      <c r="F342" s="17" t="s">
        <v>1155</v>
      </c>
      <c r="G342" s="18" t="s">
        <v>1158</v>
      </c>
      <c r="H342" s="19" t="s">
        <v>1159</v>
      </c>
      <c r="I342" s="17" t="s">
        <v>103</v>
      </c>
      <c r="J342" s="17" t="s">
        <v>104</v>
      </c>
      <c r="K342" s="20"/>
      <c r="L342" s="17" t="s">
        <v>76</v>
      </c>
      <c r="M342" s="17" t="n">
        <f aca="false">LEN(K342)</f>
        <v>0</v>
      </c>
      <c r="N342" s="17" t="str">
        <f aca="false">IF(M342=0,"-",ROUND(3+M342/안내!$C$12,0))</f>
        <v>-</v>
      </c>
      <c r="O342" s="21" t="str">
        <f aca="false">IF(K342="","(본문 입력 후 자동) | 욘 2:9",IF(LEN(K342)&gt;28,LEFT(K342,28)&amp;"…",K342)&amp;" | 욘 2:9")</f>
        <v>(본문 입력 후 자동) | 욘 2:9</v>
      </c>
      <c r="P342" s="21" t="str">
        <f aca="false">"#"&amp;SUBSTITUTE(안내!$C$5," ","")&amp;" #성경구절 #말씀 #요나 #구원"</f>
        <v>#오늘의말씀 #성경구절 #말씀 #요나 #구원</v>
      </c>
      <c r="Q342" s="21" t="s">
        <v>77</v>
      </c>
      <c r="R342" s="22" t="n">
        <f aca="false">안내!$C$6+INT((D342-1)/안내!$C$7)</f>
        <v>46558</v>
      </c>
      <c r="S342" s="17" t="str">
        <f aca="false">IF(MOD(D342-1,안내!$C$7)=0,안내!$C$8,안내!$C$10)</f>
        <v>06:30</v>
      </c>
      <c r="T342" s="17" t="str">
        <f aca="false">CHOOSE(WEEKDAY(R342,2),"월","화","수","목","금","토","일")</f>
        <v>일</v>
      </c>
      <c r="U342" s="17" t="s">
        <v>78</v>
      </c>
      <c r="V342" s="17" t="s">
        <v>78</v>
      </c>
      <c r="W342" s="23"/>
      <c r="X342" s="23"/>
      <c r="Y342" s="21"/>
    </row>
    <row r="343" customFormat="false" ht="15" hidden="false" customHeight="false" outlineLevel="0" collapsed="false">
      <c r="A343" s="16" t="n">
        <v>342</v>
      </c>
      <c r="B343" s="15" t="s">
        <v>1160</v>
      </c>
      <c r="C343" s="16" t="s">
        <v>70</v>
      </c>
      <c r="D343" s="16" t="n">
        <v>342</v>
      </c>
      <c r="E343" s="16" t="str">
        <f aca="false">C343&amp;"말씀 #"&amp;TEXT(D343,"000")</f>
        <v>구약말씀 #342</v>
      </c>
      <c r="F343" s="17" t="s">
        <v>1155</v>
      </c>
      <c r="G343" s="18" t="s">
        <v>1161</v>
      </c>
      <c r="H343" s="19" t="s">
        <v>1162</v>
      </c>
      <c r="I343" s="17" t="s">
        <v>98</v>
      </c>
      <c r="J343" s="17" t="s">
        <v>99</v>
      </c>
      <c r="K343" s="20"/>
      <c r="L343" s="17" t="s">
        <v>76</v>
      </c>
      <c r="M343" s="17" t="n">
        <f aca="false">LEN(K343)</f>
        <v>0</v>
      </c>
      <c r="N343" s="17" t="str">
        <f aca="false">IF(M343=0,"-",ROUND(3+M343/안내!$C$12,0))</f>
        <v>-</v>
      </c>
      <c r="O343" s="21" t="str">
        <f aca="false">IF(K343="","(본문 입력 후 자동) | 욘 4:2",IF(LEN(K343)&gt;28,LEFT(K343,28)&amp;"…",K343)&amp;" | 욘 4:2")</f>
        <v>(본문 입력 후 자동) | 욘 4:2</v>
      </c>
      <c r="P343" s="21" t="str">
        <f aca="false">"#"&amp;SUBSTITUTE(안내!$C$5," ","")&amp;" #성경구절 #말씀 #요나 #은혜"</f>
        <v>#오늘의말씀 #성경구절 #말씀 #요나 #은혜</v>
      </c>
      <c r="Q343" s="21" t="s">
        <v>77</v>
      </c>
      <c r="R343" s="22" t="n">
        <f aca="false">안내!$C$6+INT((D343-1)/안내!$C$7)</f>
        <v>46558</v>
      </c>
      <c r="S343" s="17" t="str">
        <f aca="false">IF(MOD(D343-1,안내!$C$7)=0,안내!$C$8,안내!$C$10)</f>
        <v>18:30</v>
      </c>
      <c r="T343" s="17" t="str">
        <f aca="false">CHOOSE(WEEKDAY(R343,2),"월","화","수","목","금","토","일")</f>
        <v>일</v>
      </c>
      <c r="U343" s="17" t="s">
        <v>78</v>
      </c>
      <c r="V343" s="17" t="s">
        <v>78</v>
      </c>
      <c r="W343" s="23"/>
      <c r="X343" s="23"/>
      <c r="Y343" s="21"/>
    </row>
    <row r="344" customFormat="false" ht="15" hidden="false" customHeight="false" outlineLevel="0" collapsed="false">
      <c r="A344" s="16" t="n">
        <v>343</v>
      </c>
      <c r="B344" s="15" t="s">
        <v>1163</v>
      </c>
      <c r="C344" s="16" t="s">
        <v>70</v>
      </c>
      <c r="D344" s="16" t="n">
        <v>343</v>
      </c>
      <c r="E344" s="16" t="str">
        <f aca="false">C344&amp;"말씀 #"&amp;TEXT(D344,"000")</f>
        <v>구약말씀 #343</v>
      </c>
      <c r="F344" s="17" t="s">
        <v>1164</v>
      </c>
      <c r="G344" s="18" t="s">
        <v>870</v>
      </c>
      <c r="H344" s="19" t="s">
        <v>1165</v>
      </c>
      <c r="I344" s="17" t="s">
        <v>103</v>
      </c>
      <c r="J344" s="17" t="s">
        <v>104</v>
      </c>
      <c r="K344" s="20"/>
      <c r="L344" s="17" t="s">
        <v>76</v>
      </c>
      <c r="M344" s="17" t="n">
        <f aca="false">LEN(K344)</f>
        <v>0</v>
      </c>
      <c r="N344" s="17" t="str">
        <f aca="false">IF(M344=0,"-",ROUND(3+M344/안내!$C$12,0))</f>
        <v>-</v>
      </c>
      <c r="O344" s="21" t="str">
        <f aca="false">IF(K344="","(본문 입력 후 자동) | 미 5:2",IF(LEN(K344)&gt;28,LEFT(K344,28)&amp;"…",K344)&amp;" | 미 5:2")</f>
        <v>(본문 입력 후 자동) | 미 5:2</v>
      </c>
      <c r="P344" s="21" t="str">
        <f aca="false">"#"&amp;SUBSTITUTE(안내!$C$5," ","")&amp;" #성경구절 #말씀 #미가 #구원"</f>
        <v>#오늘의말씀 #성경구절 #말씀 #미가 #구원</v>
      </c>
      <c r="Q344" s="21" t="s">
        <v>77</v>
      </c>
      <c r="R344" s="22" t="n">
        <f aca="false">안내!$C$6+INT((D344-1)/안내!$C$7)</f>
        <v>46559</v>
      </c>
      <c r="S344" s="17" t="str">
        <f aca="false">IF(MOD(D344-1,안내!$C$7)=0,안내!$C$8,안내!$C$10)</f>
        <v>06:30</v>
      </c>
      <c r="T344" s="17" t="str">
        <f aca="false">CHOOSE(WEEKDAY(R344,2),"월","화","수","목","금","토","일")</f>
        <v>월</v>
      </c>
      <c r="U344" s="17" t="s">
        <v>78</v>
      </c>
      <c r="V344" s="17" t="s">
        <v>78</v>
      </c>
      <c r="W344" s="23"/>
      <c r="X344" s="23"/>
      <c r="Y344" s="21"/>
    </row>
    <row r="345" customFormat="false" ht="15" hidden="false" customHeight="false" outlineLevel="0" collapsed="false">
      <c r="A345" s="16" t="n">
        <v>344</v>
      </c>
      <c r="B345" s="15" t="s">
        <v>1166</v>
      </c>
      <c r="C345" s="16" t="s">
        <v>70</v>
      </c>
      <c r="D345" s="16" t="n">
        <v>344</v>
      </c>
      <c r="E345" s="16" t="str">
        <f aca="false">C345&amp;"말씀 #"&amp;TEXT(D345,"000")</f>
        <v>구약말씀 #344</v>
      </c>
      <c r="F345" s="17" t="s">
        <v>1164</v>
      </c>
      <c r="G345" s="18" t="s">
        <v>107</v>
      </c>
      <c r="H345" s="19" t="s">
        <v>1167</v>
      </c>
      <c r="I345" s="17" t="s">
        <v>121</v>
      </c>
      <c r="J345" s="17" t="s">
        <v>122</v>
      </c>
      <c r="K345" s="20"/>
      <c r="L345" s="17" t="s">
        <v>76</v>
      </c>
      <c r="M345" s="17" t="n">
        <f aca="false">LEN(K345)</f>
        <v>0</v>
      </c>
      <c r="N345" s="17" t="str">
        <f aca="false">IF(M345=0,"-",ROUND(3+M345/안내!$C$12,0))</f>
        <v>-</v>
      </c>
      <c r="O345" s="21" t="str">
        <f aca="false">IF(K345="","(본문 입력 후 자동) | 미 6:8",IF(LEN(K345)&gt;28,LEFT(K345,28)&amp;"…",K345)&amp;" | 미 6:8")</f>
        <v>(본문 입력 후 자동) | 미 6:8</v>
      </c>
      <c r="P345" s="21" t="str">
        <f aca="false">"#"&amp;SUBSTITUTE(안내!$C$5," ","")&amp;" #성경구절 #말씀 #미가 #순종"</f>
        <v>#오늘의말씀 #성경구절 #말씀 #미가 #순종</v>
      </c>
      <c r="Q345" s="21" t="s">
        <v>77</v>
      </c>
      <c r="R345" s="22" t="n">
        <f aca="false">안내!$C$6+INT((D345-1)/안내!$C$7)</f>
        <v>46559</v>
      </c>
      <c r="S345" s="17" t="str">
        <f aca="false">IF(MOD(D345-1,안내!$C$7)=0,안내!$C$8,안내!$C$10)</f>
        <v>18:30</v>
      </c>
      <c r="T345" s="17" t="str">
        <f aca="false">CHOOSE(WEEKDAY(R345,2),"월","화","수","목","금","토","일")</f>
        <v>월</v>
      </c>
      <c r="U345" s="17" t="s">
        <v>78</v>
      </c>
      <c r="V345" s="17" t="s">
        <v>78</v>
      </c>
      <c r="W345" s="23"/>
      <c r="X345" s="23"/>
      <c r="Y345" s="21"/>
    </row>
    <row r="346" customFormat="false" ht="15" hidden="false" customHeight="false" outlineLevel="0" collapsed="false">
      <c r="A346" s="16" t="n">
        <v>345</v>
      </c>
      <c r="B346" s="15" t="s">
        <v>1168</v>
      </c>
      <c r="C346" s="16" t="s">
        <v>70</v>
      </c>
      <c r="D346" s="16" t="n">
        <v>345</v>
      </c>
      <c r="E346" s="16" t="str">
        <f aca="false">C346&amp;"말씀 #"&amp;TEXT(D346,"000")</f>
        <v>구약말씀 #345</v>
      </c>
      <c r="F346" s="17" t="s">
        <v>1164</v>
      </c>
      <c r="G346" s="18" t="s">
        <v>341</v>
      </c>
      <c r="H346" s="19" t="s">
        <v>1169</v>
      </c>
      <c r="I346" s="17" t="s">
        <v>511</v>
      </c>
      <c r="J346" s="17" t="s">
        <v>89</v>
      </c>
      <c r="K346" s="20"/>
      <c r="L346" s="17" t="s">
        <v>76</v>
      </c>
      <c r="M346" s="17" t="n">
        <f aca="false">LEN(K346)</f>
        <v>0</v>
      </c>
      <c r="N346" s="17" t="str">
        <f aca="false">IF(M346=0,"-",ROUND(3+M346/안내!$C$12,0))</f>
        <v>-</v>
      </c>
      <c r="O346" s="21" t="str">
        <f aca="false">IF(K346="","(본문 입력 후 자동) | 미 7:7",IF(LEN(K346)&gt;28,LEFT(K346,28)&amp;"…",K346)&amp;" | 미 7:7")</f>
        <v>(본문 입력 후 자동) | 미 7:7</v>
      </c>
      <c r="P346" s="21" t="str">
        <f aca="false">"#"&amp;SUBSTITUTE(안내!$C$5," ","")&amp;" #성경구절 #말씀 #미가 #소망"</f>
        <v>#오늘의말씀 #성경구절 #말씀 #미가 #소망</v>
      </c>
      <c r="Q346" s="21" t="s">
        <v>77</v>
      </c>
      <c r="R346" s="22" t="n">
        <f aca="false">안내!$C$6+INT((D346-1)/안내!$C$7)</f>
        <v>46560</v>
      </c>
      <c r="S346" s="17" t="str">
        <f aca="false">IF(MOD(D346-1,안내!$C$7)=0,안내!$C$8,안내!$C$10)</f>
        <v>06:30</v>
      </c>
      <c r="T346" s="17" t="str">
        <f aca="false">CHOOSE(WEEKDAY(R346,2),"월","화","수","목","금","토","일")</f>
        <v>화</v>
      </c>
      <c r="U346" s="17" t="s">
        <v>78</v>
      </c>
      <c r="V346" s="17" t="s">
        <v>78</v>
      </c>
      <c r="W346" s="23"/>
      <c r="X346" s="23"/>
      <c r="Y346" s="21"/>
    </row>
    <row r="347" customFormat="false" ht="15" hidden="false" customHeight="false" outlineLevel="0" collapsed="false">
      <c r="A347" s="16" t="n">
        <v>346</v>
      </c>
      <c r="B347" s="15" t="s">
        <v>1170</v>
      </c>
      <c r="C347" s="16" t="s">
        <v>70</v>
      </c>
      <c r="D347" s="16" t="n">
        <v>346</v>
      </c>
      <c r="E347" s="16" t="str">
        <f aca="false">C347&amp;"말씀 #"&amp;TEXT(D347,"000")</f>
        <v>구약말씀 #346</v>
      </c>
      <c r="F347" s="17" t="s">
        <v>1164</v>
      </c>
      <c r="G347" s="18" t="s">
        <v>1171</v>
      </c>
      <c r="H347" s="19" t="s">
        <v>1172</v>
      </c>
      <c r="I347" s="17" t="s">
        <v>694</v>
      </c>
      <c r="J347" s="17" t="s">
        <v>99</v>
      </c>
      <c r="K347" s="20"/>
      <c r="L347" s="17" t="s">
        <v>76</v>
      </c>
      <c r="M347" s="17" t="n">
        <f aca="false">LEN(K347)</f>
        <v>0</v>
      </c>
      <c r="N347" s="17" t="str">
        <f aca="false">IF(M347=0,"-",ROUND(3+M347/안내!$C$12,0))</f>
        <v>-</v>
      </c>
      <c r="O347" s="21" t="str">
        <f aca="false">IF(K347="","(본문 입력 후 자동) | 미 7:19",IF(LEN(K347)&gt;28,LEFT(K347,28)&amp;"…",K347)&amp;" | 미 7:19")</f>
        <v>(본문 입력 후 자동) | 미 7:19</v>
      </c>
      <c r="P347" s="21" t="str">
        <f aca="false">"#"&amp;SUBSTITUTE(안내!$C$5," ","")&amp;" #성경구절 #말씀 #미가 #용서"</f>
        <v>#오늘의말씀 #성경구절 #말씀 #미가 #용서</v>
      </c>
      <c r="Q347" s="21" t="s">
        <v>77</v>
      </c>
      <c r="R347" s="22" t="n">
        <f aca="false">안내!$C$6+INT((D347-1)/안내!$C$7)</f>
        <v>46560</v>
      </c>
      <c r="S347" s="17" t="str">
        <f aca="false">IF(MOD(D347-1,안내!$C$7)=0,안내!$C$8,안내!$C$10)</f>
        <v>18:30</v>
      </c>
      <c r="T347" s="17" t="str">
        <f aca="false">CHOOSE(WEEKDAY(R347,2),"월","화","수","목","금","토","일")</f>
        <v>화</v>
      </c>
      <c r="U347" s="17" t="s">
        <v>78</v>
      </c>
      <c r="V347" s="17" t="s">
        <v>78</v>
      </c>
      <c r="W347" s="23"/>
      <c r="X347" s="23"/>
      <c r="Y347" s="21"/>
    </row>
    <row r="348" customFormat="false" ht="15" hidden="false" customHeight="false" outlineLevel="0" collapsed="false">
      <c r="A348" s="16" t="n">
        <v>347</v>
      </c>
      <c r="B348" s="15" t="s">
        <v>1173</v>
      </c>
      <c r="C348" s="16" t="s">
        <v>70</v>
      </c>
      <c r="D348" s="16" t="n">
        <v>347</v>
      </c>
      <c r="E348" s="16" t="str">
        <f aca="false">C348&amp;"말씀 #"&amp;TEXT(D348,"000")</f>
        <v>구약말씀 #347</v>
      </c>
      <c r="F348" s="17" t="s">
        <v>1174</v>
      </c>
      <c r="G348" s="18" t="s">
        <v>1152</v>
      </c>
      <c r="H348" s="19" t="s">
        <v>1175</v>
      </c>
      <c r="I348" s="17" t="s">
        <v>176</v>
      </c>
      <c r="J348" s="17" t="s">
        <v>75</v>
      </c>
      <c r="K348" s="20"/>
      <c r="L348" s="17" t="s">
        <v>76</v>
      </c>
      <c r="M348" s="17" t="n">
        <f aca="false">LEN(K348)</f>
        <v>0</v>
      </c>
      <c r="N348" s="17" t="str">
        <f aca="false">IF(M348=0,"-",ROUND(3+M348/안내!$C$12,0))</f>
        <v>-</v>
      </c>
      <c r="O348" s="21" t="str">
        <f aca="false">IF(K348="","(본문 입력 후 자동) | 나 1:3",IF(LEN(K348)&gt;28,LEFT(K348,28)&amp;"…",K348)&amp;" | 나 1:3")</f>
        <v>(본문 입력 후 자동) | 나 1:3</v>
      </c>
      <c r="P348" s="21" t="str">
        <f aca="false">"#"&amp;SUBSTITUTE(안내!$C$5," ","")&amp;" #성경구절 #말씀 #나훔 #하나님"</f>
        <v>#오늘의말씀 #성경구절 #말씀 #나훔 #하나님</v>
      </c>
      <c r="Q348" s="21" t="s">
        <v>77</v>
      </c>
      <c r="R348" s="22" t="n">
        <f aca="false">안내!$C$6+INT((D348-1)/안내!$C$7)</f>
        <v>46561</v>
      </c>
      <c r="S348" s="17" t="str">
        <f aca="false">IF(MOD(D348-1,안내!$C$7)=0,안내!$C$8,안내!$C$10)</f>
        <v>06:30</v>
      </c>
      <c r="T348" s="17" t="str">
        <f aca="false">CHOOSE(WEEKDAY(R348,2),"월","화","수","목","금","토","일")</f>
        <v>수</v>
      </c>
      <c r="U348" s="17" t="s">
        <v>78</v>
      </c>
      <c r="V348" s="17" t="s">
        <v>78</v>
      </c>
      <c r="W348" s="23"/>
      <c r="X348" s="23"/>
      <c r="Y348" s="21"/>
    </row>
    <row r="349" customFormat="false" ht="15" hidden="false" customHeight="false" outlineLevel="0" collapsed="false">
      <c r="A349" s="16" t="n">
        <v>348</v>
      </c>
      <c r="B349" s="15" t="s">
        <v>1176</v>
      </c>
      <c r="C349" s="16" t="s">
        <v>70</v>
      </c>
      <c r="D349" s="16" t="n">
        <v>348</v>
      </c>
      <c r="E349" s="16" t="str">
        <f aca="false">C349&amp;"말씀 #"&amp;TEXT(D349,"000")</f>
        <v>구약말씀 #348</v>
      </c>
      <c r="F349" s="17" t="s">
        <v>1174</v>
      </c>
      <c r="G349" s="18" t="s">
        <v>749</v>
      </c>
      <c r="H349" s="19" t="s">
        <v>1177</v>
      </c>
      <c r="I349" s="17" t="s">
        <v>390</v>
      </c>
      <c r="J349" s="17" t="s">
        <v>113</v>
      </c>
      <c r="K349" s="20"/>
      <c r="L349" s="17" t="s">
        <v>76</v>
      </c>
      <c r="M349" s="17" t="n">
        <f aca="false">LEN(K349)</f>
        <v>0</v>
      </c>
      <c r="N349" s="17" t="str">
        <f aca="false">IF(M349=0,"-",ROUND(3+M349/안내!$C$12,0))</f>
        <v>-</v>
      </c>
      <c r="O349" s="21" t="str">
        <f aca="false">IF(K349="","(본문 입력 후 자동) | 나 1:7",IF(LEN(K349)&gt;28,LEFT(K349,28)&amp;"…",K349)&amp;" | 나 1:7")</f>
        <v>(본문 입력 후 자동) | 나 1:7</v>
      </c>
      <c r="P349" s="21" t="str">
        <f aca="false">"#"&amp;SUBSTITUTE(안내!$C$5," ","")&amp;" #성경구절 #말씀 #나훔 #피난처"</f>
        <v>#오늘의말씀 #성경구절 #말씀 #나훔 #피난처</v>
      </c>
      <c r="Q349" s="21" t="s">
        <v>77</v>
      </c>
      <c r="R349" s="22" t="n">
        <f aca="false">안내!$C$6+INT((D349-1)/안내!$C$7)</f>
        <v>46561</v>
      </c>
      <c r="S349" s="17" t="str">
        <f aca="false">IF(MOD(D349-1,안내!$C$7)=0,안내!$C$8,안내!$C$10)</f>
        <v>18:30</v>
      </c>
      <c r="T349" s="17" t="str">
        <f aca="false">CHOOSE(WEEKDAY(R349,2),"월","화","수","목","금","토","일")</f>
        <v>수</v>
      </c>
      <c r="U349" s="17" t="s">
        <v>78</v>
      </c>
      <c r="V349" s="17" t="s">
        <v>78</v>
      </c>
      <c r="W349" s="23"/>
      <c r="X349" s="23"/>
      <c r="Y349" s="21"/>
    </row>
    <row r="350" customFormat="false" ht="15" hidden="false" customHeight="false" outlineLevel="0" collapsed="false">
      <c r="A350" s="16" t="n">
        <v>349</v>
      </c>
      <c r="B350" s="15" t="s">
        <v>1178</v>
      </c>
      <c r="C350" s="16" t="s">
        <v>70</v>
      </c>
      <c r="D350" s="16" t="n">
        <v>349</v>
      </c>
      <c r="E350" s="16" t="str">
        <f aca="false">C350&amp;"말씀 #"&amp;TEXT(D350,"000")</f>
        <v>구약말씀 #349</v>
      </c>
      <c r="F350" s="17" t="s">
        <v>1179</v>
      </c>
      <c r="G350" s="18" t="s">
        <v>880</v>
      </c>
      <c r="H350" s="19" t="s">
        <v>1180</v>
      </c>
      <c r="I350" s="17" t="s">
        <v>133</v>
      </c>
      <c r="J350" s="17" t="s">
        <v>113</v>
      </c>
      <c r="K350" s="20"/>
      <c r="L350" s="17" t="s">
        <v>76</v>
      </c>
      <c r="M350" s="17" t="n">
        <f aca="false">LEN(K350)</f>
        <v>0</v>
      </c>
      <c r="N350" s="17" t="str">
        <f aca="false">IF(M350=0,"-",ROUND(3+M350/안내!$C$12,0))</f>
        <v>-</v>
      </c>
      <c r="O350" s="21" t="str">
        <f aca="false">IF(K350="","(본문 입력 후 자동) | 합 2:4",IF(LEN(K350)&gt;28,LEFT(K350,28)&amp;"…",K350)&amp;" | 합 2:4")</f>
        <v>(본문 입력 후 자동) | 합 2:4</v>
      </c>
      <c r="P350" s="21" t="str">
        <f aca="false">"#"&amp;SUBSTITUTE(안내!$C$5," ","")&amp;" #성경구절 #말씀 #하박국 #믿음"</f>
        <v>#오늘의말씀 #성경구절 #말씀 #하박국 #믿음</v>
      </c>
      <c r="Q350" s="21" t="s">
        <v>77</v>
      </c>
      <c r="R350" s="22" t="n">
        <f aca="false">안내!$C$6+INT((D350-1)/안내!$C$7)</f>
        <v>46562</v>
      </c>
      <c r="S350" s="17" t="str">
        <f aca="false">IF(MOD(D350-1,안내!$C$7)=0,안내!$C$8,안내!$C$10)</f>
        <v>06:30</v>
      </c>
      <c r="T350" s="17" t="str">
        <f aca="false">CHOOSE(WEEKDAY(R350,2),"월","화","수","목","금","토","일")</f>
        <v>목</v>
      </c>
      <c r="U350" s="17" t="s">
        <v>78</v>
      </c>
      <c r="V350" s="17" t="s">
        <v>78</v>
      </c>
      <c r="W350" s="23"/>
      <c r="X350" s="23"/>
      <c r="Y350" s="21"/>
    </row>
    <row r="351" customFormat="false" ht="15" hidden="false" customHeight="false" outlineLevel="0" collapsed="false">
      <c r="A351" s="16" t="n">
        <v>350</v>
      </c>
      <c r="B351" s="15" t="s">
        <v>1181</v>
      </c>
      <c r="C351" s="16" t="s">
        <v>70</v>
      </c>
      <c r="D351" s="16" t="n">
        <v>350</v>
      </c>
      <c r="E351" s="16" t="str">
        <f aca="false">C351&amp;"말씀 #"&amp;TEXT(D351,"000")</f>
        <v>구약말씀 #350</v>
      </c>
      <c r="F351" s="17" t="s">
        <v>1179</v>
      </c>
      <c r="G351" s="18" t="s">
        <v>1182</v>
      </c>
      <c r="H351" s="19" t="s">
        <v>1183</v>
      </c>
      <c r="I351" s="17" t="s">
        <v>176</v>
      </c>
      <c r="J351" s="17" t="s">
        <v>75</v>
      </c>
      <c r="K351" s="20"/>
      <c r="L351" s="17" t="s">
        <v>76</v>
      </c>
      <c r="M351" s="17" t="n">
        <f aca="false">LEN(K351)</f>
        <v>0</v>
      </c>
      <c r="N351" s="17" t="str">
        <f aca="false">IF(M351=0,"-",ROUND(3+M351/안내!$C$12,0))</f>
        <v>-</v>
      </c>
      <c r="O351" s="21" t="str">
        <f aca="false">IF(K351="","(본문 입력 후 자동) | 합 2:14",IF(LEN(K351)&gt;28,LEFT(K351,28)&amp;"…",K351)&amp;" | 합 2:14")</f>
        <v>(본문 입력 후 자동) | 합 2:14</v>
      </c>
      <c r="P351" s="21" t="str">
        <f aca="false">"#"&amp;SUBSTITUTE(안내!$C$5," ","")&amp;" #성경구절 #말씀 #하박국 #하나님"</f>
        <v>#오늘의말씀 #성경구절 #말씀 #하박국 #하나님</v>
      </c>
      <c r="Q351" s="21" t="s">
        <v>77</v>
      </c>
      <c r="R351" s="22" t="n">
        <f aca="false">안내!$C$6+INT((D351-1)/안내!$C$7)</f>
        <v>46562</v>
      </c>
      <c r="S351" s="17" t="str">
        <f aca="false">IF(MOD(D351-1,안내!$C$7)=0,안내!$C$8,안내!$C$10)</f>
        <v>18:30</v>
      </c>
      <c r="T351" s="17" t="str">
        <f aca="false">CHOOSE(WEEKDAY(R351,2),"월","화","수","목","금","토","일")</f>
        <v>목</v>
      </c>
      <c r="U351" s="17" t="s">
        <v>78</v>
      </c>
      <c r="V351" s="17" t="s">
        <v>78</v>
      </c>
      <c r="W351" s="23"/>
      <c r="X351" s="23"/>
      <c r="Y351" s="21"/>
    </row>
    <row r="352" customFormat="false" ht="26.85" hidden="false" customHeight="false" outlineLevel="0" collapsed="false">
      <c r="A352" s="16" t="n">
        <v>351</v>
      </c>
      <c r="B352" s="15" t="s">
        <v>1184</v>
      </c>
      <c r="C352" s="16" t="s">
        <v>70</v>
      </c>
      <c r="D352" s="16" t="n">
        <v>351</v>
      </c>
      <c r="E352" s="16" t="str">
        <f aca="false">C352&amp;"말씀 #"&amp;TEXT(D352,"000")</f>
        <v>구약말씀 #351</v>
      </c>
      <c r="F352" s="17" t="s">
        <v>1179</v>
      </c>
      <c r="G352" s="18" t="s">
        <v>1185</v>
      </c>
      <c r="H352" s="19" t="s">
        <v>1186</v>
      </c>
      <c r="I352" s="17" t="s">
        <v>483</v>
      </c>
      <c r="J352" s="17" t="s">
        <v>89</v>
      </c>
      <c r="K352" s="20"/>
      <c r="L352" s="17" t="s">
        <v>76</v>
      </c>
      <c r="M352" s="17" t="n">
        <f aca="false">LEN(K352)</f>
        <v>0</v>
      </c>
      <c r="N352" s="17" t="str">
        <f aca="false">IF(M352=0,"-",ROUND(3+M352/안내!$C$12,0))</f>
        <v>-</v>
      </c>
      <c r="O352" s="21" t="str">
        <f aca="false">IF(K352="","(본문 입력 후 자동) | 합 3:17-18",IF(LEN(K352)&gt;28,LEFT(K352,28)&amp;"…",K352)&amp;" | 합 3:17-18")</f>
        <v>(본문 입력 후 자동) | 합 3:17-18</v>
      </c>
      <c r="P352" s="21" t="str">
        <f aca="false">"#"&amp;SUBSTITUTE(안내!$C$5," ","")&amp;" #성경구절 #말씀 #하박국 #기쁨"</f>
        <v>#오늘의말씀 #성경구절 #말씀 #하박국 #기쁨</v>
      </c>
      <c r="Q352" s="21" t="s">
        <v>77</v>
      </c>
      <c r="R352" s="22" t="n">
        <f aca="false">안내!$C$6+INT((D352-1)/안내!$C$7)</f>
        <v>46563</v>
      </c>
      <c r="S352" s="17" t="str">
        <f aca="false">IF(MOD(D352-1,안내!$C$7)=0,안내!$C$8,안내!$C$10)</f>
        <v>06:30</v>
      </c>
      <c r="T352" s="17" t="str">
        <f aca="false">CHOOSE(WEEKDAY(R352,2),"월","화","수","목","금","토","일")</f>
        <v>금</v>
      </c>
      <c r="U352" s="17" t="s">
        <v>78</v>
      </c>
      <c r="V352" s="17" t="s">
        <v>78</v>
      </c>
      <c r="W352" s="23"/>
      <c r="X352" s="23"/>
      <c r="Y352" s="21"/>
    </row>
    <row r="353" customFormat="false" ht="15" hidden="false" customHeight="false" outlineLevel="0" collapsed="false">
      <c r="A353" s="16" t="n">
        <v>352</v>
      </c>
      <c r="B353" s="15" t="s">
        <v>1187</v>
      </c>
      <c r="C353" s="16" t="s">
        <v>70</v>
      </c>
      <c r="D353" s="16" t="n">
        <v>352</v>
      </c>
      <c r="E353" s="16" t="str">
        <f aca="false">C353&amp;"말씀 #"&amp;TEXT(D353,"000")</f>
        <v>구약말씀 #352</v>
      </c>
      <c r="F353" s="17" t="s">
        <v>1179</v>
      </c>
      <c r="G353" s="18" t="s">
        <v>1188</v>
      </c>
      <c r="H353" s="19" t="s">
        <v>1189</v>
      </c>
      <c r="I353" s="17" t="s">
        <v>140</v>
      </c>
      <c r="J353" s="17" t="s">
        <v>113</v>
      </c>
      <c r="K353" s="20"/>
      <c r="L353" s="17" t="s">
        <v>76</v>
      </c>
      <c r="M353" s="17" t="n">
        <f aca="false">LEN(K353)</f>
        <v>0</v>
      </c>
      <c r="N353" s="17" t="str">
        <f aca="false">IF(M353=0,"-",ROUND(3+M353/안내!$C$12,0))</f>
        <v>-</v>
      </c>
      <c r="O353" s="21" t="str">
        <f aca="false">IF(K353="","(본문 입력 후 자동) | 합 3:19",IF(LEN(K353)&gt;28,LEFT(K353,28)&amp;"…",K353)&amp;" | 합 3:19")</f>
        <v>(본문 입력 후 자동) | 합 3:19</v>
      </c>
      <c r="P353" s="21" t="str">
        <f aca="false">"#"&amp;SUBSTITUTE(안내!$C$5," ","")&amp;" #성경구절 #말씀 #하박국 #능력"</f>
        <v>#오늘의말씀 #성경구절 #말씀 #하박국 #능력</v>
      </c>
      <c r="Q353" s="21" t="s">
        <v>77</v>
      </c>
      <c r="R353" s="22" t="n">
        <f aca="false">안내!$C$6+INT((D353-1)/안내!$C$7)</f>
        <v>46563</v>
      </c>
      <c r="S353" s="17" t="str">
        <f aca="false">IF(MOD(D353-1,안내!$C$7)=0,안내!$C$8,안내!$C$10)</f>
        <v>18:30</v>
      </c>
      <c r="T353" s="17" t="str">
        <f aca="false">CHOOSE(WEEKDAY(R353,2),"월","화","수","목","금","토","일")</f>
        <v>금</v>
      </c>
      <c r="U353" s="17" t="s">
        <v>78</v>
      </c>
      <c r="V353" s="17" t="s">
        <v>78</v>
      </c>
      <c r="W353" s="23"/>
      <c r="X353" s="23"/>
      <c r="Y353" s="21"/>
    </row>
    <row r="354" customFormat="false" ht="15" hidden="false" customHeight="false" outlineLevel="0" collapsed="false">
      <c r="A354" s="16" t="n">
        <v>353</v>
      </c>
      <c r="B354" s="15" t="s">
        <v>1190</v>
      </c>
      <c r="C354" s="16" t="s">
        <v>70</v>
      </c>
      <c r="D354" s="16" t="n">
        <v>353</v>
      </c>
      <c r="E354" s="16" t="str">
        <f aca="false">C354&amp;"말씀 #"&amp;TEXT(D354,"000")</f>
        <v>구약말씀 #353</v>
      </c>
      <c r="F354" s="17" t="s">
        <v>1191</v>
      </c>
      <c r="G354" s="18" t="s">
        <v>1192</v>
      </c>
      <c r="H354" s="19" t="s">
        <v>1193</v>
      </c>
      <c r="I354" s="17" t="s">
        <v>775</v>
      </c>
      <c r="J354" s="17" t="s">
        <v>94</v>
      </c>
      <c r="K354" s="20"/>
      <c r="L354" s="17" t="s">
        <v>76</v>
      </c>
      <c r="M354" s="17" t="n">
        <f aca="false">LEN(K354)</f>
        <v>0</v>
      </c>
      <c r="N354" s="17" t="str">
        <f aca="false">IF(M354=0,"-",ROUND(3+M354/안내!$C$12,0))</f>
        <v>-</v>
      </c>
      <c r="O354" s="21" t="str">
        <f aca="false">IF(K354="","(본문 입력 후 자동) | 습 2:3",IF(LEN(K354)&gt;28,LEFT(K354,28)&amp;"…",K354)&amp;" | 습 2:3")</f>
        <v>(본문 입력 후 자동) | 습 2:3</v>
      </c>
      <c r="P354" s="21" t="str">
        <f aca="false">"#"&amp;SUBSTITUTE(안내!$C$5," ","")&amp;" #성경구절 #말씀 #스바냐 #겸손"</f>
        <v>#오늘의말씀 #성경구절 #말씀 #스바냐 #겸손</v>
      </c>
      <c r="Q354" s="21" t="s">
        <v>77</v>
      </c>
      <c r="R354" s="22" t="n">
        <f aca="false">안내!$C$6+INT((D354-1)/안내!$C$7)</f>
        <v>46564</v>
      </c>
      <c r="S354" s="17" t="str">
        <f aca="false">IF(MOD(D354-1,안내!$C$7)=0,안내!$C$8,안내!$C$10)</f>
        <v>06:30</v>
      </c>
      <c r="T354" s="17" t="str">
        <f aca="false">CHOOSE(WEEKDAY(R354,2),"월","화","수","목","금","토","일")</f>
        <v>토</v>
      </c>
      <c r="U354" s="17" t="s">
        <v>78</v>
      </c>
      <c r="V354" s="17" t="s">
        <v>78</v>
      </c>
      <c r="W354" s="23"/>
      <c r="X354" s="23"/>
      <c r="Y354" s="21"/>
    </row>
    <row r="355" customFormat="false" ht="15" hidden="false" customHeight="false" outlineLevel="0" collapsed="false">
      <c r="A355" s="16" t="n">
        <v>354</v>
      </c>
      <c r="B355" s="15" t="s">
        <v>1194</v>
      </c>
      <c r="C355" s="16" t="s">
        <v>70</v>
      </c>
      <c r="D355" s="16" t="n">
        <v>354</v>
      </c>
      <c r="E355" s="16" t="str">
        <f aca="false">C355&amp;"말씀 #"&amp;TEXT(D355,"000")</f>
        <v>구약말씀 #354</v>
      </c>
      <c r="F355" s="17" t="s">
        <v>1191</v>
      </c>
      <c r="G355" s="18" t="s">
        <v>1107</v>
      </c>
      <c r="H355" s="19" t="s">
        <v>1195</v>
      </c>
      <c r="I355" s="17" t="s">
        <v>239</v>
      </c>
      <c r="J355" s="17" t="s">
        <v>94</v>
      </c>
      <c r="K355" s="20"/>
      <c r="L355" s="17" t="s">
        <v>76</v>
      </c>
      <c r="M355" s="17" t="n">
        <f aca="false">LEN(K355)</f>
        <v>0</v>
      </c>
      <c r="N355" s="17" t="str">
        <f aca="false">IF(M355=0,"-",ROUND(3+M355/안내!$C$12,0))</f>
        <v>-</v>
      </c>
      <c r="O355" s="21" t="str">
        <f aca="false">IF(K355="","(본문 입력 후 자동) | 습 3:17",IF(LEN(K355)&gt;28,LEFT(K355,28)&amp;"…",K355)&amp;" | 습 3:17")</f>
        <v>(본문 입력 후 자동) | 습 3:17</v>
      </c>
      <c r="P355" s="21" t="str">
        <f aca="false">"#"&amp;SUBSTITUTE(안내!$C$5," ","")&amp;" #성경구절 #말씀 #스바냐 #사랑"</f>
        <v>#오늘의말씀 #성경구절 #말씀 #스바냐 #사랑</v>
      </c>
      <c r="Q355" s="21" t="s">
        <v>77</v>
      </c>
      <c r="R355" s="22" t="n">
        <f aca="false">안내!$C$6+INT((D355-1)/안내!$C$7)</f>
        <v>46564</v>
      </c>
      <c r="S355" s="17" t="str">
        <f aca="false">IF(MOD(D355-1,안내!$C$7)=0,안내!$C$8,안내!$C$10)</f>
        <v>18:30</v>
      </c>
      <c r="T355" s="17" t="str">
        <f aca="false">CHOOSE(WEEKDAY(R355,2),"월","화","수","목","금","토","일")</f>
        <v>토</v>
      </c>
      <c r="U355" s="17" t="s">
        <v>78</v>
      </c>
      <c r="V355" s="17" t="s">
        <v>78</v>
      </c>
      <c r="W355" s="23"/>
      <c r="X355" s="23"/>
      <c r="Y355" s="21"/>
    </row>
    <row r="356" customFormat="false" ht="15" hidden="false" customHeight="false" outlineLevel="0" collapsed="false">
      <c r="A356" s="16" t="n">
        <v>355</v>
      </c>
      <c r="B356" s="15" t="s">
        <v>1196</v>
      </c>
      <c r="C356" s="16" t="s">
        <v>70</v>
      </c>
      <c r="D356" s="16" t="n">
        <v>355</v>
      </c>
      <c r="E356" s="16" t="str">
        <f aca="false">C356&amp;"말씀 #"&amp;TEXT(D356,"000")</f>
        <v>구약말씀 #355</v>
      </c>
      <c r="F356" s="17" t="s">
        <v>1197</v>
      </c>
      <c r="G356" s="18" t="s">
        <v>317</v>
      </c>
      <c r="H356" s="19" t="s">
        <v>1198</v>
      </c>
      <c r="I356" s="17" t="s">
        <v>454</v>
      </c>
      <c r="J356" s="17" t="s">
        <v>104</v>
      </c>
      <c r="K356" s="20"/>
      <c r="L356" s="17" t="s">
        <v>76</v>
      </c>
      <c r="M356" s="17" t="n">
        <f aca="false">LEN(K356)</f>
        <v>0</v>
      </c>
      <c r="N356" s="17" t="str">
        <f aca="false">IF(M356=0,"-",ROUND(3+M356/안내!$C$12,0))</f>
        <v>-</v>
      </c>
      <c r="O356" s="21" t="str">
        <f aca="false">IF(K356="","(본문 입력 후 자동) | 학 1:5",IF(LEN(K356)&gt;28,LEFT(K356,28)&amp;"…",K356)&amp;" | 학 1:5")</f>
        <v>(본문 입력 후 자동) | 학 1:5</v>
      </c>
      <c r="P356" s="21" t="str">
        <f aca="false">"#"&amp;SUBSTITUTE(안내!$C$5," ","")&amp;" #성경구절 #말씀 #학개 #회개"</f>
        <v>#오늘의말씀 #성경구절 #말씀 #학개 #회개</v>
      </c>
      <c r="Q356" s="21" t="s">
        <v>77</v>
      </c>
      <c r="R356" s="22" t="n">
        <f aca="false">안내!$C$6+INT((D356-1)/안내!$C$7)</f>
        <v>46565</v>
      </c>
      <c r="S356" s="17" t="str">
        <f aca="false">IF(MOD(D356-1,안내!$C$7)=0,안내!$C$8,안내!$C$10)</f>
        <v>06:30</v>
      </c>
      <c r="T356" s="17" t="str">
        <f aca="false">CHOOSE(WEEKDAY(R356,2),"월","화","수","목","금","토","일")</f>
        <v>일</v>
      </c>
      <c r="U356" s="17" t="s">
        <v>78</v>
      </c>
      <c r="V356" s="17" t="s">
        <v>78</v>
      </c>
      <c r="W356" s="23"/>
      <c r="X356" s="23"/>
      <c r="Y356" s="21"/>
    </row>
    <row r="357" customFormat="false" ht="15" hidden="false" customHeight="false" outlineLevel="0" collapsed="false">
      <c r="A357" s="16" t="n">
        <v>356</v>
      </c>
      <c r="B357" s="15" t="s">
        <v>1199</v>
      </c>
      <c r="C357" s="16" t="s">
        <v>70</v>
      </c>
      <c r="D357" s="16" t="n">
        <v>356</v>
      </c>
      <c r="E357" s="16" t="str">
        <f aca="false">C357&amp;"말씀 #"&amp;TEXT(D357,"000")</f>
        <v>구약말씀 #356</v>
      </c>
      <c r="F357" s="17" t="s">
        <v>1197</v>
      </c>
      <c r="G357" s="18" t="s">
        <v>1158</v>
      </c>
      <c r="H357" s="19" t="s">
        <v>1200</v>
      </c>
      <c r="I357" s="17" t="s">
        <v>511</v>
      </c>
      <c r="J357" s="17" t="s">
        <v>89</v>
      </c>
      <c r="K357" s="20"/>
      <c r="L357" s="17" t="s">
        <v>76</v>
      </c>
      <c r="M357" s="17" t="n">
        <f aca="false">LEN(K357)</f>
        <v>0</v>
      </c>
      <c r="N357" s="17" t="str">
        <f aca="false">IF(M357=0,"-",ROUND(3+M357/안내!$C$12,0))</f>
        <v>-</v>
      </c>
      <c r="O357" s="21" t="str">
        <f aca="false">IF(K357="","(본문 입력 후 자동) | 학 2:9",IF(LEN(K357)&gt;28,LEFT(K357,28)&amp;"…",K357)&amp;" | 학 2:9")</f>
        <v>(본문 입력 후 자동) | 학 2:9</v>
      </c>
      <c r="P357" s="21" t="str">
        <f aca="false">"#"&amp;SUBSTITUTE(안내!$C$5," ","")&amp;" #성경구절 #말씀 #학개 #소망"</f>
        <v>#오늘의말씀 #성경구절 #말씀 #학개 #소망</v>
      </c>
      <c r="Q357" s="21" t="s">
        <v>77</v>
      </c>
      <c r="R357" s="22" t="n">
        <f aca="false">안내!$C$6+INT((D357-1)/안내!$C$7)</f>
        <v>46565</v>
      </c>
      <c r="S357" s="17" t="str">
        <f aca="false">IF(MOD(D357-1,안내!$C$7)=0,안내!$C$8,안내!$C$10)</f>
        <v>18:30</v>
      </c>
      <c r="T357" s="17" t="str">
        <f aca="false">CHOOSE(WEEKDAY(R357,2),"월","화","수","목","금","토","일")</f>
        <v>일</v>
      </c>
      <c r="U357" s="17" t="s">
        <v>78</v>
      </c>
      <c r="V357" s="17" t="s">
        <v>78</v>
      </c>
      <c r="W357" s="23"/>
      <c r="X357" s="23"/>
      <c r="Y357" s="21"/>
    </row>
    <row r="358" customFormat="false" ht="15" hidden="false" customHeight="false" outlineLevel="0" collapsed="false">
      <c r="A358" s="16" t="n">
        <v>357</v>
      </c>
      <c r="B358" s="15" t="s">
        <v>1201</v>
      </c>
      <c r="C358" s="16" t="s">
        <v>70</v>
      </c>
      <c r="D358" s="16" t="n">
        <v>357</v>
      </c>
      <c r="E358" s="16" t="str">
        <f aca="false">C358&amp;"말씀 #"&amp;TEXT(D358,"000")</f>
        <v>구약말씀 #357</v>
      </c>
      <c r="F358" s="17" t="s">
        <v>1202</v>
      </c>
      <c r="G358" s="18" t="s">
        <v>1203</v>
      </c>
      <c r="H358" s="19" t="s">
        <v>1204</v>
      </c>
      <c r="I358" s="17" t="s">
        <v>353</v>
      </c>
      <c r="J358" s="17" t="s">
        <v>113</v>
      </c>
      <c r="K358" s="20"/>
      <c r="L358" s="17" t="s">
        <v>76</v>
      </c>
      <c r="M358" s="17" t="n">
        <f aca="false">LEN(K358)</f>
        <v>0</v>
      </c>
      <c r="N358" s="17" t="str">
        <f aca="false">IF(M358=0,"-",ROUND(3+M358/안내!$C$12,0))</f>
        <v>-</v>
      </c>
      <c r="O358" s="21" t="str">
        <f aca="false">IF(K358="","(본문 입력 후 자동) | 슥 2:8",IF(LEN(K358)&gt;28,LEFT(K358,28)&amp;"…",K358)&amp;" | 슥 2:8")</f>
        <v>(본문 입력 후 자동) | 슥 2:8</v>
      </c>
      <c r="P358" s="21" t="str">
        <f aca="false">"#"&amp;SUBSTITUTE(안내!$C$5," ","")&amp;" #성경구절 #말씀 #스가랴 #보호"</f>
        <v>#오늘의말씀 #성경구절 #말씀 #스가랴 #보호</v>
      </c>
      <c r="Q358" s="21" t="s">
        <v>77</v>
      </c>
      <c r="R358" s="22" t="n">
        <f aca="false">안내!$C$6+INT((D358-1)/안내!$C$7)</f>
        <v>46566</v>
      </c>
      <c r="S358" s="17" t="str">
        <f aca="false">IF(MOD(D358-1,안내!$C$7)=0,안내!$C$8,안내!$C$10)</f>
        <v>06:30</v>
      </c>
      <c r="T358" s="17" t="str">
        <f aca="false">CHOOSE(WEEKDAY(R358,2),"월","화","수","목","금","토","일")</f>
        <v>월</v>
      </c>
      <c r="U358" s="17" t="s">
        <v>78</v>
      </c>
      <c r="V358" s="17" t="s">
        <v>78</v>
      </c>
      <c r="W358" s="23"/>
      <c r="X358" s="23"/>
      <c r="Y358" s="21"/>
    </row>
    <row r="359" customFormat="false" ht="15" hidden="false" customHeight="false" outlineLevel="0" collapsed="false">
      <c r="A359" s="16" t="n">
        <v>358</v>
      </c>
      <c r="B359" s="15" t="s">
        <v>1205</v>
      </c>
      <c r="C359" s="16" t="s">
        <v>70</v>
      </c>
      <c r="D359" s="16" t="n">
        <v>358</v>
      </c>
      <c r="E359" s="16" t="str">
        <f aca="false">C359&amp;"말씀 #"&amp;TEXT(D359,"000")</f>
        <v>구약말씀 #358</v>
      </c>
      <c r="F359" s="17" t="s">
        <v>1202</v>
      </c>
      <c r="G359" s="18" t="s">
        <v>1206</v>
      </c>
      <c r="H359" s="19" t="s">
        <v>1207</v>
      </c>
      <c r="I359" s="17" t="s">
        <v>1139</v>
      </c>
      <c r="J359" s="17" t="s">
        <v>75</v>
      </c>
      <c r="K359" s="20"/>
      <c r="L359" s="17" t="s">
        <v>76</v>
      </c>
      <c r="M359" s="17" t="n">
        <f aca="false">LEN(K359)</f>
        <v>0</v>
      </c>
      <c r="N359" s="17" t="str">
        <f aca="false">IF(M359=0,"-",ROUND(3+M359/안내!$C$12,0))</f>
        <v>-</v>
      </c>
      <c r="O359" s="21" t="str">
        <f aca="false">IF(K359="","(본문 입력 후 자동) | 슥 4:6",IF(LEN(K359)&gt;28,LEFT(K359,28)&amp;"…",K359)&amp;" | 슥 4:6")</f>
        <v>(본문 입력 후 자동) | 슥 4:6</v>
      </c>
      <c r="P359" s="21" t="str">
        <f aca="false">"#"&amp;SUBSTITUTE(안내!$C$5," ","")&amp;" #성경구절 #말씀 #스가랴 #성령"</f>
        <v>#오늘의말씀 #성경구절 #말씀 #스가랴 #성령</v>
      </c>
      <c r="Q359" s="21" t="s">
        <v>77</v>
      </c>
      <c r="R359" s="22" t="n">
        <f aca="false">안내!$C$6+INT((D359-1)/안내!$C$7)</f>
        <v>46566</v>
      </c>
      <c r="S359" s="17" t="str">
        <f aca="false">IF(MOD(D359-1,안내!$C$7)=0,안내!$C$8,안내!$C$10)</f>
        <v>18:30</v>
      </c>
      <c r="T359" s="17" t="str">
        <f aca="false">CHOOSE(WEEKDAY(R359,2),"월","화","수","목","금","토","일")</f>
        <v>월</v>
      </c>
      <c r="U359" s="17" t="s">
        <v>78</v>
      </c>
      <c r="V359" s="17" t="s">
        <v>78</v>
      </c>
      <c r="W359" s="23"/>
      <c r="X359" s="23"/>
      <c r="Y359" s="21"/>
    </row>
    <row r="360" customFormat="false" ht="15" hidden="false" customHeight="false" outlineLevel="0" collapsed="false">
      <c r="A360" s="16" t="n">
        <v>359</v>
      </c>
      <c r="B360" s="15" t="s">
        <v>1208</v>
      </c>
      <c r="C360" s="16" t="s">
        <v>70</v>
      </c>
      <c r="D360" s="16" t="n">
        <v>359</v>
      </c>
      <c r="E360" s="16" t="str">
        <f aca="false">C360&amp;"말씀 #"&amp;TEXT(D360,"000")</f>
        <v>구약말씀 #359</v>
      </c>
      <c r="F360" s="17" t="s">
        <v>1202</v>
      </c>
      <c r="G360" s="18" t="s">
        <v>1209</v>
      </c>
      <c r="H360" s="19" t="s">
        <v>1210</v>
      </c>
      <c r="I360" s="17" t="s">
        <v>103</v>
      </c>
      <c r="J360" s="17" t="s">
        <v>104</v>
      </c>
      <c r="K360" s="20"/>
      <c r="L360" s="17" t="s">
        <v>76</v>
      </c>
      <c r="M360" s="17" t="n">
        <f aca="false">LEN(K360)</f>
        <v>0</v>
      </c>
      <c r="N360" s="17" t="str">
        <f aca="false">IF(M360=0,"-",ROUND(3+M360/안내!$C$12,0))</f>
        <v>-</v>
      </c>
      <c r="O360" s="21" t="str">
        <f aca="false">IF(K360="","(본문 입력 후 자동) | 슥 9:9",IF(LEN(K360)&gt;28,LEFT(K360,28)&amp;"…",K360)&amp;" | 슥 9:9")</f>
        <v>(본문 입력 후 자동) | 슥 9:9</v>
      </c>
      <c r="P360" s="21" t="str">
        <f aca="false">"#"&amp;SUBSTITUTE(안내!$C$5," ","")&amp;" #성경구절 #말씀 #스가랴 #구원"</f>
        <v>#오늘의말씀 #성경구절 #말씀 #스가랴 #구원</v>
      </c>
      <c r="Q360" s="21" t="s">
        <v>77</v>
      </c>
      <c r="R360" s="22" t="n">
        <f aca="false">안내!$C$6+INT((D360-1)/안내!$C$7)</f>
        <v>46567</v>
      </c>
      <c r="S360" s="17" t="str">
        <f aca="false">IF(MOD(D360-1,안내!$C$7)=0,안내!$C$8,안내!$C$10)</f>
        <v>06:30</v>
      </c>
      <c r="T360" s="17" t="str">
        <f aca="false">CHOOSE(WEEKDAY(R360,2),"월","화","수","목","금","토","일")</f>
        <v>화</v>
      </c>
      <c r="U360" s="17" t="s">
        <v>78</v>
      </c>
      <c r="V360" s="17" t="s">
        <v>78</v>
      </c>
      <c r="W360" s="23"/>
      <c r="X360" s="23"/>
      <c r="Y360" s="21"/>
    </row>
    <row r="361" customFormat="false" ht="15" hidden="false" customHeight="false" outlineLevel="0" collapsed="false">
      <c r="A361" s="16" t="n">
        <v>360</v>
      </c>
      <c r="B361" s="15" t="s">
        <v>1211</v>
      </c>
      <c r="C361" s="16" t="s">
        <v>70</v>
      </c>
      <c r="D361" s="16" t="n">
        <v>360</v>
      </c>
      <c r="E361" s="16" t="str">
        <f aca="false">C361&amp;"말씀 #"&amp;TEXT(D361,"000")</f>
        <v>구약말씀 #360</v>
      </c>
      <c r="F361" s="17" t="s">
        <v>1202</v>
      </c>
      <c r="G361" s="18" t="s">
        <v>1212</v>
      </c>
      <c r="H361" s="19" t="s">
        <v>1213</v>
      </c>
      <c r="I361" s="17" t="s">
        <v>176</v>
      </c>
      <c r="J361" s="17" t="s">
        <v>75</v>
      </c>
      <c r="K361" s="20"/>
      <c r="L361" s="17" t="s">
        <v>76</v>
      </c>
      <c r="M361" s="17" t="n">
        <f aca="false">LEN(K361)</f>
        <v>0</v>
      </c>
      <c r="N361" s="17" t="str">
        <f aca="false">IF(M361=0,"-",ROUND(3+M361/안내!$C$12,0))</f>
        <v>-</v>
      </c>
      <c r="O361" s="21" t="str">
        <f aca="false">IF(K361="","(본문 입력 후 자동) | 슥 14:9",IF(LEN(K361)&gt;28,LEFT(K361,28)&amp;"…",K361)&amp;" | 슥 14:9")</f>
        <v>(본문 입력 후 자동) | 슥 14:9</v>
      </c>
      <c r="P361" s="21" t="str">
        <f aca="false">"#"&amp;SUBSTITUTE(안내!$C$5," ","")&amp;" #성경구절 #말씀 #스가랴 #하나님"</f>
        <v>#오늘의말씀 #성경구절 #말씀 #스가랴 #하나님</v>
      </c>
      <c r="Q361" s="21" t="s">
        <v>77</v>
      </c>
      <c r="R361" s="22" t="n">
        <f aca="false">안내!$C$6+INT((D361-1)/안내!$C$7)</f>
        <v>46567</v>
      </c>
      <c r="S361" s="17" t="str">
        <f aca="false">IF(MOD(D361-1,안내!$C$7)=0,안내!$C$8,안내!$C$10)</f>
        <v>18:30</v>
      </c>
      <c r="T361" s="17" t="str">
        <f aca="false">CHOOSE(WEEKDAY(R361,2),"월","화","수","목","금","토","일")</f>
        <v>화</v>
      </c>
      <c r="U361" s="17" t="s">
        <v>78</v>
      </c>
      <c r="V361" s="17" t="s">
        <v>78</v>
      </c>
      <c r="W361" s="23"/>
      <c r="X361" s="23"/>
      <c r="Y361" s="21"/>
    </row>
    <row r="362" customFormat="false" ht="15" hidden="false" customHeight="false" outlineLevel="0" collapsed="false">
      <c r="A362" s="16" t="n">
        <v>361</v>
      </c>
      <c r="B362" s="15" t="s">
        <v>1214</v>
      </c>
      <c r="C362" s="16" t="s">
        <v>70</v>
      </c>
      <c r="D362" s="16" t="n">
        <v>361</v>
      </c>
      <c r="E362" s="16" t="str">
        <f aca="false">C362&amp;"말씀 #"&amp;TEXT(D362,"000")</f>
        <v>구약말씀 #361</v>
      </c>
      <c r="F362" s="17" t="s">
        <v>1215</v>
      </c>
      <c r="G362" s="18" t="s">
        <v>538</v>
      </c>
      <c r="H362" s="19" t="s">
        <v>1216</v>
      </c>
      <c r="I362" s="17" t="s">
        <v>239</v>
      </c>
      <c r="J362" s="17" t="s">
        <v>94</v>
      </c>
      <c r="K362" s="20"/>
      <c r="L362" s="17" t="s">
        <v>76</v>
      </c>
      <c r="M362" s="17" t="n">
        <f aca="false">LEN(K362)</f>
        <v>0</v>
      </c>
      <c r="N362" s="17" t="str">
        <f aca="false">IF(M362=0,"-",ROUND(3+M362/안내!$C$12,0))</f>
        <v>-</v>
      </c>
      <c r="O362" s="21" t="str">
        <f aca="false">IF(K362="","(본문 입력 후 자동) | 말 1:2",IF(LEN(K362)&gt;28,LEFT(K362,28)&amp;"…",K362)&amp;" | 말 1:2")</f>
        <v>(본문 입력 후 자동) | 말 1:2</v>
      </c>
      <c r="P362" s="21" t="str">
        <f aca="false">"#"&amp;SUBSTITUTE(안내!$C$5," ","")&amp;" #성경구절 #말씀 #말라기 #사랑"</f>
        <v>#오늘의말씀 #성경구절 #말씀 #말라기 #사랑</v>
      </c>
      <c r="Q362" s="21" t="s">
        <v>77</v>
      </c>
      <c r="R362" s="22" t="n">
        <f aca="false">안내!$C$6+INT((D362-1)/안내!$C$7)</f>
        <v>46568</v>
      </c>
      <c r="S362" s="17" t="str">
        <f aca="false">IF(MOD(D362-1,안내!$C$7)=0,안내!$C$8,안내!$C$10)</f>
        <v>06:30</v>
      </c>
      <c r="T362" s="17" t="str">
        <f aca="false">CHOOSE(WEEKDAY(R362,2),"월","화","수","목","금","토","일")</f>
        <v>수</v>
      </c>
      <c r="U362" s="17" t="s">
        <v>78</v>
      </c>
      <c r="V362" s="17" t="s">
        <v>78</v>
      </c>
      <c r="W362" s="23"/>
      <c r="X362" s="23"/>
      <c r="Y362" s="21"/>
    </row>
    <row r="363" customFormat="false" ht="15" hidden="false" customHeight="false" outlineLevel="0" collapsed="false">
      <c r="A363" s="16" t="n">
        <v>362</v>
      </c>
      <c r="B363" s="15" t="s">
        <v>1217</v>
      </c>
      <c r="C363" s="16" t="s">
        <v>70</v>
      </c>
      <c r="D363" s="16" t="n">
        <v>362</v>
      </c>
      <c r="E363" s="16" t="str">
        <f aca="false">C363&amp;"말씀 #"&amp;TEXT(D363,"000")</f>
        <v>구약말씀 #362</v>
      </c>
      <c r="F363" s="17" t="s">
        <v>1215</v>
      </c>
      <c r="G363" s="18" t="s">
        <v>754</v>
      </c>
      <c r="H363" s="19" t="s">
        <v>1218</v>
      </c>
      <c r="I363" s="17" t="s">
        <v>112</v>
      </c>
      <c r="J363" s="17" t="s">
        <v>113</v>
      </c>
      <c r="K363" s="20"/>
      <c r="L363" s="17" t="s">
        <v>76</v>
      </c>
      <c r="M363" s="17" t="n">
        <f aca="false">LEN(K363)</f>
        <v>0</v>
      </c>
      <c r="N363" s="17" t="str">
        <f aca="false">IF(M363=0,"-",ROUND(3+M363/안내!$C$12,0))</f>
        <v>-</v>
      </c>
      <c r="O363" s="21" t="str">
        <f aca="false">IF(K363="","(본문 입력 후 자동) | 말 3:6",IF(LEN(K363)&gt;28,LEFT(K363,28)&amp;"…",K363)&amp;" | 말 3:6")</f>
        <v>(본문 입력 후 자동) | 말 3:6</v>
      </c>
      <c r="P363" s="21" t="str">
        <f aca="false">"#"&amp;SUBSTITUTE(안내!$C$5," ","")&amp;" #성경구절 #말씀 #말라기 #신실하심"</f>
        <v>#오늘의말씀 #성경구절 #말씀 #말라기 #신실하심</v>
      </c>
      <c r="Q363" s="21" t="s">
        <v>77</v>
      </c>
      <c r="R363" s="22" t="n">
        <f aca="false">안내!$C$6+INT((D363-1)/안내!$C$7)</f>
        <v>46568</v>
      </c>
      <c r="S363" s="17" t="str">
        <f aca="false">IF(MOD(D363-1,안내!$C$7)=0,안내!$C$8,안내!$C$10)</f>
        <v>18:30</v>
      </c>
      <c r="T363" s="17" t="str">
        <f aca="false">CHOOSE(WEEKDAY(R363,2),"월","화","수","목","금","토","일")</f>
        <v>수</v>
      </c>
      <c r="U363" s="17" t="s">
        <v>78</v>
      </c>
      <c r="V363" s="17" t="s">
        <v>78</v>
      </c>
      <c r="W363" s="23"/>
      <c r="X363" s="23"/>
      <c r="Y363" s="21"/>
    </row>
    <row r="364" customFormat="false" ht="15" hidden="false" customHeight="false" outlineLevel="0" collapsed="false">
      <c r="A364" s="16" t="n">
        <v>363</v>
      </c>
      <c r="B364" s="15" t="s">
        <v>1219</v>
      </c>
      <c r="C364" s="16" t="s">
        <v>70</v>
      </c>
      <c r="D364" s="16" t="n">
        <v>363</v>
      </c>
      <c r="E364" s="16" t="str">
        <f aca="false">C364&amp;"말씀 #"&amp;TEXT(D364,"000")</f>
        <v>구약말씀 #363</v>
      </c>
      <c r="F364" s="17" t="s">
        <v>1215</v>
      </c>
      <c r="G364" s="18" t="s">
        <v>1220</v>
      </c>
      <c r="H364" s="19" t="s">
        <v>1221</v>
      </c>
      <c r="I364" s="17" t="s">
        <v>857</v>
      </c>
      <c r="J364" s="17" t="s">
        <v>75</v>
      </c>
      <c r="K364" s="20"/>
      <c r="L364" s="17" t="s">
        <v>76</v>
      </c>
      <c r="M364" s="17" t="n">
        <f aca="false">LEN(K364)</f>
        <v>0</v>
      </c>
      <c r="N364" s="17" t="str">
        <f aca="false">IF(M364=0,"-",ROUND(3+M364/안내!$C$12,0))</f>
        <v>-</v>
      </c>
      <c r="O364" s="21" t="str">
        <f aca="false">IF(K364="","(본문 입력 후 자동) | 말 3:16",IF(LEN(K364)&gt;28,LEFT(K364,28)&amp;"…",K364)&amp;" | 말 3:16")</f>
        <v>(본문 입력 후 자동) | 말 3:16</v>
      </c>
      <c r="P364" s="21" t="str">
        <f aca="false">"#"&amp;SUBSTITUTE(안내!$C$5," ","")&amp;" #성경구절 #말씀 #말라기 #경외"</f>
        <v>#오늘의말씀 #성경구절 #말씀 #말라기 #경외</v>
      </c>
      <c r="Q364" s="21" t="s">
        <v>77</v>
      </c>
      <c r="R364" s="22" t="n">
        <f aca="false">안내!$C$6+INT((D364-1)/안내!$C$7)</f>
        <v>46569</v>
      </c>
      <c r="S364" s="17" t="str">
        <f aca="false">IF(MOD(D364-1,안내!$C$7)=0,안내!$C$8,안내!$C$10)</f>
        <v>06:30</v>
      </c>
      <c r="T364" s="17" t="str">
        <f aca="false">CHOOSE(WEEKDAY(R364,2),"월","화","수","목","금","토","일")</f>
        <v>목</v>
      </c>
      <c r="U364" s="17" t="s">
        <v>78</v>
      </c>
      <c r="V364" s="17" t="s">
        <v>78</v>
      </c>
      <c r="W364" s="23"/>
      <c r="X364" s="23"/>
      <c r="Y364" s="21"/>
    </row>
    <row r="365" customFormat="false" ht="15" hidden="false" customHeight="false" outlineLevel="0" collapsed="false">
      <c r="A365" s="16" t="n">
        <v>364</v>
      </c>
      <c r="B365" s="15" t="s">
        <v>1222</v>
      </c>
      <c r="C365" s="16" t="s">
        <v>70</v>
      </c>
      <c r="D365" s="16" t="n">
        <v>364</v>
      </c>
      <c r="E365" s="16" t="str">
        <f aca="false">C365&amp;"말씀 #"&amp;TEXT(D365,"000")</f>
        <v>구약말씀 #364</v>
      </c>
      <c r="F365" s="17" t="s">
        <v>1215</v>
      </c>
      <c r="G365" s="18" t="s">
        <v>1161</v>
      </c>
      <c r="H365" s="19" t="s">
        <v>1223</v>
      </c>
      <c r="I365" s="17" t="s">
        <v>511</v>
      </c>
      <c r="J365" s="17" t="s">
        <v>89</v>
      </c>
      <c r="K365" s="20"/>
      <c r="L365" s="17" t="s">
        <v>76</v>
      </c>
      <c r="M365" s="17" t="n">
        <f aca="false">LEN(K365)</f>
        <v>0</v>
      </c>
      <c r="N365" s="17" t="str">
        <f aca="false">IF(M365=0,"-",ROUND(3+M365/안내!$C$12,0))</f>
        <v>-</v>
      </c>
      <c r="O365" s="21" t="str">
        <f aca="false">IF(K365="","(본문 입력 후 자동) | 말 4:2",IF(LEN(K365)&gt;28,LEFT(K365,28)&amp;"…",K365)&amp;" | 말 4:2")</f>
        <v>(본문 입력 후 자동) | 말 4:2</v>
      </c>
      <c r="P365" s="21" t="str">
        <f aca="false">"#"&amp;SUBSTITUTE(안내!$C$5," ","")&amp;" #성경구절 #말씀 #말라기 #소망"</f>
        <v>#오늘의말씀 #성경구절 #말씀 #말라기 #소망</v>
      </c>
      <c r="Q365" s="21" t="s">
        <v>77</v>
      </c>
      <c r="R365" s="22" t="n">
        <f aca="false">안내!$C$6+INT((D365-1)/안내!$C$7)</f>
        <v>46569</v>
      </c>
      <c r="S365" s="17" t="str">
        <f aca="false">IF(MOD(D365-1,안내!$C$7)=0,안내!$C$8,안내!$C$10)</f>
        <v>18:30</v>
      </c>
      <c r="T365" s="17" t="str">
        <f aca="false">CHOOSE(WEEKDAY(R365,2),"월","화","수","목","금","토","일")</f>
        <v>목</v>
      </c>
      <c r="U365" s="17" t="s">
        <v>78</v>
      </c>
      <c r="V365" s="17" t="s">
        <v>78</v>
      </c>
      <c r="W365" s="23"/>
      <c r="X365" s="23"/>
      <c r="Y365" s="21"/>
    </row>
    <row r="366" customFormat="false" ht="15" hidden="false" customHeight="false" outlineLevel="0" collapsed="false">
      <c r="A366" s="17" t="n">
        <v>365</v>
      </c>
      <c r="B366" s="18" t="s">
        <v>1224</v>
      </c>
      <c r="C366" s="17" t="s">
        <v>1225</v>
      </c>
      <c r="D366" s="17" t="n">
        <v>1</v>
      </c>
      <c r="E366" s="17" t="str">
        <f aca="false">C366&amp;"말씀 #"&amp;TEXT(D366,"000")</f>
        <v>신약말씀 #001</v>
      </c>
      <c r="F366" s="17" t="s">
        <v>1226</v>
      </c>
      <c r="G366" s="18" t="s">
        <v>495</v>
      </c>
      <c r="H366" s="19" t="s">
        <v>1227</v>
      </c>
      <c r="I366" s="17" t="s">
        <v>103</v>
      </c>
      <c r="J366" s="17" t="s">
        <v>104</v>
      </c>
      <c r="K366" s="20"/>
      <c r="L366" s="17" t="s">
        <v>76</v>
      </c>
      <c r="M366" s="17" t="n">
        <f aca="false">LEN(K366)</f>
        <v>0</v>
      </c>
      <c r="N366" s="17" t="str">
        <f aca="false">IF(M366=0,"-",ROUND(3+M366/안내!$C$12,0))</f>
        <v>-</v>
      </c>
      <c r="O366" s="21" t="str">
        <f aca="false">IF(K366="","(본문 입력 후 자동) | 마 1:21",IF(LEN(K366)&gt;28,LEFT(K366,28)&amp;"…",K366)&amp;" | 마 1:21")</f>
        <v>(본문 입력 후 자동) | 마 1:21</v>
      </c>
      <c r="P366" s="21" t="str">
        <f aca="false">"#"&amp;SUBSTITUTE(안내!$C$5," ","")&amp;" #성경구절 #말씀 #마태복음 #구원"</f>
        <v>#오늘의말씀 #성경구절 #말씀 #마태복음 #구원</v>
      </c>
      <c r="Q366" s="21" t="s">
        <v>77</v>
      </c>
      <c r="R366" s="22" t="n">
        <f aca="false">안내!$C$6+INT((D366-1)/안내!$C$7)</f>
        <v>46388</v>
      </c>
      <c r="S366" s="17" t="str">
        <f aca="false">IF(MOD(D366-1,안내!$C$7)=0,안내!$C$9,안내!$C$11)</f>
        <v>12:30</v>
      </c>
      <c r="T366" s="17" t="str">
        <f aca="false">CHOOSE(WEEKDAY(R366,2),"월","화","수","목","금","토","일")</f>
        <v>금</v>
      </c>
      <c r="U366" s="17" t="s">
        <v>78</v>
      </c>
      <c r="V366" s="17" t="s">
        <v>78</v>
      </c>
      <c r="W366" s="23"/>
      <c r="X366" s="23"/>
      <c r="Y366" s="21"/>
    </row>
    <row r="367" customFormat="false" ht="15" hidden="false" customHeight="false" outlineLevel="0" collapsed="false">
      <c r="A367" s="17" t="n">
        <v>366</v>
      </c>
      <c r="B367" s="18" t="s">
        <v>1228</v>
      </c>
      <c r="C367" s="17" t="s">
        <v>1225</v>
      </c>
      <c r="D367" s="17" t="n">
        <v>2</v>
      </c>
      <c r="E367" s="17" t="str">
        <f aca="false">C367&amp;"말씀 #"&amp;TEXT(D367,"000")</f>
        <v>신약말씀 #002</v>
      </c>
      <c r="F367" s="17" t="s">
        <v>1226</v>
      </c>
      <c r="G367" s="18" t="s">
        <v>1229</v>
      </c>
      <c r="H367" s="19" t="s">
        <v>1230</v>
      </c>
      <c r="I367" s="17" t="s">
        <v>156</v>
      </c>
      <c r="J367" s="17" t="s">
        <v>75</v>
      </c>
      <c r="K367" s="20"/>
      <c r="L367" s="17" t="s">
        <v>76</v>
      </c>
      <c r="M367" s="17" t="n">
        <f aca="false">LEN(K367)</f>
        <v>0</v>
      </c>
      <c r="N367" s="17" t="str">
        <f aca="false">IF(M367=0,"-",ROUND(3+M367/안내!$C$12,0))</f>
        <v>-</v>
      </c>
      <c r="O367" s="21" t="str">
        <f aca="false">IF(K367="","(본문 입력 후 자동) | 마 1:23",IF(LEN(K367)&gt;28,LEFT(K367,28)&amp;"…",K367)&amp;" | 마 1:23")</f>
        <v>(본문 입력 후 자동) | 마 1:23</v>
      </c>
      <c r="P367" s="21" t="str">
        <f aca="false">"#"&amp;SUBSTITUTE(안내!$C$5," ","")&amp;" #성경구절 #말씀 #마태복음 #임재"</f>
        <v>#오늘의말씀 #성경구절 #말씀 #마태복음 #임재</v>
      </c>
      <c r="Q367" s="21" t="s">
        <v>77</v>
      </c>
      <c r="R367" s="22" t="n">
        <f aca="false">안내!$C$6+INT((D367-1)/안내!$C$7)</f>
        <v>46388</v>
      </c>
      <c r="S367" s="17" t="str">
        <f aca="false">IF(MOD(D367-1,안내!$C$7)=0,안내!$C$9,안내!$C$11)</f>
        <v>21:30</v>
      </c>
      <c r="T367" s="17" t="str">
        <f aca="false">CHOOSE(WEEKDAY(R367,2),"월","화","수","목","금","토","일")</f>
        <v>금</v>
      </c>
      <c r="U367" s="17" t="s">
        <v>78</v>
      </c>
      <c r="V367" s="17" t="s">
        <v>78</v>
      </c>
      <c r="W367" s="23"/>
      <c r="X367" s="23"/>
      <c r="Y367" s="21"/>
    </row>
    <row r="368" customFormat="false" ht="15" hidden="false" customHeight="false" outlineLevel="0" collapsed="false">
      <c r="A368" s="17" t="n">
        <v>367</v>
      </c>
      <c r="B368" s="18" t="s">
        <v>1231</v>
      </c>
      <c r="C368" s="17" t="s">
        <v>1225</v>
      </c>
      <c r="D368" s="17" t="n">
        <v>3</v>
      </c>
      <c r="E368" s="17" t="str">
        <f aca="false">C368&amp;"말씀 #"&amp;TEXT(D368,"000")</f>
        <v>신약말씀 #003</v>
      </c>
      <c r="F368" s="17" t="s">
        <v>1226</v>
      </c>
      <c r="G368" s="18" t="s">
        <v>1107</v>
      </c>
      <c r="H368" s="19" t="s">
        <v>1232</v>
      </c>
      <c r="I368" s="17" t="s">
        <v>239</v>
      </c>
      <c r="J368" s="17" t="s">
        <v>94</v>
      </c>
      <c r="K368" s="20"/>
      <c r="L368" s="17" t="s">
        <v>76</v>
      </c>
      <c r="M368" s="17" t="n">
        <f aca="false">LEN(K368)</f>
        <v>0</v>
      </c>
      <c r="N368" s="17" t="str">
        <f aca="false">IF(M368=0,"-",ROUND(3+M368/안내!$C$12,0))</f>
        <v>-</v>
      </c>
      <c r="O368" s="21" t="str">
        <f aca="false">IF(K368="","(본문 입력 후 자동) | 마 3:17",IF(LEN(K368)&gt;28,LEFT(K368,28)&amp;"…",K368)&amp;" | 마 3:17")</f>
        <v>(본문 입력 후 자동) | 마 3:17</v>
      </c>
      <c r="P368" s="21" t="str">
        <f aca="false">"#"&amp;SUBSTITUTE(안내!$C$5," ","")&amp;" #성경구절 #말씀 #마태복음 #사랑"</f>
        <v>#오늘의말씀 #성경구절 #말씀 #마태복음 #사랑</v>
      </c>
      <c r="Q368" s="21" t="s">
        <v>77</v>
      </c>
      <c r="R368" s="22" t="n">
        <f aca="false">안내!$C$6+INT((D368-1)/안내!$C$7)</f>
        <v>46389</v>
      </c>
      <c r="S368" s="17" t="str">
        <f aca="false">IF(MOD(D368-1,안내!$C$7)=0,안내!$C$9,안내!$C$11)</f>
        <v>12:30</v>
      </c>
      <c r="T368" s="17" t="str">
        <f aca="false">CHOOSE(WEEKDAY(R368,2),"월","화","수","목","금","토","일")</f>
        <v>토</v>
      </c>
      <c r="U368" s="17" t="s">
        <v>78</v>
      </c>
      <c r="V368" s="17" t="s">
        <v>78</v>
      </c>
      <c r="W368" s="23"/>
      <c r="X368" s="23"/>
      <c r="Y368" s="21"/>
    </row>
    <row r="369" customFormat="false" ht="15" hidden="false" customHeight="false" outlineLevel="0" collapsed="false">
      <c r="A369" s="17" t="n">
        <v>368</v>
      </c>
      <c r="B369" s="18" t="s">
        <v>1233</v>
      </c>
      <c r="C369" s="17" t="s">
        <v>1225</v>
      </c>
      <c r="D369" s="17" t="n">
        <v>4</v>
      </c>
      <c r="E369" s="17" t="str">
        <f aca="false">C369&amp;"말씀 #"&amp;TEXT(D369,"000")</f>
        <v>신약말씀 #004</v>
      </c>
      <c r="F369" s="17" t="s">
        <v>1226</v>
      </c>
      <c r="G369" s="18" t="s">
        <v>1234</v>
      </c>
      <c r="H369" s="19" t="s">
        <v>1235</v>
      </c>
      <c r="I369" s="17" t="s">
        <v>284</v>
      </c>
      <c r="J369" s="17" t="s">
        <v>148</v>
      </c>
      <c r="K369" s="20"/>
      <c r="L369" s="17" t="s">
        <v>76</v>
      </c>
      <c r="M369" s="17" t="n">
        <f aca="false">LEN(K369)</f>
        <v>0</v>
      </c>
      <c r="N369" s="17" t="str">
        <f aca="false">IF(M369=0,"-",ROUND(3+M369/안내!$C$12,0))</f>
        <v>-</v>
      </c>
      <c r="O369" s="21" t="str">
        <f aca="false">IF(K369="","(본문 입력 후 자동) | 마 4:4",IF(LEN(K369)&gt;28,LEFT(K369,28)&amp;"…",K369)&amp;" | 마 4:4")</f>
        <v>(본문 입력 후 자동) | 마 4:4</v>
      </c>
      <c r="P369" s="21" t="str">
        <f aca="false">"#"&amp;SUBSTITUTE(안내!$C$5," ","")&amp;" #성경구절 #말씀 #마태복음 #말씀"</f>
        <v>#오늘의말씀 #성경구절 #말씀 #마태복음 #말씀</v>
      </c>
      <c r="Q369" s="21" t="s">
        <v>77</v>
      </c>
      <c r="R369" s="22" t="n">
        <f aca="false">안내!$C$6+INT((D369-1)/안내!$C$7)</f>
        <v>46389</v>
      </c>
      <c r="S369" s="17" t="str">
        <f aca="false">IF(MOD(D369-1,안내!$C$7)=0,안내!$C$9,안내!$C$11)</f>
        <v>21:30</v>
      </c>
      <c r="T369" s="17" t="str">
        <f aca="false">CHOOSE(WEEKDAY(R369,2),"월","화","수","목","금","토","일")</f>
        <v>토</v>
      </c>
      <c r="U369" s="17" t="s">
        <v>78</v>
      </c>
      <c r="V369" s="17" t="s">
        <v>78</v>
      </c>
      <c r="W369" s="23"/>
      <c r="X369" s="23"/>
      <c r="Y369" s="21"/>
    </row>
    <row r="370" customFormat="false" ht="15" hidden="false" customHeight="false" outlineLevel="0" collapsed="false">
      <c r="A370" s="17" t="n">
        <v>369</v>
      </c>
      <c r="B370" s="18" t="s">
        <v>1236</v>
      </c>
      <c r="C370" s="17" t="s">
        <v>1225</v>
      </c>
      <c r="D370" s="17" t="n">
        <v>5</v>
      </c>
      <c r="E370" s="17" t="str">
        <f aca="false">C370&amp;"말씀 #"&amp;TEXT(D370,"000")</f>
        <v>신약말씀 #005</v>
      </c>
      <c r="F370" s="17" t="s">
        <v>1226</v>
      </c>
      <c r="G370" s="18" t="s">
        <v>1237</v>
      </c>
      <c r="H370" s="19" t="s">
        <v>1238</v>
      </c>
      <c r="I370" s="17" t="s">
        <v>1011</v>
      </c>
      <c r="J370" s="17" t="s">
        <v>122</v>
      </c>
      <c r="K370" s="20"/>
      <c r="L370" s="17" t="s">
        <v>76</v>
      </c>
      <c r="M370" s="17" t="n">
        <f aca="false">LEN(K370)</f>
        <v>0</v>
      </c>
      <c r="N370" s="17" t="str">
        <f aca="false">IF(M370=0,"-",ROUND(3+M370/안내!$C$12,0))</f>
        <v>-</v>
      </c>
      <c r="O370" s="21" t="str">
        <f aca="false">IF(K370="","(본문 입력 후 자동) | 마 4:19",IF(LEN(K370)&gt;28,LEFT(K370,28)&amp;"…",K370)&amp;" | 마 4:19")</f>
        <v>(본문 입력 후 자동) | 마 4:19</v>
      </c>
      <c r="P370" s="21" t="str">
        <f aca="false">"#"&amp;SUBSTITUTE(안내!$C$5," ","")&amp;" #성경구절 #말씀 #마태복음 #부르심"</f>
        <v>#오늘의말씀 #성경구절 #말씀 #마태복음 #부르심</v>
      </c>
      <c r="Q370" s="21" t="s">
        <v>77</v>
      </c>
      <c r="R370" s="22" t="n">
        <f aca="false">안내!$C$6+INT((D370-1)/안내!$C$7)</f>
        <v>46390</v>
      </c>
      <c r="S370" s="17" t="str">
        <f aca="false">IF(MOD(D370-1,안내!$C$7)=0,안내!$C$9,안내!$C$11)</f>
        <v>12:30</v>
      </c>
      <c r="T370" s="17" t="str">
        <f aca="false">CHOOSE(WEEKDAY(R370,2),"월","화","수","목","금","토","일")</f>
        <v>일</v>
      </c>
      <c r="U370" s="17" t="s">
        <v>78</v>
      </c>
      <c r="V370" s="17" t="s">
        <v>78</v>
      </c>
      <c r="W370" s="23"/>
      <c r="X370" s="23"/>
      <c r="Y370" s="21"/>
    </row>
    <row r="371" customFormat="false" ht="15" hidden="false" customHeight="false" outlineLevel="0" collapsed="false">
      <c r="A371" s="17" t="n">
        <v>370</v>
      </c>
      <c r="B371" s="18" t="s">
        <v>1239</v>
      </c>
      <c r="C371" s="17" t="s">
        <v>1225</v>
      </c>
      <c r="D371" s="17" t="n">
        <v>6</v>
      </c>
      <c r="E371" s="17" t="str">
        <f aca="false">C371&amp;"말씀 #"&amp;TEXT(D371,"000")</f>
        <v>신약말씀 #006</v>
      </c>
      <c r="F371" s="17" t="s">
        <v>1226</v>
      </c>
      <c r="G371" s="18" t="s">
        <v>547</v>
      </c>
      <c r="H371" s="19" t="s">
        <v>1240</v>
      </c>
      <c r="I371" s="17" t="s">
        <v>536</v>
      </c>
      <c r="J371" s="17" t="s">
        <v>148</v>
      </c>
      <c r="K371" s="20"/>
      <c r="L371" s="17" t="s">
        <v>76</v>
      </c>
      <c r="M371" s="17" t="n">
        <f aca="false">LEN(K371)</f>
        <v>0</v>
      </c>
      <c r="N371" s="17" t="str">
        <f aca="false">IF(M371=0,"-",ROUND(3+M371/안내!$C$12,0))</f>
        <v>-</v>
      </c>
      <c r="O371" s="21" t="str">
        <f aca="false">IF(K371="","(본문 입력 후 자동) | 마 5:3",IF(LEN(K371)&gt;28,LEFT(K371,28)&amp;"…",K371)&amp;" | 마 5:3")</f>
        <v>(본문 입력 후 자동) | 마 5:3</v>
      </c>
      <c r="P371" s="21" t="str">
        <f aca="false">"#"&amp;SUBSTITUTE(안내!$C$5," ","")&amp;" #성경구절 #말씀 #마태복음 #복"</f>
        <v>#오늘의말씀 #성경구절 #말씀 #마태복음 #복</v>
      </c>
      <c r="Q371" s="21" t="s">
        <v>77</v>
      </c>
      <c r="R371" s="22" t="n">
        <f aca="false">안내!$C$6+INT((D371-1)/안내!$C$7)</f>
        <v>46390</v>
      </c>
      <c r="S371" s="17" t="str">
        <f aca="false">IF(MOD(D371-1,안내!$C$7)=0,안내!$C$9,안내!$C$11)</f>
        <v>21:30</v>
      </c>
      <c r="T371" s="17" t="str">
        <f aca="false">CHOOSE(WEEKDAY(R371,2),"월","화","수","목","금","토","일")</f>
        <v>일</v>
      </c>
      <c r="U371" s="17" t="s">
        <v>78</v>
      </c>
      <c r="V371" s="17" t="s">
        <v>78</v>
      </c>
      <c r="W371" s="23"/>
      <c r="X371" s="23"/>
      <c r="Y371" s="21"/>
    </row>
    <row r="372" customFormat="false" ht="15" hidden="false" customHeight="false" outlineLevel="0" collapsed="false">
      <c r="A372" s="17" t="n">
        <v>371</v>
      </c>
      <c r="B372" s="18" t="s">
        <v>1241</v>
      </c>
      <c r="C372" s="17" t="s">
        <v>1225</v>
      </c>
      <c r="D372" s="17" t="n">
        <v>7</v>
      </c>
      <c r="E372" s="17" t="str">
        <f aca="false">C372&amp;"말씀 #"&amp;TEXT(D372,"000")</f>
        <v>신약말씀 #007</v>
      </c>
      <c r="F372" s="17" t="s">
        <v>1226</v>
      </c>
      <c r="G372" s="18" t="s">
        <v>1144</v>
      </c>
      <c r="H372" s="19" t="s">
        <v>1242</v>
      </c>
      <c r="I372" s="17" t="s">
        <v>129</v>
      </c>
      <c r="J372" s="17" t="s">
        <v>99</v>
      </c>
      <c r="K372" s="20"/>
      <c r="L372" s="17" t="s">
        <v>76</v>
      </c>
      <c r="M372" s="17" t="n">
        <f aca="false">LEN(K372)</f>
        <v>0</v>
      </c>
      <c r="N372" s="17" t="str">
        <f aca="false">IF(M372=0,"-",ROUND(3+M372/안내!$C$12,0))</f>
        <v>-</v>
      </c>
      <c r="O372" s="21" t="str">
        <f aca="false">IF(K372="","(본문 입력 후 자동) | 마 5:4",IF(LEN(K372)&gt;28,LEFT(K372,28)&amp;"…",K372)&amp;" | 마 5:4")</f>
        <v>(본문 입력 후 자동) | 마 5:4</v>
      </c>
      <c r="P372" s="21" t="str">
        <f aca="false">"#"&amp;SUBSTITUTE(안내!$C$5," ","")&amp;" #성경구절 #말씀 #마태복음 #위로"</f>
        <v>#오늘의말씀 #성경구절 #말씀 #마태복음 #위로</v>
      </c>
      <c r="Q372" s="21" t="s">
        <v>77</v>
      </c>
      <c r="R372" s="22" t="n">
        <f aca="false">안내!$C$6+INT((D372-1)/안내!$C$7)</f>
        <v>46391</v>
      </c>
      <c r="S372" s="17" t="str">
        <f aca="false">IF(MOD(D372-1,안내!$C$7)=0,안내!$C$9,안내!$C$11)</f>
        <v>12:30</v>
      </c>
      <c r="T372" s="17" t="str">
        <f aca="false">CHOOSE(WEEKDAY(R372,2),"월","화","수","목","금","토","일")</f>
        <v>월</v>
      </c>
      <c r="U372" s="17" t="s">
        <v>78</v>
      </c>
      <c r="V372" s="17" t="s">
        <v>78</v>
      </c>
      <c r="W372" s="23"/>
      <c r="X372" s="23"/>
      <c r="Y372" s="21"/>
    </row>
    <row r="373" customFormat="false" ht="15" hidden="false" customHeight="false" outlineLevel="0" collapsed="false">
      <c r="A373" s="17" t="n">
        <v>372</v>
      </c>
      <c r="B373" s="18" t="s">
        <v>1243</v>
      </c>
      <c r="C373" s="17" t="s">
        <v>1225</v>
      </c>
      <c r="D373" s="17" t="n">
        <v>8</v>
      </c>
      <c r="E373" s="17" t="str">
        <f aca="false">C373&amp;"말씀 #"&amp;TEXT(D373,"000")</f>
        <v>신약말씀 #008</v>
      </c>
      <c r="F373" s="17" t="s">
        <v>1226</v>
      </c>
      <c r="G373" s="18" t="s">
        <v>1244</v>
      </c>
      <c r="H373" s="19" t="s">
        <v>1245</v>
      </c>
      <c r="I373" s="17" t="s">
        <v>536</v>
      </c>
      <c r="J373" s="17" t="s">
        <v>148</v>
      </c>
      <c r="K373" s="20"/>
      <c r="L373" s="17" t="s">
        <v>76</v>
      </c>
      <c r="M373" s="17" t="n">
        <f aca="false">LEN(K373)</f>
        <v>0</v>
      </c>
      <c r="N373" s="17" t="str">
        <f aca="false">IF(M373=0,"-",ROUND(3+M373/안내!$C$12,0))</f>
        <v>-</v>
      </c>
      <c r="O373" s="21" t="str">
        <f aca="false">IF(K373="","(본문 입력 후 자동) | 마 5:6",IF(LEN(K373)&gt;28,LEFT(K373,28)&amp;"…",K373)&amp;" | 마 5:6")</f>
        <v>(본문 입력 후 자동) | 마 5:6</v>
      </c>
      <c r="P373" s="21" t="str">
        <f aca="false">"#"&amp;SUBSTITUTE(안내!$C$5," ","")&amp;" #성경구절 #말씀 #마태복음 #복"</f>
        <v>#오늘의말씀 #성경구절 #말씀 #마태복음 #복</v>
      </c>
      <c r="Q373" s="21" t="s">
        <v>77</v>
      </c>
      <c r="R373" s="22" t="n">
        <f aca="false">안내!$C$6+INT((D373-1)/안내!$C$7)</f>
        <v>46391</v>
      </c>
      <c r="S373" s="17" t="str">
        <f aca="false">IF(MOD(D373-1,안내!$C$7)=0,안내!$C$9,안내!$C$11)</f>
        <v>21:30</v>
      </c>
      <c r="T373" s="17" t="str">
        <f aca="false">CHOOSE(WEEKDAY(R373,2),"월","화","수","목","금","토","일")</f>
        <v>월</v>
      </c>
      <c r="U373" s="17" t="s">
        <v>78</v>
      </c>
      <c r="V373" s="17" t="s">
        <v>78</v>
      </c>
      <c r="W373" s="23"/>
      <c r="X373" s="23"/>
      <c r="Y373" s="21"/>
    </row>
    <row r="374" customFormat="false" ht="15" hidden="false" customHeight="false" outlineLevel="0" collapsed="false">
      <c r="A374" s="17" t="n">
        <v>373</v>
      </c>
      <c r="B374" s="18" t="s">
        <v>1246</v>
      </c>
      <c r="C374" s="17" t="s">
        <v>1225</v>
      </c>
      <c r="D374" s="17" t="n">
        <v>9</v>
      </c>
      <c r="E374" s="17" t="str">
        <f aca="false">C374&amp;"말씀 #"&amp;TEXT(D374,"000")</f>
        <v>신약말씀 #009</v>
      </c>
      <c r="F374" s="17" t="s">
        <v>1226</v>
      </c>
      <c r="G374" s="18" t="s">
        <v>1247</v>
      </c>
      <c r="H374" s="19" t="s">
        <v>1248</v>
      </c>
      <c r="I374" s="17" t="s">
        <v>536</v>
      </c>
      <c r="J374" s="17" t="s">
        <v>148</v>
      </c>
      <c r="K374" s="20"/>
      <c r="L374" s="17" t="s">
        <v>76</v>
      </c>
      <c r="M374" s="17" t="n">
        <f aca="false">LEN(K374)</f>
        <v>0</v>
      </c>
      <c r="N374" s="17" t="str">
        <f aca="false">IF(M374=0,"-",ROUND(3+M374/안내!$C$12,0))</f>
        <v>-</v>
      </c>
      <c r="O374" s="21" t="str">
        <f aca="false">IF(K374="","(본문 입력 후 자동) | 마 5:7",IF(LEN(K374)&gt;28,LEFT(K374,28)&amp;"…",K374)&amp;" | 마 5:7")</f>
        <v>(본문 입력 후 자동) | 마 5:7</v>
      </c>
      <c r="P374" s="21" t="str">
        <f aca="false">"#"&amp;SUBSTITUTE(안내!$C$5," ","")&amp;" #성경구절 #말씀 #마태복음 #복"</f>
        <v>#오늘의말씀 #성경구절 #말씀 #마태복음 #복</v>
      </c>
      <c r="Q374" s="21" t="s">
        <v>77</v>
      </c>
      <c r="R374" s="22" t="n">
        <f aca="false">안내!$C$6+INT((D374-1)/안내!$C$7)</f>
        <v>46392</v>
      </c>
      <c r="S374" s="17" t="str">
        <f aca="false">IF(MOD(D374-1,안내!$C$7)=0,안내!$C$9,안내!$C$11)</f>
        <v>12:30</v>
      </c>
      <c r="T374" s="17" t="str">
        <f aca="false">CHOOSE(WEEKDAY(R374,2),"월","화","수","목","금","토","일")</f>
        <v>화</v>
      </c>
      <c r="U374" s="17" t="s">
        <v>78</v>
      </c>
      <c r="V374" s="17" t="s">
        <v>78</v>
      </c>
      <c r="W374" s="23"/>
      <c r="X374" s="23"/>
      <c r="Y374" s="21"/>
    </row>
    <row r="375" customFormat="false" ht="15" hidden="false" customHeight="false" outlineLevel="0" collapsed="false">
      <c r="A375" s="17" t="n">
        <v>374</v>
      </c>
      <c r="B375" s="18" t="s">
        <v>1249</v>
      </c>
      <c r="C375" s="17" t="s">
        <v>1225</v>
      </c>
      <c r="D375" s="17" t="n">
        <v>10</v>
      </c>
      <c r="E375" s="17" t="str">
        <f aca="false">C375&amp;"말씀 #"&amp;TEXT(D375,"000")</f>
        <v>신약말씀 #010</v>
      </c>
      <c r="F375" s="17" t="s">
        <v>1226</v>
      </c>
      <c r="G375" s="18" t="s">
        <v>1250</v>
      </c>
      <c r="H375" s="19" t="s">
        <v>1251</v>
      </c>
      <c r="I375" s="17" t="s">
        <v>376</v>
      </c>
      <c r="J375" s="17" t="s">
        <v>94</v>
      </c>
      <c r="K375" s="20"/>
      <c r="L375" s="17" t="s">
        <v>76</v>
      </c>
      <c r="M375" s="17" t="n">
        <f aca="false">LEN(K375)</f>
        <v>0</v>
      </c>
      <c r="N375" s="17" t="str">
        <f aca="false">IF(M375=0,"-",ROUND(3+M375/안내!$C$12,0))</f>
        <v>-</v>
      </c>
      <c r="O375" s="21" t="str">
        <f aca="false">IF(K375="","(본문 입력 후 자동) | 마 5:8",IF(LEN(K375)&gt;28,LEFT(K375,28)&amp;"…",K375)&amp;" | 마 5:8")</f>
        <v>(본문 입력 후 자동) | 마 5:8</v>
      </c>
      <c r="P375" s="21" t="str">
        <f aca="false">"#"&amp;SUBSTITUTE(안내!$C$5," ","")&amp;" #성경구절 #말씀 #마태복음 #마음"</f>
        <v>#오늘의말씀 #성경구절 #말씀 #마태복음 #마음</v>
      </c>
      <c r="Q375" s="21" t="s">
        <v>77</v>
      </c>
      <c r="R375" s="22" t="n">
        <f aca="false">안내!$C$6+INT((D375-1)/안내!$C$7)</f>
        <v>46392</v>
      </c>
      <c r="S375" s="17" t="str">
        <f aca="false">IF(MOD(D375-1,안내!$C$7)=0,안내!$C$9,안내!$C$11)</f>
        <v>21:30</v>
      </c>
      <c r="T375" s="17" t="str">
        <f aca="false">CHOOSE(WEEKDAY(R375,2),"월","화","수","목","금","토","일")</f>
        <v>화</v>
      </c>
      <c r="U375" s="17" t="s">
        <v>78</v>
      </c>
      <c r="V375" s="17" t="s">
        <v>78</v>
      </c>
      <c r="W375" s="23"/>
      <c r="X375" s="23"/>
      <c r="Y375" s="21"/>
    </row>
    <row r="376" customFormat="false" ht="15" hidden="false" customHeight="false" outlineLevel="0" collapsed="false">
      <c r="A376" s="17" t="n">
        <v>375</v>
      </c>
      <c r="B376" s="18" t="s">
        <v>1252</v>
      </c>
      <c r="C376" s="17" t="s">
        <v>1225</v>
      </c>
      <c r="D376" s="17" t="n">
        <v>11</v>
      </c>
      <c r="E376" s="17" t="str">
        <f aca="false">C376&amp;"말씀 #"&amp;TEXT(D376,"000")</f>
        <v>신약말씀 #011</v>
      </c>
      <c r="F376" s="17" t="s">
        <v>1226</v>
      </c>
      <c r="G376" s="18" t="s">
        <v>1253</v>
      </c>
      <c r="H376" s="19" t="s">
        <v>1254</v>
      </c>
      <c r="I376" s="17" t="s">
        <v>221</v>
      </c>
      <c r="J376" s="17" t="s">
        <v>99</v>
      </c>
      <c r="K376" s="20"/>
      <c r="L376" s="17" t="s">
        <v>76</v>
      </c>
      <c r="M376" s="17" t="n">
        <f aca="false">LEN(K376)</f>
        <v>0</v>
      </c>
      <c r="N376" s="17" t="str">
        <f aca="false">IF(M376=0,"-",ROUND(3+M376/안내!$C$12,0))</f>
        <v>-</v>
      </c>
      <c r="O376" s="21" t="str">
        <f aca="false">IF(K376="","(본문 입력 후 자동) | 마 5:9",IF(LEN(K376)&gt;28,LEFT(K376,28)&amp;"…",K376)&amp;" | 마 5:9")</f>
        <v>(본문 입력 후 자동) | 마 5:9</v>
      </c>
      <c r="P376" s="21" t="str">
        <f aca="false">"#"&amp;SUBSTITUTE(안내!$C$5," ","")&amp;" #성경구절 #말씀 #마태복음 #평안"</f>
        <v>#오늘의말씀 #성경구절 #말씀 #마태복음 #평안</v>
      </c>
      <c r="Q376" s="21" t="s">
        <v>77</v>
      </c>
      <c r="R376" s="22" t="n">
        <f aca="false">안내!$C$6+INT((D376-1)/안내!$C$7)</f>
        <v>46393</v>
      </c>
      <c r="S376" s="17" t="str">
        <f aca="false">IF(MOD(D376-1,안내!$C$7)=0,안내!$C$9,안내!$C$11)</f>
        <v>12:30</v>
      </c>
      <c r="T376" s="17" t="str">
        <f aca="false">CHOOSE(WEEKDAY(R376,2),"월","화","수","목","금","토","일")</f>
        <v>수</v>
      </c>
      <c r="U376" s="17" t="s">
        <v>78</v>
      </c>
      <c r="V376" s="17" t="s">
        <v>78</v>
      </c>
      <c r="W376" s="23"/>
      <c r="X376" s="23"/>
      <c r="Y376" s="21"/>
    </row>
    <row r="377" customFormat="false" ht="15" hidden="false" customHeight="false" outlineLevel="0" collapsed="false">
      <c r="A377" s="17" t="n">
        <v>376</v>
      </c>
      <c r="B377" s="18" t="s">
        <v>1255</v>
      </c>
      <c r="C377" s="17" t="s">
        <v>1225</v>
      </c>
      <c r="D377" s="17" t="n">
        <v>12</v>
      </c>
      <c r="E377" s="17" t="str">
        <f aca="false">C377&amp;"말씀 #"&amp;TEXT(D377,"000")</f>
        <v>신약말씀 #012</v>
      </c>
      <c r="F377" s="17" t="s">
        <v>1226</v>
      </c>
      <c r="G377" s="18" t="s">
        <v>1256</v>
      </c>
      <c r="H377" s="19" t="s">
        <v>1257</v>
      </c>
      <c r="I377" s="17" t="s">
        <v>1258</v>
      </c>
      <c r="J377" s="17" t="s">
        <v>89</v>
      </c>
      <c r="K377" s="20"/>
      <c r="L377" s="17" t="s">
        <v>76</v>
      </c>
      <c r="M377" s="17" t="n">
        <f aca="false">LEN(K377)</f>
        <v>0</v>
      </c>
      <c r="N377" s="17" t="str">
        <f aca="false">IF(M377=0,"-",ROUND(3+M377/안내!$C$12,0))</f>
        <v>-</v>
      </c>
      <c r="O377" s="21" t="str">
        <f aca="false">IF(K377="","(본문 입력 후 자동) | 마 5:14",IF(LEN(K377)&gt;28,LEFT(K377,28)&amp;"…",K377)&amp;" | 마 5:14")</f>
        <v>(본문 입력 후 자동) | 마 5:14</v>
      </c>
      <c r="P377" s="21" t="str">
        <f aca="false">"#"&amp;SUBSTITUTE(안내!$C$5," ","")&amp;" #성경구절 #말씀 #마태복음 #빛"</f>
        <v>#오늘의말씀 #성경구절 #말씀 #마태복음 #빛</v>
      </c>
      <c r="Q377" s="21" t="s">
        <v>77</v>
      </c>
      <c r="R377" s="22" t="n">
        <f aca="false">안내!$C$6+INT((D377-1)/안내!$C$7)</f>
        <v>46393</v>
      </c>
      <c r="S377" s="17" t="str">
        <f aca="false">IF(MOD(D377-1,안내!$C$7)=0,안내!$C$9,안내!$C$11)</f>
        <v>21:30</v>
      </c>
      <c r="T377" s="17" t="str">
        <f aca="false">CHOOSE(WEEKDAY(R377,2),"월","화","수","목","금","토","일")</f>
        <v>수</v>
      </c>
      <c r="U377" s="17" t="s">
        <v>78</v>
      </c>
      <c r="V377" s="17" t="s">
        <v>78</v>
      </c>
      <c r="W377" s="23"/>
      <c r="X377" s="23"/>
      <c r="Y377" s="21"/>
    </row>
    <row r="378" customFormat="false" ht="15" hidden="false" customHeight="false" outlineLevel="0" collapsed="false">
      <c r="A378" s="17" t="n">
        <v>377</v>
      </c>
      <c r="B378" s="18" t="s">
        <v>1259</v>
      </c>
      <c r="C378" s="17" t="s">
        <v>1225</v>
      </c>
      <c r="D378" s="17" t="n">
        <v>13</v>
      </c>
      <c r="E378" s="17" t="str">
        <f aca="false">C378&amp;"말씀 #"&amp;TEXT(D378,"000")</f>
        <v>신약말씀 #013</v>
      </c>
      <c r="F378" s="17" t="s">
        <v>1226</v>
      </c>
      <c r="G378" s="18" t="s">
        <v>1260</v>
      </c>
      <c r="H378" s="19" t="s">
        <v>1261</v>
      </c>
      <c r="I378" s="17" t="s">
        <v>1258</v>
      </c>
      <c r="J378" s="17" t="s">
        <v>89</v>
      </c>
      <c r="K378" s="20"/>
      <c r="L378" s="17" t="s">
        <v>76</v>
      </c>
      <c r="M378" s="17" t="n">
        <f aca="false">LEN(K378)</f>
        <v>0</v>
      </c>
      <c r="N378" s="17" t="str">
        <f aca="false">IF(M378=0,"-",ROUND(3+M378/안내!$C$12,0))</f>
        <v>-</v>
      </c>
      <c r="O378" s="21" t="str">
        <f aca="false">IF(K378="","(본문 입력 후 자동) | 마 5:16",IF(LEN(K378)&gt;28,LEFT(K378,28)&amp;"…",K378)&amp;" | 마 5:16")</f>
        <v>(본문 입력 후 자동) | 마 5:16</v>
      </c>
      <c r="P378" s="21" t="str">
        <f aca="false">"#"&amp;SUBSTITUTE(안내!$C$5," ","")&amp;" #성경구절 #말씀 #마태복음 #빛"</f>
        <v>#오늘의말씀 #성경구절 #말씀 #마태복음 #빛</v>
      </c>
      <c r="Q378" s="21" t="s">
        <v>77</v>
      </c>
      <c r="R378" s="22" t="n">
        <f aca="false">안내!$C$6+INT((D378-1)/안내!$C$7)</f>
        <v>46394</v>
      </c>
      <c r="S378" s="17" t="str">
        <f aca="false">IF(MOD(D378-1,안내!$C$7)=0,안내!$C$9,안내!$C$11)</f>
        <v>12:30</v>
      </c>
      <c r="T378" s="17" t="str">
        <f aca="false">CHOOSE(WEEKDAY(R378,2),"월","화","수","목","금","토","일")</f>
        <v>목</v>
      </c>
      <c r="U378" s="17" t="s">
        <v>78</v>
      </c>
      <c r="V378" s="17" t="s">
        <v>78</v>
      </c>
      <c r="W378" s="23"/>
      <c r="X378" s="23"/>
      <c r="Y378" s="21"/>
    </row>
    <row r="379" customFormat="false" ht="15" hidden="false" customHeight="false" outlineLevel="0" collapsed="false">
      <c r="A379" s="17" t="n">
        <v>378</v>
      </c>
      <c r="B379" s="18" t="s">
        <v>1262</v>
      </c>
      <c r="C379" s="17" t="s">
        <v>1225</v>
      </c>
      <c r="D379" s="17" t="n">
        <v>14</v>
      </c>
      <c r="E379" s="17" t="str">
        <f aca="false">C379&amp;"말씀 #"&amp;TEXT(D379,"000")</f>
        <v>신약말씀 #014</v>
      </c>
      <c r="F379" s="17" t="s">
        <v>1226</v>
      </c>
      <c r="G379" s="18" t="s">
        <v>1263</v>
      </c>
      <c r="H379" s="19" t="s">
        <v>1264</v>
      </c>
      <c r="I379" s="17" t="s">
        <v>239</v>
      </c>
      <c r="J379" s="17" t="s">
        <v>94</v>
      </c>
      <c r="K379" s="20"/>
      <c r="L379" s="17" t="s">
        <v>76</v>
      </c>
      <c r="M379" s="17" t="n">
        <f aca="false">LEN(K379)</f>
        <v>0</v>
      </c>
      <c r="N379" s="17" t="str">
        <f aca="false">IF(M379=0,"-",ROUND(3+M379/안내!$C$12,0))</f>
        <v>-</v>
      </c>
      <c r="O379" s="21" t="str">
        <f aca="false">IF(K379="","(본문 입력 후 자동) | 마 5:44",IF(LEN(K379)&gt;28,LEFT(K379,28)&amp;"…",K379)&amp;" | 마 5:44")</f>
        <v>(본문 입력 후 자동) | 마 5:44</v>
      </c>
      <c r="P379" s="21" t="str">
        <f aca="false">"#"&amp;SUBSTITUTE(안내!$C$5," ","")&amp;" #성경구절 #말씀 #마태복음 #사랑"</f>
        <v>#오늘의말씀 #성경구절 #말씀 #마태복음 #사랑</v>
      </c>
      <c r="Q379" s="21" t="s">
        <v>77</v>
      </c>
      <c r="R379" s="22" t="n">
        <f aca="false">안내!$C$6+INT((D379-1)/안내!$C$7)</f>
        <v>46394</v>
      </c>
      <c r="S379" s="17" t="str">
        <f aca="false">IF(MOD(D379-1,안내!$C$7)=0,안내!$C$9,안내!$C$11)</f>
        <v>21:30</v>
      </c>
      <c r="T379" s="17" t="str">
        <f aca="false">CHOOSE(WEEKDAY(R379,2),"월","화","수","목","금","토","일")</f>
        <v>목</v>
      </c>
      <c r="U379" s="17" t="s">
        <v>78</v>
      </c>
      <c r="V379" s="17" t="s">
        <v>78</v>
      </c>
      <c r="W379" s="23"/>
      <c r="X379" s="23"/>
      <c r="Y379" s="21"/>
    </row>
    <row r="380" customFormat="false" ht="15" hidden="false" customHeight="false" outlineLevel="0" collapsed="false">
      <c r="A380" s="17" t="n">
        <v>379</v>
      </c>
      <c r="B380" s="18" t="s">
        <v>1265</v>
      </c>
      <c r="C380" s="17" t="s">
        <v>1225</v>
      </c>
      <c r="D380" s="17" t="n">
        <v>15</v>
      </c>
      <c r="E380" s="17" t="str">
        <f aca="false">C380&amp;"말씀 #"&amp;TEXT(D380,"000")</f>
        <v>신약말씀 #015</v>
      </c>
      <c r="F380" s="17" t="s">
        <v>1226</v>
      </c>
      <c r="G380" s="18" t="s">
        <v>1266</v>
      </c>
      <c r="H380" s="19" t="s">
        <v>1267</v>
      </c>
      <c r="I380" s="17" t="s">
        <v>376</v>
      </c>
      <c r="J380" s="17" t="s">
        <v>94</v>
      </c>
      <c r="K380" s="20"/>
      <c r="L380" s="17" t="s">
        <v>76</v>
      </c>
      <c r="M380" s="17" t="n">
        <f aca="false">LEN(K380)</f>
        <v>0</v>
      </c>
      <c r="N380" s="17" t="str">
        <f aca="false">IF(M380=0,"-",ROUND(3+M380/안내!$C$12,0))</f>
        <v>-</v>
      </c>
      <c r="O380" s="21" t="str">
        <f aca="false">IF(K380="","(본문 입력 후 자동) | 마 6:21",IF(LEN(K380)&gt;28,LEFT(K380,28)&amp;"…",K380)&amp;" | 마 6:21")</f>
        <v>(본문 입력 후 자동) | 마 6:21</v>
      </c>
      <c r="P380" s="21" t="str">
        <f aca="false">"#"&amp;SUBSTITUTE(안내!$C$5," ","")&amp;" #성경구절 #말씀 #마태복음 #마음"</f>
        <v>#오늘의말씀 #성경구절 #말씀 #마태복음 #마음</v>
      </c>
      <c r="Q380" s="21" t="s">
        <v>77</v>
      </c>
      <c r="R380" s="22" t="n">
        <f aca="false">안내!$C$6+INT((D380-1)/안내!$C$7)</f>
        <v>46395</v>
      </c>
      <c r="S380" s="17" t="str">
        <f aca="false">IF(MOD(D380-1,안내!$C$7)=0,안내!$C$9,안내!$C$11)</f>
        <v>12:30</v>
      </c>
      <c r="T380" s="17" t="str">
        <f aca="false">CHOOSE(WEEKDAY(R380,2),"월","화","수","목","금","토","일")</f>
        <v>금</v>
      </c>
      <c r="U380" s="17" t="s">
        <v>78</v>
      </c>
      <c r="V380" s="17" t="s">
        <v>78</v>
      </c>
      <c r="W380" s="23"/>
      <c r="X380" s="23"/>
      <c r="Y380" s="21"/>
    </row>
    <row r="381" customFormat="false" ht="26.85" hidden="false" customHeight="false" outlineLevel="0" collapsed="false">
      <c r="A381" s="17" t="n">
        <v>380</v>
      </c>
      <c r="B381" s="18" t="s">
        <v>1268</v>
      </c>
      <c r="C381" s="17" t="s">
        <v>1225</v>
      </c>
      <c r="D381" s="17" t="n">
        <v>16</v>
      </c>
      <c r="E381" s="17" t="str">
        <f aca="false">C381&amp;"말씀 #"&amp;TEXT(D381,"000")</f>
        <v>신약말씀 #016</v>
      </c>
      <c r="F381" s="17" t="s">
        <v>1226</v>
      </c>
      <c r="G381" s="18" t="s">
        <v>256</v>
      </c>
      <c r="H381" s="19" t="s">
        <v>1269</v>
      </c>
      <c r="I381" s="17" t="s">
        <v>147</v>
      </c>
      <c r="J381" s="17" t="s">
        <v>148</v>
      </c>
      <c r="K381" s="20"/>
      <c r="L381" s="17" t="s">
        <v>76</v>
      </c>
      <c r="M381" s="17" t="n">
        <f aca="false">LEN(K381)</f>
        <v>0</v>
      </c>
      <c r="N381" s="17" t="str">
        <f aca="false">IF(M381=0,"-",ROUND(3+M381/안내!$C$12,0))</f>
        <v>-</v>
      </c>
      <c r="O381" s="21" t="str">
        <f aca="false">IF(K381="","(본문 입력 후 자동) | 마 6:26",IF(LEN(K381)&gt;28,LEFT(K381,28)&amp;"…",K381)&amp;" | 마 6:26")</f>
        <v>(본문 입력 후 자동) | 마 6:26</v>
      </c>
      <c r="P381" s="21" t="str">
        <f aca="false">"#"&amp;SUBSTITUTE(안내!$C$5," ","")&amp;" #성경구절 #말씀 #마태복음 #공급하심"</f>
        <v>#오늘의말씀 #성경구절 #말씀 #마태복음 #공급하심</v>
      </c>
      <c r="Q381" s="21" t="s">
        <v>77</v>
      </c>
      <c r="R381" s="22" t="n">
        <f aca="false">안내!$C$6+INT((D381-1)/안내!$C$7)</f>
        <v>46395</v>
      </c>
      <c r="S381" s="17" t="str">
        <f aca="false">IF(MOD(D381-1,안내!$C$7)=0,안내!$C$9,안내!$C$11)</f>
        <v>21:30</v>
      </c>
      <c r="T381" s="17" t="str">
        <f aca="false">CHOOSE(WEEKDAY(R381,2),"월","화","수","목","금","토","일")</f>
        <v>금</v>
      </c>
      <c r="U381" s="17" t="s">
        <v>78</v>
      </c>
      <c r="V381" s="17" t="s">
        <v>78</v>
      </c>
      <c r="W381" s="23"/>
      <c r="X381" s="23"/>
      <c r="Y381" s="21"/>
    </row>
    <row r="382" customFormat="false" ht="26.85" hidden="false" customHeight="false" outlineLevel="0" collapsed="false">
      <c r="A382" s="17" t="n">
        <v>381</v>
      </c>
      <c r="B382" s="18" t="s">
        <v>1270</v>
      </c>
      <c r="C382" s="17" t="s">
        <v>1225</v>
      </c>
      <c r="D382" s="17" t="n">
        <v>17</v>
      </c>
      <c r="E382" s="17" t="str">
        <f aca="false">C382&amp;"말씀 #"&amp;TEXT(D382,"000")</f>
        <v>신약말씀 #017</v>
      </c>
      <c r="F382" s="17" t="s">
        <v>1226</v>
      </c>
      <c r="G382" s="18" t="s">
        <v>1271</v>
      </c>
      <c r="H382" s="19" t="s">
        <v>1272</v>
      </c>
      <c r="I382" s="17" t="s">
        <v>1273</v>
      </c>
      <c r="J382" s="17" t="s">
        <v>89</v>
      </c>
      <c r="K382" s="20"/>
      <c r="L382" s="17" t="s">
        <v>76</v>
      </c>
      <c r="M382" s="17" t="n">
        <f aca="false">LEN(K382)</f>
        <v>0</v>
      </c>
      <c r="N382" s="17" t="str">
        <f aca="false">IF(M382=0,"-",ROUND(3+M382/안내!$C$12,0))</f>
        <v>-</v>
      </c>
      <c r="O382" s="21" t="str">
        <f aca="false">IF(K382="","(본문 입력 후 자동) | 마 6:33",IF(LEN(K382)&gt;28,LEFT(K382,28)&amp;"…",K382)&amp;" | 마 6:33")</f>
        <v>(본문 입력 후 자동) | 마 6:33</v>
      </c>
      <c r="P382" s="21" t="str">
        <f aca="false">"#"&amp;SUBSTITUTE(안내!$C$5," ","")&amp;" #성경구절 #말씀 #마태복음 #하나님나라"</f>
        <v>#오늘의말씀 #성경구절 #말씀 #마태복음 #하나님나라</v>
      </c>
      <c r="Q382" s="21" t="s">
        <v>77</v>
      </c>
      <c r="R382" s="22" t="n">
        <f aca="false">안내!$C$6+INT((D382-1)/안내!$C$7)</f>
        <v>46396</v>
      </c>
      <c r="S382" s="17" t="str">
        <f aca="false">IF(MOD(D382-1,안내!$C$7)=0,안내!$C$9,안내!$C$11)</f>
        <v>12:30</v>
      </c>
      <c r="T382" s="17" t="str">
        <f aca="false">CHOOSE(WEEKDAY(R382,2),"월","화","수","목","금","토","일")</f>
        <v>토</v>
      </c>
      <c r="U382" s="17" t="s">
        <v>78</v>
      </c>
      <c r="V382" s="17" t="s">
        <v>78</v>
      </c>
      <c r="W382" s="23"/>
      <c r="X382" s="23"/>
      <c r="Y382" s="21"/>
    </row>
    <row r="383" customFormat="false" ht="15" hidden="false" customHeight="false" outlineLevel="0" collapsed="false">
      <c r="A383" s="17" t="n">
        <v>382</v>
      </c>
      <c r="B383" s="18" t="s">
        <v>1274</v>
      </c>
      <c r="C383" s="17" t="s">
        <v>1225</v>
      </c>
      <c r="D383" s="17" t="n">
        <v>18</v>
      </c>
      <c r="E383" s="17" t="str">
        <f aca="false">C383&amp;"말씀 #"&amp;TEXT(D383,"000")</f>
        <v>신약말씀 #018</v>
      </c>
      <c r="F383" s="17" t="s">
        <v>1226</v>
      </c>
      <c r="G383" s="18" t="s">
        <v>1275</v>
      </c>
      <c r="H383" s="19" t="s">
        <v>1276</v>
      </c>
      <c r="I383" s="17" t="s">
        <v>221</v>
      </c>
      <c r="J383" s="17" t="s">
        <v>99</v>
      </c>
      <c r="K383" s="20"/>
      <c r="L383" s="17" t="s">
        <v>76</v>
      </c>
      <c r="M383" s="17" t="n">
        <f aca="false">LEN(K383)</f>
        <v>0</v>
      </c>
      <c r="N383" s="17" t="str">
        <f aca="false">IF(M383=0,"-",ROUND(3+M383/안내!$C$12,0))</f>
        <v>-</v>
      </c>
      <c r="O383" s="21" t="str">
        <f aca="false">IF(K383="","(본문 입력 후 자동) | 마 6:34",IF(LEN(K383)&gt;28,LEFT(K383,28)&amp;"…",K383)&amp;" | 마 6:34")</f>
        <v>(본문 입력 후 자동) | 마 6:34</v>
      </c>
      <c r="P383" s="21" t="str">
        <f aca="false">"#"&amp;SUBSTITUTE(안내!$C$5," ","")&amp;" #성경구절 #말씀 #마태복음 #평안"</f>
        <v>#오늘의말씀 #성경구절 #말씀 #마태복음 #평안</v>
      </c>
      <c r="Q383" s="21" t="s">
        <v>77</v>
      </c>
      <c r="R383" s="22" t="n">
        <f aca="false">안내!$C$6+INT((D383-1)/안내!$C$7)</f>
        <v>46396</v>
      </c>
      <c r="S383" s="17" t="str">
        <f aca="false">IF(MOD(D383-1,안내!$C$7)=0,안내!$C$9,안내!$C$11)</f>
        <v>21:30</v>
      </c>
      <c r="T383" s="17" t="str">
        <f aca="false">CHOOSE(WEEKDAY(R383,2),"월","화","수","목","금","토","일")</f>
        <v>토</v>
      </c>
      <c r="U383" s="17" t="s">
        <v>78</v>
      </c>
      <c r="V383" s="17" t="s">
        <v>78</v>
      </c>
      <c r="W383" s="23"/>
      <c r="X383" s="23"/>
      <c r="Y383" s="21"/>
    </row>
    <row r="384" customFormat="false" ht="15" hidden="false" customHeight="false" outlineLevel="0" collapsed="false">
      <c r="A384" s="17" t="n">
        <v>383</v>
      </c>
      <c r="B384" s="18" t="s">
        <v>1277</v>
      </c>
      <c r="C384" s="17" t="s">
        <v>1225</v>
      </c>
      <c r="D384" s="17" t="n">
        <v>19</v>
      </c>
      <c r="E384" s="17" t="str">
        <f aca="false">C384&amp;"말씀 #"&amp;TEXT(D384,"000")</f>
        <v>신약말씀 #019</v>
      </c>
      <c r="F384" s="17" t="s">
        <v>1226</v>
      </c>
      <c r="G384" s="18" t="s">
        <v>341</v>
      </c>
      <c r="H384" s="19" t="s">
        <v>1278</v>
      </c>
      <c r="I384" s="17" t="s">
        <v>160</v>
      </c>
      <c r="J384" s="17" t="s">
        <v>104</v>
      </c>
      <c r="K384" s="20"/>
      <c r="L384" s="17" t="s">
        <v>76</v>
      </c>
      <c r="M384" s="17" t="n">
        <f aca="false">LEN(K384)</f>
        <v>0</v>
      </c>
      <c r="N384" s="17" t="str">
        <f aca="false">IF(M384=0,"-",ROUND(3+M384/안내!$C$12,0))</f>
        <v>-</v>
      </c>
      <c r="O384" s="21" t="str">
        <f aca="false">IF(K384="","(본문 입력 후 자동) | 마 7:7",IF(LEN(K384)&gt;28,LEFT(K384,28)&amp;"…",K384)&amp;" | 마 7:7")</f>
        <v>(본문 입력 후 자동) | 마 7:7</v>
      </c>
      <c r="P384" s="21" t="str">
        <f aca="false">"#"&amp;SUBSTITUTE(안내!$C$5," ","")&amp;" #성경구절 #말씀 #마태복음 #기도"</f>
        <v>#오늘의말씀 #성경구절 #말씀 #마태복음 #기도</v>
      </c>
      <c r="Q384" s="21" t="s">
        <v>77</v>
      </c>
      <c r="R384" s="22" t="n">
        <f aca="false">안내!$C$6+INT((D384-1)/안내!$C$7)</f>
        <v>46397</v>
      </c>
      <c r="S384" s="17" t="str">
        <f aca="false">IF(MOD(D384-1,안내!$C$7)=0,안내!$C$9,안내!$C$11)</f>
        <v>12:30</v>
      </c>
      <c r="T384" s="17" t="str">
        <f aca="false">CHOOSE(WEEKDAY(R384,2),"월","화","수","목","금","토","일")</f>
        <v>일</v>
      </c>
      <c r="U384" s="17" t="s">
        <v>78</v>
      </c>
      <c r="V384" s="17" t="s">
        <v>78</v>
      </c>
      <c r="W384" s="23"/>
      <c r="X384" s="23"/>
      <c r="Y384" s="21"/>
    </row>
    <row r="385" customFormat="false" ht="15" hidden="false" customHeight="false" outlineLevel="0" collapsed="false">
      <c r="A385" s="17" t="n">
        <v>384</v>
      </c>
      <c r="B385" s="18" t="s">
        <v>1279</v>
      </c>
      <c r="C385" s="17" t="s">
        <v>1225</v>
      </c>
      <c r="D385" s="17" t="n">
        <v>20</v>
      </c>
      <c r="E385" s="17" t="str">
        <f aca="false">C385&amp;"말씀 #"&amp;TEXT(D385,"000")</f>
        <v>신약말씀 #020</v>
      </c>
      <c r="F385" s="17" t="s">
        <v>1226</v>
      </c>
      <c r="G385" s="18" t="s">
        <v>367</v>
      </c>
      <c r="H385" s="19" t="s">
        <v>1280</v>
      </c>
      <c r="I385" s="17" t="s">
        <v>239</v>
      </c>
      <c r="J385" s="17" t="s">
        <v>94</v>
      </c>
      <c r="K385" s="20"/>
      <c r="L385" s="17" t="s">
        <v>76</v>
      </c>
      <c r="M385" s="17" t="n">
        <f aca="false">LEN(K385)</f>
        <v>0</v>
      </c>
      <c r="N385" s="17" t="str">
        <f aca="false">IF(M385=0,"-",ROUND(3+M385/안내!$C$12,0))</f>
        <v>-</v>
      </c>
      <c r="O385" s="21" t="str">
        <f aca="false">IF(K385="","(본문 입력 후 자동) | 마 7:12",IF(LEN(K385)&gt;28,LEFT(K385,28)&amp;"…",K385)&amp;" | 마 7:12")</f>
        <v>(본문 입력 후 자동) | 마 7:12</v>
      </c>
      <c r="P385" s="21" t="str">
        <f aca="false">"#"&amp;SUBSTITUTE(안내!$C$5," ","")&amp;" #성경구절 #말씀 #마태복음 #사랑"</f>
        <v>#오늘의말씀 #성경구절 #말씀 #마태복음 #사랑</v>
      </c>
      <c r="Q385" s="21" t="s">
        <v>77</v>
      </c>
      <c r="R385" s="22" t="n">
        <f aca="false">안내!$C$6+INT((D385-1)/안내!$C$7)</f>
        <v>46397</v>
      </c>
      <c r="S385" s="17" t="str">
        <f aca="false">IF(MOD(D385-1,안내!$C$7)=0,안내!$C$9,안내!$C$11)</f>
        <v>21:30</v>
      </c>
      <c r="T385" s="17" t="str">
        <f aca="false">CHOOSE(WEEKDAY(R385,2),"월","화","수","목","금","토","일")</f>
        <v>일</v>
      </c>
      <c r="U385" s="17" t="s">
        <v>78</v>
      </c>
      <c r="V385" s="17" t="s">
        <v>78</v>
      </c>
      <c r="W385" s="23"/>
      <c r="X385" s="23"/>
      <c r="Y385" s="21"/>
    </row>
    <row r="386" customFormat="false" ht="15" hidden="false" customHeight="false" outlineLevel="0" collapsed="false">
      <c r="A386" s="17" t="n">
        <v>385</v>
      </c>
      <c r="B386" s="18" t="s">
        <v>1281</v>
      </c>
      <c r="C386" s="17" t="s">
        <v>1225</v>
      </c>
      <c r="D386" s="17" t="n">
        <v>21</v>
      </c>
      <c r="E386" s="17" t="str">
        <f aca="false">C386&amp;"말씀 #"&amp;TEXT(D386,"000")</f>
        <v>신약말씀 #021</v>
      </c>
      <c r="F386" s="17" t="s">
        <v>1226</v>
      </c>
      <c r="G386" s="18" t="s">
        <v>1282</v>
      </c>
      <c r="H386" s="19" t="s">
        <v>1283</v>
      </c>
      <c r="I386" s="17" t="s">
        <v>284</v>
      </c>
      <c r="J386" s="17" t="s">
        <v>148</v>
      </c>
      <c r="K386" s="20"/>
      <c r="L386" s="17" t="s">
        <v>76</v>
      </c>
      <c r="M386" s="17" t="n">
        <f aca="false">LEN(K386)</f>
        <v>0</v>
      </c>
      <c r="N386" s="17" t="str">
        <f aca="false">IF(M386=0,"-",ROUND(3+M386/안내!$C$12,0))</f>
        <v>-</v>
      </c>
      <c r="O386" s="21" t="str">
        <f aca="false">IF(K386="","(본문 입력 후 자동) | 마 7:24",IF(LEN(K386)&gt;28,LEFT(K386,28)&amp;"…",K386)&amp;" | 마 7:24")</f>
        <v>(본문 입력 후 자동) | 마 7:24</v>
      </c>
      <c r="P386" s="21" t="str">
        <f aca="false">"#"&amp;SUBSTITUTE(안내!$C$5," ","")&amp;" #성경구절 #말씀 #마태복음 #말씀"</f>
        <v>#오늘의말씀 #성경구절 #말씀 #마태복음 #말씀</v>
      </c>
      <c r="Q386" s="21" t="s">
        <v>77</v>
      </c>
      <c r="R386" s="22" t="n">
        <f aca="false">안내!$C$6+INT((D386-1)/안내!$C$7)</f>
        <v>46398</v>
      </c>
      <c r="S386" s="17" t="str">
        <f aca="false">IF(MOD(D386-1,안내!$C$7)=0,안내!$C$9,안내!$C$11)</f>
        <v>12:30</v>
      </c>
      <c r="T386" s="17" t="str">
        <f aca="false">CHOOSE(WEEKDAY(R386,2),"월","화","수","목","금","토","일")</f>
        <v>월</v>
      </c>
      <c r="U386" s="17" t="s">
        <v>78</v>
      </c>
      <c r="V386" s="17" t="s">
        <v>78</v>
      </c>
      <c r="W386" s="23"/>
      <c r="X386" s="23"/>
      <c r="Y386" s="21"/>
    </row>
    <row r="387" customFormat="false" ht="25.35" hidden="false" customHeight="false" outlineLevel="0" collapsed="false">
      <c r="A387" s="17" t="n">
        <v>386</v>
      </c>
      <c r="B387" s="18" t="s">
        <v>1284</v>
      </c>
      <c r="C387" s="17" t="s">
        <v>1225</v>
      </c>
      <c r="D387" s="17" t="n">
        <v>22</v>
      </c>
      <c r="E387" s="17" t="str">
        <f aca="false">C387&amp;"말씀 #"&amp;TEXT(D387,"000")</f>
        <v>신약말씀 #022</v>
      </c>
      <c r="F387" s="17" t="s">
        <v>1226</v>
      </c>
      <c r="G387" s="18" t="s">
        <v>1285</v>
      </c>
      <c r="H387" s="19" t="s">
        <v>1286</v>
      </c>
      <c r="I387" s="17" t="s">
        <v>129</v>
      </c>
      <c r="J387" s="17" t="s">
        <v>99</v>
      </c>
      <c r="K387" s="20"/>
      <c r="L387" s="17" t="s">
        <v>76</v>
      </c>
      <c r="M387" s="17" t="n">
        <f aca="false">LEN(K387)</f>
        <v>0</v>
      </c>
      <c r="N387" s="17" t="str">
        <f aca="false">IF(M387=0,"-",ROUND(3+M387/안내!$C$12,0))</f>
        <v>-</v>
      </c>
      <c r="O387" s="21" t="str">
        <f aca="false">IF(K387="","(본문 입력 후 자동) | 마 10:31",IF(LEN(K387)&gt;28,LEFT(K387,28)&amp;"…",K387)&amp;" | 마 10:31")</f>
        <v>(본문 입력 후 자동) | 마 10:31</v>
      </c>
      <c r="P387" s="21" t="str">
        <f aca="false">"#"&amp;SUBSTITUTE(안내!$C$5," ","")&amp;" #성경구절 #말씀 #마태복음 #위로"</f>
        <v>#오늘의말씀 #성경구절 #말씀 #마태복음 #위로</v>
      </c>
      <c r="Q387" s="21" t="s">
        <v>77</v>
      </c>
      <c r="R387" s="22" t="n">
        <f aca="false">안내!$C$6+INT((D387-1)/안내!$C$7)</f>
        <v>46398</v>
      </c>
      <c r="S387" s="17" t="str">
        <f aca="false">IF(MOD(D387-1,안내!$C$7)=0,안내!$C$9,안내!$C$11)</f>
        <v>21:30</v>
      </c>
      <c r="T387" s="17" t="str">
        <f aca="false">CHOOSE(WEEKDAY(R387,2),"월","화","수","목","금","토","일")</f>
        <v>월</v>
      </c>
      <c r="U387" s="17" t="s">
        <v>78</v>
      </c>
      <c r="V387" s="17" t="s">
        <v>78</v>
      </c>
      <c r="W387" s="23"/>
      <c r="X387" s="23"/>
      <c r="Y387" s="21"/>
    </row>
    <row r="388" customFormat="false" ht="25.35" hidden="false" customHeight="false" outlineLevel="0" collapsed="false">
      <c r="A388" s="17" t="n">
        <v>387</v>
      </c>
      <c r="B388" s="18" t="s">
        <v>1287</v>
      </c>
      <c r="C388" s="17" t="s">
        <v>1225</v>
      </c>
      <c r="D388" s="17" t="n">
        <v>23</v>
      </c>
      <c r="E388" s="17" t="str">
        <f aca="false">C388&amp;"말씀 #"&amp;TEXT(D388,"000")</f>
        <v>신약말씀 #023</v>
      </c>
      <c r="F388" s="17" t="s">
        <v>1226</v>
      </c>
      <c r="G388" s="18" t="s">
        <v>1288</v>
      </c>
      <c r="H388" s="19" t="s">
        <v>1289</v>
      </c>
      <c r="I388" s="17" t="s">
        <v>221</v>
      </c>
      <c r="J388" s="17" t="s">
        <v>99</v>
      </c>
      <c r="K388" s="20"/>
      <c r="L388" s="17" t="s">
        <v>76</v>
      </c>
      <c r="M388" s="17" t="n">
        <f aca="false">LEN(K388)</f>
        <v>0</v>
      </c>
      <c r="N388" s="17" t="str">
        <f aca="false">IF(M388=0,"-",ROUND(3+M388/안내!$C$12,0))</f>
        <v>-</v>
      </c>
      <c r="O388" s="21" t="str">
        <f aca="false">IF(K388="","(본문 입력 후 자동) | 마 11:28",IF(LEN(K388)&gt;28,LEFT(K388,28)&amp;"…",K388)&amp;" | 마 11:28")</f>
        <v>(본문 입력 후 자동) | 마 11:28</v>
      </c>
      <c r="P388" s="21" t="str">
        <f aca="false">"#"&amp;SUBSTITUTE(안내!$C$5," ","")&amp;" #성경구절 #말씀 #마태복음 #평안"</f>
        <v>#오늘의말씀 #성경구절 #말씀 #마태복음 #평안</v>
      </c>
      <c r="Q388" s="21" t="s">
        <v>77</v>
      </c>
      <c r="R388" s="22" t="n">
        <f aca="false">안내!$C$6+INT((D388-1)/안내!$C$7)</f>
        <v>46399</v>
      </c>
      <c r="S388" s="17" t="str">
        <f aca="false">IF(MOD(D388-1,안내!$C$7)=0,안내!$C$9,안내!$C$11)</f>
        <v>12:30</v>
      </c>
      <c r="T388" s="17" t="str">
        <f aca="false">CHOOSE(WEEKDAY(R388,2),"월","화","수","목","금","토","일")</f>
        <v>화</v>
      </c>
      <c r="U388" s="17" t="s">
        <v>78</v>
      </c>
      <c r="V388" s="17" t="s">
        <v>78</v>
      </c>
      <c r="W388" s="23"/>
      <c r="X388" s="23"/>
      <c r="Y388" s="21"/>
    </row>
    <row r="389" customFormat="false" ht="25.35" hidden="false" customHeight="false" outlineLevel="0" collapsed="false">
      <c r="A389" s="17" t="n">
        <v>388</v>
      </c>
      <c r="B389" s="18" t="s">
        <v>1290</v>
      </c>
      <c r="C389" s="17" t="s">
        <v>1225</v>
      </c>
      <c r="D389" s="17" t="n">
        <v>24</v>
      </c>
      <c r="E389" s="17" t="str">
        <f aca="false">C389&amp;"말씀 #"&amp;TEXT(D389,"000")</f>
        <v>신약말씀 #024</v>
      </c>
      <c r="F389" s="17" t="s">
        <v>1226</v>
      </c>
      <c r="G389" s="18" t="s">
        <v>1291</v>
      </c>
      <c r="H389" s="19" t="s">
        <v>1292</v>
      </c>
      <c r="I389" s="17" t="s">
        <v>775</v>
      </c>
      <c r="J389" s="17" t="s">
        <v>94</v>
      </c>
      <c r="K389" s="20"/>
      <c r="L389" s="17" t="s">
        <v>76</v>
      </c>
      <c r="M389" s="17" t="n">
        <f aca="false">LEN(K389)</f>
        <v>0</v>
      </c>
      <c r="N389" s="17" t="str">
        <f aca="false">IF(M389=0,"-",ROUND(3+M389/안내!$C$12,0))</f>
        <v>-</v>
      </c>
      <c r="O389" s="21" t="str">
        <f aca="false">IF(K389="","(본문 입력 후 자동) | 마 11:29",IF(LEN(K389)&gt;28,LEFT(K389,28)&amp;"…",K389)&amp;" | 마 11:29")</f>
        <v>(본문 입력 후 자동) | 마 11:29</v>
      </c>
      <c r="P389" s="21" t="str">
        <f aca="false">"#"&amp;SUBSTITUTE(안내!$C$5," ","")&amp;" #성경구절 #말씀 #마태복음 #겸손"</f>
        <v>#오늘의말씀 #성경구절 #말씀 #마태복음 #겸손</v>
      </c>
      <c r="Q389" s="21" t="s">
        <v>77</v>
      </c>
      <c r="R389" s="22" t="n">
        <f aca="false">안내!$C$6+INT((D389-1)/안내!$C$7)</f>
        <v>46399</v>
      </c>
      <c r="S389" s="17" t="str">
        <f aca="false">IF(MOD(D389-1,안내!$C$7)=0,안내!$C$9,안내!$C$11)</f>
        <v>21:30</v>
      </c>
      <c r="T389" s="17" t="str">
        <f aca="false">CHOOSE(WEEKDAY(R389,2),"월","화","수","목","금","토","일")</f>
        <v>화</v>
      </c>
      <c r="U389" s="17" t="s">
        <v>78</v>
      </c>
      <c r="V389" s="17" t="s">
        <v>78</v>
      </c>
      <c r="W389" s="23"/>
      <c r="X389" s="23"/>
      <c r="Y389" s="21"/>
    </row>
    <row r="390" customFormat="false" ht="25.35" hidden="false" customHeight="false" outlineLevel="0" collapsed="false">
      <c r="A390" s="17" t="n">
        <v>389</v>
      </c>
      <c r="B390" s="18" t="s">
        <v>1293</v>
      </c>
      <c r="C390" s="17" t="s">
        <v>1225</v>
      </c>
      <c r="D390" s="17" t="n">
        <v>25</v>
      </c>
      <c r="E390" s="17" t="str">
        <f aca="false">C390&amp;"말씀 #"&amp;TEXT(D390,"000")</f>
        <v>신약말씀 #025</v>
      </c>
      <c r="F390" s="17" t="s">
        <v>1226</v>
      </c>
      <c r="G390" s="18" t="s">
        <v>1294</v>
      </c>
      <c r="H390" s="19" t="s">
        <v>1295</v>
      </c>
      <c r="I390" s="17" t="s">
        <v>133</v>
      </c>
      <c r="J390" s="17" t="s">
        <v>113</v>
      </c>
      <c r="K390" s="20"/>
      <c r="L390" s="17" t="s">
        <v>76</v>
      </c>
      <c r="M390" s="17" t="n">
        <f aca="false">LEN(K390)</f>
        <v>0</v>
      </c>
      <c r="N390" s="17" t="str">
        <f aca="false">IF(M390=0,"-",ROUND(3+M390/안내!$C$12,0))</f>
        <v>-</v>
      </c>
      <c r="O390" s="21" t="str">
        <f aca="false">IF(K390="","(본문 입력 후 자동) | 마 16:16",IF(LEN(K390)&gt;28,LEFT(K390,28)&amp;"…",K390)&amp;" | 마 16:16")</f>
        <v>(본문 입력 후 자동) | 마 16:16</v>
      </c>
      <c r="P390" s="21" t="str">
        <f aca="false">"#"&amp;SUBSTITUTE(안내!$C$5," ","")&amp;" #성경구절 #말씀 #마태복음 #믿음"</f>
        <v>#오늘의말씀 #성경구절 #말씀 #마태복음 #믿음</v>
      </c>
      <c r="Q390" s="21" t="s">
        <v>77</v>
      </c>
      <c r="R390" s="22" t="n">
        <f aca="false">안내!$C$6+INT((D390-1)/안내!$C$7)</f>
        <v>46400</v>
      </c>
      <c r="S390" s="17" t="str">
        <f aca="false">IF(MOD(D390-1,안내!$C$7)=0,안내!$C$9,안내!$C$11)</f>
        <v>12:30</v>
      </c>
      <c r="T390" s="17" t="str">
        <f aca="false">CHOOSE(WEEKDAY(R390,2),"월","화","수","목","금","토","일")</f>
        <v>수</v>
      </c>
      <c r="U390" s="17" t="s">
        <v>78</v>
      </c>
      <c r="V390" s="17" t="s">
        <v>78</v>
      </c>
      <c r="W390" s="23"/>
      <c r="X390" s="23"/>
      <c r="Y390" s="21"/>
    </row>
    <row r="391" customFormat="false" ht="25.35" hidden="false" customHeight="false" outlineLevel="0" collapsed="false">
      <c r="A391" s="17" t="n">
        <v>390</v>
      </c>
      <c r="B391" s="18" t="s">
        <v>1296</v>
      </c>
      <c r="C391" s="17" t="s">
        <v>1225</v>
      </c>
      <c r="D391" s="17" t="n">
        <v>26</v>
      </c>
      <c r="E391" s="17" t="str">
        <f aca="false">C391&amp;"말씀 #"&amp;TEXT(D391,"000")</f>
        <v>신약말씀 #026</v>
      </c>
      <c r="F391" s="17" t="s">
        <v>1226</v>
      </c>
      <c r="G391" s="18" t="s">
        <v>1297</v>
      </c>
      <c r="H391" s="19" t="s">
        <v>1298</v>
      </c>
      <c r="I391" s="17" t="s">
        <v>333</v>
      </c>
      <c r="J391" s="17" t="s">
        <v>122</v>
      </c>
      <c r="K391" s="20"/>
      <c r="L391" s="17" t="s">
        <v>76</v>
      </c>
      <c r="M391" s="17" t="n">
        <f aca="false">LEN(K391)</f>
        <v>0</v>
      </c>
      <c r="N391" s="17" t="str">
        <f aca="false">IF(M391=0,"-",ROUND(3+M391/안내!$C$12,0))</f>
        <v>-</v>
      </c>
      <c r="O391" s="21" t="str">
        <f aca="false">IF(K391="","(본문 입력 후 자동) | 마 16:24",IF(LEN(K391)&gt;28,LEFT(K391,28)&amp;"…",K391)&amp;" | 마 16:24")</f>
        <v>(본문 입력 후 자동) | 마 16:24</v>
      </c>
      <c r="P391" s="21" t="str">
        <f aca="false">"#"&amp;SUBSTITUTE(안내!$C$5," ","")&amp;" #성경구절 #말씀 #마태복음 #헌신"</f>
        <v>#오늘의말씀 #성경구절 #말씀 #마태복음 #헌신</v>
      </c>
      <c r="Q391" s="21" t="s">
        <v>77</v>
      </c>
      <c r="R391" s="22" t="n">
        <f aca="false">안내!$C$6+INT((D391-1)/안내!$C$7)</f>
        <v>46400</v>
      </c>
      <c r="S391" s="17" t="str">
        <f aca="false">IF(MOD(D391-1,안내!$C$7)=0,안내!$C$9,안내!$C$11)</f>
        <v>21:30</v>
      </c>
      <c r="T391" s="17" t="str">
        <f aca="false">CHOOSE(WEEKDAY(R391,2),"월","화","수","목","금","토","일")</f>
        <v>수</v>
      </c>
      <c r="U391" s="17" t="s">
        <v>78</v>
      </c>
      <c r="V391" s="17" t="s">
        <v>78</v>
      </c>
      <c r="W391" s="23"/>
      <c r="X391" s="23"/>
      <c r="Y391" s="21"/>
    </row>
    <row r="392" customFormat="false" ht="39.55" hidden="false" customHeight="false" outlineLevel="0" collapsed="false">
      <c r="A392" s="17" t="n">
        <v>391</v>
      </c>
      <c r="B392" s="18" t="s">
        <v>1299</v>
      </c>
      <c r="C392" s="17" t="s">
        <v>1225</v>
      </c>
      <c r="D392" s="17" t="n">
        <v>27</v>
      </c>
      <c r="E392" s="17" t="str">
        <f aca="false">C392&amp;"말씀 #"&amp;TEXT(D392,"000")</f>
        <v>신약말씀 #027</v>
      </c>
      <c r="F392" s="17" t="s">
        <v>1226</v>
      </c>
      <c r="G392" s="18" t="s">
        <v>1300</v>
      </c>
      <c r="H392" s="19" t="s">
        <v>1301</v>
      </c>
      <c r="I392" s="17" t="s">
        <v>156</v>
      </c>
      <c r="J392" s="17" t="s">
        <v>75</v>
      </c>
      <c r="K392" s="20"/>
      <c r="L392" s="17" t="s">
        <v>76</v>
      </c>
      <c r="M392" s="17" t="n">
        <f aca="false">LEN(K392)</f>
        <v>0</v>
      </c>
      <c r="N392" s="17" t="str">
        <f aca="false">IF(M392=0,"-",ROUND(3+M392/안내!$C$12,0))</f>
        <v>-</v>
      </c>
      <c r="O392" s="21" t="str">
        <f aca="false">IF(K392="","(본문 입력 후 자동) | 마 18:20",IF(LEN(K392)&gt;28,LEFT(K392,28)&amp;"…",K392)&amp;" | 마 18:20")</f>
        <v>(본문 입력 후 자동) | 마 18:20</v>
      </c>
      <c r="P392" s="21" t="str">
        <f aca="false">"#"&amp;SUBSTITUTE(안내!$C$5," ","")&amp;" #성경구절 #말씀 #마태복음 #임재"</f>
        <v>#오늘의말씀 #성경구절 #말씀 #마태복음 #임재</v>
      </c>
      <c r="Q392" s="24" t="s">
        <v>1302</v>
      </c>
      <c r="R392" s="22" t="n">
        <f aca="false">안내!$C$6+INT((D392-1)/안내!$C$7)</f>
        <v>46401</v>
      </c>
      <c r="S392" s="17" t="str">
        <f aca="false">IF(MOD(D392-1,안내!$C$7)=0,안내!$C$9,안내!$C$11)</f>
        <v>12:30</v>
      </c>
      <c r="T392" s="17" t="str">
        <f aca="false">CHOOSE(WEEKDAY(R392,2),"월","화","수","목","금","토","일")</f>
        <v>목</v>
      </c>
      <c r="U392" s="17" t="s">
        <v>78</v>
      </c>
      <c r="V392" s="17" t="s">
        <v>78</v>
      </c>
      <c r="W392" s="23"/>
      <c r="X392" s="23"/>
      <c r="Y392" s="21"/>
    </row>
    <row r="393" customFormat="false" ht="25.35" hidden="false" customHeight="false" outlineLevel="0" collapsed="false">
      <c r="A393" s="17" t="n">
        <v>392</v>
      </c>
      <c r="B393" s="18" t="s">
        <v>1303</v>
      </c>
      <c r="C393" s="17" t="s">
        <v>1225</v>
      </c>
      <c r="D393" s="17" t="n">
        <v>28</v>
      </c>
      <c r="E393" s="17" t="str">
        <f aca="false">C393&amp;"말씀 #"&amp;TEXT(D393,"000")</f>
        <v>신약말씀 #028</v>
      </c>
      <c r="F393" s="17" t="s">
        <v>1226</v>
      </c>
      <c r="G393" s="18" t="s">
        <v>1304</v>
      </c>
      <c r="H393" s="19" t="s">
        <v>1305</v>
      </c>
      <c r="I393" s="17" t="s">
        <v>140</v>
      </c>
      <c r="J393" s="17" t="s">
        <v>113</v>
      </c>
      <c r="K393" s="20"/>
      <c r="L393" s="17" t="s">
        <v>76</v>
      </c>
      <c r="M393" s="17" t="n">
        <f aca="false">LEN(K393)</f>
        <v>0</v>
      </c>
      <c r="N393" s="17" t="str">
        <f aca="false">IF(M393=0,"-",ROUND(3+M393/안내!$C$12,0))</f>
        <v>-</v>
      </c>
      <c r="O393" s="21" t="str">
        <f aca="false">IF(K393="","(본문 입력 후 자동) | 마 19:26",IF(LEN(K393)&gt;28,LEFT(K393,28)&amp;"…",K393)&amp;" | 마 19:26")</f>
        <v>(본문 입력 후 자동) | 마 19:26</v>
      </c>
      <c r="P393" s="21" t="str">
        <f aca="false">"#"&amp;SUBSTITUTE(안내!$C$5," ","")&amp;" #성경구절 #말씀 #마태복음 #능력"</f>
        <v>#오늘의말씀 #성경구절 #말씀 #마태복음 #능력</v>
      </c>
      <c r="Q393" s="21" t="s">
        <v>77</v>
      </c>
      <c r="R393" s="22" t="n">
        <f aca="false">안내!$C$6+INT((D393-1)/안내!$C$7)</f>
        <v>46401</v>
      </c>
      <c r="S393" s="17" t="str">
        <f aca="false">IF(MOD(D393-1,안내!$C$7)=0,안내!$C$9,안내!$C$11)</f>
        <v>21:30</v>
      </c>
      <c r="T393" s="17" t="str">
        <f aca="false">CHOOSE(WEEKDAY(R393,2),"월","화","수","목","금","토","일")</f>
        <v>목</v>
      </c>
      <c r="U393" s="17" t="s">
        <v>78</v>
      </c>
      <c r="V393" s="17" t="s">
        <v>78</v>
      </c>
      <c r="W393" s="23"/>
      <c r="X393" s="23"/>
      <c r="Y393" s="21"/>
    </row>
    <row r="394" customFormat="false" ht="25.35" hidden="false" customHeight="false" outlineLevel="0" collapsed="false">
      <c r="A394" s="17" t="n">
        <v>393</v>
      </c>
      <c r="B394" s="18" t="s">
        <v>1306</v>
      </c>
      <c r="C394" s="17" t="s">
        <v>1225</v>
      </c>
      <c r="D394" s="17" t="n">
        <v>29</v>
      </c>
      <c r="E394" s="17" t="str">
        <f aca="false">C394&amp;"말씀 #"&amp;TEXT(D394,"000")</f>
        <v>신약말씀 #029</v>
      </c>
      <c r="F394" s="17" t="s">
        <v>1226</v>
      </c>
      <c r="G394" s="18" t="s">
        <v>1307</v>
      </c>
      <c r="H394" s="19" t="s">
        <v>1308</v>
      </c>
      <c r="I394" s="17" t="s">
        <v>239</v>
      </c>
      <c r="J394" s="17" t="s">
        <v>94</v>
      </c>
      <c r="K394" s="20"/>
      <c r="L394" s="17" t="s">
        <v>76</v>
      </c>
      <c r="M394" s="17" t="n">
        <f aca="false">LEN(K394)</f>
        <v>0</v>
      </c>
      <c r="N394" s="17" t="str">
        <f aca="false">IF(M394=0,"-",ROUND(3+M394/안내!$C$12,0))</f>
        <v>-</v>
      </c>
      <c r="O394" s="21" t="str">
        <f aca="false">IF(K394="","(본문 입력 후 자동) | 마 22:37",IF(LEN(K394)&gt;28,LEFT(K394,28)&amp;"…",K394)&amp;" | 마 22:37")</f>
        <v>(본문 입력 후 자동) | 마 22:37</v>
      </c>
      <c r="P394" s="21" t="str">
        <f aca="false">"#"&amp;SUBSTITUTE(안내!$C$5," ","")&amp;" #성경구절 #말씀 #마태복음 #사랑"</f>
        <v>#오늘의말씀 #성경구절 #말씀 #마태복음 #사랑</v>
      </c>
      <c r="Q394" s="21" t="s">
        <v>77</v>
      </c>
      <c r="R394" s="22" t="n">
        <f aca="false">안내!$C$6+INT((D394-1)/안내!$C$7)</f>
        <v>46402</v>
      </c>
      <c r="S394" s="17" t="str">
        <f aca="false">IF(MOD(D394-1,안내!$C$7)=0,안내!$C$9,안내!$C$11)</f>
        <v>12:30</v>
      </c>
      <c r="T394" s="17" t="str">
        <f aca="false">CHOOSE(WEEKDAY(R394,2),"월","화","수","목","금","토","일")</f>
        <v>금</v>
      </c>
      <c r="U394" s="17" t="s">
        <v>78</v>
      </c>
      <c r="V394" s="17" t="s">
        <v>78</v>
      </c>
      <c r="W394" s="23"/>
      <c r="X394" s="23"/>
      <c r="Y394" s="21"/>
    </row>
    <row r="395" customFormat="false" ht="25.35" hidden="false" customHeight="false" outlineLevel="0" collapsed="false">
      <c r="A395" s="17" t="n">
        <v>394</v>
      </c>
      <c r="B395" s="18" t="s">
        <v>1309</v>
      </c>
      <c r="C395" s="17" t="s">
        <v>1225</v>
      </c>
      <c r="D395" s="17" t="n">
        <v>30</v>
      </c>
      <c r="E395" s="17" t="str">
        <f aca="false">C395&amp;"말씀 #"&amp;TEXT(D395,"000")</f>
        <v>신약말씀 #030</v>
      </c>
      <c r="F395" s="17" t="s">
        <v>1226</v>
      </c>
      <c r="G395" s="18" t="s">
        <v>1310</v>
      </c>
      <c r="H395" s="19" t="s">
        <v>1311</v>
      </c>
      <c r="I395" s="17" t="s">
        <v>239</v>
      </c>
      <c r="J395" s="17" t="s">
        <v>94</v>
      </c>
      <c r="K395" s="20"/>
      <c r="L395" s="17" t="s">
        <v>76</v>
      </c>
      <c r="M395" s="17" t="n">
        <f aca="false">LEN(K395)</f>
        <v>0</v>
      </c>
      <c r="N395" s="17" t="str">
        <f aca="false">IF(M395=0,"-",ROUND(3+M395/안내!$C$12,0))</f>
        <v>-</v>
      </c>
      <c r="O395" s="21" t="str">
        <f aca="false">IF(K395="","(본문 입력 후 자동) | 마 22:39",IF(LEN(K395)&gt;28,LEFT(K395,28)&amp;"…",K395)&amp;" | 마 22:39")</f>
        <v>(본문 입력 후 자동) | 마 22:39</v>
      </c>
      <c r="P395" s="21" t="str">
        <f aca="false">"#"&amp;SUBSTITUTE(안내!$C$5," ","")&amp;" #성경구절 #말씀 #마태복음 #사랑"</f>
        <v>#오늘의말씀 #성경구절 #말씀 #마태복음 #사랑</v>
      </c>
      <c r="Q395" s="21" t="s">
        <v>77</v>
      </c>
      <c r="R395" s="22" t="n">
        <f aca="false">안내!$C$6+INT((D395-1)/안내!$C$7)</f>
        <v>46402</v>
      </c>
      <c r="S395" s="17" t="str">
        <f aca="false">IF(MOD(D395-1,안내!$C$7)=0,안내!$C$9,안내!$C$11)</f>
        <v>21:30</v>
      </c>
      <c r="T395" s="17" t="str">
        <f aca="false">CHOOSE(WEEKDAY(R395,2),"월","화","수","목","금","토","일")</f>
        <v>금</v>
      </c>
      <c r="U395" s="17" t="s">
        <v>78</v>
      </c>
      <c r="V395" s="17" t="s">
        <v>78</v>
      </c>
      <c r="W395" s="23"/>
      <c r="X395" s="23"/>
      <c r="Y395" s="21"/>
    </row>
    <row r="396" customFormat="false" ht="25.35" hidden="false" customHeight="false" outlineLevel="0" collapsed="false">
      <c r="A396" s="17" t="n">
        <v>395</v>
      </c>
      <c r="B396" s="18" t="s">
        <v>1312</v>
      </c>
      <c r="C396" s="17" t="s">
        <v>1225</v>
      </c>
      <c r="D396" s="17" t="n">
        <v>31</v>
      </c>
      <c r="E396" s="17" t="str">
        <f aca="false">C396&amp;"말씀 #"&amp;TEXT(D396,"000")</f>
        <v>신약말씀 #031</v>
      </c>
      <c r="F396" s="17" t="s">
        <v>1226</v>
      </c>
      <c r="G396" s="18" t="s">
        <v>1313</v>
      </c>
      <c r="H396" s="19" t="s">
        <v>1314</v>
      </c>
      <c r="I396" s="17" t="s">
        <v>284</v>
      </c>
      <c r="J396" s="17" t="s">
        <v>148</v>
      </c>
      <c r="K396" s="20"/>
      <c r="L396" s="17" t="s">
        <v>76</v>
      </c>
      <c r="M396" s="17" t="n">
        <f aca="false">LEN(K396)</f>
        <v>0</v>
      </c>
      <c r="N396" s="17" t="str">
        <f aca="false">IF(M396=0,"-",ROUND(3+M396/안내!$C$12,0))</f>
        <v>-</v>
      </c>
      <c r="O396" s="21" t="str">
        <f aca="false">IF(K396="","(본문 입력 후 자동) | 마 24:35",IF(LEN(K396)&gt;28,LEFT(K396,28)&amp;"…",K396)&amp;" | 마 24:35")</f>
        <v>(본문 입력 후 자동) | 마 24:35</v>
      </c>
      <c r="P396" s="21" t="str">
        <f aca="false">"#"&amp;SUBSTITUTE(안내!$C$5," ","")&amp;" #성경구절 #말씀 #마태복음 #말씀"</f>
        <v>#오늘의말씀 #성경구절 #말씀 #마태복음 #말씀</v>
      </c>
      <c r="Q396" s="21" t="s">
        <v>77</v>
      </c>
      <c r="R396" s="22" t="n">
        <f aca="false">안내!$C$6+INT((D396-1)/안내!$C$7)</f>
        <v>46403</v>
      </c>
      <c r="S396" s="17" t="str">
        <f aca="false">IF(MOD(D396-1,안내!$C$7)=0,안내!$C$9,안내!$C$11)</f>
        <v>12:30</v>
      </c>
      <c r="T396" s="17" t="str">
        <f aca="false">CHOOSE(WEEKDAY(R396,2),"월","화","수","목","금","토","일")</f>
        <v>토</v>
      </c>
      <c r="U396" s="17" t="s">
        <v>78</v>
      </c>
      <c r="V396" s="17" t="s">
        <v>78</v>
      </c>
      <c r="W396" s="23"/>
      <c r="X396" s="23"/>
      <c r="Y396" s="21"/>
    </row>
    <row r="397" customFormat="false" ht="25.35" hidden="false" customHeight="false" outlineLevel="0" collapsed="false">
      <c r="A397" s="17" t="n">
        <v>396</v>
      </c>
      <c r="B397" s="18" t="s">
        <v>1315</v>
      </c>
      <c r="C397" s="17" t="s">
        <v>1225</v>
      </c>
      <c r="D397" s="17" t="n">
        <v>32</v>
      </c>
      <c r="E397" s="17" t="str">
        <f aca="false">C397&amp;"말씀 #"&amp;TEXT(D397,"000")</f>
        <v>신약말씀 #032</v>
      </c>
      <c r="F397" s="17" t="s">
        <v>1226</v>
      </c>
      <c r="G397" s="18" t="s">
        <v>1316</v>
      </c>
      <c r="H397" s="19" t="s">
        <v>1317</v>
      </c>
      <c r="I397" s="17" t="s">
        <v>239</v>
      </c>
      <c r="J397" s="17" t="s">
        <v>94</v>
      </c>
      <c r="K397" s="20"/>
      <c r="L397" s="17" t="s">
        <v>76</v>
      </c>
      <c r="M397" s="17" t="n">
        <f aca="false">LEN(K397)</f>
        <v>0</v>
      </c>
      <c r="N397" s="17" t="str">
        <f aca="false">IF(M397=0,"-",ROUND(3+M397/안내!$C$12,0))</f>
        <v>-</v>
      </c>
      <c r="O397" s="21" t="str">
        <f aca="false">IF(K397="","(본문 입력 후 자동) | 마 25:40",IF(LEN(K397)&gt;28,LEFT(K397,28)&amp;"…",K397)&amp;" | 마 25:40")</f>
        <v>(본문 입력 후 자동) | 마 25:40</v>
      </c>
      <c r="P397" s="21" t="str">
        <f aca="false">"#"&amp;SUBSTITUTE(안내!$C$5," ","")&amp;" #성경구절 #말씀 #마태복음 #사랑"</f>
        <v>#오늘의말씀 #성경구절 #말씀 #마태복음 #사랑</v>
      </c>
      <c r="Q397" s="21" t="s">
        <v>77</v>
      </c>
      <c r="R397" s="22" t="n">
        <f aca="false">안내!$C$6+INT((D397-1)/안내!$C$7)</f>
        <v>46403</v>
      </c>
      <c r="S397" s="17" t="str">
        <f aca="false">IF(MOD(D397-1,안내!$C$7)=0,안내!$C$9,안내!$C$11)</f>
        <v>21:30</v>
      </c>
      <c r="T397" s="17" t="str">
        <f aca="false">CHOOSE(WEEKDAY(R397,2),"월","화","수","목","금","토","일")</f>
        <v>토</v>
      </c>
      <c r="U397" s="17" t="s">
        <v>78</v>
      </c>
      <c r="V397" s="17" t="s">
        <v>78</v>
      </c>
      <c r="W397" s="23"/>
      <c r="X397" s="23"/>
      <c r="Y397" s="21"/>
    </row>
    <row r="398" customFormat="false" ht="25.35" hidden="false" customHeight="false" outlineLevel="0" collapsed="false">
      <c r="A398" s="17" t="n">
        <v>397</v>
      </c>
      <c r="B398" s="18" t="s">
        <v>1318</v>
      </c>
      <c r="C398" s="17" t="s">
        <v>1225</v>
      </c>
      <c r="D398" s="17" t="n">
        <v>33</v>
      </c>
      <c r="E398" s="17" t="str">
        <f aca="false">C398&amp;"말씀 #"&amp;TEXT(D398,"000")</f>
        <v>신약말씀 #033</v>
      </c>
      <c r="F398" s="17" t="s">
        <v>1226</v>
      </c>
      <c r="G398" s="18" t="s">
        <v>1319</v>
      </c>
      <c r="H398" s="19" t="s">
        <v>1320</v>
      </c>
      <c r="I398" s="17" t="s">
        <v>160</v>
      </c>
      <c r="J398" s="17" t="s">
        <v>104</v>
      </c>
      <c r="K398" s="20"/>
      <c r="L398" s="17" t="s">
        <v>76</v>
      </c>
      <c r="M398" s="17" t="n">
        <f aca="false">LEN(K398)</f>
        <v>0</v>
      </c>
      <c r="N398" s="17" t="str">
        <f aca="false">IF(M398=0,"-",ROUND(3+M398/안내!$C$12,0))</f>
        <v>-</v>
      </c>
      <c r="O398" s="21" t="str">
        <f aca="false">IF(K398="","(본문 입력 후 자동) | 마 26:41",IF(LEN(K398)&gt;28,LEFT(K398,28)&amp;"…",K398)&amp;" | 마 26:41")</f>
        <v>(본문 입력 후 자동) | 마 26:41</v>
      </c>
      <c r="P398" s="21" t="str">
        <f aca="false">"#"&amp;SUBSTITUTE(안내!$C$5," ","")&amp;" #성경구절 #말씀 #마태복음 #기도"</f>
        <v>#오늘의말씀 #성경구절 #말씀 #마태복음 #기도</v>
      </c>
      <c r="Q398" s="21" t="s">
        <v>77</v>
      </c>
      <c r="R398" s="22" t="n">
        <f aca="false">안내!$C$6+INT((D398-1)/안내!$C$7)</f>
        <v>46404</v>
      </c>
      <c r="S398" s="17" t="str">
        <f aca="false">IF(MOD(D398-1,안내!$C$7)=0,안내!$C$9,안내!$C$11)</f>
        <v>12:30</v>
      </c>
      <c r="T398" s="17" t="str">
        <f aca="false">CHOOSE(WEEKDAY(R398,2),"월","화","수","목","금","토","일")</f>
        <v>일</v>
      </c>
      <c r="U398" s="17" t="s">
        <v>78</v>
      </c>
      <c r="V398" s="17" t="s">
        <v>78</v>
      </c>
      <c r="W398" s="23"/>
      <c r="X398" s="23"/>
      <c r="Y398" s="21"/>
    </row>
    <row r="399" customFormat="false" ht="15" hidden="false" customHeight="false" outlineLevel="0" collapsed="false">
      <c r="A399" s="17" t="n">
        <v>398</v>
      </c>
      <c r="B399" s="18" t="s">
        <v>1321</v>
      </c>
      <c r="C399" s="17" t="s">
        <v>1225</v>
      </c>
      <c r="D399" s="17" t="n">
        <v>34</v>
      </c>
      <c r="E399" s="17" t="str">
        <f aca="false">C399&amp;"말씀 #"&amp;TEXT(D399,"000")</f>
        <v>신약말씀 #034</v>
      </c>
      <c r="F399" s="17" t="s">
        <v>1226</v>
      </c>
      <c r="G399" s="18" t="s">
        <v>1322</v>
      </c>
      <c r="H399" s="19" t="s">
        <v>1323</v>
      </c>
      <c r="I399" s="17" t="s">
        <v>1324</v>
      </c>
      <c r="J399" s="17" t="s">
        <v>89</v>
      </c>
      <c r="K399" s="20"/>
      <c r="L399" s="17" t="s">
        <v>76</v>
      </c>
      <c r="M399" s="17" t="n">
        <f aca="false">LEN(K399)</f>
        <v>0</v>
      </c>
      <c r="N399" s="17" t="str">
        <f aca="false">IF(M399=0,"-",ROUND(3+M399/안내!$C$12,0))</f>
        <v>-</v>
      </c>
      <c r="O399" s="21" t="str">
        <f aca="false">IF(K399="","(본문 입력 후 자동) | 마 28:6",IF(LEN(K399)&gt;28,LEFT(K399,28)&amp;"…",K399)&amp;" | 마 28:6")</f>
        <v>(본문 입력 후 자동) | 마 28:6</v>
      </c>
      <c r="P399" s="21" t="str">
        <f aca="false">"#"&amp;SUBSTITUTE(안내!$C$5," ","")&amp;" #성경구절 #말씀 #마태복음 #부활"</f>
        <v>#오늘의말씀 #성경구절 #말씀 #마태복음 #부활</v>
      </c>
      <c r="Q399" s="21" t="s">
        <v>77</v>
      </c>
      <c r="R399" s="22" t="n">
        <f aca="false">안내!$C$6+INT((D399-1)/안내!$C$7)</f>
        <v>46404</v>
      </c>
      <c r="S399" s="17" t="str">
        <f aca="false">IF(MOD(D399-1,안내!$C$7)=0,안내!$C$9,안내!$C$11)</f>
        <v>21:30</v>
      </c>
      <c r="T399" s="17" t="str">
        <f aca="false">CHOOSE(WEEKDAY(R399,2),"월","화","수","목","금","토","일")</f>
        <v>일</v>
      </c>
      <c r="U399" s="17" t="s">
        <v>78</v>
      </c>
      <c r="V399" s="17" t="s">
        <v>78</v>
      </c>
      <c r="W399" s="23"/>
      <c r="X399" s="23"/>
      <c r="Y399" s="21"/>
    </row>
    <row r="400" customFormat="false" ht="25.35" hidden="false" customHeight="false" outlineLevel="0" collapsed="false">
      <c r="A400" s="17" t="n">
        <v>399</v>
      </c>
      <c r="B400" s="18" t="s">
        <v>1325</v>
      </c>
      <c r="C400" s="17" t="s">
        <v>1225</v>
      </c>
      <c r="D400" s="17" t="n">
        <v>35</v>
      </c>
      <c r="E400" s="17" t="str">
        <f aca="false">C400&amp;"말씀 #"&amp;TEXT(D400,"000")</f>
        <v>신약말씀 #035</v>
      </c>
      <c r="F400" s="17" t="s">
        <v>1226</v>
      </c>
      <c r="G400" s="18" t="s">
        <v>1326</v>
      </c>
      <c r="H400" s="19" t="s">
        <v>1327</v>
      </c>
      <c r="I400" s="17" t="s">
        <v>970</v>
      </c>
      <c r="J400" s="17" t="s">
        <v>104</v>
      </c>
      <c r="K400" s="20"/>
      <c r="L400" s="17" t="s">
        <v>76</v>
      </c>
      <c r="M400" s="17" t="n">
        <f aca="false">LEN(K400)</f>
        <v>0</v>
      </c>
      <c r="N400" s="17" t="str">
        <f aca="false">IF(M400=0,"-",ROUND(3+M400/안내!$C$12,0))</f>
        <v>-</v>
      </c>
      <c r="O400" s="21" t="str">
        <f aca="false">IF(K400="","(본문 입력 후 자동) | 마 28:19",IF(LEN(K400)&gt;28,LEFT(K400,28)&amp;"…",K400)&amp;" | 마 28:19")</f>
        <v>(본문 입력 후 자동) | 마 28:19</v>
      </c>
      <c r="P400" s="21" t="str">
        <f aca="false">"#"&amp;SUBSTITUTE(안내!$C$5," ","")&amp;" #성경구절 #말씀 #마태복음 #복음"</f>
        <v>#오늘의말씀 #성경구절 #말씀 #마태복음 #복음</v>
      </c>
      <c r="Q400" s="21" t="s">
        <v>77</v>
      </c>
      <c r="R400" s="22" t="n">
        <f aca="false">안내!$C$6+INT((D400-1)/안내!$C$7)</f>
        <v>46405</v>
      </c>
      <c r="S400" s="17" t="str">
        <f aca="false">IF(MOD(D400-1,안내!$C$7)=0,안내!$C$9,안내!$C$11)</f>
        <v>12:30</v>
      </c>
      <c r="T400" s="17" t="str">
        <f aca="false">CHOOSE(WEEKDAY(R400,2),"월","화","수","목","금","토","일")</f>
        <v>월</v>
      </c>
      <c r="U400" s="17" t="s">
        <v>78</v>
      </c>
      <c r="V400" s="17" t="s">
        <v>78</v>
      </c>
      <c r="W400" s="23"/>
      <c r="X400" s="23"/>
      <c r="Y400" s="21"/>
    </row>
    <row r="401" customFormat="false" ht="25.35" hidden="false" customHeight="false" outlineLevel="0" collapsed="false">
      <c r="A401" s="17" t="n">
        <v>400</v>
      </c>
      <c r="B401" s="18" t="s">
        <v>1328</v>
      </c>
      <c r="C401" s="17" t="s">
        <v>1225</v>
      </c>
      <c r="D401" s="17" t="n">
        <v>36</v>
      </c>
      <c r="E401" s="17" t="str">
        <f aca="false">C401&amp;"말씀 #"&amp;TEXT(D401,"000")</f>
        <v>신약말씀 #036</v>
      </c>
      <c r="F401" s="17" t="s">
        <v>1226</v>
      </c>
      <c r="G401" s="18" t="s">
        <v>1329</v>
      </c>
      <c r="H401" s="19" t="s">
        <v>1330</v>
      </c>
      <c r="I401" s="17" t="s">
        <v>152</v>
      </c>
      <c r="J401" s="17" t="s">
        <v>122</v>
      </c>
      <c r="K401" s="20"/>
      <c r="L401" s="17" t="s">
        <v>76</v>
      </c>
      <c r="M401" s="17" t="n">
        <f aca="false">LEN(K401)</f>
        <v>0</v>
      </c>
      <c r="N401" s="17" t="str">
        <f aca="false">IF(M401=0,"-",ROUND(3+M401/안내!$C$12,0))</f>
        <v>-</v>
      </c>
      <c r="O401" s="21" t="str">
        <f aca="false">IF(K401="","(본문 입력 후 자동) | 마 28:20",IF(LEN(K401)&gt;28,LEFT(K401,28)&amp;"…",K401)&amp;" | 마 28:20")</f>
        <v>(본문 입력 후 자동) | 마 28:20</v>
      </c>
      <c r="P401" s="21" t="str">
        <f aca="false">"#"&amp;SUBSTITUTE(안내!$C$5," ","")&amp;" #성경구절 #말씀 #마태복음 #동행"</f>
        <v>#오늘의말씀 #성경구절 #말씀 #마태복음 #동행</v>
      </c>
      <c r="Q401" s="21" t="s">
        <v>77</v>
      </c>
      <c r="R401" s="22" t="n">
        <f aca="false">안내!$C$6+INT((D401-1)/안내!$C$7)</f>
        <v>46405</v>
      </c>
      <c r="S401" s="17" t="str">
        <f aca="false">IF(MOD(D401-1,안내!$C$7)=0,안내!$C$9,안내!$C$11)</f>
        <v>21:30</v>
      </c>
      <c r="T401" s="17" t="str">
        <f aca="false">CHOOSE(WEEKDAY(R401,2),"월","화","수","목","금","토","일")</f>
        <v>월</v>
      </c>
      <c r="U401" s="17" t="s">
        <v>78</v>
      </c>
      <c r="V401" s="17" t="s">
        <v>78</v>
      </c>
      <c r="W401" s="23"/>
      <c r="X401" s="23"/>
      <c r="Y401" s="21"/>
    </row>
    <row r="402" customFormat="false" ht="15" hidden="false" customHeight="false" outlineLevel="0" collapsed="false">
      <c r="A402" s="17" t="n">
        <v>401</v>
      </c>
      <c r="B402" s="18" t="s">
        <v>1331</v>
      </c>
      <c r="C402" s="17" t="s">
        <v>1225</v>
      </c>
      <c r="D402" s="17" t="n">
        <v>37</v>
      </c>
      <c r="E402" s="17" t="str">
        <f aca="false">C402&amp;"말씀 #"&amp;TEXT(D402,"000")</f>
        <v>신약말씀 #037</v>
      </c>
      <c r="F402" s="17" t="s">
        <v>1332</v>
      </c>
      <c r="G402" s="18" t="s">
        <v>1333</v>
      </c>
      <c r="H402" s="19" t="s">
        <v>1334</v>
      </c>
      <c r="I402" s="17" t="s">
        <v>454</v>
      </c>
      <c r="J402" s="17" t="s">
        <v>104</v>
      </c>
      <c r="K402" s="20"/>
      <c r="L402" s="17" t="s">
        <v>76</v>
      </c>
      <c r="M402" s="17" t="n">
        <f aca="false">LEN(K402)</f>
        <v>0</v>
      </c>
      <c r="N402" s="17" t="str">
        <f aca="false">IF(M402=0,"-",ROUND(3+M402/안내!$C$12,0))</f>
        <v>-</v>
      </c>
      <c r="O402" s="21" t="str">
        <f aca="false">IF(K402="","(본문 입력 후 자동) | 막 1:15",IF(LEN(K402)&gt;28,LEFT(K402,28)&amp;"…",K402)&amp;" | 막 1:15")</f>
        <v>(본문 입력 후 자동) | 막 1:15</v>
      </c>
      <c r="P402" s="21" t="str">
        <f aca="false">"#"&amp;SUBSTITUTE(안내!$C$5," ","")&amp;" #성경구절 #말씀 #마가복음 #회개"</f>
        <v>#오늘의말씀 #성경구절 #말씀 #마가복음 #회개</v>
      </c>
      <c r="Q402" s="21" t="s">
        <v>77</v>
      </c>
      <c r="R402" s="22" t="n">
        <f aca="false">안내!$C$6+INT((D402-1)/안내!$C$7)</f>
        <v>46406</v>
      </c>
      <c r="S402" s="17" t="str">
        <f aca="false">IF(MOD(D402-1,안내!$C$7)=0,안내!$C$9,안내!$C$11)</f>
        <v>12:30</v>
      </c>
      <c r="T402" s="17" t="str">
        <f aca="false">CHOOSE(WEEKDAY(R402,2),"월","화","수","목","금","토","일")</f>
        <v>화</v>
      </c>
      <c r="U402" s="17" t="s">
        <v>78</v>
      </c>
      <c r="V402" s="17" t="s">
        <v>78</v>
      </c>
      <c r="W402" s="23"/>
      <c r="X402" s="23"/>
      <c r="Y402" s="21"/>
    </row>
    <row r="403" customFormat="false" ht="15" hidden="false" customHeight="false" outlineLevel="0" collapsed="false">
      <c r="A403" s="17" t="n">
        <v>402</v>
      </c>
      <c r="B403" s="18" t="s">
        <v>1335</v>
      </c>
      <c r="C403" s="17" t="s">
        <v>1225</v>
      </c>
      <c r="D403" s="17" t="n">
        <v>38</v>
      </c>
      <c r="E403" s="17" t="str">
        <f aca="false">C403&amp;"말씀 #"&amp;TEXT(D403,"000")</f>
        <v>신약말씀 #038</v>
      </c>
      <c r="F403" s="17" t="s">
        <v>1332</v>
      </c>
      <c r="G403" s="18" t="s">
        <v>1336</v>
      </c>
      <c r="H403" s="19" t="s">
        <v>1337</v>
      </c>
      <c r="I403" s="17" t="s">
        <v>160</v>
      </c>
      <c r="J403" s="17" t="s">
        <v>104</v>
      </c>
      <c r="K403" s="20"/>
      <c r="L403" s="17" t="s">
        <v>76</v>
      </c>
      <c r="M403" s="17" t="n">
        <f aca="false">LEN(K403)</f>
        <v>0</v>
      </c>
      <c r="N403" s="17" t="str">
        <f aca="false">IF(M403=0,"-",ROUND(3+M403/안내!$C$12,0))</f>
        <v>-</v>
      </c>
      <c r="O403" s="21" t="str">
        <f aca="false">IF(K403="","(본문 입력 후 자동) | 막 1:35",IF(LEN(K403)&gt;28,LEFT(K403,28)&amp;"…",K403)&amp;" | 막 1:35")</f>
        <v>(본문 입력 후 자동) | 막 1:35</v>
      </c>
      <c r="P403" s="21" t="str">
        <f aca="false">"#"&amp;SUBSTITUTE(안내!$C$5," ","")&amp;" #성경구절 #말씀 #마가복음 #기도"</f>
        <v>#오늘의말씀 #성경구절 #말씀 #마가복음 #기도</v>
      </c>
      <c r="Q403" s="21" t="s">
        <v>77</v>
      </c>
      <c r="R403" s="22" t="n">
        <f aca="false">안내!$C$6+INT((D403-1)/안내!$C$7)</f>
        <v>46406</v>
      </c>
      <c r="S403" s="17" t="str">
        <f aca="false">IF(MOD(D403-1,안내!$C$7)=0,안내!$C$9,안내!$C$11)</f>
        <v>21:30</v>
      </c>
      <c r="T403" s="17" t="str">
        <f aca="false">CHOOSE(WEEKDAY(R403,2),"월","화","수","목","금","토","일")</f>
        <v>화</v>
      </c>
      <c r="U403" s="17" t="s">
        <v>78</v>
      </c>
      <c r="V403" s="17" t="s">
        <v>78</v>
      </c>
      <c r="W403" s="23"/>
      <c r="X403" s="23"/>
      <c r="Y403" s="21"/>
    </row>
    <row r="404" customFormat="false" ht="15" hidden="false" customHeight="false" outlineLevel="0" collapsed="false">
      <c r="A404" s="17" t="n">
        <v>403</v>
      </c>
      <c r="B404" s="18" t="s">
        <v>1338</v>
      </c>
      <c r="C404" s="17" t="s">
        <v>1225</v>
      </c>
      <c r="D404" s="17" t="n">
        <v>39</v>
      </c>
      <c r="E404" s="17" t="str">
        <f aca="false">C404&amp;"말씀 #"&amp;TEXT(D404,"000")</f>
        <v>신약말씀 #039</v>
      </c>
      <c r="F404" s="17" t="s">
        <v>1332</v>
      </c>
      <c r="G404" s="18" t="s">
        <v>1339</v>
      </c>
      <c r="H404" s="19" t="s">
        <v>1340</v>
      </c>
      <c r="I404" s="17" t="s">
        <v>98</v>
      </c>
      <c r="J404" s="17" t="s">
        <v>99</v>
      </c>
      <c r="K404" s="20"/>
      <c r="L404" s="17" t="s">
        <v>76</v>
      </c>
      <c r="M404" s="17" t="n">
        <f aca="false">LEN(K404)</f>
        <v>0</v>
      </c>
      <c r="N404" s="17" t="str">
        <f aca="false">IF(M404=0,"-",ROUND(3+M404/안내!$C$12,0))</f>
        <v>-</v>
      </c>
      <c r="O404" s="21" t="str">
        <f aca="false">IF(K404="","(본문 입력 후 자동) | 막 2:17",IF(LEN(K404)&gt;28,LEFT(K404,28)&amp;"…",K404)&amp;" | 막 2:17")</f>
        <v>(본문 입력 후 자동) | 막 2:17</v>
      </c>
      <c r="P404" s="21" t="str">
        <f aca="false">"#"&amp;SUBSTITUTE(안내!$C$5," ","")&amp;" #성경구절 #말씀 #마가복음 #은혜"</f>
        <v>#오늘의말씀 #성경구절 #말씀 #마가복음 #은혜</v>
      </c>
      <c r="Q404" s="21" t="s">
        <v>77</v>
      </c>
      <c r="R404" s="22" t="n">
        <f aca="false">안내!$C$6+INT((D404-1)/안내!$C$7)</f>
        <v>46407</v>
      </c>
      <c r="S404" s="17" t="str">
        <f aca="false">IF(MOD(D404-1,안내!$C$7)=0,안내!$C$9,안내!$C$11)</f>
        <v>12:30</v>
      </c>
      <c r="T404" s="17" t="str">
        <f aca="false">CHOOSE(WEEKDAY(R404,2),"월","화","수","목","금","토","일")</f>
        <v>수</v>
      </c>
      <c r="U404" s="17" t="s">
        <v>78</v>
      </c>
      <c r="V404" s="17" t="s">
        <v>78</v>
      </c>
      <c r="W404" s="23"/>
      <c r="X404" s="23"/>
      <c r="Y404" s="21"/>
    </row>
    <row r="405" customFormat="false" ht="15" hidden="false" customHeight="false" outlineLevel="0" collapsed="false">
      <c r="A405" s="17" t="n">
        <v>404</v>
      </c>
      <c r="B405" s="18" t="s">
        <v>1341</v>
      </c>
      <c r="C405" s="17" t="s">
        <v>1225</v>
      </c>
      <c r="D405" s="17" t="n">
        <v>40</v>
      </c>
      <c r="E405" s="17" t="str">
        <f aca="false">C405&amp;"말씀 #"&amp;TEXT(D405,"000")</f>
        <v>신약말씀 #040</v>
      </c>
      <c r="F405" s="17" t="s">
        <v>1332</v>
      </c>
      <c r="G405" s="18" t="s">
        <v>1342</v>
      </c>
      <c r="H405" s="19" t="s">
        <v>1343</v>
      </c>
      <c r="I405" s="17" t="s">
        <v>221</v>
      </c>
      <c r="J405" s="17" t="s">
        <v>99</v>
      </c>
      <c r="K405" s="20"/>
      <c r="L405" s="17" t="s">
        <v>76</v>
      </c>
      <c r="M405" s="17" t="n">
        <f aca="false">LEN(K405)</f>
        <v>0</v>
      </c>
      <c r="N405" s="17" t="str">
        <f aca="false">IF(M405=0,"-",ROUND(3+M405/안내!$C$12,0))</f>
        <v>-</v>
      </c>
      <c r="O405" s="21" t="str">
        <f aca="false">IF(K405="","(본문 입력 후 자동) | 막 4:39",IF(LEN(K405)&gt;28,LEFT(K405,28)&amp;"…",K405)&amp;" | 막 4:39")</f>
        <v>(본문 입력 후 자동) | 막 4:39</v>
      </c>
      <c r="P405" s="21" t="str">
        <f aca="false">"#"&amp;SUBSTITUTE(안내!$C$5," ","")&amp;" #성경구절 #말씀 #마가복음 #평안"</f>
        <v>#오늘의말씀 #성경구절 #말씀 #마가복음 #평안</v>
      </c>
      <c r="Q405" s="21" t="s">
        <v>77</v>
      </c>
      <c r="R405" s="22" t="n">
        <f aca="false">안내!$C$6+INT((D405-1)/안내!$C$7)</f>
        <v>46407</v>
      </c>
      <c r="S405" s="17" t="str">
        <f aca="false">IF(MOD(D405-1,안내!$C$7)=0,안내!$C$9,안내!$C$11)</f>
        <v>21:30</v>
      </c>
      <c r="T405" s="17" t="str">
        <f aca="false">CHOOSE(WEEKDAY(R405,2),"월","화","수","목","금","토","일")</f>
        <v>수</v>
      </c>
      <c r="U405" s="17" t="s">
        <v>78</v>
      </c>
      <c r="V405" s="17" t="s">
        <v>78</v>
      </c>
      <c r="W405" s="23"/>
      <c r="X405" s="23"/>
      <c r="Y405" s="21"/>
    </row>
    <row r="406" customFormat="false" ht="15" hidden="false" customHeight="false" outlineLevel="0" collapsed="false">
      <c r="A406" s="17" t="n">
        <v>405</v>
      </c>
      <c r="B406" s="18" t="s">
        <v>1344</v>
      </c>
      <c r="C406" s="17" t="s">
        <v>1225</v>
      </c>
      <c r="D406" s="17" t="n">
        <v>41</v>
      </c>
      <c r="E406" s="17" t="str">
        <f aca="false">C406&amp;"말씀 #"&amp;TEXT(D406,"000")</f>
        <v>신약말씀 #041</v>
      </c>
      <c r="F406" s="17" t="s">
        <v>1332</v>
      </c>
      <c r="G406" s="18" t="s">
        <v>1345</v>
      </c>
      <c r="H406" s="19" t="s">
        <v>1346</v>
      </c>
      <c r="I406" s="17" t="s">
        <v>133</v>
      </c>
      <c r="J406" s="17" t="s">
        <v>113</v>
      </c>
      <c r="K406" s="20"/>
      <c r="L406" s="17" t="s">
        <v>76</v>
      </c>
      <c r="M406" s="17" t="n">
        <f aca="false">LEN(K406)</f>
        <v>0</v>
      </c>
      <c r="N406" s="17" t="str">
        <f aca="false">IF(M406=0,"-",ROUND(3+M406/안내!$C$12,0))</f>
        <v>-</v>
      </c>
      <c r="O406" s="21" t="str">
        <f aca="false">IF(K406="","(본문 입력 후 자동) | 막 5:36",IF(LEN(K406)&gt;28,LEFT(K406,28)&amp;"…",K406)&amp;" | 막 5:36")</f>
        <v>(본문 입력 후 자동) | 막 5:36</v>
      </c>
      <c r="P406" s="21" t="str">
        <f aca="false">"#"&amp;SUBSTITUTE(안내!$C$5," ","")&amp;" #성경구절 #말씀 #마가복음 #믿음"</f>
        <v>#오늘의말씀 #성경구절 #말씀 #마가복음 #믿음</v>
      </c>
      <c r="Q406" s="21" t="s">
        <v>77</v>
      </c>
      <c r="R406" s="22" t="n">
        <f aca="false">안내!$C$6+INT((D406-1)/안내!$C$7)</f>
        <v>46408</v>
      </c>
      <c r="S406" s="17" t="str">
        <f aca="false">IF(MOD(D406-1,안내!$C$7)=0,안내!$C$9,안내!$C$11)</f>
        <v>12:30</v>
      </c>
      <c r="T406" s="17" t="str">
        <f aca="false">CHOOSE(WEEKDAY(R406,2),"월","화","수","목","금","토","일")</f>
        <v>목</v>
      </c>
      <c r="U406" s="17" t="s">
        <v>78</v>
      </c>
      <c r="V406" s="17" t="s">
        <v>78</v>
      </c>
      <c r="W406" s="23"/>
      <c r="X406" s="23"/>
      <c r="Y406" s="21"/>
    </row>
    <row r="407" customFormat="false" ht="15" hidden="false" customHeight="false" outlineLevel="0" collapsed="false">
      <c r="A407" s="17" t="n">
        <v>406</v>
      </c>
      <c r="B407" s="18" t="s">
        <v>1347</v>
      </c>
      <c r="C407" s="17" t="s">
        <v>1225</v>
      </c>
      <c r="D407" s="17" t="n">
        <v>42</v>
      </c>
      <c r="E407" s="17" t="str">
        <f aca="false">C407&amp;"말씀 #"&amp;TEXT(D407,"000")</f>
        <v>신약말씀 #042</v>
      </c>
      <c r="F407" s="17" t="s">
        <v>1332</v>
      </c>
      <c r="G407" s="18" t="s">
        <v>1348</v>
      </c>
      <c r="H407" s="19" t="s">
        <v>1349</v>
      </c>
      <c r="I407" s="17" t="s">
        <v>1350</v>
      </c>
      <c r="J407" s="17" t="s">
        <v>99</v>
      </c>
      <c r="K407" s="20"/>
      <c r="L407" s="17" t="s">
        <v>76</v>
      </c>
      <c r="M407" s="17" t="n">
        <f aca="false">LEN(K407)</f>
        <v>0</v>
      </c>
      <c r="N407" s="17" t="str">
        <f aca="false">IF(M407=0,"-",ROUND(3+M407/안내!$C$12,0))</f>
        <v>-</v>
      </c>
      <c r="O407" s="21" t="str">
        <f aca="false">IF(K407="","(본문 입력 후 자동) | 막 6:31",IF(LEN(K407)&gt;28,LEFT(K407,28)&amp;"…",K407)&amp;" | 막 6:31")</f>
        <v>(본문 입력 후 자동) | 막 6:31</v>
      </c>
      <c r="P407" s="21" t="str">
        <f aca="false">"#"&amp;SUBSTITUTE(안내!$C$5," ","")&amp;" #성경구절 #말씀 #마가복음 #쉼"</f>
        <v>#오늘의말씀 #성경구절 #말씀 #마가복음 #쉼</v>
      </c>
      <c r="Q407" s="21" t="s">
        <v>77</v>
      </c>
      <c r="R407" s="22" t="n">
        <f aca="false">안내!$C$6+INT((D407-1)/안내!$C$7)</f>
        <v>46408</v>
      </c>
      <c r="S407" s="17" t="str">
        <f aca="false">IF(MOD(D407-1,안내!$C$7)=0,안내!$C$9,안내!$C$11)</f>
        <v>21:30</v>
      </c>
      <c r="T407" s="17" t="str">
        <f aca="false">CHOOSE(WEEKDAY(R407,2),"월","화","수","목","금","토","일")</f>
        <v>목</v>
      </c>
      <c r="U407" s="17" t="s">
        <v>78</v>
      </c>
      <c r="V407" s="17" t="s">
        <v>78</v>
      </c>
      <c r="W407" s="23"/>
      <c r="X407" s="23"/>
      <c r="Y407" s="21"/>
    </row>
    <row r="408" customFormat="false" ht="15" hidden="false" customHeight="false" outlineLevel="0" collapsed="false">
      <c r="A408" s="17" t="n">
        <v>407</v>
      </c>
      <c r="B408" s="18" t="s">
        <v>1351</v>
      </c>
      <c r="C408" s="17" t="s">
        <v>1225</v>
      </c>
      <c r="D408" s="17" t="n">
        <v>43</v>
      </c>
      <c r="E408" s="17" t="str">
        <f aca="false">C408&amp;"말씀 #"&amp;TEXT(D408,"000")</f>
        <v>신약말씀 #043</v>
      </c>
      <c r="F408" s="17" t="s">
        <v>1332</v>
      </c>
      <c r="G408" s="18" t="s">
        <v>1352</v>
      </c>
      <c r="H408" s="19" t="s">
        <v>1353</v>
      </c>
      <c r="I408" s="17" t="s">
        <v>88</v>
      </c>
      <c r="J408" s="17" t="s">
        <v>89</v>
      </c>
      <c r="K408" s="20"/>
      <c r="L408" s="17" t="s">
        <v>76</v>
      </c>
      <c r="M408" s="17" t="n">
        <f aca="false">LEN(K408)</f>
        <v>0</v>
      </c>
      <c r="N408" s="17" t="str">
        <f aca="false">IF(M408=0,"-",ROUND(3+M408/안내!$C$12,0))</f>
        <v>-</v>
      </c>
      <c r="O408" s="21" t="str">
        <f aca="false">IF(K408="","(본문 입력 후 자동) | 막 8:36",IF(LEN(K408)&gt;28,LEFT(K408,28)&amp;"…",K408)&amp;" | 막 8:36")</f>
        <v>(본문 입력 후 자동) | 막 8:36</v>
      </c>
      <c r="P408" s="21" t="str">
        <f aca="false">"#"&amp;SUBSTITUTE(안내!$C$5," ","")&amp;" #성경구절 #말씀 #마가복음 #생명"</f>
        <v>#오늘의말씀 #성경구절 #말씀 #마가복음 #생명</v>
      </c>
      <c r="Q408" s="21" t="s">
        <v>77</v>
      </c>
      <c r="R408" s="22" t="n">
        <f aca="false">안내!$C$6+INT((D408-1)/안내!$C$7)</f>
        <v>46409</v>
      </c>
      <c r="S408" s="17" t="str">
        <f aca="false">IF(MOD(D408-1,안내!$C$7)=0,안내!$C$9,안내!$C$11)</f>
        <v>12:30</v>
      </c>
      <c r="T408" s="17" t="str">
        <f aca="false">CHOOSE(WEEKDAY(R408,2),"월","화","수","목","금","토","일")</f>
        <v>금</v>
      </c>
      <c r="U408" s="17" t="s">
        <v>78</v>
      </c>
      <c r="V408" s="17" t="s">
        <v>78</v>
      </c>
      <c r="W408" s="23"/>
      <c r="X408" s="23"/>
      <c r="Y408" s="21"/>
    </row>
    <row r="409" customFormat="false" ht="15" hidden="false" customHeight="false" outlineLevel="0" collapsed="false">
      <c r="A409" s="17" t="n">
        <v>408</v>
      </c>
      <c r="B409" s="18" t="s">
        <v>1354</v>
      </c>
      <c r="C409" s="17" t="s">
        <v>1225</v>
      </c>
      <c r="D409" s="17" t="n">
        <v>44</v>
      </c>
      <c r="E409" s="17" t="str">
        <f aca="false">C409&amp;"말씀 #"&amp;TEXT(D409,"000")</f>
        <v>신약말씀 #044</v>
      </c>
      <c r="F409" s="17" t="s">
        <v>1332</v>
      </c>
      <c r="G409" s="18" t="s">
        <v>1355</v>
      </c>
      <c r="H409" s="19" t="s">
        <v>1356</v>
      </c>
      <c r="I409" s="17" t="s">
        <v>133</v>
      </c>
      <c r="J409" s="17" t="s">
        <v>113</v>
      </c>
      <c r="K409" s="20"/>
      <c r="L409" s="17" t="s">
        <v>76</v>
      </c>
      <c r="M409" s="17" t="n">
        <f aca="false">LEN(K409)</f>
        <v>0</v>
      </c>
      <c r="N409" s="17" t="str">
        <f aca="false">IF(M409=0,"-",ROUND(3+M409/안내!$C$12,0))</f>
        <v>-</v>
      </c>
      <c r="O409" s="21" t="str">
        <f aca="false">IF(K409="","(본문 입력 후 자동) | 막 9:23",IF(LEN(K409)&gt;28,LEFT(K409,28)&amp;"…",K409)&amp;" | 막 9:23")</f>
        <v>(본문 입력 후 자동) | 막 9:23</v>
      </c>
      <c r="P409" s="21" t="str">
        <f aca="false">"#"&amp;SUBSTITUTE(안내!$C$5," ","")&amp;" #성경구절 #말씀 #마가복음 #믿음"</f>
        <v>#오늘의말씀 #성경구절 #말씀 #마가복음 #믿음</v>
      </c>
      <c r="Q409" s="21" t="s">
        <v>77</v>
      </c>
      <c r="R409" s="22" t="n">
        <f aca="false">안내!$C$6+INT((D409-1)/안내!$C$7)</f>
        <v>46409</v>
      </c>
      <c r="S409" s="17" t="str">
        <f aca="false">IF(MOD(D409-1,안내!$C$7)=0,안내!$C$9,안내!$C$11)</f>
        <v>21:30</v>
      </c>
      <c r="T409" s="17" t="str">
        <f aca="false">CHOOSE(WEEKDAY(R409,2),"월","화","수","목","금","토","일")</f>
        <v>금</v>
      </c>
      <c r="U409" s="17" t="s">
        <v>78</v>
      </c>
      <c r="V409" s="17" t="s">
        <v>78</v>
      </c>
      <c r="W409" s="23"/>
      <c r="X409" s="23"/>
      <c r="Y409" s="21"/>
    </row>
    <row r="410" customFormat="false" ht="15" hidden="false" customHeight="false" outlineLevel="0" collapsed="false">
      <c r="A410" s="17" t="n">
        <v>409</v>
      </c>
      <c r="B410" s="18" t="s">
        <v>1357</v>
      </c>
      <c r="C410" s="17" t="s">
        <v>1225</v>
      </c>
      <c r="D410" s="17" t="n">
        <v>45</v>
      </c>
      <c r="E410" s="17" t="str">
        <f aca="false">C410&amp;"말씀 #"&amp;TEXT(D410,"000")</f>
        <v>신약말씀 #045</v>
      </c>
      <c r="F410" s="17" t="s">
        <v>1332</v>
      </c>
      <c r="G410" s="18" t="s">
        <v>1018</v>
      </c>
      <c r="H410" s="19" t="s">
        <v>1358</v>
      </c>
      <c r="I410" s="17" t="s">
        <v>133</v>
      </c>
      <c r="J410" s="17" t="s">
        <v>113</v>
      </c>
      <c r="K410" s="20"/>
      <c r="L410" s="17" t="s">
        <v>76</v>
      </c>
      <c r="M410" s="17" t="n">
        <f aca="false">LEN(K410)</f>
        <v>0</v>
      </c>
      <c r="N410" s="17" t="str">
        <f aca="false">IF(M410=0,"-",ROUND(3+M410/안내!$C$12,0))</f>
        <v>-</v>
      </c>
      <c r="O410" s="21" t="str">
        <f aca="false">IF(K410="","(본문 입력 후 자동) | 막 9:24",IF(LEN(K410)&gt;28,LEFT(K410,28)&amp;"…",K410)&amp;" | 막 9:24")</f>
        <v>(본문 입력 후 자동) | 막 9:24</v>
      </c>
      <c r="P410" s="21" t="str">
        <f aca="false">"#"&amp;SUBSTITUTE(안내!$C$5," ","")&amp;" #성경구절 #말씀 #마가복음 #믿음"</f>
        <v>#오늘의말씀 #성경구절 #말씀 #마가복음 #믿음</v>
      </c>
      <c r="Q410" s="21" t="s">
        <v>77</v>
      </c>
      <c r="R410" s="22" t="n">
        <f aca="false">안내!$C$6+INT((D410-1)/안내!$C$7)</f>
        <v>46410</v>
      </c>
      <c r="S410" s="17" t="str">
        <f aca="false">IF(MOD(D410-1,안내!$C$7)=0,안내!$C$9,안내!$C$11)</f>
        <v>12:30</v>
      </c>
      <c r="T410" s="17" t="str">
        <f aca="false">CHOOSE(WEEKDAY(R410,2),"월","화","수","목","금","토","일")</f>
        <v>토</v>
      </c>
      <c r="U410" s="17" t="s">
        <v>78</v>
      </c>
      <c r="V410" s="17" t="s">
        <v>78</v>
      </c>
      <c r="W410" s="23"/>
      <c r="X410" s="23"/>
      <c r="Y410" s="21"/>
    </row>
    <row r="411" customFormat="false" ht="25.35" hidden="false" customHeight="false" outlineLevel="0" collapsed="false">
      <c r="A411" s="17" t="n">
        <v>410</v>
      </c>
      <c r="B411" s="18" t="s">
        <v>1359</v>
      </c>
      <c r="C411" s="17" t="s">
        <v>1225</v>
      </c>
      <c r="D411" s="17" t="n">
        <v>46</v>
      </c>
      <c r="E411" s="17" t="str">
        <f aca="false">C411&amp;"말씀 #"&amp;TEXT(D411,"000")</f>
        <v>신약말씀 #046</v>
      </c>
      <c r="F411" s="17" t="s">
        <v>1332</v>
      </c>
      <c r="G411" s="18" t="s">
        <v>1360</v>
      </c>
      <c r="H411" s="19" t="s">
        <v>1361</v>
      </c>
      <c r="I411" s="17" t="s">
        <v>239</v>
      </c>
      <c r="J411" s="17" t="s">
        <v>94</v>
      </c>
      <c r="K411" s="20"/>
      <c r="L411" s="17" t="s">
        <v>76</v>
      </c>
      <c r="M411" s="17" t="n">
        <f aca="false">LEN(K411)</f>
        <v>0</v>
      </c>
      <c r="N411" s="17" t="str">
        <f aca="false">IF(M411=0,"-",ROUND(3+M411/안내!$C$12,0))</f>
        <v>-</v>
      </c>
      <c r="O411" s="21" t="str">
        <f aca="false">IF(K411="","(본문 입력 후 자동) | 막 10:14",IF(LEN(K411)&gt;28,LEFT(K411,28)&amp;"…",K411)&amp;" | 막 10:14")</f>
        <v>(본문 입력 후 자동) | 막 10:14</v>
      </c>
      <c r="P411" s="21" t="str">
        <f aca="false">"#"&amp;SUBSTITUTE(안내!$C$5," ","")&amp;" #성경구절 #말씀 #마가복음 #사랑"</f>
        <v>#오늘의말씀 #성경구절 #말씀 #마가복음 #사랑</v>
      </c>
      <c r="Q411" s="21" t="s">
        <v>77</v>
      </c>
      <c r="R411" s="22" t="n">
        <f aca="false">안내!$C$6+INT((D411-1)/안내!$C$7)</f>
        <v>46410</v>
      </c>
      <c r="S411" s="17" t="str">
        <f aca="false">IF(MOD(D411-1,안내!$C$7)=0,안내!$C$9,안내!$C$11)</f>
        <v>21:30</v>
      </c>
      <c r="T411" s="17" t="str">
        <f aca="false">CHOOSE(WEEKDAY(R411,2),"월","화","수","목","금","토","일")</f>
        <v>토</v>
      </c>
      <c r="U411" s="17" t="s">
        <v>78</v>
      </c>
      <c r="V411" s="17" t="s">
        <v>78</v>
      </c>
      <c r="W411" s="23"/>
      <c r="X411" s="23"/>
      <c r="Y411" s="21"/>
    </row>
    <row r="412" customFormat="false" ht="25.35" hidden="false" customHeight="false" outlineLevel="0" collapsed="false">
      <c r="A412" s="17" t="n">
        <v>411</v>
      </c>
      <c r="B412" s="18" t="s">
        <v>1362</v>
      </c>
      <c r="C412" s="17" t="s">
        <v>1225</v>
      </c>
      <c r="D412" s="17" t="n">
        <v>47</v>
      </c>
      <c r="E412" s="17" t="str">
        <f aca="false">C412&amp;"말씀 #"&amp;TEXT(D412,"000")</f>
        <v>신약말씀 #047</v>
      </c>
      <c r="F412" s="17" t="s">
        <v>1332</v>
      </c>
      <c r="G412" s="18" t="s">
        <v>1363</v>
      </c>
      <c r="H412" s="19" t="s">
        <v>1364</v>
      </c>
      <c r="I412" s="17" t="s">
        <v>1365</v>
      </c>
      <c r="J412" s="17" t="s">
        <v>148</v>
      </c>
      <c r="K412" s="20"/>
      <c r="L412" s="17" t="s">
        <v>76</v>
      </c>
      <c r="M412" s="17" t="n">
        <f aca="false">LEN(K412)</f>
        <v>0</v>
      </c>
      <c r="N412" s="17" t="str">
        <f aca="false">IF(M412=0,"-",ROUND(3+M412/안내!$C$12,0))</f>
        <v>-</v>
      </c>
      <c r="O412" s="21" t="str">
        <f aca="false">IF(K412="","(본문 입력 후 자동) | 막 10:45",IF(LEN(K412)&gt;28,LEFT(K412,28)&amp;"…",K412)&amp;" | 막 10:45")</f>
        <v>(본문 입력 후 자동) | 막 10:45</v>
      </c>
      <c r="P412" s="21" t="str">
        <f aca="false">"#"&amp;SUBSTITUTE(안내!$C$5," ","")&amp;" #성경구절 #말씀 #마가복음 #섬김"</f>
        <v>#오늘의말씀 #성경구절 #말씀 #마가복음 #섬김</v>
      </c>
      <c r="Q412" s="21" t="s">
        <v>77</v>
      </c>
      <c r="R412" s="22" t="n">
        <f aca="false">안내!$C$6+INT((D412-1)/안내!$C$7)</f>
        <v>46411</v>
      </c>
      <c r="S412" s="17" t="str">
        <f aca="false">IF(MOD(D412-1,안내!$C$7)=0,안내!$C$9,안내!$C$11)</f>
        <v>12:30</v>
      </c>
      <c r="T412" s="17" t="str">
        <f aca="false">CHOOSE(WEEKDAY(R412,2),"월","화","수","목","금","토","일")</f>
        <v>일</v>
      </c>
      <c r="U412" s="17" t="s">
        <v>78</v>
      </c>
      <c r="V412" s="17" t="s">
        <v>78</v>
      </c>
      <c r="W412" s="23"/>
      <c r="X412" s="23"/>
      <c r="Y412" s="21"/>
    </row>
    <row r="413" customFormat="false" ht="39.55" hidden="false" customHeight="false" outlineLevel="0" collapsed="false">
      <c r="A413" s="17" t="n">
        <v>412</v>
      </c>
      <c r="B413" s="18" t="s">
        <v>1366</v>
      </c>
      <c r="C413" s="17" t="s">
        <v>1225</v>
      </c>
      <c r="D413" s="17" t="n">
        <v>48</v>
      </c>
      <c r="E413" s="17" t="str">
        <f aca="false">C413&amp;"말씀 #"&amp;TEXT(D413,"000")</f>
        <v>신약말씀 #048</v>
      </c>
      <c r="F413" s="17" t="s">
        <v>1332</v>
      </c>
      <c r="G413" s="18" t="s">
        <v>1367</v>
      </c>
      <c r="H413" s="19" t="s">
        <v>1368</v>
      </c>
      <c r="I413" s="17" t="s">
        <v>160</v>
      </c>
      <c r="J413" s="17" t="s">
        <v>104</v>
      </c>
      <c r="K413" s="20"/>
      <c r="L413" s="17" t="s">
        <v>76</v>
      </c>
      <c r="M413" s="17" t="n">
        <f aca="false">LEN(K413)</f>
        <v>0</v>
      </c>
      <c r="N413" s="17" t="str">
        <f aca="false">IF(M413=0,"-",ROUND(3+M413/안내!$C$12,0))</f>
        <v>-</v>
      </c>
      <c r="O413" s="21" t="str">
        <f aca="false">IF(K413="","(본문 입력 후 자동) | 막 11:24",IF(LEN(K413)&gt;28,LEFT(K413,28)&amp;"…",K413)&amp;" | 막 11:24")</f>
        <v>(본문 입력 후 자동) | 막 11:24</v>
      </c>
      <c r="P413" s="21" t="str">
        <f aca="false">"#"&amp;SUBSTITUTE(안내!$C$5," ","")&amp;" #성경구절 #말씀 #마가복음 #기도"</f>
        <v>#오늘의말씀 #성경구절 #말씀 #마가복음 #기도</v>
      </c>
      <c r="Q413" s="24" t="s">
        <v>1369</v>
      </c>
      <c r="R413" s="22" t="n">
        <f aca="false">안내!$C$6+INT((D413-1)/안내!$C$7)</f>
        <v>46411</v>
      </c>
      <c r="S413" s="17" t="str">
        <f aca="false">IF(MOD(D413-1,안내!$C$7)=0,안내!$C$9,안내!$C$11)</f>
        <v>21:30</v>
      </c>
      <c r="T413" s="17" t="str">
        <f aca="false">CHOOSE(WEEKDAY(R413,2),"월","화","수","목","금","토","일")</f>
        <v>일</v>
      </c>
      <c r="U413" s="17" t="s">
        <v>78</v>
      </c>
      <c r="V413" s="17" t="s">
        <v>78</v>
      </c>
      <c r="W413" s="23"/>
      <c r="X413" s="23"/>
      <c r="Y413" s="21"/>
    </row>
    <row r="414" customFormat="false" ht="25.35" hidden="false" customHeight="false" outlineLevel="0" collapsed="false">
      <c r="A414" s="17" t="n">
        <v>413</v>
      </c>
      <c r="B414" s="18" t="s">
        <v>1370</v>
      </c>
      <c r="C414" s="17" t="s">
        <v>1225</v>
      </c>
      <c r="D414" s="17" t="n">
        <v>49</v>
      </c>
      <c r="E414" s="17" t="str">
        <f aca="false">C414&amp;"말씀 #"&amp;TEXT(D414,"000")</f>
        <v>신약말씀 #049</v>
      </c>
      <c r="F414" s="17" t="s">
        <v>1332</v>
      </c>
      <c r="G414" s="18" t="s">
        <v>14</v>
      </c>
      <c r="H414" s="19" t="s">
        <v>1371</v>
      </c>
      <c r="I414" s="17" t="s">
        <v>239</v>
      </c>
      <c r="J414" s="17" t="s">
        <v>94</v>
      </c>
      <c r="K414" s="20"/>
      <c r="L414" s="17" t="s">
        <v>76</v>
      </c>
      <c r="M414" s="17" t="n">
        <f aca="false">LEN(K414)</f>
        <v>0</v>
      </c>
      <c r="N414" s="17" t="str">
        <f aca="false">IF(M414=0,"-",ROUND(3+M414/안내!$C$12,0))</f>
        <v>-</v>
      </c>
      <c r="O414" s="21" t="str">
        <f aca="false">IF(K414="","(본문 입력 후 자동) | 막 12:30",IF(LEN(K414)&gt;28,LEFT(K414,28)&amp;"…",K414)&amp;" | 막 12:30")</f>
        <v>(본문 입력 후 자동) | 막 12:30</v>
      </c>
      <c r="P414" s="21" t="str">
        <f aca="false">"#"&amp;SUBSTITUTE(안내!$C$5," ","")&amp;" #성경구절 #말씀 #마가복음 #사랑"</f>
        <v>#오늘의말씀 #성경구절 #말씀 #마가복음 #사랑</v>
      </c>
      <c r="Q414" s="21" t="s">
        <v>77</v>
      </c>
      <c r="R414" s="22" t="n">
        <f aca="false">안내!$C$6+INT((D414-1)/안내!$C$7)</f>
        <v>46412</v>
      </c>
      <c r="S414" s="17" t="str">
        <f aca="false">IF(MOD(D414-1,안내!$C$7)=0,안내!$C$9,안내!$C$11)</f>
        <v>12:30</v>
      </c>
      <c r="T414" s="17" t="str">
        <f aca="false">CHOOSE(WEEKDAY(R414,2),"월","화","수","목","금","토","일")</f>
        <v>월</v>
      </c>
      <c r="U414" s="17" t="s">
        <v>78</v>
      </c>
      <c r="V414" s="17" t="s">
        <v>78</v>
      </c>
      <c r="W414" s="23"/>
      <c r="X414" s="23"/>
      <c r="Y414" s="21"/>
    </row>
    <row r="415" customFormat="false" ht="25.35" hidden="false" customHeight="false" outlineLevel="0" collapsed="false">
      <c r="A415" s="17" t="n">
        <v>414</v>
      </c>
      <c r="B415" s="18" t="s">
        <v>1372</v>
      </c>
      <c r="C415" s="17" t="s">
        <v>1225</v>
      </c>
      <c r="D415" s="17" t="n">
        <v>50</v>
      </c>
      <c r="E415" s="17" t="str">
        <f aca="false">C415&amp;"말씀 #"&amp;TEXT(D415,"000")</f>
        <v>신약말씀 #050</v>
      </c>
      <c r="F415" s="17" t="s">
        <v>1332</v>
      </c>
      <c r="G415" s="18" t="s">
        <v>1373</v>
      </c>
      <c r="H415" s="19" t="s">
        <v>1374</v>
      </c>
      <c r="I415" s="17" t="s">
        <v>970</v>
      </c>
      <c r="J415" s="17" t="s">
        <v>104</v>
      </c>
      <c r="K415" s="20"/>
      <c r="L415" s="17" t="s">
        <v>76</v>
      </c>
      <c r="M415" s="17" t="n">
        <f aca="false">LEN(K415)</f>
        <v>0</v>
      </c>
      <c r="N415" s="17" t="str">
        <f aca="false">IF(M415=0,"-",ROUND(3+M415/안내!$C$12,0))</f>
        <v>-</v>
      </c>
      <c r="O415" s="21" t="str">
        <f aca="false">IF(K415="","(본문 입력 후 자동) | 막 16:15",IF(LEN(K415)&gt;28,LEFT(K415,28)&amp;"…",K415)&amp;" | 막 16:15")</f>
        <v>(본문 입력 후 자동) | 막 16:15</v>
      </c>
      <c r="P415" s="21" t="str">
        <f aca="false">"#"&amp;SUBSTITUTE(안내!$C$5," ","")&amp;" #성경구절 #말씀 #마가복음 #복음"</f>
        <v>#오늘의말씀 #성경구절 #말씀 #마가복음 #복음</v>
      </c>
      <c r="Q415" s="21" t="s">
        <v>77</v>
      </c>
      <c r="R415" s="22" t="n">
        <f aca="false">안내!$C$6+INT((D415-1)/안내!$C$7)</f>
        <v>46412</v>
      </c>
      <c r="S415" s="17" t="str">
        <f aca="false">IF(MOD(D415-1,안내!$C$7)=0,안내!$C$9,안내!$C$11)</f>
        <v>21:30</v>
      </c>
      <c r="T415" s="17" t="str">
        <f aca="false">CHOOSE(WEEKDAY(R415,2),"월","화","수","목","금","토","일")</f>
        <v>월</v>
      </c>
      <c r="U415" s="17" t="s">
        <v>78</v>
      </c>
      <c r="V415" s="17" t="s">
        <v>78</v>
      </c>
      <c r="W415" s="23"/>
      <c r="X415" s="23"/>
      <c r="Y415" s="21"/>
    </row>
    <row r="416" customFormat="false" ht="15" hidden="false" customHeight="false" outlineLevel="0" collapsed="false">
      <c r="A416" s="17" t="n">
        <v>415</v>
      </c>
      <c r="B416" s="18" t="s">
        <v>1375</v>
      </c>
      <c r="C416" s="17" t="s">
        <v>1225</v>
      </c>
      <c r="D416" s="17" t="n">
        <v>51</v>
      </c>
      <c r="E416" s="17" t="str">
        <f aca="false">C416&amp;"말씀 #"&amp;TEXT(D416,"000")</f>
        <v>신약말씀 #051</v>
      </c>
      <c r="F416" s="17" t="s">
        <v>1376</v>
      </c>
      <c r="G416" s="18" t="s">
        <v>1377</v>
      </c>
      <c r="H416" s="19" t="s">
        <v>1378</v>
      </c>
      <c r="I416" s="17" t="s">
        <v>140</v>
      </c>
      <c r="J416" s="17" t="s">
        <v>113</v>
      </c>
      <c r="K416" s="20"/>
      <c r="L416" s="17" t="s">
        <v>76</v>
      </c>
      <c r="M416" s="17" t="n">
        <f aca="false">LEN(K416)</f>
        <v>0</v>
      </c>
      <c r="N416" s="17" t="str">
        <f aca="false">IF(M416=0,"-",ROUND(3+M416/안내!$C$12,0))</f>
        <v>-</v>
      </c>
      <c r="O416" s="21" t="str">
        <f aca="false">IF(K416="","(본문 입력 후 자동) | 눅 1:37",IF(LEN(K416)&gt;28,LEFT(K416,28)&amp;"…",K416)&amp;" | 눅 1:37")</f>
        <v>(본문 입력 후 자동) | 눅 1:37</v>
      </c>
      <c r="P416" s="21" t="str">
        <f aca="false">"#"&amp;SUBSTITUTE(안내!$C$5," ","")&amp;" #성경구절 #말씀 #누가복음 #능력"</f>
        <v>#오늘의말씀 #성경구절 #말씀 #누가복음 #능력</v>
      </c>
      <c r="Q416" s="21" t="s">
        <v>77</v>
      </c>
      <c r="R416" s="22" t="n">
        <f aca="false">안내!$C$6+INT((D416-1)/안내!$C$7)</f>
        <v>46413</v>
      </c>
      <c r="S416" s="17" t="str">
        <f aca="false">IF(MOD(D416-1,안내!$C$7)=0,안내!$C$9,안내!$C$11)</f>
        <v>12:30</v>
      </c>
      <c r="T416" s="17" t="str">
        <f aca="false">CHOOSE(WEEKDAY(R416,2),"월","화","수","목","금","토","일")</f>
        <v>화</v>
      </c>
      <c r="U416" s="17" t="s">
        <v>78</v>
      </c>
      <c r="V416" s="17" t="s">
        <v>78</v>
      </c>
      <c r="W416" s="23"/>
      <c r="X416" s="23"/>
      <c r="Y416" s="21"/>
    </row>
    <row r="417" customFormat="false" ht="15" hidden="false" customHeight="false" outlineLevel="0" collapsed="false">
      <c r="A417" s="17" t="n">
        <v>416</v>
      </c>
      <c r="B417" s="18" t="s">
        <v>1379</v>
      </c>
      <c r="C417" s="17" t="s">
        <v>1225</v>
      </c>
      <c r="D417" s="17" t="n">
        <v>52</v>
      </c>
      <c r="E417" s="17" t="str">
        <f aca="false">C417&amp;"말씀 #"&amp;TEXT(D417,"000")</f>
        <v>신약말씀 #052</v>
      </c>
      <c r="F417" s="17" t="s">
        <v>1376</v>
      </c>
      <c r="G417" s="18" t="s">
        <v>1380</v>
      </c>
      <c r="H417" s="19" t="s">
        <v>1381</v>
      </c>
      <c r="I417" s="17" t="s">
        <v>121</v>
      </c>
      <c r="J417" s="17" t="s">
        <v>122</v>
      </c>
      <c r="K417" s="20"/>
      <c r="L417" s="17" t="s">
        <v>76</v>
      </c>
      <c r="M417" s="17" t="n">
        <f aca="false">LEN(K417)</f>
        <v>0</v>
      </c>
      <c r="N417" s="17" t="str">
        <f aca="false">IF(M417=0,"-",ROUND(3+M417/안내!$C$12,0))</f>
        <v>-</v>
      </c>
      <c r="O417" s="21" t="str">
        <f aca="false">IF(K417="","(본문 입력 후 자동) | 눅 1:38",IF(LEN(K417)&gt;28,LEFT(K417,28)&amp;"…",K417)&amp;" | 눅 1:38")</f>
        <v>(본문 입력 후 자동) | 눅 1:38</v>
      </c>
      <c r="P417" s="21" t="str">
        <f aca="false">"#"&amp;SUBSTITUTE(안내!$C$5," ","")&amp;" #성경구절 #말씀 #누가복음 #순종"</f>
        <v>#오늘의말씀 #성경구절 #말씀 #누가복음 #순종</v>
      </c>
      <c r="Q417" s="21" t="s">
        <v>77</v>
      </c>
      <c r="R417" s="22" t="n">
        <f aca="false">안내!$C$6+INT((D417-1)/안내!$C$7)</f>
        <v>46413</v>
      </c>
      <c r="S417" s="17" t="str">
        <f aca="false">IF(MOD(D417-1,안내!$C$7)=0,안내!$C$9,안내!$C$11)</f>
        <v>21:30</v>
      </c>
      <c r="T417" s="17" t="str">
        <f aca="false">CHOOSE(WEEKDAY(R417,2),"월","화","수","목","금","토","일")</f>
        <v>화</v>
      </c>
      <c r="U417" s="17" t="s">
        <v>78</v>
      </c>
      <c r="V417" s="17" t="s">
        <v>78</v>
      </c>
      <c r="W417" s="23"/>
      <c r="X417" s="23"/>
      <c r="Y417" s="21"/>
    </row>
    <row r="418" customFormat="false" ht="15" hidden="false" customHeight="false" outlineLevel="0" collapsed="false">
      <c r="A418" s="17" t="n">
        <v>417</v>
      </c>
      <c r="B418" s="18" t="s">
        <v>1382</v>
      </c>
      <c r="C418" s="17" t="s">
        <v>1225</v>
      </c>
      <c r="D418" s="17" t="n">
        <v>53</v>
      </c>
      <c r="E418" s="17" t="str">
        <f aca="false">C418&amp;"말씀 #"&amp;TEXT(D418,"000")</f>
        <v>신약말씀 #053</v>
      </c>
      <c r="F418" s="17" t="s">
        <v>1376</v>
      </c>
      <c r="G418" s="18" t="s">
        <v>1383</v>
      </c>
      <c r="H418" s="19" t="s">
        <v>1384</v>
      </c>
      <c r="I418" s="17" t="s">
        <v>196</v>
      </c>
      <c r="J418" s="17" t="s">
        <v>75</v>
      </c>
      <c r="K418" s="20"/>
      <c r="L418" s="17" t="s">
        <v>76</v>
      </c>
      <c r="M418" s="17" t="n">
        <f aca="false">LEN(K418)</f>
        <v>0</v>
      </c>
      <c r="N418" s="17" t="str">
        <f aca="false">IF(M418=0,"-",ROUND(3+M418/안내!$C$12,0))</f>
        <v>-</v>
      </c>
      <c r="O418" s="21" t="str">
        <f aca="false">IF(K418="","(본문 입력 후 자동) | 눅 1:46",IF(LEN(K418)&gt;28,LEFT(K418,28)&amp;"…",K418)&amp;" | 눅 1:46")</f>
        <v>(본문 입력 후 자동) | 눅 1:46</v>
      </c>
      <c r="P418" s="21" t="str">
        <f aca="false">"#"&amp;SUBSTITUTE(안내!$C$5," ","")&amp;" #성경구절 #말씀 #누가복음 #찬양"</f>
        <v>#오늘의말씀 #성경구절 #말씀 #누가복음 #찬양</v>
      </c>
      <c r="Q418" s="21" t="s">
        <v>77</v>
      </c>
      <c r="R418" s="22" t="n">
        <f aca="false">안내!$C$6+INT((D418-1)/안내!$C$7)</f>
        <v>46414</v>
      </c>
      <c r="S418" s="17" t="str">
        <f aca="false">IF(MOD(D418-1,안내!$C$7)=0,안내!$C$9,안내!$C$11)</f>
        <v>12:30</v>
      </c>
      <c r="T418" s="17" t="str">
        <f aca="false">CHOOSE(WEEKDAY(R418,2),"월","화","수","목","금","토","일")</f>
        <v>수</v>
      </c>
      <c r="U418" s="17" t="s">
        <v>78</v>
      </c>
      <c r="V418" s="17" t="s">
        <v>78</v>
      </c>
      <c r="W418" s="23"/>
      <c r="X418" s="23"/>
      <c r="Y418" s="21"/>
    </row>
    <row r="419" customFormat="false" ht="15" hidden="false" customHeight="false" outlineLevel="0" collapsed="false">
      <c r="A419" s="17" t="n">
        <v>418</v>
      </c>
      <c r="B419" s="18" t="s">
        <v>1385</v>
      </c>
      <c r="C419" s="17" t="s">
        <v>1225</v>
      </c>
      <c r="D419" s="17" t="n">
        <v>54</v>
      </c>
      <c r="E419" s="17" t="str">
        <f aca="false">C419&amp;"말씀 #"&amp;TEXT(D419,"000")</f>
        <v>신약말씀 #054</v>
      </c>
      <c r="F419" s="17" t="s">
        <v>1376</v>
      </c>
      <c r="G419" s="18" t="s">
        <v>499</v>
      </c>
      <c r="H419" s="19" t="s">
        <v>1386</v>
      </c>
      <c r="I419" s="17" t="s">
        <v>483</v>
      </c>
      <c r="J419" s="17" t="s">
        <v>89</v>
      </c>
      <c r="K419" s="20"/>
      <c r="L419" s="17" t="s">
        <v>76</v>
      </c>
      <c r="M419" s="17" t="n">
        <f aca="false">LEN(K419)</f>
        <v>0</v>
      </c>
      <c r="N419" s="17" t="str">
        <f aca="false">IF(M419=0,"-",ROUND(3+M419/안내!$C$12,0))</f>
        <v>-</v>
      </c>
      <c r="O419" s="21" t="str">
        <f aca="false">IF(K419="","(본문 입력 후 자동) | 눅 2:10",IF(LEN(K419)&gt;28,LEFT(K419,28)&amp;"…",K419)&amp;" | 눅 2:10")</f>
        <v>(본문 입력 후 자동) | 눅 2:10</v>
      </c>
      <c r="P419" s="21" t="str">
        <f aca="false">"#"&amp;SUBSTITUTE(안내!$C$5," ","")&amp;" #성경구절 #말씀 #누가복음 #기쁨"</f>
        <v>#오늘의말씀 #성경구절 #말씀 #누가복음 #기쁨</v>
      </c>
      <c r="Q419" s="21" t="s">
        <v>77</v>
      </c>
      <c r="R419" s="22" t="n">
        <f aca="false">안내!$C$6+INT((D419-1)/안내!$C$7)</f>
        <v>46414</v>
      </c>
      <c r="S419" s="17" t="str">
        <f aca="false">IF(MOD(D419-1,안내!$C$7)=0,안내!$C$9,안내!$C$11)</f>
        <v>21:30</v>
      </c>
      <c r="T419" s="17" t="str">
        <f aca="false">CHOOSE(WEEKDAY(R419,2),"월","화","수","목","금","토","일")</f>
        <v>수</v>
      </c>
      <c r="U419" s="17" t="s">
        <v>78</v>
      </c>
      <c r="V419" s="17" t="s">
        <v>78</v>
      </c>
      <c r="W419" s="23"/>
      <c r="X419" s="23"/>
      <c r="Y419" s="21"/>
    </row>
    <row r="420" customFormat="false" ht="15" hidden="false" customHeight="false" outlineLevel="0" collapsed="false">
      <c r="A420" s="17" t="n">
        <v>419</v>
      </c>
      <c r="B420" s="18" t="s">
        <v>1387</v>
      </c>
      <c r="C420" s="17" t="s">
        <v>1225</v>
      </c>
      <c r="D420" s="17" t="n">
        <v>55</v>
      </c>
      <c r="E420" s="17" t="str">
        <f aca="false">C420&amp;"말씀 #"&amp;TEXT(D420,"000")</f>
        <v>신약말씀 #055</v>
      </c>
      <c r="F420" s="17" t="s">
        <v>1376</v>
      </c>
      <c r="G420" s="18" t="s">
        <v>1388</v>
      </c>
      <c r="H420" s="19" t="s">
        <v>1389</v>
      </c>
      <c r="I420" s="17" t="s">
        <v>103</v>
      </c>
      <c r="J420" s="17" t="s">
        <v>104</v>
      </c>
      <c r="K420" s="20"/>
      <c r="L420" s="17" t="s">
        <v>76</v>
      </c>
      <c r="M420" s="17" t="n">
        <f aca="false">LEN(K420)</f>
        <v>0</v>
      </c>
      <c r="N420" s="17" t="str">
        <f aca="false">IF(M420=0,"-",ROUND(3+M420/안내!$C$12,0))</f>
        <v>-</v>
      </c>
      <c r="O420" s="21" t="str">
        <f aca="false">IF(K420="","(본문 입력 후 자동) | 눅 2:11",IF(LEN(K420)&gt;28,LEFT(K420,28)&amp;"…",K420)&amp;" | 눅 2:11")</f>
        <v>(본문 입력 후 자동) | 눅 2:11</v>
      </c>
      <c r="P420" s="21" t="str">
        <f aca="false">"#"&amp;SUBSTITUTE(안내!$C$5," ","")&amp;" #성경구절 #말씀 #누가복음 #구원"</f>
        <v>#오늘의말씀 #성경구절 #말씀 #누가복음 #구원</v>
      </c>
      <c r="Q420" s="21" t="s">
        <v>77</v>
      </c>
      <c r="R420" s="22" t="n">
        <f aca="false">안내!$C$6+INT((D420-1)/안내!$C$7)</f>
        <v>46415</v>
      </c>
      <c r="S420" s="17" t="str">
        <f aca="false">IF(MOD(D420-1,안내!$C$7)=0,안내!$C$9,안내!$C$11)</f>
        <v>12:30</v>
      </c>
      <c r="T420" s="17" t="str">
        <f aca="false">CHOOSE(WEEKDAY(R420,2),"월","화","수","목","금","토","일")</f>
        <v>목</v>
      </c>
      <c r="U420" s="17" t="s">
        <v>78</v>
      </c>
      <c r="V420" s="17" t="s">
        <v>78</v>
      </c>
      <c r="W420" s="23"/>
      <c r="X420" s="23"/>
      <c r="Y420" s="21"/>
    </row>
    <row r="421" customFormat="false" ht="15" hidden="false" customHeight="false" outlineLevel="0" collapsed="false">
      <c r="A421" s="17" t="n">
        <v>420</v>
      </c>
      <c r="B421" s="18" t="s">
        <v>1390</v>
      </c>
      <c r="C421" s="17" t="s">
        <v>1225</v>
      </c>
      <c r="D421" s="17" t="n">
        <v>56</v>
      </c>
      <c r="E421" s="17" t="str">
        <f aca="false">C421&amp;"말씀 #"&amp;TEXT(D421,"000")</f>
        <v>신약말씀 #056</v>
      </c>
      <c r="F421" s="17" t="s">
        <v>1376</v>
      </c>
      <c r="G421" s="18" t="s">
        <v>1182</v>
      </c>
      <c r="H421" s="19" t="s">
        <v>1391</v>
      </c>
      <c r="I421" s="17" t="s">
        <v>221</v>
      </c>
      <c r="J421" s="17" t="s">
        <v>99</v>
      </c>
      <c r="K421" s="20"/>
      <c r="L421" s="17" t="s">
        <v>76</v>
      </c>
      <c r="M421" s="17" t="n">
        <f aca="false">LEN(K421)</f>
        <v>0</v>
      </c>
      <c r="N421" s="17" t="str">
        <f aca="false">IF(M421=0,"-",ROUND(3+M421/안내!$C$12,0))</f>
        <v>-</v>
      </c>
      <c r="O421" s="21" t="str">
        <f aca="false">IF(K421="","(본문 입력 후 자동) | 눅 2:14",IF(LEN(K421)&gt;28,LEFT(K421,28)&amp;"…",K421)&amp;" | 눅 2:14")</f>
        <v>(본문 입력 후 자동) | 눅 2:14</v>
      </c>
      <c r="P421" s="21" t="str">
        <f aca="false">"#"&amp;SUBSTITUTE(안내!$C$5," ","")&amp;" #성경구절 #말씀 #누가복음 #평안"</f>
        <v>#오늘의말씀 #성경구절 #말씀 #누가복음 #평안</v>
      </c>
      <c r="Q421" s="21" t="s">
        <v>77</v>
      </c>
      <c r="R421" s="22" t="n">
        <f aca="false">안내!$C$6+INT((D421-1)/안내!$C$7)</f>
        <v>46415</v>
      </c>
      <c r="S421" s="17" t="str">
        <f aca="false">IF(MOD(D421-1,안내!$C$7)=0,안내!$C$9,안내!$C$11)</f>
        <v>21:30</v>
      </c>
      <c r="T421" s="17" t="str">
        <f aca="false">CHOOSE(WEEKDAY(R421,2),"월","화","수","목","금","토","일")</f>
        <v>목</v>
      </c>
      <c r="U421" s="17" t="s">
        <v>78</v>
      </c>
      <c r="V421" s="17" t="s">
        <v>78</v>
      </c>
      <c r="W421" s="23"/>
      <c r="X421" s="23"/>
      <c r="Y421" s="21"/>
    </row>
    <row r="422" customFormat="false" ht="15" hidden="false" customHeight="false" outlineLevel="0" collapsed="false">
      <c r="A422" s="17" t="n">
        <v>421</v>
      </c>
      <c r="B422" s="18" t="s">
        <v>1392</v>
      </c>
      <c r="C422" s="17" t="s">
        <v>1225</v>
      </c>
      <c r="D422" s="17" t="n">
        <v>57</v>
      </c>
      <c r="E422" s="17" t="str">
        <f aca="false">C422&amp;"말씀 #"&amp;TEXT(D422,"000")</f>
        <v>신약말씀 #057</v>
      </c>
      <c r="F422" s="17" t="s">
        <v>1376</v>
      </c>
      <c r="G422" s="18" t="s">
        <v>1393</v>
      </c>
      <c r="H422" s="19" t="s">
        <v>1394</v>
      </c>
      <c r="I422" s="17" t="s">
        <v>1395</v>
      </c>
      <c r="J422" s="17" t="s">
        <v>148</v>
      </c>
      <c r="K422" s="20"/>
      <c r="L422" s="17" t="s">
        <v>76</v>
      </c>
      <c r="M422" s="17" t="n">
        <f aca="false">LEN(K422)</f>
        <v>0</v>
      </c>
      <c r="N422" s="17" t="str">
        <f aca="false">IF(M422=0,"-",ROUND(3+M422/안내!$C$12,0))</f>
        <v>-</v>
      </c>
      <c r="O422" s="21" t="str">
        <f aca="false">IF(K422="","(본문 입력 후 자동) | 눅 2:52",IF(LEN(K422)&gt;28,LEFT(K422,28)&amp;"…",K422)&amp;" | 눅 2:52")</f>
        <v>(본문 입력 후 자동) | 눅 2:52</v>
      </c>
      <c r="P422" s="21" t="str">
        <f aca="false">"#"&amp;SUBSTITUTE(안내!$C$5," ","")&amp;" #성경구절 #말씀 #누가복음 #성장"</f>
        <v>#오늘의말씀 #성경구절 #말씀 #누가복음 #성장</v>
      </c>
      <c r="Q422" s="21" t="s">
        <v>77</v>
      </c>
      <c r="R422" s="22" t="n">
        <f aca="false">안내!$C$6+INT((D422-1)/안내!$C$7)</f>
        <v>46416</v>
      </c>
      <c r="S422" s="17" t="str">
        <f aca="false">IF(MOD(D422-1,안내!$C$7)=0,안내!$C$9,안내!$C$11)</f>
        <v>12:30</v>
      </c>
      <c r="T422" s="17" t="str">
        <f aca="false">CHOOSE(WEEKDAY(R422,2),"월","화","수","목","금","토","일")</f>
        <v>금</v>
      </c>
      <c r="U422" s="17" t="s">
        <v>78</v>
      </c>
      <c r="V422" s="17" t="s">
        <v>78</v>
      </c>
      <c r="W422" s="23"/>
      <c r="X422" s="23"/>
      <c r="Y422" s="21"/>
    </row>
    <row r="423" customFormat="false" ht="15" hidden="false" customHeight="false" outlineLevel="0" collapsed="false">
      <c r="A423" s="17" t="n">
        <v>422</v>
      </c>
      <c r="B423" s="18" t="s">
        <v>1396</v>
      </c>
      <c r="C423" s="17" t="s">
        <v>1225</v>
      </c>
      <c r="D423" s="17" t="n">
        <v>58</v>
      </c>
      <c r="E423" s="17" t="str">
        <f aca="false">C423&amp;"말씀 #"&amp;TEXT(D423,"000")</f>
        <v>신약말씀 #058</v>
      </c>
      <c r="F423" s="17" t="s">
        <v>1376</v>
      </c>
      <c r="G423" s="18" t="s">
        <v>1397</v>
      </c>
      <c r="H423" s="19" t="s">
        <v>1398</v>
      </c>
      <c r="I423" s="17" t="s">
        <v>970</v>
      </c>
      <c r="J423" s="17" t="s">
        <v>104</v>
      </c>
      <c r="K423" s="20"/>
      <c r="L423" s="17" t="s">
        <v>76</v>
      </c>
      <c r="M423" s="17" t="n">
        <f aca="false">LEN(K423)</f>
        <v>0</v>
      </c>
      <c r="N423" s="17" t="str">
        <f aca="false">IF(M423=0,"-",ROUND(3+M423/안내!$C$12,0))</f>
        <v>-</v>
      </c>
      <c r="O423" s="21" t="str">
        <f aca="false">IF(K423="","(본문 입력 후 자동) | 눅 4:18",IF(LEN(K423)&gt;28,LEFT(K423,28)&amp;"…",K423)&amp;" | 눅 4:18")</f>
        <v>(본문 입력 후 자동) | 눅 4:18</v>
      </c>
      <c r="P423" s="21" t="str">
        <f aca="false">"#"&amp;SUBSTITUTE(안내!$C$5," ","")&amp;" #성경구절 #말씀 #누가복음 #복음"</f>
        <v>#오늘의말씀 #성경구절 #말씀 #누가복음 #복음</v>
      </c>
      <c r="Q423" s="21" t="s">
        <v>77</v>
      </c>
      <c r="R423" s="22" t="n">
        <f aca="false">안내!$C$6+INT((D423-1)/안내!$C$7)</f>
        <v>46416</v>
      </c>
      <c r="S423" s="17" t="str">
        <f aca="false">IF(MOD(D423-1,안내!$C$7)=0,안내!$C$9,안내!$C$11)</f>
        <v>21:30</v>
      </c>
      <c r="T423" s="17" t="str">
        <f aca="false">CHOOSE(WEEKDAY(R423,2),"월","화","수","목","금","토","일")</f>
        <v>금</v>
      </c>
      <c r="U423" s="17" t="s">
        <v>78</v>
      </c>
      <c r="V423" s="17" t="s">
        <v>78</v>
      </c>
      <c r="W423" s="23"/>
      <c r="X423" s="23"/>
      <c r="Y423" s="21"/>
    </row>
    <row r="424" customFormat="false" ht="15" hidden="false" customHeight="false" outlineLevel="0" collapsed="false">
      <c r="A424" s="17" t="n">
        <v>423</v>
      </c>
      <c r="B424" s="18" t="s">
        <v>1399</v>
      </c>
      <c r="C424" s="17" t="s">
        <v>1225</v>
      </c>
      <c r="D424" s="17" t="n">
        <v>59</v>
      </c>
      <c r="E424" s="17" t="str">
        <f aca="false">C424&amp;"말씀 #"&amp;TEXT(D424,"000")</f>
        <v>신약말씀 #059</v>
      </c>
      <c r="F424" s="17" t="s">
        <v>1376</v>
      </c>
      <c r="G424" s="18" t="s">
        <v>1400</v>
      </c>
      <c r="H424" s="19" t="s">
        <v>1401</v>
      </c>
      <c r="I424" s="17" t="s">
        <v>121</v>
      </c>
      <c r="J424" s="17" t="s">
        <v>122</v>
      </c>
      <c r="K424" s="20"/>
      <c r="L424" s="17" t="s">
        <v>76</v>
      </c>
      <c r="M424" s="17" t="n">
        <f aca="false">LEN(K424)</f>
        <v>0</v>
      </c>
      <c r="N424" s="17" t="str">
        <f aca="false">IF(M424=0,"-",ROUND(3+M424/안내!$C$12,0))</f>
        <v>-</v>
      </c>
      <c r="O424" s="21" t="str">
        <f aca="false">IF(K424="","(본문 입력 후 자동) | 눅 5:5",IF(LEN(K424)&gt;28,LEFT(K424,28)&amp;"…",K424)&amp;" | 눅 5:5")</f>
        <v>(본문 입력 후 자동) | 눅 5:5</v>
      </c>
      <c r="P424" s="21" t="str">
        <f aca="false">"#"&amp;SUBSTITUTE(안내!$C$5," ","")&amp;" #성경구절 #말씀 #누가복음 #순종"</f>
        <v>#오늘의말씀 #성경구절 #말씀 #누가복음 #순종</v>
      </c>
      <c r="Q424" s="21" t="s">
        <v>77</v>
      </c>
      <c r="R424" s="22" t="n">
        <f aca="false">안내!$C$6+INT((D424-1)/안내!$C$7)</f>
        <v>46417</v>
      </c>
      <c r="S424" s="17" t="str">
        <f aca="false">IF(MOD(D424-1,안내!$C$7)=0,안내!$C$9,안내!$C$11)</f>
        <v>12:30</v>
      </c>
      <c r="T424" s="17" t="str">
        <f aca="false">CHOOSE(WEEKDAY(R424,2),"월","화","수","목","금","토","일")</f>
        <v>토</v>
      </c>
      <c r="U424" s="17" t="s">
        <v>78</v>
      </c>
      <c r="V424" s="17" t="s">
        <v>78</v>
      </c>
      <c r="W424" s="23"/>
      <c r="X424" s="23"/>
      <c r="Y424" s="21"/>
    </row>
    <row r="425" customFormat="false" ht="15" hidden="false" customHeight="false" outlineLevel="0" collapsed="false">
      <c r="A425" s="17" t="n">
        <v>424</v>
      </c>
      <c r="B425" s="18" t="s">
        <v>1402</v>
      </c>
      <c r="C425" s="17" t="s">
        <v>1225</v>
      </c>
      <c r="D425" s="17" t="n">
        <v>60</v>
      </c>
      <c r="E425" s="17" t="str">
        <f aca="false">C425&amp;"말씀 #"&amp;TEXT(D425,"000")</f>
        <v>신약말씀 #060</v>
      </c>
      <c r="F425" s="17" t="s">
        <v>1376</v>
      </c>
      <c r="G425" s="18" t="s">
        <v>1348</v>
      </c>
      <c r="H425" s="19" t="s">
        <v>1403</v>
      </c>
      <c r="I425" s="17" t="s">
        <v>239</v>
      </c>
      <c r="J425" s="17" t="s">
        <v>94</v>
      </c>
      <c r="K425" s="20"/>
      <c r="L425" s="17" t="s">
        <v>76</v>
      </c>
      <c r="M425" s="17" t="n">
        <f aca="false">LEN(K425)</f>
        <v>0</v>
      </c>
      <c r="N425" s="17" t="str">
        <f aca="false">IF(M425=0,"-",ROUND(3+M425/안내!$C$12,0))</f>
        <v>-</v>
      </c>
      <c r="O425" s="21" t="str">
        <f aca="false">IF(K425="","(본문 입력 후 자동) | 눅 6:31",IF(LEN(K425)&gt;28,LEFT(K425,28)&amp;"…",K425)&amp;" | 눅 6:31")</f>
        <v>(본문 입력 후 자동) | 눅 6:31</v>
      </c>
      <c r="P425" s="21" t="str">
        <f aca="false">"#"&amp;SUBSTITUTE(안내!$C$5," ","")&amp;" #성경구절 #말씀 #누가복음 #사랑"</f>
        <v>#오늘의말씀 #성경구절 #말씀 #누가복음 #사랑</v>
      </c>
      <c r="Q425" s="21" t="s">
        <v>77</v>
      </c>
      <c r="R425" s="22" t="n">
        <f aca="false">안내!$C$6+INT((D425-1)/안내!$C$7)</f>
        <v>46417</v>
      </c>
      <c r="S425" s="17" t="str">
        <f aca="false">IF(MOD(D425-1,안내!$C$7)=0,안내!$C$9,안내!$C$11)</f>
        <v>21:30</v>
      </c>
      <c r="T425" s="17" t="str">
        <f aca="false">CHOOSE(WEEKDAY(R425,2),"월","화","수","목","금","토","일")</f>
        <v>토</v>
      </c>
      <c r="U425" s="17" t="s">
        <v>78</v>
      </c>
      <c r="V425" s="17" t="s">
        <v>78</v>
      </c>
      <c r="W425" s="23"/>
      <c r="X425" s="23"/>
      <c r="Y425" s="21"/>
    </row>
    <row r="426" customFormat="false" ht="15" hidden="false" customHeight="false" outlineLevel="0" collapsed="false">
      <c r="A426" s="17" t="n">
        <v>425</v>
      </c>
      <c r="B426" s="18" t="s">
        <v>1404</v>
      </c>
      <c r="C426" s="17" t="s">
        <v>1225</v>
      </c>
      <c r="D426" s="17" t="n">
        <v>61</v>
      </c>
      <c r="E426" s="17" t="str">
        <f aca="false">C426&amp;"말씀 #"&amp;TEXT(D426,"000")</f>
        <v>신약말씀 #061</v>
      </c>
      <c r="F426" s="17" t="s">
        <v>1376</v>
      </c>
      <c r="G426" s="18" t="s">
        <v>1405</v>
      </c>
      <c r="H426" s="19" t="s">
        <v>1406</v>
      </c>
      <c r="I426" s="17" t="s">
        <v>239</v>
      </c>
      <c r="J426" s="17" t="s">
        <v>94</v>
      </c>
      <c r="K426" s="20"/>
      <c r="L426" s="17" t="s">
        <v>76</v>
      </c>
      <c r="M426" s="17" t="n">
        <f aca="false">LEN(K426)</f>
        <v>0</v>
      </c>
      <c r="N426" s="17" t="str">
        <f aca="false">IF(M426=0,"-",ROUND(3+M426/안내!$C$12,0))</f>
        <v>-</v>
      </c>
      <c r="O426" s="21" t="str">
        <f aca="false">IF(K426="","(본문 입력 후 자동) | 눅 6:36",IF(LEN(K426)&gt;28,LEFT(K426,28)&amp;"…",K426)&amp;" | 눅 6:36")</f>
        <v>(본문 입력 후 자동) | 눅 6:36</v>
      </c>
      <c r="P426" s="21" t="str">
        <f aca="false">"#"&amp;SUBSTITUTE(안내!$C$5," ","")&amp;" #성경구절 #말씀 #누가복음 #사랑"</f>
        <v>#오늘의말씀 #성경구절 #말씀 #누가복음 #사랑</v>
      </c>
      <c r="Q426" s="21" t="s">
        <v>77</v>
      </c>
      <c r="R426" s="22" t="n">
        <f aca="false">안내!$C$6+INT((D426-1)/안내!$C$7)</f>
        <v>46418</v>
      </c>
      <c r="S426" s="17" t="str">
        <f aca="false">IF(MOD(D426-1,안내!$C$7)=0,안내!$C$9,안내!$C$11)</f>
        <v>12:30</v>
      </c>
      <c r="T426" s="17" t="str">
        <f aca="false">CHOOSE(WEEKDAY(R426,2),"월","화","수","목","금","토","일")</f>
        <v>일</v>
      </c>
      <c r="U426" s="17" t="s">
        <v>78</v>
      </c>
      <c r="V426" s="17" t="s">
        <v>78</v>
      </c>
      <c r="W426" s="23"/>
      <c r="X426" s="23"/>
      <c r="Y426" s="21"/>
    </row>
    <row r="427" customFormat="false" ht="39.55" hidden="false" customHeight="false" outlineLevel="0" collapsed="false">
      <c r="A427" s="17" t="n">
        <v>426</v>
      </c>
      <c r="B427" s="18" t="s">
        <v>1407</v>
      </c>
      <c r="C427" s="17" t="s">
        <v>1225</v>
      </c>
      <c r="D427" s="17" t="n">
        <v>62</v>
      </c>
      <c r="E427" s="17" t="str">
        <f aca="false">C427&amp;"말씀 #"&amp;TEXT(D427,"000")</f>
        <v>신약말씀 #062</v>
      </c>
      <c r="F427" s="17" t="s">
        <v>1376</v>
      </c>
      <c r="G427" s="18" t="s">
        <v>1408</v>
      </c>
      <c r="H427" s="19" t="s">
        <v>1409</v>
      </c>
      <c r="I427" s="17" t="s">
        <v>1410</v>
      </c>
      <c r="J427" s="17" t="s">
        <v>148</v>
      </c>
      <c r="K427" s="20"/>
      <c r="L427" s="17" t="s">
        <v>76</v>
      </c>
      <c r="M427" s="17" t="n">
        <f aca="false">LEN(K427)</f>
        <v>0</v>
      </c>
      <c r="N427" s="17" t="str">
        <f aca="false">IF(M427=0,"-",ROUND(3+M427/안내!$C$12,0))</f>
        <v>-</v>
      </c>
      <c r="O427" s="21" t="str">
        <f aca="false">IF(K427="","(본문 입력 후 자동) | 눅 6:38",IF(LEN(K427)&gt;28,LEFT(K427,28)&amp;"…",K427)&amp;" | 눅 6:38")</f>
        <v>(본문 입력 후 자동) | 눅 6:38</v>
      </c>
      <c r="P427" s="21" t="str">
        <f aca="false">"#"&amp;SUBSTITUTE(안내!$C$5," ","")&amp;" #성경구절 #말씀 #누가복음 #나눔"</f>
        <v>#오늘의말씀 #성경구절 #말씀 #누가복음 #나눔</v>
      </c>
      <c r="Q427" s="24" t="s">
        <v>1411</v>
      </c>
      <c r="R427" s="22" t="n">
        <f aca="false">안내!$C$6+INT((D427-1)/안내!$C$7)</f>
        <v>46418</v>
      </c>
      <c r="S427" s="17" t="str">
        <f aca="false">IF(MOD(D427-1,안내!$C$7)=0,안내!$C$9,안내!$C$11)</f>
        <v>21:30</v>
      </c>
      <c r="T427" s="17" t="str">
        <f aca="false">CHOOSE(WEEKDAY(R427,2),"월","화","수","목","금","토","일")</f>
        <v>일</v>
      </c>
      <c r="U427" s="17" t="s">
        <v>78</v>
      </c>
      <c r="V427" s="17" t="s">
        <v>78</v>
      </c>
      <c r="W427" s="23"/>
      <c r="X427" s="23"/>
      <c r="Y427" s="21"/>
    </row>
    <row r="428" customFormat="false" ht="15" hidden="false" customHeight="false" outlineLevel="0" collapsed="false">
      <c r="A428" s="17" t="n">
        <v>427</v>
      </c>
      <c r="B428" s="18" t="s">
        <v>1412</v>
      </c>
      <c r="C428" s="17" t="s">
        <v>1225</v>
      </c>
      <c r="D428" s="17" t="n">
        <v>63</v>
      </c>
      <c r="E428" s="17" t="str">
        <f aca="false">C428&amp;"말씀 #"&amp;TEXT(D428,"000")</f>
        <v>신약말씀 #063</v>
      </c>
      <c r="F428" s="17" t="s">
        <v>1376</v>
      </c>
      <c r="G428" s="18" t="s">
        <v>1355</v>
      </c>
      <c r="H428" s="19" t="s">
        <v>1413</v>
      </c>
      <c r="I428" s="17" t="s">
        <v>333</v>
      </c>
      <c r="J428" s="17" t="s">
        <v>122</v>
      </c>
      <c r="K428" s="20"/>
      <c r="L428" s="17" t="s">
        <v>76</v>
      </c>
      <c r="M428" s="17" t="n">
        <f aca="false">LEN(K428)</f>
        <v>0</v>
      </c>
      <c r="N428" s="17" t="str">
        <f aca="false">IF(M428=0,"-",ROUND(3+M428/안내!$C$12,0))</f>
        <v>-</v>
      </c>
      <c r="O428" s="21" t="str">
        <f aca="false">IF(K428="","(본문 입력 후 자동) | 눅 9:23",IF(LEN(K428)&gt;28,LEFT(K428,28)&amp;"…",K428)&amp;" | 눅 9:23")</f>
        <v>(본문 입력 후 자동) | 눅 9:23</v>
      </c>
      <c r="P428" s="21" t="str">
        <f aca="false">"#"&amp;SUBSTITUTE(안내!$C$5," ","")&amp;" #성경구절 #말씀 #누가복음 #헌신"</f>
        <v>#오늘의말씀 #성경구절 #말씀 #누가복음 #헌신</v>
      </c>
      <c r="Q428" s="21" t="s">
        <v>77</v>
      </c>
      <c r="R428" s="22" t="n">
        <f aca="false">안내!$C$6+INT((D428-1)/안내!$C$7)</f>
        <v>46419</v>
      </c>
      <c r="S428" s="17" t="str">
        <f aca="false">IF(MOD(D428-1,안내!$C$7)=0,안내!$C$9,안내!$C$11)</f>
        <v>12:30</v>
      </c>
      <c r="T428" s="17" t="str">
        <f aca="false">CHOOSE(WEEKDAY(R428,2),"월","화","수","목","금","토","일")</f>
        <v>월</v>
      </c>
      <c r="U428" s="17" t="s">
        <v>78</v>
      </c>
      <c r="V428" s="17" t="s">
        <v>78</v>
      </c>
      <c r="W428" s="23"/>
      <c r="X428" s="23"/>
      <c r="Y428" s="21"/>
    </row>
    <row r="429" customFormat="false" ht="25.35" hidden="false" customHeight="false" outlineLevel="0" collapsed="false">
      <c r="A429" s="17" t="n">
        <v>428</v>
      </c>
      <c r="B429" s="18" t="s">
        <v>1414</v>
      </c>
      <c r="C429" s="17" t="s">
        <v>1225</v>
      </c>
      <c r="D429" s="17" t="n">
        <v>64</v>
      </c>
      <c r="E429" s="17" t="str">
        <f aca="false">C429&amp;"말씀 #"&amp;TEXT(D429,"000")</f>
        <v>신약말씀 #064</v>
      </c>
      <c r="F429" s="17" t="s">
        <v>1376</v>
      </c>
      <c r="G429" s="18" t="s">
        <v>1415</v>
      </c>
      <c r="H429" s="19" t="s">
        <v>1416</v>
      </c>
      <c r="I429" s="17" t="s">
        <v>593</v>
      </c>
      <c r="J429" s="17" t="s">
        <v>75</v>
      </c>
      <c r="K429" s="20"/>
      <c r="L429" s="17" t="s">
        <v>76</v>
      </c>
      <c r="M429" s="17" t="n">
        <f aca="false">LEN(K429)</f>
        <v>0</v>
      </c>
      <c r="N429" s="17" t="str">
        <f aca="false">IF(M429=0,"-",ROUND(3+M429/안내!$C$12,0))</f>
        <v>-</v>
      </c>
      <c r="O429" s="21" t="str">
        <f aca="false">IF(K429="","(본문 입력 후 자동) | 눅 10:42",IF(LEN(K429)&gt;28,LEFT(K429,28)&amp;"…",K429)&amp;" | 눅 10:42")</f>
        <v>(본문 입력 후 자동) | 눅 10:42</v>
      </c>
      <c r="P429" s="21" t="str">
        <f aca="false">"#"&amp;SUBSTITUTE(안내!$C$5," ","")&amp;" #성경구절 #말씀 #누가복음 #예배"</f>
        <v>#오늘의말씀 #성경구절 #말씀 #누가복음 #예배</v>
      </c>
      <c r="Q429" s="21" t="s">
        <v>77</v>
      </c>
      <c r="R429" s="22" t="n">
        <f aca="false">안내!$C$6+INT((D429-1)/안내!$C$7)</f>
        <v>46419</v>
      </c>
      <c r="S429" s="17" t="str">
        <f aca="false">IF(MOD(D429-1,안내!$C$7)=0,안내!$C$9,안내!$C$11)</f>
        <v>21:30</v>
      </c>
      <c r="T429" s="17" t="str">
        <f aca="false">CHOOSE(WEEKDAY(R429,2),"월","화","수","목","금","토","일")</f>
        <v>월</v>
      </c>
      <c r="U429" s="17" t="s">
        <v>78</v>
      </c>
      <c r="V429" s="17" t="s">
        <v>78</v>
      </c>
      <c r="W429" s="23"/>
      <c r="X429" s="23"/>
      <c r="Y429" s="21"/>
    </row>
    <row r="430" customFormat="false" ht="25.35" hidden="false" customHeight="false" outlineLevel="0" collapsed="false">
      <c r="A430" s="17" t="n">
        <v>429</v>
      </c>
      <c r="B430" s="18" t="s">
        <v>1417</v>
      </c>
      <c r="C430" s="17" t="s">
        <v>1225</v>
      </c>
      <c r="D430" s="17" t="n">
        <v>65</v>
      </c>
      <c r="E430" s="17" t="str">
        <f aca="false">C430&amp;"말씀 #"&amp;TEXT(D430,"000")</f>
        <v>신약말씀 #065</v>
      </c>
      <c r="F430" s="17" t="s">
        <v>1376</v>
      </c>
      <c r="G430" s="18" t="s">
        <v>1418</v>
      </c>
      <c r="H430" s="19" t="s">
        <v>1419</v>
      </c>
      <c r="I430" s="17" t="s">
        <v>1139</v>
      </c>
      <c r="J430" s="17" t="s">
        <v>75</v>
      </c>
      <c r="K430" s="20"/>
      <c r="L430" s="17" t="s">
        <v>76</v>
      </c>
      <c r="M430" s="17" t="n">
        <f aca="false">LEN(K430)</f>
        <v>0</v>
      </c>
      <c r="N430" s="17" t="str">
        <f aca="false">IF(M430=0,"-",ROUND(3+M430/안내!$C$12,0))</f>
        <v>-</v>
      </c>
      <c r="O430" s="21" t="str">
        <f aca="false">IF(K430="","(본문 입력 후 자동) | 눅 11:13",IF(LEN(K430)&gt;28,LEFT(K430,28)&amp;"…",K430)&amp;" | 눅 11:13")</f>
        <v>(본문 입력 후 자동) | 눅 11:13</v>
      </c>
      <c r="P430" s="21" t="str">
        <f aca="false">"#"&amp;SUBSTITUTE(안내!$C$5," ","")&amp;" #성경구절 #말씀 #누가복음 #성령"</f>
        <v>#오늘의말씀 #성경구절 #말씀 #누가복음 #성령</v>
      </c>
      <c r="Q430" s="21" t="s">
        <v>77</v>
      </c>
      <c r="R430" s="22" t="n">
        <f aca="false">안내!$C$6+INT((D430-1)/안내!$C$7)</f>
        <v>46420</v>
      </c>
      <c r="S430" s="17" t="str">
        <f aca="false">IF(MOD(D430-1,안내!$C$7)=0,안내!$C$9,안내!$C$11)</f>
        <v>12:30</v>
      </c>
      <c r="T430" s="17" t="str">
        <f aca="false">CHOOSE(WEEKDAY(R430,2),"월","화","수","목","금","토","일")</f>
        <v>화</v>
      </c>
      <c r="U430" s="17" t="s">
        <v>78</v>
      </c>
      <c r="V430" s="17" t="s">
        <v>78</v>
      </c>
      <c r="W430" s="23"/>
      <c r="X430" s="23"/>
      <c r="Y430" s="21"/>
    </row>
    <row r="431" customFormat="false" ht="25.35" hidden="false" customHeight="false" outlineLevel="0" collapsed="false">
      <c r="A431" s="17" t="n">
        <v>430</v>
      </c>
      <c r="B431" s="18" t="s">
        <v>1420</v>
      </c>
      <c r="C431" s="17" t="s">
        <v>1225</v>
      </c>
      <c r="D431" s="17" t="n">
        <v>66</v>
      </c>
      <c r="E431" s="17" t="str">
        <f aca="false">C431&amp;"말씀 #"&amp;TEXT(D431,"000")</f>
        <v>신약말씀 #066</v>
      </c>
      <c r="F431" s="17" t="s">
        <v>1376</v>
      </c>
      <c r="G431" s="18" t="s">
        <v>1421</v>
      </c>
      <c r="H431" s="19" t="s">
        <v>1422</v>
      </c>
      <c r="I431" s="17" t="s">
        <v>403</v>
      </c>
      <c r="J431" s="17" t="s">
        <v>148</v>
      </c>
      <c r="K431" s="20"/>
      <c r="L431" s="17" t="s">
        <v>76</v>
      </c>
      <c r="M431" s="17" t="n">
        <f aca="false">LEN(K431)</f>
        <v>0</v>
      </c>
      <c r="N431" s="17" t="str">
        <f aca="false">IF(M431=0,"-",ROUND(3+M431/안내!$C$12,0))</f>
        <v>-</v>
      </c>
      <c r="O431" s="21" t="str">
        <f aca="false">IF(K431="","(본문 입력 후 자동) | 눅 12:15",IF(LEN(K431)&gt;28,LEFT(K431,28)&amp;"…",K431)&amp;" | 눅 12:15")</f>
        <v>(본문 입력 후 자동) | 눅 12:15</v>
      </c>
      <c r="P431" s="21" t="str">
        <f aca="false">"#"&amp;SUBSTITUTE(안내!$C$5," ","")&amp;" #성경구절 #말씀 #누가복음 #지혜"</f>
        <v>#오늘의말씀 #성경구절 #말씀 #누가복음 #지혜</v>
      </c>
      <c r="Q431" s="21" t="s">
        <v>77</v>
      </c>
      <c r="R431" s="22" t="n">
        <f aca="false">안내!$C$6+INT((D431-1)/안내!$C$7)</f>
        <v>46420</v>
      </c>
      <c r="S431" s="17" t="str">
        <f aca="false">IF(MOD(D431-1,안내!$C$7)=0,안내!$C$9,안내!$C$11)</f>
        <v>21:30</v>
      </c>
      <c r="T431" s="17" t="str">
        <f aca="false">CHOOSE(WEEKDAY(R431,2),"월","화","수","목","금","토","일")</f>
        <v>화</v>
      </c>
      <c r="U431" s="17" t="s">
        <v>78</v>
      </c>
      <c r="V431" s="17" t="s">
        <v>78</v>
      </c>
      <c r="W431" s="23"/>
      <c r="X431" s="23"/>
      <c r="Y431" s="21"/>
    </row>
    <row r="432" customFormat="false" ht="15" hidden="false" customHeight="false" outlineLevel="0" collapsed="false">
      <c r="A432" s="17" t="n">
        <v>431</v>
      </c>
      <c r="B432" s="18" t="s">
        <v>1423</v>
      </c>
      <c r="C432" s="17" t="s">
        <v>1225</v>
      </c>
      <c r="D432" s="17" t="n">
        <v>67</v>
      </c>
      <c r="E432" s="17" t="str">
        <f aca="false">C432&amp;"말씀 #"&amp;TEXT(D432,"000")</f>
        <v>신약말씀 #067</v>
      </c>
      <c r="F432" s="17" t="s">
        <v>1376</v>
      </c>
      <c r="G432" s="18" t="s">
        <v>1424</v>
      </c>
      <c r="H432" s="19" t="s">
        <v>1425</v>
      </c>
      <c r="I432" s="17" t="s">
        <v>454</v>
      </c>
      <c r="J432" s="17" t="s">
        <v>104</v>
      </c>
      <c r="K432" s="20"/>
      <c r="L432" s="17" t="s">
        <v>76</v>
      </c>
      <c r="M432" s="17" t="n">
        <f aca="false">LEN(K432)</f>
        <v>0</v>
      </c>
      <c r="N432" s="17" t="str">
        <f aca="false">IF(M432=0,"-",ROUND(3+M432/안내!$C$12,0))</f>
        <v>-</v>
      </c>
      <c r="O432" s="21" t="str">
        <f aca="false">IF(K432="","(본문 입력 후 자동) | 눅 15:7",IF(LEN(K432)&gt;28,LEFT(K432,28)&amp;"…",K432)&amp;" | 눅 15:7")</f>
        <v>(본문 입력 후 자동) | 눅 15:7</v>
      </c>
      <c r="P432" s="21" t="str">
        <f aca="false">"#"&amp;SUBSTITUTE(안내!$C$5," ","")&amp;" #성경구절 #말씀 #누가복음 #회개"</f>
        <v>#오늘의말씀 #성경구절 #말씀 #누가복음 #회개</v>
      </c>
      <c r="Q432" s="21" t="s">
        <v>77</v>
      </c>
      <c r="R432" s="22" t="n">
        <f aca="false">안내!$C$6+INT((D432-1)/안내!$C$7)</f>
        <v>46421</v>
      </c>
      <c r="S432" s="17" t="str">
        <f aca="false">IF(MOD(D432-1,안내!$C$7)=0,안내!$C$9,안내!$C$11)</f>
        <v>12:30</v>
      </c>
      <c r="T432" s="17" t="str">
        <f aca="false">CHOOSE(WEEKDAY(R432,2),"월","화","수","목","금","토","일")</f>
        <v>수</v>
      </c>
      <c r="U432" s="17" t="s">
        <v>78</v>
      </c>
      <c r="V432" s="17" t="s">
        <v>78</v>
      </c>
      <c r="W432" s="23"/>
      <c r="X432" s="23"/>
      <c r="Y432" s="21"/>
    </row>
    <row r="433" customFormat="false" ht="25.35" hidden="false" customHeight="false" outlineLevel="0" collapsed="false">
      <c r="A433" s="17" t="n">
        <v>432</v>
      </c>
      <c r="B433" s="18" t="s">
        <v>1426</v>
      </c>
      <c r="C433" s="17" t="s">
        <v>1225</v>
      </c>
      <c r="D433" s="17" t="n">
        <v>68</v>
      </c>
      <c r="E433" s="17" t="str">
        <f aca="false">C433&amp;"말씀 #"&amp;TEXT(D433,"000")</f>
        <v>신약말씀 #068</v>
      </c>
      <c r="F433" s="17" t="s">
        <v>1376</v>
      </c>
      <c r="G433" s="18" t="s">
        <v>1427</v>
      </c>
      <c r="H433" s="19" t="s">
        <v>1428</v>
      </c>
      <c r="I433" s="17" t="s">
        <v>239</v>
      </c>
      <c r="J433" s="17" t="s">
        <v>94</v>
      </c>
      <c r="K433" s="20"/>
      <c r="L433" s="17" t="s">
        <v>76</v>
      </c>
      <c r="M433" s="17" t="n">
        <f aca="false">LEN(K433)</f>
        <v>0</v>
      </c>
      <c r="N433" s="17" t="str">
        <f aca="false">IF(M433=0,"-",ROUND(3+M433/안내!$C$12,0))</f>
        <v>-</v>
      </c>
      <c r="O433" s="21" t="str">
        <f aca="false">IF(K433="","(본문 입력 후 자동) | 눅 15:20",IF(LEN(K433)&gt;28,LEFT(K433,28)&amp;"…",K433)&amp;" | 눅 15:20")</f>
        <v>(본문 입력 후 자동) | 눅 15:20</v>
      </c>
      <c r="P433" s="21" t="str">
        <f aca="false">"#"&amp;SUBSTITUTE(안내!$C$5," ","")&amp;" #성경구절 #말씀 #누가복음 #사랑"</f>
        <v>#오늘의말씀 #성경구절 #말씀 #누가복음 #사랑</v>
      </c>
      <c r="Q433" s="21" t="s">
        <v>77</v>
      </c>
      <c r="R433" s="22" t="n">
        <f aca="false">안내!$C$6+INT((D433-1)/안내!$C$7)</f>
        <v>46421</v>
      </c>
      <c r="S433" s="17" t="str">
        <f aca="false">IF(MOD(D433-1,안내!$C$7)=0,안내!$C$9,안내!$C$11)</f>
        <v>21:30</v>
      </c>
      <c r="T433" s="17" t="str">
        <f aca="false">CHOOSE(WEEKDAY(R433,2),"월","화","수","목","금","토","일")</f>
        <v>수</v>
      </c>
      <c r="U433" s="17" t="s">
        <v>78</v>
      </c>
      <c r="V433" s="17" t="s">
        <v>78</v>
      </c>
      <c r="W433" s="23"/>
      <c r="X433" s="23"/>
      <c r="Y433" s="21"/>
    </row>
    <row r="434" customFormat="false" ht="25.35" hidden="false" customHeight="false" outlineLevel="0" collapsed="false">
      <c r="A434" s="17" t="n">
        <v>433</v>
      </c>
      <c r="B434" s="18" t="s">
        <v>1429</v>
      </c>
      <c r="C434" s="17" t="s">
        <v>1225</v>
      </c>
      <c r="D434" s="17" t="n">
        <v>69</v>
      </c>
      <c r="E434" s="17" t="str">
        <f aca="false">C434&amp;"말씀 #"&amp;TEXT(D434,"000")</f>
        <v>신약말씀 #069</v>
      </c>
      <c r="F434" s="17" t="s">
        <v>1376</v>
      </c>
      <c r="G434" s="18" t="s">
        <v>1430</v>
      </c>
      <c r="H434" s="19" t="s">
        <v>1431</v>
      </c>
      <c r="I434" s="17" t="s">
        <v>1135</v>
      </c>
      <c r="J434" s="17" t="s">
        <v>89</v>
      </c>
      <c r="K434" s="20"/>
      <c r="L434" s="17" t="s">
        <v>76</v>
      </c>
      <c r="M434" s="17" t="n">
        <f aca="false">LEN(K434)</f>
        <v>0</v>
      </c>
      <c r="N434" s="17" t="str">
        <f aca="false">IF(M434=0,"-",ROUND(3+M434/안내!$C$12,0))</f>
        <v>-</v>
      </c>
      <c r="O434" s="21" t="str">
        <f aca="false">IF(K434="","(본문 입력 후 자동) | 눅 15:24",IF(LEN(K434)&gt;28,LEFT(K434,28)&amp;"…",K434)&amp;" | 눅 15:24")</f>
        <v>(본문 입력 후 자동) | 눅 15:24</v>
      </c>
      <c r="P434" s="21" t="str">
        <f aca="false">"#"&amp;SUBSTITUTE(안내!$C$5," ","")&amp;" #성경구절 #말씀 #누가복음 #회복"</f>
        <v>#오늘의말씀 #성경구절 #말씀 #누가복음 #회복</v>
      </c>
      <c r="Q434" s="21" t="s">
        <v>77</v>
      </c>
      <c r="R434" s="22" t="n">
        <f aca="false">안내!$C$6+INT((D434-1)/안내!$C$7)</f>
        <v>46422</v>
      </c>
      <c r="S434" s="17" t="str">
        <f aca="false">IF(MOD(D434-1,안내!$C$7)=0,안내!$C$9,안내!$C$11)</f>
        <v>12:30</v>
      </c>
      <c r="T434" s="17" t="str">
        <f aca="false">CHOOSE(WEEKDAY(R434,2),"월","화","수","목","금","토","일")</f>
        <v>목</v>
      </c>
      <c r="U434" s="17" t="s">
        <v>78</v>
      </c>
      <c r="V434" s="17" t="s">
        <v>78</v>
      </c>
      <c r="W434" s="23"/>
      <c r="X434" s="23"/>
      <c r="Y434" s="21"/>
    </row>
    <row r="435" customFormat="false" ht="15" hidden="false" customHeight="false" outlineLevel="0" collapsed="false">
      <c r="A435" s="17" t="n">
        <v>434</v>
      </c>
      <c r="B435" s="18" t="s">
        <v>1432</v>
      </c>
      <c r="C435" s="17" t="s">
        <v>1225</v>
      </c>
      <c r="D435" s="17" t="n">
        <v>70</v>
      </c>
      <c r="E435" s="17" t="str">
        <f aca="false">C435&amp;"말씀 #"&amp;TEXT(D435,"000")</f>
        <v>신약말씀 #070</v>
      </c>
      <c r="F435" s="17" t="s">
        <v>1376</v>
      </c>
      <c r="G435" s="18" t="s">
        <v>564</v>
      </c>
      <c r="H435" s="19" t="s">
        <v>1433</v>
      </c>
      <c r="I435" s="17" t="s">
        <v>160</v>
      </c>
      <c r="J435" s="17" t="s">
        <v>104</v>
      </c>
      <c r="K435" s="20"/>
      <c r="L435" s="17" t="s">
        <v>76</v>
      </c>
      <c r="M435" s="17" t="n">
        <f aca="false">LEN(K435)</f>
        <v>0</v>
      </c>
      <c r="N435" s="17" t="str">
        <f aca="false">IF(M435=0,"-",ROUND(3+M435/안내!$C$12,0))</f>
        <v>-</v>
      </c>
      <c r="O435" s="21" t="str">
        <f aca="false">IF(K435="","(본문 입력 후 자동) | 눅 18:1",IF(LEN(K435)&gt;28,LEFT(K435,28)&amp;"…",K435)&amp;" | 눅 18:1")</f>
        <v>(본문 입력 후 자동) | 눅 18:1</v>
      </c>
      <c r="P435" s="21" t="str">
        <f aca="false">"#"&amp;SUBSTITUTE(안내!$C$5," ","")&amp;" #성경구절 #말씀 #누가복음 #기도"</f>
        <v>#오늘의말씀 #성경구절 #말씀 #누가복음 #기도</v>
      </c>
      <c r="Q435" s="21" t="s">
        <v>77</v>
      </c>
      <c r="R435" s="22" t="n">
        <f aca="false">안내!$C$6+INT((D435-1)/안내!$C$7)</f>
        <v>46422</v>
      </c>
      <c r="S435" s="17" t="str">
        <f aca="false">IF(MOD(D435-1,안내!$C$7)=0,안내!$C$9,안내!$C$11)</f>
        <v>21:30</v>
      </c>
      <c r="T435" s="17" t="str">
        <f aca="false">CHOOSE(WEEKDAY(R435,2),"월","화","수","목","금","토","일")</f>
        <v>목</v>
      </c>
      <c r="U435" s="17" t="s">
        <v>78</v>
      </c>
      <c r="V435" s="17" t="s">
        <v>78</v>
      </c>
      <c r="W435" s="23"/>
      <c r="X435" s="23"/>
      <c r="Y435" s="21"/>
    </row>
    <row r="436" customFormat="false" ht="25.35" hidden="false" customHeight="false" outlineLevel="0" collapsed="false">
      <c r="A436" s="17" t="n">
        <v>435</v>
      </c>
      <c r="B436" s="18" t="s">
        <v>1434</v>
      </c>
      <c r="C436" s="17" t="s">
        <v>1225</v>
      </c>
      <c r="D436" s="17" t="n">
        <v>71</v>
      </c>
      <c r="E436" s="17" t="str">
        <f aca="false">C436&amp;"말씀 #"&amp;TEXT(D436,"000")</f>
        <v>신약말씀 #071</v>
      </c>
      <c r="F436" s="17" t="s">
        <v>1376</v>
      </c>
      <c r="G436" s="18" t="s">
        <v>1435</v>
      </c>
      <c r="H436" s="19" t="s">
        <v>1436</v>
      </c>
      <c r="I436" s="17" t="s">
        <v>103</v>
      </c>
      <c r="J436" s="17" t="s">
        <v>104</v>
      </c>
      <c r="K436" s="20"/>
      <c r="L436" s="17" t="s">
        <v>76</v>
      </c>
      <c r="M436" s="17" t="n">
        <f aca="false">LEN(K436)</f>
        <v>0</v>
      </c>
      <c r="N436" s="17" t="str">
        <f aca="false">IF(M436=0,"-",ROUND(3+M436/안내!$C$12,0))</f>
        <v>-</v>
      </c>
      <c r="O436" s="21" t="str">
        <f aca="false">IF(K436="","(본문 입력 후 자동) | 눅 19:10",IF(LEN(K436)&gt;28,LEFT(K436,28)&amp;"…",K436)&amp;" | 눅 19:10")</f>
        <v>(본문 입력 후 자동) | 눅 19:10</v>
      </c>
      <c r="P436" s="21" t="str">
        <f aca="false">"#"&amp;SUBSTITUTE(안내!$C$5," ","")&amp;" #성경구절 #말씀 #누가복음 #구원"</f>
        <v>#오늘의말씀 #성경구절 #말씀 #누가복음 #구원</v>
      </c>
      <c r="Q436" s="21" t="s">
        <v>77</v>
      </c>
      <c r="R436" s="22" t="n">
        <f aca="false">안내!$C$6+INT((D436-1)/안내!$C$7)</f>
        <v>46423</v>
      </c>
      <c r="S436" s="17" t="str">
        <f aca="false">IF(MOD(D436-1,안내!$C$7)=0,안내!$C$9,안내!$C$11)</f>
        <v>12:30</v>
      </c>
      <c r="T436" s="17" t="str">
        <f aca="false">CHOOSE(WEEKDAY(R436,2),"월","화","수","목","금","토","일")</f>
        <v>금</v>
      </c>
      <c r="U436" s="17" t="s">
        <v>78</v>
      </c>
      <c r="V436" s="17" t="s">
        <v>78</v>
      </c>
      <c r="W436" s="23"/>
      <c r="X436" s="23"/>
      <c r="Y436" s="21"/>
    </row>
    <row r="437" customFormat="false" ht="25.35" hidden="false" customHeight="false" outlineLevel="0" collapsed="false">
      <c r="A437" s="17" t="n">
        <v>436</v>
      </c>
      <c r="B437" s="18" t="s">
        <v>1437</v>
      </c>
      <c r="C437" s="17" t="s">
        <v>1225</v>
      </c>
      <c r="D437" s="17" t="n">
        <v>72</v>
      </c>
      <c r="E437" s="17" t="str">
        <f aca="false">C437&amp;"말씀 #"&amp;TEXT(D437,"000")</f>
        <v>신약말씀 #072</v>
      </c>
      <c r="F437" s="17" t="s">
        <v>1376</v>
      </c>
      <c r="G437" s="18" t="s">
        <v>1438</v>
      </c>
      <c r="H437" s="19" t="s">
        <v>1439</v>
      </c>
      <c r="I437" s="17" t="s">
        <v>121</v>
      </c>
      <c r="J437" s="17" t="s">
        <v>122</v>
      </c>
      <c r="K437" s="20"/>
      <c r="L437" s="17" t="s">
        <v>76</v>
      </c>
      <c r="M437" s="17" t="n">
        <f aca="false">LEN(K437)</f>
        <v>0</v>
      </c>
      <c r="N437" s="17" t="str">
        <f aca="false">IF(M437=0,"-",ROUND(3+M437/안내!$C$12,0))</f>
        <v>-</v>
      </c>
      <c r="O437" s="21" t="str">
        <f aca="false">IF(K437="","(본문 입력 후 자동) | 눅 22:42",IF(LEN(K437)&gt;28,LEFT(K437,28)&amp;"…",K437)&amp;" | 눅 22:42")</f>
        <v>(본문 입력 후 자동) | 눅 22:42</v>
      </c>
      <c r="P437" s="21" t="str">
        <f aca="false">"#"&amp;SUBSTITUTE(안내!$C$5," ","")&amp;" #성경구절 #말씀 #누가복음 #순종"</f>
        <v>#오늘의말씀 #성경구절 #말씀 #누가복음 #순종</v>
      </c>
      <c r="Q437" s="21" t="s">
        <v>77</v>
      </c>
      <c r="R437" s="22" t="n">
        <f aca="false">안내!$C$6+INT((D437-1)/안내!$C$7)</f>
        <v>46423</v>
      </c>
      <c r="S437" s="17" t="str">
        <f aca="false">IF(MOD(D437-1,안내!$C$7)=0,안내!$C$9,안내!$C$11)</f>
        <v>21:30</v>
      </c>
      <c r="T437" s="17" t="str">
        <f aca="false">CHOOSE(WEEKDAY(R437,2),"월","화","수","목","금","토","일")</f>
        <v>금</v>
      </c>
      <c r="U437" s="17" t="s">
        <v>78</v>
      </c>
      <c r="V437" s="17" t="s">
        <v>78</v>
      </c>
      <c r="W437" s="23"/>
      <c r="X437" s="23"/>
      <c r="Y437" s="21"/>
    </row>
    <row r="438" customFormat="false" ht="25.35" hidden="false" customHeight="false" outlineLevel="0" collapsed="false">
      <c r="A438" s="17" t="n">
        <v>437</v>
      </c>
      <c r="B438" s="18" t="s">
        <v>1440</v>
      </c>
      <c r="C438" s="17" t="s">
        <v>1225</v>
      </c>
      <c r="D438" s="17" t="n">
        <v>73</v>
      </c>
      <c r="E438" s="17" t="str">
        <f aca="false">C438&amp;"말씀 #"&amp;TEXT(D438,"000")</f>
        <v>신약말씀 #073</v>
      </c>
      <c r="F438" s="17" t="s">
        <v>1376</v>
      </c>
      <c r="G438" s="18" t="s">
        <v>1441</v>
      </c>
      <c r="H438" s="19" t="s">
        <v>1442</v>
      </c>
      <c r="I438" s="17" t="s">
        <v>694</v>
      </c>
      <c r="J438" s="17" t="s">
        <v>99</v>
      </c>
      <c r="K438" s="20"/>
      <c r="L438" s="17" t="s">
        <v>76</v>
      </c>
      <c r="M438" s="17" t="n">
        <f aca="false">LEN(K438)</f>
        <v>0</v>
      </c>
      <c r="N438" s="17" t="str">
        <f aca="false">IF(M438=0,"-",ROUND(3+M438/안내!$C$12,0))</f>
        <v>-</v>
      </c>
      <c r="O438" s="21" t="str">
        <f aca="false">IF(K438="","(본문 입력 후 자동) | 눅 23:34",IF(LEN(K438)&gt;28,LEFT(K438,28)&amp;"…",K438)&amp;" | 눅 23:34")</f>
        <v>(본문 입력 후 자동) | 눅 23:34</v>
      </c>
      <c r="P438" s="21" t="str">
        <f aca="false">"#"&amp;SUBSTITUTE(안내!$C$5," ","")&amp;" #성경구절 #말씀 #누가복음 #용서"</f>
        <v>#오늘의말씀 #성경구절 #말씀 #누가복음 #용서</v>
      </c>
      <c r="Q438" s="21" t="s">
        <v>77</v>
      </c>
      <c r="R438" s="22" t="n">
        <f aca="false">안내!$C$6+INT((D438-1)/안내!$C$7)</f>
        <v>46424</v>
      </c>
      <c r="S438" s="17" t="str">
        <f aca="false">IF(MOD(D438-1,안내!$C$7)=0,안내!$C$9,안내!$C$11)</f>
        <v>12:30</v>
      </c>
      <c r="T438" s="17" t="str">
        <f aca="false">CHOOSE(WEEKDAY(R438,2),"월","화","수","목","금","토","일")</f>
        <v>토</v>
      </c>
      <c r="U438" s="17" t="s">
        <v>78</v>
      </c>
      <c r="V438" s="17" t="s">
        <v>78</v>
      </c>
      <c r="W438" s="23"/>
      <c r="X438" s="23"/>
      <c r="Y438" s="21"/>
    </row>
    <row r="439" customFormat="false" ht="25.35" hidden="false" customHeight="false" outlineLevel="0" collapsed="false">
      <c r="A439" s="17" t="n">
        <v>438</v>
      </c>
      <c r="B439" s="18" t="s">
        <v>1443</v>
      </c>
      <c r="C439" s="17" t="s">
        <v>1225</v>
      </c>
      <c r="D439" s="17" t="n">
        <v>74</v>
      </c>
      <c r="E439" s="17" t="str">
        <f aca="false">C439&amp;"말씀 #"&amp;TEXT(D439,"000")</f>
        <v>신약말씀 #074</v>
      </c>
      <c r="F439" s="17" t="s">
        <v>1376</v>
      </c>
      <c r="G439" s="18" t="s">
        <v>1444</v>
      </c>
      <c r="H439" s="19" t="s">
        <v>1445</v>
      </c>
      <c r="I439" s="17" t="s">
        <v>103</v>
      </c>
      <c r="J439" s="17" t="s">
        <v>104</v>
      </c>
      <c r="K439" s="20"/>
      <c r="L439" s="17" t="s">
        <v>76</v>
      </c>
      <c r="M439" s="17" t="n">
        <f aca="false">LEN(K439)</f>
        <v>0</v>
      </c>
      <c r="N439" s="17" t="str">
        <f aca="false">IF(M439=0,"-",ROUND(3+M439/안내!$C$12,0))</f>
        <v>-</v>
      </c>
      <c r="O439" s="21" t="str">
        <f aca="false">IF(K439="","(본문 입력 후 자동) | 눅 23:43",IF(LEN(K439)&gt;28,LEFT(K439,28)&amp;"…",K439)&amp;" | 눅 23:43")</f>
        <v>(본문 입력 후 자동) | 눅 23:43</v>
      </c>
      <c r="P439" s="21" t="str">
        <f aca="false">"#"&amp;SUBSTITUTE(안내!$C$5," ","")&amp;" #성경구절 #말씀 #누가복음 #구원"</f>
        <v>#오늘의말씀 #성경구절 #말씀 #누가복음 #구원</v>
      </c>
      <c r="Q439" s="21" t="s">
        <v>77</v>
      </c>
      <c r="R439" s="22" t="n">
        <f aca="false">안내!$C$6+INT((D439-1)/안내!$C$7)</f>
        <v>46424</v>
      </c>
      <c r="S439" s="17" t="str">
        <f aca="false">IF(MOD(D439-1,안내!$C$7)=0,안내!$C$9,안내!$C$11)</f>
        <v>21:30</v>
      </c>
      <c r="T439" s="17" t="str">
        <f aca="false">CHOOSE(WEEKDAY(R439,2),"월","화","수","목","금","토","일")</f>
        <v>토</v>
      </c>
      <c r="U439" s="17" t="s">
        <v>78</v>
      </c>
      <c r="V439" s="17" t="s">
        <v>78</v>
      </c>
      <c r="W439" s="23"/>
      <c r="X439" s="23"/>
      <c r="Y439" s="21"/>
    </row>
    <row r="440" customFormat="false" ht="25.35" hidden="false" customHeight="false" outlineLevel="0" collapsed="false">
      <c r="A440" s="17" t="n">
        <v>439</v>
      </c>
      <c r="B440" s="18" t="s">
        <v>1446</v>
      </c>
      <c r="C440" s="17" t="s">
        <v>1225</v>
      </c>
      <c r="D440" s="17" t="n">
        <v>75</v>
      </c>
      <c r="E440" s="17" t="str">
        <f aca="false">C440&amp;"말씀 #"&amp;TEXT(D440,"000")</f>
        <v>신약말씀 #075</v>
      </c>
      <c r="F440" s="17" t="s">
        <v>1376</v>
      </c>
      <c r="G440" s="18" t="s">
        <v>1447</v>
      </c>
      <c r="H440" s="19" t="s">
        <v>1448</v>
      </c>
      <c r="I440" s="17" t="s">
        <v>284</v>
      </c>
      <c r="J440" s="17" t="s">
        <v>148</v>
      </c>
      <c r="K440" s="20"/>
      <c r="L440" s="17" t="s">
        <v>76</v>
      </c>
      <c r="M440" s="17" t="n">
        <f aca="false">LEN(K440)</f>
        <v>0</v>
      </c>
      <c r="N440" s="17" t="str">
        <f aca="false">IF(M440=0,"-",ROUND(3+M440/안내!$C$12,0))</f>
        <v>-</v>
      </c>
      <c r="O440" s="21" t="str">
        <f aca="false">IF(K440="","(본문 입력 후 자동) | 눅 24:32",IF(LEN(K440)&gt;28,LEFT(K440,28)&amp;"…",K440)&amp;" | 눅 24:32")</f>
        <v>(본문 입력 후 자동) | 눅 24:32</v>
      </c>
      <c r="P440" s="21" t="str">
        <f aca="false">"#"&amp;SUBSTITUTE(안내!$C$5," ","")&amp;" #성경구절 #말씀 #누가복음 #말씀"</f>
        <v>#오늘의말씀 #성경구절 #말씀 #누가복음 #말씀</v>
      </c>
      <c r="Q440" s="21" t="s">
        <v>77</v>
      </c>
      <c r="R440" s="22" t="n">
        <f aca="false">안내!$C$6+INT((D440-1)/안내!$C$7)</f>
        <v>46425</v>
      </c>
      <c r="S440" s="17" t="str">
        <f aca="false">IF(MOD(D440-1,안내!$C$7)=0,안내!$C$9,안내!$C$11)</f>
        <v>12:30</v>
      </c>
      <c r="T440" s="17" t="str">
        <f aca="false">CHOOSE(WEEKDAY(R440,2),"월","화","수","목","금","토","일")</f>
        <v>일</v>
      </c>
      <c r="U440" s="17" t="s">
        <v>78</v>
      </c>
      <c r="V440" s="17" t="s">
        <v>78</v>
      </c>
      <c r="W440" s="23"/>
      <c r="X440" s="23"/>
      <c r="Y440" s="21"/>
    </row>
    <row r="441" customFormat="false" ht="25.35" hidden="false" customHeight="false" outlineLevel="0" collapsed="false">
      <c r="A441" s="17" t="n">
        <v>440</v>
      </c>
      <c r="B441" s="18" t="s">
        <v>1449</v>
      </c>
      <c r="C441" s="17" t="s">
        <v>1225</v>
      </c>
      <c r="D441" s="17" t="n">
        <v>76</v>
      </c>
      <c r="E441" s="17" t="str">
        <f aca="false">C441&amp;"말씀 #"&amp;TEXT(D441,"000")</f>
        <v>신약말씀 #076</v>
      </c>
      <c r="F441" s="17" t="s">
        <v>1376</v>
      </c>
      <c r="G441" s="18" t="s">
        <v>1450</v>
      </c>
      <c r="H441" s="19" t="s">
        <v>1451</v>
      </c>
      <c r="I441" s="17" t="s">
        <v>1139</v>
      </c>
      <c r="J441" s="17" t="s">
        <v>75</v>
      </c>
      <c r="K441" s="20"/>
      <c r="L441" s="17" t="s">
        <v>76</v>
      </c>
      <c r="M441" s="17" t="n">
        <f aca="false">LEN(K441)</f>
        <v>0</v>
      </c>
      <c r="N441" s="17" t="str">
        <f aca="false">IF(M441=0,"-",ROUND(3+M441/안내!$C$12,0))</f>
        <v>-</v>
      </c>
      <c r="O441" s="21" t="str">
        <f aca="false">IF(K441="","(본문 입력 후 자동) | 눅 24:49",IF(LEN(K441)&gt;28,LEFT(K441,28)&amp;"…",K441)&amp;" | 눅 24:49")</f>
        <v>(본문 입력 후 자동) | 눅 24:49</v>
      </c>
      <c r="P441" s="21" t="str">
        <f aca="false">"#"&amp;SUBSTITUTE(안내!$C$5," ","")&amp;" #성경구절 #말씀 #누가복음 #성령"</f>
        <v>#오늘의말씀 #성경구절 #말씀 #누가복음 #성령</v>
      </c>
      <c r="Q441" s="21" t="s">
        <v>77</v>
      </c>
      <c r="R441" s="22" t="n">
        <f aca="false">안내!$C$6+INT((D441-1)/안내!$C$7)</f>
        <v>46425</v>
      </c>
      <c r="S441" s="17" t="str">
        <f aca="false">IF(MOD(D441-1,안내!$C$7)=0,안내!$C$9,안내!$C$11)</f>
        <v>21:30</v>
      </c>
      <c r="T441" s="17" t="str">
        <f aca="false">CHOOSE(WEEKDAY(R441,2),"월","화","수","목","금","토","일")</f>
        <v>일</v>
      </c>
      <c r="U441" s="17" t="s">
        <v>78</v>
      </c>
      <c r="V441" s="17" t="s">
        <v>78</v>
      </c>
      <c r="W441" s="23"/>
      <c r="X441" s="23"/>
      <c r="Y441" s="21"/>
    </row>
    <row r="442" customFormat="false" ht="15" hidden="false" customHeight="false" outlineLevel="0" collapsed="false">
      <c r="A442" s="17" t="n">
        <v>441</v>
      </c>
      <c r="B442" s="18" t="s">
        <v>1452</v>
      </c>
      <c r="C442" s="17" t="s">
        <v>1225</v>
      </c>
      <c r="D442" s="17" t="n">
        <v>77</v>
      </c>
      <c r="E442" s="17" t="str">
        <f aca="false">C442&amp;"말씀 #"&amp;TEXT(D442,"000")</f>
        <v>신약말씀 #077</v>
      </c>
      <c r="F442" s="17" t="s">
        <v>1453</v>
      </c>
      <c r="G442" s="18" t="s">
        <v>72</v>
      </c>
      <c r="H442" s="19" t="s">
        <v>1454</v>
      </c>
      <c r="I442" s="17" t="s">
        <v>284</v>
      </c>
      <c r="J442" s="17" t="s">
        <v>148</v>
      </c>
      <c r="K442" s="20"/>
      <c r="L442" s="17" t="s">
        <v>76</v>
      </c>
      <c r="M442" s="17" t="n">
        <f aca="false">LEN(K442)</f>
        <v>0</v>
      </c>
      <c r="N442" s="17" t="str">
        <f aca="false">IF(M442=0,"-",ROUND(3+M442/안내!$C$12,0))</f>
        <v>-</v>
      </c>
      <c r="O442" s="21" t="str">
        <f aca="false">IF(K442="","(본문 입력 후 자동) | 요 1:1",IF(LEN(K442)&gt;28,LEFT(K442,28)&amp;"…",K442)&amp;" | 요 1:1")</f>
        <v>(본문 입력 후 자동) | 요 1:1</v>
      </c>
      <c r="P442" s="21" t="str">
        <f aca="false">"#"&amp;SUBSTITUTE(안내!$C$5," ","")&amp;" #성경구절 #말씀 #요한복음 #말씀"</f>
        <v>#오늘의말씀 #성경구절 #말씀 #요한복음 #말씀</v>
      </c>
      <c r="Q442" s="21" t="s">
        <v>77</v>
      </c>
      <c r="R442" s="22" t="n">
        <f aca="false">안내!$C$6+INT((D442-1)/안내!$C$7)</f>
        <v>46426</v>
      </c>
      <c r="S442" s="17" t="str">
        <f aca="false">IF(MOD(D442-1,안내!$C$7)=0,안내!$C$9,안내!$C$11)</f>
        <v>12:30</v>
      </c>
      <c r="T442" s="17" t="str">
        <f aca="false">CHOOSE(WEEKDAY(R442,2),"월","화","수","목","금","토","일")</f>
        <v>월</v>
      </c>
      <c r="U442" s="17" t="s">
        <v>78</v>
      </c>
      <c r="V442" s="17" t="s">
        <v>78</v>
      </c>
      <c r="W442" s="23"/>
      <c r="X442" s="23"/>
      <c r="Y442" s="21"/>
    </row>
    <row r="443" customFormat="false" ht="15" hidden="false" customHeight="false" outlineLevel="0" collapsed="false">
      <c r="A443" s="17" t="n">
        <v>442</v>
      </c>
      <c r="B443" s="18" t="s">
        <v>1455</v>
      </c>
      <c r="C443" s="17" t="s">
        <v>1225</v>
      </c>
      <c r="D443" s="17" t="n">
        <v>78</v>
      </c>
      <c r="E443" s="17" t="str">
        <f aca="false">C443&amp;"말씀 #"&amp;TEXT(D443,"000")</f>
        <v>신약말씀 #078</v>
      </c>
      <c r="F443" s="17" t="s">
        <v>1453</v>
      </c>
      <c r="G443" s="18" t="s">
        <v>1456</v>
      </c>
      <c r="H443" s="19" t="s">
        <v>1457</v>
      </c>
      <c r="I443" s="17" t="s">
        <v>88</v>
      </c>
      <c r="J443" s="17" t="s">
        <v>89</v>
      </c>
      <c r="K443" s="20"/>
      <c r="L443" s="17" t="s">
        <v>76</v>
      </c>
      <c r="M443" s="17" t="n">
        <f aca="false">LEN(K443)</f>
        <v>0</v>
      </c>
      <c r="N443" s="17" t="str">
        <f aca="false">IF(M443=0,"-",ROUND(3+M443/안내!$C$12,0))</f>
        <v>-</v>
      </c>
      <c r="O443" s="21" t="str">
        <f aca="false">IF(K443="","(본문 입력 후 자동) | 요 1:4",IF(LEN(K443)&gt;28,LEFT(K443,28)&amp;"…",K443)&amp;" | 요 1:4")</f>
        <v>(본문 입력 후 자동) | 요 1:4</v>
      </c>
      <c r="P443" s="21" t="str">
        <f aca="false">"#"&amp;SUBSTITUTE(안내!$C$5," ","")&amp;" #성경구절 #말씀 #요한복음 #생명"</f>
        <v>#오늘의말씀 #성경구절 #말씀 #요한복음 #생명</v>
      </c>
      <c r="Q443" s="21" t="s">
        <v>77</v>
      </c>
      <c r="R443" s="22" t="n">
        <f aca="false">안내!$C$6+INT((D443-1)/안내!$C$7)</f>
        <v>46426</v>
      </c>
      <c r="S443" s="17" t="str">
        <f aca="false">IF(MOD(D443-1,안내!$C$7)=0,안내!$C$9,안내!$C$11)</f>
        <v>21:30</v>
      </c>
      <c r="T443" s="17" t="str">
        <f aca="false">CHOOSE(WEEKDAY(R443,2),"월","화","수","목","금","토","일")</f>
        <v>월</v>
      </c>
      <c r="U443" s="17" t="s">
        <v>78</v>
      </c>
      <c r="V443" s="17" t="s">
        <v>78</v>
      </c>
      <c r="W443" s="23"/>
      <c r="X443" s="23"/>
      <c r="Y443" s="21"/>
    </row>
    <row r="444" customFormat="false" ht="15" hidden="false" customHeight="false" outlineLevel="0" collapsed="false">
      <c r="A444" s="17" t="n">
        <v>443</v>
      </c>
      <c r="B444" s="18" t="s">
        <v>1458</v>
      </c>
      <c r="C444" s="17" t="s">
        <v>1225</v>
      </c>
      <c r="D444" s="17" t="n">
        <v>79</v>
      </c>
      <c r="E444" s="17" t="str">
        <f aca="false">C444&amp;"말씀 #"&amp;TEXT(D444,"000")</f>
        <v>신약말씀 #079</v>
      </c>
      <c r="F444" s="17" t="s">
        <v>1453</v>
      </c>
      <c r="G444" s="18" t="s">
        <v>1459</v>
      </c>
      <c r="H444" s="19" t="s">
        <v>1460</v>
      </c>
      <c r="I444" s="17" t="s">
        <v>103</v>
      </c>
      <c r="J444" s="17" t="s">
        <v>104</v>
      </c>
      <c r="K444" s="20"/>
      <c r="L444" s="17" t="s">
        <v>76</v>
      </c>
      <c r="M444" s="17" t="n">
        <f aca="false">LEN(K444)</f>
        <v>0</v>
      </c>
      <c r="N444" s="17" t="str">
        <f aca="false">IF(M444=0,"-",ROUND(3+M444/안내!$C$12,0))</f>
        <v>-</v>
      </c>
      <c r="O444" s="21" t="str">
        <f aca="false">IF(K444="","(본문 입력 후 자동) | 요 1:12",IF(LEN(K444)&gt;28,LEFT(K444,28)&amp;"…",K444)&amp;" | 요 1:12")</f>
        <v>(본문 입력 후 자동) | 요 1:12</v>
      </c>
      <c r="P444" s="21" t="str">
        <f aca="false">"#"&amp;SUBSTITUTE(안내!$C$5," ","")&amp;" #성경구절 #말씀 #요한복음 #구원"</f>
        <v>#오늘의말씀 #성경구절 #말씀 #요한복음 #구원</v>
      </c>
      <c r="Q444" s="21" t="s">
        <v>77</v>
      </c>
      <c r="R444" s="22" t="n">
        <f aca="false">안내!$C$6+INT((D444-1)/안내!$C$7)</f>
        <v>46427</v>
      </c>
      <c r="S444" s="17" t="str">
        <f aca="false">IF(MOD(D444-1,안내!$C$7)=0,안내!$C$9,안내!$C$11)</f>
        <v>12:30</v>
      </c>
      <c r="T444" s="17" t="str">
        <f aca="false">CHOOSE(WEEKDAY(R444,2),"월","화","수","목","금","토","일")</f>
        <v>화</v>
      </c>
      <c r="U444" s="17" t="s">
        <v>78</v>
      </c>
      <c r="V444" s="17" t="s">
        <v>78</v>
      </c>
      <c r="W444" s="23"/>
      <c r="X444" s="23"/>
      <c r="Y444" s="21"/>
    </row>
    <row r="445" customFormat="false" ht="15" hidden="false" customHeight="false" outlineLevel="0" collapsed="false">
      <c r="A445" s="17" t="n">
        <v>444</v>
      </c>
      <c r="B445" s="18" t="s">
        <v>1461</v>
      </c>
      <c r="C445" s="17" t="s">
        <v>1225</v>
      </c>
      <c r="D445" s="17" t="n">
        <v>80</v>
      </c>
      <c r="E445" s="17" t="str">
        <f aca="false">C445&amp;"말씀 #"&amp;TEXT(D445,"000")</f>
        <v>신약말씀 #080</v>
      </c>
      <c r="F445" s="17" t="s">
        <v>1453</v>
      </c>
      <c r="G445" s="18" t="s">
        <v>1462</v>
      </c>
      <c r="H445" s="19" t="s">
        <v>1463</v>
      </c>
      <c r="I445" s="17" t="s">
        <v>156</v>
      </c>
      <c r="J445" s="17" t="s">
        <v>75</v>
      </c>
      <c r="K445" s="20"/>
      <c r="L445" s="17" t="s">
        <v>76</v>
      </c>
      <c r="M445" s="17" t="n">
        <f aca="false">LEN(K445)</f>
        <v>0</v>
      </c>
      <c r="N445" s="17" t="str">
        <f aca="false">IF(M445=0,"-",ROUND(3+M445/안내!$C$12,0))</f>
        <v>-</v>
      </c>
      <c r="O445" s="21" t="str">
        <f aca="false">IF(K445="","(본문 입력 후 자동) | 요 1:14",IF(LEN(K445)&gt;28,LEFT(K445,28)&amp;"…",K445)&amp;" | 요 1:14")</f>
        <v>(본문 입력 후 자동) | 요 1:14</v>
      </c>
      <c r="P445" s="21" t="str">
        <f aca="false">"#"&amp;SUBSTITUTE(안내!$C$5," ","")&amp;" #성경구절 #말씀 #요한복음 #임재"</f>
        <v>#오늘의말씀 #성경구절 #말씀 #요한복음 #임재</v>
      </c>
      <c r="Q445" s="21" t="s">
        <v>77</v>
      </c>
      <c r="R445" s="22" t="n">
        <f aca="false">안내!$C$6+INT((D445-1)/안내!$C$7)</f>
        <v>46427</v>
      </c>
      <c r="S445" s="17" t="str">
        <f aca="false">IF(MOD(D445-1,안내!$C$7)=0,안내!$C$9,안내!$C$11)</f>
        <v>21:30</v>
      </c>
      <c r="T445" s="17" t="str">
        <f aca="false">CHOOSE(WEEKDAY(R445,2),"월","화","수","목","금","토","일")</f>
        <v>화</v>
      </c>
      <c r="U445" s="17" t="s">
        <v>78</v>
      </c>
      <c r="V445" s="17" t="s">
        <v>78</v>
      </c>
      <c r="W445" s="23"/>
      <c r="X445" s="23"/>
      <c r="Y445" s="21"/>
    </row>
    <row r="446" customFormat="false" ht="15" hidden="false" customHeight="false" outlineLevel="0" collapsed="false">
      <c r="A446" s="17" t="n">
        <v>445</v>
      </c>
      <c r="B446" s="18" t="s">
        <v>1464</v>
      </c>
      <c r="C446" s="17" t="s">
        <v>1225</v>
      </c>
      <c r="D446" s="17" t="n">
        <v>81</v>
      </c>
      <c r="E446" s="17" t="str">
        <f aca="false">C446&amp;"말씀 #"&amp;TEXT(D446,"000")</f>
        <v>신약말씀 #081</v>
      </c>
      <c r="F446" s="17" t="s">
        <v>1453</v>
      </c>
      <c r="G446" s="18" t="s">
        <v>1465</v>
      </c>
      <c r="H446" s="19" t="s">
        <v>1466</v>
      </c>
      <c r="I446" s="17" t="s">
        <v>103</v>
      </c>
      <c r="J446" s="17" t="s">
        <v>104</v>
      </c>
      <c r="K446" s="20"/>
      <c r="L446" s="17" t="s">
        <v>76</v>
      </c>
      <c r="M446" s="17" t="n">
        <f aca="false">LEN(K446)</f>
        <v>0</v>
      </c>
      <c r="N446" s="17" t="str">
        <f aca="false">IF(M446=0,"-",ROUND(3+M446/안내!$C$12,0))</f>
        <v>-</v>
      </c>
      <c r="O446" s="21" t="str">
        <f aca="false">IF(K446="","(본문 입력 후 자동) | 요 1:29",IF(LEN(K446)&gt;28,LEFT(K446,28)&amp;"…",K446)&amp;" | 요 1:29")</f>
        <v>(본문 입력 후 자동) | 요 1:29</v>
      </c>
      <c r="P446" s="21" t="str">
        <f aca="false">"#"&amp;SUBSTITUTE(안내!$C$5," ","")&amp;" #성경구절 #말씀 #요한복음 #구원"</f>
        <v>#오늘의말씀 #성경구절 #말씀 #요한복음 #구원</v>
      </c>
      <c r="Q446" s="21" t="s">
        <v>77</v>
      </c>
      <c r="R446" s="22" t="n">
        <f aca="false">안내!$C$6+INT((D446-1)/안내!$C$7)</f>
        <v>46428</v>
      </c>
      <c r="S446" s="17" t="str">
        <f aca="false">IF(MOD(D446-1,안내!$C$7)=0,안내!$C$9,안내!$C$11)</f>
        <v>12:30</v>
      </c>
      <c r="T446" s="17" t="str">
        <f aca="false">CHOOSE(WEEKDAY(R446,2),"월","화","수","목","금","토","일")</f>
        <v>수</v>
      </c>
      <c r="U446" s="17" t="s">
        <v>78</v>
      </c>
      <c r="V446" s="17" t="s">
        <v>78</v>
      </c>
      <c r="W446" s="23"/>
      <c r="X446" s="23"/>
      <c r="Y446" s="21"/>
    </row>
    <row r="447" customFormat="false" ht="15" hidden="false" customHeight="false" outlineLevel="0" collapsed="false">
      <c r="A447" s="17" t="n">
        <v>446</v>
      </c>
      <c r="B447" s="18" t="s">
        <v>1467</v>
      </c>
      <c r="C447" s="17" t="s">
        <v>1225</v>
      </c>
      <c r="D447" s="17" t="n">
        <v>82</v>
      </c>
      <c r="E447" s="17" t="str">
        <f aca="false">C447&amp;"말씀 #"&amp;TEXT(D447,"000")</f>
        <v>신약말씀 #082</v>
      </c>
      <c r="F447" s="17" t="s">
        <v>1453</v>
      </c>
      <c r="G447" s="18" t="s">
        <v>541</v>
      </c>
      <c r="H447" s="19" t="s">
        <v>1468</v>
      </c>
      <c r="I447" s="17" t="s">
        <v>1079</v>
      </c>
      <c r="J447" s="17" t="s">
        <v>89</v>
      </c>
      <c r="K447" s="20"/>
      <c r="L447" s="17" t="s">
        <v>76</v>
      </c>
      <c r="M447" s="17" t="n">
        <f aca="false">LEN(K447)</f>
        <v>0</v>
      </c>
      <c r="N447" s="17" t="str">
        <f aca="false">IF(M447=0,"-",ROUND(3+M447/안내!$C$12,0))</f>
        <v>-</v>
      </c>
      <c r="O447" s="21" t="str">
        <f aca="false">IF(K447="","(본문 입력 후 자동) | 요 3:3",IF(LEN(K447)&gt;28,LEFT(K447,28)&amp;"…",K447)&amp;" | 요 3:3")</f>
        <v>(본문 입력 후 자동) | 요 3:3</v>
      </c>
      <c r="P447" s="21" t="str">
        <f aca="false">"#"&amp;SUBSTITUTE(안내!$C$5," ","")&amp;" #성경구절 #말씀 #요한복음 #새마음"</f>
        <v>#오늘의말씀 #성경구절 #말씀 #요한복음 #새마음</v>
      </c>
      <c r="Q447" s="21" t="s">
        <v>77</v>
      </c>
      <c r="R447" s="22" t="n">
        <f aca="false">안내!$C$6+INT((D447-1)/안내!$C$7)</f>
        <v>46428</v>
      </c>
      <c r="S447" s="17" t="str">
        <f aca="false">IF(MOD(D447-1,안내!$C$7)=0,안내!$C$9,안내!$C$11)</f>
        <v>21:30</v>
      </c>
      <c r="T447" s="17" t="str">
        <f aca="false">CHOOSE(WEEKDAY(R447,2),"월","화","수","목","금","토","일")</f>
        <v>수</v>
      </c>
      <c r="U447" s="17" t="s">
        <v>78</v>
      </c>
      <c r="V447" s="17" t="s">
        <v>78</v>
      </c>
      <c r="W447" s="23"/>
      <c r="X447" s="23"/>
      <c r="Y447" s="21"/>
    </row>
    <row r="448" customFormat="false" ht="15" hidden="false" customHeight="false" outlineLevel="0" collapsed="false">
      <c r="A448" s="17" t="n">
        <v>447</v>
      </c>
      <c r="B448" s="18" t="s">
        <v>1469</v>
      </c>
      <c r="C448" s="17" t="s">
        <v>1225</v>
      </c>
      <c r="D448" s="17" t="n">
        <v>83</v>
      </c>
      <c r="E448" s="17" t="str">
        <f aca="false">C448&amp;"말씀 #"&amp;TEXT(D448,"000")</f>
        <v>신약말씀 #083</v>
      </c>
      <c r="F448" s="17" t="s">
        <v>1453</v>
      </c>
      <c r="G448" s="18" t="s">
        <v>1220</v>
      </c>
      <c r="H448" s="19" t="s">
        <v>1470</v>
      </c>
      <c r="I448" s="17" t="s">
        <v>239</v>
      </c>
      <c r="J448" s="17" t="s">
        <v>94</v>
      </c>
      <c r="K448" s="20"/>
      <c r="L448" s="17" t="s">
        <v>76</v>
      </c>
      <c r="M448" s="17" t="n">
        <f aca="false">LEN(K448)</f>
        <v>0</v>
      </c>
      <c r="N448" s="17" t="str">
        <f aca="false">IF(M448=0,"-",ROUND(3+M448/안내!$C$12,0))</f>
        <v>-</v>
      </c>
      <c r="O448" s="21" t="str">
        <f aca="false">IF(K448="","(본문 입력 후 자동) | 요 3:16",IF(LEN(K448)&gt;28,LEFT(K448,28)&amp;"…",K448)&amp;" | 요 3:16")</f>
        <v>(본문 입력 후 자동) | 요 3:16</v>
      </c>
      <c r="P448" s="21" t="str">
        <f aca="false">"#"&amp;SUBSTITUTE(안내!$C$5," ","")&amp;" #성경구절 #말씀 #요한복음 #사랑"</f>
        <v>#오늘의말씀 #성경구절 #말씀 #요한복음 #사랑</v>
      </c>
      <c r="Q448" s="21" t="s">
        <v>77</v>
      </c>
      <c r="R448" s="22" t="n">
        <f aca="false">안내!$C$6+INT((D448-1)/안내!$C$7)</f>
        <v>46429</v>
      </c>
      <c r="S448" s="17" t="str">
        <f aca="false">IF(MOD(D448-1,안내!$C$7)=0,안내!$C$9,안내!$C$11)</f>
        <v>12:30</v>
      </c>
      <c r="T448" s="17" t="str">
        <f aca="false">CHOOSE(WEEKDAY(R448,2),"월","화","수","목","금","토","일")</f>
        <v>목</v>
      </c>
      <c r="U448" s="17" t="s">
        <v>78</v>
      </c>
      <c r="V448" s="17" t="s">
        <v>78</v>
      </c>
      <c r="W448" s="23"/>
      <c r="X448" s="23"/>
      <c r="Y448" s="21"/>
    </row>
    <row r="449" customFormat="false" ht="15" hidden="false" customHeight="false" outlineLevel="0" collapsed="false">
      <c r="A449" s="17" t="n">
        <v>448</v>
      </c>
      <c r="B449" s="18" t="s">
        <v>1471</v>
      </c>
      <c r="C449" s="17" t="s">
        <v>1225</v>
      </c>
      <c r="D449" s="17" t="n">
        <v>84</v>
      </c>
      <c r="E449" s="17" t="str">
        <f aca="false">C449&amp;"말씀 #"&amp;TEXT(D449,"000")</f>
        <v>신약말씀 #084</v>
      </c>
      <c r="F449" s="17" t="s">
        <v>1453</v>
      </c>
      <c r="G449" s="18" t="s">
        <v>1472</v>
      </c>
      <c r="H449" s="19" t="s">
        <v>1473</v>
      </c>
      <c r="I449" s="17" t="s">
        <v>775</v>
      </c>
      <c r="J449" s="17" t="s">
        <v>94</v>
      </c>
      <c r="K449" s="20"/>
      <c r="L449" s="17" t="s">
        <v>76</v>
      </c>
      <c r="M449" s="17" t="n">
        <f aca="false">LEN(K449)</f>
        <v>0</v>
      </c>
      <c r="N449" s="17" t="str">
        <f aca="false">IF(M449=0,"-",ROUND(3+M449/안내!$C$12,0))</f>
        <v>-</v>
      </c>
      <c r="O449" s="21" t="str">
        <f aca="false">IF(K449="","(본문 입력 후 자동) | 요 3:30",IF(LEN(K449)&gt;28,LEFT(K449,28)&amp;"…",K449)&amp;" | 요 3:30")</f>
        <v>(본문 입력 후 자동) | 요 3:30</v>
      </c>
      <c r="P449" s="21" t="str">
        <f aca="false">"#"&amp;SUBSTITUTE(안내!$C$5," ","")&amp;" #성경구절 #말씀 #요한복음 #겸손"</f>
        <v>#오늘의말씀 #성경구절 #말씀 #요한복음 #겸손</v>
      </c>
      <c r="Q449" s="21" t="s">
        <v>77</v>
      </c>
      <c r="R449" s="22" t="n">
        <f aca="false">안내!$C$6+INT((D449-1)/안내!$C$7)</f>
        <v>46429</v>
      </c>
      <c r="S449" s="17" t="str">
        <f aca="false">IF(MOD(D449-1,안내!$C$7)=0,안내!$C$9,안내!$C$11)</f>
        <v>21:30</v>
      </c>
      <c r="T449" s="17" t="str">
        <f aca="false">CHOOSE(WEEKDAY(R449,2),"월","화","수","목","금","토","일")</f>
        <v>목</v>
      </c>
      <c r="U449" s="17" t="s">
        <v>78</v>
      </c>
      <c r="V449" s="17" t="s">
        <v>78</v>
      </c>
      <c r="W449" s="23"/>
      <c r="X449" s="23"/>
      <c r="Y449" s="21"/>
    </row>
    <row r="450" customFormat="false" ht="15" hidden="false" customHeight="false" outlineLevel="0" collapsed="false">
      <c r="A450" s="17" t="n">
        <v>449</v>
      </c>
      <c r="B450" s="18" t="s">
        <v>1474</v>
      </c>
      <c r="C450" s="17" t="s">
        <v>1225</v>
      </c>
      <c r="D450" s="17" t="n">
        <v>85</v>
      </c>
      <c r="E450" s="17" t="str">
        <f aca="false">C450&amp;"말씀 #"&amp;TEXT(D450,"000")</f>
        <v>신약말씀 #085</v>
      </c>
      <c r="F450" s="17" t="s">
        <v>1453</v>
      </c>
      <c r="G450" s="18" t="s">
        <v>355</v>
      </c>
      <c r="H450" s="19" t="s">
        <v>1475</v>
      </c>
      <c r="I450" s="17" t="s">
        <v>88</v>
      </c>
      <c r="J450" s="17" t="s">
        <v>89</v>
      </c>
      <c r="K450" s="20"/>
      <c r="L450" s="17" t="s">
        <v>76</v>
      </c>
      <c r="M450" s="17" t="n">
        <f aca="false">LEN(K450)</f>
        <v>0</v>
      </c>
      <c r="N450" s="17" t="str">
        <f aca="false">IF(M450=0,"-",ROUND(3+M450/안내!$C$12,0))</f>
        <v>-</v>
      </c>
      <c r="O450" s="21" t="str">
        <f aca="false">IF(K450="","(본문 입력 후 자동) | 요 4:14",IF(LEN(K450)&gt;28,LEFT(K450,28)&amp;"…",K450)&amp;" | 요 4:14")</f>
        <v>(본문 입력 후 자동) | 요 4:14</v>
      </c>
      <c r="P450" s="21" t="str">
        <f aca="false">"#"&amp;SUBSTITUTE(안내!$C$5," ","")&amp;" #성경구절 #말씀 #요한복음 #생명"</f>
        <v>#오늘의말씀 #성경구절 #말씀 #요한복음 #생명</v>
      </c>
      <c r="Q450" s="21" t="s">
        <v>77</v>
      </c>
      <c r="R450" s="22" t="n">
        <f aca="false">안내!$C$6+INT((D450-1)/안내!$C$7)</f>
        <v>46430</v>
      </c>
      <c r="S450" s="17" t="str">
        <f aca="false">IF(MOD(D450-1,안내!$C$7)=0,안내!$C$9,안내!$C$11)</f>
        <v>12:30</v>
      </c>
      <c r="T450" s="17" t="str">
        <f aca="false">CHOOSE(WEEKDAY(R450,2),"월","화","수","목","금","토","일")</f>
        <v>금</v>
      </c>
      <c r="U450" s="17" t="s">
        <v>78</v>
      </c>
      <c r="V450" s="17" t="s">
        <v>78</v>
      </c>
      <c r="W450" s="23"/>
      <c r="X450" s="23"/>
      <c r="Y450" s="21"/>
    </row>
    <row r="451" customFormat="false" ht="15" hidden="false" customHeight="false" outlineLevel="0" collapsed="false">
      <c r="A451" s="17" t="n">
        <v>450</v>
      </c>
      <c r="B451" s="18" t="s">
        <v>1476</v>
      </c>
      <c r="C451" s="17" t="s">
        <v>1225</v>
      </c>
      <c r="D451" s="17" t="n">
        <v>86</v>
      </c>
      <c r="E451" s="17" t="str">
        <f aca="false">C451&amp;"말씀 #"&amp;TEXT(D451,"000")</f>
        <v>신약말씀 #086</v>
      </c>
      <c r="F451" s="17" t="s">
        <v>1453</v>
      </c>
      <c r="G451" s="18" t="s">
        <v>1477</v>
      </c>
      <c r="H451" s="19" t="s">
        <v>1478</v>
      </c>
      <c r="I451" s="17" t="s">
        <v>593</v>
      </c>
      <c r="J451" s="17" t="s">
        <v>75</v>
      </c>
      <c r="K451" s="20"/>
      <c r="L451" s="17" t="s">
        <v>76</v>
      </c>
      <c r="M451" s="17" t="n">
        <f aca="false">LEN(K451)</f>
        <v>0</v>
      </c>
      <c r="N451" s="17" t="str">
        <f aca="false">IF(M451=0,"-",ROUND(3+M451/안내!$C$12,0))</f>
        <v>-</v>
      </c>
      <c r="O451" s="21" t="str">
        <f aca="false">IF(K451="","(본문 입력 후 자동) | 요 4:24",IF(LEN(K451)&gt;28,LEFT(K451,28)&amp;"…",K451)&amp;" | 요 4:24")</f>
        <v>(본문 입력 후 자동) | 요 4:24</v>
      </c>
      <c r="P451" s="21" t="str">
        <f aca="false">"#"&amp;SUBSTITUTE(안내!$C$5," ","")&amp;" #성경구절 #말씀 #요한복음 #예배"</f>
        <v>#오늘의말씀 #성경구절 #말씀 #요한복음 #예배</v>
      </c>
      <c r="Q451" s="21" t="s">
        <v>77</v>
      </c>
      <c r="R451" s="22" t="n">
        <f aca="false">안내!$C$6+INT((D451-1)/안내!$C$7)</f>
        <v>46430</v>
      </c>
      <c r="S451" s="17" t="str">
        <f aca="false">IF(MOD(D451-1,안내!$C$7)=0,안내!$C$9,안내!$C$11)</f>
        <v>21:30</v>
      </c>
      <c r="T451" s="17" t="str">
        <f aca="false">CHOOSE(WEEKDAY(R451,2),"월","화","수","목","금","토","일")</f>
        <v>금</v>
      </c>
      <c r="U451" s="17" t="s">
        <v>78</v>
      </c>
      <c r="V451" s="17" t="s">
        <v>78</v>
      </c>
      <c r="W451" s="23"/>
      <c r="X451" s="23"/>
      <c r="Y451" s="21"/>
    </row>
    <row r="452" customFormat="false" ht="15" hidden="false" customHeight="false" outlineLevel="0" collapsed="false">
      <c r="A452" s="17" t="n">
        <v>451</v>
      </c>
      <c r="B452" s="18" t="s">
        <v>1479</v>
      </c>
      <c r="C452" s="17" t="s">
        <v>1225</v>
      </c>
      <c r="D452" s="17" t="n">
        <v>87</v>
      </c>
      <c r="E452" s="17" t="str">
        <f aca="false">C452&amp;"말씀 #"&amp;TEXT(D452,"000")</f>
        <v>신약말씀 #087</v>
      </c>
      <c r="F452" s="17" t="s">
        <v>1453</v>
      </c>
      <c r="G452" s="18" t="s">
        <v>1147</v>
      </c>
      <c r="H452" s="19" t="s">
        <v>1480</v>
      </c>
      <c r="I452" s="17" t="s">
        <v>88</v>
      </c>
      <c r="J452" s="17" t="s">
        <v>89</v>
      </c>
      <c r="K452" s="20"/>
      <c r="L452" s="17" t="s">
        <v>76</v>
      </c>
      <c r="M452" s="17" t="n">
        <f aca="false">LEN(K452)</f>
        <v>0</v>
      </c>
      <c r="N452" s="17" t="str">
        <f aca="false">IF(M452=0,"-",ROUND(3+M452/안내!$C$12,0))</f>
        <v>-</v>
      </c>
      <c r="O452" s="21" t="str">
        <f aca="false">IF(K452="","(본문 입력 후 자동) | 요 5:24",IF(LEN(K452)&gt;28,LEFT(K452,28)&amp;"…",K452)&amp;" | 요 5:24")</f>
        <v>(본문 입력 후 자동) | 요 5:24</v>
      </c>
      <c r="P452" s="21" t="str">
        <f aca="false">"#"&amp;SUBSTITUTE(안내!$C$5," ","")&amp;" #성경구절 #말씀 #요한복음 #생명"</f>
        <v>#오늘의말씀 #성경구절 #말씀 #요한복음 #생명</v>
      </c>
      <c r="Q452" s="21" t="s">
        <v>77</v>
      </c>
      <c r="R452" s="22" t="n">
        <f aca="false">안내!$C$6+INT((D452-1)/안내!$C$7)</f>
        <v>46431</v>
      </c>
      <c r="S452" s="17" t="str">
        <f aca="false">IF(MOD(D452-1,안내!$C$7)=0,안내!$C$9,안내!$C$11)</f>
        <v>12:30</v>
      </c>
      <c r="T452" s="17" t="str">
        <f aca="false">CHOOSE(WEEKDAY(R452,2),"월","화","수","목","금","토","일")</f>
        <v>토</v>
      </c>
      <c r="U452" s="17" t="s">
        <v>78</v>
      </c>
      <c r="V452" s="17" t="s">
        <v>78</v>
      </c>
      <c r="W452" s="23"/>
      <c r="X452" s="23"/>
      <c r="Y452" s="21"/>
    </row>
    <row r="453" customFormat="false" ht="15" hidden="false" customHeight="false" outlineLevel="0" collapsed="false">
      <c r="A453" s="17" t="n">
        <v>452</v>
      </c>
      <c r="B453" s="18" t="s">
        <v>1481</v>
      </c>
      <c r="C453" s="17" t="s">
        <v>1225</v>
      </c>
      <c r="D453" s="17" t="n">
        <v>88</v>
      </c>
      <c r="E453" s="17" t="str">
        <f aca="false">C453&amp;"말씀 #"&amp;TEXT(D453,"000")</f>
        <v>신약말씀 #088</v>
      </c>
      <c r="F453" s="17" t="s">
        <v>1453</v>
      </c>
      <c r="G453" s="18" t="s">
        <v>1482</v>
      </c>
      <c r="H453" s="19" t="s">
        <v>1483</v>
      </c>
      <c r="I453" s="17" t="s">
        <v>88</v>
      </c>
      <c r="J453" s="17" t="s">
        <v>89</v>
      </c>
      <c r="K453" s="20"/>
      <c r="L453" s="17" t="s">
        <v>76</v>
      </c>
      <c r="M453" s="17" t="n">
        <f aca="false">LEN(K453)</f>
        <v>0</v>
      </c>
      <c r="N453" s="17" t="str">
        <f aca="false">IF(M453=0,"-",ROUND(3+M453/안내!$C$12,0))</f>
        <v>-</v>
      </c>
      <c r="O453" s="21" t="str">
        <f aca="false">IF(K453="","(본문 입력 후 자동) | 요 6:35",IF(LEN(K453)&gt;28,LEFT(K453,28)&amp;"…",K453)&amp;" | 요 6:35")</f>
        <v>(본문 입력 후 자동) | 요 6:35</v>
      </c>
      <c r="P453" s="21" t="str">
        <f aca="false">"#"&amp;SUBSTITUTE(안내!$C$5," ","")&amp;" #성경구절 #말씀 #요한복음 #생명"</f>
        <v>#오늘의말씀 #성경구절 #말씀 #요한복음 #생명</v>
      </c>
      <c r="Q453" s="21" t="s">
        <v>77</v>
      </c>
      <c r="R453" s="22" t="n">
        <f aca="false">안내!$C$6+INT((D453-1)/안내!$C$7)</f>
        <v>46431</v>
      </c>
      <c r="S453" s="17" t="str">
        <f aca="false">IF(MOD(D453-1,안내!$C$7)=0,안내!$C$9,안내!$C$11)</f>
        <v>21:30</v>
      </c>
      <c r="T453" s="17" t="str">
        <f aca="false">CHOOSE(WEEKDAY(R453,2),"월","화","수","목","금","토","일")</f>
        <v>토</v>
      </c>
      <c r="U453" s="17" t="s">
        <v>78</v>
      </c>
      <c r="V453" s="17" t="s">
        <v>78</v>
      </c>
      <c r="W453" s="23"/>
      <c r="X453" s="23"/>
      <c r="Y453" s="21"/>
    </row>
    <row r="454" customFormat="false" ht="15" hidden="false" customHeight="false" outlineLevel="0" collapsed="false">
      <c r="A454" s="17" t="n">
        <v>453</v>
      </c>
      <c r="B454" s="18" t="s">
        <v>1484</v>
      </c>
      <c r="C454" s="17" t="s">
        <v>1225</v>
      </c>
      <c r="D454" s="17" t="n">
        <v>89</v>
      </c>
      <c r="E454" s="17" t="str">
        <f aca="false">C454&amp;"말씀 #"&amp;TEXT(D454,"000")</f>
        <v>신약말씀 #089</v>
      </c>
      <c r="F454" s="17" t="s">
        <v>1453</v>
      </c>
      <c r="G454" s="18" t="s">
        <v>1485</v>
      </c>
      <c r="H454" s="19" t="s">
        <v>1486</v>
      </c>
      <c r="I454" s="17" t="s">
        <v>98</v>
      </c>
      <c r="J454" s="17" t="s">
        <v>99</v>
      </c>
      <c r="K454" s="20"/>
      <c r="L454" s="17" t="s">
        <v>76</v>
      </c>
      <c r="M454" s="17" t="n">
        <f aca="false">LEN(K454)</f>
        <v>0</v>
      </c>
      <c r="N454" s="17" t="str">
        <f aca="false">IF(M454=0,"-",ROUND(3+M454/안내!$C$12,0))</f>
        <v>-</v>
      </c>
      <c r="O454" s="21" t="str">
        <f aca="false">IF(K454="","(본문 입력 후 자동) | 요 6:37",IF(LEN(K454)&gt;28,LEFT(K454,28)&amp;"…",K454)&amp;" | 요 6:37")</f>
        <v>(본문 입력 후 자동) | 요 6:37</v>
      </c>
      <c r="P454" s="21" t="str">
        <f aca="false">"#"&amp;SUBSTITUTE(안내!$C$5," ","")&amp;" #성경구절 #말씀 #요한복음 #은혜"</f>
        <v>#오늘의말씀 #성경구절 #말씀 #요한복음 #은혜</v>
      </c>
      <c r="Q454" s="21" t="s">
        <v>77</v>
      </c>
      <c r="R454" s="22" t="n">
        <f aca="false">안내!$C$6+INT((D454-1)/안내!$C$7)</f>
        <v>46432</v>
      </c>
      <c r="S454" s="17" t="str">
        <f aca="false">IF(MOD(D454-1,안내!$C$7)=0,안내!$C$9,안내!$C$11)</f>
        <v>12:30</v>
      </c>
      <c r="T454" s="17" t="str">
        <f aca="false">CHOOSE(WEEKDAY(R454,2),"월","화","수","목","금","토","일")</f>
        <v>일</v>
      </c>
      <c r="U454" s="17" t="s">
        <v>78</v>
      </c>
      <c r="V454" s="17" t="s">
        <v>78</v>
      </c>
      <c r="W454" s="23"/>
      <c r="X454" s="23"/>
      <c r="Y454" s="21"/>
    </row>
    <row r="455" customFormat="false" ht="15" hidden="false" customHeight="false" outlineLevel="0" collapsed="false">
      <c r="A455" s="17" t="n">
        <v>454</v>
      </c>
      <c r="B455" s="18" t="s">
        <v>1487</v>
      </c>
      <c r="C455" s="17" t="s">
        <v>1225</v>
      </c>
      <c r="D455" s="17" t="n">
        <v>90</v>
      </c>
      <c r="E455" s="17" t="str">
        <f aca="false">C455&amp;"말씀 #"&amp;TEXT(D455,"000")</f>
        <v>신약말씀 #090</v>
      </c>
      <c r="F455" s="17" t="s">
        <v>1453</v>
      </c>
      <c r="G455" s="18" t="s">
        <v>1488</v>
      </c>
      <c r="H455" s="19" t="s">
        <v>1489</v>
      </c>
      <c r="I455" s="17" t="s">
        <v>1139</v>
      </c>
      <c r="J455" s="17" t="s">
        <v>75</v>
      </c>
      <c r="K455" s="20"/>
      <c r="L455" s="17" t="s">
        <v>76</v>
      </c>
      <c r="M455" s="17" t="n">
        <f aca="false">LEN(K455)</f>
        <v>0</v>
      </c>
      <c r="N455" s="17" t="str">
        <f aca="false">IF(M455=0,"-",ROUND(3+M455/안내!$C$12,0))</f>
        <v>-</v>
      </c>
      <c r="O455" s="21" t="str">
        <f aca="false">IF(K455="","(본문 입력 후 자동) | 요 7:38",IF(LEN(K455)&gt;28,LEFT(K455,28)&amp;"…",K455)&amp;" | 요 7:38")</f>
        <v>(본문 입력 후 자동) | 요 7:38</v>
      </c>
      <c r="P455" s="21" t="str">
        <f aca="false">"#"&amp;SUBSTITUTE(안내!$C$5," ","")&amp;" #성경구절 #말씀 #요한복음 #성령"</f>
        <v>#오늘의말씀 #성경구절 #말씀 #요한복음 #성령</v>
      </c>
      <c r="Q455" s="21" t="s">
        <v>77</v>
      </c>
      <c r="R455" s="22" t="n">
        <f aca="false">안내!$C$6+INT((D455-1)/안내!$C$7)</f>
        <v>46432</v>
      </c>
      <c r="S455" s="17" t="str">
        <f aca="false">IF(MOD(D455-1,안내!$C$7)=0,안내!$C$9,안내!$C$11)</f>
        <v>21:30</v>
      </c>
      <c r="T455" s="17" t="str">
        <f aca="false">CHOOSE(WEEKDAY(R455,2),"월","화","수","목","금","토","일")</f>
        <v>일</v>
      </c>
      <c r="U455" s="17" t="s">
        <v>78</v>
      </c>
      <c r="V455" s="17" t="s">
        <v>78</v>
      </c>
      <c r="W455" s="23"/>
      <c r="X455" s="23"/>
      <c r="Y455" s="21"/>
    </row>
    <row r="456" customFormat="false" ht="15" hidden="false" customHeight="false" outlineLevel="0" collapsed="false">
      <c r="A456" s="17" t="n">
        <v>455</v>
      </c>
      <c r="B456" s="18" t="s">
        <v>1490</v>
      </c>
      <c r="C456" s="17" t="s">
        <v>1225</v>
      </c>
      <c r="D456" s="17" t="n">
        <v>91</v>
      </c>
      <c r="E456" s="17" t="str">
        <f aca="false">C456&amp;"말씀 #"&amp;TEXT(D456,"000")</f>
        <v>신약말씀 #091</v>
      </c>
      <c r="F456" s="17" t="s">
        <v>1453</v>
      </c>
      <c r="G456" s="18" t="s">
        <v>1491</v>
      </c>
      <c r="H456" s="19" t="s">
        <v>1492</v>
      </c>
      <c r="I456" s="17" t="s">
        <v>1258</v>
      </c>
      <c r="J456" s="17" t="s">
        <v>89</v>
      </c>
      <c r="K456" s="20"/>
      <c r="L456" s="17" t="s">
        <v>76</v>
      </c>
      <c r="M456" s="17" t="n">
        <f aca="false">LEN(K456)</f>
        <v>0</v>
      </c>
      <c r="N456" s="17" t="str">
        <f aca="false">IF(M456=0,"-",ROUND(3+M456/안내!$C$12,0))</f>
        <v>-</v>
      </c>
      <c r="O456" s="21" t="str">
        <f aca="false">IF(K456="","(본문 입력 후 자동) | 요 8:12",IF(LEN(K456)&gt;28,LEFT(K456,28)&amp;"…",K456)&amp;" | 요 8:12")</f>
        <v>(본문 입력 후 자동) | 요 8:12</v>
      </c>
      <c r="P456" s="21" t="str">
        <f aca="false">"#"&amp;SUBSTITUTE(안내!$C$5," ","")&amp;" #성경구절 #말씀 #요한복음 #빛"</f>
        <v>#오늘의말씀 #성경구절 #말씀 #요한복음 #빛</v>
      </c>
      <c r="Q456" s="21" t="s">
        <v>77</v>
      </c>
      <c r="R456" s="22" t="n">
        <f aca="false">안내!$C$6+INT((D456-1)/안내!$C$7)</f>
        <v>46433</v>
      </c>
      <c r="S456" s="17" t="str">
        <f aca="false">IF(MOD(D456-1,안내!$C$7)=0,안내!$C$9,안내!$C$11)</f>
        <v>12:30</v>
      </c>
      <c r="T456" s="17" t="str">
        <f aca="false">CHOOSE(WEEKDAY(R456,2),"월","화","수","목","금","토","일")</f>
        <v>월</v>
      </c>
      <c r="U456" s="17" t="s">
        <v>78</v>
      </c>
      <c r="V456" s="17" t="s">
        <v>78</v>
      </c>
      <c r="W456" s="23"/>
      <c r="X456" s="23"/>
      <c r="Y456" s="21"/>
    </row>
    <row r="457" customFormat="false" ht="15" hidden="false" customHeight="false" outlineLevel="0" collapsed="false">
      <c r="A457" s="17" t="n">
        <v>456</v>
      </c>
      <c r="B457" s="18" t="s">
        <v>1493</v>
      </c>
      <c r="C457" s="17" t="s">
        <v>1225</v>
      </c>
      <c r="D457" s="17" t="n">
        <v>92</v>
      </c>
      <c r="E457" s="17" t="str">
        <f aca="false">C457&amp;"말씀 #"&amp;TEXT(D457,"000")</f>
        <v>신약말씀 #092</v>
      </c>
      <c r="F457" s="17" t="s">
        <v>1453</v>
      </c>
      <c r="G457" s="18" t="s">
        <v>1494</v>
      </c>
      <c r="H457" s="19" t="s">
        <v>1495</v>
      </c>
      <c r="I457" s="17" t="s">
        <v>243</v>
      </c>
      <c r="J457" s="17" t="s">
        <v>104</v>
      </c>
      <c r="K457" s="20"/>
      <c r="L457" s="17" t="s">
        <v>76</v>
      </c>
      <c r="M457" s="17" t="n">
        <f aca="false">LEN(K457)</f>
        <v>0</v>
      </c>
      <c r="N457" s="17" t="str">
        <f aca="false">IF(M457=0,"-",ROUND(3+M457/안내!$C$12,0))</f>
        <v>-</v>
      </c>
      <c r="O457" s="21" t="str">
        <f aca="false">IF(K457="","(본문 입력 후 자동) | 요 8:32",IF(LEN(K457)&gt;28,LEFT(K457,28)&amp;"…",K457)&amp;" | 요 8:32")</f>
        <v>(본문 입력 후 자동) | 요 8:32</v>
      </c>
      <c r="P457" s="21" t="str">
        <f aca="false">"#"&amp;SUBSTITUTE(안내!$C$5," ","")&amp;" #성경구절 #말씀 #요한복음 #자유"</f>
        <v>#오늘의말씀 #성경구절 #말씀 #요한복음 #자유</v>
      </c>
      <c r="Q457" s="21" t="s">
        <v>77</v>
      </c>
      <c r="R457" s="22" t="n">
        <f aca="false">안내!$C$6+INT((D457-1)/안내!$C$7)</f>
        <v>46433</v>
      </c>
      <c r="S457" s="17" t="str">
        <f aca="false">IF(MOD(D457-1,안내!$C$7)=0,안내!$C$9,안내!$C$11)</f>
        <v>21:30</v>
      </c>
      <c r="T457" s="17" t="str">
        <f aca="false">CHOOSE(WEEKDAY(R457,2),"월","화","수","목","금","토","일")</f>
        <v>월</v>
      </c>
      <c r="U457" s="17" t="s">
        <v>78</v>
      </c>
      <c r="V457" s="17" t="s">
        <v>78</v>
      </c>
      <c r="W457" s="23"/>
      <c r="X457" s="23"/>
      <c r="Y457" s="21"/>
    </row>
    <row r="458" customFormat="false" ht="25.35" hidden="false" customHeight="false" outlineLevel="0" collapsed="false">
      <c r="A458" s="17" t="n">
        <v>457</v>
      </c>
      <c r="B458" s="18" t="s">
        <v>1496</v>
      </c>
      <c r="C458" s="17" t="s">
        <v>1225</v>
      </c>
      <c r="D458" s="17" t="n">
        <v>93</v>
      </c>
      <c r="E458" s="17" t="str">
        <f aca="false">C458&amp;"말씀 #"&amp;TEXT(D458,"000")</f>
        <v>신약말씀 #093</v>
      </c>
      <c r="F458" s="17" t="s">
        <v>1453</v>
      </c>
      <c r="G458" s="18" t="s">
        <v>1497</v>
      </c>
      <c r="H458" s="19" t="s">
        <v>1498</v>
      </c>
      <c r="I458" s="17" t="s">
        <v>88</v>
      </c>
      <c r="J458" s="17" t="s">
        <v>89</v>
      </c>
      <c r="K458" s="20"/>
      <c r="L458" s="17" t="s">
        <v>76</v>
      </c>
      <c r="M458" s="17" t="n">
        <f aca="false">LEN(K458)</f>
        <v>0</v>
      </c>
      <c r="N458" s="17" t="str">
        <f aca="false">IF(M458=0,"-",ROUND(3+M458/안내!$C$12,0))</f>
        <v>-</v>
      </c>
      <c r="O458" s="21" t="str">
        <f aca="false">IF(K458="","(본문 입력 후 자동) | 요 10:10",IF(LEN(K458)&gt;28,LEFT(K458,28)&amp;"…",K458)&amp;" | 요 10:10")</f>
        <v>(본문 입력 후 자동) | 요 10:10</v>
      </c>
      <c r="P458" s="21" t="str">
        <f aca="false">"#"&amp;SUBSTITUTE(안내!$C$5," ","")&amp;" #성경구절 #말씀 #요한복음 #생명"</f>
        <v>#오늘의말씀 #성경구절 #말씀 #요한복음 #생명</v>
      </c>
      <c r="Q458" s="21" t="s">
        <v>77</v>
      </c>
      <c r="R458" s="22" t="n">
        <f aca="false">안내!$C$6+INT((D458-1)/안내!$C$7)</f>
        <v>46434</v>
      </c>
      <c r="S458" s="17" t="str">
        <f aca="false">IF(MOD(D458-1,안내!$C$7)=0,안내!$C$9,안내!$C$11)</f>
        <v>12:30</v>
      </c>
      <c r="T458" s="17" t="str">
        <f aca="false">CHOOSE(WEEKDAY(R458,2),"월","화","수","목","금","토","일")</f>
        <v>화</v>
      </c>
      <c r="U458" s="17" t="s">
        <v>78</v>
      </c>
      <c r="V458" s="17" t="s">
        <v>78</v>
      </c>
      <c r="W458" s="23"/>
      <c r="X458" s="23"/>
      <c r="Y458" s="21"/>
    </row>
    <row r="459" customFormat="false" ht="25.35" hidden="false" customHeight="false" outlineLevel="0" collapsed="false">
      <c r="A459" s="17" t="n">
        <v>458</v>
      </c>
      <c r="B459" s="18" t="s">
        <v>1499</v>
      </c>
      <c r="C459" s="17" t="s">
        <v>1225</v>
      </c>
      <c r="D459" s="17" t="n">
        <v>94</v>
      </c>
      <c r="E459" s="17" t="str">
        <f aca="false">C459&amp;"말씀 #"&amp;TEXT(D459,"000")</f>
        <v>신약말씀 #094</v>
      </c>
      <c r="F459" s="17" t="s">
        <v>1453</v>
      </c>
      <c r="G459" s="18" t="s">
        <v>1500</v>
      </c>
      <c r="H459" s="19" t="s">
        <v>1501</v>
      </c>
      <c r="I459" s="17" t="s">
        <v>239</v>
      </c>
      <c r="J459" s="17" t="s">
        <v>94</v>
      </c>
      <c r="K459" s="20"/>
      <c r="L459" s="17" t="s">
        <v>76</v>
      </c>
      <c r="M459" s="17" t="n">
        <f aca="false">LEN(K459)</f>
        <v>0</v>
      </c>
      <c r="N459" s="17" t="str">
        <f aca="false">IF(M459=0,"-",ROUND(3+M459/안내!$C$12,0))</f>
        <v>-</v>
      </c>
      <c r="O459" s="21" t="str">
        <f aca="false">IF(K459="","(본문 입력 후 자동) | 요 10:11",IF(LEN(K459)&gt;28,LEFT(K459,28)&amp;"…",K459)&amp;" | 요 10:11")</f>
        <v>(본문 입력 후 자동) | 요 10:11</v>
      </c>
      <c r="P459" s="21" t="str">
        <f aca="false">"#"&amp;SUBSTITUTE(안내!$C$5," ","")&amp;" #성경구절 #말씀 #요한복음 #사랑"</f>
        <v>#오늘의말씀 #성경구절 #말씀 #요한복음 #사랑</v>
      </c>
      <c r="Q459" s="21" t="s">
        <v>77</v>
      </c>
      <c r="R459" s="22" t="n">
        <f aca="false">안내!$C$6+INT((D459-1)/안내!$C$7)</f>
        <v>46434</v>
      </c>
      <c r="S459" s="17" t="str">
        <f aca="false">IF(MOD(D459-1,안내!$C$7)=0,안내!$C$9,안내!$C$11)</f>
        <v>21:30</v>
      </c>
      <c r="T459" s="17" t="str">
        <f aca="false">CHOOSE(WEEKDAY(R459,2),"월","화","수","목","금","토","일")</f>
        <v>화</v>
      </c>
      <c r="U459" s="17" t="s">
        <v>78</v>
      </c>
      <c r="V459" s="17" t="s">
        <v>78</v>
      </c>
      <c r="W459" s="23"/>
      <c r="X459" s="23"/>
      <c r="Y459" s="21"/>
    </row>
    <row r="460" customFormat="false" ht="25.35" hidden="false" customHeight="false" outlineLevel="0" collapsed="false">
      <c r="A460" s="17" t="n">
        <v>459</v>
      </c>
      <c r="B460" s="18" t="s">
        <v>1502</v>
      </c>
      <c r="C460" s="17" t="s">
        <v>1225</v>
      </c>
      <c r="D460" s="17" t="n">
        <v>95</v>
      </c>
      <c r="E460" s="17" t="str">
        <f aca="false">C460&amp;"말씀 #"&amp;TEXT(D460,"000")</f>
        <v>신약말씀 #095</v>
      </c>
      <c r="F460" s="17" t="s">
        <v>1453</v>
      </c>
      <c r="G460" s="18" t="s">
        <v>1503</v>
      </c>
      <c r="H460" s="19" t="s">
        <v>1504</v>
      </c>
      <c r="I460" s="17" t="s">
        <v>180</v>
      </c>
      <c r="J460" s="17" t="s">
        <v>122</v>
      </c>
      <c r="K460" s="20"/>
      <c r="L460" s="17" t="s">
        <v>76</v>
      </c>
      <c r="M460" s="17" t="n">
        <f aca="false">LEN(K460)</f>
        <v>0</v>
      </c>
      <c r="N460" s="17" t="str">
        <f aca="false">IF(M460=0,"-",ROUND(3+M460/안내!$C$12,0))</f>
        <v>-</v>
      </c>
      <c r="O460" s="21" t="str">
        <f aca="false">IF(K460="","(본문 입력 후 자동) | 요 10:27",IF(LEN(K460)&gt;28,LEFT(K460,28)&amp;"…",K460)&amp;" | 요 10:27")</f>
        <v>(본문 입력 후 자동) | 요 10:27</v>
      </c>
      <c r="P460" s="21" t="str">
        <f aca="false">"#"&amp;SUBSTITUTE(안내!$C$5," ","")&amp;" #성경구절 #말씀 #요한복음 #인도"</f>
        <v>#오늘의말씀 #성경구절 #말씀 #요한복음 #인도</v>
      </c>
      <c r="Q460" s="21" t="s">
        <v>77</v>
      </c>
      <c r="R460" s="22" t="n">
        <f aca="false">안내!$C$6+INT((D460-1)/안내!$C$7)</f>
        <v>46435</v>
      </c>
      <c r="S460" s="17" t="str">
        <f aca="false">IF(MOD(D460-1,안내!$C$7)=0,안내!$C$9,안내!$C$11)</f>
        <v>12:30</v>
      </c>
      <c r="T460" s="17" t="str">
        <f aca="false">CHOOSE(WEEKDAY(R460,2),"월","화","수","목","금","토","일")</f>
        <v>수</v>
      </c>
      <c r="U460" s="17" t="s">
        <v>78</v>
      </c>
      <c r="V460" s="17" t="s">
        <v>78</v>
      </c>
      <c r="W460" s="23"/>
      <c r="X460" s="23"/>
      <c r="Y460" s="21"/>
    </row>
    <row r="461" customFormat="false" ht="25.35" hidden="false" customHeight="false" outlineLevel="0" collapsed="false">
      <c r="A461" s="17" t="n">
        <v>460</v>
      </c>
      <c r="B461" s="18" t="s">
        <v>1505</v>
      </c>
      <c r="C461" s="17" t="s">
        <v>1225</v>
      </c>
      <c r="D461" s="17" t="n">
        <v>96</v>
      </c>
      <c r="E461" s="17" t="str">
        <f aca="false">C461&amp;"말씀 #"&amp;TEXT(D461,"000")</f>
        <v>신약말씀 #096</v>
      </c>
      <c r="F461" s="17" t="s">
        <v>1453</v>
      </c>
      <c r="G461" s="18" t="s">
        <v>1506</v>
      </c>
      <c r="H461" s="19" t="s">
        <v>1507</v>
      </c>
      <c r="I461" s="17" t="s">
        <v>353</v>
      </c>
      <c r="J461" s="17" t="s">
        <v>113</v>
      </c>
      <c r="K461" s="20"/>
      <c r="L461" s="17" t="s">
        <v>76</v>
      </c>
      <c r="M461" s="17" t="n">
        <f aca="false">LEN(K461)</f>
        <v>0</v>
      </c>
      <c r="N461" s="17" t="str">
        <f aca="false">IF(M461=0,"-",ROUND(3+M461/안내!$C$12,0))</f>
        <v>-</v>
      </c>
      <c r="O461" s="21" t="str">
        <f aca="false">IF(K461="","(본문 입력 후 자동) | 요 10:28",IF(LEN(K461)&gt;28,LEFT(K461,28)&amp;"…",K461)&amp;" | 요 10:28")</f>
        <v>(본문 입력 후 자동) | 요 10:28</v>
      </c>
      <c r="P461" s="21" t="str">
        <f aca="false">"#"&amp;SUBSTITUTE(안내!$C$5," ","")&amp;" #성경구절 #말씀 #요한복음 #보호"</f>
        <v>#오늘의말씀 #성경구절 #말씀 #요한복음 #보호</v>
      </c>
      <c r="Q461" s="21" t="s">
        <v>77</v>
      </c>
      <c r="R461" s="22" t="n">
        <f aca="false">안내!$C$6+INT((D461-1)/안내!$C$7)</f>
        <v>46435</v>
      </c>
      <c r="S461" s="17" t="str">
        <f aca="false">IF(MOD(D461-1,안내!$C$7)=0,안내!$C$9,안내!$C$11)</f>
        <v>21:30</v>
      </c>
      <c r="T461" s="17" t="str">
        <f aca="false">CHOOSE(WEEKDAY(R461,2),"월","화","수","목","금","토","일")</f>
        <v>수</v>
      </c>
      <c r="U461" s="17" t="s">
        <v>78</v>
      </c>
      <c r="V461" s="17" t="s">
        <v>78</v>
      </c>
      <c r="W461" s="23"/>
      <c r="X461" s="23"/>
      <c r="Y461" s="21"/>
    </row>
    <row r="462" customFormat="false" ht="25.35" hidden="false" customHeight="false" outlineLevel="0" collapsed="false">
      <c r="A462" s="17" t="n">
        <v>461</v>
      </c>
      <c r="B462" s="18" t="s">
        <v>1508</v>
      </c>
      <c r="C462" s="17" t="s">
        <v>1225</v>
      </c>
      <c r="D462" s="17" t="n">
        <v>97</v>
      </c>
      <c r="E462" s="17" t="str">
        <f aca="false">C462&amp;"말씀 #"&amp;TEXT(D462,"000")</f>
        <v>신약말씀 #097</v>
      </c>
      <c r="F462" s="17" t="s">
        <v>1453</v>
      </c>
      <c r="G462" s="18" t="s">
        <v>1509</v>
      </c>
      <c r="H462" s="19" t="s">
        <v>1510</v>
      </c>
      <c r="I462" s="17" t="s">
        <v>1324</v>
      </c>
      <c r="J462" s="17" t="s">
        <v>89</v>
      </c>
      <c r="K462" s="20"/>
      <c r="L462" s="17" t="s">
        <v>76</v>
      </c>
      <c r="M462" s="17" t="n">
        <f aca="false">LEN(K462)</f>
        <v>0</v>
      </c>
      <c r="N462" s="17" t="str">
        <f aca="false">IF(M462=0,"-",ROUND(3+M462/안내!$C$12,0))</f>
        <v>-</v>
      </c>
      <c r="O462" s="21" t="str">
        <f aca="false">IF(K462="","(본문 입력 후 자동) | 요 11:25",IF(LEN(K462)&gt;28,LEFT(K462,28)&amp;"…",K462)&amp;" | 요 11:25")</f>
        <v>(본문 입력 후 자동) | 요 11:25</v>
      </c>
      <c r="P462" s="21" t="str">
        <f aca="false">"#"&amp;SUBSTITUTE(안내!$C$5," ","")&amp;" #성경구절 #말씀 #요한복음 #부활"</f>
        <v>#오늘의말씀 #성경구절 #말씀 #요한복음 #부활</v>
      </c>
      <c r="Q462" s="21" t="s">
        <v>77</v>
      </c>
      <c r="R462" s="22" t="n">
        <f aca="false">안내!$C$6+INT((D462-1)/안내!$C$7)</f>
        <v>46436</v>
      </c>
      <c r="S462" s="17" t="str">
        <f aca="false">IF(MOD(D462-1,안내!$C$7)=0,안내!$C$9,안내!$C$11)</f>
        <v>12:30</v>
      </c>
      <c r="T462" s="17" t="str">
        <f aca="false">CHOOSE(WEEKDAY(R462,2),"월","화","수","목","금","토","일")</f>
        <v>목</v>
      </c>
      <c r="U462" s="17" t="s">
        <v>78</v>
      </c>
      <c r="V462" s="17" t="s">
        <v>78</v>
      </c>
      <c r="W462" s="23"/>
      <c r="X462" s="23"/>
      <c r="Y462" s="21"/>
    </row>
    <row r="463" customFormat="false" ht="25.35" hidden="false" customHeight="false" outlineLevel="0" collapsed="false">
      <c r="A463" s="17" t="n">
        <v>462</v>
      </c>
      <c r="B463" s="18" t="s">
        <v>1511</v>
      </c>
      <c r="C463" s="17" t="s">
        <v>1225</v>
      </c>
      <c r="D463" s="17" t="n">
        <v>98</v>
      </c>
      <c r="E463" s="17" t="str">
        <f aca="false">C463&amp;"말씀 #"&amp;TEXT(D463,"000")</f>
        <v>신약말씀 #098</v>
      </c>
      <c r="F463" s="17" t="s">
        <v>1453</v>
      </c>
      <c r="G463" s="18" t="s">
        <v>1512</v>
      </c>
      <c r="H463" s="19" t="s">
        <v>1513</v>
      </c>
      <c r="I463" s="17" t="s">
        <v>129</v>
      </c>
      <c r="J463" s="17" t="s">
        <v>99</v>
      </c>
      <c r="K463" s="20"/>
      <c r="L463" s="17" t="s">
        <v>76</v>
      </c>
      <c r="M463" s="17" t="n">
        <f aca="false">LEN(K463)</f>
        <v>0</v>
      </c>
      <c r="N463" s="17" t="str">
        <f aca="false">IF(M463=0,"-",ROUND(3+M463/안내!$C$12,0))</f>
        <v>-</v>
      </c>
      <c r="O463" s="21" t="str">
        <f aca="false">IF(K463="","(본문 입력 후 자동) | 요 11:35",IF(LEN(K463)&gt;28,LEFT(K463,28)&amp;"…",K463)&amp;" | 요 11:35")</f>
        <v>(본문 입력 후 자동) | 요 11:35</v>
      </c>
      <c r="P463" s="21" t="str">
        <f aca="false">"#"&amp;SUBSTITUTE(안내!$C$5," ","")&amp;" #성경구절 #말씀 #요한복음 #위로"</f>
        <v>#오늘의말씀 #성경구절 #말씀 #요한복음 #위로</v>
      </c>
      <c r="Q463" s="21" t="s">
        <v>77</v>
      </c>
      <c r="R463" s="22" t="n">
        <f aca="false">안내!$C$6+INT((D463-1)/안내!$C$7)</f>
        <v>46436</v>
      </c>
      <c r="S463" s="17" t="str">
        <f aca="false">IF(MOD(D463-1,안내!$C$7)=0,안내!$C$9,안내!$C$11)</f>
        <v>21:30</v>
      </c>
      <c r="T463" s="17" t="str">
        <f aca="false">CHOOSE(WEEKDAY(R463,2),"월","화","수","목","금","토","일")</f>
        <v>목</v>
      </c>
      <c r="U463" s="17" t="s">
        <v>78</v>
      </c>
      <c r="V463" s="17" t="s">
        <v>78</v>
      </c>
      <c r="W463" s="23"/>
      <c r="X463" s="23"/>
      <c r="Y463" s="21"/>
    </row>
    <row r="464" customFormat="false" ht="25.35" hidden="false" customHeight="false" outlineLevel="0" collapsed="false">
      <c r="A464" s="17" t="n">
        <v>463</v>
      </c>
      <c r="B464" s="18" t="s">
        <v>1514</v>
      </c>
      <c r="C464" s="17" t="s">
        <v>1225</v>
      </c>
      <c r="D464" s="17" t="n">
        <v>99</v>
      </c>
      <c r="E464" s="17" t="str">
        <f aca="false">C464&amp;"말씀 #"&amp;TEXT(D464,"000")</f>
        <v>신약말씀 #099</v>
      </c>
      <c r="F464" s="17" t="s">
        <v>1453</v>
      </c>
      <c r="G464" s="18" t="s">
        <v>1515</v>
      </c>
      <c r="H464" s="19" t="s">
        <v>1516</v>
      </c>
      <c r="I464" s="17" t="s">
        <v>333</v>
      </c>
      <c r="J464" s="17" t="s">
        <v>122</v>
      </c>
      <c r="K464" s="20"/>
      <c r="L464" s="17" t="s">
        <v>76</v>
      </c>
      <c r="M464" s="17" t="n">
        <f aca="false">LEN(K464)</f>
        <v>0</v>
      </c>
      <c r="N464" s="17" t="str">
        <f aca="false">IF(M464=0,"-",ROUND(3+M464/안내!$C$12,0))</f>
        <v>-</v>
      </c>
      <c r="O464" s="21" t="str">
        <f aca="false">IF(K464="","(본문 입력 후 자동) | 요 12:24",IF(LEN(K464)&gt;28,LEFT(K464,28)&amp;"…",K464)&amp;" | 요 12:24")</f>
        <v>(본문 입력 후 자동) | 요 12:24</v>
      </c>
      <c r="P464" s="21" t="str">
        <f aca="false">"#"&amp;SUBSTITUTE(안내!$C$5," ","")&amp;" #성경구절 #말씀 #요한복음 #헌신"</f>
        <v>#오늘의말씀 #성경구절 #말씀 #요한복음 #헌신</v>
      </c>
      <c r="Q464" s="21" t="s">
        <v>77</v>
      </c>
      <c r="R464" s="22" t="n">
        <f aca="false">안내!$C$6+INT((D464-1)/안내!$C$7)</f>
        <v>46437</v>
      </c>
      <c r="S464" s="17" t="str">
        <f aca="false">IF(MOD(D464-1,안내!$C$7)=0,안내!$C$9,안내!$C$11)</f>
        <v>12:30</v>
      </c>
      <c r="T464" s="17" t="str">
        <f aca="false">CHOOSE(WEEKDAY(R464,2),"월","화","수","목","금","토","일")</f>
        <v>금</v>
      </c>
      <c r="U464" s="17" t="s">
        <v>78</v>
      </c>
      <c r="V464" s="17" t="s">
        <v>78</v>
      </c>
      <c r="W464" s="23"/>
      <c r="X464" s="23"/>
      <c r="Y464" s="21"/>
    </row>
    <row r="465" customFormat="false" ht="25.35" hidden="false" customHeight="false" outlineLevel="0" collapsed="false">
      <c r="A465" s="17" t="n">
        <v>464</v>
      </c>
      <c r="B465" s="18" t="s">
        <v>1517</v>
      </c>
      <c r="C465" s="17" t="s">
        <v>1225</v>
      </c>
      <c r="D465" s="17" t="n">
        <v>100</v>
      </c>
      <c r="E465" s="17" t="str">
        <f aca="false">C465&amp;"말씀 #"&amp;TEXT(D465,"000")</f>
        <v>신약말씀 #100</v>
      </c>
      <c r="F465" s="17" t="s">
        <v>1453</v>
      </c>
      <c r="G465" s="18" t="s">
        <v>1518</v>
      </c>
      <c r="H465" s="19" t="s">
        <v>1519</v>
      </c>
      <c r="I465" s="17" t="s">
        <v>239</v>
      </c>
      <c r="J465" s="17" t="s">
        <v>94</v>
      </c>
      <c r="K465" s="20"/>
      <c r="L465" s="17" t="s">
        <v>76</v>
      </c>
      <c r="M465" s="17" t="n">
        <f aca="false">LEN(K465)</f>
        <v>0</v>
      </c>
      <c r="N465" s="17" t="str">
        <f aca="false">IF(M465=0,"-",ROUND(3+M465/안내!$C$12,0))</f>
        <v>-</v>
      </c>
      <c r="O465" s="21" t="str">
        <f aca="false">IF(K465="","(본문 입력 후 자동) | 요 13:34",IF(LEN(K465)&gt;28,LEFT(K465,28)&amp;"…",K465)&amp;" | 요 13:34")</f>
        <v>(본문 입력 후 자동) | 요 13:34</v>
      </c>
      <c r="P465" s="21" t="str">
        <f aca="false">"#"&amp;SUBSTITUTE(안내!$C$5," ","")&amp;" #성경구절 #말씀 #요한복음 #사랑"</f>
        <v>#오늘의말씀 #성경구절 #말씀 #요한복음 #사랑</v>
      </c>
      <c r="Q465" s="21" t="s">
        <v>77</v>
      </c>
      <c r="R465" s="22" t="n">
        <f aca="false">안내!$C$6+INT((D465-1)/안내!$C$7)</f>
        <v>46437</v>
      </c>
      <c r="S465" s="17" t="str">
        <f aca="false">IF(MOD(D465-1,안내!$C$7)=0,안내!$C$9,안내!$C$11)</f>
        <v>21:30</v>
      </c>
      <c r="T465" s="17" t="str">
        <f aca="false">CHOOSE(WEEKDAY(R465,2),"월","화","수","목","금","토","일")</f>
        <v>금</v>
      </c>
      <c r="U465" s="17" t="s">
        <v>78</v>
      </c>
      <c r="V465" s="17" t="s">
        <v>78</v>
      </c>
      <c r="W465" s="23"/>
      <c r="X465" s="23"/>
      <c r="Y465" s="21"/>
    </row>
    <row r="466" customFormat="false" ht="25.35" hidden="false" customHeight="false" outlineLevel="0" collapsed="false">
      <c r="A466" s="17" t="n">
        <v>465</v>
      </c>
      <c r="B466" s="18" t="s">
        <v>1520</v>
      </c>
      <c r="C466" s="17" t="s">
        <v>1225</v>
      </c>
      <c r="D466" s="17" t="n">
        <v>101</v>
      </c>
      <c r="E466" s="17" t="str">
        <f aca="false">C466&amp;"말씀 #"&amp;TEXT(D466,"000")</f>
        <v>신약말씀 #101</v>
      </c>
      <c r="F466" s="17" t="s">
        <v>1453</v>
      </c>
      <c r="G466" s="18" t="s">
        <v>1521</v>
      </c>
      <c r="H466" s="19" t="s">
        <v>1522</v>
      </c>
      <c r="I466" s="17" t="s">
        <v>239</v>
      </c>
      <c r="J466" s="17" t="s">
        <v>94</v>
      </c>
      <c r="K466" s="20"/>
      <c r="L466" s="17" t="s">
        <v>76</v>
      </c>
      <c r="M466" s="17" t="n">
        <f aca="false">LEN(K466)</f>
        <v>0</v>
      </c>
      <c r="N466" s="17" t="str">
        <f aca="false">IF(M466=0,"-",ROUND(3+M466/안내!$C$12,0))</f>
        <v>-</v>
      </c>
      <c r="O466" s="21" t="str">
        <f aca="false">IF(K466="","(본문 입력 후 자동) | 요 13:35",IF(LEN(K466)&gt;28,LEFT(K466,28)&amp;"…",K466)&amp;" | 요 13:35")</f>
        <v>(본문 입력 후 자동) | 요 13:35</v>
      </c>
      <c r="P466" s="21" t="str">
        <f aca="false">"#"&amp;SUBSTITUTE(안내!$C$5," ","")&amp;" #성경구절 #말씀 #요한복음 #사랑"</f>
        <v>#오늘의말씀 #성경구절 #말씀 #요한복음 #사랑</v>
      </c>
      <c r="Q466" s="21" t="s">
        <v>77</v>
      </c>
      <c r="R466" s="22" t="n">
        <f aca="false">안내!$C$6+INT((D466-1)/안내!$C$7)</f>
        <v>46438</v>
      </c>
      <c r="S466" s="17" t="str">
        <f aca="false">IF(MOD(D466-1,안내!$C$7)=0,안내!$C$9,안내!$C$11)</f>
        <v>12:30</v>
      </c>
      <c r="T466" s="17" t="str">
        <f aca="false">CHOOSE(WEEKDAY(R466,2),"월","화","수","목","금","토","일")</f>
        <v>토</v>
      </c>
      <c r="U466" s="17" t="s">
        <v>78</v>
      </c>
      <c r="V466" s="17" t="s">
        <v>78</v>
      </c>
      <c r="W466" s="23"/>
      <c r="X466" s="23"/>
      <c r="Y466" s="21"/>
    </row>
    <row r="467" customFormat="false" ht="15" hidden="false" customHeight="false" outlineLevel="0" collapsed="false">
      <c r="A467" s="17" t="n">
        <v>466</v>
      </c>
      <c r="B467" s="18" t="s">
        <v>1523</v>
      </c>
      <c r="C467" s="17" t="s">
        <v>1225</v>
      </c>
      <c r="D467" s="17" t="n">
        <v>102</v>
      </c>
      <c r="E467" s="17" t="str">
        <f aca="false">C467&amp;"말씀 #"&amp;TEXT(D467,"000")</f>
        <v>신약말씀 #102</v>
      </c>
      <c r="F467" s="17" t="s">
        <v>1453</v>
      </c>
      <c r="G467" s="18" t="s">
        <v>1524</v>
      </c>
      <c r="H467" s="19" t="s">
        <v>1525</v>
      </c>
      <c r="I467" s="17" t="s">
        <v>221</v>
      </c>
      <c r="J467" s="17" t="s">
        <v>99</v>
      </c>
      <c r="K467" s="20"/>
      <c r="L467" s="17" t="s">
        <v>76</v>
      </c>
      <c r="M467" s="17" t="n">
        <f aca="false">LEN(K467)</f>
        <v>0</v>
      </c>
      <c r="N467" s="17" t="str">
        <f aca="false">IF(M467=0,"-",ROUND(3+M467/안내!$C$12,0))</f>
        <v>-</v>
      </c>
      <c r="O467" s="21" t="str">
        <f aca="false">IF(K467="","(본문 입력 후 자동) | 요 14:1",IF(LEN(K467)&gt;28,LEFT(K467,28)&amp;"…",K467)&amp;" | 요 14:1")</f>
        <v>(본문 입력 후 자동) | 요 14:1</v>
      </c>
      <c r="P467" s="21" t="str">
        <f aca="false">"#"&amp;SUBSTITUTE(안내!$C$5," ","")&amp;" #성경구절 #말씀 #요한복음 #평안"</f>
        <v>#오늘의말씀 #성경구절 #말씀 #요한복음 #평안</v>
      </c>
      <c r="Q467" s="21" t="s">
        <v>77</v>
      </c>
      <c r="R467" s="22" t="n">
        <f aca="false">안내!$C$6+INT((D467-1)/안내!$C$7)</f>
        <v>46438</v>
      </c>
      <c r="S467" s="17" t="str">
        <f aca="false">IF(MOD(D467-1,안내!$C$7)=0,안내!$C$9,안내!$C$11)</f>
        <v>21:30</v>
      </c>
      <c r="T467" s="17" t="str">
        <f aca="false">CHOOSE(WEEKDAY(R467,2),"월","화","수","목","금","토","일")</f>
        <v>토</v>
      </c>
      <c r="U467" s="17" t="s">
        <v>78</v>
      </c>
      <c r="V467" s="17" t="s">
        <v>78</v>
      </c>
      <c r="W467" s="23"/>
      <c r="X467" s="23"/>
      <c r="Y467" s="21"/>
    </row>
    <row r="468" customFormat="false" ht="15" hidden="false" customHeight="false" outlineLevel="0" collapsed="false">
      <c r="A468" s="17" t="n">
        <v>467</v>
      </c>
      <c r="B468" s="18" t="s">
        <v>1526</v>
      </c>
      <c r="C468" s="17" t="s">
        <v>1225</v>
      </c>
      <c r="D468" s="17" t="n">
        <v>103</v>
      </c>
      <c r="E468" s="17" t="str">
        <f aca="false">C468&amp;"말씀 #"&amp;TEXT(D468,"000")</f>
        <v>신약말씀 #103</v>
      </c>
      <c r="F468" s="17" t="s">
        <v>1453</v>
      </c>
      <c r="G468" s="18" t="s">
        <v>1527</v>
      </c>
      <c r="H468" s="19" t="s">
        <v>1528</v>
      </c>
      <c r="I468" s="17" t="s">
        <v>103</v>
      </c>
      <c r="J468" s="17" t="s">
        <v>104</v>
      </c>
      <c r="K468" s="20"/>
      <c r="L468" s="17" t="s">
        <v>76</v>
      </c>
      <c r="M468" s="17" t="n">
        <f aca="false">LEN(K468)</f>
        <v>0</v>
      </c>
      <c r="N468" s="17" t="str">
        <f aca="false">IF(M468=0,"-",ROUND(3+M468/안내!$C$12,0))</f>
        <v>-</v>
      </c>
      <c r="O468" s="21" t="str">
        <f aca="false">IF(K468="","(본문 입력 후 자동) | 요 14:6",IF(LEN(K468)&gt;28,LEFT(K468,28)&amp;"…",K468)&amp;" | 요 14:6")</f>
        <v>(본문 입력 후 자동) | 요 14:6</v>
      </c>
      <c r="P468" s="21" t="str">
        <f aca="false">"#"&amp;SUBSTITUTE(안내!$C$5," ","")&amp;" #성경구절 #말씀 #요한복음 #구원"</f>
        <v>#오늘의말씀 #성경구절 #말씀 #요한복음 #구원</v>
      </c>
      <c r="Q468" s="21" t="s">
        <v>77</v>
      </c>
      <c r="R468" s="22" t="n">
        <f aca="false">안내!$C$6+INT((D468-1)/안내!$C$7)</f>
        <v>46439</v>
      </c>
      <c r="S468" s="17" t="str">
        <f aca="false">IF(MOD(D468-1,안내!$C$7)=0,안내!$C$9,안내!$C$11)</f>
        <v>12:30</v>
      </c>
      <c r="T468" s="17" t="str">
        <f aca="false">CHOOSE(WEEKDAY(R468,2),"월","화","수","목","금","토","일")</f>
        <v>일</v>
      </c>
      <c r="U468" s="17" t="s">
        <v>78</v>
      </c>
      <c r="V468" s="17" t="s">
        <v>78</v>
      </c>
      <c r="W468" s="23"/>
      <c r="X468" s="23"/>
      <c r="Y468" s="21"/>
    </row>
    <row r="469" customFormat="false" ht="25.35" hidden="false" customHeight="false" outlineLevel="0" collapsed="false">
      <c r="A469" s="17" t="n">
        <v>468</v>
      </c>
      <c r="B469" s="18" t="s">
        <v>1529</v>
      </c>
      <c r="C469" s="17" t="s">
        <v>1225</v>
      </c>
      <c r="D469" s="17" t="n">
        <v>104</v>
      </c>
      <c r="E469" s="17" t="str">
        <f aca="false">C469&amp;"말씀 #"&amp;TEXT(D469,"000")</f>
        <v>신약말씀 #104</v>
      </c>
      <c r="F469" s="17" t="s">
        <v>1453</v>
      </c>
      <c r="G469" s="18" t="s">
        <v>1530</v>
      </c>
      <c r="H469" s="19" t="s">
        <v>1531</v>
      </c>
      <c r="I469" s="17" t="s">
        <v>121</v>
      </c>
      <c r="J469" s="17" t="s">
        <v>122</v>
      </c>
      <c r="K469" s="20"/>
      <c r="L469" s="17" t="s">
        <v>76</v>
      </c>
      <c r="M469" s="17" t="n">
        <f aca="false">LEN(K469)</f>
        <v>0</v>
      </c>
      <c r="N469" s="17" t="str">
        <f aca="false">IF(M469=0,"-",ROUND(3+M469/안내!$C$12,0))</f>
        <v>-</v>
      </c>
      <c r="O469" s="21" t="str">
        <f aca="false">IF(K469="","(본문 입력 후 자동) | 요 14:15",IF(LEN(K469)&gt;28,LEFT(K469,28)&amp;"…",K469)&amp;" | 요 14:15")</f>
        <v>(본문 입력 후 자동) | 요 14:15</v>
      </c>
      <c r="P469" s="21" t="str">
        <f aca="false">"#"&amp;SUBSTITUTE(안내!$C$5," ","")&amp;" #성경구절 #말씀 #요한복음 #순종"</f>
        <v>#오늘의말씀 #성경구절 #말씀 #요한복음 #순종</v>
      </c>
      <c r="Q469" s="21" t="s">
        <v>77</v>
      </c>
      <c r="R469" s="22" t="n">
        <f aca="false">안내!$C$6+INT((D469-1)/안내!$C$7)</f>
        <v>46439</v>
      </c>
      <c r="S469" s="17" t="str">
        <f aca="false">IF(MOD(D469-1,안내!$C$7)=0,안내!$C$9,안내!$C$11)</f>
        <v>21:30</v>
      </c>
      <c r="T469" s="17" t="str">
        <f aca="false">CHOOSE(WEEKDAY(R469,2),"월","화","수","목","금","토","일")</f>
        <v>일</v>
      </c>
      <c r="U469" s="17" t="s">
        <v>78</v>
      </c>
      <c r="V469" s="17" t="s">
        <v>78</v>
      </c>
      <c r="W469" s="23"/>
      <c r="X469" s="23"/>
      <c r="Y469" s="21"/>
    </row>
    <row r="470" customFormat="false" ht="25.35" hidden="false" customHeight="false" outlineLevel="0" collapsed="false">
      <c r="A470" s="17" t="n">
        <v>469</v>
      </c>
      <c r="B470" s="18" t="s">
        <v>1532</v>
      </c>
      <c r="C470" s="17" t="s">
        <v>1225</v>
      </c>
      <c r="D470" s="17" t="n">
        <v>105</v>
      </c>
      <c r="E470" s="17" t="str">
        <f aca="false">C470&amp;"말씀 #"&amp;TEXT(D470,"000")</f>
        <v>신약말씀 #105</v>
      </c>
      <c r="F470" s="17" t="s">
        <v>1453</v>
      </c>
      <c r="G470" s="18" t="s">
        <v>1533</v>
      </c>
      <c r="H470" s="19" t="s">
        <v>1534</v>
      </c>
      <c r="I470" s="17" t="s">
        <v>221</v>
      </c>
      <c r="J470" s="17" t="s">
        <v>99</v>
      </c>
      <c r="K470" s="20"/>
      <c r="L470" s="17" t="s">
        <v>76</v>
      </c>
      <c r="M470" s="17" t="n">
        <f aca="false">LEN(K470)</f>
        <v>0</v>
      </c>
      <c r="N470" s="17" t="str">
        <f aca="false">IF(M470=0,"-",ROUND(3+M470/안내!$C$12,0))</f>
        <v>-</v>
      </c>
      <c r="O470" s="21" t="str">
        <f aca="false">IF(K470="","(본문 입력 후 자동) | 요 14:27",IF(LEN(K470)&gt;28,LEFT(K470,28)&amp;"…",K470)&amp;" | 요 14:27")</f>
        <v>(본문 입력 후 자동) | 요 14:27</v>
      </c>
      <c r="P470" s="21" t="str">
        <f aca="false">"#"&amp;SUBSTITUTE(안내!$C$5," ","")&amp;" #성경구절 #말씀 #요한복음 #평안"</f>
        <v>#오늘의말씀 #성경구절 #말씀 #요한복음 #평안</v>
      </c>
      <c r="Q470" s="21" t="s">
        <v>77</v>
      </c>
      <c r="R470" s="22" t="n">
        <f aca="false">안내!$C$6+INT((D470-1)/안내!$C$7)</f>
        <v>46440</v>
      </c>
      <c r="S470" s="17" t="str">
        <f aca="false">IF(MOD(D470-1,안내!$C$7)=0,안내!$C$9,안내!$C$11)</f>
        <v>12:30</v>
      </c>
      <c r="T470" s="17" t="str">
        <f aca="false">CHOOSE(WEEKDAY(R470,2),"월","화","수","목","금","토","일")</f>
        <v>월</v>
      </c>
      <c r="U470" s="17" t="s">
        <v>78</v>
      </c>
      <c r="V470" s="17" t="s">
        <v>78</v>
      </c>
      <c r="W470" s="23"/>
      <c r="X470" s="23"/>
      <c r="Y470" s="21"/>
    </row>
    <row r="471" customFormat="false" ht="15" hidden="false" customHeight="false" outlineLevel="0" collapsed="false">
      <c r="A471" s="17" t="n">
        <v>470</v>
      </c>
      <c r="B471" s="18" t="s">
        <v>1535</v>
      </c>
      <c r="C471" s="17" t="s">
        <v>1225</v>
      </c>
      <c r="D471" s="17" t="n">
        <v>106</v>
      </c>
      <c r="E471" s="17" t="str">
        <f aca="false">C471&amp;"말씀 #"&amp;TEXT(D471,"000")</f>
        <v>신약말씀 #106</v>
      </c>
      <c r="F471" s="17" t="s">
        <v>1453</v>
      </c>
      <c r="G471" s="18" t="s">
        <v>1536</v>
      </c>
      <c r="H471" s="19" t="s">
        <v>1537</v>
      </c>
      <c r="I471" s="17" t="s">
        <v>152</v>
      </c>
      <c r="J471" s="17" t="s">
        <v>122</v>
      </c>
      <c r="K471" s="20"/>
      <c r="L471" s="17" t="s">
        <v>76</v>
      </c>
      <c r="M471" s="17" t="n">
        <f aca="false">LEN(K471)</f>
        <v>0</v>
      </c>
      <c r="N471" s="17" t="str">
        <f aca="false">IF(M471=0,"-",ROUND(3+M471/안내!$C$12,0))</f>
        <v>-</v>
      </c>
      <c r="O471" s="21" t="str">
        <f aca="false">IF(K471="","(본문 입력 후 자동) | 요 15:5",IF(LEN(K471)&gt;28,LEFT(K471,28)&amp;"…",K471)&amp;" | 요 15:5")</f>
        <v>(본문 입력 후 자동) | 요 15:5</v>
      </c>
      <c r="P471" s="21" t="str">
        <f aca="false">"#"&amp;SUBSTITUTE(안내!$C$5," ","")&amp;" #성경구절 #말씀 #요한복음 #동행"</f>
        <v>#오늘의말씀 #성경구절 #말씀 #요한복음 #동행</v>
      </c>
      <c r="Q471" s="21" t="s">
        <v>77</v>
      </c>
      <c r="R471" s="22" t="n">
        <f aca="false">안내!$C$6+INT((D471-1)/안내!$C$7)</f>
        <v>46440</v>
      </c>
      <c r="S471" s="17" t="str">
        <f aca="false">IF(MOD(D471-1,안내!$C$7)=0,안내!$C$9,안내!$C$11)</f>
        <v>21:30</v>
      </c>
      <c r="T471" s="17" t="str">
        <f aca="false">CHOOSE(WEEKDAY(R471,2),"월","화","수","목","금","토","일")</f>
        <v>월</v>
      </c>
      <c r="U471" s="17" t="s">
        <v>78</v>
      </c>
      <c r="V471" s="17" t="s">
        <v>78</v>
      </c>
      <c r="W471" s="23"/>
      <c r="X471" s="23"/>
      <c r="Y471" s="21"/>
    </row>
    <row r="472" customFormat="false" ht="25.35" hidden="false" customHeight="false" outlineLevel="0" collapsed="false">
      <c r="A472" s="17" t="n">
        <v>471</v>
      </c>
      <c r="B472" s="18" t="s">
        <v>1538</v>
      </c>
      <c r="C472" s="17" t="s">
        <v>1225</v>
      </c>
      <c r="D472" s="17" t="n">
        <v>107</v>
      </c>
      <c r="E472" s="17" t="str">
        <f aca="false">C472&amp;"말씀 #"&amp;TEXT(D472,"000")</f>
        <v>신약말씀 #107</v>
      </c>
      <c r="F472" s="17" t="s">
        <v>1453</v>
      </c>
      <c r="G472" s="18" t="s">
        <v>1539</v>
      </c>
      <c r="H472" s="19" t="s">
        <v>1540</v>
      </c>
      <c r="I472" s="17" t="s">
        <v>239</v>
      </c>
      <c r="J472" s="17" t="s">
        <v>94</v>
      </c>
      <c r="K472" s="20"/>
      <c r="L472" s="17" t="s">
        <v>76</v>
      </c>
      <c r="M472" s="17" t="n">
        <f aca="false">LEN(K472)</f>
        <v>0</v>
      </c>
      <c r="N472" s="17" t="str">
        <f aca="false">IF(M472=0,"-",ROUND(3+M472/안내!$C$12,0))</f>
        <v>-</v>
      </c>
      <c r="O472" s="21" t="str">
        <f aca="false">IF(K472="","(본문 입력 후 자동) | 요 15:13",IF(LEN(K472)&gt;28,LEFT(K472,28)&amp;"…",K472)&amp;" | 요 15:13")</f>
        <v>(본문 입력 후 자동) | 요 15:13</v>
      </c>
      <c r="P472" s="21" t="str">
        <f aca="false">"#"&amp;SUBSTITUTE(안내!$C$5," ","")&amp;" #성경구절 #말씀 #요한복음 #사랑"</f>
        <v>#오늘의말씀 #성경구절 #말씀 #요한복음 #사랑</v>
      </c>
      <c r="Q472" s="21" t="s">
        <v>77</v>
      </c>
      <c r="R472" s="22" t="n">
        <f aca="false">안내!$C$6+INT((D472-1)/안내!$C$7)</f>
        <v>46441</v>
      </c>
      <c r="S472" s="17" t="str">
        <f aca="false">IF(MOD(D472-1,안내!$C$7)=0,안내!$C$9,안내!$C$11)</f>
        <v>12:30</v>
      </c>
      <c r="T472" s="17" t="str">
        <f aca="false">CHOOSE(WEEKDAY(R472,2),"월","화","수","목","금","토","일")</f>
        <v>화</v>
      </c>
      <c r="U472" s="17" t="s">
        <v>78</v>
      </c>
      <c r="V472" s="17" t="s">
        <v>78</v>
      </c>
      <c r="W472" s="23"/>
      <c r="X472" s="23"/>
      <c r="Y472" s="21"/>
    </row>
    <row r="473" customFormat="false" ht="25.35" hidden="false" customHeight="false" outlineLevel="0" collapsed="false">
      <c r="A473" s="17" t="n">
        <v>472</v>
      </c>
      <c r="B473" s="18" t="s">
        <v>1541</v>
      </c>
      <c r="C473" s="17" t="s">
        <v>1225</v>
      </c>
      <c r="D473" s="17" t="n">
        <v>108</v>
      </c>
      <c r="E473" s="17" t="str">
        <f aca="false">C473&amp;"말씀 #"&amp;TEXT(D473,"000")</f>
        <v>신약말씀 #108</v>
      </c>
      <c r="F473" s="17" t="s">
        <v>1453</v>
      </c>
      <c r="G473" s="18" t="s">
        <v>1024</v>
      </c>
      <c r="H473" s="19" t="s">
        <v>1542</v>
      </c>
      <c r="I473" s="17" t="s">
        <v>1011</v>
      </c>
      <c r="J473" s="17" t="s">
        <v>122</v>
      </c>
      <c r="K473" s="20"/>
      <c r="L473" s="17" t="s">
        <v>76</v>
      </c>
      <c r="M473" s="17" t="n">
        <f aca="false">LEN(K473)</f>
        <v>0</v>
      </c>
      <c r="N473" s="17" t="str">
        <f aca="false">IF(M473=0,"-",ROUND(3+M473/안내!$C$12,0))</f>
        <v>-</v>
      </c>
      <c r="O473" s="21" t="str">
        <f aca="false">IF(K473="","(본문 입력 후 자동) | 요 15:16",IF(LEN(K473)&gt;28,LEFT(K473,28)&amp;"…",K473)&amp;" | 요 15:16")</f>
        <v>(본문 입력 후 자동) | 요 15:16</v>
      </c>
      <c r="P473" s="21" t="str">
        <f aca="false">"#"&amp;SUBSTITUTE(안내!$C$5," ","")&amp;" #성경구절 #말씀 #요한복음 #부르심"</f>
        <v>#오늘의말씀 #성경구절 #말씀 #요한복음 #부르심</v>
      </c>
      <c r="Q473" s="21" t="s">
        <v>77</v>
      </c>
      <c r="R473" s="22" t="n">
        <f aca="false">안내!$C$6+INT((D473-1)/안내!$C$7)</f>
        <v>46441</v>
      </c>
      <c r="S473" s="17" t="str">
        <f aca="false">IF(MOD(D473-1,안내!$C$7)=0,안내!$C$9,안내!$C$11)</f>
        <v>21:30</v>
      </c>
      <c r="T473" s="17" t="str">
        <f aca="false">CHOOSE(WEEKDAY(R473,2),"월","화","수","목","금","토","일")</f>
        <v>화</v>
      </c>
      <c r="U473" s="17" t="s">
        <v>78</v>
      </c>
      <c r="V473" s="17" t="s">
        <v>78</v>
      </c>
      <c r="W473" s="23"/>
      <c r="X473" s="23"/>
      <c r="Y473" s="21"/>
    </row>
    <row r="474" customFormat="false" ht="25.35" hidden="false" customHeight="false" outlineLevel="0" collapsed="false">
      <c r="A474" s="17" t="n">
        <v>473</v>
      </c>
      <c r="B474" s="18" t="s">
        <v>1543</v>
      </c>
      <c r="C474" s="17" t="s">
        <v>1225</v>
      </c>
      <c r="D474" s="17" t="n">
        <v>109</v>
      </c>
      <c r="E474" s="17" t="str">
        <f aca="false">C474&amp;"말씀 #"&amp;TEXT(D474,"000")</f>
        <v>신약말씀 #109</v>
      </c>
      <c r="F474" s="17" t="s">
        <v>1453</v>
      </c>
      <c r="G474" s="18" t="s">
        <v>1544</v>
      </c>
      <c r="H474" s="19" t="s">
        <v>1545</v>
      </c>
      <c r="I474" s="17" t="s">
        <v>207</v>
      </c>
      <c r="J474" s="17" t="s">
        <v>113</v>
      </c>
      <c r="K474" s="20"/>
      <c r="L474" s="17" t="s">
        <v>76</v>
      </c>
      <c r="M474" s="17" t="n">
        <f aca="false">LEN(K474)</f>
        <v>0</v>
      </c>
      <c r="N474" s="17" t="str">
        <f aca="false">IF(M474=0,"-",ROUND(3+M474/안내!$C$12,0))</f>
        <v>-</v>
      </c>
      <c r="O474" s="21" t="str">
        <f aca="false">IF(K474="","(본문 입력 후 자동) | 요 16:33",IF(LEN(K474)&gt;28,LEFT(K474,28)&amp;"…",K474)&amp;" | 요 16:33")</f>
        <v>(본문 입력 후 자동) | 요 16:33</v>
      </c>
      <c r="P474" s="21" t="str">
        <f aca="false">"#"&amp;SUBSTITUTE(안내!$C$5," ","")&amp;" #성경구절 #말씀 #요한복음 #승리"</f>
        <v>#오늘의말씀 #성경구절 #말씀 #요한복음 #승리</v>
      </c>
      <c r="Q474" s="21" t="s">
        <v>77</v>
      </c>
      <c r="R474" s="22" t="n">
        <f aca="false">안내!$C$6+INT((D474-1)/안내!$C$7)</f>
        <v>46442</v>
      </c>
      <c r="S474" s="17" t="str">
        <f aca="false">IF(MOD(D474-1,안내!$C$7)=0,안내!$C$9,안내!$C$11)</f>
        <v>12:30</v>
      </c>
      <c r="T474" s="17" t="str">
        <f aca="false">CHOOSE(WEEKDAY(R474,2),"월","화","수","목","금","토","일")</f>
        <v>수</v>
      </c>
      <c r="U474" s="17" t="s">
        <v>78</v>
      </c>
      <c r="V474" s="17" t="s">
        <v>78</v>
      </c>
      <c r="W474" s="23"/>
      <c r="X474" s="23"/>
      <c r="Y474" s="21"/>
    </row>
    <row r="475" customFormat="false" ht="25.35" hidden="false" customHeight="false" outlineLevel="0" collapsed="false">
      <c r="A475" s="17" t="n">
        <v>474</v>
      </c>
      <c r="B475" s="18" t="s">
        <v>1546</v>
      </c>
      <c r="C475" s="17" t="s">
        <v>1225</v>
      </c>
      <c r="D475" s="17" t="n">
        <v>110</v>
      </c>
      <c r="E475" s="17" t="str">
        <f aca="false">C475&amp;"말씀 #"&amp;TEXT(D475,"000")</f>
        <v>신약말씀 #110</v>
      </c>
      <c r="F475" s="17" t="s">
        <v>1453</v>
      </c>
      <c r="G475" s="18" t="s">
        <v>803</v>
      </c>
      <c r="H475" s="19" t="s">
        <v>1547</v>
      </c>
      <c r="I475" s="17" t="s">
        <v>284</v>
      </c>
      <c r="J475" s="17" t="s">
        <v>148</v>
      </c>
      <c r="K475" s="20"/>
      <c r="L475" s="17" t="s">
        <v>76</v>
      </c>
      <c r="M475" s="17" t="n">
        <f aca="false">LEN(K475)</f>
        <v>0</v>
      </c>
      <c r="N475" s="17" t="str">
        <f aca="false">IF(M475=0,"-",ROUND(3+M475/안내!$C$12,0))</f>
        <v>-</v>
      </c>
      <c r="O475" s="21" t="str">
        <f aca="false">IF(K475="","(본문 입력 후 자동) | 요 17:17",IF(LEN(K475)&gt;28,LEFT(K475,28)&amp;"…",K475)&amp;" | 요 17:17")</f>
        <v>(본문 입력 후 자동) | 요 17:17</v>
      </c>
      <c r="P475" s="21" t="str">
        <f aca="false">"#"&amp;SUBSTITUTE(안내!$C$5," ","")&amp;" #성경구절 #말씀 #요한복음 #말씀"</f>
        <v>#오늘의말씀 #성경구절 #말씀 #요한복음 #말씀</v>
      </c>
      <c r="Q475" s="21" t="s">
        <v>77</v>
      </c>
      <c r="R475" s="22" t="n">
        <f aca="false">안내!$C$6+INT((D475-1)/안내!$C$7)</f>
        <v>46442</v>
      </c>
      <c r="S475" s="17" t="str">
        <f aca="false">IF(MOD(D475-1,안내!$C$7)=0,안내!$C$9,안내!$C$11)</f>
        <v>21:30</v>
      </c>
      <c r="T475" s="17" t="str">
        <f aca="false">CHOOSE(WEEKDAY(R475,2),"월","화","수","목","금","토","일")</f>
        <v>수</v>
      </c>
      <c r="U475" s="17" t="s">
        <v>78</v>
      </c>
      <c r="V475" s="17" t="s">
        <v>78</v>
      </c>
      <c r="W475" s="23"/>
      <c r="X475" s="23"/>
      <c r="Y475" s="21"/>
    </row>
    <row r="476" customFormat="false" ht="25.35" hidden="false" customHeight="false" outlineLevel="0" collapsed="false">
      <c r="A476" s="17" t="n">
        <v>475</v>
      </c>
      <c r="B476" s="18" t="s">
        <v>1548</v>
      </c>
      <c r="C476" s="17" t="s">
        <v>1225</v>
      </c>
      <c r="D476" s="17" t="n">
        <v>111</v>
      </c>
      <c r="E476" s="17" t="str">
        <f aca="false">C476&amp;"말씀 #"&amp;TEXT(D476,"000")</f>
        <v>신약말씀 #111</v>
      </c>
      <c r="F476" s="17" t="s">
        <v>1453</v>
      </c>
      <c r="G476" s="18" t="s">
        <v>1549</v>
      </c>
      <c r="H476" s="19" t="s">
        <v>1550</v>
      </c>
      <c r="I476" s="17" t="s">
        <v>103</v>
      </c>
      <c r="J476" s="17" t="s">
        <v>104</v>
      </c>
      <c r="K476" s="20"/>
      <c r="L476" s="17" t="s">
        <v>76</v>
      </c>
      <c r="M476" s="17" t="n">
        <f aca="false">LEN(K476)</f>
        <v>0</v>
      </c>
      <c r="N476" s="17" t="str">
        <f aca="false">IF(M476=0,"-",ROUND(3+M476/안내!$C$12,0))</f>
        <v>-</v>
      </c>
      <c r="O476" s="21" t="str">
        <f aca="false">IF(K476="","(본문 입력 후 자동) | 요 19:30",IF(LEN(K476)&gt;28,LEFT(K476,28)&amp;"…",K476)&amp;" | 요 19:30")</f>
        <v>(본문 입력 후 자동) | 요 19:30</v>
      </c>
      <c r="P476" s="21" t="str">
        <f aca="false">"#"&amp;SUBSTITUTE(안내!$C$5," ","")&amp;" #성경구절 #말씀 #요한복음 #구원"</f>
        <v>#오늘의말씀 #성경구절 #말씀 #요한복음 #구원</v>
      </c>
      <c r="Q476" s="21" t="s">
        <v>77</v>
      </c>
      <c r="R476" s="22" t="n">
        <f aca="false">안내!$C$6+INT((D476-1)/안내!$C$7)</f>
        <v>46443</v>
      </c>
      <c r="S476" s="17" t="str">
        <f aca="false">IF(MOD(D476-1,안내!$C$7)=0,안내!$C$9,안내!$C$11)</f>
        <v>12:30</v>
      </c>
      <c r="T476" s="17" t="str">
        <f aca="false">CHOOSE(WEEKDAY(R476,2),"월","화","수","목","금","토","일")</f>
        <v>목</v>
      </c>
      <c r="U476" s="17" t="s">
        <v>78</v>
      </c>
      <c r="V476" s="17" t="s">
        <v>78</v>
      </c>
      <c r="W476" s="23"/>
      <c r="X476" s="23"/>
      <c r="Y476" s="21"/>
    </row>
    <row r="477" customFormat="false" ht="25.35" hidden="false" customHeight="false" outlineLevel="0" collapsed="false">
      <c r="A477" s="17" t="n">
        <v>476</v>
      </c>
      <c r="B477" s="18" t="s">
        <v>1551</v>
      </c>
      <c r="C477" s="17" t="s">
        <v>1225</v>
      </c>
      <c r="D477" s="17" t="n">
        <v>112</v>
      </c>
      <c r="E477" s="17" t="str">
        <f aca="false">C477&amp;"말씀 #"&amp;TEXT(D477,"000")</f>
        <v>신약말씀 #112</v>
      </c>
      <c r="F477" s="17" t="s">
        <v>1453</v>
      </c>
      <c r="G477" s="18" t="s">
        <v>1552</v>
      </c>
      <c r="H477" s="19" t="s">
        <v>1553</v>
      </c>
      <c r="I477" s="17" t="s">
        <v>133</v>
      </c>
      <c r="J477" s="17" t="s">
        <v>113</v>
      </c>
      <c r="K477" s="20"/>
      <c r="L477" s="17" t="s">
        <v>76</v>
      </c>
      <c r="M477" s="17" t="n">
        <f aca="false">LEN(K477)</f>
        <v>0</v>
      </c>
      <c r="N477" s="17" t="str">
        <f aca="false">IF(M477=0,"-",ROUND(3+M477/안내!$C$12,0))</f>
        <v>-</v>
      </c>
      <c r="O477" s="21" t="str">
        <f aca="false">IF(K477="","(본문 입력 후 자동) | 요 20:29",IF(LEN(K477)&gt;28,LEFT(K477,28)&amp;"…",K477)&amp;" | 요 20:29")</f>
        <v>(본문 입력 후 자동) | 요 20:29</v>
      </c>
      <c r="P477" s="21" t="str">
        <f aca="false">"#"&amp;SUBSTITUTE(안내!$C$5," ","")&amp;" #성경구절 #말씀 #요한복음 #믿음"</f>
        <v>#오늘의말씀 #성경구절 #말씀 #요한복음 #믿음</v>
      </c>
      <c r="Q477" s="21" t="s">
        <v>77</v>
      </c>
      <c r="R477" s="22" t="n">
        <f aca="false">안내!$C$6+INT((D477-1)/안내!$C$7)</f>
        <v>46443</v>
      </c>
      <c r="S477" s="17" t="str">
        <f aca="false">IF(MOD(D477-1,안내!$C$7)=0,안내!$C$9,안내!$C$11)</f>
        <v>21:30</v>
      </c>
      <c r="T477" s="17" t="str">
        <f aca="false">CHOOSE(WEEKDAY(R477,2),"월","화","수","목","금","토","일")</f>
        <v>목</v>
      </c>
      <c r="U477" s="17" t="s">
        <v>78</v>
      </c>
      <c r="V477" s="17" t="s">
        <v>78</v>
      </c>
      <c r="W477" s="23"/>
      <c r="X477" s="23"/>
      <c r="Y477" s="21"/>
    </row>
    <row r="478" customFormat="false" ht="25.35" hidden="false" customHeight="false" outlineLevel="0" collapsed="false">
      <c r="A478" s="17" t="n">
        <v>477</v>
      </c>
      <c r="B478" s="18" t="s">
        <v>1554</v>
      </c>
      <c r="C478" s="17" t="s">
        <v>1225</v>
      </c>
      <c r="D478" s="17" t="n">
        <v>113</v>
      </c>
      <c r="E478" s="17" t="str">
        <f aca="false">C478&amp;"말씀 #"&amp;TEXT(D478,"000")</f>
        <v>신약말씀 #113</v>
      </c>
      <c r="F478" s="17" t="s">
        <v>1453</v>
      </c>
      <c r="G478" s="18" t="s">
        <v>1555</v>
      </c>
      <c r="H478" s="19" t="s">
        <v>1556</v>
      </c>
      <c r="I478" s="17" t="s">
        <v>133</v>
      </c>
      <c r="J478" s="17" t="s">
        <v>113</v>
      </c>
      <c r="K478" s="20"/>
      <c r="L478" s="17" t="s">
        <v>76</v>
      </c>
      <c r="M478" s="17" t="n">
        <f aca="false">LEN(K478)</f>
        <v>0</v>
      </c>
      <c r="N478" s="17" t="str">
        <f aca="false">IF(M478=0,"-",ROUND(3+M478/안내!$C$12,0))</f>
        <v>-</v>
      </c>
      <c r="O478" s="21" t="str">
        <f aca="false">IF(K478="","(본문 입력 후 자동) | 요 20:31",IF(LEN(K478)&gt;28,LEFT(K478,28)&amp;"…",K478)&amp;" | 요 20:31")</f>
        <v>(본문 입력 후 자동) | 요 20:31</v>
      </c>
      <c r="P478" s="21" t="str">
        <f aca="false">"#"&amp;SUBSTITUTE(안내!$C$5," ","")&amp;" #성경구절 #말씀 #요한복음 #믿음"</f>
        <v>#오늘의말씀 #성경구절 #말씀 #요한복음 #믿음</v>
      </c>
      <c r="Q478" s="21" t="s">
        <v>77</v>
      </c>
      <c r="R478" s="22" t="n">
        <f aca="false">안내!$C$6+INT((D478-1)/안내!$C$7)</f>
        <v>46444</v>
      </c>
      <c r="S478" s="17" t="str">
        <f aca="false">IF(MOD(D478-1,안내!$C$7)=0,안내!$C$9,안내!$C$11)</f>
        <v>12:30</v>
      </c>
      <c r="T478" s="17" t="str">
        <f aca="false">CHOOSE(WEEKDAY(R478,2),"월","화","수","목","금","토","일")</f>
        <v>금</v>
      </c>
      <c r="U478" s="17" t="s">
        <v>78</v>
      </c>
      <c r="V478" s="17" t="s">
        <v>78</v>
      </c>
      <c r="W478" s="23"/>
      <c r="X478" s="23"/>
      <c r="Y478" s="21"/>
    </row>
    <row r="479" customFormat="false" ht="25.35" hidden="false" customHeight="false" outlineLevel="0" collapsed="false">
      <c r="A479" s="17" t="n">
        <v>478</v>
      </c>
      <c r="B479" s="18" t="s">
        <v>1557</v>
      </c>
      <c r="C479" s="17" t="s">
        <v>1225</v>
      </c>
      <c r="D479" s="17" t="n">
        <v>114</v>
      </c>
      <c r="E479" s="17" t="str">
        <f aca="false">C479&amp;"말씀 #"&amp;TEXT(D479,"000")</f>
        <v>신약말씀 #114</v>
      </c>
      <c r="F479" s="17" t="s">
        <v>1453</v>
      </c>
      <c r="G479" s="18" t="s">
        <v>1558</v>
      </c>
      <c r="H479" s="19" t="s">
        <v>1559</v>
      </c>
      <c r="I479" s="17" t="s">
        <v>239</v>
      </c>
      <c r="J479" s="17" t="s">
        <v>94</v>
      </c>
      <c r="K479" s="20"/>
      <c r="L479" s="17" t="s">
        <v>76</v>
      </c>
      <c r="M479" s="17" t="n">
        <f aca="false">LEN(K479)</f>
        <v>0</v>
      </c>
      <c r="N479" s="17" t="str">
        <f aca="false">IF(M479=0,"-",ROUND(3+M479/안내!$C$12,0))</f>
        <v>-</v>
      </c>
      <c r="O479" s="21" t="str">
        <f aca="false">IF(K479="","(본문 입력 후 자동) | 요 21:17",IF(LEN(K479)&gt;28,LEFT(K479,28)&amp;"…",K479)&amp;" | 요 21:17")</f>
        <v>(본문 입력 후 자동) | 요 21:17</v>
      </c>
      <c r="P479" s="21" t="str">
        <f aca="false">"#"&amp;SUBSTITUTE(안내!$C$5," ","")&amp;" #성경구절 #말씀 #요한복음 #사랑"</f>
        <v>#오늘의말씀 #성경구절 #말씀 #요한복음 #사랑</v>
      </c>
      <c r="Q479" s="21" t="s">
        <v>77</v>
      </c>
      <c r="R479" s="22" t="n">
        <f aca="false">안내!$C$6+INT((D479-1)/안내!$C$7)</f>
        <v>46444</v>
      </c>
      <c r="S479" s="17" t="str">
        <f aca="false">IF(MOD(D479-1,안내!$C$7)=0,안내!$C$9,안내!$C$11)</f>
        <v>21:30</v>
      </c>
      <c r="T479" s="17" t="str">
        <f aca="false">CHOOSE(WEEKDAY(R479,2),"월","화","수","목","금","토","일")</f>
        <v>금</v>
      </c>
      <c r="U479" s="17" t="s">
        <v>78</v>
      </c>
      <c r="V479" s="17" t="s">
        <v>78</v>
      </c>
      <c r="W479" s="23"/>
      <c r="X479" s="23"/>
      <c r="Y479" s="21"/>
    </row>
    <row r="480" customFormat="false" ht="15" hidden="false" customHeight="false" outlineLevel="0" collapsed="false">
      <c r="A480" s="17" t="n">
        <v>479</v>
      </c>
      <c r="B480" s="18" t="s">
        <v>1560</v>
      </c>
      <c r="C480" s="17" t="s">
        <v>1225</v>
      </c>
      <c r="D480" s="17" t="n">
        <v>115</v>
      </c>
      <c r="E480" s="17" t="str">
        <f aca="false">C480&amp;"말씀 #"&amp;TEXT(D480,"000")</f>
        <v>신약말씀 #115</v>
      </c>
      <c r="F480" s="17" t="s">
        <v>1561</v>
      </c>
      <c r="G480" s="18" t="s">
        <v>320</v>
      </c>
      <c r="H480" s="19" t="s">
        <v>1562</v>
      </c>
      <c r="I480" s="17" t="s">
        <v>1139</v>
      </c>
      <c r="J480" s="17" t="s">
        <v>75</v>
      </c>
      <c r="K480" s="20"/>
      <c r="L480" s="17" t="s">
        <v>76</v>
      </c>
      <c r="M480" s="17" t="n">
        <f aca="false">LEN(K480)</f>
        <v>0</v>
      </c>
      <c r="N480" s="17" t="str">
        <f aca="false">IF(M480=0,"-",ROUND(3+M480/안내!$C$12,0))</f>
        <v>-</v>
      </c>
      <c r="O480" s="21" t="str">
        <f aca="false">IF(K480="","(본문 입력 후 자동) | 행 1:8",IF(LEN(K480)&gt;28,LEFT(K480,28)&amp;"…",K480)&amp;" | 행 1:8")</f>
        <v>(본문 입력 후 자동) | 행 1:8</v>
      </c>
      <c r="P480" s="21" t="str">
        <f aca="false">"#"&amp;SUBSTITUTE(안내!$C$5," ","")&amp;" #성경구절 #말씀 #사도행전 #성령"</f>
        <v>#오늘의말씀 #성경구절 #말씀 #사도행전 #성령</v>
      </c>
      <c r="Q480" s="21" t="s">
        <v>77</v>
      </c>
      <c r="R480" s="22" t="n">
        <f aca="false">안내!$C$6+INT((D480-1)/안내!$C$7)</f>
        <v>46445</v>
      </c>
      <c r="S480" s="17" t="str">
        <f aca="false">IF(MOD(D480-1,안내!$C$7)=0,안내!$C$9,안내!$C$11)</f>
        <v>12:30</v>
      </c>
      <c r="T480" s="17" t="str">
        <f aca="false">CHOOSE(WEEKDAY(R480,2),"월","화","수","목","금","토","일")</f>
        <v>토</v>
      </c>
      <c r="U480" s="17" t="s">
        <v>78</v>
      </c>
      <c r="V480" s="17" t="s">
        <v>78</v>
      </c>
      <c r="W480" s="23"/>
      <c r="X480" s="23"/>
      <c r="Y480" s="21"/>
    </row>
    <row r="481" customFormat="false" ht="15" hidden="false" customHeight="false" outlineLevel="0" collapsed="false">
      <c r="A481" s="17" t="n">
        <v>480</v>
      </c>
      <c r="B481" s="18" t="s">
        <v>1563</v>
      </c>
      <c r="C481" s="17" t="s">
        <v>1225</v>
      </c>
      <c r="D481" s="17" t="n">
        <v>116</v>
      </c>
      <c r="E481" s="17" t="str">
        <f aca="false">C481&amp;"말씀 #"&amp;TEXT(D481,"000")</f>
        <v>신약말씀 #116</v>
      </c>
      <c r="F481" s="17" t="s">
        <v>1561</v>
      </c>
      <c r="G481" s="18" t="s">
        <v>1104</v>
      </c>
      <c r="H481" s="19" t="s">
        <v>1564</v>
      </c>
      <c r="I481" s="17" t="s">
        <v>103</v>
      </c>
      <c r="J481" s="17" t="s">
        <v>104</v>
      </c>
      <c r="K481" s="20"/>
      <c r="L481" s="17" t="s">
        <v>76</v>
      </c>
      <c r="M481" s="17" t="n">
        <f aca="false">LEN(K481)</f>
        <v>0</v>
      </c>
      <c r="N481" s="17" t="str">
        <f aca="false">IF(M481=0,"-",ROUND(3+M481/안내!$C$12,0))</f>
        <v>-</v>
      </c>
      <c r="O481" s="21" t="str">
        <f aca="false">IF(K481="","(본문 입력 후 자동) | 행 2:21",IF(LEN(K481)&gt;28,LEFT(K481,28)&amp;"…",K481)&amp;" | 행 2:21")</f>
        <v>(본문 입력 후 자동) | 행 2:21</v>
      </c>
      <c r="P481" s="21" t="str">
        <f aca="false">"#"&amp;SUBSTITUTE(안내!$C$5," ","")&amp;" #성경구절 #말씀 #사도행전 #구원"</f>
        <v>#오늘의말씀 #성경구절 #말씀 #사도행전 #구원</v>
      </c>
      <c r="Q481" s="21" t="s">
        <v>77</v>
      </c>
      <c r="R481" s="22" t="n">
        <f aca="false">안내!$C$6+INT((D481-1)/안내!$C$7)</f>
        <v>46445</v>
      </c>
      <c r="S481" s="17" t="str">
        <f aca="false">IF(MOD(D481-1,안내!$C$7)=0,안내!$C$9,안내!$C$11)</f>
        <v>21:30</v>
      </c>
      <c r="T481" s="17" t="str">
        <f aca="false">CHOOSE(WEEKDAY(R481,2),"월","화","수","목","금","토","일")</f>
        <v>토</v>
      </c>
      <c r="U481" s="17" t="s">
        <v>78</v>
      </c>
      <c r="V481" s="17" t="s">
        <v>78</v>
      </c>
      <c r="W481" s="23"/>
      <c r="X481" s="23"/>
      <c r="Y481" s="21"/>
    </row>
    <row r="482" customFormat="false" ht="15" hidden="false" customHeight="false" outlineLevel="0" collapsed="false">
      <c r="A482" s="17" t="n">
        <v>481</v>
      </c>
      <c r="B482" s="18" t="s">
        <v>1565</v>
      </c>
      <c r="C482" s="17" t="s">
        <v>1225</v>
      </c>
      <c r="D482" s="17" t="n">
        <v>117</v>
      </c>
      <c r="E482" s="17" t="str">
        <f aca="false">C482&amp;"말씀 #"&amp;TEXT(D482,"000")</f>
        <v>신약말씀 #117</v>
      </c>
      <c r="F482" s="17" t="s">
        <v>1561</v>
      </c>
      <c r="G482" s="18" t="s">
        <v>1566</v>
      </c>
      <c r="H482" s="19" t="s">
        <v>1567</v>
      </c>
      <c r="I482" s="17" t="s">
        <v>454</v>
      </c>
      <c r="J482" s="17" t="s">
        <v>104</v>
      </c>
      <c r="K482" s="20"/>
      <c r="L482" s="17" t="s">
        <v>76</v>
      </c>
      <c r="M482" s="17" t="n">
        <f aca="false">LEN(K482)</f>
        <v>0</v>
      </c>
      <c r="N482" s="17" t="str">
        <f aca="false">IF(M482=0,"-",ROUND(3+M482/안내!$C$12,0))</f>
        <v>-</v>
      </c>
      <c r="O482" s="21" t="str">
        <f aca="false">IF(K482="","(본문 입력 후 자동) | 행 2:38",IF(LEN(K482)&gt;28,LEFT(K482,28)&amp;"…",K482)&amp;" | 행 2:38")</f>
        <v>(본문 입력 후 자동) | 행 2:38</v>
      </c>
      <c r="P482" s="21" t="str">
        <f aca="false">"#"&amp;SUBSTITUTE(안내!$C$5," ","")&amp;" #성경구절 #말씀 #사도행전 #회개"</f>
        <v>#오늘의말씀 #성경구절 #말씀 #사도행전 #회개</v>
      </c>
      <c r="Q482" s="21" t="s">
        <v>77</v>
      </c>
      <c r="R482" s="22" t="n">
        <f aca="false">안내!$C$6+INT((D482-1)/안내!$C$7)</f>
        <v>46446</v>
      </c>
      <c r="S482" s="17" t="str">
        <f aca="false">IF(MOD(D482-1,안내!$C$7)=0,안내!$C$9,안내!$C$11)</f>
        <v>12:30</v>
      </c>
      <c r="T482" s="17" t="str">
        <f aca="false">CHOOSE(WEEKDAY(R482,2),"월","화","수","목","금","토","일")</f>
        <v>일</v>
      </c>
      <c r="U482" s="17" t="s">
        <v>78</v>
      </c>
      <c r="V482" s="17" t="s">
        <v>78</v>
      </c>
      <c r="W482" s="23"/>
      <c r="X482" s="23"/>
      <c r="Y482" s="21"/>
    </row>
    <row r="483" customFormat="false" ht="15" hidden="false" customHeight="false" outlineLevel="0" collapsed="false">
      <c r="A483" s="17" t="n">
        <v>482</v>
      </c>
      <c r="B483" s="18" t="s">
        <v>1568</v>
      </c>
      <c r="C483" s="17" t="s">
        <v>1225</v>
      </c>
      <c r="D483" s="17" t="n">
        <v>118</v>
      </c>
      <c r="E483" s="17" t="str">
        <f aca="false">C483&amp;"말씀 #"&amp;TEXT(D483,"000")</f>
        <v>신약말씀 #118</v>
      </c>
      <c r="F483" s="17" t="s">
        <v>1561</v>
      </c>
      <c r="G483" s="18" t="s">
        <v>1569</v>
      </c>
      <c r="H483" s="19" t="s">
        <v>1570</v>
      </c>
      <c r="I483" s="17" t="s">
        <v>1571</v>
      </c>
      <c r="J483" s="17" t="s">
        <v>94</v>
      </c>
      <c r="K483" s="20"/>
      <c r="L483" s="17" t="s">
        <v>76</v>
      </c>
      <c r="M483" s="17" t="n">
        <f aca="false">LEN(K483)</f>
        <v>0</v>
      </c>
      <c r="N483" s="17" t="str">
        <f aca="false">IF(M483=0,"-",ROUND(3+M483/안내!$C$12,0))</f>
        <v>-</v>
      </c>
      <c r="O483" s="21" t="str">
        <f aca="false">IF(K483="","(본문 입력 후 자동) | 행 2:42",IF(LEN(K483)&gt;28,LEFT(K483,28)&amp;"…",K483)&amp;" | 행 2:42")</f>
        <v>(본문 입력 후 자동) | 행 2:42</v>
      </c>
      <c r="P483" s="21" t="str">
        <f aca="false">"#"&amp;SUBSTITUTE(안내!$C$5," ","")&amp;" #성경구절 #말씀 #사도행전 #교회"</f>
        <v>#오늘의말씀 #성경구절 #말씀 #사도행전 #교회</v>
      </c>
      <c r="Q483" s="21" t="s">
        <v>77</v>
      </c>
      <c r="R483" s="22" t="n">
        <f aca="false">안내!$C$6+INT((D483-1)/안내!$C$7)</f>
        <v>46446</v>
      </c>
      <c r="S483" s="17" t="str">
        <f aca="false">IF(MOD(D483-1,안내!$C$7)=0,안내!$C$9,안내!$C$11)</f>
        <v>21:30</v>
      </c>
      <c r="T483" s="17" t="str">
        <f aca="false">CHOOSE(WEEKDAY(R483,2),"월","화","수","목","금","토","일")</f>
        <v>일</v>
      </c>
      <c r="U483" s="17" t="s">
        <v>78</v>
      </c>
      <c r="V483" s="17" t="s">
        <v>78</v>
      </c>
      <c r="W483" s="23"/>
      <c r="X483" s="23"/>
      <c r="Y483" s="21"/>
    </row>
    <row r="484" customFormat="false" ht="15" hidden="false" customHeight="false" outlineLevel="0" collapsed="false">
      <c r="A484" s="17" t="n">
        <v>483</v>
      </c>
      <c r="B484" s="18" t="s">
        <v>1572</v>
      </c>
      <c r="C484" s="17" t="s">
        <v>1225</v>
      </c>
      <c r="D484" s="17" t="n">
        <v>119</v>
      </c>
      <c r="E484" s="17" t="str">
        <f aca="false">C484&amp;"말씀 #"&amp;TEXT(D484,"000")</f>
        <v>신약말씀 #119</v>
      </c>
      <c r="F484" s="17" t="s">
        <v>1561</v>
      </c>
      <c r="G484" s="18" t="s">
        <v>1573</v>
      </c>
      <c r="H484" s="19" t="s">
        <v>1574</v>
      </c>
      <c r="I484" s="17" t="s">
        <v>1571</v>
      </c>
      <c r="J484" s="17" t="s">
        <v>94</v>
      </c>
      <c r="K484" s="20"/>
      <c r="L484" s="17" t="s">
        <v>76</v>
      </c>
      <c r="M484" s="17" t="n">
        <f aca="false">LEN(K484)</f>
        <v>0</v>
      </c>
      <c r="N484" s="17" t="str">
        <f aca="false">IF(M484=0,"-",ROUND(3+M484/안내!$C$12,0))</f>
        <v>-</v>
      </c>
      <c r="O484" s="21" t="str">
        <f aca="false">IF(K484="","(본문 입력 후 자동) | 행 2:47",IF(LEN(K484)&gt;28,LEFT(K484,28)&amp;"…",K484)&amp;" | 행 2:47")</f>
        <v>(본문 입력 후 자동) | 행 2:47</v>
      </c>
      <c r="P484" s="21" t="str">
        <f aca="false">"#"&amp;SUBSTITUTE(안내!$C$5," ","")&amp;" #성경구절 #말씀 #사도행전 #교회"</f>
        <v>#오늘의말씀 #성경구절 #말씀 #사도행전 #교회</v>
      </c>
      <c r="Q484" s="21" t="s">
        <v>77</v>
      </c>
      <c r="R484" s="22" t="n">
        <f aca="false">안내!$C$6+INT((D484-1)/안내!$C$7)</f>
        <v>46447</v>
      </c>
      <c r="S484" s="17" t="str">
        <f aca="false">IF(MOD(D484-1,안내!$C$7)=0,안내!$C$9,안내!$C$11)</f>
        <v>12:30</v>
      </c>
      <c r="T484" s="17" t="str">
        <f aca="false">CHOOSE(WEEKDAY(R484,2),"월","화","수","목","금","토","일")</f>
        <v>월</v>
      </c>
      <c r="U484" s="17" t="s">
        <v>78</v>
      </c>
      <c r="V484" s="17" t="s">
        <v>78</v>
      </c>
      <c r="W484" s="23"/>
      <c r="X484" s="23"/>
      <c r="Y484" s="21"/>
    </row>
    <row r="485" customFormat="false" ht="15" hidden="false" customHeight="false" outlineLevel="0" collapsed="false">
      <c r="A485" s="17" t="n">
        <v>484</v>
      </c>
      <c r="B485" s="18" t="s">
        <v>1575</v>
      </c>
      <c r="C485" s="17" t="s">
        <v>1225</v>
      </c>
      <c r="D485" s="17" t="n">
        <v>120</v>
      </c>
      <c r="E485" s="17" t="str">
        <f aca="false">C485&amp;"말씀 #"&amp;TEXT(D485,"000")</f>
        <v>신약말씀 #120</v>
      </c>
      <c r="F485" s="17" t="s">
        <v>1561</v>
      </c>
      <c r="G485" s="18" t="s">
        <v>754</v>
      </c>
      <c r="H485" s="19" t="s">
        <v>1576</v>
      </c>
      <c r="I485" s="17" t="s">
        <v>140</v>
      </c>
      <c r="J485" s="17" t="s">
        <v>113</v>
      </c>
      <c r="K485" s="20"/>
      <c r="L485" s="17" t="s">
        <v>76</v>
      </c>
      <c r="M485" s="17" t="n">
        <f aca="false">LEN(K485)</f>
        <v>0</v>
      </c>
      <c r="N485" s="17" t="str">
        <f aca="false">IF(M485=0,"-",ROUND(3+M485/안내!$C$12,0))</f>
        <v>-</v>
      </c>
      <c r="O485" s="21" t="str">
        <f aca="false">IF(K485="","(본문 입력 후 자동) | 행 3:6",IF(LEN(K485)&gt;28,LEFT(K485,28)&amp;"…",K485)&amp;" | 행 3:6")</f>
        <v>(본문 입력 후 자동) | 행 3:6</v>
      </c>
      <c r="P485" s="21" t="str">
        <f aca="false">"#"&amp;SUBSTITUTE(안내!$C$5," ","")&amp;" #성경구절 #말씀 #사도행전 #능력"</f>
        <v>#오늘의말씀 #성경구절 #말씀 #사도행전 #능력</v>
      </c>
      <c r="Q485" s="21" t="s">
        <v>77</v>
      </c>
      <c r="R485" s="22" t="n">
        <f aca="false">안내!$C$6+INT((D485-1)/안내!$C$7)</f>
        <v>46447</v>
      </c>
      <c r="S485" s="17" t="str">
        <f aca="false">IF(MOD(D485-1,안내!$C$7)=0,안내!$C$9,안내!$C$11)</f>
        <v>21:30</v>
      </c>
      <c r="T485" s="17" t="str">
        <f aca="false">CHOOSE(WEEKDAY(R485,2),"월","화","수","목","금","토","일")</f>
        <v>월</v>
      </c>
      <c r="U485" s="17" t="s">
        <v>78</v>
      </c>
      <c r="V485" s="17" t="s">
        <v>78</v>
      </c>
      <c r="W485" s="23"/>
      <c r="X485" s="23"/>
      <c r="Y485" s="21"/>
    </row>
    <row r="486" customFormat="false" ht="15" hidden="false" customHeight="false" outlineLevel="0" collapsed="false">
      <c r="A486" s="17" t="n">
        <v>485</v>
      </c>
      <c r="B486" s="18" t="s">
        <v>1577</v>
      </c>
      <c r="C486" s="17" t="s">
        <v>1225</v>
      </c>
      <c r="D486" s="17" t="n">
        <v>121</v>
      </c>
      <c r="E486" s="17" t="str">
        <f aca="false">C486&amp;"말씀 #"&amp;TEXT(D486,"000")</f>
        <v>신약말씀 #121</v>
      </c>
      <c r="F486" s="17" t="s">
        <v>1561</v>
      </c>
      <c r="G486" s="18" t="s">
        <v>1188</v>
      </c>
      <c r="H486" s="19" t="s">
        <v>1578</v>
      </c>
      <c r="I486" s="17" t="s">
        <v>454</v>
      </c>
      <c r="J486" s="17" t="s">
        <v>104</v>
      </c>
      <c r="K486" s="20"/>
      <c r="L486" s="17" t="s">
        <v>76</v>
      </c>
      <c r="M486" s="17" t="n">
        <f aca="false">LEN(K486)</f>
        <v>0</v>
      </c>
      <c r="N486" s="17" t="str">
        <f aca="false">IF(M486=0,"-",ROUND(3+M486/안내!$C$12,0))</f>
        <v>-</v>
      </c>
      <c r="O486" s="21" t="str">
        <f aca="false">IF(K486="","(본문 입력 후 자동) | 행 3:19",IF(LEN(K486)&gt;28,LEFT(K486,28)&amp;"…",K486)&amp;" | 행 3:19")</f>
        <v>(본문 입력 후 자동) | 행 3:19</v>
      </c>
      <c r="P486" s="21" t="str">
        <f aca="false">"#"&amp;SUBSTITUTE(안내!$C$5," ","")&amp;" #성경구절 #말씀 #사도행전 #회개"</f>
        <v>#오늘의말씀 #성경구절 #말씀 #사도행전 #회개</v>
      </c>
      <c r="Q486" s="21" t="s">
        <v>77</v>
      </c>
      <c r="R486" s="22" t="n">
        <f aca="false">안내!$C$6+INT((D486-1)/안내!$C$7)</f>
        <v>46448</v>
      </c>
      <c r="S486" s="17" t="str">
        <f aca="false">IF(MOD(D486-1,안내!$C$7)=0,안내!$C$9,안내!$C$11)</f>
        <v>12:30</v>
      </c>
      <c r="T486" s="17" t="str">
        <f aca="false">CHOOSE(WEEKDAY(R486,2),"월","화","수","목","금","토","일")</f>
        <v>화</v>
      </c>
      <c r="U486" s="17" t="s">
        <v>78</v>
      </c>
      <c r="V486" s="17" t="s">
        <v>78</v>
      </c>
      <c r="W486" s="23"/>
      <c r="X486" s="23"/>
      <c r="Y486" s="21"/>
    </row>
    <row r="487" customFormat="false" ht="15" hidden="false" customHeight="false" outlineLevel="0" collapsed="false">
      <c r="A487" s="17" t="n">
        <v>486</v>
      </c>
      <c r="B487" s="18" t="s">
        <v>1579</v>
      </c>
      <c r="C487" s="17" t="s">
        <v>1225</v>
      </c>
      <c r="D487" s="17" t="n">
        <v>122</v>
      </c>
      <c r="E487" s="17" t="str">
        <f aca="false">C487&amp;"말씀 #"&amp;TEXT(D487,"000")</f>
        <v>신약말씀 #122</v>
      </c>
      <c r="F487" s="17" t="s">
        <v>1561</v>
      </c>
      <c r="G487" s="18" t="s">
        <v>178</v>
      </c>
      <c r="H487" s="19" t="s">
        <v>1580</v>
      </c>
      <c r="I487" s="17" t="s">
        <v>103</v>
      </c>
      <c r="J487" s="17" t="s">
        <v>104</v>
      </c>
      <c r="K487" s="20"/>
      <c r="L487" s="17" t="s">
        <v>76</v>
      </c>
      <c r="M487" s="17" t="n">
        <f aca="false">LEN(K487)</f>
        <v>0</v>
      </c>
      <c r="N487" s="17" t="str">
        <f aca="false">IF(M487=0,"-",ROUND(3+M487/안내!$C$12,0))</f>
        <v>-</v>
      </c>
      <c r="O487" s="21" t="str">
        <f aca="false">IF(K487="","(본문 입력 후 자동) | 행 4:12",IF(LEN(K487)&gt;28,LEFT(K487,28)&amp;"…",K487)&amp;" | 행 4:12")</f>
        <v>(본문 입력 후 자동) | 행 4:12</v>
      </c>
      <c r="P487" s="21" t="str">
        <f aca="false">"#"&amp;SUBSTITUTE(안내!$C$5," ","")&amp;" #성경구절 #말씀 #사도행전 #구원"</f>
        <v>#오늘의말씀 #성경구절 #말씀 #사도행전 #구원</v>
      </c>
      <c r="Q487" s="21" t="s">
        <v>77</v>
      </c>
      <c r="R487" s="22" t="n">
        <f aca="false">안내!$C$6+INT((D487-1)/안내!$C$7)</f>
        <v>46448</v>
      </c>
      <c r="S487" s="17" t="str">
        <f aca="false">IF(MOD(D487-1,안내!$C$7)=0,안내!$C$9,안내!$C$11)</f>
        <v>21:30</v>
      </c>
      <c r="T487" s="17" t="str">
        <f aca="false">CHOOSE(WEEKDAY(R487,2),"월","화","수","목","금","토","일")</f>
        <v>화</v>
      </c>
      <c r="U487" s="17" t="s">
        <v>78</v>
      </c>
      <c r="V487" s="17" t="s">
        <v>78</v>
      </c>
      <c r="W487" s="23"/>
      <c r="X487" s="23"/>
      <c r="Y487" s="21"/>
    </row>
    <row r="488" customFormat="false" ht="15" hidden="false" customHeight="false" outlineLevel="0" collapsed="false">
      <c r="A488" s="17" t="n">
        <v>487</v>
      </c>
      <c r="B488" s="18" t="s">
        <v>1581</v>
      </c>
      <c r="C488" s="17" t="s">
        <v>1225</v>
      </c>
      <c r="D488" s="17" t="n">
        <v>123</v>
      </c>
      <c r="E488" s="17" t="str">
        <f aca="false">C488&amp;"말씀 #"&amp;TEXT(D488,"000")</f>
        <v>신약말씀 #123</v>
      </c>
      <c r="F488" s="17" t="s">
        <v>1561</v>
      </c>
      <c r="G488" s="18" t="s">
        <v>1582</v>
      </c>
      <c r="H488" s="19" t="s">
        <v>1583</v>
      </c>
      <c r="I488" s="17" t="s">
        <v>970</v>
      </c>
      <c r="J488" s="17" t="s">
        <v>104</v>
      </c>
      <c r="K488" s="20"/>
      <c r="L488" s="17" t="s">
        <v>76</v>
      </c>
      <c r="M488" s="17" t="n">
        <f aca="false">LEN(K488)</f>
        <v>0</v>
      </c>
      <c r="N488" s="17" t="str">
        <f aca="false">IF(M488=0,"-",ROUND(3+M488/안내!$C$12,0))</f>
        <v>-</v>
      </c>
      <c r="O488" s="21" t="str">
        <f aca="false">IF(K488="","(본문 입력 후 자동) | 행 4:20",IF(LEN(K488)&gt;28,LEFT(K488,28)&amp;"…",K488)&amp;" | 행 4:20")</f>
        <v>(본문 입력 후 자동) | 행 4:20</v>
      </c>
      <c r="P488" s="21" t="str">
        <f aca="false">"#"&amp;SUBSTITUTE(안내!$C$5," ","")&amp;" #성경구절 #말씀 #사도행전 #복음"</f>
        <v>#오늘의말씀 #성경구절 #말씀 #사도행전 #복음</v>
      </c>
      <c r="Q488" s="21" t="s">
        <v>77</v>
      </c>
      <c r="R488" s="22" t="n">
        <f aca="false">안내!$C$6+INT((D488-1)/안내!$C$7)</f>
        <v>46449</v>
      </c>
      <c r="S488" s="17" t="str">
        <f aca="false">IF(MOD(D488-1,안내!$C$7)=0,안내!$C$9,안내!$C$11)</f>
        <v>12:30</v>
      </c>
      <c r="T488" s="17" t="str">
        <f aca="false">CHOOSE(WEEKDAY(R488,2),"월","화","수","목","금","토","일")</f>
        <v>수</v>
      </c>
      <c r="U488" s="17" t="s">
        <v>78</v>
      </c>
      <c r="V488" s="17" t="s">
        <v>78</v>
      </c>
      <c r="W488" s="23"/>
      <c r="X488" s="23"/>
      <c r="Y488" s="21"/>
    </row>
    <row r="489" customFormat="false" ht="15" hidden="false" customHeight="false" outlineLevel="0" collapsed="false">
      <c r="A489" s="17" t="n">
        <v>488</v>
      </c>
      <c r="B489" s="18" t="s">
        <v>1584</v>
      </c>
      <c r="C489" s="17" t="s">
        <v>1225</v>
      </c>
      <c r="D489" s="17" t="n">
        <v>124</v>
      </c>
      <c r="E489" s="17" t="str">
        <f aca="false">C489&amp;"말씀 #"&amp;TEXT(D489,"000")</f>
        <v>신약말씀 #124</v>
      </c>
      <c r="F489" s="17" t="s">
        <v>1561</v>
      </c>
      <c r="G489" s="18" t="s">
        <v>1585</v>
      </c>
      <c r="H489" s="19" t="s">
        <v>1586</v>
      </c>
      <c r="I489" s="17" t="s">
        <v>121</v>
      </c>
      <c r="J489" s="17" t="s">
        <v>122</v>
      </c>
      <c r="K489" s="20"/>
      <c r="L489" s="17" t="s">
        <v>76</v>
      </c>
      <c r="M489" s="17" t="n">
        <f aca="false">LEN(K489)</f>
        <v>0</v>
      </c>
      <c r="N489" s="17" t="str">
        <f aca="false">IF(M489=0,"-",ROUND(3+M489/안내!$C$12,0))</f>
        <v>-</v>
      </c>
      <c r="O489" s="21" t="str">
        <f aca="false">IF(K489="","(본문 입력 후 자동) | 행 5:29",IF(LEN(K489)&gt;28,LEFT(K489,28)&amp;"…",K489)&amp;" | 행 5:29")</f>
        <v>(본문 입력 후 자동) | 행 5:29</v>
      </c>
      <c r="P489" s="21" t="str">
        <f aca="false">"#"&amp;SUBSTITUTE(안내!$C$5," ","")&amp;" #성경구절 #말씀 #사도행전 #순종"</f>
        <v>#오늘의말씀 #성경구절 #말씀 #사도행전 #순종</v>
      </c>
      <c r="Q489" s="21" t="s">
        <v>77</v>
      </c>
      <c r="R489" s="22" t="n">
        <f aca="false">안내!$C$6+INT((D489-1)/안내!$C$7)</f>
        <v>46449</v>
      </c>
      <c r="S489" s="17" t="str">
        <f aca="false">IF(MOD(D489-1,안내!$C$7)=0,안내!$C$9,안내!$C$11)</f>
        <v>21:30</v>
      </c>
      <c r="T489" s="17" t="str">
        <f aca="false">CHOOSE(WEEKDAY(R489,2),"월","화","수","목","금","토","일")</f>
        <v>수</v>
      </c>
      <c r="U489" s="17" t="s">
        <v>78</v>
      </c>
      <c r="V489" s="17" t="s">
        <v>78</v>
      </c>
      <c r="W489" s="23"/>
      <c r="X489" s="23"/>
      <c r="Y489" s="21"/>
    </row>
    <row r="490" customFormat="false" ht="15" hidden="false" customHeight="false" outlineLevel="0" collapsed="false">
      <c r="A490" s="17" t="n">
        <v>489</v>
      </c>
      <c r="B490" s="18" t="s">
        <v>1587</v>
      </c>
      <c r="C490" s="17" t="s">
        <v>1225</v>
      </c>
      <c r="D490" s="17" t="n">
        <v>125</v>
      </c>
      <c r="E490" s="17" t="str">
        <f aca="false">C490&amp;"말씀 #"&amp;TEXT(D490,"000")</f>
        <v>신약말씀 #125</v>
      </c>
      <c r="F490" s="17" t="s">
        <v>1561</v>
      </c>
      <c r="G490" s="18" t="s">
        <v>1588</v>
      </c>
      <c r="H490" s="19" t="s">
        <v>1589</v>
      </c>
      <c r="I490" s="17" t="s">
        <v>483</v>
      </c>
      <c r="J490" s="17" t="s">
        <v>89</v>
      </c>
      <c r="K490" s="20"/>
      <c r="L490" s="17" t="s">
        <v>76</v>
      </c>
      <c r="M490" s="17" t="n">
        <f aca="false">LEN(K490)</f>
        <v>0</v>
      </c>
      <c r="N490" s="17" t="str">
        <f aca="false">IF(M490=0,"-",ROUND(3+M490/안내!$C$12,0))</f>
        <v>-</v>
      </c>
      <c r="O490" s="21" t="str">
        <f aca="false">IF(K490="","(본문 입력 후 자동) | 행 5:41",IF(LEN(K490)&gt;28,LEFT(K490,28)&amp;"…",K490)&amp;" | 행 5:41")</f>
        <v>(본문 입력 후 자동) | 행 5:41</v>
      </c>
      <c r="P490" s="21" t="str">
        <f aca="false">"#"&amp;SUBSTITUTE(안내!$C$5," ","")&amp;" #성경구절 #말씀 #사도행전 #기쁨"</f>
        <v>#오늘의말씀 #성경구절 #말씀 #사도행전 #기쁨</v>
      </c>
      <c r="Q490" s="21" t="s">
        <v>77</v>
      </c>
      <c r="R490" s="22" t="n">
        <f aca="false">안내!$C$6+INT((D490-1)/안내!$C$7)</f>
        <v>46450</v>
      </c>
      <c r="S490" s="17" t="str">
        <f aca="false">IF(MOD(D490-1,안내!$C$7)=0,안내!$C$9,안내!$C$11)</f>
        <v>12:30</v>
      </c>
      <c r="T490" s="17" t="str">
        <f aca="false">CHOOSE(WEEKDAY(R490,2),"월","화","수","목","금","토","일")</f>
        <v>목</v>
      </c>
      <c r="U490" s="17" t="s">
        <v>78</v>
      </c>
      <c r="V490" s="17" t="s">
        <v>78</v>
      </c>
      <c r="W490" s="23"/>
      <c r="X490" s="23"/>
      <c r="Y490" s="21"/>
    </row>
    <row r="491" customFormat="false" ht="15" hidden="false" customHeight="false" outlineLevel="0" collapsed="false">
      <c r="A491" s="17" t="n">
        <v>490</v>
      </c>
      <c r="B491" s="18" t="s">
        <v>1590</v>
      </c>
      <c r="C491" s="17" t="s">
        <v>1225</v>
      </c>
      <c r="D491" s="17" t="n">
        <v>126</v>
      </c>
      <c r="E491" s="17" t="str">
        <f aca="false">C491&amp;"말씀 #"&amp;TEXT(D491,"000")</f>
        <v>신약말씀 #126</v>
      </c>
      <c r="F491" s="17" t="s">
        <v>1561</v>
      </c>
      <c r="G491" s="18" t="s">
        <v>1591</v>
      </c>
      <c r="H491" s="19" t="s">
        <v>1592</v>
      </c>
      <c r="I491" s="17" t="s">
        <v>1011</v>
      </c>
      <c r="J491" s="17" t="s">
        <v>122</v>
      </c>
      <c r="K491" s="20"/>
      <c r="L491" s="17" t="s">
        <v>76</v>
      </c>
      <c r="M491" s="17" t="n">
        <f aca="false">LEN(K491)</f>
        <v>0</v>
      </c>
      <c r="N491" s="17" t="str">
        <f aca="false">IF(M491=0,"-",ROUND(3+M491/안내!$C$12,0))</f>
        <v>-</v>
      </c>
      <c r="O491" s="21" t="str">
        <f aca="false">IF(K491="","(본문 입력 후 자동) | 행 9:15",IF(LEN(K491)&gt;28,LEFT(K491,28)&amp;"…",K491)&amp;" | 행 9:15")</f>
        <v>(본문 입력 후 자동) | 행 9:15</v>
      </c>
      <c r="P491" s="21" t="str">
        <f aca="false">"#"&amp;SUBSTITUTE(안내!$C$5," ","")&amp;" #성경구절 #말씀 #사도행전 #부르심"</f>
        <v>#오늘의말씀 #성경구절 #말씀 #사도행전 #부르심</v>
      </c>
      <c r="Q491" s="21" t="s">
        <v>77</v>
      </c>
      <c r="R491" s="22" t="n">
        <f aca="false">안내!$C$6+INT((D491-1)/안내!$C$7)</f>
        <v>46450</v>
      </c>
      <c r="S491" s="17" t="str">
        <f aca="false">IF(MOD(D491-1,안내!$C$7)=0,안내!$C$9,안내!$C$11)</f>
        <v>21:30</v>
      </c>
      <c r="T491" s="17" t="str">
        <f aca="false">CHOOSE(WEEKDAY(R491,2),"월","화","수","목","금","토","일")</f>
        <v>목</v>
      </c>
      <c r="U491" s="17" t="s">
        <v>78</v>
      </c>
      <c r="V491" s="17" t="s">
        <v>78</v>
      </c>
      <c r="W491" s="23"/>
      <c r="X491" s="23"/>
      <c r="Y491" s="21"/>
    </row>
    <row r="492" customFormat="false" ht="25.35" hidden="false" customHeight="false" outlineLevel="0" collapsed="false">
      <c r="A492" s="17" t="n">
        <v>491</v>
      </c>
      <c r="B492" s="18" t="s">
        <v>1593</v>
      </c>
      <c r="C492" s="17" t="s">
        <v>1225</v>
      </c>
      <c r="D492" s="17" t="n">
        <v>127</v>
      </c>
      <c r="E492" s="17" t="str">
        <f aca="false">C492&amp;"말씀 #"&amp;TEXT(D492,"000")</f>
        <v>신약말씀 #127</v>
      </c>
      <c r="F492" s="17" t="s">
        <v>1561</v>
      </c>
      <c r="G492" s="18" t="s">
        <v>1594</v>
      </c>
      <c r="H492" s="19" t="s">
        <v>1595</v>
      </c>
      <c r="I492" s="17" t="s">
        <v>239</v>
      </c>
      <c r="J492" s="17" t="s">
        <v>94</v>
      </c>
      <c r="K492" s="20"/>
      <c r="L492" s="17" t="s">
        <v>76</v>
      </c>
      <c r="M492" s="17" t="n">
        <f aca="false">LEN(K492)</f>
        <v>0</v>
      </c>
      <c r="N492" s="17" t="str">
        <f aca="false">IF(M492=0,"-",ROUND(3+M492/안내!$C$12,0))</f>
        <v>-</v>
      </c>
      <c r="O492" s="21" t="str">
        <f aca="false">IF(K492="","(본문 입력 후 자동) | 행 10:34",IF(LEN(K492)&gt;28,LEFT(K492,28)&amp;"…",K492)&amp;" | 행 10:34")</f>
        <v>(본문 입력 후 자동) | 행 10:34</v>
      </c>
      <c r="P492" s="21" t="str">
        <f aca="false">"#"&amp;SUBSTITUTE(안내!$C$5," ","")&amp;" #성경구절 #말씀 #사도행전 #사랑"</f>
        <v>#오늘의말씀 #성경구절 #말씀 #사도행전 #사랑</v>
      </c>
      <c r="Q492" s="21" t="s">
        <v>77</v>
      </c>
      <c r="R492" s="22" t="n">
        <f aca="false">안내!$C$6+INT((D492-1)/안내!$C$7)</f>
        <v>46451</v>
      </c>
      <c r="S492" s="17" t="str">
        <f aca="false">IF(MOD(D492-1,안내!$C$7)=0,안내!$C$9,안내!$C$11)</f>
        <v>12:30</v>
      </c>
      <c r="T492" s="17" t="str">
        <f aca="false">CHOOSE(WEEKDAY(R492,2),"월","화","수","목","금","토","일")</f>
        <v>금</v>
      </c>
      <c r="U492" s="17" t="s">
        <v>78</v>
      </c>
      <c r="V492" s="17" t="s">
        <v>78</v>
      </c>
      <c r="W492" s="23"/>
      <c r="X492" s="23"/>
      <c r="Y492" s="21"/>
    </row>
    <row r="493" customFormat="false" ht="25.35" hidden="false" customHeight="false" outlineLevel="0" collapsed="false">
      <c r="A493" s="17" t="n">
        <v>492</v>
      </c>
      <c r="B493" s="18" t="s">
        <v>1596</v>
      </c>
      <c r="C493" s="17" t="s">
        <v>1225</v>
      </c>
      <c r="D493" s="17" t="n">
        <v>128</v>
      </c>
      <c r="E493" s="17" t="str">
        <f aca="false">C493&amp;"말씀 #"&amp;TEXT(D493,"000")</f>
        <v>신약말씀 #128</v>
      </c>
      <c r="F493" s="17" t="s">
        <v>1561</v>
      </c>
      <c r="G493" s="18" t="s">
        <v>1597</v>
      </c>
      <c r="H493" s="19" t="s">
        <v>1598</v>
      </c>
      <c r="I493" s="17" t="s">
        <v>196</v>
      </c>
      <c r="J493" s="17" t="s">
        <v>75</v>
      </c>
      <c r="K493" s="20"/>
      <c r="L493" s="17" t="s">
        <v>76</v>
      </c>
      <c r="M493" s="17" t="n">
        <f aca="false">LEN(K493)</f>
        <v>0</v>
      </c>
      <c r="N493" s="17" t="str">
        <f aca="false">IF(M493=0,"-",ROUND(3+M493/안내!$C$12,0))</f>
        <v>-</v>
      </c>
      <c r="O493" s="21" t="str">
        <f aca="false">IF(K493="","(본문 입력 후 자동) | 행 16:25",IF(LEN(K493)&gt;28,LEFT(K493,28)&amp;"…",K493)&amp;" | 행 16:25")</f>
        <v>(본문 입력 후 자동) | 행 16:25</v>
      </c>
      <c r="P493" s="21" t="str">
        <f aca="false">"#"&amp;SUBSTITUTE(안내!$C$5," ","")&amp;" #성경구절 #말씀 #사도행전 #찬양"</f>
        <v>#오늘의말씀 #성경구절 #말씀 #사도행전 #찬양</v>
      </c>
      <c r="Q493" s="21" t="s">
        <v>77</v>
      </c>
      <c r="R493" s="22" t="n">
        <f aca="false">안내!$C$6+INT((D493-1)/안내!$C$7)</f>
        <v>46451</v>
      </c>
      <c r="S493" s="17" t="str">
        <f aca="false">IF(MOD(D493-1,안내!$C$7)=0,안내!$C$9,안내!$C$11)</f>
        <v>21:30</v>
      </c>
      <c r="T493" s="17" t="str">
        <f aca="false">CHOOSE(WEEKDAY(R493,2),"월","화","수","목","금","토","일")</f>
        <v>금</v>
      </c>
      <c r="U493" s="17" t="s">
        <v>78</v>
      </c>
      <c r="V493" s="17" t="s">
        <v>78</v>
      </c>
      <c r="W493" s="23"/>
      <c r="X493" s="23"/>
      <c r="Y493" s="21"/>
    </row>
    <row r="494" customFormat="false" ht="25.35" hidden="false" customHeight="false" outlineLevel="0" collapsed="false">
      <c r="A494" s="17" t="n">
        <v>493</v>
      </c>
      <c r="B494" s="18" t="s">
        <v>1599</v>
      </c>
      <c r="C494" s="17" t="s">
        <v>1225</v>
      </c>
      <c r="D494" s="17" t="n">
        <v>129</v>
      </c>
      <c r="E494" s="17" t="str">
        <f aca="false">C494&amp;"말씀 #"&amp;TEXT(D494,"000")</f>
        <v>신약말씀 #129</v>
      </c>
      <c r="F494" s="17" t="s">
        <v>1561</v>
      </c>
      <c r="G494" s="18" t="s">
        <v>1600</v>
      </c>
      <c r="H494" s="19" t="s">
        <v>1601</v>
      </c>
      <c r="I494" s="17" t="s">
        <v>103</v>
      </c>
      <c r="J494" s="17" t="s">
        <v>104</v>
      </c>
      <c r="K494" s="20"/>
      <c r="L494" s="17" t="s">
        <v>76</v>
      </c>
      <c r="M494" s="17" t="n">
        <f aca="false">LEN(K494)</f>
        <v>0</v>
      </c>
      <c r="N494" s="17" t="str">
        <f aca="false">IF(M494=0,"-",ROUND(3+M494/안내!$C$12,0))</f>
        <v>-</v>
      </c>
      <c r="O494" s="21" t="str">
        <f aca="false">IF(K494="","(본문 입력 후 자동) | 행 16:31",IF(LEN(K494)&gt;28,LEFT(K494,28)&amp;"…",K494)&amp;" | 행 16:31")</f>
        <v>(본문 입력 후 자동) | 행 16:31</v>
      </c>
      <c r="P494" s="21" t="str">
        <f aca="false">"#"&amp;SUBSTITUTE(안내!$C$5," ","")&amp;" #성경구절 #말씀 #사도행전 #구원"</f>
        <v>#오늘의말씀 #성경구절 #말씀 #사도행전 #구원</v>
      </c>
      <c r="Q494" s="21" t="s">
        <v>77</v>
      </c>
      <c r="R494" s="22" t="n">
        <f aca="false">안내!$C$6+INT((D494-1)/안내!$C$7)</f>
        <v>46452</v>
      </c>
      <c r="S494" s="17" t="str">
        <f aca="false">IF(MOD(D494-1,안내!$C$7)=0,안내!$C$9,안내!$C$11)</f>
        <v>12:30</v>
      </c>
      <c r="T494" s="17" t="str">
        <f aca="false">CHOOSE(WEEKDAY(R494,2),"월","화","수","목","금","토","일")</f>
        <v>토</v>
      </c>
      <c r="U494" s="17" t="s">
        <v>78</v>
      </c>
      <c r="V494" s="17" t="s">
        <v>78</v>
      </c>
      <c r="W494" s="23"/>
      <c r="X494" s="23"/>
      <c r="Y494" s="21"/>
    </row>
    <row r="495" customFormat="false" ht="25.35" hidden="false" customHeight="false" outlineLevel="0" collapsed="false">
      <c r="A495" s="17" t="n">
        <v>494</v>
      </c>
      <c r="B495" s="18" t="s">
        <v>1602</v>
      </c>
      <c r="C495" s="17" t="s">
        <v>1225</v>
      </c>
      <c r="D495" s="17" t="n">
        <v>130</v>
      </c>
      <c r="E495" s="17" t="str">
        <f aca="false">C495&amp;"말씀 #"&amp;TEXT(D495,"000")</f>
        <v>신약말씀 #130</v>
      </c>
      <c r="F495" s="17" t="s">
        <v>1561</v>
      </c>
      <c r="G495" s="18" t="s">
        <v>230</v>
      </c>
      <c r="H495" s="19" t="s">
        <v>1603</v>
      </c>
      <c r="I495" s="17" t="s">
        <v>284</v>
      </c>
      <c r="J495" s="17" t="s">
        <v>148</v>
      </c>
      <c r="K495" s="20"/>
      <c r="L495" s="17" t="s">
        <v>76</v>
      </c>
      <c r="M495" s="17" t="n">
        <f aca="false">LEN(K495)</f>
        <v>0</v>
      </c>
      <c r="N495" s="17" t="str">
        <f aca="false">IF(M495=0,"-",ROUND(3+M495/안내!$C$12,0))</f>
        <v>-</v>
      </c>
      <c r="O495" s="21" t="str">
        <f aca="false">IF(K495="","(본문 입력 후 자동) | 행 17:11",IF(LEN(K495)&gt;28,LEFT(K495,28)&amp;"…",K495)&amp;" | 행 17:11")</f>
        <v>(본문 입력 후 자동) | 행 17:11</v>
      </c>
      <c r="P495" s="21" t="str">
        <f aca="false">"#"&amp;SUBSTITUTE(안내!$C$5," ","")&amp;" #성경구절 #말씀 #사도행전 #말씀"</f>
        <v>#오늘의말씀 #성경구절 #말씀 #사도행전 #말씀</v>
      </c>
      <c r="Q495" s="21" t="s">
        <v>77</v>
      </c>
      <c r="R495" s="22" t="n">
        <f aca="false">안내!$C$6+INT((D495-1)/안내!$C$7)</f>
        <v>46452</v>
      </c>
      <c r="S495" s="17" t="str">
        <f aca="false">IF(MOD(D495-1,안내!$C$7)=0,안내!$C$9,안내!$C$11)</f>
        <v>21:30</v>
      </c>
      <c r="T495" s="17" t="str">
        <f aca="false">CHOOSE(WEEKDAY(R495,2),"월","화","수","목","금","토","일")</f>
        <v>토</v>
      </c>
      <c r="U495" s="17" t="s">
        <v>78</v>
      </c>
      <c r="V495" s="17" t="s">
        <v>78</v>
      </c>
      <c r="W495" s="23"/>
      <c r="X495" s="23"/>
      <c r="Y495" s="21"/>
    </row>
    <row r="496" customFormat="false" ht="25.35" hidden="false" customHeight="false" outlineLevel="0" collapsed="false">
      <c r="A496" s="17" t="n">
        <v>495</v>
      </c>
      <c r="B496" s="18" t="s">
        <v>1604</v>
      </c>
      <c r="C496" s="17" t="s">
        <v>1225</v>
      </c>
      <c r="D496" s="17" t="n">
        <v>131</v>
      </c>
      <c r="E496" s="17" t="str">
        <f aca="false">C496&amp;"말씀 #"&amp;TEXT(D496,"000")</f>
        <v>신약말씀 #131</v>
      </c>
      <c r="F496" s="17" t="s">
        <v>1561</v>
      </c>
      <c r="G496" s="18" t="s">
        <v>1605</v>
      </c>
      <c r="H496" s="19" t="s">
        <v>1606</v>
      </c>
      <c r="I496" s="17" t="s">
        <v>88</v>
      </c>
      <c r="J496" s="17" t="s">
        <v>89</v>
      </c>
      <c r="K496" s="20"/>
      <c r="L496" s="17" t="s">
        <v>76</v>
      </c>
      <c r="M496" s="17" t="n">
        <f aca="false">LEN(K496)</f>
        <v>0</v>
      </c>
      <c r="N496" s="17" t="str">
        <f aca="false">IF(M496=0,"-",ROUND(3+M496/안내!$C$12,0))</f>
        <v>-</v>
      </c>
      <c r="O496" s="21" t="str">
        <f aca="false">IF(K496="","(본문 입력 후 자동) | 행 17:28",IF(LEN(K496)&gt;28,LEFT(K496,28)&amp;"…",K496)&amp;" | 행 17:28")</f>
        <v>(본문 입력 후 자동) | 행 17:28</v>
      </c>
      <c r="P496" s="21" t="str">
        <f aca="false">"#"&amp;SUBSTITUTE(안내!$C$5," ","")&amp;" #성경구절 #말씀 #사도행전 #생명"</f>
        <v>#오늘의말씀 #성경구절 #말씀 #사도행전 #생명</v>
      </c>
      <c r="Q496" s="21" t="s">
        <v>77</v>
      </c>
      <c r="R496" s="22" t="n">
        <f aca="false">안내!$C$6+INT((D496-1)/안내!$C$7)</f>
        <v>46453</v>
      </c>
      <c r="S496" s="17" t="str">
        <f aca="false">IF(MOD(D496-1,안내!$C$7)=0,안내!$C$9,안내!$C$11)</f>
        <v>12:30</v>
      </c>
      <c r="T496" s="17" t="str">
        <f aca="false">CHOOSE(WEEKDAY(R496,2),"월","화","수","목","금","토","일")</f>
        <v>일</v>
      </c>
      <c r="U496" s="17" t="s">
        <v>78</v>
      </c>
      <c r="V496" s="17" t="s">
        <v>78</v>
      </c>
      <c r="W496" s="23"/>
      <c r="X496" s="23"/>
      <c r="Y496" s="21"/>
    </row>
    <row r="497" customFormat="false" ht="25.35" hidden="false" customHeight="false" outlineLevel="0" collapsed="false">
      <c r="A497" s="17" t="n">
        <v>496</v>
      </c>
      <c r="B497" s="18" t="s">
        <v>1607</v>
      </c>
      <c r="C497" s="17" t="s">
        <v>1225</v>
      </c>
      <c r="D497" s="17" t="n">
        <v>132</v>
      </c>
      <c r="E497" s="17" t="str">
        <f aca="false">C497&amp;"말씀 #"&amp;TEXT(D497,"000")</f>
        <v>신약말씀 #132</v>
      </c>
      <c r="F497" s="17" t="s">
        <v>1561</v>
      </c>
      <c r="G497" s="18" t="s">
        <v>1608</v>
      </c>
      <c r="H497" s="19" t="s">
        <v>1609</v>
      </c>
      <c r="I497" s="17" t="s">
        <v>333</v>
      </c>
      <c r="J497" s="17" t="s">
        <v>122</v>
      </c>
      <c r="K497" s="20"/>
      <c r="L497" s="17" t="s">
        <v>76</v>
      </c>
      <c r="M497" s="17" t="n">
        <f aca="false">LEN(K497)</f>
        <v>0</v>
      </c>
      <c r="N497" s="17" t="str">
        <f aca="false">IF(M497=0,"-",ROUND(3+M497/안내!$C$12,0))</f>
        <v>-</v>
      </c>
      <c r="O497" s="21" t="str">
        <f aca="false">IF(K497="","(본문 입력 후 자동) | 행 20:24",IF(LEN(K497)&gt;28,LEFT(K497,28)&amp;"…",K497)&amp;" | 행 20:24")</f>
        <v>(본문 입력 후 자동) | 행 20:24</v>
      </c>
      <c r="P497" s="21" t="str">
        <f aca="false">"#"&amp;SUBSTITUTE(안내!$C$5," ","")&amp;" #성경구절 #말씀 #사도행전 #헌신"</f>
        <v>#오늘의말씀 #성경구절 #말씀 #사도행전 #헌신</v>
      </c>
      <c r="Q497" s="21" t="s">
        <v>77</v>
      </c>
      <c r="R497" s="22" t="n">
        <f aca="false">안내!$C$6+INT((D497-1)/안내!$C$7)</f>
        <v>46453</v>
      </c>
      <c r="S497" s="17" t="str">
        <f aca="false">IF(MOD(D497-1,안내!$C$7)=0,안내!$C$9,안내!$C$11)</f>
        <v>21:30</v>
      </c>
      <c r="T497" s="17" t="str">
        <f aca="false">CHOOSE(WEEKDAY(R497,2),"월","화","수","목","금","토","일")</f>
        <v>일</v>
      </c>
      <c r="U497" s="17" t="s">
        <v>78</v>
      </c>
      <c r="V497" s="17" t="s">
        <v>78</v>
      </c>
      <c r="W497" s="23"/>
      <c r="X497" s="23"/>
      <c r="Y497" s="21"/>
    </row>
    <row r="498" customFormat="false" ht="25.35" hidden="false" customHeight="false" outlineLevel="0" collapsed="false">
      <c r="A498" s="17" t="n">
        <v>497</v>
      </c>
      <c r="B498" s="18" t="s">
        <v>1610</v>
      </c>
      <c r="C498" s="17" t="s">
        <v>1225</v>
      </c>
      <c r="D498" s="17" t="n">
        <v>133</v>
      </c>
      <c r="E498" s="17" t="str">
        <f aca="false">C498&amp;"말씀 #"&amp;TEXT(D498,"000")</f>
        <v>신약말씀 #133</v>
      </c>
      <c r="F498" s="17" t="s">
        <v>1561</v>
      </c>
      <c r="G498" s="18" t="s">
        <v>1611</v>
      </c>
      <c r="H498" s="19" t="s">
        <v>1612</v>
      </c>
      <c r="I498" s="17" t="s">
        <v>1410</v>
      </c>
      <c r="J498" s="17" t="s">
        <v>148</v>
      </c>
      <c r="K498" s="20"/>
      <c r="L498" s="17" t="s">
        <v>76</v>
      </c>
      <c r="M498" s="17" t="n">
        <f aca="false">LEN(K498)</f>
        <v>0</v>
      </c>
      <c r="N498" s="17" t="str">
        <f aca="false">IF(M498=0,"-",ROUND(3+M498/안내!$C$12,0))</f>
        <v>-</v>
      </c>
      <c r="O498" s="21" t="str">
        <f aca="false">IF(K498="","(본문 입력 후 자동) | 행 20:35",IF(LEN(K498)&gt;28,LEFT(K498,28)&amp;"…",K498)&amp;" | 행 20:35")</f>
        <v>(본문 입력 후 자동) | 행 20:35</v>
      </c>
      <c r="P498" s="21" t="str">
        <f aca="false">"#"&amp;SUBSTITUTE(안내!$C$5," ","")&amp;" #성경구절 #말씀 #사도행전 #나눔"</f>
        <v>#오늘의말씀 #성경구절 #말씀 #사도행전 #나눔</v>
      </c>
      <c r="Q498" s="21" t="s">
        <v>77</v>
      </c>
      <c r="R498" s="22" t="n">
        <f aca="false">안내!$C$6+INT((D498-1)/안내!$C$7)</f>
        <v>46454</v>
      </c>
      <c r="S498" s="17" t="str">
        <f aca="false">IF(MOD(D498-1,안내!$C$7)=0,안내!$C$9,안내!$C$11)</f>
        <v>12:30</v>
      </c>
      <c r="T498" s="17" t="str">
        <f aca="false">CHOOSE(WEEKDAY(R498,2),"월","화","수","목","금","토","일")</f>
        <v>월</v>
      </c>
      <c r="U498" s="17" t="s">
        <v>78</v>
      </c>
      <c r="V498" s="17" t="s">
        <v>78</v>
      </c>
      <c r="W498" s="23"/>
      <c r="X498" s="23"/>
      <c r="Y498" s="21"/>
    </row>
    <row r="499" customFormat="false" ht="25.35" hidden="false" customHeight="false" outlineLevel="0" collapsed="false">
      <c r="A499" s="17" t="n">
        <v>498</v>
      </c>
      <c r="B499" s="18" t="s">
        <v>1613</v>
      </c>
      <c r="C499" s="17" t="s">
        <v>1225</v>
      </c>
      <c r="D499" s="17" t="n">
        <v>134</v>
      </c>
      <c r="E499" s="17" t="str">
        <f aca="false">C499&amp;"말씀 #"&amp;TEXT(D499,"000")</f>
        <v>신약말씀 #134</v>
      </c>
      <c r="F499" s="17" t="s">
        <v>1561</v>
      </c>
      <c r="G499" s="18" t="s">
        <v>1614</v>
      </c>
      <c r="H499" s="19" t="s">
        <v>1615</v>
      </c>
      <c r="I499" s="17" t="s">
        <v>133</v>
      </c>
      <c r="J499" s="17" t="s">
        <v>113</v>
      </c>
      <c r="K499" s="20"/>
      <c r="L499" s="17" t="s">
        <v>76</v>
      </c>
      <c r="M499" s="17" t="n">
        <f aca="false">LEN(K499)</f>
        <v>0</v>
      </c>
      <c r="N499" s="17" t="str">
        <f aca="false">IF(M499=0,"-",ROUND(3+M499/안내!$C$12,0))</f>
        <v>-</v>
      </c>
      <c r="O499" s="21" t="str">
        <f aca="false">IF(K499="","(본문 입력 후 자동) | 행 27:25",IF(LEN(K499)&gt;28,LEFT(K499,28)&amp;"…",K499)&amp;" | 행 27:25")</f>
        <v>(본문 입력 후 자동) | 행 27:25</v>
      </c>
      <c r="P499" s="21" t="str">
        <f aca="false">"#"&amp;SUBSTITUTE(안내!$C$5," ","")&amp;" #성경구절 #말씀 #사도행전 #믿음"</f>
        <v>#오늘의말씀 #성경구절 #말씀 #사도행전 #믿음</v>
      </c>
      <c r="Q499" s="21" t="s">
        <v>77</v>
      </c>
      <c r="R499" s="22" t="n">
        <f aca="false">안내!$C$6+INT((D499-1)/안내!$C$7)</f>
        <v>46454</v>
      </c>
      <c r="S499" s="17" t="str">
        <f aca="false">IF(MOD(D499-1,안내!$C$7)=0,안내!$C$9,안내!$C$11)</f>
        <v>21:30</v>
      </c>
      <c r="T499" s="17" t="str">
        <f aca="false">CHOOSE(WEEKDAY(R499,2),"월","화","수","목","금","토","일")</f>
        <v>월</v>
      </c>
      <c r="U499" s="17" t="s">
        <v>78</v>
      </c>
      <c r="V499" s="17" t="s">
        <v>78</v>
      </c>
      <c r="W499" s="23"/>
      <c r="X499" s="23"/>
      <c r="Y499" s="21"/>
    </row>
    <row r="500" customFormat="false" ht="15" hidden="false" customHeight="false" outlineLevel="0" collapsed="false">
      <c r="A500" s="17" t="n">
        <v>499</v>
      </c>
      <c r="B500" s="18" t="s">
        <v>1616</v>
      </c>
      <c r="C500" s="17" t="s">
        <v>1225</v>
      </c>
      <c r="D500" s="17" t="n">
        <v>135</v>
      </c>
      <c r="E500" s="17" t="str">
        <f aca="false">C500&amp;"말씀 #"&amp;TEXT(D500,"000")</f>
        <v>신약말씀 #135</v>
      </c>
      <c r="F500" s="17" t="s">
        <v>1617</v>
      </c>
      <c r="G500" s="18" t="s">
        <v>348</v>
      </c>
      <c r="H500" s="19" t="s">
        <v>1618</v>
      </c>
      <c r="I500" s="17" t="s">
        <v>970</v>
      </c>
      <c r="J500" s="17" t="s">
        <v>104</v>
      </c>
      <c r="K500" s="20"/>
      <c r="L500" s="17" t="s">
        <v>76</v>
      </c>
      <c r="M500" s="17" t="n">
        <f aca="false">LEN(K500)</f>
        <v>0</v>
      </c>
      <c r="N500" s="17" t="str">
        <f aca="false">IF(M500=0,"-",ROUND(3+M500/안내!$C$12,0))</f>
        <v>-</v>
      </c>
      <c r="O500" s="21" t="str">
        <f aca="false">IF(K500="","(본문 입력 후 자동) | 롬 1:16",IF(LEN(K500)&gt;28,LEFT(K500,28)&amp;"…",K500)&amp;" | 롬 1:16")</f>
        <v>(본문 입력 후 자동) | 롬 1:16</v>
      </c>
      <c r="P500" s="21" t="str">
        <f aca="false">"#"&amp;SUBSTITUTE(안내!$C$5," ","")&amp;" #성경구절 #말씀 #로마서 #복음"</f>
        <v>#오늘의말씀 #성경구절 #말씀 #로마서 #복음</v>
      </c>
      <c r="Q500" s="21" t="s">
        <v>77</v>
      </c>
      <c r="R500" s="22" t="n">
        <f aca="false">안내!$C$6+INT((D500-1)/안내!$C$7)</f>
        <v>46455</v>
      </c>
      <c r="S500" s="17" t="str">
        <f aca="false">IF(MOD(D500-1,안내!$C$7)=0,안내!$C$9,안내!$C$11)</f>
        <v>12:30</v>
      </c>
      <c r="T500" s="17" t="str">
        <f aca="false">CHOOSE(WEEKDAY(R500,2),"월","화","수","목","금","토","일")</f>
        <v>화</v>
      </c>
      <c r="U500" s="17" t="s">
        <v>78</v>
      </c>
      <c r="V500" s="17" t="s">
        <v>78</v>
      </c>
      <c r="W500" s="23"/>
      <c r="X500" s="23"/>
      <c r="Y500" s="21"/>
    </row>
    <row r="501" customFormat="false" ht="15" hidden="false" customHeight="false" outlineLevel="0" collapsed="false">
      <c r="A501" s="17" t="n">
        <v>500</v>
      </c>
      <c r="B501" s="18" t="s">
        <v>1619</v>
      </c>
      <c r="C501" s="17" t="s">
        <v>1225</v>
      </c>
      <c r="D501" s="17" t="n">
        <v>136</v>
      </c>
      <c r="E501" s="17" t="str">
        <f aca="false">C501&amp;"말씀 #"&amp;TEXT(D501,"000")</f>
        <v>신약말씀 #136</v>
      </c>
      <c r="F501" s="17" t="s">
        <v>1617</v>
      </c>
      <c r="G501" s="18" t="s">
        <v>1620</v>
      </c>
      <c r="H501" s="19" t="s">
        <v>1621</v>
      </c>
      <c r="I501" s="17" t="s">
        <v>133</v>
      </c>
      <c r="J501" s="17" t="s">
        <v>113</v>
      </c>
      <c r="K501" s="20"/>
      <c r="L501" s="17" t="s">
        <v>76</v>
      </c>
      <c r="M501" s="17" t="n">
        <f aca="false">LEN(K501)</f>
        <v>0</v>
      </c>
      <c r="N501" s="17" t="str">
        <f aca="false">IF(M501=0,"-",ROUND(3+M501/안내!$C$12,0))</f>
        <v>-</v>
      </c>
      <c r="O501" s="21" t="str">
        <f aca="false">IF(K501="","(본문 입력 후 자동) | 롬 1:17",IF(LEN(K501)&gt;28,LEFT(K501,28)&amp;"…",K501)&amp;" | 롬 1:17")</f>
        <v>(본문 입력 후 자동) | 롬 1:17</v>
      </c>
      <c r="P501" s="21" t="str">
        <f aca="false">"#"&amp;SUBSTITUTE(안내!$C$5," ","")&amp;" #성경구절 #말씀 #로마서 #믿음"</f>
        <v>#오늘의말씀 #성경구절 #말씀 #로마서 #믿음</v>
      </c>
      <c r="Q501" s="21" t="s">
        <v>77</v>
      </c>
      <c r="R501" s="22" t="n">
        <f aca="false">안내!$C$6+INT((D501-1)/안내!$C$7)</f>
        <v>46455</v>
      </c>
      <c r="S501" s="17" t="str">
        <f aca="false">IF(MOD(D501-1,안내!$C$7)=0,안내!$C$9,안내!$C$11)</f>
        <v>21:30</v>
      </c>
      <c r="T501" s="17" t="str">
        <f aca="false">CHOOSE(WEEKDAY(R501,2),"월","화","수","목","금","토","일")</f>
        <v>화</v>
      </c>
      <c r="U501" s="17" t="s">
        <v>78</v>
      </c>
      <c r="V501" s="17" t="s">
        <v>78</v>
      </c>
      <c r="W501" s="23"/>
      <c r="X501" s="23"/>
      <c r="Y501" s="21"/>
    </row>
    <row r="502" customFormat="false" ht="15" hidden="false" customHeight="false" outlineLevel="0" collapsed="false">
      <c r="A502" s="17" t="n">
        <v>501</v>
      </c>
      <c r="B502" s="18" t="s">
        <v>1622</v>
      </c>
      <c r="C502" s="17" t="s">
        <v>1225</v>
      </c>
      <c r="D502" s="17" t="n">
        <v>137</v>
      </c>
      <c r="E502" s="17" t="str">
        <f aca="false">C502&amp;"말씀 #"&amp;TEXT(D502,"000")</f>
        <v>신약말씀 #137</v>
      </c>
      <c r="F502" s="17" t="s">
        <v>1617</v>
      </c>
      <c r="G502" s="18" t="s">
        <v>1623</v>
      </c>
      <c r="H502" s="19" t="s">
        <v>1624</v>
      </c>
      <c r="I502" s="17" t="s">
        <v>74</v>
      </c>
      <c r="J502" s="17" t="s">
        <v>75</v>
      </c>
      <c r="K502" s="20"/>
      <c r="L502" s="17" t="s">
        <v>76</v>
      </c>
      <c r="M502" s="17" t="n">
        <f aca="false">LEN(K502)</f>
        <v>0</v>
      </c>
      <c r="N502" s="17" t="str">
        <f aca="false">IF(M502=0,"-",ROUND(3+M502/안내!$C$12,0))</f>
        <v>-</v>
      </c>
      <c r="O502" s="21" t="str">
        <f aca="false">IF(K502="","(본문 입력 후 자동) | 롬 1:20",IF(LEN(K502)&gt;28,LEFT(K502,28)&amp;"…",K502)&amp;" | 롬 1:20")</f>
        <v>(본문 입력 후 자동) | 롬 1:20</v>
      </c>
      <c r="P502" s="21" t="str">
        <f aca="false">"#"&amp;SUBSTITUTE(안내!$C$5," ","")&amp;" #성경구절 #말씀 #로마서 #창조"</f>
        <v>#오늘의말씀 #성경구절 #말씀 #로마서 #창조</v>
      </c>
      <c r="Q502" s="21" t="s">
        <v>77</v>
      </c>
      <c r="R502" s="22" t="n">
        <f aca="false">안내!$C$6+INT((D502-1)/안내!$C$7)</f>
        <v>46456</v>
      </c>
      <c r="S502" s="17" t="str">
        <f aca="false">IF(MOD(D502-1,안내!$C$7)=0,안내!$C$9,안내!$C$11)</f>
        <v>12:30</v>
      </c>
      <c r="T502" s="17" t="str">
        <f aca="false">CHOOSE(WEEKDAY(R502,2),"월","화","수","목","금","토","일")</f>
        <v>수</v>
      </c>
      <c r="U502" s="17" t="s">
        <v>78</v>
      </c>
      <c r="V502" s="17" t="s">
        <v>78</v>
      </c>
      <c r="W502" s="23"/>
      <c r="X502" s="23"/>
      <c r="Y502" s="21"/>
    </row>
    <row r="503" customFormat="false" ht="15" hidden="false" customHeight="false" outlineLevel="0" collapsed="false">
      <c r="A503" s="17" t="n">
        <v>502</v>
      </c>
      <c r="B503" s="18" t="s">
        <v>1625</v>
      </c>
      <c r="C503" s="17" t="s">
        <v>1225</v>
      </c>
      <c r="D503" s="17" t="n">
        <v>138</v>
      </c>
      <c r="E503" s="17" t="str">
        <f aca="false">C503&amp;"말씀 #"&amp;TEXT(D503,"000")</f>
        <v>신약말씀 #138</v>
      </c>
      <c r="F503" s="17" t="s">
        <v>1617</v>
      </c>
      <c r="G503" s="18" t="s">
        <v>364</v>
      </c>
      <c r="H503" s="19" t="s">
        <v>1626</v>
      </c>
      <c r="I503" s="17" t="s">
        <v>454</v>
      </c>
      <c r="J503" s="17" t="s">
        <v>104</v>
      </c>
      <c r="K503" s="20"/>
      <c r="L503" s="17" t="s">
        <v>76</v>
      </c>
      <c r="M503" s="17" t="n">
        <f aca="false">LEN(K503)</f>
        <v>0</v>
      </c>
      <c r="N503" s="17" t="str">
        <f aca="false">IF(M503=0,"-",ROUND(3+M503/안내!$C$12,0))</f>
        <v>-</v>
      </c>
      <c r="O503" s="21" t="str">
        <f aca="false">IF(K503="","(본문 입력 후 자동) | 롬 3:10",IF(LEN(K503)&gt;28,LEFT(K503,28)&amp;"…",K503)&amp;" | 롬 3:10")</f>
        <v>(본문 입력 후 자동) | 롬 3:10</v>
      </c>
      <c r="P503" s="21" t="str">
        <f aca="false">"#"&amp;SUBSTITUTE(안내!$C$5," ","")&amp;" #성경구절 #말씀 #로마서 #회개"</f>
        <v>#오늘의말씀 #성경구절 #말씀 #로마서 #회개</v>
      </c>
      <c r="Q503" s="21" t="s">
        <v>77</v>
      </c>
      <c r="R503" s="22" t="n">
        <f aca="false">안내!$C$6+INT((D503-1)/안내!$C$7)</f>
        <v>46456</v>
      </c>
      <c r="S503" s="17" t="str">
        <f aca="false">IF(MOD(D503-1,안내!$C$7)=0,안내!$C$9,안내!$C$11)</f>
        <v>21:30</v>
      </c>
      <c r="T503" s="17" t="str">
        <f aca="false">CHOOSE(WEEKDAY(R503,2),"월","화","수","목","금","토","일")</f>
        <v>수</v>
      </c>
      <c r="U503" s="17" t="s">
        <v>78</v>
      </c>
      <c r="V503" s="17" t="s">
        <v>78</v>
      </c>
      <c r="W503" s="23"/>
      <c r="X503" s="23"/>
      <c r="Y503" s="21"/>
    </row>
    <row r="504" customFormat="false" ht="15" hidden="false" customHeight="false" outlineLevel="0" collapsed="false">
      <c r="A504" s="17" t="n">
        <v>503</v>
      </c>
      <c r="B504" s="18" t="s">
        <v>1627</v>
      </c>
      <c r="C504" s="17" t="s">
        <v>1225</v>
      </c>
      <c r="D504" s="17" t="n">
        <v>139</v>
      </c>
      <c r="E504" s="17" t="str">
        <f aca="false">C504&amp;"말씀 #"&amp;TEXT(D504,"000")</f>
        <v>신약말씀 #139</v>
      </c>
      <c r="F504" s="17" t="s">
        <v>1617</v>
      </c>
      <c r="G504" s="18" t="s">
        <v>1067</v>
      </c>
      <c r="H504" s="19" t="s">
        <v>1628</v>
      </c>
      <c r="I504" s="17" t="s">
        <v>454</v>
      </c>
      <c r="J504" s="17" t="s">
        <v>104</v>
      </c>
      <c r="K504" s="20"/>
      <c r="L504" s="17" t="s">
        <v>76</v>
      </c>
      <c r="M504" s="17" t="n">
        <f aca="false">LEN(K504)</f>
        <v>0</v>
      </c>
      <c r="N504" s="17" t="str">
        <f aca="false">IF(M504=0,"-",ROUND(3+M504/안내!$C$12,0))</f>
        <v>-</v>
      </c>
      <c r="O504" s="21" t="str">
        <f aca="false">IF(K504="","(본문 입력 후 자동) | 롬 3:23",IF(LEN(K504)&gt;28,LEFT(K504,28)&amp;"…",K504)&amp;" | 롬 3:23")</f>
        <v>(본문 입력 후 자동) | 롬 3:23</v>
      </c>
      <c r="P504" s="21" t="str">
        <f aca="false">"#"&amp;SUBSTITUTE(안내!$C$5," ","")&amp;" #성경구절 #말씀 #로마서 #회개"</f>
        <v>#오늘의말씀 #성경구절 #말씀 #로마서 #회개</v>
      </c>
      <c r="Q504" s="21" t="s">
        <v>77</v>
      </c>
      <c r="R504" s="22" t="n">
        <f aca="false">안내!$C$6+INT((D504-1)/안내!$C$7)</f>
        <v>46457</v>
      </c>
      <c r="S504" s="17" t="str">
        <f aca="false">IF(MOD(D504-1,안내!$C$7)=0,안내!$C$9,안내!$C$11)</f>
        <v>12:30</v>
      </c>
      <c r="T504" s="17" t="str">
        <f aca="false">CHOOSE(WEEKDAY(R504,2),"월","화","수","목","금","토","일")</f>
        <v>목</v>
      </c>
      <c r="U504" s="17" t="s">
        <v>78</v>
      </c>
      <c r="V504" s="17" t="s">
        <v>78</v>
      </c>
      <c r="W504" s="23"/>
      <c r="X504" s="23"/>
      <c r="Y504" s="21"/>
    </row>
    <row r="505" customFormat="false" ht="15" hidden="false" customHeight="false" outlineLevel="0" collapsed="false">
      <c r="A505" s="17" t="n">
        <v>504</v>
      </c>
      <c r="B505" s="18" t="s">
        <v>1629</v>
      </c>
      <c r="C505" s="17" t="s">
        <v>1225</v>
      </c>
      <c r="D505" s="17" t="n">
        <v>140</v>
      </c>
      <c r="E505" s="17" t="str">
        <f aca="false">C505&amp;"말씀 #"&amp;TEXT(D505,"000")</f>
        <v>신약말씀 #140</v>
      </c>
      <c r="F505" s="17" t="s">
        <v>1617</v>
      </c>
      <c r="G505" s="18" t="s">
        <v>1630</v>
      </c>
      <c r="H505" s="19" t="s">
        <v>1631</v>
      </c>
      <c r="I505" s="17" t="s">
        <v>98</v>
      </c>
      <c r="J505" s="17" t="s">
        <v>99</v>
      </c>
      <c r="K505" s="20"/>
      <c r="L505" s="17" t="s">
        <v>76</v>
      </c>
      <c r="M505" s="17" t="n">
        <f aca="false">LEN(K505)</f>
        <v>0</v>
      </c>
      <c r="N505" s="17" t="str">
        <f aca="false">IF(M505=0,"-",ROUND(3+M505/안내!$C$12,0))</f>
        <v>-</v>
      </c>
      <c r="O505" s="21" t="str">
        <f aca="false">IF(K505="","(본문 입력 후 자동) | 롬 3:24",IF(LEN(K505)&gt;28,LEFT(K505,28)&amp;"…",K505)&amp;" | 롬 3:24")</f>
        <v>(본문 입력 후 자동) | 롬 3:24</v>
      </c>
      <c r="P505" s="21" t="str">
        <f aca="false">"#"&amp;SUBSTITUTE(안내!$C$5," ","")&amp;" #성경구절 #말씀 #로마서 #은혜"</f>
        <v>#오늘의말씀 #성경구절 #말씀 #로마서 #은혜</v>
      </c>
      <c r="Q505" s="21" t="s">
        <v>77</v>
      </c>
      <c r="R505" s="22" t="n">
        <f aca="false">안내!$C$6+INT((D505-1)/안내!$C$7)</f>
        <v>46457</v>
      </c>
      <c r="S505" s="17" t="str">
        <f aca="false">IF(MOD(D505-1,안내!$C$7)=0,안내!$C$9,안내!$C$11)</f>
        <v>21:30</v>
      </c>
      <c r="T505" s="17" t="str">
        <f aca="false">CHOOSE(WEEKDAY(R505,2),"월","화","수","목","금","토","일")</f>
        <v>목</v>
      </c>
      <c r="U505" s="17" t="s">
        <v>78</v>
      </c>
      <c r="V505" s="17" t="s">
        <v>78</v>
      </c>
      <c r="W505" s="23"/>
      <c r="X505" s="23"/>
      <c r="Y505" s="21"/>
    </row>
    <row r="506" customFormat="false" ht="15" hidden="false" customHeight="false" outlineLevel="0" collapsed="false">
      <c r="A506" s="17" t="n">
        <v>505</v>
      </c>
      <c r="B506" s="18" t="s">
        <v>1632</v>
      </c>
      <c r="C506" s="17" t="s">
        <v>1225</v>
      </c>
      <c r="D506" s="17" t="n">
        <v>141</v>
      </c>
      <c r="E506" s="17" t="str">
        <f aca="false">C506&amp;"말씀 #"&amp;TEXT(D506,"000")</f>
        <v>신약말씀 #141</v>
      </c>
      <c r="F506" s="17" t="s">
        <v>1617</v>
      </c>
      <c r="G506" s="18" t="s">
        <v>1633</v>
      </c>
      <c r="H506" s="19" t="s">
        <v>1634</v>
      </c>
      <c r="I506" s="17" t="s">
        <v>221</v>
      </c>
      <c r="J506" s="17" t="s">
        <v>99</v>
      </c>
      <c r="K506" s="20"/>
      <c r="L506" s="17" t="s">
        <v>76</v>
      </c>
      <c r="M506" s="17" t="n">
        <f aca="false">LEN(K506)</f>
        <v>0</v>
      </c>
      <c r="N506" s="17" t="str">
        <f aca="false">IF(M506=0,"-",ROUND(3+M506/안내!$C$12,0))</f>
        <v>-</v>
      </c>
      <c r="O506" s="21" t="str">
        <f aca="false">IF(K506="","(본문 입력 후 자동) | 롬 5:1",IF(LEN(K506)&gt;28,LEFT(K506,28)&amp;"…",K506)&amp;" | 롬 5:1")</f>
        <v>(본문 입력 후 자동) | 롬 5:1</v>
      </c>
      <c r="P506" s="21" t="str">
        <f aca="false">"#"&amp;SUBSTITUTE(안내!$C$5," ","")&amp;" #성경구절 #말씀 #로마서 #평안"</f>
        <v>#오늘의말씀 #성경구절 #말씀 #로마서 #평안</v>
      </c>
      <c r="Q506" s="21" t="s">
        <v>77</v>
      </c>
      <c r="R506" s="22" t="n">
        <f aca="false">안내!$C$6+INT((D506-1)/안내!$C$7)</f>
        <v>46458</v>
      </c>
      <c r="S506" s="17" t="str">
        <f aca="false">IF(MOD(D506-1,안내!$C$7)=0,안내!$C$9,안내!$C$11)</f>
        <v>12:30</v>
      </c>
      <c r="T506" s="17" t="str">
        <f aca="false">CHOOSE(WEEKDAY(R506,2),"월","화","수","목","금","토","일")</f>
        <v>금</v>
      </c>
      <c r="U506" s="17" t="s">
        <v>78</v>
      </c>
      <c r="V506" s="17" t="s">
        <v>78</v>
      </c>
      <c r="W506" s="23"/>
      <c r="X506" s="23"/>
      <c r="Y506" s="21"/>
    </row>
    <row r="507" customFormat="false" ht="15" hidden="false" customHeight="false" outlineLevel="0" collapsed="false">
      <c r="A507" s="17" t="n">
        <v>506</v>
      </c>
      <c r="B507" s="18" t="s">
        <v>1635</v>
      </c>
      <c r="C507" s="17" t="s">
        <v>1225</v>
      </c>
      <c r="D507" s="17" t="n">
        <v>142</v>
      </c>
      <c r="E507" s="17" t="str">
        <f aca="false">C507&amp;"말씀 #"&amp;TEXT(D507,"000")</f>
        <v>신약말씀 #142</v>
      </c>
      <c r="F507" s="17" t="s">
        <v>1617</v>
      </c>
      <c r="G507" s="18" t="s">
        <v>547</v>
      </c>
      <c r="H507" s="19" t="s">
        <v>1636</v>
      </c>
      <c r="I507" s="17" t="s">
        <v>504</v>
      </c>
      <c r="J507" s="17" t="s">
        <v>113</v>
      </c>
      <c r="K507" s="20"/>
      <c r="L507" s="17" t="s">
        <v>76</v>
      </c>
      <c r="M507" s="17" t="n">
        <f aca="false">LEN(K507)</f>
        <v>0</v>
      </c>
      <c r="N507" s="17" t="str">
        <f aca="false">IF(M507=0,"-",ROUND(3+M507/안내!$C$12,0))</f>
        <v>-</v>
      </c>
      <c r="O507" s="21" t="str">
        <f aca="false">IF(K507="","(본문 입력 후 자동) | 롬 5:3",IF(LEN(K507)&gt;28,LEFT(K507,28)&amp;"…",K507)&amp;" | 롬 5:3")</f>
        <v>(본문 입력 후 자동) | 롬 5:3</v>
      </c>
      <c r="P507" s="21" t="str">
        <f aca="false">"#"&amp;SUBSTITUTE(안내!$C$5," ","")&amp;" #성경구절 #말씀 #로마서 #연단"</f>
        <v>#오늘의말씀 #성경구절 #말씀 #로마서 #연단</v>
      </c>
      <c r="Q507" s="21" t="s">
        <v>77</v>
      </c>
      <c r="R507" s="22" t="n">
        <f aca="false">안내!$C$6+INT((D507-1)/안내!$C$7)</f>
        <v>46458</v>
      </c>
      <c r="S507" s="17" t="str">
        <f aca="false">IF(MOD(D507-1,안내!$C$7)=0,안내!$C$9,안내!$C$11)</f>
        <v>21:30</v>
      </c>
      <c r="T507" s="17" t="str">
        <f aca="false">CHOOSE(WEEKDAY(R507,2),"월","화","수","목","금","토","일")</f>
        <v>금</v>
      </c>
      <c r="U507" s="17" t="s">
        <v>78</v>
      </c>
      <c r="V507" s="17" t="s">
        <v>78</v>
      </c>
      <c r="W507" s="23"/>
      <c r="X507" s="23"/>
      <c r="Y507" s="21"/>
    </row>
    <row r="508" customFormat="false" ht="15" hidden="false" customHeight="false" outlineLevel="0" collapsed="false">
      <c r="A508" s="17" t="n">
        <v>507</v>
      </c>
      <c r="B508" s="18" t="s">
        <v>1637</v>
      </c>
      <c r="C508" s="17" t="s">
        <v>1225</v>
      </c>
      <c r="D508" s="17" t="n">
        <v>143</v>
      </c>
      <c r="E508" s="17" t="str">
        <f aca="false">C508&amp;"말씀 #"&amp;TEXT(D508,"000")</f>
        <v>신약말씀 #143</v>
      </c>
      <c r="F508" s="17" t="s">
        <v>1617</v>
      </c>
      <c r="G508" s="18" t="s">
        <v>1400</v>
      </c>
      <c r="H508" s="19" t="s">
        <v>1638</v>
      </c>
      <c r="I508" s="17" t="s">
        <v>511</v>
      </c>
      <c r="J508" s="17" t="s">
        <v>89</v>
      </c>
      <c r="K508" s="20"/>
      <c r="L508" s="17" t="s">
        <v>76</v>
      </c>
      <c r="M508" s="17" t="n">
        <f aca="false">LEN(K508)</f>
        <v>0</v>
      </c>
      <c r="N508" s="17" t="str">
        <f aca="false">IF(M508=0,"-",ROUND(3+M508/안내!$C$12,0))</f>
        <v>-</v>
      </c>
      <c r="O508" s="21" t="str">
        <f aca="false">IF(K508="","(본문 입력 후 자동) | 롬 5:5",IF(LEN(K508)&gt;28,LEFT(K508,28)&amp;"…",K508)&amp;" | 롬 5:5")</f>
        <v>(본문 입력 후 자동) | 롬 5:5</v>
      </c>
      <c r="P508" s="21" t="str">
        <f aca="false">"#"&amp;SUBSTITUTE(안내!$C$5," ","")&amp;" #성경구절 #말씀 #로마서 #소망"</f>
        <v>#오늘의말씀 #성경구절 #말씀 #로마서 #소망</v>
      </c>
      <c r="Q508" s="21" t="s">
        <v>77</v>
      </c>
      <c r="R508" s="22" t="n">
        <f aca="false">안내!$C$6+INT((D508-1)/안내!$C$7)</f>
        <v>46459</v>
      </c>
      <c r="S508" s="17" t="str">
        <f aca="false">IF(MOD(D508-1,안내!$C$7)=0,안내!$C$9,안내!$C$11)</f>
        <v>12:30</v>
      </c>
      <c r="T508" s="17" t="str">
        <f aca="false">CHOOSE(WEEKDAY(R508,2),"월","화","수","목","금","토","일")</f>
        <v>토</v>
      </c>
      <c r="U508" s="17" t="s">
        <v>78</v>
      </c>
      <c r="V508" s="17" t="s">
        <v>78</v>
      </c>
      <c r="W508" s="23"/>
      <c r="X508" s="23"/>
      <c r="Y508" s="21"/>
    </row>
    <row r="509" customFormat="false" ht="15" hidden="false" customHeight="false" outlineLevel="0" collapsed="false">
      <c r="A509" s="17" t="n">
        <v>508</v>
      </c>
      <c r="B509" s="18" t="s">
        <v>1639</v>
      </c>
      <c r="C509" s="17" t="s">
        <v>1225</v>
      </c>
      <c r="D509" s="17" t="n">
        <v>144</v>
      </c>
      <c r="E509" s="17" t="str">
        <f aca="false">C509&amp;"말씀 #"&amp;TEXT(D509,"000")</f>
        <v>신약말씀 #144</v>
      </c>
      <c r="F509" s="17" t="s">
        <v>1617</v>
      </c>
      <c r="G509" s="18" t="s">
        <v>1250</v>
      </c>
      <c r="H509" s="19" t="s">
        <v>1640</v>
      </c>
      <c r="I509" s="17" t="s">
        <v>239</v>
      </c>
      <c r="J509" s="17" t="s">
        <v>94</v>
      </c>
      <c r="K509" s="20"/>
      <c r="L509" s="17" t="s">
        <v>76</v>
      </c>
      <c r="M509" s="17" t="n">
        <f aca="false">LEN(K509)</f>
        <v>0</v>
      </c>
      <c r="N509" s="17" t="str">
        <f aca="false">IF(M509=0,"-",ROUND(3+M509/안내!$C$12,0))</f>
        <v>-</v>
      </c>
      <c r="O509" s="21" t="str">
        <f aca="false">IF(K509="","(본문 입력 후 자동) | 롬 5:8",IF(LEN(K509)&gt;28,LEFT(K509,28)&amp;"…",K509)&amp;" | 롬 5:8")</f>
        <v>(본문 입력 후 자동) | 롬 5:8</v>
      </c>
      <c r="P509" s="21" t="str">
        <f aca="false">"#"&amp;SUBSTITUTE(안내!$C$5," ","")&amp;" #성경구절 #말씀 #로마서 #사랑"</f>
        <v>#오늘의말씀 #성경구절 #말씀 #로마서 #사랑</v>
      </c>
      <c r="Q509" s="21" t="s">
        <v>77</v>
      </c>
      <c r="R509" s="22" t="n">
        <f aca="false">안내!$C$6+INT((D509-1)/안내!$C$7)</f>
        <v>46459</v>
      </c>
      <c r="S509" s="17" t="str">
        <f aca="false">IF(MOD(D509-1,안내!$C$7)=0,안내!$C$9,안내!$C$11)</f>
        <v>21:30</v>
      </c>
      <c r="T509" s="17" t="str">
        <f aca="false">CHOOSE(WEEKDAY(R509,2),"월","화","수","목","금","토","일")</f>
        <v>토</v>
      </c>
      <c r="U509" s="17" t="s">
        <v>78</v>
      </c>
      <c r="V509" s="17" t="s">
        <v>78</v>
      </c>
      <c r="W509" s="23"/>
      <c r="X509" s="23"/>
      <c r="Y509" s="21"/>
    </row>
    <row r="510" customFormat="false" ht="15" hidden="false" customHeight="false" outlineLevel="0" collapsed="false">
      <c r="A510" s="17" t="n">
        <v>509</v>
      </c>
      <c r="B510" s="18" t="s">
        <v>1641</v>
      </c>
      <c r="C510" s="17" t="s">
        <v>1225</v>
      </c>
      <c r="D510" s="17" t="n">
        <v>145</v>
      </c>
      <c r="E510" s="17" t="str">
        <f aca="false">C510&amp;"말씀 #"&amp;TEXT(D510,"000")</f>
        <v>신약말씀 #145</v>
      </c>
      <c r="F510" s="17" t="s">
        <v>1617</v>
      </c>
      <c r="G510" s="18" t="s">
        <v>276</v>
      </c>
      <c r="H510" s="19" t="s">
        <v>1642</v>
      </c>
      <c r="I510" s="17" t="s">
        <v>1079</v>
      </c>
      <c r="J510" s="17" t="s">
        <v>89</v>
      </c>
      <c r="K510" s="20"/>
      <c r="L510" s="17" t="s">
        <v>76</v>
      </c>
      <c r="M510" s="17" t="n">
        <f aca="false">LEN(K510)</f>
        <v>0</v>
      </c>
      <c r="N510" s="17" t="str">
        <f aca="false">IF(M510=0,"-",ROUND(3+M510/안내!$C$12,0))</f>
        <v>-</v>
      </c>
      <c r="O510" s="21" t="str">
        <f aca="false">IF(K510="","(본문 입력 후 자동) | 롬 6:4",IF(LEN(K510)&gt;28,LEFT(K510,28)&amp;"…",K510)&amp;" | 롬 6:4")</f>
        <v>(본문 입력 후 자동) | 롬 6:4</v>
      </c>
      <c r="P510" s="21" t="str">
        <f aca="false">"#"&amp;SUBSTITUTE(안내!$C$5," ","")&amp;" #성경구절 #말씀 #로마서 #새마음"</f>
        <v>#오늘의말씀 #성경구절 #말씀 #로마서 #새마음</v>
      </c>
      <c r="Q510" s="21" t="s">
        <v>77</v>
      </c>
      <c r="R510" s="22" t="n">
        <f aca="false">안내!$C$6+INT((D510-1)/안내!$C$7)</f>
        <v>46460</v>
      </c>
      <c r="S510" s="17" t="str">
        <f aca="false">IF(MOD(D510-1,안내!$C$7)=0,안내!$C$9,안내!$C$11)</f>
        <v>12:30</v>
      </c>
      <c r="T510" s="17" t="str">
        <f aca="false">CHOOSE(WEEKDAY(R510,2),"월","화","수","목","금","토","일")</f>
        <v>일</v>
      </c>
      <c r="U510" s="17" t="s">
        <v>78</v>
      </c>
      <c r="V510" s="17" t="s">
        <v>78</v>
      </c>
      <c r="W510" s="23"/>
      <c r="X510" s="23"/>
      <c r="Y510" s="21"/>
    </row>
    <row r="511" customFormat="false" ht="15" hidden="false" customHeight="false" outlineLevel="0" collapsed="false">
      <c r="A511" s="17" t="n">
        <v>510</v>
      </c>
      <c r="B511" s="18" t="s">
        <v>1643</v>
      </c>
      <c r="C511" s="17" t="s">
        <v>1225</v>
      </c>
      <c r="D511" s="17" t="n">
        <v>146</v>
      </c>
      <c r="E511" s="17" t="str">
        <f aca="false">C511&amp;"말씀 #"&amp;TEXT(D511,"000")</f>
        <v>신약말씀 #146</v>
      </c>
      <c r="F511" s="17" t="s">
        <v>1617</v>
      </c>
      <c r="G511" s="18" t="s">
        <v>1644</v>
      </c>
      <c r="H511" s="19" t="s">
        <v>1645</v>
      </c>
      <c r="I511" s="17" t="s">
        <v>103</v>
      </c>
      <c r="J511" s="17" t="s">
        <v>104</v>
      </c>
      <c r="K511" s="20"/>
      <c r="L511" s="17" t="s">
        <v>76</v>
      </c>
      <c r="M511" s="17" t="n">
        <f aca="false">LEN(K511)</f>
        <v>0</v>
      </c>
      <c r="N511" s="17" t="str">
        <f aca="false">IF(M511=0,"-",ROUND(3+M511/안내!$C$12,0))</f>
        <v>-</v>
      </c>
      <c r="O511" s="21" t="str">
        <f aca="false">IF(K511="","(본문 입력 후 자동) | 롬 6:23",IF(LEN(K511)&gt;28,LEFT(K511,28)&amp;"…",K511)&amp;" | 롬 6:23")</f>
        <v>(본문 입력 후 자동) | 롬 6:23</v>
      </c>
      <c r="P511" s="21" t="str">
        <f aca="false">"#"&amp;SUBSTITUTE(안내!$C$5," ","")&amp;" #성경구절 #말씀 #로마서 #구원"</f>
        <v>#오늘의말씀 #성경구절 #말씀 #로마서 #구원</v>
      </c>
      <c r="Q511" s="21" t="s">
        <v>77</v>
      </c>
      <c r="R511" s="22" t="n">
        <f aca="false">안내!$C$6+INT((D511-1)/안내!$C$7)</f>
        <v>46460</v>
      </c>
      <c r="S511" s="17" t="str">
        <f aca="false">IF(MOD(D511-1,안내!$C$7)=0,안내!$C$9,안내!$C$11)</f>
        <v>21:30</v>
      </c>
      <c r="T511" s="17" t="str">
        <f aca="false">CHOOSE(WEEKDAY(R511,2),"월","화","수","목","금","토","일")</f>
        <v>일</v>
      </c>
      <c r="U511" s="17" t="s">
        <v>78</v>
      </c>
      <c r="V511" s="17" t="s">
        <v>78</v>
      </c>
      <c r="W511" s="23"/>
      <c r="X511" s="23"/>
      <c r="Y511" s="21"/>
    </row>
    <row r="512" customFormat="false" ht="15" hidden="false" customHeight="false" outlineLevel="0" collapsed="false">
      <c r="A512" s="17" t="n">
        <v>511</v>
      </c>
      <c r="B512" s="18" t="s">
        <v>1646</v>
      </c>
      <c r="C512" s="17" t="s">
        <v>1225</v>
      </c>
      <c r="D512" s="17" t="n">
        <v>147</v>
      </c>
      <c r="E512" s="17" t="str">
        <f aca="false">C512&amp;"말씀 #"&amp;TEXT(D512,"000")</f>
        <v>신약말씀 #147</v>
      </c>
      <c r="F512" s="17" t="s">
        <v>1617</v>
      </c>
      <c r="G512" s="18" t="s">
        <v>550</v>
      </c>
      <c r="H512" s="19" t="s">
        <v>1647</v>
      </c>
      <c r="I512" s="17" t="s">
        <v>243</v>
      </c>
      <c r="J512" s="17" t="s">
        <v>104</v>
      </c>
      <c r="K512" s="20"/>
      <c r="L512" s="17" t="s">
        <v>76</v>
      </c>
      <c r="M512" s="17" t="n">
        <f aca="false">LEN(K512)</f>
        <v>0</v>
      </c>
      <c r="N512" s="17" t="str">
        <f aca="false">IF(M512=0,"-",ROUND(3+M512/안내!$C$12,0))</f>
        <v>-</v>
      </c>
      <c r="O512" s="21" t="str">
        <f aca="false">IF(K512="","(본문 입력 후 자동) | 롬 8:1",IF(LEN(K512)&gt;28,LEFT(K512,28)&amp;"…",K512)&amp;" | 롬 8:1")</f>
        <v>(본문 입력 후 자동) | 롬 8:1</v>
      </c>
      <c r="P512" s="21" t="str">
        <f aca="false">"#"&amp;SUBSTITUTE(안내!$C$5," ","")&amp;" #성경구절 #말씀 #로마서 #자유"</f>
        <v>#오늘의말씀 #성경구절 #말씀 #로마서 #자유</v>
      </c>
      <c r="Q512" s="21" t="s">
        <v>77</v>
      </c>
      <c r="R512" s="22" t="n">
        <f aca="false">안내!$C$6+INT((D512-1)/안내!$C$7)</f>
        <v>46461</v>
      </c>
      <c r="S512" s="17" t="str">
        <f aca="false">IF(MOD(D512-1,안내!$C$7)=0,안내!$C$9,안내!$C$11)</f>
        <v>12:30</v>
      </c>
      <c r="T512" s="17" t="str">
        <f aca="false">CHOOSE(WEEKDAY(R512,2),"월","화","수","목","금","토","일")</f>
        <v>월</v>
      </c>
      <c r="U512" s="17" t="s">
        <v>78</v>
      </c>
      <c r="V512" s="17" t="s">
        <v>78</v>
      </c>
      <c r="W512" s="23"/>
      <c r="X512" s="23"/>
      <c r="Y512" s="21"/>
    </row>
    <row r="513" customFormat="false" ht="15" hidden="false" customHeight="false" outlineLevel="0" collapsed="false">
      <c r="A513" s="17" t="n">
        <v>512</v>
      </c>
      <c r="B513" s="18" t="s">
        <v>1648</v>
      </c>
      <c r="C513" s="17" t="s">
        <v>1225</v>
      </c>
      <c r="D513" s="17" t="n">
        <v>148</v>
      </c>
      <c r="E513" s="17" t="str">
        <f aca="false">C513&amp;"말씀 #"&amp;TEXT(D513,"000")</f>
        <v>신약말씀 #148</v>
      </c>
      <c r="F513" s="17" t="s">
        <v>1617</v>
      </c>
      <c r="G513" s="18" t="s">
        <v>1649</v>
      </c>
      <c r="H513" s="19" t="s">
        <v>1650</v>
      </c>
      <c r="I513" s="17" t="s">
        <v>1139</v>
      </c>
      <c r="J513" s="17" t="s">
        <v>75</v>
      </c>
      <c r="K513" s="20"/>
      <c r="L513" s="17" t="s">
        <v>76</v>
      </c>
      <c r="M513" s="17" t="n">
        <f aca="false">LEN(K513)</f>
        <v>0</v>
      </c>
      <c r="N513" s="17" t="str">
        <f aca="false">IF(M513=0,"-",ROUND(3+M513/안내!$C$12,0))</f>
        <v>-</v>
      </c>
      <c r="O513" s="21" t="str">
        <f aca="false">IF(K513="","(본문 입력 후 자동) | 롬 8:14",IF(LEN(K513)&gt;28,LEFT(K513,28)&amp;"…",K513)&amp;" | 롬 8:14")</f>
        <v>(본문 입력 후 자동) | 롬 8:14</v>
      </c>
      <c r="P513" s="21" t="str">
        <f aca="false">"#"&amp;SUBSTITUTE(안내!$C$5," ","")&amp;" #성경구절 #말씀 #로마서 #성령"</f>
        <v>#오늘의말씀 #성경구절 #말씀 #로마서 #성령</v>
      </c>
      <c r="Q513" s="21" t="s">
        <v>77</v>
      </c>
      <c r="R513" s="22" t="n">
        <f aca="false">안내!$C$6+INT((D513-1)/안내!$C$7)</f>
        <v>46461</v>
      </c>
      <c r="S513" s="17" t="str">
        <f aca="false">IF(MOD(D513-1,안내!$C$7)=0,안내!$C$9,안내!$C$11)</f>
        <v>21:30</v>
      </c>
      <c r="T513" s="17" t="str">
        <f aca="false">CHOOSE(WEEKDAY(R513,2),"월","화","수","목","금","토","일")</f>
        <v>월</v>
      </c>
      <c r="U513" s="17" t="s">
        <v>78</v>
      </c>
      <c r="V513" s="17" t="s">
        <v>78</v>
      </c>
      <c r="W513" s="23"/>
      <c r="X513" s="23"/>
      <c r="Y513" s="21"/>
    </row>
    <row r="514" customFormat="false" ht="15" hidden="false" customHeight="false" outlineLevel="0" collapsed="false">
      <c r="A514" s="17" t="n">
        <v>513</v>
      </c>
      <c r="B514" s="18" t="s">
        <v>1651</v>
      </c>
      <c r="C514" s="17" t="s">
        <v>1225</v>
      </c>
      <c r="D514" s="17" t="n">
        <v>149</v>
      </c>
      <c r="E514" s="17" t="str">
        <f aca="false">C514&amp;"말씀 #"&amp;TEXT(D514,"000")</f>
        <v>신약말씀 #149</v>
      </c>
      <c r="F514" s="17" t="s">
        <v>1617</v>
      </c>
      <c r="G514" s="18" t="s">
        <v>1652</v>
      </c>
      <c r="H514" s="19" t="s">
        <v>1653</v>
      </c>
      <c r="I514" s="17" t="s">
        <v>511</v>
      </c>
      <c r="J514" s="17" t="s">
        <v>89</v>
      </c>
      <c r="K514" s="20"/>
      <c r="L514" s="17" t="s">
        <v>76</v>
      </c>
      <c r="M514" s="17" t="n">
        <f aca="false">LEN(K514)</f>
        <v>0</v>
      </c>
      <c r="N514" s="17" t="str">
        <f aca="false">IF(M514=0,"-",ROUND(3+M514/안내!$C$12,0))</f>
        <v>-</v>
      </c>
      <c r="O514" s="21" t="str">
        <f aca="false">IF(K514="","(본문 입력 후 자동) | 롬 8:18",IF(LEN(K514)&gt;28,LEFT(K514,28)&amp;"…",K514)&amp;" | 롬 8:18")</f>
        <v>(본문 입력 후 자동) | 롬 8:18</v>
      </c>
      <c r="P514" s="21" t="str">
        <f aca="false">"#"&amp;SUBSTITUTE(안내!$C$5," ","")&amp;" #성경구절 #말씀 #로마서 #소망"</f>
        <v>#오늘의말씀 #성경구절 #말씀 #로마서 #소망</v>
      </c>
      <c r="Q514" s="21" t="s">
        <v>77</v>
      </c>
      <c r="R514" s="22" t="n">
        <f aca="false">안내!$C$6+INT((D514-1)/안내!$C$7)</f>
        <v>46462</v>
      </c>
      <c r="S514" s="17" t="str">
        <f aca="false">IF(MOD(D514-1,안내!$C$7)=0,안내!$C$9,안내!$C$11)</f>
        <v>12:30</v>
      </c>
      <c r="T514" s="17" t="str">
        <f aca="false">CHOOSE(WEEKDAY(R514,2),"월","화","수","목","금","토","일")</f>
        <v>화</v>
      </c>
      <c r="U514" s="17" t="s">
        <v>78</v>
      </c>
      <c r="V514" s="17" t="s">
        <v>78</v>
      </c>
      <c r="W514" s="23"/>
      <c r="X514" s="23"/>
      <c r="Y514" s="21"/>
    </row>
    <row r="515" customFormat="false" ht="15" hidden="false" customHeight="false" outlineLevel="0" collapsed="false">
      <c r="A515" s="17" t="n">
        <v>514</v>
      </c>
      <c r="B515" s="18" t="s">
        <v>1654</v>
      </c>
      <c r="C515" s="17" t="s">
        <v>1225</v>
      </c>
      <c r="D515" s="17" t="n">
        <v>150</v>
      </c>
      <c r="E515" s="17" t="str">
        <f aca="false">C515&amp;"말씀 #"&amp;TEXT(D515,"000")</f>
        <v>신약말씀 #150</v>
      </c>
      <c r="F515" s="17" t="s">
        <v>1617</v>
      </c>
      <c r="G515" s="18" t="s">
        <v>1655</v>
      </c>
      <c r="H515" s="19" t="s">
        <v>1656</v>
      </c>
      <c r="I515" s="17" t="s">
        <v>1139</v>
      </c>
      <c r="J515" s="17" t="s">
        <v>75</v>
      </c>
      <c r="K515" s="20"/>
      <c r="L515" s="17" t="s">
        <v>76</v>
      </c>
      <c r="M515" s="17" t="n">
        <f aca="false">LEN(K515)</f>
        <v>0</v>
      </c>
      <c r="N515" s="17" t="str">
        <f aca="false">IF(M515=0,"-",ROUND(3+M515/안내!$C$12,0))</f>
        <v>-</v>
      </c>
      <c r="O515" s="21" t="str">
        <f aca="false">IF(K515="","(본문 입력 후 자동) | 롬 8:26",IF(LEN(K515)&gt;28,LEFT(K515,28)&amp;"…",K515)&amp;" | 롬 8:26")</f>
        <v>(본문 입력 후 자동) | 롬 8:26</v>
      </c>
      <c r="P515" s="21" t="str">
        <f aca="false">"#"&amp;SUBSTITUTE(안내!$C$5," ","")&amp;" #성경구절 #말씀 #로마서 #성령"</f>
        <v>#오늘의말씀 #성경구절 #말씀 #로마서 #성령</v>
      </c>
      <c r="Q515" s="21" t="s">
        <v>77</v>
      </c>
      <c r="R515" s="22" t="n">
        <f aca="false">안내!$C$6+INT((D515-1)/안내!$C$7)</f>
        <v>46462</v>
      </c>
      <c r="S515" s="17" t="str">
        <f aca="false">IF(MOD(D515-1,안내!$C$7)=0,안내!$C$9,안내!$C$11)</f>
        <v>21:30</v>
      </c>
      <c r="T515" s="17" t="str">
        <f aca="false">CHOOSE(WEEKDAY(R515,2),"월","화","수","목","금","토","일")</f>
        <v>화</v>
      </c>
      <c r="U515" s="17" t="s">
        <v>78</v>
      </c>
      <c r="V515" s="17" t="s">
        <v>78</v>
      </c>
      <c r="W515" s="23"/>
      <c r="X515" s="23"/>
      <c r="Y515" s="21"/>
    </row>
    <row r="516" customFormat="false" ht="15" hidden="false" customHeight="false" outlineLevel="0" collapsed="false">
      <c r="A516" s="17" t="n">
        <v>515</v>
      </c>
      <c r="B516" s="18" t="s">
        <v>1657</v>
      </c>
      <c r="C516" s="17" t="s">
        <v>1225</v>
      </c>
      <c r="D516" s="17" t="n">
        <v>151</v>
      </c>
      <c r="E516" s="17" t="str">
        <f aca="false">C516&amp;"말씀 #"&amp;TEXT(D516,"000")</f>
        <v>신약말씀 #151</v>
      </c>
      <c r="F516" s="17" t="s">
        <v>1617</v>
      </c>
      <c r="G516" s="18" t="s">
        <v>1658</v>
      </c>
      <c r="H516" s="19" t="s">
        <v>1659</v>
      </c>
      <c r="I516" s="17" t="s">
        <v>167</v>
      </c>
      <c r="J516" s="17" t="s">
        <v>75</v>
      </c>
      <c r="K516" s="20"/>
      <c r="L516" s="17" t="s">
        <v>76</v>
      </c>
      <c r="M516" s="17" t="n">
        <f aca="false">LEN(K516)</f>
        <v>0</v>
      </c>
      <c r="N516" s="17" t="str">
        <f aca="false">IF(M516=0,"-",ROUND(3+M516/안내!$C$12,0))</f>
        <v>-</v>
      </c>
      <c r="O516" s="21" t="str">
        <f aca="false">IF(K516="","(본문 입력 후 자동) | 롬 8:28",IF(LEN(K516)&gt;28,LEFT(K516,28)&amp;"…",K516)&amp;" | 롬 8:28")</f>
        <v>(본문 입력 후 자동) | 롬 8:28</v>
      </c>
      <c r="P516" s="21" t="str">
        <f aca="false">"#"&amp;SUBSTITUTE(안내!$C$5," ","")&amp;" #성경구절 #말씀 #로마서 #섭리"</f>
        <v>#오늘의말씀 #성경구절 #말씀 #로마서 #섭리</v>
      </c>
      <c r="Q516" s="21" t="s">
        <v>77</v>
      </c>
      <c r="R516" s="22" t="n">
        <f aca="false">안내!$C$6+INT((D516-1)/안내!$C$7)</f>
        <v>46463</v>
      </c>
      <c r="S516" s="17" t="str">
        <f aca="false">IF(MOD(D516-1,안내!$C$7)=0,안내!$C$9,안내!$C$11)</f>
        <v>12:30</v>
      </c>
      <c r="T516" s="17" t="str">
        <f aca="false">CHOOSE(WEEKDAY(R516,2),"월","화","수","목","금","토","일")</f>
        <v>수</v>
      </c>
      <c r="U516" s="17" t="s">
        <v>78</v>
      </c>
      <c r="V516" s="17" t="s">
        <v>78</v>
      </c>
      <c r="W516" s="23"/>
      <c r="X516" s="23"/>
      <c r="Y516" s="21"/>
    </row>
    <row r="517" customFormat="false" ht="15" hidden="false" customHeight="false" outlineLevel="0" collapsed="false">
      <c r="A517" s="17" t="n">
        <v>516</v>
      </c>
      <c r="B517" s="18" t="s">
        <v>1660</v>
      </c>
      <c r="C517" s="17" t="s">
        <v>1225</v>
      </c>
      <c r="D517" s="17" t="n">
        <v>152</v>
      </c>
      <c r="E517" s="17" t="str">
        <f aca="false">C517&amp;"말씀 #"&amp;TEXT(D517,"000")</f>
        <v>신약말씀 #152</v>
      </c>
      <c r="F517" s="17" t="s">
        <v>1617</v>
      </c>
      <c r="G517" s="18" t="s">
        <v>1661</v>
      </c>
      <c r="H517" s="19" t="s">
        <v>1662</v>
      </c>
      <c r="I517" s="17" t="s">
        <v>305</v>
      </c>
      <c r="J517" s="17" t="s">
        <v>113</v>
      </c>
      <c r="K517" s="20"/>
      <c r="L517" s="17" t="s">
        <v>76</v>
      </c>
      <c r="M517" s="17" t="n">
        <f aca="false">LEN(K517)</f>
        <v>0</v>
      </c>
      <c r="N517" s="17" t="str">
        <f aca="false">IF(M517=0,"-",ROUND(3+M517/안내!$C$12,0))</f>
        <v>-</v>
      </c>
      <c r="O517" s="21" t="str">
        <f aca="false">IF(K517="","(본문 입력 후 자동) | 롬 8:31",IF(LEN(K517)&gt;28,LEFT(K517,28)&amp;"…",K517)&amp;" | 롬 8:31")</f>
        <v>(본문 입력 후 자동) | 롬 8:31</v>
      </c>
      <c r="P517" s="21" t="str">
        <f aca="false">"#"&amp;SUBSTITUTE(안내!$C$5," ","")&amp;" #성경구절 #말씀 #로마서 #담대함"</f>
        <v>#오늘의말씀 #성경구절 #말씀 #로마서 #담대함</v>
      </c>
      <c r="Q517" s="21" t="s">
        <v>77</v>
      </c>
      <c r="R517" s="22" t="n">
        <f aca="false">안내!$C$6+INT((D517-1)/안내!$C$7)</f>
        <v>46463</v>
      </c>
      <c r="S517" s="17" t="str">
        <f aca="false">IF(MOD(D517-1,안내!$C$7)=0,안내!$C$9,안내!$C$11)</f>
        <v>21:30</v>
      </c>
      <c r="T517" s="17" t="str">
        <f aca="false">CHOOSE(WEEKDAY(R517,2),"월","화","수","목","금","토","일")</f>
        <v>수</v>
      </c>
      <c r="U517" s="17" t="s">
        <v>78</v>
      </c>
      <c r="V517" s="17" t="s">
        <v>78</v>
      </c>
      <c r="W517" s="23"/>
      <c r="X517" s="23"/>
      <c r="Y517" s="21"/>
    </row>
    <row r="518" customFormat="false" ht="15" hidden="false" customHeight="false" outlineLevel="0" collapsed="false">
      <c r="A518" s="17" t="n">
        <v>517</v>
      </c>
      <c r="B518" s="18" t="s">
        <v>1663</v>
      </c>
      <c r="C518" s="17" t="s">
        <v>1225</v>
      </c>
      <c r="D518" s="17" t="n">
        <v>153</v>
      </c>
      <c r="E518" s="17" t="str">
        <f aca="false">C518&amp;"말씀 #"&amp;TEXT(D518,"000")</f>
        <v>신약말씀 #153</v>
      </c>
      <c r="F518" s="17" t="s">
        <v>1617</v>
      </c>
      <c r="G518" s="18" t="s">
        <v>1664</v>
      </c>
      <c r="H518" s="19" t="s">
        <v>1665</v>
      </c>
      <c r="I518" s="17" t="s">
        <v>207</v>
      </c>
      <c r="J518" s="17" t="s">
        <v>113</v>
      </c>
      <c r="K518" s="20"/>
      <c r="L518" s="17" t="s">
        <v>76</v>
      </c>
      <c r="M518" s="17" t="n">
        <f aca="false">LEN(K518)</f>
        <v>0</v>
      </c>
      <c r="N518" s="17" t="str">
        <f aca="false">IF(M518=0,"-",ROUND(3+M518/안내!$C$12,0))</f>
        <v>-</v>
      </c>
      <c r="O518" s="21" t="str">
        <f aca="false">IF(K518="","(본문 입력 후 자동) | 롬 8:37",IF(LEN(K518)&gt;28,LEFT(K518,28)&amp;"…",K518)&amp;" | 롬 8:37")</f>
        <v>(본문 입력 후 자동) | 롬 8:37</v>
      </c>
      <c r="P518" s="21" t="str">
        <f aca="false">"#"&amp;SUBSTITUTE(안내!$C$5," ","")&amp;" #성경구절 #말씀 #로마서 #승리"</f>
        <v>#오늘의말씀 #성경구절 #말씀 #로마서 #승리</v>
      </c>
      <c r="Q518" s="21" t="s">
        <v>77</v>
      </c>
      <c r="R518" s="22" t="n">
        <f aca="false">안내!$C$6+INT((D518-1)/안내!$C$7)</f>
        <v>46464</v>
      </c>
      <c r="S518" s="17" t="str">
        <f aca="false">IF(MOD(D518-1,안내!$C$7)=0,안내!$C$9,안내!$C$11)</f>
        <v>12:30</v>
      </c>
      <c r="T518" s="17" t="str">
        <f aca="false">CHOOSE(WEEKDAY(R518,2),"월","화","수","목","금","토","일")</f>
        <v>목</v>
      </c>
      <c r="U518" s="17" t="s">
        <v>78</v>
      </c>
      <c r="V518" s="17" t="s">
        <v>78</v>
      </c>
      <c r="W518" s="23"/>
      <c r="X518" s="23"/>
      <c r="Y518" s="21"/>
    </row>
    <row r="519" customFormat="false" ht="15" hidden="false" customHeight="false" outlineLevel="0" collapsed="false">
      <c r="A519" s="17" t="n">
        <v>518</v>
      </c>
      <c r="B519" s="18" t="s">
        <v>1666</v>
      </c>
      <c r="C519" s="17" t="s">
        <v>1225</v>
      </c>
      <c r="D519" s="17" t="n">
        <v>154</v>
      </c>
      <c r="E519" s="17" t="str">
        <f aca="false">C519&amp;"말씀 #"&amp;TEXT(D519,"000")</f>
        <v>신약말씀 #154</v>
      </c>
      <c r="F519" s="17" t="s">
        <v>1617</v>
      </c>
      <c r="G519" s="18" t="s">
        <v>1667</v>
      </c>
      <c r="H519" s="19" t="s">
        <v>1668</v>
      </c>
      <c r="I519" s="17" t="s">
        <v>239</v>
      </c>
      <c r="J519" s="17" t="s">
        <v>94</v>
      </c>
      <c r="K519" s="20"/>
      <c r="L519" s="17" t="s">
        <v>76</v>
      </c>
      <c r="M519" s="17" t="n">
        <f aca="false">LEN(K519)</f>
        <v>0</v>
      </c>
      <c r="N519" s="17" t="str">
        <f aca="false">IF(M519=0,"-",ROUND(3+M519/안내!$C$12,0))</f>
        <v>-</v>
      </c>
      <c r="O519" s="21" t="str">
        <f aca="false">IF(K519="","(본문 입력 후 자동) | 롬 8:39",IF(LEN(K519)&gt;28,LEFT(K519,28)&amp;"…",K519)&amp;" | 롬 8:39")</f>
        <v>(본문 입력 후 자동) | 롬 8:39</v>
      </c>
      <c r="P519" s="21" t="str">
        <f aca="false">"#"&amp;SUBSTITUTE(안내!$C$5," ","")&amp;" #성경구절 #말씀 #로마서 #사랑"</f>
        <v>#오늘의말씀 #성경구절 #말씀 #로마서 #사랑</v>
      </c>
      <c r="Q519" s="21" t="s">
        <v>77</v>
      </c>
      <c r="R519" s="22" t="n">
        <f aca="false">안내!$C$6+INT((D519-1)/안내!$C$7)</f>
        <v>46464</v>
      </c>
      <c r="S519" s="17" t="str">
        <f aca="false">IF(MOD(D519-1,안내!$C$7)=0,안내!$C$9,안내!$C$11)</f>
        <v>21:30</v>
      </c>
      <c r="T519" s="17" t="str">
        <f aca="false">CHOOSE(WEEKDAY(R519,2),"월","화","수","목","금","토","일")</f>
        <v>목</v>
      </c>
      <c r="U519" s="17" t="s">
        <v>78</v>
      </c>
      <c r="V519" s="17" t="s">
        <v>78</v>
      </c>
      <c r="W519" s="23"/>
      <c r="X519" s="23"/>
      <c r="Y519" s="21"/>
    </row>
    <row r="520" customFormat="false" ht="15" hidden="false" customHeight="false" outlineLevel="0" collapsed="false">
      <c r="A520" s="17" t="n">
        <v>519</v>
      </c>
      <c r="B520" s="18" t="s">
        <v>1669</v>
      </c>
      <c r="C520" s="17" t="s">
        <v>1225</v>
      </c>
      <c r="D520" s="17" t="n">
        <v>155</v>
      </c>
      <c r="E520" s="17" t="str">
        <f aca="false">C520&amp;"말씀 #"&amp;TEXT(D520,"000")</f>
        <v>신약말씀 #155</v>
      </c>
      <c r="F520" s="17" t="s">
        <v>1617</v>
      </c>
      <c r="G520" s="18" t="s">
        <v>1670</v>
      </c>
      <c r="H520" s="19" t="s">
        <v>1671</v>
      </c>
      <c r="I520" s="17" t="s">
        <v>103</v>
      </c>
      <c r="J520" s="17" t="s">
        <v>104</v>
      </c>
      <c r="K520" s="20"/>
      <c r="L520" s="17" t="s">
        <v>76</v>
      </c>
      <c r="M520" s="17" t="n">
        <f aca="false">LEN(K520)</f>
        <v>0</v>
      </c>
      <c r="N520" s="17" t="str">
        <f aca="false">IF(M520=0,"-",ROUND(3+M520/안내!$C$12,0))</f>
        <v>-</v>
      </c>
      <c r="O520" s="21" t="str">
        <f aca="false">IF(K520="","(본문 입력 후 자동) | 롬 10:9",IF(LEN(K520)&gt;28,LEFT(K520,28)&amp;"…",K520)&amp;" | 롬 10:9")</f>
        <v>(본문 입력 후 자동) | 롬 10:9</v>
      </c>
      <c r="P520" s="21" t="str">
        <f aca="false">"#"&amp;SUBSTITUTE(안내!$C$5," ","")&amp;" #성경구절 #말씀 #로마서 #구원"</f>
        <v>#오늘의말씀 #성경구절 #말씀 #로마서 #구원</v>
      </c>
      <c r="Q520" s="21" t="s">
        <v>77</v>
      </c>
      <c r="R520" s="22" t="n">
        <f aca="false">안내!$C$6+INT((D520-1)/안내!$C$7)</f>
        <v>46465</v>
      </c>
      <c r="S520" s="17" t="str">
        <f aca="false">IF(MOD(D520-1,안내!$C$7)=0,안내!$C$9,안내!$C$11)</f>
        <v>12:30</v>
      </c>
      <c r="T520" s="17" t="str">
        <f aca="false">CHOOSE(WEEKDAY(R520,2),"월","화","수","목","금","토","일")</f>
        <v>금</v>
      </c>
      <c r="U520" s="17" t="s">
        <v>78</v>
      </c>
      <c r="V520" s="17" t="s">
        <v>78</v>
      </c>
      <c r="W520" s="23"/>
      <c r="X520" s="23"/>
      <c r="Y520" s="21"/>
    </row>
    <row r="521" customFormat="false" ht="25.35" hidden="false" customHeight="false" outlineLevel="0" collapsed="false">
      <c r="A521" s="17" t="n">
        <v>520</v>
      </c>
      <c r="B521" s="18" t="s">
        <v>1672</v>
      </c>
      <c r="C521" s="17" t="s">
        <v>1225</v>
      </c>
      <c r="D521" s="17" t="n">
        <v>156</v>
      </c>
      <c r="E521" s="17" t="str">
        <f aca="false">C521&amp;"말씀 #"&amp;TEXT(D521,"000")</f>
        <v>신약말씀 #156</v>
      </c>
      <c r="F521" s="17" t="s">
        <v>1617</v>
      </c>
      <c r="G521" s="18" t="s">
        <v>1673</v>
      </c>
      <c r="H521" s="19" t="s">
        <v>1674</v>
      </c>
      <c r="I521" s="17" t="s">
        <v>133</v>
      </c>
      <c r="J521" s="17" t="s">
        <v>113</v>
      </c>
      <c r="K521" s="20"/>
      <c r="L521" s="17" t="s">
        <v>76</v>
      </c>
      <c r="M521" s="17" t="n">
        <f aca="false">LEN(K521)</f>
        <v>0</v>
      </c>
      <c r="N521" s="17" t="str">
        <f aca="false">IF(M521=0,"-",ROUND(3+M521/안내!$C$12,0))</f>
        <v>-</v>
      </c>
      <c r="O521" s="21" t="str">
        <f aca="false">IF(K521="","(본문 입력 후 자동) | 롬 10:17",IF(LEN(K521)&gt;28,LEFT(K521,28)&amp;"…",K521)&amp;" | 롬 10:17")</f>
        <v>(본문 입력 후 자동) | 롬 10:17</v>
      </c>
      <c r="P521" s="21" t="str">
        <f aca="false">"#"&amp;SUBSTITUTE(안내!$C$5," ","")&amp;" #성경구절 #말씀 #로마서 #믿음"</f>
        <v>#오늘의말씀 #성경구절 #말씀 #로마서 #믿음</v>
      </c>
      <c r="Q521" s="21" t="s">
        <v>77</v>
      </c>
      <c r="R521" s="22" t="n">
        <f aca="false">안내!$C$6+INT((D521-1)/안내!$C$7)</f>
        <v>46465</v>
      </c>
      <c r="S521" s="17" t="str">
        <f aca="false">IF(MOD(D521-1,안내!$C$7)=0,안내!$C$9,안내!$C$11)</f>
        <v>21:30</v>
      </c>
      <c r="T521" s="17" t="str">
        <f aca="false">CHOOSE(WEEKDAY(R521,2),"월","화","수","목","금","토","일")</f>
        <v>금</v>
      </c>
      <c r="U521" s="17" t="s">
        <v>78</v>
      </c>
      <c r="V521" s="17" t="s">
        <v>78</v>
      </c>
      <c r="W521" s="23"/>
      <c r="X521" s="23"/>
      <c r="Y521" s="21"/>
    </row>
    <row r="522" customFormat="false" ht="25.35" hidden="false" customHeight="false" outlineLevel="0" collapsed="false">
      <c r="A522" s="17" t="n">
        <v>521</v>
      </c>
      <c r="B522" s="18" t="s">
        <v>1675</v>
      </c>
      <c r="C522" s="17" t="s">
        <v>1225</v>
      </c>
      <c r="D522" s="17" t="n">
        <v>157</v>
      </c>
      <c r="E522" s="17" t="str">
        <f aca="false">C522&amp;"말씀 #"&amp;TEXT(D522,"000")</f>
        <v>신약말씀 #157</v>
      </c>
      <c r="F522" s="17" t="s">
        <v>1617</v>
      </c>
      <c r="G522" s="18" t="s">
        <v>1676</v>
      </c>
      <c r="H522" s="19" t="s">
        <v>1677</v>
      </c>
      <c r="I522" s="17" t="s">
        <v>196</v>
      </c>
      <c r="J522" s="17" t="s">
        <v>75</v>
      </c>
      <c r="K522" s="20"/>
      <c r="L522" s="17" t="s">
        <v>76</v>
      </c>
      <c r="M522" s="17" t="n">
        <f aca="false">LEN(K522)</f>
        <v>0</v>
      </c>
      <c r="N522" s="17" t="str">
        <f aca="false">IF(M522=0,"-",ROUND(3+M522/안내!$C$12,0))</f>
        <v>-</v>
      </c>
      <c r="O522" s="21" t="str">
        <f aca="false">IF(K522="","(본문 입력 후 자동) | 롬 11:33",IF(LEN(K522)&gt;28,LEFT(K522,28)&amp;"…",K522)&amp;" | 롬 11:33")</f>
        <v>(본문 입력 후 자동) | 롬 11:33</v>
      </c>
      <c r="P522" s="21" t="str">
        <f aca="false">"#"&amp;SUBSTITUTE(안내!$C$5," ","")&amp;" #성경구절 #말씀 #로마서 #찬양"</f>
        <v>#오늘의말씀 #성경구절 #말씀 #로마서 #찬양</v>
      </c>
      <c r="Q522" s="21" t="s">
        <v>77</v>
      </c>
      <c r="R522" s="22" t="n">
        <f aca="false">안내!$C$6+INT((D522-1)/안내!$C$7)</f>
        <v>46466</v>
      </c>
      <c r="S522" s="17" t="str">
        <f aca="false">IF(MOD(D522-1,안내!$C$7)=0,안내!$C$9,안내!$C$11)</f>
        <v>12:30</v>
      </c>
      <c r="T522" s="17" t="str">
        <f aca="false">CHOOSE(WEEKDAY(R522,2),"월","화","수","목","금","토","일")</f>
        <v>토</v>
      </c>
      <c r="U522" s="17" t="s">
        <v>78</v>
      </c>
      <c r="V522" s="17" t="s">
        <v>78</v>
      </c>
      <c r="W522" s="23"/>
      <c r="X522" s="23"/>
      <c r="Y522" s="21"/>
    </row>
    <row r="523" customFormat="false" ht="25.35" hidden="false" customHeight="false" outlineLevel="0" collapsed="false">
      <c r="A523" s="17" t="n">
        <v>522</v>
      </c>
      <c r="B523" s="18" t="s">
        <v>1678</v>
      </c>
      <c r="C523" s="17" t="s">
        <v>1225</v>
      </c>
      <c r="D523" s="17" t="n">
        <v>158</v>
      </c>
      <c r="E523" s="17" t="str">
        <f aca="false">C523&amp;"말씀 #"&amp;TEXT(D523,"000")</f>
        <v>신약말씀 #158</v>
      </c>
      <c r="F523" s="17" t="s">
        <v>1617</v>
      </c>
      <c r="G523" s="18" t="s">
        <v>1679</v>
      </c>
      <c r="H523" s="19" t="s">
        <v>1680</v>
      </c>
      <c r="I523" s="17" t="s">
        <v>196</v>
      </c>
      <c r="J523" s="17" t="s">
        <v>75</v>
      </c>
      <c r="K523" s="20"/>
      <c r="L523" s="17" t="s">
        <v>76</v>
      </c>
      <c r="M523" s="17" t="n">
        <f aca="false">LEN(K523)</f>
        <v>0</v>
      </c>
      <c r="N523" s="17" t="str">
        <f aca="false">IF(M523=0,"-",ROUND(3+M523/안내!$C$12,0))</f>
        <v>-</v>
      </c>
      <c r="O523" s="21" t="str">
        <f aca="false">IF(K523="","(본문 입력 후 자동) | 롬 11:36",IF(LEN(K523)&gt;28,LEFT(K523,28)&amp;"…",K523)&amp;" | 롬 11:36")</f>
        <v>(본문 입력 후 자동) | 롬 11:36</v>
      </c>
      <c r="P523" s="21" t="str">
        <f aca="false">"#"&amp;SUBSTITUTE(안내!$C$5," ","")&amp;" #성경구절 #말씀 #로마서 #찬양"</f>
        <v>#오늘의말씀 #성경구절 #말씀 #로마서 #찬양</v>
      </c>
      <c r="Q523" s="21" t="s">
        <v>77</v>
      </c>
      <c r="R523" s="22" t="n">
        <f aca="false">안내!$C$6+INT((D523-1)/안내!$C$7)</f>
        <v>46466</v>
      </c>
      <c r="S523" s="17" t="str">
        <f aca="false">IF(MOD(D523-1,안내!$C$7)=0,안내!$C$9,안내!$C$11)</f>
        <v>21:30</v>
      </c>
      <c r="T523" s="17" t="str">
        <f aca="false">CHOOSE(WEEKDAY(R523,2),"월","화","수","목","금","토","일")</f>
        <v>토</v>
      </c>
      <c r="U523" s="17" t="s">
        <v>78</v>
      </c>
      <c r="V523" s="17" t="s">
        <v>78</v>
      </c>
      <c r="W523" s="23"/>
      <c r="X523" s="23"/>
      <c r="Y523" s="21"/>
    </row>
    <row r="524" customFormat="false" ht="15" hidden="false" customHeight="false" outlineLevel="0" collapsed="false">
      <c r="A524" s="17" t="n">
        <v>523</v>
      </c>
      <c r="B524" s="18" t="s">
        <v>1681</v>
      </c>
      <c r="C524" s="17" t="s">
        <v>1225</v>
      </c>
      <c r="D524" s="17" t="n">
        <v>159</v>
      </c>
      <c r="E524" s="17" t="str">
        <f aca="false">C524&amp;"말씀 #"&amp;TEXT(D524,"000")</f>
        <v>신약말씀 #159</v>
      </c>
      <c r="F524" s="17" t="s">
        <v>1617</v>
      </c>
      <c r="G524" s="18" t="s">
        <v>119</v>
      </c>
      <c r="H524" s="19" t="s">
        <v>1682</v>
      </c>
      <c r="I524" s="17" t="s">
        <v>593</v>
      </c>
      <c r="J524" s="17" t="s">
        <v>75</v>
      </c>
      <c r="K524" s="20"/>
      <c r="L524" s="17" t="s">
        <v>76</v>
      </c>
      <c r="M524" s="17" t="n">
        <f aca="false">LEN(K524)</f>
        <v>0</v>
      </c>
      <c r="N524" s="17" t="str">
        <f aca="false">IF(M524=0,"-",ROUND(3+M524/안내!$C$12,0))</f>
        <v>-</v>
      </c>
      <c r="O524" s="21" t="str">
        <f aca="false">IF(K524="","(본문 입력 후 자동) | 롬 12:1",IF(LEN(K524)&gt;28,LEFT(K524,28)&amp;"…",K524)&amp;" | 롬 12:1")</f>
        <v>(본문 입력 후 자동) | 롬 12:1</v>
      </c>
      <c r="P524" s="21" t="str">
        <f aca="false">"#"&amp;SUBSTITUTE(안내!$C$5," ","")&amp;" #성경구절 #말씀 #로마서 #예배"</f>
        <v>#오늘의말씀 #성경구절 #말씀 #로마서 #예배</v>
      </c>
      <c r="Q524" s="21" t="s">
        <v>77</v>
      </c>
      <c r="R524" s="22" t="n">
        <f aca="false">안내!$C$6+INT((D524-1)/안내!$C$7)</f>
        <v>46467</v>
      </c>
      <c r="S524" s="17" t="str">
        <f aca="false">IF(MOD(D524-1,안내!$C$7)=0,안내!$C$9,안내!$C$11)</f>
        <v>12:30</v>
      </c>
      <c r="T524" s="17" t="str">
        <f aca="false">CHOOSE(WEEKDAY(R524,2),"월","화","수","목","금","토","일")</f>
        <v>일</v>
      </c>
      <c r="U524" s="17" t="s">
        <v>78</v>
      </c>
      <c r="V524" s="17" t="s">
        <v>78</v>
      </c>
      <c r="W524" s="23"/>
      <c r="X524" s="23"/>
      <c r="Y524" s="21"/>
    </row>
    <row r="525" customFormat="false" ht="15" hidden="false" customHeight="false" outlineLevel="0" collapsed="false">
      <c r="A525" s="17" t="n">
        <v>524</v>
      </c>
      <c r="B525" s="18" t="s">
        <v>1683</v>
      </c>
      <c r="C525" s="17" t="s">
        <v>1225</v>
      </c>
      <c r="D525" s="17" t="n">
        <v>160</v>
      </c>
      <c r="E525" s="17" t="str">
        <f aca="false">C525&amp;"말씀 #"&amp;TEXT(D525,"000")</f>
        <v>신약말씀 #160</v>
      </c>
      <c r="F525" s="17" t="s">
        <v>1617</v>
      </c>
      <c r="G525" s="18" t="s">
        <v>124</v>
      </c>
      <c r="H525" s="19" t="s">
        <v>1684</v>
      </c>
      <c r="I525" s="17" t="s">
        <v>1079</v>
      </c>
      <c r="J525" s="17" t="s">
        <v>89</v>
      </c>
      <c r="K525" s="20"/>
      <c r="L525" s="17" t="s">
        <v>76</v>
      </c>
      <c r="M525" s="17" t="n">
        <f aca="false">LEN(K525)</f>
        <v>0</v>
      </c>
      <c r="N525" s="17" t="str">
        <f aca="false">IF(M525=0,"-",ROUND(3+M525/안내!$C$12,0))</f>
        <v>-</v>
      </c>
      <c r="O525" s="21" t="str">
        <f aca="false">IF(K525="","(본문 입력 후 자동) | 롬 12:2",IF(LEN(K525)&gt;28,LEFT(K525,28)&amp;"…",K525)&amp;" | 롬 12:2")</f>
        <v>(본문 입력 후 자동) | 롬 12:2</v>
      </c>
      <c r="P525" s="21" t="str">
        <f aca="false">"#"&amp;SUBSTITUTE(안내!$C$5," ","")&amp;" #성경구절 #말씀 #로마서 #새마음"</f>
        <v>#오늘의말씀 #성경구절 #말씀 #로마서 #새마음</v>
      </c>
      <c r="Q525" s="21" t="s">
        <v>77</v>
      </c>
      <c r="R525" s="22" t="n">
        <f aca="false">안내!$C$6+INT((D525-1)/안내!$C$7)</f>
        <v>46467</v>
      </c>
      <c r="S525" s="17" t="str">
        <f aca="false">IF(MOD(D525-1,안내!$C$7)=0,안내!$C$9,안내!$C$11)</f>
        <v>21:30</v>
      </c>
      <c r="T525" s="17" t="str">
        <f aca="false">CHOOSE(WEEKDAY(R525,2),"월","화","수","목","금","토","일")</f>
        <v>일</v>
      </c>
      <c r="U525" s="17" t="s">
        <v>78</v>
      </c>
      <c r="V525" s="17" t="s">
        <v>78</v>
      </c>
      <c r="W525" s="23"/>
      <c r="X525" s="23"/>
      <c r="Y525" s="21"/>
    </row>
    <row r="526" customFormat="false" ht="25.35" hidden="false" customHeight="false" outlineLevel="0" collapsed="false">
      <c r="A526" s="17" t="n">
        <v>525</v>
      </c>
      <c r="B526" s="18" t="s">
        <v>1685</v>
      </c>
      <c r="C526" s="17" t="s">
        <v>1225</v>
      </c>
      <c r="D526" s="17" t="n">
        <v>161</v>
      </c>
      <c r="E526" s="17" t="str">
        <f aca="false">C526&amp;"말씀 #"&amp;TEXT(D526,"000")</f>
        <v>신약말씀 #161</v>
      </c>
      <c r="F526" s="17" t="s">
        <v>1617</v>
      </c>
      <c r="G526" s="18" t="s">
        <v>1686</v>
      </c>
      <c r="H526" s="19" t="s">
        <v>1687</v>
      </c>
      <c r="I526" s="17" t="s">
        <v>511</v>
      </c>
      <c r="J526" s="17" t="s">
        <v>89</v>
      </c>
      <c r="K526" s="20"/>
      <c r="L526" s="17" t="s">
        <v>76</v>
      </c>
      <c r="M526" s="17" t="n">
        <f aca="false">LEN(K526)</f>
        <v>0</v>
      </c>
      <c r="N526" s="17" t="str">
        <f aca="false">IF(M526=0,"-",ROUND(3+M526/안내!$C$12,0))</f>
        <v>-</v>
      </c>
      <c r="O526" s="21" t="str">
        <f aca="false">IF(K526="","(본문 입력 후 자동) | 롬 12:12",IF(LEN(K526)&gt;28,LEFT(K526,28)&amp;"…",K526)&amp;" | 롬 12:12")</f>
        <v>(본문 입력 후 자동) | 롬 12:12</v>
      </c>
      <c r="P526" s="21" t="str">
        <f aca="false">"#"&amp;SUBSTITUTE(안내!$C$5," ","")&amp;" #성경구절 #말씀 #로마서 #소망"</f>
        <v>#오늘의말씀 #성경구절 #말씀 #로마서 #소망</v>
      </c>
      <c r="Q526" s="21" t="s">
        <v>77</v>
      </c>
      <c r="R526" s="22" t="n">
        <f aca="false">안내!$C$6+INT((D526-1)/안내!$C$7)</f>
        <v>46468</v>
      </c>
      <c r="S526" s="17" t="str">
        <f aca="false">IF(MOD(D526-1,안내!$C$7)=0,안내!$C$9,안내!$C$11)</f>
        <v>12:30</v>
      </c>
      <c r="T526" s="17" t="str">
        <f aca="false">CHOOSE(WEEKDAY(R526,2),"월","화","수","목","금","토","일")</f>
        <v>월</v>
      </c>
      <c r="U526" s="17" t="s">
        <v>78</v>
      </c>
      <c r="V526" s="17" t="s">
        <v>78</v>
      </c>
      <c r="W526" s="23"/>
      <c r="X526" s="23"/>
      <c r="Y526" s="21"/>
    </row>
    <row r="527" customFormat="false" ht="25.35" hidden="false" customHeight="false" outlineLevel="0" collapsed="false">
      <c r="A527" s="17" t="n">
        <v>526</v>
      </c>
      <c r="B527" s="18" t="s">
        <v>1688</v>
      </c>
      <c r="C527" s="17" t="s">
        <v>1225</v>
      </c>
      <c r="D527" s="17" t="n">
        <v>162</v>
      </c>
      <c r="E527" s="17" t="str">
        <f aca="false">C527&amp;"말씀 #"&amp;TEXT(D527,"000")</f>
        <v>신약말씀 #162</v>
      </c>
      <c r="F527" s="17" t="s">
        <v>1617</v>
      </c>
      <c r="G527" s="18" t="s">
        <v>1421</v>
      </c>
      <c r="H527" s="19" t="s">
        <v>1689</v>
      </c>
      <c r="I527" s="17" t="s">
        <v>239</v>
      </c>
      <c r="J527" s="17" t="s">
        <v>94</v>
      </c>
      <c r="K527" s="20"/>
      <c r="L527" s="17" t="s">
        <v>76</v>
      </c>
      <c r="M527" s="17" t="n">
        <f aca="false">LEN(K527)</f>
        <v>0</v>
      </c>
      <c r="N527" s="17" t="str">
        <f aca="false">IF(M527=0,"-",ROUND(3+M527/안내!$C$12,0))</f>
        <v>-</v>
      </c>
      <c r="O527" s="21" t="str">
        <f aca="false">IF(K527="","(본문 입력 후 자동) | 롬 12:15",IF(LEN(K527)&gt;28,LEFT(K527,28)&amp;"…",K527)&amp;" | 롬 12:15")</f>
        <v>(본문 입력 후 자동) | 롬 12:15</v>
      </c>
      <c r="P527" s="21" t="str">
        <f aca="false">"#"&amp;SUBSTITUTE(안내!$C$5," ","")&amp;" #성경구절 #말씀 #로마서 #사랑"</f>
        <v>#오늘의말씀 #성경구절 #말씀 #로마서 #사랑</v>
      </c>
      <c r="Q527" s="21" t="s">
        <v>77</v>
      </c>
      <c r="R527" s="22" t="n">
        <f aca="false">안내!$C$6+INT((D527-1)/안내!$C$7)</f>
        <v>46468</v>
      </c>
      <c r="S527" s="17" t="str">
        <f aca="false">IF(MOD(D527-1,안내!$C$7)=0,안내!$C$9,안내!$C$11)</f>
        <v>21:30</v>
      </c>
      <c r="T527" s="17" t="str">
        <f aca="false">CHOOSE(WEEKDAY(R527,2),"월","화","수","목","금","토","일")</f>
        <v>월</v>
      </c>
      <c r="U527" s="17" t="s">
        <v>78</v>
      </c>
      <c r="V527" s="17" t="s">
        <v>78</v>
      </c>
      <c r="W527" s="23"/>
      <c r="X527" s="23"/>
      <c r="Y527" s="21"/>
    </row>
    <row r="528" customFormat="false" ht="25.35" hidden="false" customHeight="false" outlineLevel="0" collapsed="false">
      <c r="A528" s="17" t="n">
        <v>527</v>
      </c>
      <c r="B528" s="18" t="s">
        <v>1690</v>
      </c>
      <c r="C528" s="17" t="s">
        <v>1225</v>
      </c>
      <c r="D528" s="17" t="n">
        <v>163</v>
      </c>
      <c r="E528" s="17" t="str">
        <f aca="false">C528&amp;"말씀 #"&amp;TEXT(D528,"000")</f>
        <v>신약말씀 #163</v>
      </c>
      <c r="F528" s="17" t="s">
        <v>1617</v>
      </c>
      <c r="G528" s="18" t="s">
        <v>1691</v>
      </c>
      <c r="H528" s="19" t="s">
        <v>1692</v>
      </c>
      <c r="I528" s="17" t="s">
        <v>221</v>
      </c>
      <c r="J528" s="17" t="s">
        <v>99</v>
      </c>
      <c r="K528" s="20"/>
      <c r="L528" s="17" t="s">
        <v>76</v>
      </c>
      <c r="M528" s="17" t="n">
        <f aca="false">LEN(K528)</f>
        <v>0</v>
      </c>
      <c r="N528" s="17" t="str">
        <f aca="false">IF(M528=0,"-",ROUND(3+M528/안내!$C$12,0))</f>
        <v>-</v>
      </c>
      <c r="O528" s="21" t="str">
        <f aca="false">IF(K528="","(본문 입력 후 자동) | 롬 12:18",IF(LEN(K528)&gt;28,LEFT(K528,28)&amp;"…",K528)&amp;" | 롬 12:18")</f>
        <v>(본문 입력 후 자동) | 롬 12:18</v>
      </c>
      <c r="P528" s="21" t="str">
        <f aca="false">"#"&amp;SUBSTITUTE(안내!$C$5," ","")&amp;" #성경구절 #말씀 #로마서 #평안"</f>
        <v>#오늘의말씀 #성경구절 #말씀 #로마서 #평안</v>
      </c>
      <c r="Q528" s="21" t="s">
        <v>77</v>
      </c>
      <c r="R528" s="22" t="n">
        <f aca="false">안내!$C$6+INT((D528-1)/안내!$C$7)</f>
        <v>46469</v>
      </c>
      <c r="S528" s="17" t="str">
        <f aca="false">IF(MOD(D528-1,안내!$C$7)=0,안내!$C$9,안내!$C$11)</f>
        <v>12:30</v>
      </c>
      <c r="T528" s="17" t="str">
        <f aca="false">CHOOSE(WEEKDAY(R528,2),"월","화","수","목","금","토","일")</f>
        <v>화</v>
      </c>
      <c r="U528" s="17" t="s">
        <v>78</v>
      </c>
      <c r="V528" s="17" t="s">
        <v>78</v>
      </c>
      <c r="W528" s="23"/>
      <c r="X528" s="23"/>
      <c r="Y528" s="21"/>
    </row>
    <row r="529" customFormat="false" ht="25.35" hidden="false" customHeight="false" outlineLevel="0" collapsed="false">
      <c r="A529" s="17" t="n">
        <v>528</v>
      </c>
      <c r="B529" s="18" t="s">
        <v>1693</v>
      </c>
      <c r="C529" s="17" t="s">
        <v>1225</v>
      </c>
      <c r="D529" s="17" t="n">
        <v>164</v>
      </c>
      <c r="E529" s="17" t="str">
        <f aca="false">C529&amp;"말씀 #"&amp;TEXT(D529,"000")</f>
        <v>신약말씀 #164</v>
      </c>
      <c r="F529" s="17" t="s">
        <v>1617</v>
      </c>
      <c r="G529" s="18" t="s">
        <v>1694</v>
      </c>
      <c r="H529" s="19" t="s">
        <v>1695</v>
      </c>
      <c r="I529" s="17" t="s">
        <v>207</v>
      </c>
      <c r="J529" s="17" t="s">
        <v>113</v>
      </c>
      <c r="K529" s="20"/>
      <c r="L529" s="17" t="s">
        <v>76</v>
      </c>
      <c r="M529" s="17" t="n">
        <f aca="false">LEN(K529)</f>
        <v>0</v>
      </c>
      <c r="N529" s="17" t="str">
        <f aca="false">IF(M529=0,"-",ROUND(3+M529/안내!$C$12,0))</f>
        <v>-</v>
      </c>
      <c r="O529" s="21" t="str">
        <f aca="false">IF(K529="","(본문 입력 후 자동) | 롬 12:21",IF(LEN(K529)&gt;28,LEFT(K529,28)&amp;"…",K529)&amp;" | 롬 12:21")</f>
        <v>(본문 입력 후 자동) | 롬 12:21</v>
      </c>
      <c r="P529" s="21" t="str">
        <f aca="false">"#"&amp;SUBSTITUTE(안내!$C$5," ","")&amp;" #성경구절 #말씀 #로마서 #승리"</f>
        <v>#오늘의말씀 #성경구절 #말씀 #로마서 #승리</v>
      </c>
      <c r="Q529" s="21" t="s">
        <v>77</v>
      </c>
      <c r="R529" s="22" t="n">
        <f aca="false">안내!$C$6+INT((D529-1)/안내!$C$7)</f>
        <v>46469</v>
      </c>
      <c r="S529" s="17" t="str">
        <f aca="false">IF(MOD(D529-1,안내!$C$7)=0,안내!$C$9,안내!$C$11)</f>
        <v>21:30</v>
      </c>
      <c r="T529" s="17" t="str">
        <f aca="false">CHOOSE(WEEKDAY(R529,2),"월","화","수","목","금","토","일")</f>
        <v>화</v>
      </c>
      <c r="U529" s="17" t="s">
        <v>78</v>
      </c>
      <c r="V529" s="17" t="s">
        <v>78</v>
      </c>
      <c r="W529" s="23"/>
      <c r="X529" s="23"/>
      <c r="Y529" s="21"/>
    </row>
    <row r="530" customFormat="false" ht="15" hidden="false" customHeight="false" outlineLevel="0" collapsed="false">
      <c r="A530" s="17" t="n">
        <v>529</v>
      </c>
      <c r="B530" s="18" t="s">
        <v>1696</v>
      </c>
      <c r="C530" s="17" t="s">
        <v>1225</v>
      </c>
      <c r="D530" s="17" t="n">
        <v>165</v>
      </c>
      <c r="E530" s="17" t="str">
        <f aca="false">C530&amp;"말씀 #"&amp;TEXT(D530,"000")</f>
        <v>신약말씀 #165</v>
      </c>
      <c r="F530" s="17" t="s">
        <v>1617</v>
      </c>
      <c r="G530" s="18" t="s">
        <v>1697</v>
      </c>
      <c r="H530" s="19" t="s">
        <v>1698</v>
      </c>
      <c r="I530" s="17" t="s">
        <v>239</v>
      </c>
      <c r="J530" s="17" t="s">
        <v>94</v>
      </c>
      <c r="K530" s="20"/>
      <c r="L530" s="17" t="s">
        <v>76</v>
      </c>
      <c r="M530" s="17" t="n">
        <f aca="false">LEN(K530)</f>
        <v>0</v>
      </c>
      <c r="N530" s="17" t="str">
        <f aca="false">IF(M530=0,"-",ROUND(3+M530/안내!$C$12,0))</f>
        <v>-</v>
      </c>
      <c r="O530" s="21" t="str">
        <f aca="false">IF(K530="","(본문 입력 후 자동) | 롬 13:8",IF(LEN(K530)&gt;28,LEFT(K530,28)&amp;"…",K530)&amp;" | 롬 13:8")</f>
        <v>(본문 입력 후 자동) | 롬 13:8</v>
      </c>
      <c r="P530" s="21" t="str">
        <f aca="false">"#"&amp;SUBSTITUTE(안내!$C$5," ","")&amp;" #성경구절 #말씀 #로마서 #사랑"</f>
        <v>#오늘의말씀 #성경구절 #말씀 #로마서 #사랑</v>
      </c>
      <c r="Q530" s="21" t="s">
        <v>77</v>
      </c>
      <c r="R530" s="22" t="n">
        <f aca="false">안내!$C$6+INT((D530-1)/안내!$C$7)</f>
        <v>46470</v>
      </c>
      <c r="S530" s="17" t="str">
        <f aca="false">IF(MOD(D530-1,안내!$C$7)=0,안내!$C$9,안내!$C$11)</f>
        <v>12:30</v>
      </c>
      <c r="T530" s="17" t="str">
        <f aca="false">CHOOSE(WEEKDAY(R530,2),"월","화","수","목","금","토","일")</f>
        <v>수</v>
      </c>
      <c r="U530" s="17" t="s">
        <v>78</v>
      </c>
      <c r="V530" s="17" t="s">
        <v>78</v>
      </c>
      <c r="W530" s="23"/>
      <c r="X530" s="23"/>
      <c r="Y530" s="21"/>
    </row>
    <row r="531" customFormat="false" ht="15" hidden="false" customHeight="false" outlineLevel="0" collapsed="false">
      <c r="A531" s="17" t="n">
        <v>530</v>
      </c>
      <c r="B531" s="18" t="s">
        <v>1699</v>
      </c>
      <c r="C531" s="17" t="s">
        <v>1225</v>
      </c>
      <c r="D531" s="17" t="n">
        <v>166</v>
      </c>
      <c r="E531" s="17" t="str">
        <f aca="false">C531&amp;"말씀 #"&amp;TEXT(D531,"000")</f>
        <v>신약말씀 #166</v>
      </c>
      <c r="F531" s="17" t="s">
        <v>1617</v>
      </c>
      <c r="G531" s="18" t="s">
        <v>259</v>
      </c>
      <c r="H531" s="19" t="s">
        <v>1700</v>
      </c>
      <c r="I531" s="17" t="s">
        <v>333</v>
      </c>
      <c r="J531" s="17" t="s">
        <v>122</v>
      </c>
      <c r="K531" s="20"/>
      <c r="L531" s="17" t="s">
        <v>76</v>
      </c>
      <c r="M531" s="17" t="n">
        <f aca="false">LEN(K531)</f>
        <v>0</v>
      </c>
      <c r="N531" s="17" t="str">
        <f aca="false">IF(M531=0,"-",ROUND(3+M531/안내!$C$12,0))</f>
        <v>-</v>
      </c>
      <c r="O531" s="21" t="str">
        <f aca="false">IF(K531="","(본문 입력 후 자동) | 롬 14:8",IF(LEN(K531)&gt;28,LEFT(K531,28)&amp;"…",K531)&amp;" | 롬 14:8")</f>
        <v>(본문 입력 후 자동) | 롬 14:8</v>
      </c>
      <c r="P531" s="21" t="str">
        <f aca="false">"#"&amp;SUBSTITUTE(안내!$C$5," ","")&amp;" #성경구절 #말씀 #로마서 #헌신"</f>
        <v>#오늘의말씀 #성경구절 #말씀 #로마서 #헌신</v>
      </c>
      <c r="Q531" s="21" t="s">
        <v>77</v>
      </c>
      <c r="R531" s="22" t="n">
        <f aca="false">안내!$C$6+INT((D531-1)/안내!$C$7)</f>
        <v>46470</v>
      </c>
      <c r="S531" s="17" t="str">
        <f aca="false">IF(MOD(D531-1,안내!$C$7)=0,안내!$C$9,안내!$C$11)</f>
        <v>21:30</v>
      </c>
      <c r="T531" s="17" t="str">
        <f aca="false">CHOOSE(WEEKDAY(R531,2),"월","화","수","목","금","토","일")</f>
        <v>수</v>
      </c>
      <c r="U531" s="17" t="s">
        <v>78</v>
      </c>
      <c r="V531" s="17" t="s">
        <v>78</v>
      </c>
      <c r="W531" s="23"/>
      <c r="X531" s="23"/>
      <c r="Y531" s="21"/>
    </row>
    <row r="532" customFormat="false" ht="15" hidden="false" customHeight="false" outlineLevel="0" collapsed="false">
      <c r="A532" s="17" t="n">
        <v>531</v>
      </c>
      <c r="B532" s="18" t="s">
        <v>1701</v>
      </c>
      <c r="C532" s="17" t="s">
        <v>1225</v>
      </c>
      <c r="D532" s="17" t="n">
        <v>167</v>
      </c>
      <c r="E532" s="17" t="str">
        <f aca="false">C532&amp;"말씀 #"&amp;TEXT(D532,"000")</f>
        <v>신약말씀 #167</v>
      </c>
      <c r="F532" s="17" t="s">
        <v>1617</v>
      </c>
      <c r="G532" s="18" t="s">
        <v>1424</v>
      </c>
      <c r="H532" s="19" t="s">
        <v>1702</v>
      </c>
      <c r="I532" s="17" t="s">
        <v>728</v>
      </c>
      <c r="J532" s="17" t="s">
        <v>94</v>
      </c>
      <c r="K532" s="20"/>
      <c r="L532" s="17" t="s">
        <v>76</v>
      </c>
      <c r="M532" s="17" t="n">
        <f aca="false">LEN(K532)</f>
        <v>0</v>
      </c>
      <c r="N532" s="17" t="str">
        <f aca="false">IF(M532=0,"-",ROUND(3+M532/안내!$C$12,0))</f>
        <v>-</v>
      </c>
      <c r="O532" s="21" t="str">
        <f aca="false">IF(K532="","(본문 입력 후 자동) | 롬 15:7",IF(LEN(K532)&gt;28,LEFT(K532,28)&amp;"…",K532)&amp;" | 롬 15:7")</f>
        <v>(본문 입력 후 자동) | 롬 15:7</v>
      </c>
      <c r="P532" s="21" t="str">
        <f aca="false">"#"&amp;SUBSTITUTE(안내!$C$5," ","")&amp;" #성경구절 #말씀 #로마서 #연합"</f>
        <v>#오늘의말씀 #성경구절 #말씀 #로마서 #연합</v>
      </c>
      <c r="Q532" s="21" t="s">
        <v>77</v>
      </c>
      <c r="R532" s="22" t="n">
        <f aca="false">안내!$C$6+INT((D532-1)/안내!$C$7)</f>
        <v>46471</v>
      </c>
      <c r="S532" s="17" t="str">
        <f aca="false">IF(MOD(D532-1,안내!$C$7)=0,안내!$C$9,안내!$C$11)</f>
        <v>12:30</v>
      </c>
      <c r="T532" s="17" t="str">
        <f aca="false">CHOOSE(WEEKDAY(R532,2),"월","화","수","목","금","토","일")</f>
        <v>목</v>
      </c>
      <c r="U532" s="17" t="s">
        <v>78</v>
      </c>
      <c r="V532" s="17" t="s">
        <v>78</v>
      </c>
      <c r="W532" s="23"/>
      <c r="X532" s="23"/>
      <c r="Y532" s="21"/>
    </row>
    <row r="533" customFormat="false" ht="25.35" hidden="false" customHeight="false" outlineLevel="0" collapsed="false">
      <c r="A533" s="17" t="n">
        <v>532</v>
      </c>
      <c r="B533" s="18" t="s">
        <v>1703</v>
      </c>
      <c r="C533" s="17" t="s">
        <v>1225</v>
      </c>
      <c r="D533" s="17" t="n">
        <v>168</v>
      </c>
      <c r="E533" s="17" t="str">
        <f aca="false">C533&amp;"말씀 #"&amp;TEXT(D533,"000")</f>
        <v>신약말씀 #168</v>
      </c>
      <c r="F533" s="17" t="s">
        <v>1617</v>
      </c>
      <c r="G533" s="18" t="s">
        <v>1539</v>
      </c>
      <c r="H533" s="19" t="s">
        <v>1704</v>
      </c>
      <c r="I533" s="17" t="s">
        <v>511</v>
      </c>
      <c r="J533" s="17" t="s">
        <v>89</v>
      </c>
      <c r="K533" s="20"/>
      <c r="L533" s="17" t="s">
        <v>76</v>
      </c>
      <c r="M533" s="17" t="n">
        <f aca="false">LEN(K533)</f>
        <v>0</v>
      </c>
      <c r="N533" s="17" t="str">
        <f aca="false">IF(M533=0,"-",ROUND(3+M533/안내!$C$12,0))</f>
        <v>-</v>
      </c>
      <c r="O533" s="21" t="str">
        <f aca="false">IF(K533="","(본문 입력 후 자동) | 롬 15:13",IF(LEN(K533)&gt;28,LEFT(K533,28)&amp;"…",K533)&amp;" | 롬 15:13")</f>
        <v>(본문 입력 후 자동) | 롬 15:13</v>
      </c>
      <c r="P533" s="21" t="str">
        <f aca="false">"#"&amp;SUBSTITUTE(안내!$C$5," ","")&amp;" #성경구절 #말씀 #로마서 #소망"</f>
        <v>#오늘의말씀 #성경구절 #말씀 #로마서 #소망</v>
      </c>
      <c r="Q533" s="21" t="s">
        <v>77</v>
      </c>
      <c r="R533" s="22" t="n">
        <f aca="false">안내!$C$6+INT((D533-1)/안내!$C$7)</f>
        <v>46471</v>
      </c>
      <c r="S533" s="17" t="str">
        <f aca="false">IF(MOD(D533-1,안내!$C$7)=0,안내!$C$9,안내!$C$11)</f>
        <v>21:30</v>
      </c>
      <c r="T533" s="17" t="str">
        <f aca="false">CHOOSE(WEEKDAY(R533,2),"월","화","수","목","금","토","일")</f>
        <v>목</v>
      </c>
      <c r="U533" s="17" t="s">
        <v>78</v>
      </c>
      <c r="V533" s="17" t="s">
        <v>78</v>
      </c>
      <c r="W533" s="23"/>
      <c r="X533" s="23"/>
      <c r="Y533" s="21"/>
    </row>
    <row r="534" customFormat="false" ht="26.85" hidden="false" customHeight="false" outlineLevel="0" collapsed="false">
      <c r="A534" s="17" t="n">
        <v>533</v>
      </c>
      <c r="B534" s="18" t="s">
        <v>1705</v>
      </c>
      <c r="C534" s="17" t="s">
        <v>1225</v>
      </c>
      <c r="D534" s="17" t="n">
        <v>169</v>
      </c>
      <c r="E534" s="17" t="str">
        <f aca="false">C534&amp;"말씀 #"&amp;TEXT(D534,"000")</f>
        <v>신약말씀 #169</v>
      </c>
      <c r="F534" s="17" t="s">
        <v>1706</v>
      </c>
      <c r="G534" s="18" t="s">
        <v>890</v>
      </c>
      <c r="H534" s="19" t="s">
        <v>1707</v>
      </c>
      <c r="I534" s="17" t="s">
        <v>970</v>
      </c>
      <c r="J534" s="17" t="s">
        <v>104</v>
      </c>
      <c r="K534" s="20"/>
      <c r="L534" s="17" t="s">
        <v>76</v>
      </c>
      <c r="M534" s="17" t="n">
        <f aca="false">LEN(K534)</f>
        <v>0</v>
      </c>
      <c r="N534" s="17" t="str">
        <f aca="false">IF(M534=0,"-",ROUND(3+M534/안내!$C$12,0))</f>
        <v>-</v>
      </c>
      <c r="O534" s="21" t="str">
        <f aca="false">IF(K534="","(본문 입력 후 자동) | 고전 1:18",IF(LEN(K534)&gt;28,LEFT(K534,28)&amp;"…",K534)&amp;" | 고전 1:18")</f>
        <v>(본문 입력 후 자동) | 고전 1:18</v>
      </c>
      <c r="P534" s="21" t="str">
        <f aca="false">"#"&amp;SUBSTITUTE(안내!$C$5," ","")&amp;" #성경구절 #말씀 #고린도전서 #복음"</f>
        <v>#오늘의말씀 #성경구절 #말씀 #고린도전서 #복음</v>
      </c>
      <c r="Q534" s="21" t="s">
        <v>77</v>
      </c>
      <c r="R534" s="22" t="n">
        <f aca="false">안내!$C$6+INT((D534-1)/안내!$C$7)</f>
        <v>46472</v>
      </c>
      <c r="S534" s="17" t="str">
        <f aca="false">IF(MOD(D534-1,안내!$C$7)=0,안내!$C$9,안내!$C$11)</f>
        <v>12:30</v>
      </c>
      <c r="T534" s="17" t="str">
        <f aca="false">CHOOSE(WEEKDAY(R534,2),"월","화","수","목","금","토","일")</f>
        <v>금</v>
      </c>
      <c r="U534" s="17" t="s">
        <v>78</v>
      </c>
      <c r="V534" s="17" t="s">
        <v>78</v>
      </c>
      <c r="W534" s="23"/>
      <c r="X534" s="23"/>
      <c r="Y534" s="21"/>
    </row>
    <row r="535" customFormat="false" ht="26.85" hidden="false" customHeight="false" outlineLevel="0" collapsed="false">
      <c r="A535" s="17" t="n">
        <v>534</v>
      </c>
      <c r="B535" s="18" t="s">
        <v>1708</v>
      </c>
      <c r="C535" s="17" t="s">
        <v>1225</v>
      </c>
      <c r="D535" s="17" t="n">
        <v>170</v>
      </c>
      <c r="E535" s="17" t="str">
        <f aca="false">C535&amp;"말씀 #"&amp;TEXT(D535,"000")</f>
        <v>신약말씀 #170</v>
      </c>
      <c r="F535" s="17" t="s">
        <v>1706</v>
      </c>
      <c r="G535" s="18" t="s">
        <v>80</v>
      </c>
      <c r="H535" s="19" t="s">
        <v>1709</v>
      </c>
      <c r="I535" s="17" t="s">
        <v>98</v>
      </c>
      <c r="J535" s="17" t="s">
        <v>99</v>
      </c>
      <c r="K535" s="20"/>
      <c r="L535" s="17" t="s">
        <v>76</v>
      </c>
      <c r="M535" s="17" t="n">
        <f aca="false">LEN(K535)</f>
        <v>0</v>
      </c>
      <c r="N535" s="17" t="str">
        <f aca="false">IF(M535=0,"-",ROUND(3+M535/안내!$C$12,0))</f>
        <v>-</v>
      </c>
      <c r="O535" s="21" t="str">
        <f aca="false">IF(K535="","(본문 입력 후 자동) | 고전 1:27",IF(LEN(K535)&gt;28,LEFT(K535,28)&amp;"…",K535)&amp;" | 고전 1:27")</f>
        <v>(본문 입력 후 자동) | 고전 1:27</v>
      </c>
      <c r="P535" s="21" t="str">
        <f aca="false">"#"&amp;SUBSTITUTE(안내!$C$5," ","")&amp;" #성경구절 #말씀 #고린도전서 #은혜"</f>
        <v>#오늘의말씀 #성경구절 #말씀 #고린도전서 #은혜</v>
      </c>
      <c r="Q535" s="21" t="s">
        <v>77</v>
      </c>
      <c r="R535" s="22" t="n">
        <f aca="false">안내!$C$6+INT((D535-1)/안내!$C$7)</f>
        <v>46472</v>
      </c>
      <c r="S535" s="17" t="str">
        <f aca="false">IF(MOD(D535-1,안내!$C$7)=0,안내!$C$9,안내!$C$11)</f>
        <v>21:30</v>
      </c>
      <c r="T535" s="17" t="str">
        <f aca="false">CHOOSE(WEEKDAY(R535,2),"월","화","수","목","금","토","일")</f>
        <v>금</v>
      </c>
      <c r="U535" s="17" t="s">
        <v>78</v>
      </c>
      <c r="V535" s="17" t="s">
        <v>78</v>
      </c>
      <c r="W535" s="23"/>
      <c r="X535" s="23"/>
      <c r="Y535" s="21"/>
    </row>
    <row r="536" customFormat="false" ht="25.35" hidden="false" customHeight="false" outlineLevel="0" collapsed="false">
      <c r="A536" s="17" t="n">
        <v>535</v>
      </c>
      <c r="B536" s="18" t="s">
        <v>1710</v>
      </c>
      <c r="C536" s="17" t="s">
        <v>1225</v>
      </c>
      <c r="D536" s="17" t="n">
        <v>171</v>
      </c>
      <c r="E536" s="17" t="str">
        <f aca="false">C536&amp;"말씀 #"&amp;TEXT(D536,"000")</f>
        <v>신약말씀 #171</v>
      </c>
      <c r="F536" s="17" t="s">
        <v>1706</v>
      </c>
      <c r="G536" s="18" t="s">
        <v>1158</v>
      </c>
      <c r="H536" s="19" t="s">
        <v>1711</v>
      </c>
      <c r="I536" s="17" t="s">
        <v>239</v>
      </c>
      <c r="J536" s="17" t="s">
        <v>94</v>
      </c>
      <c r="K536" s="20"/>
      <c r="L536" s="17" t="s">
        <v>76</v>
      </c>
      <c r="M536" s="17" t="n">
        <f aca="false">LEN(K536)</f>
        <v>0</v>
      </c>
      <c r="N536" s="17" t="str">
        <f aca="false">IF(M536=0,"-",ROUND(3+M536/안내!$C$12,0))</f>
        <v>-</v>
      </c>
      <c r="O536" s="21" t="str">
        <f aca="false">IF(K536="","(본문 입력 후 자동) | 고전 2:9",IF(LEN(K536)&gt;28,LEFT(K536,28)&amp;"…",K536)&amp;" | 고전 2:9")</f>
        <v>(본문 입력 후 자동) | 고전 2:9</v>
      </c>
      <c r="P536" s="21" t="str">
        <f aca="false">"#"&amp;SUBSTITUTE(안내!$C$5," ","")&amp;" #성경구절 #말씀 #고린도전서 #사랑"</f>
        <v>#오늘의말씀 #성경구절 #말씀 #고린도전서 #사랑</v>
      </c>
      <c r="Q536" s="21" t="s">
        <v>77</v>
      </c>
      <c r="R536" s="22" t="n">
        <f aca="false">안내!$C$6+INT((D536-1)/안내!$C$7)</f>
        <v>46473</v>
      </c>
      <c r="S536" s="17" t="str">
        <f aca="false">IF(MOD(D536-1,안내!$C$7)=0,안내!$C$9,안내!$C$11)</f>
        <v>12:30</v>
      </c>
      <c r="T536" s="17" t="str">
        <f aca="false">CHOOSE(WEEKDAY(R536,2),"월","화","수","목","금","토","일")</f>
        <v>토</v>
      </c>
      <c r="U536" s="17" t="s">
        <v>78</v>
      </c>
      <c r="V536" s="17" t="s">
        <v>78</v>
      </c>
      <c r="W536" s="23"/>
      <c r="X536" s="23"/>
      <c r="Y536" s="21"/>
    </row>
    <row r="537" customFormat="false" ht="25.35" hidden="false" customHeight="false" outlineLevel="0" collapsed="false">
      <c r="A537" s="17" t="n">
        <v>536</v>
      </c>
      <c r="B537" s="18" t="s">
        <v>1712</v>
      </c>
      <c r="C537" s="17" t="s">
        <v>1225</v>
      </c>
      <c r="D537" s="17" t="n">
        <v>172</v>
      </c>
      <c r="E537" s="17" t="str">
        <f aca="false">C537&amp;"말씀 #"&amp;TEXT(D537,"000")</f>
        <v>신약말씀 #172</v>
      </c>
      <c r="F537" s="17" t="s">
        <v>1706</v>
      </c>
      <c r="G537" s="18" t="s">
        <v>754</v>
      </c>
      <c r="H537" s="19" t="s">
        <v>1713</v>
      </c>
      <c r="I537" s="17" t="s">
        <v>167</v>
      </c>
      <c r="J537" s="17" t="s">
        <v>75</v>
      </c>
      <c r="K537" s="20"/>
      <c r="L537" s="17" t="s">
        <v>76</v>
      </c>
      <c r="M537" s="17" t="n">
        <f aca="false">LEN(K537)</f>
        <v>0</v>
      </c>
      <c r="N537" s="17" t="str">
        <f aca="false">IF(M537=0,"-",ROUND(3+M537/안내!$C$12,0))</f>
        <v>-</v>
      </c>
      <c r="O537" s="21" t="str">
        <f aca="false">IF(K537="","(본문 입력 후 자동) | 고전 3:6",IF(LEN(K537)&gt;28,LEFT(K537,28)&amp;"…",K537)&amp;" | 고전 3:6")</f>
        <v>(본문 입력 후 자동) | 고전 3:6</v>
      </c>
      <c r="P537" s="21" t="str">
        <f aca="false">"#"&amp;SUBSTITUTE(안내!$C$5," ","")&amp;" #성경구절 #말씀 #고린도전서 #섭리"</f>
        <v>#오늘의말씀 #성경구절 #말씀 #고린도전서 #섭리</v>
      </c>
      <c r="Q537" s="21" t="s">
        <v>77</v>
      </c>
      <c r="R537" s="22" t="n">
        <f aca="false">안내!$C$6+INT((D537-1)/안내!$C$7)</f>
        <v>46473</v>
      </c>
      <c r="S537" s="17" t="str">
        <f aca="false">IF(MOD(D537-1,안내!$C$7)=0,안내!$C$9,안내!$C$11)</f>
        <v>21:30</v>
      </c>
      <c r="T537" s="17" t="str">
        <f aca="false">CHOOSE(WEEKDAY(R537,2),"월","화","수","목","금","토","일")</f>
        <v>토</v>
      </c>
      <c r="U537" s="17" t="s">
        <v>78</v>
      </c>
      <c r="V537" s="17" t="s">
        <v>78</v>
      </c>
      <c r="W537" s="23"/>
      <c r="X537" s="23"/>
      <c r="Y537" s="21"/>
    </row>
    <row r="538" customFormat="false" ht="26.85" hidden="false" customHeight="false" outlineLevel="0" collapsed="false">
      <c r="A538" s="17" t="n">
        <v>537</v>
      </c>
      <c r="B538" s="18" t="s">
        <v>1714</v>
      </c>
      <c r="C538" s="17" t="s">
        <v>1225</v>
      </c>
      <c r="D538" s="17" t="n">
        <v>173</v>
      </c>
      <c r="E538" s="17" t="str">
        <f aca="false">C538&amp;"말씀 #"&amp;TEXT(D538,"000")</f>
        <v>신약말씀 #173</v>
      </c>
      <c r="F538" s="17" t="s">
        <v>1706</v>
      </c>
      <c r="G538" s="18" t="s">
        <v>1220</v>
      </c>
      <c r="H538" s="19" t="s">
        <v>1715</v>
      </c>
      <c r="I538" s="17" t="s">
        <v>172</v>
      </c>
      <c r="J538" s="17" t="s">
        <v>75</v>
      </c>
      <c r="K538" s="20"/>
      <c r="L538" s="17" t="s">
        <v>76</v>
      </c>
      <c r="M538" s="17" t="n">
        <f aca="false">LEN(K538)</f>
        <v>0</v>
      </c>
      <c r="N538" s="17" t="str">
        <f aca="false">IF(M538=0,"-",ROUND(3+M538/안내!$C$12,0))</f>
        <v>-</v>
      </c>
      <c r="O538" s="21" t="str">
        <f aca="false">IF(K538="","(본문 입력 후 자동) | 고전 3:16",IF(LEN(K538)&gt;28,LEFT(K538,28)&amp;"…",K538)&amp;" | 고전 3:16")</f>
        <v>(본문 입력 후 자동) | 고전 3:16</v>
      </c>
      <c r="P538" s="21" t="str">
        <f aca="false">"#"&amp;SUBSTITUTE(안내!$C$5," ","")&amp;" #성경구절 #말씀 #고린도전서 #거룩"</f>
        <v>#오늘의말씀 #성경구절 #말씀 #고린도전서 #거룩</v>
      </c>
      <c r="Q538" s="21" t="s">
        <v>77</v>
      </c>
      <c r="R538" s="22" t="n">
        <f aca="false">안내!$C$6+INT((D538-1)/안내!$C$7)</f>
        <v>46474</v>
      </c>
      <c r="S538" s="17" t="str">
        <f aca="false">IF(MOD(D538-1,안내!$C$7)=0,안내!$C$9,안내!$C$11)</f>
        <v>12:30</v>
      </c>
      <c r="T538" s="17" t="str">
        <f aca="false">CHOOSE(WEEKDAY(R538,2),"월","화","수","목","금","토","일")</f>
        <v>일</v>
      </c>
      <c r="U538" s="17" t="s">
        <v>78</v>
      </c>
      <c r="V538" s="17" t="s">
        <v>78</v>
      </c>
      <c r="W538" s="23"/>
      <c r="X538" s="23"/>
      <c r="Y538" s="21"/>
    </row>
    <row r="539" customFormat="false" ht="26.85" hidden="false" customHeight="false" outlineLevel="0" collapsed="false">
      <c r="A539" s="17" t="n">
        <v>538</v>
      </c>
      <c r="B539" s="18" t="s">
        <v>1716</v>
      </c>
      <c r="C539" s="17" t="s">
        <v>1225</v>
      </c>
      <c r="D539" s="17" t="n">
        <v>174</v>
      </c>
      <c r="E539" s="17" t="str">
        <f aca="false">C539&amp;"말씀 #"&amp;TEXT(D539,"000")</f>
        <v>신약말씀 #174</v>
      </c>
      <c r="F539" s="17" t="s">
        <v>1706</v>
      </c>
      <c r="G539" s="18" t="s">
        <v>1717</v>
      </c>
      <c r="H539" s="19" t="s">
        <v>1718</v>
      </c>
      <c r="I539" s="17" t="s">
        <v>172</v>
      </c>
      <c r="J539" s="17" t="s">
        <v>75</v>
      </c>
      <c r="K539" s="20"/>
      <c r="L539" s="17" t="s">
        <v>76</v>
      </c>
      <c r="M539" s="17" t="n">
        <f aca="false">LEN(K539)</f>
        <v>0</v>
      </c>
      <c r="N539" s="17" t="str">
        <f aca="false">IF(M539=0,"-",ROUND(3+M539/안내!$C$12,0))</f>
        <v>-</v>
      </c>
      <c r="O539" s="21" t="str">
        <f aca="false">IF(K539="","(본문 입력 후 자동) | 고전 6:20",IF(LEN(K539)&gt;28,LEFT(K539,28)&amp;"…",K539)&amp;" | 고전 6:20")</f>
        <v>(본문 입력 후 자동) | 고전 6:20</v>
      </c>
      <c r="P539" s="21" t="str">
        <f aca="false">"#"&amp;SUBSTITUTE(안내!$C$5," ","")&amp;" #성경구절 #말씀 #고린도전서 #거룩"</f>
        <v>#오늘의말씀 #성경구절 #말씀 #고린도전서 #거룩</v>
      </c>
      <c r="Q539" s="21" t="s">
        <v>77</v>
      </c>
      <c r="R539" s="22" t="n">
        <f aca="false">안내!$C$6+INT((D539-1)/안내!$C$7)</f>
        <v>46474</v>
      </c>
      <c r="S539" s="17" t="str">
        <f aca="false">IF(MOD(D539-1,안내!$C$7)=0,안내!$C$9,안내!$C$11)</f>
        <v>21:30</v>
      </c>
      <c r="T539" s="17" t="str">
        <f aca="false">CHOOSE(WEEKDAY(R539,2),"월","화","수","목","금","토","일")</f>
        <v>일</v>
      </c>
      <c r="U539" s="17" t="s">
        <v>78</v>
      </c>
      <c r="V539" s="17" t="s">
        <v>78</v>
      </c>
      <c r="W539" s="23"/>
      <c r="X539" s="23"/>
      <c r="Y539" s="21"/>
    </row>
    <row r="540" customFormat="false" ht="26.85" hidden="false" customHeight="false" outlineLevel="0" collapsed="false">
      <c r="A540" s="17" t="n">
        <v>539</v>
      </c>
      <c r="B540" s="18" t="s">
        <v>1719</v>
      </c>
      <c r="C540" s="17" t="s">
        <v>1225</v>
      </c>
      <c r="D540" s="17" t="n">
        <v>175</v>
      </c>
      <c r="E540" s="17" t="str">
        <f aca="false">C540&amp;"말씀 #"&amp;TEXT(D540,"000")</f>
        <v>신약말씀 #175</v>
      </c>
      <c r="F540" s="17" t="s">
        <v>1706</v>
      </c>
      <c r="G540" s="18" t="s">
        <v>1018</v>
      </c>
      <c r="H540" s="19" t="s">
        <v>1720</v>
      </c>
      <c r="I540" s="17" t="s">
        <v>333</v>
      </c>
      <c r="J540" s="17" t="s">
        <v>122</v>
      </c>
      <c r="K540" s="20"/>
      <c r="L540" s="17" t="s">
        <v>76</v>
      </c>
      <c r="M540" s="17" t="n">
        <f aca="false">LEN(K540)</f>
        <v>0</v>
      </c>
      <c r="N540" s="17" t="str">
        <f aca="false">IF(M540=0,"-",ROUND(3+M540/안내!$C$12,0))</f>
        <v>-</v>
      </c>
      <c r="O540" s="21" t="str">
        <f aca="false">IF(K540="","(본문 입력 후 자동) | 고전 9:24",IF(LEN(K540)&gt;28,LEFT(K540,28)&amp;"…",K540)&amp;" | 고전 9:24")</f>
        <v>(본문 입력 후 자동) | 고전 9:24</v>
      </c>
      <c r="P540" s="21" t="str">
        <f aca="false">"#"&amp;SUBSTITUTE(안내!$C$5," ","")&amp;" #성경구절 #말씀 #고린도전서 #헌신"</f>
        <v>#오늘의말씀 #성경구절 #말씀 #고린도전서 #헌신</v>
      </c>
      <c r="Q540" s="21" t="s">
        <v>77</v>
      </c>
      <c r="R540" s="22" t="n">
        <f aca="false">안내!$C$6+INT((D540-1)/안내!$C$7)</f>
        <v>46475</v>
      </c>
      <c r="S540" s="17" t="str">
        <f aca="false">IF(MOD(D540-1,안내!$C$7)=0,안내!$C$9,안내!$C$11)</f>
        <v>12:30</v>
      </c>
      <c r="T540" s="17" t="str">
        <f aca="false">CHOOSE(WEEKDAY(R540,2),"월","화","수","목","금","토","일")</f>
        <v>월</v>
      </c>
      <c r="U540" s="17" t="s">
        <v>78</v>
      </c>
      <c r="V540" s="17" t="s">
        <v>78</v>
      </c>
      <c r="W540" s="23"/>
      <c r="X540" s="23"/>
      <c r="Y540" s="21"/>
    </row>
    <row r="541" customFormat="false" ht="26.85" hidden="false" customHeight="false" outlineLevel="0" collapsed="false">
      <c r="A541" s="17" t="n">
        <v>540</v>
      </c>
      <c r="B541" s="18" t="s">
        <v>1721</v>
      </c>
      <c r="C541" s="17" t="s">
        <v>1225</v>
      </c>
      <c r="D541" s="17" t="n">
        <v>176</v>
      </c>
      <c r="E541" s="17" t="str">
        <f aca="false">C541&amp;"말씀 #"&amp;TEXT(D541,"000")</f>
        <v>신약말씀 #176</v>
      </c>
      <c r="F541" s="17" t="s">
        <v>1706</v>
      </c>
      <c r="G541" s="18" t="s">
        <v>1722</v>
      </c>
      <c r="H541" s="19" t="s">
        <v>1723</v>
      </c>
      <c r="I541" s="17" t="s">
        <v>353</v>
      </c>
      <c r="J541" s="17" t="s">
        <v>113</v>
      </c>
      <c r="K541" s="20"/>
      <c r="L541" s="17" t="s">
        <v>76</v>
      </c>
      <c r="M541" s="17" t="n">
        <f aca="false">LEN(K541)</f>
        <v>0</v>
      </c>
      <c r="N541" s="17" t="str">
        <f aca="false">IF(M541=0,"-",ROUND(3+M541/안내!$C$12,0))</f>
        <v>-</v>
      </c>
      <c r="O541" s="21" t="str">
        <f aca="false">IF(K541="","(본문 입력 후 자동) | 고전 10:13",IF(LEN(K541)&gt;28,LEFT(K541,28)&amp;"…",K541)&amp;" | 고전 10:13")</f>
        <v>(본문 입력 후 자동) | 고전 10:13</v>
      </c>
      <c r="P541" s="21" t="str">
        <f aca="false">"#"&amp;SUBSTITUTE(안내!$C$5," ","")&amp;" #성경구절 #말씀 #고린도전서 #보호"</f>
        <v>#오늘의말씀 #성경구절 #말씀 #고린도전서 #보호</v>
      </c>
      <c r="Q541" s="21" t="s">
        <v>77</v>
      </c>
      <c r="R541" s="22" t="n">
        <f aca="false">안내!$C$6+INT((D541-1)/안내!$C$7)</f>
        <v>46475</v>
      </c>
      <c r="S541" s="17" t="str">
        <f aca="false">IF(MOD(D541-1,안내!$C$7)=0,안내!$C$9,안내!$C$11)</f>
        <v>21:30</v>
      </c>
      <c r="T541" s="17" t="str">
        <f aca="false">CHOOSE(WEEKDAY(R541,2),"월","화","수","목","금","토","일")</f>
        <v>월</v>
      </c>
      <c r="U541" s="17" t="s">
        <v>78</v>
      </c>
      <c r="V541" s="17" t="s">
        <v>78</v>
      </c>
      <c r="W541" s="23"/>
      <c r="X541" s="23"/>
      <c r="Y541" s="21"/>
    </row>
    <row r="542" customFormat="false" ht="26.85" hidden="false" customHeight="false" outlineLevel="0" collapsed="false">
      <c r="A542" s="17" t="n">
        <v>541</v>
      </c>
      <c r="B542" s="18" t="s">
        <v>1724</v>
      </c>
      <c r="C542" s="17" t="s">
        <v>1225</v>
      </c>
      <c r="D542" s="17" t="n">
        <v>177</v>
      </c>
      <c r="E542" s="17" t="str">
        <f aca="false">C542&amp;"말씀 #"&amp;TEXT(D542,"000")</f>
        <v>신약말씀 #177</v>
      </c>
      <c r="F542" s="17" t="s">
        <v>1706</v>
      </c>
      <c r="G542" s="18" t="s">
        <v>1285</v>
      </c>
      <c r="H542" s="19" t="s">
        <v>1725</v>
      </c>
      <c r="I542" s="17" t="s">
        <v>593</v>
      </c>
      <c r="J542" s="17" t="s">
        <v>75</v>
      </c>
      <c r="K542" s="20"/>
      <c r="L542" s="17" t="s">
        <v>76</v>
      </c>
      <c r="M542" s="17" t="n">
        <f aca="false">LEN(K542)</f>
        <v>0</v>
      </c>
      <c r="N542" s="17" t="str">
        <f aca="false">IF(M542=0,"-",ROUND(3+M542/안내!$C$12,0))</f>
        <v>-</v>
      </c>
      <c r="O542" s="21" t="str">
        <f aca="false">IF(K542="","(본문 입력 후 자동) | 고전 10:31",IF(LEN(K542)&gt;28,LEFT(K542,28)&amp;"…",K542)&amp;" | 고전 10:31")</f>
        <v>(본문 입력 후 자동) | 고전 10:31</v>
      </c>
      <c r="P542" s="21" t="str">
        <f aca="false">"#"&amp;SUBSTITUTE(안내!$C$5," ","")&amp;" #성경구절 #말씀 #고린도전서 #예배"</f>
        <v>#오늘의말씀 #성경구절 #말씀 #고린도전서 #예배</v>
      </c>
      <c r="Q542" s="21" t="s">
        <v>77</v>
      </c>
      <c r="R542" s="22" t="n">
        <f aca="false">안내!$C$6+INT((D542-1)/안내!$C$7)</f>
        <v>46476</v>
      </c>
      <c r="S542" s="17" t="str">
        <f aca="false">IF(MOD(D542-1,안내!$C$7)=0,안내!$C$9,안내!$C$11)</f>
        <v>12:30</v>
      </c>
      <c r="T542" s="17" t="str">
        <f aca="false">CHOOSE(WEEKDAY(R542,2),"월","화","수","목","금","토","일")</f>
        <v>화</v>
      </c>
      <c r="U542" s="17" t="s">
        <v>78</v>
      </c>
      <c r="V542" s="17" t="s">
        <v>78</v>
      </c>
      <c r="W542" s="23"/>
      <c r="X542" s="23"/>
      <c r="Y542" s="21"/>
    </row>
    <row r="543" customFormat="false" ht="26.85" hidden="false" customHeight="false" outlineLevel="0" collapsed="false">
      <c r="A543" s="17" t="n">
        <v>542</v>
      </c>
      <c r="B543" s="18" t="s">
        <v>1726</v>
      </c>
      <c r="C543" s="17" t="s">
        <v>1225</v>
      </c>
      <c r="D543" s="17" t="n">
        <v>178</v>
      </c>
      <c r="E543" s="17" t="str">
        <f aca="false">C543&amp;"말씀 #"&amp;TEXT(D543,"000")</f>
        <v>신약말씀 #178</v>
      </c>
      <c r="F543" s="17" t="s">
        <v>1706</v>
      </c>
      <c r="G543" s="18" t="s">
        <v>1727</v>
      </c>
      <c r="H543" s="19" t="s">
        <v>1728</v>
      </c>
      <c r="I543" s="17" t="s">
        <v>1571</v>
      </c>
      <c r="J543" s="17" t="s">
        <v>94</v>
      </c>
      <c r="K543" s="20"/>
      <c r="L543" s="17" t="s">
        <v>76</v>
      </c>
      <c r="M543" s="17" t="n">
        <f aca="false">LEN(K543)</f>
        <v>0</v>
      </c>
      <c r="N543" s="17" t="str">
        <f aca="false">IF(M543=0,"-",ROUND(3+M543/안내!$C$12,0))</f>
        <v>-</v>
      </c>
      <c r="O543" s="21" t="str">
        <f aca="false">IF(K543="","(본문 입력 후 자동) | 고전 12:27",IF(LEN(K543)&gt;28,LEFT(K543,28)&amp;"…",K543)&amp;" | 고전 12:27")</f>
        <v>(본문 입력 후 자동) | 고전 12:27</v>
      </c>
      <c r="P543" s="21" t="str">
        <f aca="false">"#"&amp;SUBSTITUTE(안내!$C$5," ","")&amp;" #성경구절 #말씀 #고린도전서 #교회"</f>
        <v>#오늘의말씀 #성경구절 #말씀 #고린도전서 #교회</v>
      </c>
      <c r="Q543" s="21" t="s">
        <v>77</v>
      </c>
      <c r="R543" s="22" t="n">
        <f aca="false">안내!$C$6+INT((D543-1)/안내!$C$7)</f>
        <v>46476</v>
      </c>
      <c r="S543" s="17" t="str">
        <f aca="false">IF(MOD(D543-1,안내!$C$7)=0,안내!$C$9,안내!$C$11)</f>
        <v>21:30</v>
      </c>
      <c r="T543" s="17" t="str">
        <f aca="false">CHOOSE(WEEKDAY(R543,2),"월","화","수","목","금","토","일")</f>
        <v>화</v>
      </c>
      <c r="U543" s="17" t="s">
        <v>78</v>
      </c>
      <c r="V543" s="17" t="s">
        <v>78</v>
      </c>
      <c r="W543" s="23"/>
      <c r="X543" s="23"/>
      <c r="Y543" s="21"/>
    </row>
    <row r="544" customFormat="false" ht="26.85" hidden="false" customHeight="false" outlineLevel="0" collapsed="false">
      <c r="A544" s="17" t="n">
        <v>543</v>
      </c>
      <c r="B544" s="18" t="s">
        <v>1729</v>
      </c>
      <c r="C544" s="17" t="s">
        <v>1225</v>
      </c>
      <c r="D544" s="17" t="n">
        <v>179</v>
      </c>
      <c r="E544" s="17" t="str">
        <f aca="false">C544&amp;"말씀 #"&amp;TEXT(D544,"000")</f>
        <v>신약말씀 #179</v>
      </c>
      <c r="F544" s="17" t="s">
        <v>1706</v>
      </c>
      <c r="G544" s="18" t="s">
        <v>1730</v>
      </c>
      <c r="H544" s="19" t="s">
        <v>1731</v>
      </c>
      <c r="I544" s="17" t="s">
        <v>239</v>
      </c>
      <c r="J544" s="17" t="s">
        <v>94</v>
      </c>
      <c r="K544" s="20"/>
      <c r="L544" s="17" t="s">
        <v>76</v>
      </c>
      <c r="M544" s="17" t="n">
        <f aca="false">LEN(K544)</f>
        <v>0</v>
      </c>
      <c r="N544" s="17" t="str">
        <f aca="false">IF(M544=0,"-",ROUND(3+M544/안내!$C$12,0))</f>
        <v>-</v>
      </c>
      <c r="O544" s="21" t="str">
        <f aca="false">IF(K544="","(본문 입력 후 자동) | 고전 13:4",IF(LEN(K544)&gt;28,LEFT(K544,28)&amp;"…",K544)&amp;" | 고전 13:4")</f>
        <v>(본문 입력 후 자동) | 고전 13:4</v>
      </c>
      <c r="P544" s="21" t="str">
        <f aca="false">"#"&amp;SUBSTITUTE(안내!$C$5," ","")&amp;" #성경구절 #말씀 #고린도전서 #사랑"</f>
        <v>#오늘의말씀 #성경구절 #말씀 #고린도전서 #사랑</v>
      </c>
      <c r="Q544" s="21" t="s">
        <v>77</v>
      </c>
      <c r="R544" s="22" t="n">
        <f aca="false">안내!$C$6+INT((D544-1)/안내!$C$7)</f>
        <v>46477</v>
      </c>
      <c r="S544" s="17" t="str">
        <f aca="false">IF(MOD(D544-1,안내!$C$7)=0,안내!$C$9,안내!$C$11)</f>
        <v>12:30</v>
      </c>
      <c r="T544" s="17" t="str">
        <f aca="false">CHOOSE(WEEKDAY(R544,2),"월","화","수","목","금","토","일")</f>
        <v>수</v>
      </c>
      <c r="U544" s="17" t="s">
        <v>78</v>
      </c>
      <c r="V544" s="17" t="s">
        <v>78</v>
      </c>
      <c r="W544" s="23"/>
      <c r="X544" s="23"/>
      <c r="Y544" s="21"/>
    </row>
    <row r="545" customFormat="false" ht="26.85" hidden="false" customHeight="false" outlineLevel="0" collapsed="false">
      <c r="A545" s="17" t="n">
        <v>544</v>
      </c>
      <c r="B545" s="18" t="s">
        <v>1732</v>
      </c>
      <c r="C545" s="17" t="s">
        <v>1225</v>
      </c>
      <c r="D545" s="17" t="n">
        <v>180</v>
      </c>
      <c r="E545" s="17" t="str">
        <f aca="false">C545&amp;"말씀 #"&amp;TEXT(D545,"000")</f>
        <v>신약말씀 #180</v>
      </c>
      <c r="F545" s="17" t="s">
        <v>1706</v>
      </c>
      <c r="G545" s="18" t="s">
        <v>1733</v>
      </c>
      <c r="H545" s="19" t="s">
        <v>1734</v>
      </c>
      <c r="I545" s="17" t="s">
        <v>239</v>
      </c>
      <c r="J545" s="17" t="s">
        <v>94</v>
      </c>
      <c r="K545" s="20"/>
      <c r="L545" s="17" t="s">
        <v>76</v>
      </c>
      <c r="M545" s="17" t="n">
        <f aca="false">LEN(K545)</f>
        <v>0</v>
      </c>
      <c r="N545" s="17" t="str">
        <f aca="false">IF(M545=0,"-",ROUND(3+M545/안내!$C$12,0))</f>
        <v>-</v>
      </c>
      <c r="O545" s="21" t="str">
        <f aca="false">IF(K545="","(본문 입력 후 자동) | 고전 13:7",IF(LEN(K545)&gt;28,LEFT(K545,28)&amp;"…",K545)&amp;" | 고전 13:7")</f>
        <v>(본문 입력 후 자동) | 고전 13:7</v>
      </c>
      <c r="P545" s="21" t="str">
        <f aca="false">"#"&amp;SUBSTITUTE(안내!$C$5," ","")&amp;" #성경구절 #말씀 #고린도전서 #사랑"</f>
        <v>#오늘의말씀 #성경구절 #말씀 #고린도전서 #사랑</v>
      </c>
      <c r="Q545" s="21" t="s">
        <v>77</v>
      </c>
      <c r="R545" s="22" t="n">
        <f aca="false">안내!$C$6+INT((D545-1)/안내!$C$7)</f>
        <v>46477</v>
      </c>
      <c r="S545" s="17" t="str">
        <f aca="false">IF(MOD(D545-1,안내!$C$7)=0,안내!$C$9,안내!$C$11)</f>
        <v>21:30</v>
      </c>
      <c r="T545" s="17" t="str">
        <f aca="false">CHOOSE(WEEKDAY(R545,2),"월","화","수","목","금","토","일")</f>
        <v>수</v>
      </c>
      <c r="U545" s="17" t="s">
        <v>78</v>
      </c>
      <c r="V545" s="17" t="s">
        <v>78</v>
      </c>
      <c r="W545" s="23"/>
      <c r="X545" s="23"/>
      <c r="Y545" s="21"/>
    </row>
    <row r="546" customFormat="false" ht="26.85" hidden="false" customHeight="false" outlineLevel="0" collapsed="false">
      <c r="A546" s="17" t="n">
        <v>545</v>
      </c>
      <c r="B546" s="18" t="s">
        <v>1735</v>
      </c>
      <c r="C546" s="17" t="s">
        <v>1225</v>
      </c>
      <c r="D546" s="17" t="n">
        <v>181</v>
      </c>
      <c r="E546" s="17" t="str">
        <f aca="false">C546&amp;"말씀 #"&amp;TEXT(D546,"000")</f>
        <v>신약말씀 #181</v>
      </c>
      <c r="F546" s="17" t="s">
        <v>1706</v>
      </c>
      <c r="G546" s="18" t="s">
        <v>1736</v>
      </c>
      <c r="H546" s="19" t="s">
        <v>1737</v>
      </c>
      <c r="I546" s="17" t="s">
        <v>239</v>
      </c>
      <c r="J546" s="17" t="s">
        <v>94</v>
      </c>
      <c r="K546" s="20"/>
      <c r="L546" s="17" t="s">
        <v>76</v>
      </c>
      <c r="M546" s="17" t="n">
        <f aca="false">LEN(K546)</f>
        <v>0</v>
      </c>
      <c r="N546" s="17" t="str">
        <f aca="false">IF(M546=0,"-",ROUND(3+M546/안내!$C$12,0))</f>
        <v>-</v>
      </c>
      <c r="O546" s="21" t="str">
        <f aca="false">IF(K546="","(본문 입력 후 자동) | 고전 13:13",IF(LEN(K546)&gt;28,LEFT(K546,28)&amp;"…",K546)&amp;" | 고전 13:13")</f>
        <v>(본문 입력 후 자동) | 고전 13:13</v>
      </c>
      <c r="P546" s="21" t="str">
        <f aca="false">"#"&amp;SUBSTITUTE(안내!$C$5," ","")&amp;" #성경구절 #말씀 #고린도전서 #사랑"</f>
        <v>#오늘의말씀 #성경구절 #말씀 #고린도전서 #사랑</v>
      </c>
      <c r="Q546" s="21" t="s">
        <v>77</v>
      </c>
      <c r="R546" s="22" t="n">
        <f aca="false">안내!$C$6+INT((D546-1)/안내!$C$7)</f>
        <v>46478</v>
      </c>
      <c r="S546" s="17" t="str">
        <f aca="false">IF(MOD(D546-1,안내!$C$7)=0,안내!$C$9,안내!$C$11)</f>
        <v>12:30</v>
      </c>
      <c r="T546" s="17" t="str">
        <f aca="false">CHOOSE(WEEKDAY(R546,2),"월","화","수","목","금","토","일")</f>
        <v>목</v>
      </c>
      <c r="U546" s="17" t="s">
        <v>78</v>
      </c>
      <c r="V546" s="17" t="s">
        <v>78</v>
      </c>
      <c r="W546" s="23"/>
      <c r="X546" s="23"/>
      <c r="Y546" s="21"/>
    </row>
    <row r="547" customFormat="false" ht="26.85" hidden="false" customHeight="false" outlineLevel="0" collapsed="false">
      <c r="A547" s="17" t="n">
        <v>546</v>
      </c>
      <c r="B547" s="18" t="s">
        <v>1738</v>
      </c>
      <c r="C547" s="17" t="s">
        <v>1225</v>
      </c>
      <c r="D547" s="17" t="n">
        <v>182</v>
      </c>
      <c r="E547" s="17" t="str">
        <f aca="false">C547&amp;"말씀 #"&amp;TEXT(D547,"000")</f>
        <v>신약말씀 #182</v>
      </c>
      <c r="F547" s="17" t="s">
        <v>1706</v>
      </c>
      <c r="G547" s="18" t="s">
        <v>1739</v>
      </c>
      <c r="H547" s="19" t="s">
        <v>1740</v>
      </c>
      <c r="I547" s="17" t="s">
        <v>98</v>
      </c>
      <c r="J547" s="17" t="s">
        <v>99</v>
      </c>
      <c r="K547" s="20"/>
      <c r="L547" s="17" t="s">
        <v>76</v>
      </c>
      <c r="M547" s="17" t="n">
        <f aca="false">LEN(K547)</f>
        <v>0</v>
      </c>
      <c r="N547" s="17" t="str">
        <f aca="false">IF(M547=0,"-",ROUND(3+M547/안내!$C$12,0))</f>
        <v>-</v>
      </c>
      <c r="O547" s="21" t="str">
        <f aca="false">IF(K547="","(본문 입력 후 자동) | 고전 15:10",IF(LEN(K547)&gt;28,LEFT(K547,28)&amp;"…",K547)&amp;" | 고전 15:10")</f>
        <v>(본문 입력 후 자동) | 고전 15:10</v>
      </c>
      <c r="P547" s="21" t="str">
        <f aca="false">"#"&amp;SUBSTITUTE(안내!$C$5," ","")&amp;" #성경구절 #말씀 #고린도전서 #은혜"</f>
        <v>#오늘의말씀 #성경구절 #말씀 #고린도전서 #은혜</v>
      </c>
      <c r="Q547" s="21" t="s">
        <v>77</v>
      </c>
      <c r="R547" s="22" t="n">
        <f aca="false">안내!$C$6+INT((D547-1)/안내!$C$7)</f>
        <v>46478</v>
      </c>
      <c r="S547" s="17" t="str">
        <f aca="false">IF(MOD(D547-1,안내!$C$7)=0,안내!$C$9,안내!$C$11)</f>
        <v>21:30</v>
      </c>
      <c r="T547" s="17" t="str">
        <f aca="false">CHOOSE(WEEKDAY(R547,2),"월","화","수","목","금","토","일")</f>
        <v>목</v>
      </c>
      <c r="U547" s="17" t="s">
        <v>78</v>
      </c>
      <c r="V547" s="17" t="s">
        <v>78</v>
      </c>
      <c r="W547" s="23"/>
      <c r="X547" s="23"/>
      <c r="Y547" s="21"/>
    </row>
    <row r="548" customFormat="false" ht="26.85" hidden="false" customHeight="false" outlineLevel="0" collapsed="false">
      <c r="A548" s="17" t="n">
        <v>547</v>
      </c>
      <c r="B548" s="18" t="s">
        <v>1741</v>
      </c>
      <c r="C548" s="17" t="s">
        <v>1225</v>
      </c>
      <c r="D548" s="17" t="n">
        <v>183</v>
      </c>
      <c r="E548" s="17" t="str">
        <f aca="false">C548&amp;"말씀 #"&amp;TEXT(D548,"000")</f>
        <v>신약말씀 #183</v>
      </c>
      <c r="F548" s="17" t="s">
        <v>1706</v>
      </c>
      <c r="G548" s="18" t="s">
        <v>1742</v>
      </c>
      <c r="H548" s="19" t="s">
        <v>1743</v>
      </c>
      <c r="I548" s="17" t="s">
        <v>1324</v>
      </c>
      <c r="J548" s="17" t="s">
        <v>89</v>
      </c>
      <c r="K548" s="20"/>
      <c r="L548" s="17" t="s">
        <v>76</v>
      </c>
      <c r="M548" s="17" t="n">
        <f aca="false">LEN(K548)</f>
        <v>0</v>
      </c>
      <c r="N548" s="17" t="str">
        <f aca="false">IF(M548=0,"-",ROUND(3+M548/안내!$C$12,0))</f>
        <v>-</v>
      </c>
      <c r="O548" s="21" t="str">
        <f aca="false">IF(K548="","(본문 입력 후 자동) | 고전 15:55",IF(LEN(K548)&gt;28,LEFT(K548,28)&amp;"…",K548)&amp;" | 고전 15:55")</f>
        <v>(본문 입력 후 자동) | 고전 15:55</v>
      </c>
      <c r="P548" s="21" t="str">
        <f aca="false">"#"&amp;SUBSTITUTE(안내!$C$5," ","")&amp;" #성경구절 #말씀 #고린도전서 #부활"</f>
        <v>#오늘의말씀 #성경구절 #말씀 #고린도전서 #부활</v>
      </c>
      <c r="Q548" s="21" t="s">
        <v>77</v>
      </c>
      <c r="R548" s="22" t="n">
        <f aca="false">안내!$C$6+INT((D548-1)/안내!$C$7)</f>
        <v>46479</v>
      </c>
      <c r="S548" s="17" t="str">
        <f aca="false">IF(MOD(D548-1,안내!$C$7)=0,안내!$C$9,안내!$C$11)</f>
        <v>12:30</v>
      </c>
      <c r="T548" s="17" t="str">
        <f aca="false">CHOOSE(WEEKDAY(R548,2),"월","화","수","목","금","토","일")</f>
        <v>금</v>
      </c>
      <c r="U548" s="17" t="s">
        <v>78</v>
      </c>
      <c r="V548" s="17" t="s">
        <v>78</v>
      </c>
      <c r="W548" s="23"/>
      <c r="X548" s="23"/>
      <c r="Y548" s="21"/>
    </row>
    <row r="549" customFormat="false" ht="26.85" hidden="false" customHeight="false" outlineLevel="0" collapsed="false">
      <c r="A549" s="17" t="n">
        <v>548</v>
      </c>
      <c r="B549" s="18" t="s">
        <v>1744</v>
      </c>
      <c r="C549" s="17" t="s">
        <v>1225</v>
      </c>
      <c r="D549" s="17" t="n">
        <v>184</v>
      </c>
      <c r="E549" s="17" t="str">
        <f aca="false">C549&amp;"말씀 #"&amp;TEXT(D549,"000")</f>
        <v>신약말씀 #184</v>
      </c>
      <c r="F549" s="17" t="s">
        <v>1706</v>
      </c>
      <c r="G549" s="18" t="s">
        <v>1745</v>
      </c>
      <c r="H549" s="19" t="s">
        <v>1746</v>
      </c>
      <c r="I549" s="17" t="s">
        <v>207</v>
      </c>
      <c r="J549" s="17" t="s">
        <v>113</v>
      </c>
      <c r="K549" s="20"/>
      <c r="L549" s="17" t="s">
        <v>76</v>
      </c>
      <c r="M549" s="17" t="n">
        <f aca="false">LEN(K549)</f>
        <v>0</v>
      </c>
      <c r="N549" s="17" t="str">
        <f aca="false">IF(M549=0,"-",ROUND(3+M549/안내!$C$12,0))</f>
        <v>-</v>
      </c>
      <c r="O549" s="21" t="str">
        <f aca="false">IF(K549="","(본문 입력 후 자동) | 고전 15:57",IF(LEN(K549)&gt;28,LEFT(K549,28)&amp;"…",K549)&amp;" | 고전 15:57")</f>
        <v>(본문 입력 후 자동) | 고전 15:57</v>
      </c>
      <c r="P549" s="21" t="str">
        <f aca="false">"#"&amp;SUBSTITUTE(안내!$C$5," ","")&amp;" #성경구절 #말씀 #고린도전서 #승리"</f>
        <v>#오늘의말씀 #성경구절 #말씀 #고린도전서 #승리</v>
      </c>
      <c r="Q549" s="21" t="s">
        <v>77</v>
      </c>
      <c r="R549" s="22" t="n">
        <f aca="false">안내!$C$6+INT((D549-1)/안내!$C$7)</f>
        <v>46479</v>
      </c>
      <c r="S549" s="17" t="str">
        <f aca="false">IF(MOD(D549-1,안내!$C$7)=0,안내!$C$9,안내!$C$11)</f>
        <v>21:30</v>
      </c>
      <c r="T549" s="17" t="str">
        <f aca="false">CHOOSE(WEEKDAY(R549,2),"월","화","수","목","금","토","일")</f>
        <v>금</v>
      </c>
      <c r="U549" s="17" t="s">
        <v>78</v>
      </c>
      <c r="V549" s="17" t="s">
        <v>78</v>
      </c>
      <c r="W549" s="23"/>
      <c r="X549" s="23"/>
      <c r="Y549" s="21"/>
    </row>
    <row r="550" customFormat="false" ht="26.85" hidden="false" customHeight="false" outlineLevel="0" collapsed="false">
      <c r="A550" s="17" t="n">
        <v>549</v>
      </c>
      <c r="B550" s="18" t="s">
        <v>1747</v>
      </c>
      <c r="C550" s="17" t="s">
        <v>1225</v>
      </c>
      <c r="D550" s="17" t="n">
        <v>185</v>
      </c>
      <c r="E550" s="17" t="str">
        <f aca="false">C550&amp;"말씀 #"&amp;TEXT(D550,"000")</f>
        <v>신약말씀 #185</v>
      </c>
      <c r="F550" s="17" t="s">
        <v>1706</v>
      </c>
      <c r="G550" s="18" t="s">
        <v>1748</v>
      </c>
      <c r="H550" s="19" t="s">
        <v>1749</v>
      </c>
      <c r="I550" s="17" t="s">
        <v>333</v>
      </c>
      <c r="J550" s="17" t="s">
        <v>122</v>
      </c>
      <c r="K550" s="20"/>
      <c r="L550" s="17" t="s">
        <v>76</v>
      </c>
      <c r="M550" s="17" t="n">
        <f aca="false">LEN(K550)</f>
        <v>0</v>
      </c>
      <c r="N550" s="17" t="str">
        <f aca="false">IF(M550=0,"-",ROUND(3+M550/안내!$C$12,0))</f>
        <v>-</v>
      </c>
      <c r="O550" s="21" t="str">
        <f aca="false">IF(K550="","(본문 입력 후 자동) | 고전 15:58",IF(LEN(K550)&gt;28,LEFT(K550,28)&amp;"…",K550)&amp;" | 고전 15:58")</f>
        <v>(본문 입력 후 자동) | 고전 15:58</v>
      </c>
      <c r="P550" s="21" t="str">
        <f aca="false">"#"&amp;SUBSTITUTE(안내!$C$5," ","")&amp;" #성경구절 #말씀 #고린도전서 #헌신"</f>
        <v>#오늘의말씀 #성경구절 #말씀 #고린도전서 #헌신</v>
      </c>
      <c r="Q550" s="21" t="s">
        <v>77</v>
      </c>
      <c r="R550" s="22" t="n">
        <f aca="false">안내!$C$6+INT((D550-1)/안내!$C$7)</f>
        <v>46480</v>
      </c>
      <c r="S550" s="17" t="str">
        <f aca="false">IF(MOD(D550-1,안내!$C$7)=0,안내!$C$9,안내!$C$11)</f>
        <v>12:30</v>
      </c>
      <c r="T550" s="17" t="str">
        <f aca="false">CHOOSE(WEEKDAY(R550,2),"월","화","수","목","금","토","일")</f>
        <v>토</v>
      </c>
      <c r="U550" s="17" t="s">
        <v>78</v>
      </c>
      <c r="V550" s="17" t="s">
        <v>78</v>
      </c>
      <c r="W550" s="23"/>
      <c r="X550" s="23"/>
      <c r="Y550" s="21"/>
    </row>
    <row r="551" customFormat="false" ht="26.85" hidden="false" customHeight="false" outlineLevel="0" collapsed="false">
      <c r="A551" s="17" t="n">
        <v>550</v>
      </c>
      <c r="B551" s="18" t="s">
        <v>1750</v>
      </c>
      <c r="C551" s="17" t="s">
        <v>1225</v>
      </c>
      <c r="D551" s="17" t="n">
        <v>186</v>
      </c>
      <c r="E551" s="17" t="str">
        <f aca="false">C551&amp;"말씀 #"&amp;TEXT(D551,"000")</f>
        <v>신약말씀 #186</v>
      </c>
      <c r="F551" s="17" t="s">
        <v>1706</v>
      </c>
      <c r="G551" s="18" t="s">
        <v>135</v>
      </c>
      <c r="H551" s="19" t="s">
        <v>1751</v>
      </c>
      <c r="I551" s="17" t="s">
        <v>305</v>
      </c>
      <c r="J551" s="17" t="s">
        <v>113</v>
      </c>
      <c r="K551" s="20"/>
      <c r="L551" s="17" t="s">
        <v>76</v>
      </c>
      <c r="M551" s="17" t="n">
        <f aca="false">LEN(K551)</f>
        <v>0</v>
      </c>
      <c r="N551" s="17" t="str">
        <f aca="false">IF(M551=0,"-",ROUND(3+M551/안내!$C$12,0))</f>
        <v>-</v>
      </c>
      <c r="O551" s="21" t="str">
        <f aca="false">IF(K551="","(본문 입력 후 자동) | 고전 16:13",IF(LEN(K551)&gt;28,LEFT(K551,28)&amp;"…",K551)&amp;" | 고전 16:13")</f>
        <v>(본문 입력 후 자동) | 고전 16:13</v>
      </c>
      <c r="P551" s="21" t="str">
        <f aca="false">"#"&amp;SUBSTITUTE(안내!$C$5," ","")&amp;" #성경구절 #말씀 #고린도전서 #담대함"</f>
        <v>#오늘의말씀 #성경구절 #말씀 #고린도전서 #담대함</v>
      </c>
      <c r="Q551" s="21" t="s">
        <v>77</v>
      </c>
      <c r="R551" s="22" t="n">
        <f aca="false">안내!$C$6+INT((D551-1)/안내!$C$7)</f>
        <v>46480</v>
      </c>
      <c r="S551" s="17" t="str">
        <f aca="false">IF(MOD(D551-1,안내!$C$7)=0,안내!$C$9,안내!$C$11)</f>
        <v>21:30</v>
      </c>
      <c r="T551" s="17" t="str">
        <f aca="false">CHOOSE(WEEKDAY(R551,2),"월","화","수","목","금","토","일")</f>
        <v>토</v>
      </c>
      <c r="U551" s="17" t="s">
        <v>78</v>
      </c>
      <c r="V551" s="17" t="s">
        <v>78</v>
      </c>
      <c r="W551" s="23"/>
      <c r="X551" s="23"/>
      <c r="Y551" s="21"/>
    </row>
    <row r="552" customFormat="false" ht="26.85" hidden="false" customHeight="false" outlineLevel="0" collapsed="false">
      <c r="A552" s="17" t="n">
        <v>551</v>
      </c>
      <c r="B552" s="18" t="s">
        <v>1752</v>
      </c>
      <c r="C552" s="17" t="s">
        <v>1225</v>
      </c>
      <c r="D552" s="17" t="n">
        <v>187</v>
      </c>
      <c r="E552" s="17" t="str">
        <f aca="false">C552&amp;"말씀 #"&amp;TEXT(D552,"000")</f>
        <v>신약말씀 #187</v>
      </c>
      <c r="F552" s="17" t="s">
        <v>1706</v>
      </c>
      <c r="G552" s="18" t="s">
        <v>1753</v>
      </c>
      <c r="H552" s="19" t="s">
        <v>1754</v>
      </c>
      <c r="I552" s="17" t="s">
        <v>239</v>
      </c>
      <c r="J552" s="17" t="s">
        <v>94</v>
      </c>
      <c r="K552" s="20"/>
      <c r="L552" s="17" t="s">
        <v>76</v>
      </c>
      <c r="M552" s="17" t="n">
        <f aca="false">LEN(K552)</f>
        <v>0</v>
      </c>
      <c r="N552" s="17" t="str">
        <f aca="false">IF(M552=0,"-",ROUND(3+M552/안내!$C$12,0))</f>
        <v>-</v>
      </c>
      <c r="O552" s="21" t="str">
        <f aca="false">IF(K552="","(본문 입력 후 자동) | 고전 16:14",IF(LEN(K552)&gt;28,LEFT(K552,28)&amp;"…",K552)&amp;" | 고전 16:14")</f>
        <v>(본문 입력 후 자동) | 고전 16:14</v>
      </c>
      <c r="P552" s="21" t="str">
        <f aca="false">"#"&amp;SUBSTITUTE(안내!$C$5," ","")&amp;" #성경구절 #말씀 #고린도전서 #사랑"</f>
        <v>#오늘의말씀 #성경구절 #말씀 #고린도전서 #사랑</v>
      </c>
      <c r="Q552" s="21" t="s">
        <v>77</v>
      </c>
      <c r="R552" s="22" t="n">
        <f aca="false">안내!$C$6+INT((D552-1)/안내!$C$7)</f>
        <v>46481</v>
      </c>
      <c r="S552" s="17" t="str">
        <f aca="false">IF(MOD(D552-1,안내!$C$7)=0,안내!$C$9,안내!$C$11)</f>
        <v>12:30</v>
      </c>
      <c r="T552" s="17" t="str">
        <f aca="false">CHOOSE(WEEKDAY(R552,2),"월","화","수","목","금","토","일")</f>
        <v>일</v>
      </c>
      <c r="U552" s="17" t="s">
        <v>78</v>
      </c>
      <c r="V552" s="17" t="s">
        <v>78</v>
      </c>
      <c r="W552" s="23"/>
      <c r="X552" s="23"/>
      <c r="Y552" s="21"/>
    </row>
    <row r="553" customFormat="false" ht="25.35" hidden="false" customHeight="false" outlineLevel="0" collapsed="false">
      <c r="A553" s="17" t="n">
        <v>552</v>
      </c>
      <c r="B553" s="18" t="s">
        <v>1755</v>
      </c>
      <c r="C553" s="17" t="s">
        <v>1225</v>
      </c>
      <c r="D553" s="17" t="n">
        <v>188</v>
      </c>
      <c r="E553" s="17" t="str">
        <f aca="false">C553&amp;"말씀 #"&amp;TEXT(D553,"000")</f>
        <v>신약말씀 #188</v>
      </c>
      <c r="F553" s="17" t="s">
        <v>1756</v>
      </c>
      <c r="G553" s="18" t="s">
        <v>1152</v>
      </c>
      <c r="H553" s="19" t="s">
        <v>1757</v>
      </c>
      <c r="I553" s="17" t="s">
        <v>129</v>
      </c>
      <c r="J553" s="17" t="s">
        <v>99</v>
      </c>
      <c r="K553" s="20"/>
      <c r="L553" s="17" t="s">
        <v>76</v>
      </c>
      <c r="M553" s="17" t="n">
        <f aca="false">LEN(K553)</f>
        <v>0</v>
      </c>
      <c r="N553" s="17" t="str">
        <f aca="false">IF(M553=0,"-",ROUND(3+M553/안내!$C$12,0))</f>
        <v>-</v>
      </c>
      <c r="O553" s="21" t="str">
        <f aca="false">IF(K553="","(본문 입력 후 자동) | 고후 1:3",IF(LEN(K553)&gt;28,LEFT(K553,28)&amp;"…",K553)&amp;" | 고후 1:3")</f>
        <v>(본문 입력 후 자동) | 고후 1:3</v>
      </c>
      <c r="P553" s="21" t="str">
        <f aca="false">"#"&amp;SUBSTITUTE(안내!$C$5," ","")&amp;" #성경구절 #말씀 #고린도후서 #위로"</f>
        <v>#오늘의말씀 #성경구절 #말씀 #고린도후서 #위로</v>
      </c>
      <c r="Q553" s="21" t="s">
        <v>77</v>
      </c>
      <c r="R553" s="22" t="n">
        <f aca="false">안내!$C$6+INT((D553-1)/안내!$C$7)</f>
        <v>46481</v>
      </c>
      <c r="S553" s="17" t="str">
        <f aca="false">IF(MOD(D553-1,안내!$C$7)=0,안내!$C$9,안내!$C$11)</f>
        <v>21:30</v>
      </c>
      <c r="T553" s="17" t="str">
        <f aca="false">CHOOSE(WEEKDAY(R553,2),"월","화","수","목","금","토","일")</f>
        <v>일</v>
      </c>
      <c r="U553" s="17" t="s">
        <v>78</v>
      </c>
      <c r="V553" s="17" t="s">
        <v>78</v>
      </c>
      <c r="W553" s="23"/>
      <c r="X553" s="23"/>
      <c r="Y553" s="21"/>
    </row>
    <row r="554" customFormat="false" ht="25.35" hidden="false" customHeight="false" outlineLevel="0" collapsed="false">
      <c r="A554" s="17" t="n">
        <v>553</v>
      </c>
      <c r="B554" s="18" t="s">
        <v>1758</v>
      </c>
      <c r="C554" s="17" t="s">
        <v>1225</v>
      </c>
      <c r="D554" s="17" t="n">
        <v>189</v>
      </c>
      <c r="E554" s="17" t="str">
        <f aca="false">C554&amp;"말씀 #"&amp;TEXT(D554,"000")</f>
        <v>신약말씀 #189</v>
      </c>
      <c r="F554" s="17" t="s">
        <v>1756</v>
      </c>
      <c r="G554" s="18" t="s">
        <v>1456</v>
      </c>
      <c r="H554" s="19" t="s">
        <v>1759</v>
      </c>
      <c r="I554" s="17" t="s">
        <v>129</v>
      </c>
      <c r="J554" s="17" t="s">
        <v>99</v>
      </c>
      <c r="K554" s="20"/>
      <c r="L554" s="17" t="s">
        <v>76</v>
      </c>
      <c r="M554" s="17" t="n">
        <f aca="false">LEN(K554)</f>
        <v>0</v>
      </c>
      <c r="N554" s="17" t="str">
        <f aca="false">IF(M554=0,"-",ROUND(3+M554/안내!$C$12,0))</f>
        <v>-</v>
      </c>
      <c r="O554" s="21" t="str">
        <f aca="false">IF(K554="","(본문 입력 후 자동) | 고후 1:4",IF(LEN(K554)&gt;28,LEFT(K554,28)&amp;"…",K554)&amp;" | 고후 1:4")</f>
        <v>(본문 입력 후 자동) | 고후 1:4</v>
      </c>
      <c r="P554" s="21" t="str">
        <f aca="false">"#"&amp;SUBSTITUTE(안내!$C$5," ","")&amp;" #성경구절 #말씀 #고린도후서 #위로"</f>
        <v>#오늘의말씀 #성경구절 #말씀 #고린도후서 #위로</v>
      </c>
      <c r="Q554" s="21" t="s">
        <v>77</v>
      </c>
      <c r="R554" s="22" t="n">
        <f aca="false">안내!$C$6+INT((D554-1)/안내!$C$7)</f>
        <v>46482</v>
      </c>
      <c r="S554" s="17" t="str">
        <f aca="false">IF(MOD(D554-1,안내!$C$7)=0,안내!$C$9,안내!$C$11)</f>
        <v>12:30</v>
      </c>
      <c r="T554" s="17" t="str">
        <f aca="false">CHOOSE(WEEKDAY(R554,2),"월","화","수","목","금","토","일")</f>
        <v>월</v>
      </c>
      <c r="U554" s="17" t="s">
        <v>78</v>
      </c>
      <c r="V554" s="17" t="s">
        <v>78</v>
      </c>
      <c r="W554" s="23"/>
      <c r="X554" s="23"/>
      <c r="Y554" s="21"/>
    </row>
    <row r="555" customFormat="false" ht="26.85" hidden="false" customHeight="false" outlineLevel="0" collapsed="false">
      <c r="A555" s="17" t="n">
        <v>554</v>
      </c>
      <c r="B555" s="18" t="s">
        <v>1760</v>
      </c>
      <c r="C555" s="17" t="s">
        <v>1225</v>
      </c>
      <c r="D555" s="17" t="n">
        <v>190</v>
      </c>
      <c r="E555" s="17" t="str">
        <f aca="false">C555&amp;"말씀 #"&amp;TEXT(D555,"000")</f>
        <v>신약말씀 #190</v>
      </c>
      <c r="F555" s="17" t="s">
        <v>1756</v>
      </c>
      <c r="G555" s="18" t="s">
        <v>1107</v>
      </c>
      <c r="H555" s="19" t="s">
        <v>1761</v>
      </c>
      <c r="I555" s="17" t="s">
        <v>243</v>
      </c>
      <c r="J555" s="17" t="s">
        <v>104</v>
      </c>
      <c r="K555" s="20"/>
      <c r="L555" s="17" t="s">
        <v>76</v>
      </c>
      <c r="M555" s="17" t="n">
        <f aca="false">LEN(K555)</f>
        <v>0</v>
      </c>
      <c r="N555" s="17" t="str">
        <f aca="false">IF(M555=0,"-",ROUND(3+M555/안내!$C$12,0))</f>
        <v>-</v>
      </c>
      <c r="O555" s="21" t="str">
        <f aca="false">IF(K555="","(본문 입력 후 자동) | 고후 3:17",IF(LEN(K555)&gt;28,LEFT(K555,28)&amp;"…",K555)&amp;" | 고후 3:17")</f>
        <v>(본문 입력 후 자동) | 고후 3:17</v>
      </c>
      <c r="P555" s="21" t="str">
        <f aca="false">"#"&amp;SUBSTITUTE(안내!$C$5," ","")&amp;" #성경구절 #말씀 #고린도후서 #자유"</f>
        <v>#오늘의말씀 #성경구절 #말씀 #고린도후서 #자유</v>
      </c>
      <c r="Q555" s="21" t="s">
        <v>77</v>
      </c>
      <c r="R555" s="22" t="n">
        <f aca="false">안내!$C$6+INT((D555-1)/안내!$C$7)</f>
        <v>46482</v>
      </c>
      <c r="S555" s="17" t="str">
        <f aca="false">IF(MOD(D555-1,안내!$C$7)=0,안내!$C$9,안내!$C$11)</f>
        <v>21:30</v>
      </c>
      <c r="T555" s="17" t="str">
        <f aca="false">CHOOSE(WEEKDAY(R555,2),"월","화","수","목","금","토","일")</f>
        <v>월</v>
      </c>
      <c r="U555" s="17" t="s">
        <v>78</v>
      </c>
      <c r="V555" s="17" t="s">
        <v>78</v>
      </c>
      <c r="W555" s="23"/>
      <c r="X555" s="23"/>
      <c r="Y555" s="21"/>
    </row>
    <row r="556" customFormat="false" ht="25.35" hidden="false" customHeight="false" outlineLevel="0" collapsed="false">
      <c r="A556" s="17" t="n">
        <v>555</v>
      </c>
      <c r="B556" s="18" t="s">
        <v>1762</v>
      </c>
      <c r="C556" s="17" t="s">
        <v>1225</v>
      </c>
      <c r="D556" s="17" t="n">
        <v>191</v>
      </c>
      <c r="E556" s="17" t="str">
        <f aca="false">C556&amp;"말씀 #"&amp;TEXT(D556,"000")</f>
        <v>신약말씀 #191</v>
      </c>
      <c r="F556" s="17" t="s">
        <v>1756</v>
      </c>
      <c r="G556" s="18" t="s">
        <v>1763</v>
      </c>
      <c r="H556" s="19" t="s">
        <v>1764</v>
      </c>
      <c r="I556" s="17" t="s">
        <v>140</v>
      </c>
      <c r="J556" s="17" t="s">
        <v>113</v>
      </c>
      <c r="K556" s="20"/>
      <c r="L556" s="17" t="s">
        <v>76</v>
      </c>
      <c r="M556" s="17" t="n">
        <f aca="false">LEN(K556)</f>
        <v>0</v>
      </c>
      <c r="N556" s="17" t="str">
        <f aca="false">IF(M556=0,"-",ROUND(3+M556/안내!$C$12,0))</f>
        <v>-</v>
      </c>
      <c r="O556" s="21" t="str">
        <f aca="false">IF(K556="","(본문 입력 후 자동) | 고후 4:7",IF(LEN(K556)&gt;28,LEFT(K556,28)&amp;"…",K556)&amp;" | 고후 4:7")</f>
        <v>(본문 입력 후 자동) | 고후 4:7</v>
      </c>
      <c r="P556" s="21" t="str">
        <f aca="false">"#"&amp;SUBSTITUTE(안내!$C$5," ","")&amp;" #성경구절 #말씀 #고린도후서 #능력"</f>
        <v>#오늘의말씀 #성경구절 #말씀 #고린도후서 #능력</v>
      </c>
      <c r="Q556" s="21" t="s">
        <v>77</v>
      </c>
      <c r="R556" s="22" t="n">
        <f aca="false">안내!$C$6+INT((D556-1)/안내!$C$7)</f>
        <v>46483</v>
      </c>
      <c r="S556" s="17" t="str">
        <f aca="false">IF(MOD(D556-1,안내!$C$7)=0,안내!$C$9,안내!$C$11)</f>
        <v>12:30</v>
      </c>
      <c r="T556" s="17" t="str">
        <f aca="false">CHOOSE(WEEKDAY(R556,2),"월","화","수","목","금","토","일")</f>
        <v>화</v>
      </c>
      <c r="U556" s="17" t="s">
        <v>78</v>
      </c>
      <c r="V556" s="17" t="s">
        <v>78</v>
      </c>
      <c r="W556" s="23"/>
      <c r="X556" s="23"/>
      <c r="Y556" s="21"/>
    </row>
    <row r="557" customFormat="false" ht="25.35" hidden="false" customHeight="false" outlineLevel="0" collapsed="false">
      <c r="A557" s="17" t="n">
        <v>556</v>
      </c>
      <c r="B557" s="18" t="s">
        <v>1765</v>
      </c>
      <c r="C557" s="17" t="s">
        <v>1225</v>
      </c>
      <c r="D557" s="17" t="n">
        <v>192</v>
      </c>
      <c r="E557" s="17" t="str">
        <f aca="false">C557&amp;"말씀 #"&amp;TEXT(D557,"000")</f>
        <v>신약말씀 #192</v>
      </c>
      <c r="F557" s="17" t="s">
        <v>1756</v>
      </c>
      <c r="G557" s="18" t="s">
        <v>544</v>
      </c>
      <c r="H557" s="19" t="s">
        <v>1766</v>
      </c>
      <c r="I557" s="17" t="s">
        <v>511</v>
      </c>
      <c r="J557" s="17" t="s">
        <v>89</v>
      </c>
      <c r="K557" s="20"/>
      <c r="L557" s="17" t="s">
        <v>76</v>
      </c>
      <c r="M557" s="17" t="n">
        <f aca="false">LEN(K557)</f>
        <v>0</v>
      </c>
      <c r="N557" s="17" t="str">
        <f aca="false">IF(M557=0,"-",ROUND(3+M557/안내!$C$12,0))</f>
        <v>-</v>
      </c>
      <c r="O557" s="21" t="str">
        <f aca="false">IF(K557="","(본문 입력 후 자동) | 고후 4:8",IF(LEN(K557)&gt;28,LEFT(K557,28)&amp;"…",K557)&amp;" | 고후 4:8")</f>
        <v>(본문 입력 후 자동) | 고후 4:8</v>
      </c>
      <c r="P557" s="21" t="str">
        <f aca="false">"#"&amp;SUBSTITUTE(안내!$C$5," ","")&amp;" #성경구절 #말씀 #고린도후서 #소망"</f>
        <v>#오늘의말씀 #성경구절 #말씀 #고린도후서 #소망</v>
      </c>
      <c r="Q557" s="21" t="s">
        <v>77</v>
      </c>
      <c r="R557" s="22" t="n">
        <f aca="false">안내!$C$6+INT((D557-1)/안내!$C$7)</f>
        <v>46483</v>
      </c>
      <c r="S557" s="17" t="str">
        <f aca="false">IF(MOD(D557-1,안내!$C$7)=0,안내!$C$9,안내!$C$11)</f>
        <v>21:30</v>
      </c>
      <c r="T557" s="17" t="str">
        <f aca="false">CHOOSE(WEEKDAY(R557,2),"월","화","수","목","금","토","일")</f>
        <v>화</v>
      </c>
      <c r="U557" s="17" t="s">
        <v>78</v>
      </c>
      <c r="V557" s="17" t="s">
        <v>78</v>
      </c>
      <c r="W557" s="23"/>
      <c r="X557" s="23"/>
      <c r="Y557" s="21"/>
    </row>
    <row r="558" customFormat="false" ht="26.85" hidden="false" customHeight="false" outlineLevel="0" collapsed="false">
      <c r="A558" s="17" t="n">
        <v>557</v>
      </c>
      <c r="B558" s="18" t="s">
        <v>1767</v>
      </c>
      <c r="C558" s="17" t="s">
        <v>1225</v>
      </c>
      <c r="D558" s="17" t="n">
        <v>193</v>
      </c>
      <c r="E558" s="17" t="str">
        <f aca="false">C558&amp;"말씀 #"&amp;TEXT(D558,"000")</f>
        <v>신약말씀 #193</v>
      </c>
      <c r="F558" s="17" t="s">
        <v>1756</v>
      </c>
      <c r="G558" s="18" t="s">
        <v>491</v>
      </c>
      <c r="H558" s="19" t="s">
        <v>1768</v>
      </c>
      <c r="I558" s="17" t="s">
        <v>511</v>
      </c>
      <c r="J558" s="17" t="s">
        <v>89</v>
      </c>
      <c r="K558" s="20"/>
      <c r="L558" s="17" t="s">
        <v>76</v>
      </c>
      <c r="M558" s="17" t="n">
        <f aca="false">LEN(K558)</f>
        <v>0</v>
      </c>
      <c r="N558" s="17" t="str">
        <f aca="false">IF(M558=0,"-",ROUND(3+M558/안내!$C$12,0))</f>
        <v>-</v>
      </c>
      <c r="O558" s="21" t="str">
        <f aca="false">IF(K558="","(본문 입력 후 자동) | 고후 4:16",IF(LEN(K558)&gt;28,LEFT(K558,28)&amp;"…",K558)&amp;" | 고후 4:16")</f>
        <v>(본문 입력 후 자동) | 고후 4:16</v>
      </c>
      <c r="P558" s="21" t="str">
        <f aca="false">"#"&amp;SUBSTITUTE(안내!$C$5," ","")&amp;" #성경구절 #말씀 #고린도후서 #소망"</f>
        <v>#오늘의말씀 #성경구절 #말씀 #고린도후서 #소망</v>
      </c>
      <c r="Q558" s="21" t="s">
        <v>77</v>
      </c>
      <c r="R558" s="22" t="n">
        <f aca="false">안내!$C$6+INT((D558-1)/안내!$C$7)</f>
        <v>46484</v>
      </c>
      <c r="S558" s="17" t="str">
        <f aca="false">IF(MOD(D558-1,안내!$C$7)=0,안내!$C$9,안내!$C$11)</f>
        <v>12:30</v>
      </c>
      <c r="T558" s="17" t="str">
        <f aca="false">CHOOSE(WEEKDAY(R558,2),"월","화","수","목","금","토","일")</f>
        <v>수</v>
      </c>
      <c r="U558" s="17" t="s">
        <v>78</v>
      </c>
      <c r="V558" s="17" t="s">
        <v>78</v>
      </c>
      <c r="W558" s="23"/>
      <c r="X558" s="23"/>
      <c r="Y558" s="21"/>
    </row>
    <row r="559" customFormat="false" ht="26.85" hidden="false" customHeight="false" outlineLevel="0" collapsed="false">
      <c r="A559" s="17" t="n">
        <v>558</v>
      </c>
      <c r="B559" s="18" t="s">
        <v>1769</v>
      </c>
      <c r="C559" s="17" t="s">
        <v>1225</v>
      </c>
      <c r="D559" s="17" t="n">
        <v>194</v>
      </c>
      <c r="E559" s="17" t="str">
        <f aca="false">C559&amp;"말씀 #"&amp;TEXT(D559,"000")</f>
        <v>신약말씀 #194</v>
      </c>
      <c r="F559" s="17" t="s">
        <v>1756</v>
      </c>
      <c r="G559" s="18" t="s">
        <v>1397</v>
      </c>
      <c r="H559" s="19" t="s">
        <v>1770</v>
      </c>
      <c r="I559" s="17" t="s">
        <v>511</v>
      </c>
      <c r="J559" s="17" t="s">
        <v>89</v>
      </c>
      <c r="K559" s="20"/>
      <c r="L559" s="17" t="s">
        <v>76</v>
      </c>
      <c r="M559" s="17" t="n">
        <f aca="false">LEN(K559)</f>
        <v>0</v>
      </c>
      <c r="N559" s="17" t="str">
        <f aca="false">IF(M559=0,"-",ROUND(3+M559/안내!$C$12,0))</f>
        <v>-</v>
      </c>
      <c r="O559" s="21" t="str">
        <f aca="false">IF(K559="","(본문 입력 후 자동) | 고후 4:18",IF(LEN(K559)&gt;28,LEFT(K559,28)&amp;"…",K559)&amp;" | 고후 4:18")</f>
        <v>(본문 입력 후 자동) | 고후 4:18</v>
      </c>
      <c r="P559" s="21" t="str">
        <f aca="false">"#"&amp;SUBSTITUTE(안내!$C$5," ","")&amp;" #성경구절 #말씀 #고린도후서 #소망"</f>
        <v>#오늘의말씀 #성경구절 #말씀 #고린도후서 #소망</v>
      </c>
      <c r="Q559" s="21" t="s">
        <v>77</v>
      </c>
      <c r="R559" s="22" t="n">
        <f aca="false">안내!$C$6+INT((D559-1)/안내!$C$7)</f>
        <v>46484</v>
      </c>
      <c r="S559" s="17" t="str">
        <f aca="false">IF(MOD(D559-1,안내!$C$7)=0,안내!$C$9,안내!$C$11)</f>
        <v>21:30</v>
      </c>
      <c r="T559" s="17" t="str">
        <f aca="false">CHOOSE(WEEKDAY(R559,2),"월","화","수","목","금","토","일")</f>
        <v>수</v>
      </c>
      <c r="U559" s="17" t="s">
        <v>78</v>
      </c>
      <c r="V559" s="17" t="s">
        <v>78</v>
      </c>
      <c r="W559" s="23"/>
      <c r="X559" s="23"/>
      <c r="Y559" s="21"/>
    </row>
    <row r="560" customFormat="false" ht="25.35" hidden="false" customHeight="false" outlineLevel="0" collapsed="false">
      <c r="A560" s="17" t="n">
        <v>559</v>
      </c>
      <c r="B560" s="18" t="s">
        <v>1771</v>
      </c>
      <c r="C560" s="17" t="s">
        <v>1225</v>
      </c>
      <c r="D560" s="17" t="n">
        <v>195</v>
      </c>
      <c r="E560" s="17" t="str">
        <f aca="false">C560&amp;"말씀 #"&amp;TEXT(D560,"000")</f>
        <v>신약말씀 #195</v>
      </c>
      <c r="F560" s="17" t="s">
        <v>1756</v>
      </c>
      <c r="G560" s="18" t="s">
        <v>1247</v>
      </c>
      <c r="H560" s="19" t="s">
        <v>1772</v>
      </c>
      <c r="I560" s="17" t="s">
        <v>133</v>
      </c>
      <c r="J560" s="17" t="s">
        <v>113</v>
      </c>
      <c r="K560" s="20"/>
      <c r="L560" s="17" t="s">
        <v>76</v>
      </c>
      <c r="M560" s="17" t="n">
        <f aca="false">LEN(K560)</f>
        <v>0</v>
      </c>
      <c r="N560" s="17" t="str">
        <f aca="false">IF(M560=0,"-",ROUND(3+M560/안내!$C$12,0))</f>
        <v>-</v>
      </c>
      <c r="O560" s="21" t="str">
        <f aca="false">IF(K560="","(본문 입력 후 자동) | 고후 5:7",IF(LEN(K560)&gt;28,LEFT(K560,28)&amp;"…",K560)&amp;" | 고후 5:7")</f>
        <v>(본문 입력 후 자동) | 고후 5:7</v>
      </c>
      <c r="P560" s="21" t="str">
        <f aca="false">"#"&amp;SUBSTITUTE(안내!$C$5," ","")&amp;" #성경구절 #말씀 #고린도후서 #믿음"</f>
        <v>#오늘의말씀 #성경구절 #말씀 #고린도후서 #믿음</v>
      </c>
      <c r="Q560" s="21" t="s">
        <v>77</v>
      </c>
      <c r="R560" s="22" t="n">
        <f aca="false">안내!$C$6+INT((D560-1)/안내!$C$7)</f>
        <v>46485</v>
      </c>
      <c r="S560" s="17" t="str">
        <f aca="false">IF(MOD(D560-1,안내!$C$7)=0,안내!$C$9,안내!$C$11)</f>
        <v>12:30</v>
      </c>
      <c r="T560" s="17" t="str">
        <f aca="false">CHOOSE(WEEKDAY(R560,2),"월","화","수","목","금","토","일")</f>
        <v>목</v>
      </c>
      <c r="U560" s="17" t="s">
        <v>78</v>
      </c>
      <c r="V560" s="17" t="s">
        <v>78</v>
      </c>
      <c r="W560" s="23"/>
      <c r="X560" s="23"/>
      <c r="Y560" s="21"/>
    </row>
    <row r="561" customFormat="false" ht="26.85" hidden="false" customHeight="false" outlineLevel="0" collapsed="false">
      <c r="A561" s="17" t="n">
        <v>560</v>
      </c>
      <c r="B561" s="18" t="s">
        <v>1773</v>
      </c>
      <c r="C561" s="17" t="s">
        <v>1225</v>
      </c>
      <c r="D561" s="17" t="n">
        <v>196</v>
      </c>
      <c r="E561" s="17" t="str">
        <f aca="false">C561&amp;"말씀 #"&amp;TEXT(D561,"000")</f>
        <v>신약말씀 #196</v>
      </c>
      <c r="F561" s="17" t="s">
        <v>1756</v>
      </c>
      <c r="G561" s="18" t="s">
        <v>502</v>
      </c>
      <c r="H561" s="19" t="s">
        <v>1774</v>
      </c>
      <c r="I561" s="17" t="s">
        <v>1079</v>
      </c>
      <c r="J561" s="17" t="s">
        <v>89</v>
      </c>
      <c r="K561" s="20"/>
      <c r="L561" s="17" t="s">
        <v>76</v>
      </c>
      <c r="M561" s="17" t="n">
        <f aca="false">LEN(K561)</f>
        <v>0</v>
      </c>
      <c r="N561" s="17" t="str">
        <f aca="false">IF(M561=0,"-",ROUND(3+M561/안내!$C$12,0))</f>
        <v>-</v>
      </c>
      <c r="O561" s="21" t="str">
        <f aca="false">IF(K561="","(본문 입력 후 자동) | 고후 5:17",IF(LEN(K561)&gt;28,LEFT(K561,28)&amp;"…",K561)&amp;" | 고후 5:17")</f>
        <v>(본문 입력 후 자동) | 고후 5:17</v>
      </c>
      <c r="P561" s="21" t="str">
        <f aca="false">"#"&amp;SUBSTITUTE(안내!$C$5," ","")&amp;" #성경구절 #말씀 #고린도후서 #새마음"</f>
        <v>#오늘의말씀 #성경구절 #말씀 #고린도후서 #새마음</v>
      </c>
      <c r="Q561" s="21" t="s">
        <v>77</v>
      </c>
      <c r="R561" s="22" t="n">
        <f aca="false">안내!$C$6+INT((D561-1)/안내!$C$7)</f>
        <v>46485</v>
      </c>
      <c r="S561" s="17" t="str">
        <f aca="false">IF(MOD(D561-1,안내!$C$7)=0,안내!$C$9,안내!$C$11)</f>
        <v>21:30</v>
      </c>
      <c r="T561" s="17" t="str">
        <f aca="false">CHOOSE(WEEKDAY(R561,2),"월","화","수","목","금","토","일")</f>
        <v>목</v>
      </c>
      <c r="U561" s="17" t="s">
        <v>78</v>
      </c>
      <c r="V561" s="17" t="s">
        <v>78</v>
      </c>
      <c r="W561" s="23"/>
      <c r="X561" s="23"/>
      <c r="Y561" s="21"/>
    </row>
    <row r="562" customFormat="false" ht="26.85" hidden="false" customHeight="false" outlineLevel="0" collapsed="false">
      <c r="A562" s="17" t="n">
        <v>561</v>
      </c>
      <c r="B562" s="18" t="s">
        <v>1775</v>
      </c>
      <c r="C562" s="17" t="s">
        <v>1225</v>
      </c>
      <c r="D562" s="17" t="n">
        <v>197</v>
      </c>
      <c r="E562" s="17" t="str">
        <f aca="false">C562&amp;"말씀 #"&amp;TEXT(D562,"000")</f>
        <v>신약말씀 #197</v>
      </c>
      <c r="F562" s="17" t="s">
        <v>1756</v>
      </c>
      <c r="G562" s="18" t="s">
        <v>1776</v>
      </c>
      <c r="H562" s="19" t="s">
        <v>1777</v>
      </c>
      <c r="I562" s="17" t="s">
        <v>103</v>
      </c>
      <c r="J562" s="17" t="s">
        <v>104</v>
      </c>
      <c r="K562" s="20"/>
      <c r="L562" s="17" t="s">
        <v>76</v>
      </c>
      <c r="M562" s="17" t="n">
        <f aca="false">LEN(K562)</f>
        <v>0</v>
      </c>
      <c r="N562" s="17" t="str">
        <f aca="false">IF(M562=0,"-",ROUND(3+M562/안내!$C$12,0))</f>
        <v>-</v>
      </c>
      <c r="O562" s="21" t="str">
        <f aca="false">IF(K562="","(본문 입력 후 자동) | 고후 5:21",IF(LEN(K562)&gt;28,LEFT(K562,28)&amp;"…",K562)&amp;" | 고후 5:21")</f>
        <v>(본문 입력 후 자동) | 고후 5:21</v>
      </c>
      <c r="P562" s="21" t="str">
        <f aca="false">"#"&amp;SUBSTITUTE(안내!$C$5," ","")&amp;" #성경구절 #말씀 #고린도후서 #구원"</f>
        <v>#오늘의말씀 #성경구절 #말씀 #고린도후서 #구원</v>
      </c>
      <c r="Q562" s="21" t="s">
        <v>77</v>
      </c>
      <c r="R562" s="22" t="n">
        <f aca="false">안내!$C$6+INT((D562-1)/안내!$C$7)</f>
        <v>46486</v>
      </c>
      <c r="S562" s="17" t="str">
        <f aca="false">IF(MOD(D562-1,안내!$C$7)=0,안내!$C$9,안내!$C$11)</f>
        <v>12:30</v>
      </c>
      <c r="T562" s="17" t="str">
        <f aca="false">CHOOSE(WEEKDAY(R562,2),"월","화","수","목","금","토","일")</f>
        <v>금</v>
      </c>
      <c r="U562" s="17" t="s">
        <v>78</v>
      </c>
      <c r="V562" s="17" t="s">
        <v>78</v>
      </c>
      <c r="W562" s="23"/>
      <c r="X562" s="23"/>
      <c r="Y562" s="21"/>
    </row>
    <row r="563" customFormat="false" ht="25.35" hidden="false" customHeight="false" outlineLevel="0" collapsed="false">
      <c r="A563" s="17" t="n">
        <v>562</v>
      </c>
      <c r="B563" s="18" t="s">
        <v>1778</v>
      </c>
      <c r="C563" s="17" t="s">
        <v>1225</v>
      </c>
      <c r="D563" s="17" t="n">
        <v>198</v>
      </c>
      <c r="E563" s="17" t="str">
        <f aca="false">C563&amp;"말씀 #"&amp;TEXT(D563,"000")</f>
        <v>신약말씀 #198</v>
      </c>
      <c r="F563" s="17" t="s">
        <v>1756</v>
      </c>
      <c r="G563" s="18" t="s">
        <v>1779</v>
      </c>
      <c r="H563" s="19" t="s">
        <v>1780</v>
      </c>
      <c r="I563" s="17" t="s">
        <v>103</v>
      </c>
      <c r="J563" s="17" t="s">
        <v>104</v>
      </c>
      <c r="K563" s="20"/>
      <c r="L563" s="17" t="s">
        <v>76</v>
      </c>
      <c r="M563" s="17" t="n">
        <f aca="false">LEN(K563)</f>
        <v>0</v>
      </c>
      <c r="N563" s="17" t="str">
        <f aca="false">IF(M563=0,"-",ROUND(3+M563/안내!$C$12,0))</f>
        <v>-</v>
      </c>
      <c r="O563" s="21" t="str">
        <f aca="false">IF(K563="","(본문 입력 후 자동) | 고후 6:2",IF(LEN(K563)&gt;28,LEFT(K563,28)&amp;"…",K563)&amp;" | 고후 6:2")</f>
        <v>(본문 입력 후 자동) | 고후 6:2</v>
      </c>
      <c r="P563" s="21" t="str">
        <f aca="false">"#"&amp;SUBSTITUTE(안내!$C$5," ","")&amp;" #성경구절 #말씀 #고린도후서 #구원"</f>
        <v>#오늘의말씀 #성경구절 #말씀 #고린도후서 #구원</v>
      </c>
      <c r="Q563" s="21" t="s">
        <v>77</v>
      </c>
      <c r="R563" s="22" t="n">
        <f aca="false">안내!$C$6+INT((D563-1)/안내!$C$7)</f>
        <v>46486</v>
      </c>
      <c r="S563" s="17" t="str">
        <f aca="false">IF(MOD(D563-1,안내!$C$7)=0,안내!$C$9,안내!$C$11)</f>
        <v>21:30</v>
      </c>
      <c r="T563" s="17" t="str">
        <f aca="false">CHOOSE(WEEKDAY(R563,2),"월","화","수","목","금","토","일")</f>
        <v>금</v>
      </c>
      <c r="U563" s="17" t="s">
        <v>78</v>
      </c>
      <c r="V563" s="17" t="s">
        <v>78</v>
      </c>
      <c r="W563" s="23"/>
      <c r="X563" s="23"/>
      <c r="Y563" s="21"/>
    </row>
    <row r="564" customFormat="false" ht="25.35" hidden="false" customHeight="false" outlineLevel="0" collapsed="false">
      <c r="A564" s="17" t="n">
        <v>563</v>
      </c>
      <c r="B564" s="18" t="s">
        <v>1781</v>
      </c>
      <c r="C564" s="17" t="s">
        <v>1225</v>
      </c>
      <c r="D564" s="17" t="n">
        <v>199</v>
      </c>
      <c r="E564" s="17" t="str">
        <f aca="false">C564&amp;"말씀 #"&amp;TEXT(D564,"000")</f>
        <v>신약말씀 #199</v>
      </c>
      <c r="F564" s="17" t="s">
        <v>1756</v>
      </c>
      <c r="G564" s="18" t="s">
        <v>1782</v>
      </c>
      <c r="H564" s="19" t="s">
        <v>1783</v>
      </c>
      <c r="I564" s="17" t="s">
        <v>1410</v>
      </c>
      <c r="J564" s="17" t="s">
        <v>148</v>
      </c>
      <c r="K564" s="20"/>
      <c r="L564" s="17" t="s">
        <v>76</v>
      </c>
      <c r="M564" s="17" t="n">
        <f aca="false">LEN(K564)</f>
        <v>0</v>
      </c>
      <c r="N564" s="17" t="str">
        <f aca="false">IF(M564=0,"-",ROUND(3+M564/안내!$C$12,0))</f>
        <v>-</v>
      </c>
      <c r="O564" s="21" t="str">
        <f aca="false">IF(K564="","(본문 입력 후 자동) | 고후 9:7",IF(LEN(K564)&gt;28,LEFT(K564,28)&amp;"…",K564)&amp;" | 고후 9:7")</f>
        <v>(본문 입력 후 자동) | 고후 9:7</v>
      </c>
      <c r="P564" s="21" t="str">
        <f aca="false">"#"&amp;SUBSTITUTE(안내!$C$5," ","")&amp;" #성경구절 #말씀 #고린도후서 #나눔"</f>
        <v>#오늘의말씀 #성경구절 #말씀 #고린도후서 #나눔</v>
      </c>
      <c r="Q564" s="21" t="s">
        <v>77</v>
      </c>
      <c r="R564" s="22" t="n">
        <f aca="false">안내!$C$6+INT((D564-1)/안내!$C$7)</f>
        <v>46487</v>
      </c>
      <c r="S564" s="17" t="str">
        <f aca="false">IF(MOD(D564-1,안내!$C$7)=0,안내!$C$9,안내!$C$11)</f>
        <v>12:30</v>
      </c>
      <c r="T564" s="17" t="str">
        <f aca="false">CHOOSE(WEEKDAY(R564,2),"월","화","수","목","금","토","일")</f>
        <v>토</v>
      </c>
      <c r="U564" s="17" t="s">
        <v>78</v>
      </c>
      <c r="V564" s="17" t="s">
        <v>78</v>
      </c>
      <c r="W564" s="23"/>
      <c r="X564" s="23"/>
      <c r="Y564" s="21"/>
    </row>
    <row r="565" customFormat="false" ht="26.85" hidden="false" customHeight="false" outlineLevel="0" collapsed="false">
      <c r="A565" s="17" t="n">
        <v>564</v>
      </c>
      <c r="B565" s="18" t="s">
        <v>1784</v>
      </c>
      <c r="C565" s="17" t="s">
        <v>1225</v>
      </c>
      <c r="D565" s="17" t="n">
        <v>200</v>
      </c>
      <c r="E565" s="17" t="str">
        <f aca="false">C565&amp;"말씀 #"&amp;TEXT(D565,"000")</f>
        <v>신약말씀 #200</v>
      </c>
      <c r="F565" s="17" t="s">
        <v>1756</v>
      </c>
      <c r="G565" s="18" t="s">
        <v>1785</v>
      </c>
      <c r="H565" s="19" t="s">
        <v>1786</v>
      </c>
      <c r="I565" s="17" t="s">
        <v>98</v>
      </c>
      <c r="J565" s="17" t="s">
        <v>99</v>
      </c>
      <c r="K565" s="20"/>
      <c r="L565" s="17" t="s">
        <v>76</v>
      </c>
      <c r="M565" s="17" t="n">
        <f aca="false">LEN(K565)</f>
        <v>0</v>
      </c>
      <c r="N565" s="17" t="str">
        <f aca="false">IF(M565=0,"-",ROUND(3+M565/안내!$C$12,0))</f>
        <v>-</v>
      </c>
      <c r="O565" s="21" t="str">
        <f aca="false">IF(K565="","(본문 입력 후 자동) | 고후 12:9",IF(LEN(K565)&gt;28,LEFT(K565,28)&amp;"…",K565)&amp;" | 고후 12:9")</f>
        <v>(본문 입력 후 자동) | 고후 12:9</v>
      </c>
      <c r="P565" s="21" t="str">
        <f aca="false">"#"&amp;SUBSTITUTE(안내!$C$5," ","")&amp;" #성경구절 #말씀 #고린도후서 #은혜"</f>
        <v>#오늘의말씀 #성경구절 #말씀 #고린도후서 #은혜</v>
      </c>
      <c r="Q565" s="21" t="s">
        <v>77</v>
      </c>
      <c r="R565" s="22" t="n">
        <f aca="false">안내!$C$6+INT((D565-1)/안내!$C$7)</f>
        <v>46487</v>
      </c>
      <c r="S565" s="17" t="str">
        <f aca="false">IF(MOD(D565-1,안내!$C$7)=0,안내!$C$9,안내!$C$11)</f>
        <v>21:30</v>
      </c>
      <c r="T565" s="17" t="str">
        <f aca="false">CHOOSE(WEEKDAY(R565,2),"월","화","수","목","금","토","일")</f>
        <v>토</v>
      </c>
      <c r="U565" s="17" t="s">
        <v>78</v>
      </c>
      <c r="V565" s="17" t="s">
        <v>78</v>
      </c>
      <c r="W565" s="23"/>
      <c r="X565" s="23"/>
      <c r="Y565" s="21"/>
    </row>
    <row r="566" customFormat="false" ht="26.85" hidden="false" customHeight="false" outlineLevel="0" collapsed="false">
      <c r="A566" s="17" t="n">
        <v>565</v>
      </c>
      <c r="B566" s="18" t="s">
        <v>1787</v>
      </c>
      <c r="C566" s="17" t="s">
        <v>1225</v>
      </c>
      <c r="D566" s="17" t="n">
        <v>201</v>
      </c>
      <c r="E566" s="17" t="str">
        <f aca="false">C566&amp;"말씀 #"&amp;TEXT(D566,"000")</f>
        <v>신약말씀 #201</v>
      </c>
      <c r="F566" s="17" t="s">
        <v>1756</v>
      </c>
      <c r="G566" s="18" t="s">
        <v>1788</v>
      </c>
      <c r="H566" s="19" t="s">
        <v>1789</v>
      </c>
      <c r="I566" s="17" t="s">
        <v>140</v>
      </c>
      <c r="J566" s="17" t="s">
        <v>113</v>
      </c>
      <c r="K566" s="20"/>
      <c r="L566" s="17" t="s">
        <v>76</v>
      </c>
      <c r="M566" s="17" t="n">
        <f aca="false">LEN(K566)</f>
        <v>0</v>
      </c>
      <c r="N566" s="17" t="str">
        <f aca="false">IF(M566=0,"-",ROUND(3+M566/안내!$C$12,0))</f>
        <v>-</v>
      </c>
      <c r="O566" s="21" t="str">
        <f aca="false">IF(K566="","(본문 입력 후 자동) | 고후 12:10",IF(LEN(K566)&gt;28,LEFT(K566,28)&amp;"…",K566)&amp;" | 고후 12:10")</f>
        <v>(본문 입력 후 자동) | 고후 12:10</v>
      </c>
      <c r="P566" s="21" t="str">
        <f aca="false">"#"&amp;SUBSTITUTE(안내!$C$5," ","")&amp;" #성경구절 #말씀 #고린도후서 #능력"</f>
        <v>#오늘의말씀 #성경구절 #말씀 #고린도후서 #능력</v>
      </c>
      <c r="Q566" s="21" t="s">
        <v>77</v>
      </c>
      <c r="R566" s="22" t="n">
        <f aca="false">안내!$C$6+INT((D566-1)/안내!$C$7)</f>
        <v>46488</v>
      </c>
      <c r="S566" s="17" t="str">
        <f aca="false">IF(MOD(D566-1,안내!$C$7)=0,안내!$C$9,안내!$C$11)</f>
        <v>12:30</v>
      </c>
      <c r="T566" s="17" t="str">
        <f aca="false">CHOOSE(WEEKDAY(R566,2),"월","화","수","목","금","토","일")</f>
        <v>일</v>
      </c>
      <c r="U566" s="17" t="s">
        <v>78</v>
      </c>
      <c r="V566" s="17" t="s">
        <v>78</v>
      </c>
      <c r="W566" s="23"/>
      <c r="X566" s="23"/>
      <c r="Y566" s="21"/>
    </row>
    <row r="567" customFormat="false" ht="15" hidden="false" customHeight="false" outlineLevel="0" collapsed="false">
      <c r="A567" s="17" t="n">
        <v>566</v>
      </c>
      <c r="B567" s="18" t="s">
        <v>1790</v>
      </c>
      <c r="C567" s="17" t="s">
        <v>1225</v>
      </c>
      <c r="D567" s="17" t="n">
        <v>202</v>
      </c>
      <c r="E567" s="17" t="str">
        <f aca="false">C567&amp;"말씀 #"&amp;TEXT(D567,"000")</f>
        <v>신약말씀 #202</v>
      </c>
      <c r="F567" s="17" t="s">
        <v>1791</v>
      </c>
      <c r="G567" s="18" t="s">
        <v>1792</v>
      </c>
      <c r="H567" s="19" t="s">
        <v>1793</v>
      </c>
      <c r="I567" s="17" t="s">
        <v>133</v>
      </c>
      <c r="J567" s="17" t="s">
        <v>113</v>
      </c>
      <c r="K567" s="20"/>
      <c r="L567" s="17" t="s">
        <v>76</v>
      </c>
      <c r="M567" s="17" t="n">
        <f aca="false">LEN(K567)</f>
        <v>0</v>
      </c>
      <c r="N567" s="17" t="str">
        <f aca="false">IF(M567=0,"-",ROUND(3+M567/안내!$C$12,0))</f>
        <v>-</v>
      </c>
      <c r="O567" s="21" t="str">
        <f aca="false">IF(K567="","(본문 입력 후 자동) | 갈 2:16",IF(LEN(K567)&gt;28,LEFT(K567,28)&amp;"…",K567)&amp;" | 갈 2:16")</f>
        <v>(본문 입력 후 자동) | 갈 2:16</v>
      </c>
      <c r="P567" s="21" t="str">
        <f aca="false">"#"&amp;SUBSTITUTE(안내!$C$5," ","")&amp;" #성경구절 #말씀 #갈라디아서 #믿음"</f>
        <v>#오늘의말씀 #성경구절 #말씀 #갈라디아서 #믿음</v>
      </c>
      <c r="Q567" s="21" t="s">
        <v>77</v>
      </c>
      <c r="R567" s="22" t="n">
        <f aca="false">안내!$C$6+INT((D567-1)/안내!$C$7)</f>
        <v>46488</v>
      </c>
      <c r="S567" s="17" t="str">
        <f aca="false">IF(MOD(D567-1,안내!$C$7)=0,안내!$C$9,안내!$C$11)</f>
        <v>21:30</v>
      </c>
      <c r="T567" s="17" t="str">
        <f aca="false">CHOOSE(WEEKDAY(R567,2),"월","화","수","목","금","토","일")</f>
        <v>일</v>
      </c>
      <c r="U567" s="17" t="s">
        <v>78</v>
      </c>
      <c r="V567" s="17" t="s">
        <v>78</v>
      </c>
      <c r="W567" s="23"/>
      <c r="X567" s="23"/>
      <c r="Y567" s="21"/>
    </row>
    <row r="568" customFormat="false" ht="15" hidden="false" customHeight="false" outlineLevel="0" collapsed="false">
      <c r="A568" s="17" t="n">
        <v>567</v>
      </c>
      <c r="B568" s="18" t="s">
        <v>1794</v>
      </c>
      <c r="C568" s="17" t="s">
        <v>1225</v>
      </c>
      <c r="D568" s="17" t="n">
        <v>203</v>
      </c>
      <c r="E568" s="17" t="str">
        <f aca="false">C568&amp;"말씀 #"&amp;TEXT(D568,"000")</f>
        <v>신약말씀 #203</v>
      </c>
      <c r="F568" s="17" t="s">
        <v>1791</v>
      </c>
      <c r="G568" s="18" t="s">
        <v>1795</v>
      </c>
      <c r="H568" s="19" t="s">
        <v>1796</v>
      </c>
      <c r="I568" s="17" t="s">
        <v>88</v>
      </c>
      <c r="J568" s="17" t="s">
        <v>89</v>
      </c>
      <c r="K568" s="20"/>
      <c r="L568" s="17" t="s">
        <v>76</v>
      </c>
      <c r="M568" s="17" t="n">
        <f aca="false">LEN(K568)</f>
        <v>0</v>
      </c>
      <c r="N568" s="17" t="str">
        <f aca="false">IF(M568=0,"-",ROUND(3+M568/안내!$C$12,0))</f>
        <v>-</v>
      </c>
      <c r="O568" s="21" t="str">
        <f aca="false">IF(K568="","(본문 입력 후 자동) | 갈 2:20",IF(LEN(K568)&gt;28,LEFT(K568,28)&amp;"…",K568)&amp;" | 갈 2:20")</f>
        <v>(본문 입력 후 자동) | 갈 2:20</v>
      </c>
      <c r="P568" s="21" t="str">
        <f aca="false">"#"&amp;SUBSTITUTE(안내!$C$5," ","")&amp;" #성경구절 #말씀 #갈라디아서 #생명"</f>
        <v>#오늘의말씀 #성경구절 #말씀 #갈라디아서 #생명</v>
      </c>
      <c r="Q568" s="21" t="s">
        <v>77</v>
      </c>
      <c r="R568" s="22" t="n">
        <f aca="false">안내!$C$6+INT((D568-1)/안내!$C$7)</f>
        <v>46489</v>
      </c>
      <c r="S568" s="17" t="str">
        <f aca="false">IF(MOD(D568-1,안내!$C$7)=0,안내!$C$9,안내!$C$11)</f>
        <v>12:30</v>
      </c>
      <c r="T568" s="17" t="str">
        <f aca="false">CHOOSE(WEEKDAY(R568,2),"월","화","수","목","금","토","일")</f>
        <v>월</v>
      </c>
      <c r="U568" s="17" t="s">
        <v>78</v>
      </c>
      <c r="V568" s="17" t="s">
        <v>78</v>
      </c>
      <c r="W568" s="23"/>
      <c r="X568" s="23"/>
      <c r="Y568" s="21"/>
    </row>
    <row r="569" customFormat="false" ht="15" hidden="false" customHeight="false" outlineLevel="0" collapsed="false">
      <c r="A569" s="17" t="n">
        <v>568</v>
      </c>
      <c r="B569" s="18" t="s">
        <v>1797</v>
      </c>
      <c r="C569" s="17" t="s">
        <v>1225</v>
      </c>
      <c r="D569" s="17" t="n">
        <v>204</v>
      </c>
      <c r="E569" s="17" t="str">
        <f aca="false">C569&amp;"말씀 #"&amp;TEXT(D569,"000")</f>
        <v>신약말씀 #204</v>
      </c>
      <c r="F569" s="17" t="s">
        <v>1791</v>
      </c>
      <c r="G569" s="18" t="s">
        <v>1798</v>
      </c>
      <c r="H569" s="19" t="s">
        <v>1799</v>
      </c>
      <c r="I569" s="17" t="s">
        <v>98</v>
      </c>
      <c r="J569" s="17" t="s">
        <v>99</v>
      </c>
      <c r="K569" s="20"/>
      <c r="L569" s="17" t="s">
        <v>76</v>
      </c>
      <c r="M569" s="17" t="n">
        <f aca="false">LEN(K569)</f>
        <v>0</v>
      </c>
      <c r="N569" s="17" t="str">
        <f aca="false">IF(M569=0,"-",ROUND(3+M569/안내!$C$12,0))</f>
        <v>-</v>
      </c>
      <c r="O569" s="21" t="str">
        <f aca="false">IF(K569="","(본문 입력 후 자동) | 갈 3:26",IF(LEN(K569)&gt;28,LEFT(K569,28)&amp;"…",K569)&amp;" | 갈 3:26")</f>
        <v>(본문 입력 후 자동) | 갈 3:26</v>
      </c>
      <c r="P569" s="21" t="str">
        <f aca="false">"#"&amp;SUBSTITUTE(안내!$C$5," ","")&amp;" #성경구절 #말씀 #갈라디아서 #은혜"</f>
        <v>#오늘의말씀 #성경구절 #말씀 #갈라디아서 #은혜</v>
      </c>
      <c r="Q569" s="21" t="s">
        <v>77</v>
      </c>
      <c r="R569" s="22" t="n">
        <f aca="false">안내!$C$6+INT((D569-1)/안내!$C$7)</f>
        <v>46489</v>
      </c>
      <c r="S569" s="17" t="str">
        <f aca="false">IF(MOD(D569-1,안내!$C$7)=0,안내!$C$9,안내!$C$11)</f>
        <v>21:30</v>
      </c>
      <c r="T569" s="17" t="str">
        <f aca="false">CHOOSE(WEEKDAY(R569,2),"월","화","수","목","금","토","일")</f>
        <v>월</v>
      </c>
      <c r="U569" s="17" t="s">
        <v>78</v>
      </c>
      <c r="V569" s="17" t="s">
        <v>78</v>
      </c>
      <c r="W569" s="23"/>
      <c r="X569" s="23"/>
      <c r="Y569" s="21"/>
    </row>
    <row r="570" customFormat="false" ht="15" hidden="false" customHeight="false" outlineLevel="0" collapsed="false">
      <c r="A570" s="17" t="n">
        <v>569</v>
      </c>
      <c r="B570" s="18" t="s">
        <v>1800</v>
      </c>
      <c r="C570" s="17" t="s">
        <v>1225</v>
      </c>
      <c r="D570" s="17" t="n">
        <v>205</v>
      </c>
      <c r="E570" s="17" t="str">
        <f aca="false">C570&amp;"말씀 #"&amp;TEXT(D570,"000")</f>
        <v>신약말씀 #205</v>
      </c>
      <c r="F570" s="17" t="s">
        <v>1791</v>
      </c>
      <c r="G570" s="18" t="s">
        <v>1801</v>
      </c>
      <c r="H570" s="19" t="s">
        <v>1802</v>
      </c>
      <c r="I570" s="17" t="s">
        <v>728</v>
      </c>
      <c r="J570" s="17" t="s">
        <v>94</v>
      </c>
      <c r="K570" s="20"/>
      <c r="L570" s="17" t="s">
        <v>76</v>
      </c>
      <c r="M570" s="17" t="n">
        <f aca="false">LEN(K570)</f>
        <v>0</v>
      </c>
      <c r="N570" s="17" t="str">
        <f aca="false">IF(M570=0,"-",ROUND(3+M570/안내!$C$12,0))</f>
        <v>-</v>
      </c>
      <c r="O570" s="21" t="str">
        <f aca="false">IF(K570="","(본문 입력 후 자동) | 갈 3:28",IF(LEN(K570)&gt;28,LEFT(K570,28)&amp;"…",K570)&amp;" | 갈 3:28")</f>
        <v>(본문 입력 후 자동) | 갈 3:28</v>
      </c>
      <c r="P570" s="21" t="str">
        <f aca="false">"#"&amp;SUBSTITUTE(안내!$C$5," ","")&amp;" #성경구절 #말씀 #갈라디아서 #연합"</f>
        <v>#오늘의말씀 #성경구절 #말씀 #갈라디아서 #연합</v>
      </c>
      <c r="Q570" s="21" t="s">
        <v>77</v>
      </c>
      <c r="R570" s="22" t="n">
        <f aca="false">안내!$C$6+INT((D570-1)/안내!$C$7)</f>
        <v>46490</v>
      </c>
      <c r="S570" s="17" t="str">
        <f aca="false">IF(MOD(D570-1,안내!$C$7)=0,안내!$C$9,안내!$C$11)</f>
        <v>12:30</v>
      </c>
      <c r="T570" s="17" t="str">
        <f aca="false">CHOOSE(WEEKDAY(R570,2),"월","화","수","목","금","토","일")</f>
        <v>화</v>
      </c>
      <c r="U570" s="17" t="s">
        <v>78</v>
      </c>
      <c r="V570" s="17" t="s">
        <v>78</v>
      </c>
      <c r="W570" s="23"/>
      <c r="X570" s="23"/>
      <c r="Y570" s="21"/>
    </row>
    <row r="571" customFormat="false" ht="15" hidden="false" customHeight="false" outlineLevel="0" collapsed="false">
      <c r="A571" s="17" t="n">
        <v>570</v>
      </c>
      <c r="B571" s="18" t="s">
        <v>1803</v>
      </c>
      <c r="C571" s="17" t="s">
        <v>1225</v>
      </c>
      <c r="D571" s="17" t="n">
        <v>206</v>
      </c>
      <c r="E571" s="17" t="str">
        <f aca="false">C571&amp;"말씀 #"&amp;TEXT(D571,"000")</f>
        <v>신약말씀 #206</v>
      </c>
      <c r="F571" s="17" t="s">
        <v>1791</v>
      </c>
      <c r="G571" s="18" t="s">
        <v>1206</v>
      </c>
      <c r="H571" s="19" t="s">
        <v>1804</v>
      </c>
      <c r="I571" s="17" t="s">
        <v>1139</v>
      </c>
      <c r="J571" s="17" t="s">
        <v>75</v>
      </c>
      <c r="K571" s="20"/>
      <c r="L571" s="17" t="s">
        <v>76</v>
      </c>
      <c r="M571" s="17" t="n">
        <f aca="false">LEN(K571)</f>
        <v>0</v>
      </c>
      <c r="N571" s="17" t="str">
        <f aca="false">IF(M571=0,"-",ROUND(3+M571/안내!$C$12,0))</f>
        <v>-</v>
      </c>
      <c r="O571" s="21" t="str">
        <f aca="false">IF(K571="","(본문 입력 후 자동) | 갈 4:6",IF(LEN(K571)&gt;28,LEFT(K571,28)&amp;"…",K571)&amp;" | 갈 4:6")</f>
        <v>(본문 입력 후 자동) | 갈 4:6</v>
      </c>
      <c r="P571" s="21" t="str">
        <f aca="false">"#"&amp;SUBSTITUTE(안내!$C$5," ","")&amp;" #성경구절 #말씀 #갈라디아서 #성령"</f>
        <v>#오늘의말씀 #성경구절 #말씀 #갈라디아서 #성령</v>
      </c>
      <c r="Q571" s="21" t="s">
        <v>77</v>
      </c>
      <c r="R571" s="22" t="n">
        <f aca="false">안내!$C$6+INT((D571-1)/안내!$C$7)</f>
        <v>46490</v>
      </c>
      <c r="S571" s="17" t="str">
        <f aca="false">IF(MOD(D571-1,안내!$C$7)=0,안내!$C$9,안내!$C$11)</f>
        <v>21:30</v>
      </c>
      <c r="T571" s="17" t="str">
        <f aca="false">CHOOSE(WEEKDAY(R571,2),"월","화","수","목","금","토","일")</f>
        <v>화</v>
      </c>
      <c r="U571" s="17" t="s">
        <v>78</v>
      </c>
      <c r="V571" s="17" t="s">
        <v>78</v>
      </c>
      <c r="W571" s="23"/>
      <c r="X571" s="23"/>
      <c r="Y571" s="21"/>
    </row>
    <row r="572" customFormat="false" ht="15" hidden="false" customHeight="false" outlineLevel="0" collapsed="false">
      <c r="A572" s="17" t="n">
        <v>571</v>
      </c>
      <c r="B572" s="18" t="s">
        <v>1805</v>
      </c>
      <c r="C572" s="17" t="s">
        <v>1225</v>
      </c>
      <c r="D572" s="17" t="n">
        <v>207</v>
      </c>
      <c r="E572" s="17" t="str">
        <f aca="false">C572&amp;"말씀 #"&amp;TEXT(D572,"000")</f>
        <v>신약말씀 #207</v>
      </c>
      <c r="F572" s="17" t="s">
        <v>1791</v>
      </c>
      <c r="G572" s="18" t="s">
        <v>1633</v>
      </c>
      <c r="H572" s="19" t="s">
        <v>1806</v>
      </c>
      <c r="I572" s="17" t="s">
        <v>243</v>
      </c>
      <c r="J572" s="17" t="s">
        <v>104</v>
      </c>
      <c r="K572" s="20"/>
      <c r="L572" s="17" t="s">
        <v>76</v>
      </c>
      <c r="M572" s="17" t="n">
        <f aca="false">LEN(K572)</f>
        <v>0</v>
      </c>
      <c r="N572" s="17" t="str">
        <f aca="false">IF(M572=0,"-",ROUND(3+M572/안내!$C$12,0))</f>
        <v>-</v>
      </c>
      <c r="O572" s="21" t="str">
        <f aca="false">IF(K572="","(본문 입력 후 자동) | 갈 5:1",IF(LEN(K572)&gt;28,LEFT(K572,28)&amp;"…",K572)&amp;" | 갈 5:1")</f>
        <v>(본문 입력 후 자동) | 갈 5:1</v>
      </c>
      <c r="P572" s="21" t="str">
        <f aca="false">"#"&amp;SUBSTITUTE(안내!$C$5," ","")&amp;" #성경구절 #말씀 #갈라디아서 #자유"</f>
        <v>#오늘의말씀 #성경구절 #말씀 #갈라디아서 #자유</v>
      </c>
      <c r="Q572" s="21" t="s">
        <v>77</v>
      </c>
      <c r="R572" s="22" t="n">
        <f aca="false">안내!$C$6+INT((D572-1)/안내!$C$7)</f>
        <v>46491</v>
      </c>
      <c r="S572" s="17" t="str">
        <f aca="false">IF(MOD(D572-1,안내!$C$7)=0,안내!$C$9,안내!$C$11)</f>
        <v>12:30</v>
      </c>
      <c r="T572" s="17" t="str">
        <f aca="false">CHOOSE(WEEKDAY(R572,2),"월","화","수","목","금","토","일")</f>
        <v>수</v>
      </c>
      <c r="U572" s="17" t="s">
        <v>78</v>
      </c>
      <c r="V572" s="17" t="s">
        <v>78</v>
      </c>
      <c r="W572" s="23"/>
      <c r="X572" s="23"/>
      <c r="Y572" s="21"/>
    </row>
    <row r="573" customFormat="false" ht="15" hidden="false" customHeight="false" outlineLevel="0" collapsed="false">
      <c r="A573" s="17" t="n">
        <v>572</v>
      </c>
      <c r="B573" s="18" t="s">
        <v>1807</v>
      </c>
      <c r="C573" s="17" t="s">
        <v>1225</v>
      </c>
      <c r="D573" s="17" t="n">
        <v>208</v>
      </c>
      <c r="E573" s="17" t="str">
        <f aca="false">C573&amp;"말씀 #"&amp;TEXT(D573,"000")</f>
        <v>신약말씀 #208</v>
      </c>
      <c r="F573" s="17" t="s">
        <v>1791</v>
      </c>
      <c r="G573" s="18" t="s">
        <v>1808</v>
      </c>
      <c r="H573" s="19" t="s">
        <v>1809</v>
      </c>
      <c r="I573" s="17" t="s">
        <v>1365</v>
      </c>
      <c r="J573" s="17" t="s">
        <v>148</v>
      </c>
      <c r="K573" s="20"/>
      <c r="L573" s="17" t="s">
        <v>76</v>
      </c>
      <c r="M573" s="17" t="n">
        <f aca="false">LEN(K573)</f>
        <v>0</v>
      </c>
      <c r="N573" s="17" t="str">
        <f aca="false">IF(M573=0,"-",ROUND(3+M573/안내!$C$12,0))</f>
        <v>-</v>
      </c>
      <c r="O573" s="21" t="str">
        <f aca="false">IF(K573="","(본문 입력 후 자동) | 갈 5:13",IF(LEN(K573)&gt;28,LEFT(K573,28)&amp;"…",K573)&amp;" | 갈 5:13")</f>
        <v>(본문 입력 후 자동) | 갈 5:13</v>
      </c>
      <c r="P573" s="21" t="str">
        <f aca="false">"#"&amp;SUBSTITUTE(안내!$C$5," ","")&amp;" #성경구절 #말씀 #갈라디아서 #섬김"</f>
        <v>#오늘의말씀 #성경구절 #말씀 #갈라디아서 #섬김</v>
      </c>
      <c r="Q573" s="21" t="s">
        <v>77</v>
      </c>
      <c r="R573" s="22" t="n">
        <f aca="false">안내!$C$6+INT((D573-1)/안내!$C$7)</f>
        <v>46491</v>
      </c>
      <c r="S573" s="17" t="str">
        <f aca="false">IF(MOD(D573-1,안내!$C$7)=0,안내!$C$9,안내!$C$11)</f>
        <v>21:30</v>
      </c>
      <c r="T573" s="17" t="str">
        <f aca="false">CHOOSE(WEEKDAY(R573,2),"월","화","수","목","금","토","일")</f>
        <v>수</v>
      </c>
      <c r="U573" s="17" t="s">
        <v>78</v>
      </c>
      <c r="V573" s="17" t="s">
        <v>78</v>
      </c>
      <c r="W573" s="23"/>
      <c r="X573" s="23"/>
      <c r="Y573" s="21"/>
    </row>
    <row r="574" customFormat="false" ht="15" hidden="false" customHeight="false" outlineLevel="0" collapsed="false">
      <c r="A574" s="17" t="n">
        <v>573</v>
      </c>
      <c r="B574" s="18" t="s">
        <v>1810</v>
      </c>
      <c r="C574" s="17" t="s">
        <v>1225</v>
      </c>
      <c r="D574" s="17" t="n">
        <v>209</v>
      </c>
      <c r="E574" s="17" t="str">
        <f aca="false">C574&amp;"말씀 #"&amp;TEXT(D574,"000")</f>
        <v>신약말씀 #209</v>
      </c>
      <c r="F574" s="17" t="s">
        <v>1791</v>
      </c>
      <c r="G574" s="18" t="s">
        <v>1811</v>
      </c>
      <c r="H574" s="19" t="s">
        <v>1812</v>
      </c>
      <c r="I574" s="17" t="s">
        <v>1139</v>
      </c>
      <c r="J574" s="17" t="s">
        <v>75</v>
      </c>
      <c r="K574" s="20"/>
      <c r="L574" s="17" t="s">
        <v>76</v>
      </c>
      <c r="M574" s="17" t="n">
        <f aca="false">LEN(K574)</f>
        <v>0</v>
      </c>
      <c r="N574" s="17" t="str">
        <f aca="false">IF(M574=0,"-",ROUND(3+M574/안내!$C$12,0))</f>
        <v>-</v>
      </c>
      <c r="O574" s="21" t="str">
        <f aca="false">IF(K574="","(본문 입력 후 자동) | 갈 5:22",IF(LEN(K574)&gt;28,LEFT(K574,28)&amp;"…",K574)&amp;" | 갈 5:22")</f>
        <v>(본문 입력 후 자동) | 갈 5:22</v>
      </c>
      <c r="P574" s="21" t="str">
        <f aca="false">"#"&amp;SUBSTITUTE(안내!$C$5," ","")&amp;" #성경구절 #말씀 #갈라디아서 #성령"</f>
        <v>#오늘의말씀 #성경구절 #말씀 #갈라디아서 #성령</v>
      </c>
      <c r="Q574" s="21" t="s">
        <v>77</v>
      </c>
      <c r="R574" s="22" t="n">
        <f aca="false">안내!$C$6+INT((D574-1)/안내!$C$7)</f>
        <v>46492</v>
      </c>
      <c r="S574" s="17" t="str">
        <f aca="false">IF(MOD(D574-1,안내!$C$7)=0,안내!$C$9,안내!$C$11)</f>
        <v>12:30</v>
      </c>
      <c r="T574" s="17" t="str">
        <f aca="false">CHOOSE(WEEKDAY(R574,2),"월","화","수","목","금","토","일")</f>
        <v>목</v>
      </c>
      <c r="U574" s="17" t="s">
        <v>78</v>
      </c>
      <c r="V574" s="17" t="s">
        <v>78</v>
      </c>
      <c r="W574" s="23"/>
      <c r="X574" s="23"/>
      <c r="Y574" s="21"/>
    </row>
    <row r="575" customFormat="false" ht="15" hidden="false" customHeight="false" outlineLevel="0" collapsed="false">
      <c r="A575" s="17" t="n">
        <v>574</v>
      </c>
      <c r="B575" s="18" t="s">
        <v>1813</v>
      </c>
      <c r="C575" s="17" t="s">
        <v>1225</v>
      </c>
      <c r="D575" s="17" t="n">
        <v>210</v>
      </c>
      <c r="E575" s="17" t="str">
        <f aca="false">C575&amp;"말씀 #"&amp;TEXT(D575,"000")</f>
        <v>신약말씀 #210</v>
      </c>
      <c r="F575" s="17" t="s">
        <v>1791</v>
      </c>
      <c r="G575" s="18" t="s">
        <v>1779</v>
      </c>
      <c r="H575" s="19" t="s">
        <v>1814</v>
      </c>
      <c r="I575" s="17" t="s">
        <v>1365</v>
      </c>
      <c r="J575" s="17" t="s">
        <v>148</v>
      </c>
      <c r="K575" s="20"/>
      <c r="L575" s="17" t="s">
        <v>76</v>
      </c>
      <c r="M575" s="17" t="n">
        <f aca="false">LEN(K575)</f>
        <v>0</v>
      </c>
      <c r="N575" s="17" t="str">
        <f aca="false">IF(M575=0,"-",ROUND(3+M575/안내!$C$12,0))</f>
        <v>-</v>
      </c>
      <c r="O575" s="21" t="str">
        <f aca="false">IF(K575="","(본문 입력 후 자동) | 갈 6:2",IF(LEN(K575)&gt;28,LEFT(K575,28)&amp;"…",K575)&amp;" | 갈 6:2")</f>
        <v>(본문 입력 후 자동) | 갈 6:2</v>
      </c>
      <c r="P575" s="21" t="str">
        <f aca="false">"#"&amp;SUBSTITUTE(안내!$C$5," ","")&amp;" #성경구절 #말씀 #갈라디아서 #섬김"</f>
        <v>#오늘의말씀 #성경구절 #말씀 #갈라디아서 #섬김</v>
      </c>
      <c r="Q575" s="21" t="s">
        <v>77</v>
      </c>
      <c r="R575" s="22" t="n">
        <f aca="false">안내!$C$6+INT((D575-1)/안내!$C$7)</f>
        <v>46492</v>
      </c>
      <c r="S575" s="17" t="str">
        <f aca="false">IF(MOD(D575-1,안내!$C$7)=0,안내!$C$9,안내!$C$11)</f>
        <v>21:30</v>
      </c>
      <c r="T575" s="17" t="str">
        <f aca="false">CHOOSE(WEEKDAY(R575,2),"월","화","수","목","금","토","일")</f>
        <v>목</v>
      </c>
      <c r="U575" s="17" t="s">
        <v>78</v>
      </c>
      <c r="V575" s="17" t="s">
        <v>78</v>
      </c>
      <c r="W575" s="23"/>
      <c r="X575" s="23"/>
      <c r="Y575" s="21"/>
    </row>
    <row r="576" customFormat="false" ht="15" hidden="false" customHeight="false" outlineLevel="0" collapsed="false">
      <c r="A576" s="17" t="n">
        <v>575</v>
      </c>
      <c r="B576" s="18" t="s">
        <v>1815</v>
      </c>
      <c r="C576" s="17" t="s">
        <v>1225</v>
      </c>
      <c r="D576" s="17" t="n">
        <v>211</v>
      </c>
      <c r="E576" s="17" t="str">
        <f aca="false">C576&amp;"말씀 #"&amp;TEXT(D576,"000")</f>
        <v>신약말씀 #211</v>
      </c>
      <c r="F576" s="17" t="s">
        <v>1791</v>
      </c>
      <c r="G576" s="18" t="s">
        <v>182</v>
      </c>
      <c r="H576" s="19" t="s">
        <v>1816</v>
      </c>
      <c r="I576" s="17" t="s">
        <v>857</v>
      </c>
      <c r="J576" s="17" t="s">
        <v>75</v>
      </c>
      <c r="K576" s="20"/>
      <c r="L576" s="17" t="s">
        <v>76</v>
      </c>
      <c r="M576" s="17" t="n">
        <f aca="false">LEN(K576)</f>
        <v>0</v>
      </c>
      <c r="N576" s="17" t="str">
        <f aca="false">IF(M576=0,"-",ROUND(3+M576/안내!$C$12,0))</f>
        <v>-</v>
      </c>
      <c r="O576" s="21" t="str">
        <f aca="false">IF(K576="","(본문 입력 후 자동) | 갈 6:7",IF(LEN(K576)&gt;28,LEFT(K576,28)&amp;"…",K576)&amp;" | 갈 6:7")</f>
        <v>(본문 입력 후 자동) | 갈 6:7</v>
      </c>
      <c r="P576" s="21" t="str">
        <f aca="false">"#"&amp;SUBSTITUTE(안내!$C$5," ","")&amp;" #성경구절 #말씀 #갈라디아서 #경외"</f>
        <v>#오늘의말씀 #성경구절 #말씀 #갈라디아서 #경외</v>
      </c>
      <c r="Q576" s="21" t="s">
        <v>77</v>
      </c>
      <c r="R576" s="22" t="n">
        <f aca="false">안내!$C$6+INT((D576-1)/안내!$C$7)</f>
        <v>46493</v>
      </c>
      <c r="S576" s="17" t="str">
        <f aca="false">IF(MOD(D576-1,안내!$C$7)=0,안내!$C$9,안내!$C$11)</f>
        <v>12:30</v>
      </c>
      <c r="T576" s="17" t="str">
        <f aca="false">CHOOSE(WEEKDAY(R576,2),"월","화","수","목","금","토","일")</f>
        <v>금</v>
      </c>
      <c r="U576" s="17" t="s">
        <v>78</v>
      </c>
      <c r="V576" s="17" t="s">
        <v>78</v>
      </c>
      <c r="W576" s="23"/>
      <c r="X576" s="23"/>
      <c r="Y576" s="21"/>
    </row>
    <row r="577" customFormat="false" ht="15" hidden="false" customHeight="false" outlineLevel="0" collapsed="false">
      <c r="A577" s="17" t="n">
        <v>576</v>
      </c>
      <c r="B577" s="18" t="s">
        <v>1817</v>
      </c>
      <c r="C577" s="17" t="s">
        <v>1225</v>
      </c>
      <c r="D577" s="17" t="n">
        <v>212</v>
      </c>
      <c r="E577" s="17" t="str">
        <f aca="false">C577&amp;"말씀 #"&amp;TEXT(D577,"000")</f>
        <v>신약말씀 #212</v>
      </c>
      <c r="F577" s="17" t="s">
        <v>1791</v>
      </c>
      <c r="G577" s="18" t="s">
        <v>1818</v>
      </c>
      <c r="H577" s="19" t="s">
        <v>1819</v>
      </c>
      <c r="I577" s="17" t="s">
        <v>511</v>
      </c>
      <c r="J577" s="17" t="s">
        <v>89</v>
      </c>
      <c r="K577" s="20"/>
      <c r="L577" s="17" t="s">
        <v>76</v>
      </c>
      <c r="M577" s="17" t="n">
        <f aca="false">LEN(K577)</f>
        <v>0</v>
      </c>
      <c r="N577" s="17" t="str">
        <f aca="false">IF(M577=0,"-",ROUND(3+M577/안내!$C$12,0))</f>
        <v>-</v>
      </c>
      <c r="O577" s="21" t="str">
        <f aca="false">IF(K577="","(본문 입력 후 자동) | 갈 6:9",IF(LEN(K577)&gt;28,LEFT(K577,28)&amp;"…",K577)&amp;" | 갈 6:9")</f>
        <v>(본문 입력 후 자동) | 갈 6:9</v>
      </c>
      <c r="P577" s="21" t="str">
        <f aca="false">"#"&amp;SUBSTITUTE(안내!$C$5," ","")&amp;" #성경구절 #말씀 #갈라디아서 #소망"</f>
        <v>#오늘의말씀 #성경구절 #말씀 #갈라디아서 #소망</v>
      </c>
      <c r="Q577" s="21" t="s">
        <v>77</v>
      </c>
      <c r="R577" s="22" t="n">
        <f aca="false">안내!$C$6+INT((D577-1)/안내!$C$7)</f>
        <v>46493</v>
      </c>
      <c r="S577" s="17" t="str">
        <f aca="false">IF(MOD(D577-1,안내!$C$7)=0,안내!$C$9,안내!$C$11)</f>
        <v>21:30</v>
      </c>
      <c r="T577" s="17" t="str">
        <f aca="false">CHOOSE(WEEKDAY(R577,2),"월","화","수","목","금","토","일")</f>
        <v>금</v>
      </c>
      <c r="U577" s="17" t="s">
        <v>78</v>
      </c>
      <c r="V577" s="17" t="s">
        <v>78</v>
      </c>
      <c r="W577" s="23"/>
      <c r="X577" s="23"/>
      <c r="Y577" s="21"/>
    </row>
    <row r="578" customFormat="false" ht="15" hidden="false" customHeight="false" outlineLevel="0" collapsed="false">
      <c r="A578" s="17" t="n">
        <v>577</v>
      </c>
      <c r="B578" s="18" t="s">
        <v>1820</v>
      </c>
      <c r="C578" s="17" t="s">
        <v>1225</v>
      </c>
      <c r="D578" s="17" t="n">
        <v>213</v>
      </c>
      <c r="E578" s="17" t="str">
        <f aca="false">C578&amp;"말씀 #"&amp;TEXT(D578,"000")</f>
        <v>신약말씀 #213</v>
      </c>
      <c r="F578" s="17" t="s">
        <v>1791</v>
      </c>
      <c r="G578" s="18" t="s">
        <v>1821</v>
      </c>
      <c r="H578" s="19" t="s">
        <v>1822</v>
      </c>
      <c r="I578" s="17" t="s">
        <v>103</v>
      </c>
      <c r="J578" s="17" t="s">
        <v>104</v>
      </c>
      <c r="K578" s="20"/>
      <c r="L578" s="17" t="s">
        <v>76</v>
      </c>
      <c r="M578" s="17" t="n">
        <f aca="false">LEN(K578)</f>
        <v>0</v>
      </c>
      <c r="N578" s="17" t="str">
        <f aca="false">IF(M578=0,"-",ROUND(3+M578/안내!$C$12,0))</f>
        <v>-</v>
      </c>
      <c r="O578" s="21" t="str">
        <f aca="false">IF(K578="","(본문 입력 후 자동) | 갈 6:14",IF(LEN(K578)&gt;28,LEFT(K578,28)&amp;"…",K578)&amp;" | 갈 6:14")</f>
        <v>(본문 입력 후 자동) | 갈 6:14</v>
      </c>
      <c r="P578" s="21" t="str">
        <f aca="false">"#"&amp;SUBSTITUTE(안내!$C$5," ","")&amp;" #성경구절 #말씀 #갈라디아서 #구원"</f>
        <v>#오늘의말씀 #성경구절 #말씀 #갈라디아서 #구원</v>
      </c>
      <c r="Q578" s="21" t="s">
        <v>77</v>
      </c>
      <c r="R578" s="22" t="n">
        <f aca="false">안내!$C$6+INT((D578-1)/안내!$C$7)</f>
        <v>46494</v>
      </c>
      <c r="S578" s="17" t="str">
        <f aca="false">IF(MOD(D578-1,안내!$C$7)=0,안내!$C$9,안내!$C$11)</f>
        <v>12:30</v>
      </c>
      <c r="T578" s="17" t="str">
        <f aca="false">CHOOSE(WEEKDAY(R578,2),"월","화","수","목","금","토","일")</f>
        <v>토</v>
      </c>
      <c r="U578" s="17" t="s">
        <v>78</v>
      </c>
      <c r="V578" s="17" t="s">
        <v>78</v>
      </c>
      <c r="W578" s="23"/>
      <c r="X578" s="23"/>
      <c r="Y578" s="21"/>
    </row>
    <row r="579" customFormat="false" ht="15" hidden="false" customHeight="false" outlineLevel="0" collapsed="false">
      <c r="A579" s="17" t="n">
        <v>578</v>
      </c>
      <c r="B579" s="18" t="s">
        <v>1823</v>
      </c>
      <c r="C579" s="17" t="s">
        <v>1225</v>
      </c>
      <c r="D579" s="17" t="n">
        <v>214</v>
      </c>
      <c r="E579" s="17" t="str">
        <f aca="false">C579&amp;"말씀 #"&amp;TEXT(D579,"000")</f>
        <v>신약말씀 #214</v>
      </c>
      <c r="F579" s="17" t="s">
        <v>1824</v>
      </c>
      <c r="G579" s="18" t="s">
        <v>1456</v>
      </c>
      <c r="H579" s="19" t="s">
        <v>1825</v>
      </c>
      <c r="I579" s="17" t="s">
        <v>98</v>
      </c>
      <c r="J579" s="17" t="s">
        <v>99</v>
      </c>
      <c r="K579" s="20"/>
      <c r="L579" s="17" t="s">
        <v>76</v>
      </c>
      <c r="M579" s="17" t="n">
        <f aca="false">LEN(K579)</f>
        <v>0</v>
      </c>
      <c r="N579" s="17" t="str">
        <f aca="false">IF(M579=0,"-",ROUND(3+M579/안내!$C$12,0))</f>
        <v>-</v>
      </c>
      <c r="O579" s="21" t="str">
        <f aca="false">IF(K579="","(본문 입력 후 자동) | 엡 1:4",IF(LEN(K579)&gt;28,LEFT(K579,28)&amp;"…",K579)&amp;" | 엡 1:4")</f>
        <v>(본문 입력 후 자동) | 엡 1:4</v>
      </c>
      <c r="P579" s="21" t="str">
        <f aca="false">"#"&amp;SUBSTITUTE(안내!$C$5," ","")&amp;" #성경구절 #말씀 #에베소서 #은혜"</f>
        <v>#오늘의말씀 #성경구절 #말씀 #에베소서 #은혜</v>
      </c>
      <c r="Q579" s="21" t="s">
        <v>77</v>
      </c>
      <c r="R579" s="22" t="n">
        <f aca="false">안내!$C$6+INT((D579-1)/안내!$C$7)</f>
        <v>46494</v>
      </c>
      <c r="S579" s="17" t="str">
        <f aca="false">IF(MOD(D579-1,안내!$C$7)=0,안내!$C$9,안내!$C$11)</f>
        <v>21:30</v>
      </c>
      <c r="T579" s="17" t="str">
        <f aca="false">CHOOSE(WEEKDAY(R579,2),"월","화","수","목","금","토","일")</f>
        <v>토</v>
      </c>
      <c r="U579" s="17" t="s">
        <v>78</v>
      </c>
      <c r="V579" s="17" t="s">
        <v>78</v>
      </c>
      <c r="W579" s="23"/>
      <c r="X579" s="23"/>
      <c r="Y579" s="21"/>
    </row>
    <row r="580" customFormat="false" ht="15" hidden="false" customHeight="false" outlineLevel="0" collapsed="false">
      <c r="A580" s="17" t="n">
        <v>579</v>
      </c>
      <c r="B580" s="18" t="s">
        <v>1826</v>
      </c>
      <c r="C580" s="17" t="s">
        <v>1225</v>
      </c>
      <c r="D580" s="17" t="n">
        <v>215</v>
      </c>
      <c r="E580" s="17" t="str">
        <f aca="false">C580&amp;"말씀 #"&amp;TEXT(D580,"000")</f>
        <v>신약말씀 #215</v>
      </c>
      <c r="F580" s="17" t="s">
        <v>1824</v>
      </c>
      <c r="G580" s="18" t="s">
        <v>749</v>
      </c>
      <c r="H580" s="19" t="s">
        <v>1827</v>
      </c>
      <c r="I580" s="17" t="s">
        <v>694</v>
      </c>
      <c r="J580" s="17" t="s">
        <v>99</v>
      </c>
      <c r="K580" s="20"/>
      <c r="L580" s="17" t="s">
        <v>76</v>
      </c>
      <c r="M580" s="17" t="n">
        <f aca="false">LEN(K580)</f>
        <v>0</v>
      </c>
      <c r="N580" s="17" t="str">
        <f aca="false">IF(M580=0,"-",ROUND(3+M580/안내!$C$12,0))</f>
        <v>-</v>
      </c>
      <c r="O580" s="21" t="str">
        <f aca="false">IF(K580="","(본문 입력 후 자동) | 엡 1:7",IF(LEN(K580)&gt;28,LEFT(K580,28)&amp;"…",K580)&amp;" | 엡 1:7")</f>
        <v>(본문 입력 후 자동) | 엡 1:7</v>
      </c>
      <c r="P580" s="21" t="str">
        <f aca="false">"#"&amp;SUBSTITUTE(안내!$C$5," ","")&amp;" #성경구절 #말씀 #에베소서 #용서"</f>
        <v>#오늘의말씀 #성경구절 #말씀 #에베소서 #용서</v>
      </c>
      <c r="Q580" s="21" t="s">
        <v>77</v>
      </c>
      <c r="R580" s="22" t="n">
        <f aca="false">안내!$C$6+INT((D580-1)/안내!$C$7)</f>
        <v>46495</v>
      </c>
      <c r="S580" s="17" t="str">
        <f aca="false">IF(MOD(D580-1,안내!$C$7)=0,안내!$C$9,안내!$C$11)</f>
        <v>12:30</v>
      </c>
      <c r="T580" s="17" t="str">
        <f aca="false">CHOOSE(WEEKDAY(R580,2),"월","화","수","목","금","토","일")</f>
        <v>일</v>
      </c>
      <c r="U580" s="17" t="s">
        <v>78</v>
      </c>
      <c r="V580" s="17" t="s">
        <v>78</v>
      </c>
      <c r="W580" s="23"/>
      <c r="X580" s="23"/>
      <c r="Y580" s="21"/>
    </row>
    <row r="581" customFormat="false" ht="15" hidden="false" customHeight="false" outlineLevel="0" collapsed="false">
      <c r="A581" s="17" t="n">
        <v>580</v>
      </c>
      <c r="B581" s="18" t="s">
        <v>1828</v>
      </c>
      <c r="C581" s="17" t="s">
        <v>1225</v>
      </c>
      <c r="D581" s="17" t="n">
        <v>216</v>
      </c>
      <c r="E581" s="17" t="str">
        <f aca="false">C581&amp;"말씀 #"&amp;TEXT(D581,"000")</f>
        <v>신약말씀 #216</v>
      </c>
      <c r="F581" s="17" t="s">
        <v>1824</v>
      </c>
      <c r="G581" s="18" t="s">
        <v>1203</v>
      </c>
      <c r="H581" s="19" t="s">
        <v>1829</v>
      </c>
      <c r="I581" s="17" t="s">
        <v>98</v>
      </c>
      <c r="J581" s="17" t="s">
        <v>99</v>
      </c>
      <c r="K581" s="20"/>
      <c r="L581" s="17" t="s">
        <v>76</v>
      </c>
      <c r="M581" s="17" t="n">
        <f aca="false">LEN(K581)</f>
        <v>0</v>
      </c>
      <c r="N581" s="17" t="str">
        <f aca="false">IF(M581=0,"-",ROUND(3+M581/안내!$C$12,0))</f>
        <v>-</v>
      </c>
      <c r="O581" s="21" t="str">
        <f aca="false">IF(K581="","(본문 입력 후 자동) | 엡 2:8",IF(LEN(K581)&gt;28,LEFT(K581,28)&amp;"…",K581)&amp;" | 엡 2:8")</f>
        <v>(본문 입력 후 자동) | 엡 2:8</v>
      </c>
      <c r="P581" s="21" t="str">
        <f aca="false">"#"&amp;SUBSTITUTE(안내!$C$5," ","")&amp;" #성경구절 #말씀 #에베소서 #은혜"</f>
        <v>#오늘의말씀 #성경구절 #말씀 #에베소서 #은혜</v>
      </c>
      <c r="Q581" s="21" t="s">
        <v>77</v>
      </c>
      <c r="R581" s="22" t="n">
        <f aca="false">안내!$C$6+INT((D581-1)/안내!$C$7)</f>
        <v>46495</v>
      </c>
      <c r="S581" s="17" t="str">
        <f aca="false">IF(MOD(D581-1,안내!$C$7)=0,안내!$C$9,안내!$C$11)</f>
        <v>21:30</v>
      </c>
      <c r="T581" s="17" t="str">
        <f aca="false">CHOOSE(WEEKDAY(R581,2),"월","화","수","목","금","토","일")</f>
        <v>일</v>
      </c>
      <c r="U581" s="17" t="s">
        <v>78</v>
      </c>
      <c r="V581" s="17" t="s">
        <v>78</v>
      </c>
      <c r="W581" s="23"/>
      <c r="X581" s="23"/>
      <c r="Y581" s="21"/>
    </row>
    <row r="582" customFormat="false" ht="15" hidden="false" customHeight="false" outlineLevel="0" collapsed="false">
      <c r="A582" s="17" t="n">
        <v>581</v>
      </c>
      <c r="B582" s="18" t="s">
        <v>1830</v>
      </c>
      <c r="C582" s="17" t="s">
        <v>1225</v>
      </c>
      <c r="D582" s="17" t="n">
        <v>217</v>
      </c>
      <c r="E582" s="17" t="str">
        <f aca="false">C582&amp;"말씀 #"&amp;TEXT(D582,"000")</f>
        <v>신약말씀 #217</v>
      </c>
      <c r="F582" s="17" t="s">
        <v>1824</v>
      </c>
      <c r="G582" s="18" t="s">
        <v>499</v>
      </c>
      <c r="H582" s="19" t="s">
        <v>1831</v>
      </c>
      <c r="I582" s="17" t="s">
        <v>1011</v>
      </c>
      <c r="J582" s="17" t="s">
        <v>122</v>
      </c>
      <c r="K582" s="20"/>
      <c r="L582" s="17" t="s">
        <v>76</v>
      </c>
      <c r="M582" s="17" t="n">
        <f aca="false">LEN(K582)</f>
        <v>0</v>
      </c>
      <c r="N582" s="17" t="str">
        <f aca="false">IF(M582=0,"-",ROUND(3+M582/안내!$C$12,0))</f>
        <v>-</v>
      </c>
      <c r="O582" s="21" t="str">
        <f aca="false">IF(K582="","(본문 입력 후 자동) | 엡 2:10",IF(LEN(K582)&gt;28,LEFT(K582,28)&amp;"…",K582)&amp;" | 엡 2:10")</f>
        <v>(본문 입력 후 자동) | 엡 2:10</v>
      </c>
      <c r="P582" s="21" t="str">
        <f aca="false">"#"&amp;SUBSTITUTE(안내!$C$5," ","")&amp;" #성경구절 #말씀 #에베소서 #부르심"</f>
        <v>#오늘의말씀 #성경구절 #말씀 #에베소서 #부르심</v>
      </c>
      <c r="Q582" s="21" t="s">
        <v>77</v>
      </c>
      <c r="R582" s="22" t="n">
        <f aca="false">안내!$C$6+INT((D582-1)/안내!$C$7)</f>
        <v>46496</v>
      </c>
      <c r="S582" s="17" t="str">
        <f aca="false">IF(MOD(D582-1,안내!$C$7)=0,안내!$C$9,안내!$C$11)</f>
        <v>12:30</v>
      </c>
      <c r="T582" s="17" t="str">
        <f aca="false">CHOOSE(WEEKDAY(R582,2),"월","화","수","목","금","토","일")</f>
        <v>월</v>
      </c>
      <c r="U582" s="17" t="s">
        <v>78</v>
      </c>
      <c r="V582" s="17" t="s">
        <v>78</v>
      </c>
      <c r="W582" s="23"/>
      <c r="X582" s="23"/>
      <c r="Y582" s="21"/>
    </row>
    <row r="583" customFormat="false" ht="15" hidden="false" customHeight="false" outlineLevel="0" collapsed="false">
      <c r="A583" s="17" t="n">
        <v>582</v>
      </c>
      <c r="B583" s="18" t="s">
        <v>1832</v>
      </c>
      <c r="C583" s="17" t="s">
        <v>1225</v>
      </c>
      <c r="D583" s="17" t="n">
        <v>218</v>
      </c>
      <c r="E583" s="17" t="str">
        <f aca="false">C583&amp;"말씀 #"&amp;TEXT(D583,"000")</f>
        <v>신약말씀 #218</v>
      </c>
      <c r="F583" s="17" t="s">
        <v>1824</v>
      </c>
      <c r="G583" s="18" t="s">
        <v>1182</v>
      </c>
      <c r="H583" s="19" t="s">
        <v>1833</v>
      </c>
      <c r="I583" s="17" t="s">
        <v>221</v>
      </c>
      <c r="J583" s="17" t="s">
        <v>99</v>
      </c>
      <c r="K583" s="20"/>
      <c r="L583" s="17" t="s">
        <v>76</v>
      </c>
      <c r="M583" s="17" t="n">
        <f aca="false">LEN(K583)</f>
        <v>0</v>
      </c>
      <c r="N583" s="17" t="str">
        <f aca="false">IF(M583=0,"-",ROUND(3+M583/안내!$C$12,0))</f>
        <v>-</v>
      </c>
      <c r="O583" s="21" t="str">
        <f aca="false">IF(K583="","(본문 입력 후 자동) | 엡 2:14",IF(LEN(K583)&gt;28,LEFT(K583,28)&amp;"…",K583)&amp;" | 엡 2:14")</f>
        <v>(본문 입력 후 자동) | 엡 2:14</v>
      </c>
      <c r="P583" s="21" t="str">
        <f aca="false">"#"&amp;SUBSTITUTE(안내!$C$5," ","")&amp;" #성경구절 #말씀 #에베소서 #평안"</f>
        <v>#오늘의말씀 #성경구절 #말씀 #에베소서 #평안</v>
      </c>
      <c r="Q583" s="21" t="s">
        <v>77</v>
      </c>
      <c r="R583" s="22" t="n">
        <f aca="false">안내!$C$6+INT((D583-1)/안내!$C$7)</f>
        <v>46496</v>
      </c>
      <c r="S583" s="17" t="str">
        <f aca="false">IF(MOD(D583-1,안내!$C$7)=0,안내!$C$9,안내!$C$11)</f>
        <v>21:30</v>
      </c>
      <c r="T583" s="17" t="str">
        <f aca="false">CHOOSE(WEEKDAY(R583,2),"월","화","수","목","금","토","일")</f>
        <v>월</v>
      </c>
      <c r="U583" s="17" t="s">
        <v>78</v>
      </c>
      <c r="V583" s="17" t="s">
        <v>78</v>
      </c>
      <c r="W583" s="23"/>
      <c r="X583" s="23"/>
      <c r="Y583" s="21"/>
    </row>
    <row r="584" customFormat="false" ht="15" hidden="false" customHeight="false" outlineLevel="0" collapsed="false">
      <c r="A584" s="17" t="n">
        <v>583</v>
      </c>
      <c r="B584" s="18" t="s">
        <v>1834</v>
      </c>
      <c r="C584" s="17" t="s">
        <v>1225</v>
      </c>
      <c r="D584" s="17" t="n">
        <v>219</v>
      </c>
      <c r="E584" s="17" t="str">
        <f aca="false">C584&amp;"말씀 #"&amp;TEXT(D584,"000")</f>
        <v>신약말씀 #219</v>
      </c>
      <c r="F584" s="17" t="s">
        <v>1824</v>
      </c>
      <c r="G584" s="18" t="s">
        <v>1835</v>
      </c>
      <c r="H584" s="19" t="s">
        <v>1836</v>
      </c>
      <c r="I584" s="17" t="s">
        <v>140</v>
      </c>
      <c r="J584" s="17" t="s">
        <v>113</v>
      </c>
      <c r="K584" s="20"/>
      <c r="L584" s="17" t="s">
        <v>76</v>
      </c>
      <c r="M584" s="17" t="n">
        <f aca="false">LEN(K584)</f>
        <v>0</v>
      </c>
      <c r="N584" s="17" t="str">
        <f aca="false">IF(M584=0,"-",ROUND(3+M584/안내!$C$12,0))</f>
        <v>-</v>
      </c>
      <c r="O584" s="21" t="str">
        <f aca="false">IF(K584="","(본문 입력 후 자동) | 엡 3:20",IF(LEN(K584)&gt;28,LEFT(K584,28)&amp;"…",K584)&amp;" | 엡 3:20")</f>
        <v>(본문 입력 후 자동) | 엡 3:20</v>
      </c>
      <c r="P584" s="21" t="str">
        <f aca="false">"#"&amp;SUBSTITUTE(안내!$C$5," ","")&amp;" #성경구절 #말씀 #에베소서 #능력"</f>
        <v>#오늘의말씀 #성경구절 #말씀 #에베소서 #능력</v>
      </c>
      <c r="Q584" s="21" t="s">
        <v>77</v>
      </c>
      <c r="R584" s="22" t="n">
        <f aca="false">안내!$C$6+INT((D584-1)/안내!$C$7)</f>
        <v>46497</v>
      </c>
      <c r="S584" s="17" t="str">
        <f aca="false">IF(MOD(D584-1,안내!$C$7)=0,안내!$C$9,안내!$C$11)</f>
        <v>12:30</v>
      </c>
      <c r="T584" s="17" t="str">
        <f aca="false">CHOOSE(WEEKDAY(R584,2),"월","화","수","목","금","토","일")</f>
        <v>화</v>
      </c>
      <c r="U584" s="17" t="s">
        <v>78</v>
      </c>
      <c r="V584" s="17" t="s">
        <v>78</v>
      </c>
      <c r="W584" s="23"/>
      <c r="X584" s="23"/>
      <c r="Y584" s="21"/>
    </row>
    <row r="585" customFormat="false" ht="15" hidden="false" customHeight="false" outlineLevel="0" collapsed="false">
      <c r="A585" s="17" t="n">
        <v>584</v>
      </c>
      <c r="B585" s="18" t="s">
        <v>1837</v>
      </c>
      <c r="C585" s="17" t="s">
        <v>1225</v>
      </c>
      <c r="D585" s="17" t="n">
        <v>220</v>
      </c>
      <c r="E585" s="17" t="str">
        <f aca="false">C585&amp;"말씀 #"&amp;TEXT(D585,"000")</f>
        <v>신약말씀 #220</v>
      </c>
      <c r="F585" s="17" t="s">
        <v>1824</v>
      </c>
      <c r="G585" s="18" t="s">
        <v>1161</v>
      </c>
      <c r="H585" s="19" t="s">
        <v>1838</v>
      </c>
      <c r="I585" s="17" t="s">
        <v>239</v>
      </c>
      <c r="J585" s="17" t="s">
        <v>94</v>
      </c>
      <c r="K585" s="20"/>
      <c r="L585" s="17" t="s">
        <v>76</v>
      </c>
      <c r="M585" s="17" t="n">
        <f aca="false">LEN(K585)</f>
        <v>0</v>
      </c>
      <c r="N585" s="17" t="str">
        <f aca="false">IF(M585=0,"-",ROUND(3+M585/안내!$C$12,0))</f>
        <v>-</v>
      </c>
      <c r="O585" s="21" t="str">
        <f aca="false">IF(K585="","(본문 입력 후 자동) | 엡 4:2",IF(LEN(K585)&gt;28,LEFT(K585,28)&amp;"…",K585)&amp;" | 엡 4:2")</f>
        <v>(본문 입력 후 자동) | 엡 4:2</v>
      </c>
      <c r="P585" s="21" t="str">
        <f aca="false">"#"&amp;SUBSTITUTE(안내!$C$5," ","")&amp;" #성경구절 #말씀 #에베소서 #사랑"</f>
        <v>#오늘의말씀 #성경구절 #말씀 #에베소서 #사랑</v>
      </c>
      <c r="Q585" s="21" t="s">
        <v>77</v>
      </c>
      <c r="R585" s="22" t="n">
        <f aca="false">안내!$C$6+INT((D585-1)/안내!$C$7)</f>
        <v>46497</v>
      </c>
      <c r="S585" s="17" t="str">
        <f aca="false">IF(MOD(D585-1,안내!$C$7)=0,안내!$C$9,안내!$C$11)</f>
        <v>21:30</v>
      </c>
      <c r="T585" s="17" t="str">
        <f aca="false">CHOOSE(WEEKDAY(R585,2),"월","화","수","목","금","토","일")</f>
        <v>화</v>
      </c>
      <c r="U585" s="17" t="s">
        <v>78</v>
      </c>
      <c r="V585" s="17" t="s">
        <v>78</v>
      </c>
      <c r="W585" s="23"/>
      <c r="X585" s="23"/>
      <c r="Y585" s="21"/>
    </row>
    <row r="586" customFormat="false" ht="15" hidden="false" customHeight="false" outlineLevel="0" collapsed="false">
      <c r="A586" s="17" t="n">
        <v>585</v>
      </c>
      <c r="B586" s="18" t="s">
        <v>1839</v>
      </c>
      <c r="C586" s="17" t="s">
        <v>1225</v>
      </c>
      <c r="D586" s="17" t="n">
        <v>221</v>
      </c>
      <c r="E586" s="17" t="str">
        <f aca="false">C586&amp;"말씀 #"&amp;TEXT(D586,"000")</f>
        <v>신약말씀 #221</v>
      </c>
      <c r="F586" s="17" t="s">
        <v>1824</v>
      </c>
      <c r="G586" s="18" t="s">
        <v>1840</v>
      </c>
      <c r="H586" s="19" t="s">
        <v>1841</v>
      </c>
      <c r="I586" s="17" t="s">
        <v>376</v>
      </c>
      <c r="J586" s="17" t="s">
        <v>94</v>
      </c>
      <c r="K586" s="20"/>
      <c r="L586" s="17" t="s">
        <v>76</v>
      </c>
      <c r="M586" s="17" t="n">
        <f aca="false">LEN(K586)</f>
        <v>0</v>
      </c>
      <c r="N586" s="17" t="str">
        <f aca="false">IF(M586=0,"-",ROUND(3+M586/안내!$C$12,0))</f>
        <v>-</v>
      </c>
      <c r="O586" s="21" t="str">
        <f aca="false">IF(K586="","(본문 입력 후 자동) | 엡 4:26",IF(LEN(K586)&gt;28,LEFT(K586,28)&amp;"…",K586)&amp;" | 엡 4:26")</f>
        <v>(본문 입력 후 자동) | 엡 4:26</v>
      </c>
      <c r="P586" s="21" t="str">
        <f aca="false">"#"&amp;SUBSTITUTE(안내!$C$5," ","")&amp;" #성경구절 #말씀 #에베소서 #마음"</f>
        <v>#오늘의말씀 #성경구절 #말씀 #에베소서 #마음</v>
      </c>
      <c r="Q586" s="21" t="s">
        <v>77</v>
      </c>
      <c r="R586" s="22" t="n">
        <f aca="false">안내!$C$6+INT((D586-1)/안내!$C$7)</f>
        <v>46498</v>
      </c>
      <c r="S586" s="17" t="str">
        <f aca="false">IF(MOD(D586-1,안내!$C$7)=0,안내!$C$9,안내!$C$11)</f>
        <v>12:30</v>
      </c>
      <c r="T586" s="17" t="str">
        <f aca="false">CHOOSE(WEEKDAY(R586,2),"월","화","수","목","금","토","일")</f>
        <v>수</v>
      </c>
      <c r="U586" s="17" t="s">
        <v>78</v>
      </c>
      <c r="V586" s="17" t="s">
        <v>78</v>
      </c>
      <c r="W586" s="23"/>
      <c r="X586" s="23"/>
      <c r="Y586" s="21"/>
    </row>
    <row r="587" customFormat="false" ht="15" hidden="false" customHeight="false" outlineLevel="0" collapsed="false">
      <c r="A587" s="17" t="n">
        <v>586</v>
      </c>
      <c r="B587" s="18" t="s">
        <v>1842</v>
      </c>
      <c r="C587" s="17" t="s">
        <v>1225</v>
      </c>
      <c r="D587" s="17" t="n">
        <v>222</v>
      </c>
      <c r="E587" s="17" t="str">
        <f aca="false">C587&amp;"말씀 #"&amp;TEXT(D587,"000")</f>
        <v>신약말씀 #222</v>
      </c>
      <c r="F587" s="17" t="s">
        <v>1824</v>
      </c>
      <c r="G587" s="18" t="s">
        <v>273</v>
      </c>
      <c r="H587" s="19" t="s">
        <v>1843</v>
      </c>
      <c r="I587" s="17" t="s">
        <v>787</v>
      </c>
      <c r="J587" s="17" t="s">
        <v>94</v>
      </c>
      <c r="K587" s="20"/>
      <c r="L587" s="17" t="s">
        <v>76</v>
      </c>
      <c r="M587" s="17" t="n">
        <f aca="false">LEN(K587)</f>
        <v>0</v>
      </c>
      <c r="N587" s="17" t="str">
        <f aca="false">IF(M587=0,"-",ROUND(3+M587/안내!$C$12,0))</f>
        <v>-</v>
      </c>
      <c r="O587" s="21" t="str">
        <f aca="false">IF(K587="","(본문 입력 후 자동) | 엡 4:29",IF(LEN(K587)&gt;28,LEFT(K587,28)&amp;"…",K587)&amp;" | 엡 4:29")</f>
        <v>(본문 입력 후 자동) | 엡 4:29</v>
      </c>
      <c r="P587" s="21" t="str">
        <f aca="false">"#"&amp;SUBSTITUTE(안내!$C$5," ","")&amp;" #성경구절 #말씀 #에베소서 #말"</f>
        <v>#오늘의말씀 #성경구절 #말씀 #에베소서 #말</v>
      </c>
      <c r="Q587" s="21" t="s">
        <v>77</v>
      </c>
      <c r="R587" s="22" t="n">
        <f aca="false">안내!$C$6+INT((D587-1)/안내!$C$7)</f>
        <v>46498</v>
      </c>
      <c r="S587" s="17" t="str">
        <f aca="false">IF(MOD(D587-1,안내!$C$7)=0,안내!$C$9,안내!$C$11)</f>
        <v>21:30</v>
      </c>
      <c r="T587" s="17" t="str">
        <f aca="false">CHOOSE(WEEKDAY(R587,2),"월","화","수","목","금","토","일")</f>
        <v>수</v>
      </c>
      <c r="U587" s="17" t="s">
        <v>78</v>
      </c>
      <c r="V587" s="17" t="s">
        <v>78</v>
      </c>
      <c r="W587" s="23"/>
      <c r="X587" s="23"/>
      <c r="Y587" s="21"/>
    </row>
    <row r="588" customFormat="false" ht="15" hidden="false" customHeight="false" outlineLevel="0" collapsed="false">
      <c r="A588" s="17" t="n">
        <v>587</v>
      </c>
      <c r="B588" s="18" t="s">
        <v>1844</v>
      </c>
      <c r="C588" s="17" t="s">
        <v>1225</v>
      </c>
      <c r="D588" s="17" t="n">
        <v>223</v>
      </c>
      <c r="E588" s="17" t="str">
        <f aca="false">C588&amp;"말씀 #"&amp;TEXT(D588,"000")</f>
        <v>신약말씀 #223</v>
      </c>
      <c r="F588" s="17" t="s">
        <v>1824</v>
      </c>
      <c r="G588" s="18" t="s">
        <v>1845</v>
      </c>
      <c r="H588" s="19" t="s">
        <v>1846</v>
      </c>
      <c r="I588" s="17" t="s">
        <v>694</v>
      </c>
      <c r="J588" s="17" t="s">
        <v>99</v>
      </c>
      <c r="K588" s="20"/>
      <c r="L588" s="17" t="s">
        <v>76</v>
      </c>
      <c r="M588" s="17" t="n">
        <f aca="false">LEN(K588)</f>
        <v>0</v>
      </c>
      <c r="N588" s="17" t="str">
        <f aca="false">IF(M588=0,"-",ROUND(3+M588/안내!$C$12,0))</f>
        <v>-</v>
      </c>
      <c r="O588" s="21" t="str">
        <f aca="false">IF(K588="","(본문 입력 후 자동) | 엡 4:32",IF(LEN(K588)&gt;28,LEFT(K588,28)&amp;"…",K588)&amp;" | 엡 4:32")</f>
        <v>(본문 입력 후 자동) | 엡 4:32</v>
      </c>
      <c r="P588" s="21" t="str">
        <f aca="false">"#"&amp;SUBSTITUTE(안내!$C$5," ","")&amp;" #성경구절 #말씀 #에베소서 #용서"</f>
        <v>#오늘의말씀 #성경구절 #말씀 #에베소서 #용서</v>
      </c>
      <c r="Q588" s="21" t="s">
        <v>77</v>
      </c>
      <c r="R588" s="22" t="n">
        <f aca="false">안내!$C$6+INT((D588-1)/안내!$C$7)</f>
        <v>46499</v>
      </c>
      <c r="S588" s="17" t="str">
        <f aca="false">IF(MOD(D588-1,안내!$C$7)=0,안내!$C$9,안내!$C$11)</f>
        <v>12:30</v>
      </c>
      <c r="T588" s="17" t="str">
        <f aca="false">CHOOSE(WEEKDAY(R588,2),"월","화","수","목","금","토","일")</f>
        <v>목</v>
      </c>
      <c r="U588" s="17" t="s">
        <v>78</v>
      </c>
      <c r="V588" s="17" t="s">
        <v>78</v>
      </c>
      <c r="W588" s="23"/>
      <c r="X588" s="23"/>
      <c r="Y588" s="21"/>
    </row>
    <row r="589" customFormat="false" ht="15" hidden="false" customHeight="false" outlineLevel="0" collapsed="false">
      <c r="A589" s="17" t="n">
        <v>588</v>
      </c>
      <c r="B589" s="18" t="s">
        <v>1847</v>
      </c>
      <c r="C589" s="17" t="s">
        <v>1225</v>
      </c>
      <c r="D589" s="17" t="n">
        <v>224</v>
      </c>
      <c r="E589" s="17" t="str">
        <f aca="false">C589&amp;"말씀 #"&amp;TEXT(D589,"000")</f>
        <v>신약말씀 #224</v>
      </c>
      <c r="F589" s="17" t="s">
        <v>1824</v>
      </c>
      <c r="G589" s="18" t="s">
        <v>1250</v>
      </c>
      <c r="H589" s="19" t="s">
        <v>1848</v>
      </c>
      <c r="I589" s="17" t="s">
        <v>1258</v>
      </c>
      <c r="J589" s="17" t="s">
        <v>89</v>
      </c>
      <c r="K589" s="20"/>
      <c r="L589" s="17" t="s">
        <v>76</v>
      </c>
      <c r="M589" s="17" t="n">
        <f aca="false">LEN(K589)</f>
        <v>0</v>
      </c>
      <c r="N589" s="17" t="str">
        <f aca="false">IF(M589=0,"-",ROUND(3+M589/안내!$C$12,0))</f>
        <v>-</v>
      </c>
      <c r="O589" s="21" t="str">
        <f aca="false">IF(K589="","(본문 입력 후 자동) | 엡 5:8",IF(LEN(K589)&gt;28,LEFT(K589,28)&amp;"…",K589)&amp;" | 엡 5:8")</f>
        <v>(본문 입력 후 자동) | 엡 5:8</v>
      </c>
      <c r="P589" s="21" t="str">
        <f aca="false">"#"&amp;SUBSTITUTE(안내!$C$5," ","")&amp;" #성경구절 #말씀 #에베소서 #빛"</f>
        <v>#오늘의말씀 #성경구절 #말씀 #에베소서 #빛</v>
      </c>
      <c r="Q589" s="21" t="s">
        <v>77</v>
      </c>
      <c r="R589" s="22" t="n">
        <f aca="false">안내!$C$6+INT((D589-1)/안내!$C$7)</f>
        <v>46499</v>
      </c>
      <c r="S589" s="17" t="str">
        <f aca="false">IF(MOD(D589-1,안내!$C$7)=0,안내!$C$9,안내!$C$11)</f>
        <v>21:30</v>
      </c>
      <c r="T589" s="17" t="str">
        <f aca="false">CHOOSE(WEEKDAY(R589,2),"월","화","수","목","금","토","일")</f>
        <v>목</v>
      </c>
      <c r="U589" s="17" t="s">
        <v>78</v>
      </c>
      <c r="V589" s="17" t="s">
        <v>78</v>
      </c>
      <c r="W589" s="23"/>
      <c r="X589" s="23"/>
      <c r="Y589" s="21"/>
    </row>
    <row r="590" customFormat="false" ht="15" hidden="false" customHeight="false" outlineLevel="0" collapsed="false">
      <c r="A590" s="17" t="n">
        <v>589</v>
      </c>
      <c r="B590" s="18" t="s">
        <v>1849</v>
      </c>
      <c r="C590" s="17" t="s">
        <v>1225</v>
      </c>
      <c r="D590" s="17" t="n">
        <v>225</v>
      </c>
      <c r="E590" s="17" t="str">
        <f aca="false">C590&amp;"말씀 #"&amp;TEXT(D590,"000")</f>
        <v>신약말씀 #225</v>
      </c>
      <c r="F590" s="17" t="s">
        <v>1824</v>
      </c>
      <c r="G590" s="18" t="s">
        <v>1260</v>
      </c>
      <c r="H590" s="19" t="s">
        <v>1850</v>
      </c>
      <c r="I590" s="17" t="s">
        <v>403</v>
      </c>
      <c r="J590" s="17" t="s">
        <v>148</v>
      </c>
      <c r="K590" s="20"/>
      <c r="L590" s="17" t="s">
        <v>76</v>
      </c>
      <c r="M590" s="17" t="n">
        <f aca="false">LEN(K590)</f>
        <v>0</v>
      </c>
      <c r="N590" s="17" t="str">
        <f aca="false">IF(M590=0,"-",ROUND(3+M590/안내!$C$12,0))</f>
        <v>-</v>
      </c>
      <c r="O590" s="21" t="str">
        <f aca="false">IF(K590="","(본문 입력 후 자동) | 엡 5:16",IF(LEN(K590)&gt;28,LEFT(K590,28)&amp;"…",K590)&amp;" | 엡 5:16")</f>
        <v>(본문 입력 후 자동) | 엡 5:16</v>
      </c>
      <c r="P590" s="21" t="str">
        <f aca="false">"#"&amp;SUBSTITUTE(안내!$C$5," ","")&amp;" #성경구절 #말씀 #에베소서 #지혜"</f>
        <v>#오늘의말씀 #성경구절 #말씀 #에베소서 #지혜</v>
      </c>
      <c r="Q590" s="21" t="s">
        <v>77</v>
      </c>
      <c r="R590" s="22" t="n">
        <f aca="false">안내!$C$6+INT((D590-1)/안내!$C$7)</f>
        <v>46500</v>
      </c>
      <c r="S590" s="17" t="str">
        <f aca="false">IF(MOD(D590-1,안내!$C$7)=0,안내!$C$9,안내!$C$11)</f>
        <v>12:30</v>
      </c>
      <c r="T590" s="17" t="str">
        <f aca="false">CHOOSE(WEEKDAY(R590,2),"월","화","수","목","금","토","일")</f>
        <v>금</v>
      </c>
      <c r="U590" s="17" t="s">
        <v>78</v>
      </c>
      <c r="V590" s="17" t="s">
        <v>78</v>
      </c>
      <c r="W590" s="23"/>
      <c r="X590" s="23"/>
      <c r="Y590" s="21"/>
    </row>
    <row r="591" customFormat="false" ht="15" hidden="false" customHeight="false" outlineLevel="0" collapsed="false">
      <c r="A591" s="17" t="n">
        <v>590</v>
      </c>
      <c r="B591" s="18" t="s">
        <v>1851</v>
      </c>
      <c r="C591" s="17" t="s">
        <v>1225</v>
      </c>
      <c r="D591" s="17" t="n">
        <v>226</v>
      </c>
      <c r="E591" s="17" t="str">
        <f aca="false">C591&amp;"말씀 #"&amp;TEXT(D591,"000")</f>
        <v>신약말씀 #226</v>
      </c>
      <c r="F591" s="17" t="s">
        <v>1824</v>
      </c>
      <c r="G591" s="18" t="s">
        <v>1120</v>
      </c>
      <c r="H591" s="19" t="s">
        <v>1852</v>
      </c>
      <c r="I591" s="17" t="s">
        <v>93</v>
      </c>
      <c r="J591" s="17" t="s">
        <v>94</v>
      </c>
      <c r="K591" s="20"/>
      <c r="L591" s="17" t="s">
        <v>76</v>
      </c>
      <c r="M591" s="17" t="n">
        <f aca="false">LEN(K591)</f>
        <v>0</v>
      </c>
      <c r="N591" s="17" t="str">
        <f aca="false">IF(M591=0,"-",ROUND(3+M591/안내!$C$12,0))</f>
        <v>-</v>
      </c>
      <c r="O591" s="21" t="str">
        <f aca="false">IF(K591="","(본문 입력 후 자동) | 엡 6:1",IF(LEN(K591)&gt;28,LEFT(K591,28)&amp;"…",K591)&amp;" | 엡 6:1")</f>
        <v>(본문 입력 후 자동) | 엡 6:1</v>
      </c>
      <c r="P591" s="21" t="str">
        <f aca="false">"#"&amp;SUBSTITUTE(안내!$C$5," ","")&amp;" #성경구절 #말씀 #에베소서 #가정"</f>
        <v>#오늘의말씀 #성경구절 #말씀 #에베소서 #가정</v>
      </c>
      <c r="Q591" s="21" t="s">
        <v>77</v>
      </c>
      <c r="R591" s="22" t="n">
        <f aca="false">안내!$C$6+INT((D591-1)/안내!$C$7)</f>
        <v>46500</v>
      </c>
      <c r="S591" s="17" t="str">
        <f aca="false">IF(MOD(D591-1,안내!$C$7)=0,안내!$C$9,안내!$C$11)</f>
        <v>21:30</v>
      </c>
      <c r="T591" s="17" t="str">
        <f aca="false">CHOOSE(WEEKDAY(R591,2),"월","화","수","목","금","토","일")</f>
        <v>금</v>
      </c>
      <c r="U591" s="17" t="s">
        <v>78</v>
      </c>
      <c r="V591" s="17" t="s">
        <v>78</v>
      </c>
      <c r="W591" s="23"/>
      <c r="X591" s="23"/>
      <c r="Y591" s="21"/>
    </row>
    <row r="592" customFormat="false" ht="15" hidden="false" customHeight="false" outlineLevel="0" collapsed="false">
      <c r="A592" s="17" t="n">
        <v>591</v>
      </c>
      <c r="B592" s="18" t="s">
        <v>1853</v>
      </c>
      <c r="C592" s="17" t="s">
        <v>1225</v>
      </c>
      <c r="D592" s="17" t="n">
        <v>227</v>
      </c>
      <c r="E592" s="17" t="str">
        <f aca="false">C592&amp;"말씀 #"&amp;TEXT(D592,"000")</f>
        <v>신약말씀 #227</v>
      </c>
      <c r="F592" s="17" t="s">
        <v>1824</v>
      </c>
      <c r="G592" s="18" t="s">
        <v>1113</v>
      </c>
      <c r="H592" s="19" t="s">
        <v>1854</v>
      </c>
      <c r="I592" s="17" t="s">
        <v>140</v>
      </c>
      <c r="J592" s="17" t="s">
        <v>113</v>
      </c>
      <c r="K592" s="20"/>
      <c r="L592" s="17" t="s">
        <v>76</v>
      </c>
      <c r="M592" s="17" t="n">
        <f aca="false">LEN(K592)</f>
        <v>0</v>
      </c>
      <c r="N592" s="17" t="str">
        <f aca="false">IF(M592=0,"-",ROUND(3+M592/안내!$C$12,0))</f>
        <v>-</v>
      </c>
      <c r="O592" s="21" t="str">
        <f aca="false">IF(K592="","(본문 입력 후 자동) | 엡 6:10",IF(LEN(K592)&gt;28,LEFT(K592,28)&amp;"…",K592)&amp;" | 엡 6:10")</f>
        <v>(본문 입력 후 자동) | 엡 6:10</v>
      </c>
      <c r="P592" s="21" t="str">
        <f aca="false">"#"&amp;SUBSTITUTE(안내!$C$5," ","")&amp;" #성경구절 #말씀 #에베소서 #능력"</f>
        <v>#오늘의말씀 #성경구절 #말씀 #에베소서 #능력</v>
      </c>
      <c r="Q592" s="21" t="s">
        <v>77</v>
      </c>
      <c r="R592" s="22" t="n">
        <f aca="false">안내!$C$6+INT((D592-1)/안내!$C$7)</f>
        <v>46501</v>
      </c>
      <c r="S592" s="17" t="str">
        <f aca="false">IF(MOD(D592-1,안내!$C$7)=0,안내!$C$9,안내!$C$11)</f>
        <v>12:30</v>
      </c>
      <c r="T592" s="17" t="str">
        <f aca="false">CHOOSE(WEEKDAY(R592,2),"월","화","수","목","금","토","일")</f>
        <v>토</v>
      </c>
      <c r="U592" s="17" t="s">
        <v>78</v>
      </c>
      <c r="V592" s="17" t="s">
        <v>78</v>
      </c>
      <c r="W592" s="23"/>
      <c r="X592" s="23"/>
      <c r="Y592" s="21"/>
    </row>
    <row r="593" customFormat="false" ht="15" hidden="false" customHeight="false" outlineLevel="0" collapsed="false">
      <c r="A593" s="17" t="n">
        <v>592</v>
      </c>
      <c r="B593" s="18" t="s">
        <v>1855</v>
      </c>
      <c r="C593" s="17" t="s">
        <v>1225</v>
      </c>
      <c r="D593" s="17" t="n">
        <v>228</v>
      </c>
      <c r="E593" s="17" t="str">
        <f aca="false">C593&amp;"말씀 #"&amp;TEXT(D593,"000")</f>
        <v>신약말씀 #228</v>
      </c>
      <c r="F593" s="17" t="s">
        <v>1824</v>
      </c>
      <c r="G593" s="18" t="s">
        <v>1856</v>
      </c>
      <c r="H593" s="19" t="s">
        <v>1857</v>
      </c>
      <c r="I593" s="17" t="s">
        <v>207</v>
      </c>
      <c r="J593" s="17" t="s">
        <v>113</v>
      </c>
      <c r="K593" s="20"/>
      <c r="L593" s="17" t="s">
        <v>76</v>
      </c>
      <c r="M593" s="17" t="n">
        <f aca="false">LEN(K593)</f>
        <v>0</v>
      </c>
      <c r="N593" s="17" t="str">
        <f aca="false">IF(M593=0,"-",ROUND(3+M593/안내!$C$12,0))</f>
        <v>-</v>
      </c>
      <c r="O593" s="21" t="str">
        <f aca="false">IF(K593="","(본문 입력 후 자동) | 엡 6:11",IF(LEN(K593)&gt;28,LEFT(K593,28)&amp;"…",K593)&amp;" | 엡 6:11")</f>
        <v>(본문 입력 후 자동) | 엡 6:11</v>
      </c>
      <c r="P593" s="21" t="str">
        <f aca="false">"#"&amp;SUBSTITUTE(안내!$C$5," ","")&amp;" #성경구절 #말씀 #에베소서 #승리"</f>
        <v>#오늘의말씀 #성경구절 #말씀 #에베소서 #승리</v>
      </c>
      <c r="Q593" s="21" t="s">
        <v>77</v>
      </c>
      <c r="R593" s="22" t="n">
        <f aca="false">안내!$C$6+INT((D593-1)/안내!$C$7)</f>
        <v>46501</v>
      </c>
      <c r="S593" s="17" t="str">
        <f aca="false">IF(MOD(D593-1,안내!$C$7)=0,안내!$C$9,안내!$C$11)</f>
        <v>21:30</v>
      </c>
      <c r="T593" s="17" t="str">
        <f aca="false">CHOOSE(WEEKDAY(R593,2),"월","화","수","목","금","토","일")</f>
        <v>토</v>
      </c>
      <c r="U593" s="17" t="s">
        <v>78</v>
      </c>
      <c r="V593" s="17" t="s">
        <v>78</v>
      </c>
      <c r="W593" s="23"/>
      <c r="X593" s="23"/>
      <c r="Y593" s="21"/>
    </row>
    <row r="594" customFormat="false" ht="26.85" hidden="false" customHeight="false" outlineLevel="0" collapsed="false">
      <c r="A594" s="17" t="n">
        <v>593</v>
      </c>
      <c r="B594" s="18" t="s">
        <v>1858</v>
      </c>
      <c r="C594" s="17" t="s">
        <v>1225</v>
      </c>
      <c r="D594" s="17" t="n">
        <v>229</v>
      </c>
      <c r="E594" s="17" t="str">
        <f aca="false">C594&amp;"말씀 #"&amp;TEXT(D594,"000")</f>
        <v>신약말씀 #229</v>
      </c>
      <c r="F594" s="17" t="s">
        <v>1859</v>
      </c>
      <c r="G594" s="18" t="s">
        <v>1860</v>
      </c>
      <c r="H594" s="19" t="s">
        <v>1861</v>
      </c>
      <c r="I594" s="17" t="s">
        <v>112</v>
      </c>
      <c r="J594" s="17" t="s">
        <v>113</v>
      </c>
      <c r="K594" s="20"/>
      <c r="L594" s="17" t="s">
        <v>76</v>
      </c>
      <c r="M594" s="17" t="n">
        <f aca="false">LEN(K594)</f>
        <v>0</v>
      </c>
      <c r="N594" s="17" t="str">
        <f aca="false">IF(M594=0,"-",ROUND(3+M594/안내!$C$12,0))</f>
        <v>-</v>
      </c>
      <c r="O594" s="21" t="str">
        <f aca="false">IF(K594="","(본문 입력 후 자동) | 빌 1:6",IF(LEN(K594)&gt;28,LEFT(K594,28)&amp;"…",K594)&amp;" | 빌 1:6")</f>
        <v>(본문 입력 후 자동) | 빌 1:6</v>
      </c>
      <c r="P594" s="21" t="str">
        <f aca="false">"#"&amp;SUBSTITUTE(안내!$C$5," ","")&amp;" #성경구절 #말씀 #빌립보서 #신실하심"</f>
        <v>#오늘의말씀 #성경구절 #말씀 #빌립보서 #신실하심</v>
      </c>
      <c r="Q594" s="21" t="s">
        <v>77</v>
      </c>
      <c r="R594" s="22" t="n">
        <f aca="false">안내!$C$6+INT((D594-1)/안내!$C$7)</f>
        <v>46502</v>
      </c>
      <c r="S594" s="17" t="str">
        <f aca="false">IF(MOD(D594-1,안내!$C$7)=0,안내!$C$9,안내!$C$11)</f>
        <v>12:30</v>
      </c>
      <c r="T594" s="17" t="str">
        <f aca="false">CHOOSE(WEEKDAY(R594,2),"월","화","수","목","금","토","일")</f>
        <v>일</v>
      </c>
      <c r="U594" s="17" t="s">
        <v>78</v>
      </c>
      <c r="V594" s="17" t="s">
        <v>78</v>
      </c>
      <c r="W594" s="23"/>
      <c r="X594" s="23"/>
      <c r="Y594" s="21"/>
    </row>
    <row r="595" customFormat="false" ht="15" hidden="false" customHeight="false" outlineLevel="0" collapsed="false">
      <c r="A595" s="17" t="n">
        <v>594</v>
      </c>
      <c r="B595" s="18" t="s">
        <v>1862</v>
      </c>
      <c r="C595" s="17" t="s">
        <v>1225</v>
      </c>
      <c r="D595" s="17" t="n">
        <v>230</v>
      </c>
      <c r="E595" s="17" t="str">
        <f aca="false">C595&amp;"말씀 #"&amp;TEXT(D595,"000")</f>
        <v>신약말씀 #230</v>
      </c>
      <c r="F595" s="17" t="s">
        <v>1859</v>
      </c>
      <c r="G595" s="18" t="s">
        <v>495</v>
      </c>
      <c r="H595" s="19" t="s">
        <v>1863</v>
      </c>
      <c r="I595" s="17" t="s">
        <v>88</v>
      </c>
      <c r="J595" s="17" t="s">
        <v>89</v>
      </c>
      <c r="K595" s="20"/>
      <c r="L595" s="17" t="s">
        <v>76</v>
      </c>
      <c r="M595" s="17" t="n">
        <f aca="false">LEN(K595)</f>
        <v>0</v>
      </c>
      <c r="N595" s="17" t="str">
        <f aca="false">IF(M595=0,"-",ROUND(3+M595/안내!$C$12,0))</f>
        <v>-</v>
      </c>
      <c r="O595" s="21" t="str">
        <f aca="false">IF(K595="","(본문 입력 후 자동) | 빌 1:21",IF(LEN(K595)&gt;28,LEFT(K595,28)&amp;"…",K595)&amp;" | 빌 1:21")</f>
        <v>(본문 입력 후 자동) | 빌 1:21</v>
      </c>
      <c r="P595" s="21" t="str">
        <f aca="false">"#"&amp;SUBSTITUTE(안내!$C$5," ","")&amp;" #성경구절 #말씀 #빌립보서 #생명"</f>
        <v>#오늘의말씀 #성경구절 #말씀 #빌립보서 #생명</v>
      </c>
      <c r="Q595" s="21" t="s">
        <v>77</v>
      </c>
      <c r="R595" s="22" t="n">
        <f aca="false">안내!$C$6+INT((D595-1)/안내!$C$7)</f>
        <v>46502</v>
      </c>
      <c r="S595" s="17" t="str">
        <f aca="false">IF(MOD(D595-1,안내!$C$7)=0,안내!$C$9,안내!$C$11)</f>
        <v>21:30</v>
      </c>
      <c r="T595" s="17" t="str">
        <f aca="false">CHOOSE(WEEKDAY(R595,2),"월","화","수","목","금","토","일")</f>
        <v>일</v>
      </c>
      <c r="U595" s="17" t="s">
        <v>78</v>
      </c>
      <c r="V595" s="17" t="s">
        <v>78</v>
      </c>
      <c r="W595" s="23"/>
      <c r="X595" s="23"/>
      <c r="Y595" s="21"/>
    </row>
    <row r="596" customFormat="false" ht="15" hidden="false" customHeight="false" outlineLevel="0" collapsed="false">
      <c r="A596" s="17" t="n">
        <v>595</v>
      </c>
      <c r="B596" s="18" t="s">
        <v>1864</v>
      </c>
      <c r="C596" s="17" t="s">
        <v>1225</v>
      </c>
      <c r="D596" s="17" t="n">
        <v>231</v>
      </c>
      <c r="E596" s="17" t="str">
        <f aca="false">C596&amp;"말씀 #"&amp;TEXT(D596,"000")</f>
        <v>신약말씀 #231</v>
      </c>
      <c r="F596" s="17" t="s">
        <v>1859</v>
      </c>
      <c r="G596" s="18" t="s">
        <v>1192</v>
      </c>
      <c r="H596" s="19" t="s">
        <v>1865</v>
      </c>
      <c r="I596" s="17" t="s">
        <v>775</v>
      </c>
      <c r="J596" s="17" t="s">
        <v>94</v>
      </c>
      <c r="K596" s="20"/>
      <c r="L596" s="17" t="s">
        <v>76</v>
      </c>
      <c r="M596" s="17" t="n">
        <f aca="false">LEN(K596)</f>
        <v>0</v>
      </c>
      <c r="N596" s="17" t="str">
        <f aca="false">IF(M596=0,"-",ROUND(3+M596/안내!$C$12,0))</f>
        <v>-</v>
      </c>
      <c r="O596" s="21" t="str">
        <f aca="false">IF(K596="","(본문 입력 후 자동) | 빌 2:3",IF(LEN(K596)&gt;28,LEFT(K596,28)&amp;"…",K596)&amp;" | 빌 2:3")</f>
        <v>(본문 입력 후 자동) | 빌 2:3</v>
      </c>
      <c r="P596" s="21" t="str">
        <f aca="false">"#"&amp;SUBSTITUTE(안내!$C$5," ","")&amp;" #성경구절 #말씀 #빌립보서 #겸손"</f>
        <v>#오늘의말씀 #성경구절 #말씀 #빌립보서 #겸손</v>
      </c>
      <c r="Q596" s="21" t="s">
        <v>77</v>
      </c>
      <c r="R596" s="22" t="n">
        <f aca="false">안내!$C$6+INT((D596-1)/안내!$C$7)</f>
        <v>46503</v>
      </c>
      <c r="S596" s="17" t="str">
        <f aca="false">IF(MOD(D596-1,안내!$C$7)=0,안내!$C$9,안내!$C$11)</f>
        <v>12:30</v>
      </c>
      <c r="T596" s="17" t="str">
        <f aca="false">CHOOSE(WEEKDAY(R596,2),"월","화","수","목","금","토","일")</f>
        <v>월</v>
      </c>
      <c r="U596" s="17" t="s">
        <v>78</v>
      </c>
      <c r="V596" s="17" t="s">
        <v>78</v>
      </c>
      <c r="W596" s="23"/>
      <c r="X596" s="23"/>
      <c r="Y596" s="21"/>
    </row>
    <row r="597" customFormat="false" ht="15" hidden="false" customHeight="false" outlineLevel="0" collapsed="false">
      <c r="A597" s="17" t="n">
        <v>596</v>
      </c>
      <c r="B597" s="18" t="s">
        <v>1866</v>
      </c>
      <c r="C597" s="17" t="s">
        <v>1225</v>
      </c>
      <c r="D597" s="17" t="n">
        <v>232</v>
      </c>
      <c r="E597" s="17" t="str">
        <f aca="false">C597&amp;"말씀 #"&amp;TEXT(D597,"000")</f>
        <v>신약말씀 #232</v>
      </c>
      <c r="F597" s="17" t="s">
        <v>1859</v>
      </c>
      <c r="G597" s="18" t="s">
        <v>1867</v>
      </c>
      <c r="H597" s="19" t="s">
        <v>1868</v>
      </c>
      <c r="I597" s="17" t="s">
        <v>775</v>
      </c>
      <c r="J597" s="17" t="s">
        <v>94</v>
      </c>
      <c r="K597" s="20"/>
      <c r="L597" s="17" t="s">
        <v>76</v>
      </c>
      <c r="M597" s="17" t="n">
        <f aca="false">LEN(K597)</f>
        <v>0</v>
      </c>
      <c r="N597" s="17" t="str">
        <f aca="false">IF(M597=0,"-",ROUND(3+M597/안내!$C$12,0))</f>
        <v>-</v>
      </c>
      <c r="O597" s="21" t="str">
        <f aca="false">IF(K597="","(본문 입력 후 자동) | 빌 2:5",IF(LEN(K597)&gt;28,LEFT(K597,28)&amp;"…",K597)&amp;" | 빌 2:5")</f>
        <v>(본문 입력 후 자동) | 빌 2:5</v>
      </c>
      <c r="P597" s="21" t="str">
        <f aca="false">"#"&amp;SUBSTITUTE(안내!$C$5," ","")&amp;" #성경구절 #말씀 #빌립보서 #겸손"</f>
        <v>#오늘의말씀 #성경구절 #말씀 #빌립보서 #겸손</v>
      </c>
      <c r="Q597" s="21" t="s">
        <v>77</v>
      </c>
      <c r="R597" s="22" t="n">
        <f aca="false">안내!$C$6+INT((D597-1)/안내!$C$7)</f>
        <v>46503</v>
      </c>
      <c r="S597" s="17" t="str">
        <f aca="false">IF(MOD(D597-1,안내!$C$7)=0,안내!$C$9,안내!$C$11)</f>
        <v>21:30</v>
      </c>
      <c r="T597" s="17" t="str">
        <f aca="false">CHOOSE(WEEKDAY(R597,2),"월","화","수","목","금","토","일")</f>
        <v>월</v>
      </c>
      <c r="U597" s="17" t="s">
        <v>78</v>
      </c>
      <c r="V597" s="17" t="s">
        <v>78</v>
      </c>
      <c r="W597" s="23"/>
      <c r="X597" s="23"/>
      <c r="Y597" s="21"/>
    </row>
    <row r="598" customFormat="false" ht="15" hidden="false" customHeight="false" outlineLevel="0" collapsed="false">
      <c r="A598" s="17" t="n">
        <v>597</v>
      </c>
      <c r="B598" s="18" t="s">
        <v>1869</v>
      </c>
      <c r="C598" s="17" t="s">
        <v>1225</v>
      </c>
      <c r="D598" s="17" t="n">
        <v>233</v>
      </c>
      <c r="E598" s="17" t="str">
        <f aca="false">C598&amp;"말씀 #"&amp;TEXT(D598,"000")</f>
        <v>신약말씀 #233</v>
      </c>
      <c r="F598" s="17" t="s">
        <v>1859</v>
      </c>
      <c r="G598" s="18" t="s">
        <v>1015</v>
      </c>
      <c r="H598" s="19" t="s">
        <v>1870</v>
      </c>
      <c r="I598" s="17" t="s">
        <v>98</v>
      </c>
      <c r="J598" s="17" t="s">
        <v>99</v>
      </c>
      <c r="K598" s="20"/>
      <c r="L598" s="17" t="s">
        <v>76</v>
      </c>
      <c r="M598" s="17" t="n">
        <f aca="false">LEN(K598)</f>
        <v>0</v>
      </c>
      <c r="N598" s="17" t="str">
        <f aca="false">IF(M598=0,"-",ROUND(3+M598/안내!$C$12,0))</f>
        <v>-</v>
      </c>
      <c r="O598" s="21" t="str">
        <f aca="false">IF(K598="","(본문 입력 후 자동) | 빌 2:13",IF(LEN(K598)&gt;28,LEFT(K598,28)&amp;"…",K598)&amp;" | 빌 2:13")</f>
        <v>(본문 입력 후 자동) | 빌 2:13</v>
      </c>
      <c r="P598" s="21" t="str">
        <f aca="false">"#"&amp;SUBSTITUTE(안내!$C$5," ","")&amp;" #성경구절 #말씀 #빌립보서 #은혜"</f>
        <v>#오늘의말씀 #성경구절 #말씀 #빌립보서 #은혜</v>
      </c>
      <c r="Q598" s="21" t="s">
        <v>77</v>
      </c>
      <c r="R598" s="22" t="n">
        <f aca="false">안내!$C$6+INT((D598-1)/안내!$C$7)</f>
        <v>46504</v>
      </c>
      <c r="S598" s="17" t="str">
        <f aca="false">IF(MOD(D598-1,안내!$C$7)=0,안내!$C$9,안내!$C$11)</f>
        <v>12:30</v>
      </c>
      <c r="T598" s="17" t="str">
        <f aca="false">CHOOSE(WEEKDAY(R598,2),"월","화","수","목","금","토","일")</f>
        <v>화</v>
      </c>
      <c r="U598" s="17" t="s">
        <v>78</v>
      </c>
      <c r="V598" s="17" t="s">
        <v>78</v>
      </c>
      <c r="W598" s="23"/>
      <c r="X598" s="23"/>
      <c r="Y598" s="21"/>
    </row>
    <row r="599" customFormat="false" ht="15" hidden="false" customHeight="false" outlineLevel="0" collapsed="false">
      <c r="A599" s="17" t="n">
        <v>598</v>
      </c>
      <c r="B599" s="18" t="s">
        <v>1871</v>
      </c>
      <c r="C599" s="17" t="s">
        <v>1225</v>
      </c>
      <c r="D599" s="17" t="n">
        <v>234</v>
      </c>
      <c r="E599" s="17" t="str">
        <f aca="false">C599&amp;"말씀 #"&amp;TEXT(D599,"000")</f>
        <v>신약말씀 #234</v>
      </c>
      <c r="F599" s="17" t="s">
        <v>1859</v>
      </c>
      <c r="G599" s="18" t="s">
        <v>1872</v>
      </c>
      <c r="H599" s="19" t="s">
        <v>1873</v>
      </c>
      <c r="I599" s="17" t="s">
        <v>333</v>
      </c>
      <c r="J599" s="17" t="s">
        <v>122</v>
      </c>
      <c r="K599" s="20"/>
      <c r="L599" s="17" t="s">
        <v>76</v>
      </c>
      <c r="M599" s="17" t="n">
        <f aca="false">LEN(K599)</f>
        <v>0</v>
      </c>
      <c r="N599" s="17" t="str">
        <f aca="false">IF(M599=0,"-",ROUND(3+M599/안내!$C$12,0))</f>
        <v>-</v>
      </c>
      <c r="O599" s="21" t="str">
        <f aca="false">IF(K599="","(본문 입력 후 자동) | 빌 3:8",IF(LEN(K599)&gt;28,LEFT(K599,28)&amp;"…",K599)&amp;" | 빌 3:8")</f>
        <v>(본문 입력 후 자동) | 빌 3:8</v>
      </c>
      <c r="P599" s="21" t="str">
        <f aca="false">"#"&amp;SUBSTITUTE(안내!$C$5," ","")&amp;" #성경구절 #말씀 #빌립보서 #헌신"</f>
        <v>#오늘의말씀 #성경구절 #말씀 #빌립보서 #헌신</v>
      </c>
      <c r="Q599" s="21" t="s">
        <v>77</v>
      </c>
      <c r="R599" s="22" t="n">
        <f aca="false">안내!$C$6+INT((D599-1)/안내!$C$7)</f>
        <v>46504</v>
      </c>
      <c r="S599" s="17" t="str">
        <f aca="false">IF(MOD(D599-1,안내!$C$7)=0,안내!$C$9,안내!$C$11)</f>
        <v>21:30</v>
      </c>
      <c r="T599" s="17" t="str">
        <f aca="false">CHOOSE(WEEKDAY(R599,2),"월","화","수","목","금","토","일")</f>
        <v>화</v>
      </c>
      <c r="U599" s="17" t="s">
        <v>78</v>
      </c>
      <c r="V599" s="17" t="s">
        <v>78</v>
      </c>
      <c r="W599" s="23"/>
      <c r="X599" s="23"/>
      <c r="Y599" s="21"/>
    </row>
    <row r="600" customFormat="false" ht="15" hidden="false" customHeight="false" outlineLevel="0" collapsed="false">
      <c r="A600" s="17" t="n">
        <v>599</v>
      </c>
      <c r="B600" s="18" t="s">
        <v>1874</v>
      </c>
      <c r="C600" s="17" t="s">
        <v>1225</v>
      </c>
      <c r="D600" s="17" t="n">
        <v>235</v>
      </c>
      <c r="E600" s="17" t="str">
        <f aca="false">C600&amp;"말씀 #"&amp;TEXT(D600,"000")</f>
        <v>신약말씀 #235</v>
      </c>
      <c r="F600" s="17" t="s">
        <v>1859</v>
      </c>
      <c r="G600" s="18" t="s">
        <v>174</v>
      </c>
      <c r="H600" s="19" t="s">
        <v>1875</v>
      </c>
      <c r="I600" s="17" t="s">
        <v>511</v>
      </c>
      <c r="J600" s="17" t="s">
        <v>89</v>
      </c>
      <c r="K600" s="20"/>
      <c r="L600" s="17" t="s">
        <v>76</v>
      </c>
      <c r="M600" s="17" t="n">
        <f aca="false">LEN(K600)</f>
        <v>0</v>
      </c>
      <c r="N600" s="17" t="str">
        <f aca="false">IF(M600=0,"-",ROUND(3+M600/안내!$C$12,0))</f>
        <v>-</v>
      </c>
      <c r="O600" s="21" t="str">
        <f aca="false">IF(K600="","(본문 입력 후 자동) | 빌 3:14",IF(LEN(K600)&gt;28,LEFT(K600,28)&amp;"…",K600)&amp;" | 빌 3:14")</f>
        <v>(본문 입력 후 자동) | 빌 3:14</v>
      </c>
      <c r="P600" s="21" t="str">
        <f aca="false">"#"&amp;SUBSTITUTE(안내!$C$5," ","")&amp;" #성경구절 #말씀 #빌립보서 #소망"</f>
        <v>#오늘의말씀 #성경구절 #말씀 #빌립보서 #소망</v>
      </c>
      <c r="Q600" s="21" t="s">
        <v>77</v>
      </c>
      <c r="R600" s="22" t="n">
        <f aca="false">안내!$C$6+INT((D600-1)/안내!$C$7)</f>
        <v>46505</v>
      </c>
      <c r="S600" s="17" t="str">
        <f aca="false">IF(MOD(D600-1,안내!$C$7)=0,안내!$C$9,안내!$C$11)</f>
        <v>12:30</v>
      </c>
      <c r="T600" s="17" t="str">
        <f aca="false">CHOOSE(WEEKDAY(R600,2),"월","화","수","목","금","토","일")</f>
        <v>수</v>
      </c>
      <c r="U600" s="17" t="s">
        <v>78</v>
      </c>
      <c r="V600" s="17" t="s">
        <v>78</v>
      </c>
      <c r="W600" s="23"/>
      <c r="X600" s="23"/>
      <c r="Y600" s="21"/>
    </row>
    <row r="601" customFormat="false" ht="15" hidden="false" customHeight="false" outlineLevel="0" collapsed="false">
      <c r="A601" s="17" t="n">
        <v>600</v>
      </c>
      <c r="B601" s="18" t="s">
        <v>1876</v>
      </c>
      <c r="C601" s="17" t="s">
        <v>1225</v>
      </c>
      <c r="D601" s="17" t="n">
        <v>236</v>
      </c>
      <c r="E601" s="17" t="str">
        <f aca="false">C601&amp;"말씀 #"&amp;TEXT(D601,"000")</f>
        <v>신약말씀 #236</v>
      </c>
      <c r="F601" s="17" t="s">
        <v>1859</v>
      </c>
      <c r="G601" s="18" t="s">
        <v>1835</v>
      </c>
      <c r="H601" s="19" t="s">
        <v>1877</v>
      </c>
      <c r="I601" s="17" t="s">
        <v>511</v>
      </c>
      <c r="J601" s="17" t="s">
        <v>89</v>
      </c>
      <c r="K601" s="20"/>
      <c r="L601" s="17" t="s">
        <v>76</v>
      </c>
      <c r="M601" s="17" t="n">
        <f aca="false">LEN(K601)</f>
        <v>0</v>
      </c>
      <c r="N601" s="17" t="str">
        <f aca="false">IF(M601=0,"-",ROUND(3+M601/안내!$C$12,0))</f>
        <v>-</v>
      </c>
      <c r="O601" s="21" t="str">
        <f aca="false">IF(K601="","(본문 입력 후 자동) | 빌 3:20",IF(LEN(K601)&gt;28,LEFT(K601,28)&amp;"…",K601)&amp;" | 빌 3:20")</f>
        <v>(본문 입력 후 자동) | 빌 3:20</v>
      </c>
      <c r="P601" s="21" t="str">
        <f aca="false">"#"&amp;SUBSTITUTE(안내!$C$5," ","")&amp;" #성경구절 #말씀 #빌립보서 #소망"</f>
        <v>#오늘의말씀 #성경구절 #말씀 #빌립보서 #소망</v>
      </c>
      <c r="Q601" s="21" t="s">
        <v>77</v>
      </c>
      <c r="R601" s="22" t="n">
        <f aca="false">안내!$C$6+INT((D601-1)/안내!$C$7)</f>
        <v>46505</v>
      </c>
      <c r="S601" s="17" t="str">
        <f aca="false">IF(MOD(D601-1,안내!$C$7)=0,안내!$C$9,안내!$C$11)</f>
        <v>21:30</v>
      </c>
      <c r="T601" s="17" t="str">
        <f aca="false">CHOOSE(WEEKDAY(R601,2),"월","화","수","목","금","토","일")</f>
        <v>수</v>
      </c>
      <c r="U601" s="17" t="s">
        <v>78</v>
      </c>
      <c r="V601" s="17" t="s">
        <v>78</v>
      </c>
      <c r="W601" s="23"/>
      <c r="X601" s="23"/>
      <c r="Y601" s="21"/>
    </row>
    <row r="602" customFormat="false" ht="15" hidden="false" customHeight="false" outlineLevel="0" collapsed="false">
      <c r="A602" s="17" t="n">
        <v>601</v>
      </c>
      <c r="B602" s="18" t="s">
        <v>1878</v>
      </c>
      <c r="C602" s="17" t="s">
        <v>1225</v>
      </c>
      <c r="D602" s="17" t="n">
        <v>237</v>
      </c>
      <c r="E602" s="17" t="str">
        <f aca="false">C602&amp;"말씀 #"&amp;TEXT(D602,"000")</f>
        <v>신약말씀 #237</v>
      </c>
      <c r="F602" s="17" t="s">
        <v>1859</v>
      </c>
      <c r="G602" s="18" t="s">
        <v>1234</v>
      </c>
      <c r="H602" s="19" t="s">
        <v>1879</v>
      </c>
      <c r="I602" s="17" t="s">
        <v>483</v>
      </c>
      <c r="J602" s="17" t="s">
        <v>89</v>
      </c>
      <c r="K602" s="20"/>
      <c r="L602" s="17" t="s">
        <v>76</v>
      </c>
      <c r="M602" s="17" t="n">
        <f aca="false">LEN(K602)</f>
        <v>0</v>
      </c>
      <c r="N602" s="17" t="str">
        <f aca="false">IF(M602=0,"-",ROUND(3+M602/안내!$C$12,0))</f>
        <v>-</v>
      </c>
      <c r="O602" s="21" t="str">
        <f aca="false">IF(K602="","(본문 입력 후 자동) | 빌 4:4",IF(LEN(K602)&gt;28,LEFT(K602,28)&amp;"…",K602)&amp;" | 빌 4:4")</f>
        <v>(본문 입력 후 자동) | 빌 4:4</v>
      </c>
      <c r="P602" s="21" t="str">
        <f aca="false">"#"&amp;SUBSTITUTE(안내!$C$5," ","")&amp;" #성경구절 #말씀 #빌립보서 #기쁨"</f>
        <v>#오늘의말씀 #성경구절 #말씀 #빌립보서 #기쁨</v>
      </c>
      <c r="Q602" s="21" t="s">
        <v>77</v>
      </c>
      <c r="R602" s="22" t="n">
        <f aca="false">안내!$C$6+INT((D602-1)/안내!$C$7)</f>
        <v>46506</v>
      </c>
      <c r="S602" s="17" t="str">
        <f aca="false">IF(MOD(D602-1,안내!$C$7)=0,안내!$C$9,안내!$C$11)</f>
        <v>12:30</v>
      </c>
      <c r="T602" s="17" t="str">
        <f aca="false">CHOOSE(WEEKDAY(R602,2),"월","화","수","목","금","토","일")</f>
        <v>목</v>
      </c>
      <c r="U602" s="17" t="s">
        <v>78</v>
      </c>
      <c r="V602" s="17" t="s">
        <v>78</v>
      </c>
      <c r="W602" s="23"/>
      <c r="X602" s="23"/>
      <c r="Y602" s="21"/>
    </row>
    <row r="603" customFormat="false" ht="15" hidden="false" customHeight="false" outlineLevel="0" collapsed="false">
      <c r="A603" s="17" t="n">
        <v>602</v>
      </c>
      <c r="B603" s="18" t="s">
        <v>1880</v>
      </c>
      <c r="C603" s="17" t="s">
        <v>1225</v>
      </c>
      <c r="D603" s="17" t="n">
        <v>238</v>
      </c>
      <c r="E603" s="17" t="str">
        <f aca="false">C603&amp;"말씀 #"&amp;TEXT(D603,"000")</f>
        <v>신약말씀 #238</v>
      </c>
      <c r="F603" s="17" t="s">
        <v>1859</v>
      </c>
      <c r="G603" s="18" t="s">
        <v>1206</v>
      </c>
      <c r="H603" s="19" t="s">
        <v>1881</v>
      </c>
      <c r="I603" s="17" t="s">
        <v>160</v>
      </c>
      <c r="J603" s="17" t="s">
        <v>104</v>
      </c>
      <c r="K603" s="20"/>
      <c r="L603" s="17" t="s">
        <v>76</v>
      </c>
      <c r="M603" s="17" t="n">
        <f aca="false">LEN(K603)</f>
        <v>0</v>
      </c>
      <c r="N603" s="17" t="str">
        <f aca="false">IF(M603=0,"-",ROUND(3+M603/안내!$C$12,0))</f>
        <v>-</v>
      </c>
      <c r="O603" s="21" t="str">
        <f aca="false">IF(K603="","(본문 입력 후 자동) | 빌 4:6",IF(LEN(K603)&gt;28,LEFT(K603,28)&amp;"…",K603)&amp;" | 빌 4:6")</f>
        <v>(본문 입력 후 자동) | 빌 4:6</v>
      </c>
      <c r="P603" s="21" t="str">
        <f aca="false">"#"&amp;SUBSTITUTE(안내!$C$5," ","")&amp;" #성경구절 #말씀 #빌립보서 #기도"</f>
        <v>#오늘의말씀 #성경구절 #말씀 #빌립보서 #기도</v>
      </c>
      <c r="Q603" s="21" t="s">
        <v>77</v>
      </c>
      <c r="R603" s="22" t="n">
        <f aca="false">안내!$C$6+INT((D603-1)/안내!$C$7)</f>
        <v>46506</v>
      </c>
      <c r="S603" s="17" t="str">
        <f aca="false">IF(MOD(D603-1,안내!$C$7)=0,안내!$C$9,안내!$C$11)</f>
        <v>21:30</v>
      </c>
      <c r="T603" s="17" t="str">
        <f aca="false">CHOOSE(WEEKDAY(R603,2),"월","화","수","목","금","토","일")</f>
        <v>목</v>
      </c>
      <c r="U603" s="17" t="s">
        <v>78</v>
      </c>
      <c r="V603" s="17" t="s">
        <v>78</v>
      </c>
      <c r="W603" s="23"/>
      <c r="X603" s="23"/>
      <c r="Y603" s="21"/>
    </row>
    <row r="604" customFormat="false" ht="15" hidden="false" customHeight="false" outlineLevel="0" collapsed="false">
      <c r="A604" s="17" t="n">
        <v>603</v>
      </c>
      <c r="B604" s="18" t="s">
        <v>1882</v>
      </c>
      <c r="C604" s="17" t="s">
        <v>1225</v>
      </c>
      <c r="D604" s="17" t="n">
        <v>239</v>
      </c>
      <c r="E604" s="17" t="str">
        <f aca="false">C604&amp;"말씀 #"&amp;TEXT(D604,"000")</f>
        <v>신약말씀 #239</v>
      </c>
      <c r="F604" s="17" t="s">
        <v>1859</v>
      </c>
      <c r="G604" s="18" t="s">
        <v>1763</v>
      </c>
      <c r="H604" s="19" t="s">
        <v>1883</v>
      </c>
      <c r="I604" s="17" t="s">
        <v>221</v>
      </c>
      <c r="J604" s="17" t="s">
        <v>99</v>
      </c>
      <c r="K604" s="20"/>
      <c r="L604" s="17" t="s">
        <v>76</v>
      </c>
      <c r="M604" s="17" t="n">
        <f aca="false">LEN(K604)</f>
        <v>0</v>
      </c>
      <c r="N604" s="17" t="str">
        <f aca="false">IF(M604=0,"-",ROUND(3+M604/안내!$C$12,0))</f>
        <v>-</v>
      </c>
      <c r="O604" s="21" t="str">
        <f aca="false">IF(K604="","(본문 입력 후 자동) | 빌 4:7",IF(LEN(K604)&gt;28,LEFT(K604,28)&amp;"…",K604)&amp;" | 빌 4:7")</f>
        <v>(본문 입력 후 자동) | 빌 4:7</v>
      </c>
      <c r="P604" s="21" t="str">
        <f aca="false">"#"&amp;SUBSTITUTE(안내!$C$5," ","")&amp;" #성경구절 #말씀 #빌립보서 #평안"</f>
        <v>#오늘의말씀 #성경구절 #말씀 #빌립보서 #평안</v>
      </c>
      <c r="Q604" s="21" t="s">
        <v>77</v>
      </c>
      <c r="R604" s="22" t="n">
        <f aca="false">안내!$C$6+INT((D604-1)/안내!$C$7)</f>
        <v>46507</v>
      </c>
      <c r="S604" s="17" t="str">
        <f aca="false">IF(MOD(D604-1,안내!$C$7)=0,안내!$C$9,안내!$C$11)</f>
        <v>12:30</v>
      </c>
      <c r="T604" s="17" t="str">
        <f aca="false">CHOOSE(WEEKDAY(R604,2),"월","화","수","목","금","토","일")</f>
        <v>금</v>
      </c>
      <c r="U604" s="17" t="s">
        <v>78</v>
      </c>
      <c r="V604" s="17" t="s">
        <v>78</v>
      </c>
      <c r="W604" s="23"/>
      <c r="X604" s="23"/>
      <c r="Y604" s="21"/>
    </row>
    <row r="605" customFormat="false" ht="15" hidden="false" customHeight="false" outlineLevel="0" collapsed="false">
      <c r="A605" s="17" t="n">
        <v>604</v>
      </c>
      <c r="B605" s="18" t="s">
        <v>1884</v>
      </c>
      <c r="C605" s="17" t="s">
        <v>1225</v>
      </c>
      <c r="D605" s="17" t="n">
        <v>240</v>
      </c>
      <c r="E605" s="17" t="str">
        <f aca="false">C605&amp;"말씀 #"&amp;TEXT(D605,"000")</f>
        <v>신약말씀 #240</v>
      </c>
      <c r="F605" s="17" t="s">
        <v>1859</v>
      </c>
      <c r="G605" s="18" t="s">
        <v>544</v>
      </c>
      <c r="H605" s="19" t="s">
        <v>1885</v>
      </c>
      <c r="I605" s="17" t="s">
        <v>376</v>
      </c>
      <c r="J605" s="17" t="s">
        <v>94</v>
      </c>
      <c r="K605" s="20"/>
      <c r="L605" s="17" t="s">
        <v>76</v>
      </c>
      <c r="M605" s="17" t="n">
        <f aca="false">LEN(K605)</f>
        <v>0</v>
      </c>
      <c r="N605" s="17" t="str">
        <f aca="false">IF(M605=0,"-",ROUND(3+M605/안내!$C$12,0))</f>
        <v>-</v>
      </c>
      <c r="O605" s="21" t="str">
        <f aca="false">IF(K605="","(본문 입력 후 자동) | 빌 4:8",IF(LEN(K605)&gt;28,LEFT(K605,28)&amp;"…",K605)&amp;" | 빌 4:8")</f>
        <v>(본문 입력 후 자동) | 빌 4:8</v>
      </c>
      <c r="P605" s="21" t="str">
        <f aca="false">"#"&amp;SUBSTITUTE(안내!$C$5," ","")&amp;" #성경구절 #말씀 #빌립보서 #마음"</f>
        <v>#오늘의말씀 #성경구절 #말씀 #빌립보서 #마음</v>
      </c>
      <c r="Q605" s="21" t="s">
        <v>77</v>
      </c>
      <c r="R605" s="22" t="n">
        <f aca="false">안내!$C$6+INT((D605-1)/안내!$C$7)</f>
        <v>46507</v>
      </c>
      <c r="S605" s="17" t="str">
        <f aca="false">IF(MOD(D605-1,안내!$C$7)=0,안내!$C$9,안내!$C$11)</f>
        <v>21:30</v>
      </c>
      <c r="T605" s="17" t="str">
        <f aca="false">CHOOSE(WEEKDAY(R605,2),"월","화","수","목","금","토","일")</f>
        <v>금</v>
      </c>
      <c r="U605" s="17" t="s">
        <v>78</v>
      </c>
      <c r="V605" s="17" t="s">
        <v>78</v>
      </c>
      <c r="W605" s="23"/>
      <c r="X605" s="23"/>
      <c r="Y605" s="21"/>
    </row>
    <row r="606" customFormat="false" ht="39.55" hidden="false" customHeight="false" outlineLevel="0" collapsed="false">
      <c r="A606" s="17" t="n">
        <v>605</v>
      </c>
      <c r="B606" s="18" t="s">
        <v>1886</v>
      </c>
      <c r="C606" s="17" t="s">
        <v>1225</v>
      </c>
      <c r="D606" s="17" t="n">
        <v>241</v>
      </c>
      <c r="E606" s="17" t="str">
        <f aca="false">C606&amp;"말씀 #"&amp;TEXT(D606,"000")</f>
        <v>신약말씀 #241</v>
      </c>
      <c r="F606" s="17" t="s">
        <v>1859</v>
      </c>
      <c r="G606" s="18" t="s">
        <v>1887</v>
      </c>
      <c r="H606" s="19" t="s">
        <v>1888</v>
      </c>
      <c r="I606" s="17" t="s">
        <v>140</v>
      </c>
      <c r="J606" s="17" t="s">
        <v>113</v>
      </c>
      <c r="K606" s="20"/>
      <c r="L606" s="17" t="s">
        <v>76</v>
      </c>
      <c r="M606" s="17" t="n">
        <f aca="false">LEN(K606)</f>
        <v>0</v>
      </c>
      <c r="N606" s="17" t="str">
        <f aca="false">IF(M606=0,"-",ROUND(3+M606/안내!$C$12,0))</f>
        <v>-</v>
      </c>
      <c r="O606" s="21" t="str">
        <f aca="false">IF(K606="","(본문 입력 후 자동) | 빌 4:13",IF(LEN(K606)&gt;28,LEFT(K606,28)&amp;"…",K606)&amp;" | 빌 4:13")</f>
        <v>(본문 입력 후 자동) | 빌 4:13</v>
      </c>
      <c r="P606" s="21" t="str">
        <f aca="false">"#"&amp;SUBSTITUTE(안내!$C$5," ","")&amp;" #성경구절 #말씀 #빌립보서 #능력"</f>
        <v>#오늘의말씀 #성경구절 #말씀 #빌립보서 #능력</v>
      </c>
      <c r="Q606" s="24" t="s">
        <v>1889</v>
      </c>
      <c r="R606" s="22" t="n">
        <f aca="false">안내!$C$6+INT((D606-1)/안내!$C$7)</f>
        <v>46508</v>
      </c>
      <c r="S606" s="17" t="str">
        <f aca="false">IF(MOD(D606-1,안내!$C$7)=0,안내!$C$9,안내!$C$11)</f>
        <v>12:30</v>
      </c>
      <c r="T606" s="17" t="str">
        <f aca="false">CHOOSE(WEEKDAY(R606,2),"월","화","수","목","금","토","일")</f>
        <v>토</v>
      </c>
      <c r="U606" s="17" t="s">
        <v>78</v>
      </c>
      <c r="V606" s="17" t="s">
        <v>78</v>
      </c>
      <c r="W606" s="23"/>
      <c r="X606" s="23"/>
      <c r="Y606" s="21"/>
    </row>
    <row r="607" customFormat="false" ht="39.55" hidden="false" customHeight="false" outlineLevel="0" collapsed="false">
      <c r="A607" s="17" t="n">
        <v>606</v>
      </c>
      <c r="B607" s="18" t="s">
        <v>1890</v>
      </c>
      <c r="C607" s="17" t="s">
        <v>1225</v>
      </c>
      <c r="D607" s="17" t="n">
        <v>242</v>
      </c>
      <c r="E607" s="17" t="str">
        <f aca="false">C607&amp;"말씀 #"&amp;TEXT(D607,"000")</f>
        <v>신약말씀 #242</v>
      </c>
      <c r="F607" s="17" t="s">
        <v>1859</v>
      </c>
      <c r="G607" s="18" t="s">
        <v>1237</v>
      </c>
      <c r="H607" s="19" t="s">
        <v>1891</v>
      </c>
      <c r="I607" s="17" t="s">
        <v>147</v>
      </c>
      <c r="J607" s="17" t="s">
        <v>148</v>
      </c>
      <c r="K607" s="20"/>
      <c r="L607" s="17" t="s">
        <v>76</v>
      </c>
      <c r="M607" s="17" t="n">
        <f aca="false">LEN(K607)</f>
        <v>0</v>
      </c>
      <c r="N607" s="17" t="str">
        <f aca="false">IF(M607=0,"-",ROUND(3+M607/안내!$C$12,0))</f>
        <v>-</v>
      </c>
      <c r="O607" s="21" t="str">
        <f aca="false">IF(K607="","(본문 입력 후 자동) | 빌 4:19",IF(LEN(K607)&gt;28,LEFT(K607,28)&amp;"…",K607)&amp;" | 빌 4:19")</f>
        <v>(본문 입력 후 자동) | 빌 4:19</v>
      </c>
      <c r="P607" s="21" t="str">
        <f aca="false">"#"&amp;SUBSTITUTE(안내!$C$5," ","")&amp;" #성경구절 #말씀 #빌립보서 #공급하심"</f>
        <v>#오늘의말씀 #성경구절 #말씀 #빌립보서 #공급하심</v>
      </c>
      <c r="Q607" s="24" t="s">
        <v>1892</v>
      </c>
      <c r="R607" s="22" t="n">
        <f aca="false">안내!$C$6+INT((D607-1)/안내!$C$7)</f>
        <v>46508</v>
      </c>
      <c r="S607" s="17" t="str">
        <f aca="false">IF(MOD(D607-1,안내!$C$7)=0,안내!$C$9,안내!$C$11)</f>
        <v>21:30</v>
      </c>
      <c r="T607" s="17" t="str">
        <f aca="false">CHOOSE(WEEKDAY(R607,2),"월","화","수","목","금","토","일")</f>
        <v>토</v>
      </c>
      <c r="U607" s="17" t="s">
        <v>78</v>
      </c>
      <c r="V607" s="17" t="s">
        <v>78</v>
      </c>
      <c r="W607" s="23"/>
      <c r="X607" s="23"/>
      <c r="Y607" s="21"/>
    </row>
    <row r="608" customFormat="false" ht="15" hidden="false" customHeight="false" outlineLevel="0" collapsed="false">
      <c r="A608" s="17" t="n">
        <v>607</v>
      </c>
      <c r="B608" s="18" t="s">
        <v>1893</v>
      </c>
      <c r="C608" s="17" t="s">
        <v>1225</v>
      </c>
      <c r="D608" s="17" t="n">
        <v>243</v>
      </c>
      <c r="E608" s="17" t="str">
        <f aca="false">C608&amp;"말씀 #"&amp;TEXT(D608,"000")</f>
        <v>신약말씀 #243</v>
      </c>
      <c r="F608" s="17" t="s">
        <v>1894</v>
      </c>
      <c r="G608" s="18" t="s">
        <v>348</v>
      </c>
      <c r="H608" s="19" t="s">
        <v>1895</v>
      </c>
      <c r="I608" s="17" t="s">
        <v>74</v>
      </c>
      <c r="J608" s="17" t="s">
        <v>75</v>
      </c>
      <c r="K608" s="20"/>
      <c r="L608" s="17" t="s">
        <v>76</v>
      </c>
      <c r="M608" s="17" t="n">
        <f aca="false">LEN(K608)</f>
        <v>0</v>
      </c>
      <c r="N608" s="17" t="str">
        <f aca="false">IF(M608=0,"-",ROUND(3+M608/안내!$C$12,0))</f>
        <v>-</v>
      </c>
      <c r="O608" s="21" t="str">
        <f aca="false">IF(K608="","(본문 입력 후 자동) | 골 1:16",IF(LEN(K608)&gt;28,LEFT(K608,28)&amp;"…",K608)&amp;" | 골 1:16")</f>
        <v>(본문 입력 후 자동) | 골 1:16</v>
      </c>
      <c r="P608" s="21" t="str">
        <f aca="false">"#"&amp;SUBSTITUTE(안내!$C$5," ","")&amp;" #성경구절 #말씀 #골로새서 #창조"</f>
        <v>#오늘의말씀 #성경구절 #말씀 #골로새서 #창조</v>
      </c>
      <c r="Q608" s="21" t="s">
        <v>77</v>
      </c>
      <c r="R608" s="22" t="n">
        <f aca="false">안내!$C$6+INT((D608-1)/안내!$C$7)</f>
        <v>46509</v>
      </c>
      <c r="S608" s="17" t="str">
        <f aca="false">IF(MOD(D608-1,안내!$C$7)=0,안내!$C$9,안내!$C$11)</f>
        <v>12:30</v>
      </c>
      <c r="T608" s="17" t="str">
        <f aca="false">CHOOSE(WEEKDAY(R608,2),"월","화","수","목","금","토","일")</f>
        <v>일</v>
      </c>
      <c r="U608" s="17" t="s">
        <v>78</v>
      </c>
      <c r="V608" s="17" t="s">
        <v>78</v>
      </c>
      <c r="W608" s="23"/>
      <c r="X608" s="23"/>
      <c r="Y608" s="21"/>
    </row>
    <row r="609" customFormat="false" ht="15" hidden="false" customHeight="false" outlineLevel="0" collapsed="false">
      <c r="A609" s="17" t="n">
        <v>608</v>
      </c>
      <c r="B609" s="18" t="s">
        <v>1896</v>
      </c>
      <c r="C609" s="17" t="s">
        <v>1225</v>
      </c>
      <c r="D609" s="17" t="n">
        <v>244</v>
      </c>
      <c r="E609" s="17" t="str">
        <f aca="false">C609&amp;"말씀 #"&amp;TEXT(D609,"000")</f>
        <v>신약말씀 #244</v>
      </c>
      <c r="F609" s="17" t="s">
        <v>1894</v>
      </c>
      <c r="G609" s="18" t="s">
        <v>80</v>
      </c>
      <c r="H609" s="19" t="s">
        <v>1897</v>
      </c>
      <c r="I609" s="17" t="s">
        <v>511</v>
      </c>
      <c r="J609" s="17" t="s">
        <v>89</v>
      </c>
      <c r="K609" s="20"/>
      <c r="L609" s="17" t="s">
        <v>76</v>
      </c>
      <c r="M609" s="17" t="n">
        <f aca="false">LEN(K609)</f>
        <v>0</v>
      </c>
      <c r="N609" s="17" t="str">
        <f aca="false">IF(M609=0,"-",ROUND(3+M609/안내!$C$12,0))</f>
        <v>-</v>
      </c>
      <c r="O609" s="21" t="str">
        <f aca="false">IF(K609="","(본문 입력 후 자동) | 골 1:27",IF(LEN(K609)&gt;28,LEFT(K609,28)&amp;"…",K609)&amp;" | 골 1:27")</f>
        <v>(본문 입력 후 자동) | 골 1:27</v>
      </c>
      <c r="P609" s="21" t="str">
        <f aca="false">"#"&amp;SUBSTITUTE(안내!$C$5," ","")&amp;" #성경구절 #말씀 #골로새서 #소망"</f>
        <v>#오늘의말씀 #성경구절 #말씀 #골로새서 #소망</v>
      </c>
      <c r="Q609" s="21" t="s">
        <v>77</v>
      </c>
      <c r="R609" s="22" t="n">
        <f aca="false">안내!$C$6+INT((D609-1)/안내!$C$7)</f>
        <v>46509</v>
      </c>
      <c r="S609" s="17" t="str">
        <f aca="false">IF(MOD(D609-1,안내!$C$7)=0,안내!$C$9,안내!$C$11)</f>
        <v>21:30</v>
      </c>
      <c r="T609" s="17" t="str">
        <f aca="false">CHOOSE(WEEKDAY(R609,2),"월","화","수","목","금","토","일")</f>
        <v>일</v>
      </c>
      <c r="U609" s="17" t="s">
        <v>78</v>
      </c>
      <c r="V609" s="17" t="s">
        <v>78</v>
      </c>
      <c r="W609" s="23"/>
      <c r="X609" s="23"/>
      <c r="Y609" s="21"/>
    </row>
    <row r="610" customFormat="false" ht="15" hidden="false" customHeight="false" outlineLevel="0" collapsed="false">
      <c r="A610" s="17" t="n">
        <v>609</v>
      </c>
      <c r="B610" s="18" t="s">
        <v>1898</v>
      </c>
      <c r="C610" s="17" t="s">
        <v>1225</v>
      </c>
      <c r="D610" s="17" t="n">
        <v>245</v>
      </c>
      <c r="E610" s="17" t="str">
        <f aca="false">C610&amp;"말씀 #"&amp;TEXT(D610,"000")</f>
        <v>신약말씀 #245</v>
      </c>
      <c r="F610" s="17" t="s">
        <v>1894</v>
      </c>
      <c r="G610" s="18" t="s">
        <v>86</v>
      </c>
      <c r="H610" s="19" t="s">
        <v>1899</v>
      </c>
      <c r="I610" s="17" t="s">
        <v>133</v>
      </c>
      <c r="J610" s="17" t="s">
        <v>113</v>
      </c>
      <c r="K610" s="20"/>
      <c r="L610" s="17" t="s">
        <v>76</v>
      </c>
      <c r="M610" s="17" t="n">
        <f aca="false">LEN(K610)</f>
        <v>0</v>
      </c>
      <c r="N610" s="17" t="str">
        <f aca="false">IF(M610=0,"-",ROUND(3+M610/안내!$C$12,0))</f>
        <v>-</v>
      </c>
      <c r="O610" s="21" t="str">
        <f aca="false">IF(K610="","(본문 입력 후 자동) | 골 2:7",IF(LEN(K610)&gt;28,LEFT(K610,28)&amp;"…",K610)&amp;" | 골 2:7")</f>
        <v>(본문 입력 후 자동) | 골 2:7</v>
      </c>
      <c r="P610" s="21" t="str">
        <f aca="false">"#"&amp;SUBSTITUTE(안내!$C$5," ","")&amp;" #성경구절 #말씀 #골로새서 #믿음"</f>
        <v>#오늘의말씀 #성경구절 #말씀 #골로새서 #믿음</v>
      </c>
      <c r="Q610" s="21" t="s">
        <v>77</v>
      </c>
      <c r="R610" s="22" t="n">
        <f aca="false">안내!$C$6+INT((D610-1)/안내!$C$7)</f>
        <v>46510</v>
      </c>
      <c r="S610" s="17" t="str">
        <f aca="false">IF(MOD(D610-1,안내!$C$7)=0,안내!$C$9,안내!$C$11)</f>
        <v>12:30</v>
      </c>
      <c r="T610" s="17" t="str">
        <f aca="false">CHOOSE(WEEKDAY(R610,2),"월","화","수","목","금","토","일")</f>
        <v>월</v>
      </c>
      <c r="U610" s="17" t="s">
        <v>78</v>
      </c>
      <c r="V610" s="17" t="s">
        <v>78</v>
      </c>
      <c r="W610" s="23"/>
      <c r="X610" s="23"/>
      <c r="Y610" s="21"/>
    </row>
    <row r="611" customFormat="false" ht="26.85" hidden="false" customHeight="false" outlineLevel="0" collapsed="false">
      <c r="A611" s="17" t="n">
        <v>610</v>
      </c>
      <c r="B611" s="18" t="s">
        <v>1900</v>
      </c>
      <c r="C611" s="17" t="s">
        <v>1225</v>
      </c>
      <c r="D611" s="17" t="n">
        <v>246</v>
      </c>
      <c r="E611" s="17" t="str">
        <f aca="false">C611&amp;"말씀 #"&amp;TEXT(D611,"000")</f>
        <v>신약말씀 #246</v>
      </c>
      <c r="F611" s="17" t="s">
        <v>1894</v>
      </c>
      <c r="G611" s="18" t="s">
        <v>1901</v>
      </c>
      <c r="H611" s="19" t="s">
        <v>1902</v>
      </c>
      <c r="I611" s="17" t="s">
        <v>1273</v>
      </c>
      <c r="J611" s="17" t="s">
        <v>89</v>
      </c>
      <c r="K611" s="20"/>
      <c r="L611" s="17" t="s">
        <v>76</v>
      </c>
      <c r="M611" s="17" t="n">
        <f aca="false">LEN(K611)</f>
        <v>0</v>
      </c>
      <c r="N611" s="17" t="str">
        <f aca="false">IF(M611=0,"-",ROUND(3+M611/안내!$C$12,0))</f>
        <v>-</v>
      </c>
      <c r="O611" s="21" t="str">
        <f aca="false">IF(K611="","(본문 입력 후 자동) | 골 3:2",IF(LEN(K611)&gt;28,LEFT(K611,28)&amp;"…",K611)&amp;" | 골 3:2")</f>
        <v>(본문 입력 후 자동) | 골 3:2</v>
      </c>
      <c r="P611" s="21" t="str">
        <f aca="false">"#"&amp;SUBSTITUTE(안내!$C$5," ","")&amp;" #성경구절 #말씀 #골로새서 #하나님나라"</f>
        <v>#오늘의말씀 #성경구절 #말씀 #골로새서 #하나님나라</v>
      </c>
      <c r="Q611" s="21" t="s">
        <v>77</v>
      </c>
      <c r="R611" s="22" t="n">
        <f aca="false">안내!$C$6+INT((D611-1)/안내!$C$7)</f>
        <v>46510</v>
      </c>
      <c r="S611" s="17" t="str">
        <f aca="false">IF(MOD(D611-1,안내!$C$7)=0,안내!$C$9,안내!$C$11)</f>
        <v>21:30</v>
      </c>
      <c r="T611" s="17" t="str">
        <f aca="false">CHOOSE(WEEKDAY(R611,2),"월","화","수","목","금","토","일")</f>
        <v>월</v>
      </c>
      <c r="U611" s="17" t="s">
        <v>78</v>
      </c>
      <c r="V611" s="17" t="s">
        <v>78</v>
      </c>
      <c r="W611" s="23"/>
      <c r="X611" s="23"/>
      <c r="Y611" s="21"/>
    </row>
    <row r="612" customFormat="false" ht="15" hidden="false" customHeight="false" outlineLevel="0" collapsed="false">
      <c r="A612" s="17" t="n">
        <v>611</v>
      </c>
      <c r="B612" s="18" t="s">
        <v>1903</v>
      </c>
      <c r="C612" s="17" t="s">
        <v>1225</v>
      </c>
      <c r="D612" s="17" t="n">
        <v>247</v>
      </c>
      <c r="E612" s="17" t="str">
        <f aca="false">C612&amp;"말씀 #"&amp;TEXT(D612,"000")</f>
        <v>신약말씀 #247</v>
      </c>
      <c r="F612" s="17" t="s">
        <v>1894</v>
      </c>
      <c r="G612" s="18" t="s">
        <v>1904</v>
      </c>
      <c r="H612" s="19" t="s">
        <v>1905</v>
      </c>
      <c r="I612" s="17" t="s">
        <v>694</v>
      </c>
      <c r="J612" s="17" t="s">
        <v>99</v>
      </c>
      <c r="K612" s="20"/>
      <c r="L612" s="17" t="s">
        <v>76</v>
      </c>
      <c r="M612" s="17" t="n">
        <f aca="false">LEN(K612)</f>
        <v>0</v>
      </c>
      <c r="N612" s="17" t="str">
        <f aca="false">IF(M612=0,"-",ROUND(3+M612/안내!$C$12,0))</f>
        <v>-</v>
      </c>
      <c r="O612" s="21" t="str">
        <f aca="false">IF(K612="","(본문 입력 후 자동) | 골 3:13",IF(LEN(K612)&gt;28,LEFT(K612,28)&amp;"…",K612)&amp;" | 골 3:13")</f>
        <v>(본문 입력 후 자동) | 골 3:13</v>
      </c>
      <c r="P612" s="21" t="str">
        <f aca="false">"#"&amp;SUBSTITUTE(안내!$C$5," ","")&amp;" #성경구절 #말씀 #골로새서 #용서"</f>
        <v>#오늘의말씀 #성경구절 #말씀 #골로새서 #용서</v>
      </c>
      <c r="Q612" s="21" t="s">
        <v>77</v>
      </c>
      <c r="R612" s="22" t="n">
        <f aca="false">안내!$C$6+INT((D612-1)/안내!$C$7)</f>
        <v>46511</v>
      </c>
      <c r="S612" s="17" t="str">
        <f aca="false">IF(MOD(D612-1,안내!$C$7)=0,안내!$C$9,안내!$C$11)</f>
        <v>12:30</v>
      </c>
      <c r="T612" s="17" t="str">
        <f aca="false">CHOOSE(WEEKDAY(R612,2),"월","화","수","목","금","토","일")</f>
        <v>화</v>
      </c>
      <c r="U612" s="17" t="s">
        <v>78</v>
      </c>
      <c r="V612" s="17" t="s">
        <v>78</v>
      </c>
      <c r="W612" s="23"/>
      <c r="X612" s="23"/>
      <c r="Y612" s="21"/>
    </row>
    <row r="613" customFormat="false" ht="15" hidden="false" customHeight="false" outlineLevel="0" collapsed="false">
      <c r="A613" s="17" t="n">
        <v>612</v>
      </c>
      <c r="B613" s="18" t="s">
        <v>1906</v>
      </c>
      <c r="C613" s="17" t="s">
        <v>1225</v>
      </c>
      <c r="D613" s="17" t="n">
        <v>248</v>
      </c>
      <c r="E613" s="17" t="str">
        <f aca="false">C613&amp;"말씀 #"&amp;TEXT(D613,"000")</f>
        <v>신약말씀 #248</v>
      </c>
      <c r="F613" s="17" t="s">
        <v>1894</v>
      </c>
      <c r="G613" s="18" t="s">
        <v>174</v>
      </c>
      <c r="H613" s="19" t="s">
        <v>1907</v>
      </c>
      <c r="I613" s="17" t="s">
        <v>239</v>
      </c>
      <c r="J613" s="17" t="s">
        <v>94</v>
      </c>
      <c r="K613" s="20"/>
      <c r="L613" s="17" t="s">
        <v>76</v>
      </c>
      <c r="M613" s="17" t="n">
        <f aca="false">LEN(K613)</f>
        <v>0</v>
      </c>
      <c r="N613" s="17" t="str">
        <f aca="false">IF(M613=0,"-",ROUND(3+M613/안내!$C$12,0))</f>
        <v>-</v>
      </c>
      <c r="O613" s="21" t="str">
        <f aca="false">IF(K613="","(본문 입력 후 자동) | 골 3:14",IF(LEN(K613)&gt;28,LEFT(K613,28)&amp;"…",K613)&amp;" | 골 3:14")</f>
        <v>(본문 입력 후 자동) | 골 3:14</v>
      </c>
      <c r="P613" s="21" t="str">
        <f aca="false">"#"&amp;SUBSTITUTE(안내!$C$5," ","")&amp;" #성경구절 #말씀 #골로새서 #사랑"</f>
        <v>#오늘의말씀 #성경구절 #말씀 #골로새서 #사랑</v>
      </c>
      <c r="Q613" s="21" t="s">
        <v>77</v>
      </c>
      <c r="R613" s="22" t="n">
        <f aca="false">안내!$C$6+INT((D613-1)/안내!$C$7)</f>
        <v>46511</v>
      </c>
      <c r="S613" s="17" t="str">
        <f aca="false">IF(MOD(D613-1,안내!$C$7)=0,안내!$C$9,안내!$C$11)</f>
        <v>21:30</v>
      </c>
      <c r="T613" s="17" t="str">
        <f aca="false">CHOOSE(WEEKDAY(R613,2),"월","화","수","목","금","토","일")</f>
        <v>화</v>
      </c>
      <c r="U613" s="17" t="s">
        <v>78</v>
      </c>
      <c r="V613" s="17" t="s">
        <v>78</v>
      </c>
      <c r="W613" s="23"/>
      <c r="X613" s="23"/>
      <c r="Y613" s="21"/>
    </row>
    <row r="614" customFormat="false" ht="15" hidden="false" customHeight="false" outlineLevel="0" collapsed="false">
      <c r="A614" s="17" t="n">
        <v>613</v>
      </c>
      <c r="B614" s="18" t="s">
        <v>1908</v>
      </c>
      <c r="C614" s="17" t="s">
        <v>1225</v>
      </c>
      <c r="D614" s="17" t="n">
        <v>249</v>
      </c>
      <c r="E614" s="17" t="str">
        <f aca="false">C614&amp;"말씀 #"&amp;TEXT(D614,"000")</f>
        <v>신약말씀 #249</v>
      </c>
      <c r="F614" s="17" t="s">
        <v>1894</v>
      </c>
      <c r="G614" s="18" t="s">
        <v>101</v>
      </c>
      <c r="H614" s="19" t="s">
        <v>1909</v>
      </c>
      <c r="I614" s="17" t="s">
        <v>221</v>
      </c>
      <c r="J614" s="17" t="s">
        <v>99</v>
      </c>
      <c r="K614" s="20"/>
      <c r="L614" s="17" t="s">
        <v>76</v>
      </c>
      <c r="M614" s="17" t="n">
        <f aca="false">LEN(K614)</f>
        <v>0</v>
      </c>
      <c r="N614" s="17" t="str">
        <f aca="false">IF(M614=0,"-",ROUND(3+M614/안내!$C$12,0))</f>
        <v>-</v>
      </c>
      <c r="O614" s="21" t="str">
        <f aca="false">IF(K614="","(본문 입력 후 자동) | 골 3:15",IF(LEN(K614)&gt;28,LEFT(K614,28)&amp;"…",K614)&amp;" | 골 3:15")</f>
        <v>(본문 입력 후 자동) | 골 3:15</v>
      </c>
      <c r="P614" s="21" t="str">
        <f aca="false">"#"&amp;SUBSTITUTE(안내!$C$5," ","")&amp;" #성경구절 #말씀 #골로새서 #평안"</f>
        <v>#오늘의말씀 #성경구절 #말씀 #골로새서 #평안</v>
      </c>
      <c r="Q614" s="21" t="s">
        <v>77</v>
      </c>
      <c r="R614" s="22" t="n">
        <f aca="false">안내!$C$6+INT((D614-1)/안내!$C$7)</f>
        <v>46512</v>
      </c>
      <c r="S614" s="17" t="str">
        <f aca="false">IF(MOD(D614-1,안내!$C$7)=0,안내!$C$9,안내!$C$11)</f>
        <v>12:30</v>
      </c>
      <c r="T614" s="17" t="str">
        <f aca="false">CHOOSE(WEEKDAY(R614,2),"월","화","수","목","금","토","일")</f>
        <v>수</v>
      </c>
      <c r="U614" s="17" t="s">
        <v>78</v>
      </c>
      <c r="V614" s="17" t="s">
        <v>78</v>
      </c>
      <c r="W614" s="23"/>
      <c r="X614" s="23"/>
      <c r="Y614" s="21"/>
    </row>
    <row r="615" customFormat="false" ht="15" hidden="false" customHeight="false" outlineLevel="0" collapsed="false">
      <c r="A615" s="17" t="n">
        <v>614</v>
      </c>
      <c r="B615" s="18" t="s">
        <v>1910</v>
      </c>
      <c r="C615" s="17" t="s">
        <v>1225</v>
      </c>
      <c r="D615" s="17" t="n">
        <v>250</v>
      </c>
      <c r="E615" s="17" t="str">
        <f aca="false">C615&amp;"말씀 #"&amp;TEXT(D615,"000")</f>
        <v>신약말씀 #250</v>
      </c>
      <c r="F615" s="17" t="s">
        <v>1894</v>
      </c>
      <c r="G615" s="18" t="s">
        <v>1220</v>
      </c>
      <c r="H615" s="19" t="s">
        <v>1911</v>
      </c>
      <c r="I615" s="17" t="s">
        <v>284</v>
      </c>
      <c r="J615" s="17" t="s">
        <v>148</v>
      </c>
      <c r="K615" s="20"/>
      <c r="L615" s="17" t="s">
        <v>76</v>
      </c>
      <c r="M615" s="17" t="n">
        <f aca="false">LEN(K615)</f>
        <v>0</v>
      </c>
      <c r="N615" s="17" t="str">
        <f aca="false">IF(M615=0,"-",ROUND(3+M615/안내!$C$12,0))</f>
        <v>-</v>
      </c>
      <c r="O615" s="21" t="str">
        <f aca="false">IF(K615="","(본문 입력 후 자동) | 골 3:16",IF(LEN(K615)&gt;28,LEFT(K615,28)&amp;"…",K615)&amp;" | 골 3:16")</f>
        <v>(본문 입력 후 자동) | 골 3:16</v>
      </c>
      <c r="P615" s="21" t="str">
        <f aca="false">"#"&amp;SUBSTITUTE(안내!$C$5," ","")&amp;" #성경구절 #말씀 #골로새서 #말씀"</f>
        <v>#오늘의말씀 #성경구절 #말씀 #골로새서 #말씀</v>
      </c>
      <c r="Q615" s="21" t="s">
        <v>77</v>
      </c>
      <c r="R615" s="22" t="n">
        <f aca="false">안내!$C$6+INT((D615-1)/안내!$C$7)</f>
        <v>46512</v>
      </c>
      <c r="S615" s="17" t="str">
        <f aca="false">IF(MOD(D615-1,안내!$C$7)=0,안내!$C$9,안내!$C$11)</f>
        <v>21:30</v>
      </c>
      <c r="T615" s="17" t="str">
        <f aca="false">CHOOSE(WEEKDAY(R615,2),"월","화","수","목","금","토","일")</f>
        <v>수</v>
      </c>
      <c r="U615" s="17" t="s">
        <v>78</v>
      </c>
      <c r="V615" s="17" t="s">
        <v>78</v>
      </c>
      <c r="W615" s="23"/>
      <c r="X615" s="23"/>
      <c r="Y615" s="21"/>
    </row>
    <row r="616" customFormat="false" ht="15" hidden="false" customHeight="false" outlineLevel="0" collapsed="false">
      <c r="A616" s="17" t="n">
        <v>615</v>
      </c>
      <c r="B616" s="18" t="s">
        <v>1912</v>
      </c>
      <c r="C616" s="17" t="s">
        <v>1225</v>
      </c>
      <c r="D616" s="17" t="n">
        <v>251</v>
      </c>
      <c r="E616" s="17" t="str">
        <f aca="false">C616&amp;"말씀 #"&amp;TEXT(D616,"000")</f>
        <v>신약말씀 #251</v>
      </c>
      <c r="F616" s="17" t="s">
        <v>1894</v>
      </c>
      <c r="G616" s="18" t="s">
        <v>1067</v>
      </c>
      <c r="H616" s="19" t="s">
        <v>1913</v>
      </c>
      <c r="I616" s="17" t="s">
        <v>333</v>
      </c>
      <c r="J616" s="17" t="s">
        <v>122</v>
      </c>
      <c r="K616" s="20"/>
      <c r="L616" s="17" t="s">
        <v>76</v>
      </c>
      <c r="M616" s="17" t="n">
        <f aca="false">LEN(K616)</f>
        <v>0</v>
      </c>
      <c r="N616" s="17" t="str">
        <f aca="false">IF(M616=0,"-",ROUND(3+M616/안내!$C$12,0))</f>
        <v>-</v>
      </c>
      <c r="O616" s="21" t="str">
        <f aca="false">IF(K616="","(본문 입력 후 자동) | 골 3:23",IF(LEN(K616)&gt;28,LEFT(K616,28)&amp;"…",K616)&amp;" | 골 3:23")</f>
        <v>(본문 입력 후 자동) | 골 3:23</v>
      </c>
      <c r="P616" s="21" t="str">
        <f aca="false">"#"&amp;SUBSTITUTE(안내!$C$5," ","")&amp;" #성경구절 #말씀 #골로새서 #헌신"</f>
        <v>#오늘의말씀 #성경구절 #말씀 #골로새서 #헌신</v>
      </c>
      <c r="Q616" s="21" t="s">
        <v>77</v>
      </c>
      <c r="R616" s="22" t="n">
        <f aca="false">안내!$C$6+INT((D616-1)/안내!$C$7)</f>
        <v>46513</v>
      </c>
      <c r="S616" s="17" t="str">
        <f aca="false">IF(MOD(D616-1,안내!$C$7)=0,안내!$C$9,안내!$C$11)</f>
        <v>12:30</v>
      </c>
      <c r="T616" s="17" t="str">
        <f aca="false">CHOOSE(WEEKDAY(R616,2),"월","화","수","목","금","토","일")</f>
        <v>목</v>
      </c>
      <c r="U616" s="17" t="s">
        <v>78</v>
      </c>
      <c r="V616" s="17" t="s">
        <v>78</v>
      </c>
      <c r="W616" s="23"/>
      <c r="X616" s="23"/>
      <c r="Y616" s="21"/>
    </row>
    <row r="617" customFormat="false" ht="15" hidden="false" customHeight="false" outlineLevel="0" collapsed="false">
      <c r="A617" s="17" t="n">
        <v>616</v>
      </c>
      <c r="B617" s="18" t="s">
        <v>1914</v>
      </c>
      <c r="C617" s="17" t="s">
        <v>1225</v>
      </c>
      <c r="D617" s="17" t="n">
        <v>252</v>
      </c>
      <c r="E617" s="17" t="str">
        <f aca="false">C617&amp;"말씀 #"&amp;TEXT(D617,"000")</f>
        <v>신약말씀 #252</v>
      </c>
      <c r="F617" s="17" t="s">
        <v>1894</v>
      </c>
      <c r="G617" s="18" t="s">
        <v>1161</v>
      </c>
      <c r="H617" s="19" t="s">
        <v>1915</v>
      </c>
      <c r="I617" s="17" t="s">
        <v>160</v>
      </c>
      <c r="J617" s="17" t="s">
        <v>104</v>
      </c>
      <c r="K617" s="20"/>
      <c r="L617" s="17" t="s">
        <v>76</v>
      </c>
      <c r="M617" s="17" t="n">
        <f aca="false">LEN(K617)</f>
        <v>0</v>
      </c>
      <c r="N617" s="17" t="str">
        <f aca="false">IF(M617=0,"-",ROUND(3+M617/안내!$C$12,0))</f>
        <v>-</v>
      </c>
      <c r="O617" s="21" t="str">
        <f aca="false">IF(K617="","(본문 입력 후 자동) | 골 4:2",IF(LEN(K617)&gt;28,LEFT(K617,28)&amp;"…",K617)&amp;" | 골 4:2")</f>
        <v>(본문 입력 후 자동) | 골 4:2</v>
      </c>
      <c r="P617" s="21" t="str">
        <f aca="false">"#"&amp;SUBSTITUTE(안내!$C$5," ","")&amp;" #성경구절 #말씀 #골로새서 #기도"</f>
        <v>#오늘의말씀 #성경구절 #말씀 #골로새서 #기도</v>
      </c>
      <c r="Q617" s="21" t="s">
        <v>77</v>
      </c>
      <c r="R617" s="22" t="n">
        <f aca="false">안내!$C$6+INT((D617-1)/안내!$C$7)</f>
        <v>46513</v>
      </c>
      <c r="S617" s="17" t="str">
        <f aca="false">IF(MOD(D617-1,안내!$C$7)=0,안내!$C$9,안내!$C$11)</f>
        <v>21:30</v>
      </c>
      <c r="T617" s="17" t="str">
        <f aca="false">CHOOSE(WEEKDAY(R617,2),"월","화","수","목","금","토","일")</f>
        <v>목</v>
      </c>
      <c r="U617" s="17" t="s">
        <v>78</v>
      </c>
      <c r="V617" s="17" t="s">
        <v>78</v>
      </c>
      <c r="W617" s="23"/>
      <c r="X617" s="23"/>
      <c r="Y617" s="21"/>
    </row>
    <row r="618" customFormat="false" ht="26.85" hidden="false" customHeight="false" outlineLevel="0" collapsed="false">
      <c r="A618" s="17" t="n">
        <v>617</v>
      </c>
      <c r="B618" s="18" t="s">
        <v>1916</v>
      </c>
      <c r="C618" s="17" t="s">
        <v>1225</v>
      </c>
      <c r="D618" s="17" t="n">
        <v>253</v>
      </c>
      <c r="E618" s="17" t="str">
        <f aca="false">C618&amp;"말씀 #"&amp;TEXT(D618,"000")</f>
        <v>신약말씀 #253</v>
      </c>
      <c r="F618" s="17" t="s">
        <v>1917</v>
      </c>
      <c r="G618" s="18" t="s">
        <v>491</v>
      </c>
      <c r="H618" s="19" t="s">
        <v>1918</v>
      </c>
      <c r="I618" s="17" t="s">
        <v>1324</v>
      </c>
      <c r="J618" s="17" t="s">
        <v>89</v>
      </c>
      <c r="K618" s="20"/>
      <c r="L618" s="17" t="s">
        <v>76</v>
      </c>
      <c r="M618" s="17" t="n">
        <f aca="false">LEN(K618)</f>
        <v>0</v>
      </c>
      <c r="N618" s="17" t="str">
        <f aca="false">IF(M618=0,"-",ROUND(3+M618/안내!$C$12,0))</f>
        <v>-</v>
      </c>
      <c r="O618" s="21" t="str">
        <f aca="false">IF(K618="","(본문 입력 후 자동) | 살전 4:16",IF(LEN(K618)&gt;28,LEFT(K618,28)&amp;"…",K618)&amp;" | 살전 4:16")</f>
        <v>(본문 입력 후 자동) | 살전 4:16</v>
      </c>
      <c r="P618" s="21" t="str">
        <f aca="false">"#"&amp;SUBSTITUTE(안내!$C$5," ","")&amp;" #성경구절 #말씀 #데살로니가전서 #부활"</f>
        <v>#오늘의말씀 #성경구절 #말씀 #데살로니가전서 #부활</v>
      </c>
      <c r="Q618" s="21" t="s">
        <v>77</v>
      </c>
      <c r="R618" s="22" t="n">
        <f aca="false">안내!$C$6+INT((D618-1)/안내!$C$7)</f>
        <v>46514</v>
      </c>
      <c r="S618" s="17" t="str">
        <f aca="false">IF(MOD(D618-1,안내!$C$7)=0,안내!$C$9,안내!$C$11)</f>
        <v>12:30</v>
      </c>
      <c r="T618" s="17" t="str">
        <f aca="false">CHOOSE(WEEKDAY(R618,2),"월","화","수","목","금","토","일")</f>
        <v>금</v>
      </c>
      <c r="U618" s="17" t="s">
        <v>78</v>
      </c>
      <c r="V618" s="17" t="s">
        <v>78</v>
      </c>
      <c r="W618" s="23"/>
      <c r="X618" s="23"/>
      <c r="Y618" s="21"/>
    </row>
    <row r="619" customFormat="false" ht="26.85" hidden="false" customHeight="false" outlineLevel="0" collapsed="false">
      <c r="A619" s="17" t="n">
        <v>618</v>
      </c>
      <c r="B619" s="18" t="s">
        <v>1919</v>
      </c>
      <c r="C619" s="17" t="s">
        <v>1225</v>
      </c>
      <c r="D619" s="17" t="n">
        <v>254</v>
      </c>
      <c r="E619" s="17" t="str">
        <f aca="false">C619&amp;"말씀 #"&amp;TEXT(D619,"000")</f>
        <v>신약말씀 #254</v>
      </c>
      <c r="F619" s="17" t="s">
        <v>1917</v>
      </c>
      <c r="G619" s="18" t="s">
        <v>1920</v>
      </c>
      <c r="H619" s="19" t="s">
        <v>1921</v>
      </c>
      <c r="I619" s="17" t="s">
        <v>1571</v>
      </c>
      <c r="J619" s="17" t="s">
        <v>94</v>
      </c>
      <c r="K619" s="20"/>
      <c r="L619" s="17" t="s">
        <v>76</v>
      </c>
      <c r="M619" s="17" t="n">
        <f aca="false">LEN(K619)</f>
        <v>0</v>
      </c>
      <c r="N619" s="17" t="str">
        <f aca="false">IF(M619=0,"-",ROUND(3+M619/안내!$C$12,0))</f>
        <v>-</v>
      </c>
      <c r="O619" s="21" t="str">
        <f aca="false">IF(K619="","(본문 입력 후 자동) | 살전 5:11",IF(LEN(K619)&gt;28,LEFT(K619,28)&amp;"…",K619)&amp;" | 살전 5:11")</f>
        <v>(본문 입력 후 자동) | 살전 5:11</v>
      </c>
      <c r="P619" s="21" t="str">
        <f aca="false">"#"&amp;SUBSTITUTE(안내!$C$5," ","")&amp;" #성경구절 #말씀 #데살로니가전서 #교회"</f>
        <v>#오늘의말씀 #성경구절 #말씀 #데살로니가전서 #교회</v>
      </c>
      <c r="Q619" s="21" t="s">
        <v>77</v>
      </c>
      <c r="R619" s="22" t="n">
        <f aca="false">안내!$C$6+INT((D619-1)/안내!$C$7)</f>
        <v>46514</v>
      </c>
      <c r="S619" s="17" t="str">
        <f aca="false">IF(MOD(D619-1,안내!$C$7)=0,안내!$C$9,안내!$C$11)</f>
        <v>21:30</v>
      </c>
      <c r="T619" s="17" t="str">
        <f aca="false">CHOOSE(WEEKDAY(R619,2),"월","화","수","목","금","토","일")</f>
        <v>금</v>
      </c>
      <c r="U619" s="17" t="s">
        <v>78</v>
      </c>
      <c r="V619" s="17" t="s">
        <v>78</v>
      </c>
      <c r="W619" s="23"/>
      <c r="X619" s="23"/>
      <c r="Y619" s="21"/>
    </row>
    <row r="620" customFormat="false" ht="26.85" hidden="false" customHeight="false" outlineLevel="0" collapsed="false">
      <c r="A620" s="17" t="n">
        <v>619</v>
      </c>
      <c r="B620" s="18" t="s">
        <v>1922</v>
      </c>
      <c r="C620" s="17" t="s">
        <v>1225</v>
      </c>
      <c r="D620" s="17" t="n">
        <v>255</v>
      </c>
      <c r="E620" s="17" t="str">
        <f aca="false">C620&amp;"말씀 #"&amp;TEXT(D620,"000")</f>
        <v>신약말씀 #255</v>
      </c>
      <c r="F620" s="17" t="s">
        <v>1917</v>
      </c>
      <c r="G620" s="18" t="s">
        <v>1260</v>
      </c>
      <c r="H620" s="19" t="s">
        <v>1923</v>
      </c>
      <c r="I620" s="17" t="s">
        <v>483</v>
      </c>
      <c r="J620" s="17" t="s">
        <v>89</v>
      </c>
      <c r="K620" s="20"/>
      <c r="L620" s="17" t="s">
        <v>76</v>
      </c>
      <c r="M620" s="17" t="n">
        <f aca="false">LEN(K620)</f>
        <v>0</v>
      </c>
      <c r="N620" s="17" t="str">
        <f aca="false">IF(M620=0,"-",ROUND(3+M620/안내!$C$12,0))</f>
        <v>-</v>
      </c>
      <c r="O620" s="21" t="str">
        <f aca="false">IF(K620="","(본문 입력 후 자동) | 살전 5:16",IF(LEN(K620)&gt;28,LEFT(K620,28)&amp;"…",K620)&amp;" | 살전 5:16")</f>
        <v>(본문 입력 후 자동) | 살전 5:16</v>
      </c>
      <c r="P620" s="21" t="str">
        <f aca="false">"#"&amp;SUBSTITUTE(안내!$C$5," ","")&amp;" #성경구절 #말씀 #데살로니가전서 #기쁨"</f>
        <v>#오늘의말씀 #성경구절 #말씀 #데살로니가전서 #기쁨</v>
      </c>
      <c r="Q620" s="21" t="s">
        <v>77</v>
      </c>
      <c r="R620" s="22" t="n">
        <f aca="false">안내!$C$6+INT((D620-1)/안내!$C$7)</f>
        <v>46515</v>
      </c>
      <c r="S620" s="17" t="str">
        <f aca="false">IF(MOD(D620-1,안내!$C$7)=0,안내!$C$9,안내!$C$11)</f>
        <v>12:30</v>
      </c>
      <c r="T620" s="17" t="str">
        <f aca="false">CHOOSE(WEEKDAY(R620,2),"월","화","수","목","금","토","일")</f>
        <v>토</v>
      </c>
      <c r="U620" s="17" t="s">
        <v>78</v>
      </c>
      <c r="V620" s="17" t="s">
        <v>78</v>
      </c>
      <c r="W620" s="23"/>
      <c r="X620" s="23"/>
      <c r="Y620" s="21"/>
    </row>
    <row r="621" customFormat="false" ht="26.85" hidden="false" customHeight="false" outlineLevel="0" collapsed="false">
      <c r="A621" s="17" t="n">
        <v>620</v>
      </c>
      <c r="B621" s="18" t="s">
        <v>1924</v>
      </c>
      <c r="C621" s="17" t="s">
        <v>1225</v>
      </c>
      <c r="D621" s="17" t="n">
        <v>256</v>
      </c>
      <c r="E621" s="17" t="str">
        <f aca="false">C621&amp;"말씀 #"&amp;TEXT(D621,"000")</f>
        <v>신약말씀 #256</v>
      </c>
      <c r="F621" s="17" t="s">
        <v>1917</v>
      </c>
      <c r="G621" s="18" t="s">
        <v>502</v>
      </c>
      <c r="H621" s="19" t="s">
        <v>1925</v>
      </c>
      <c r="I621" s="17" t="s">
        <v>160</v>
      </c>
      <c r="J621" s="17" t="s">
        <v>104</v>
      </c>
      <c r="K621" s="20"/>
      <c r="L621" s="17" t="s">
        <v>76</v>
      </c>
      <c r="M621" s="17" t="n">
        <f aca="false">LEN(K621)</f>
        <v>0</v>
      </c>
      <c r="N621" s="17" t="str">
        <f aca="false">IF(M621=0,"-",ROUND(3+M621/안내!$C$12,0))</f>
        <v>-</v>
      </c>
      <c r="O621" s="21" t="str">
        <f aca="false">IF(K621="","(본문 입력 후 자동) | 살전 5:17",IF(LEN(K621)&gt;28,LEFT(K621,28)&amp;"…",K621)&amp;" | 살전 5:17")</f>
        <v>(본문 입력 후 자동) | 살전 5:17</v>
      </c>
      <c r="P621" s="21" t="str">
        <f aca="false">"#"&amp;SUBSTITUTE(안내!$C$5," ","")&amp;" #성경구절 #말씀 #데살로니가전서 #기도"</f>
        <v>#오늘의말씀 #성경구절 #말씀 #데살로니가전서 #기도</v>
      </c>
      <c r="Q621" s="21" t="s">
        <v>77</v>
      </c>
      <c r="R621" s="22" t="n">
        <f aca="false">안내!$C$6+INT((D621-1)/안내!$C$7)</f>
        <v>46515</v>
      </c>
      <c r="S621" s="17" t="str">
        <f aca="false">IF(MOD(D621-1,안내!$C$7)=0,안내!$C$9,안내!$C$11)</f>
        <v>21:30</v>
      </c>
      <c r="T621" s="17" t="str">
        <f aca="false">CHOOSE(WEEKDAY(R621,2),"월","화","수","목","금","토","일")</f>
        <v>토</v>
      </c>
      <c r="U621" s="17" t="s">
        <v>78</v>
      </c>
      <c r="V621" s="17" t="s">
        <v>78</v>
      </c>
      <c r="W621" s="23"/>
      <c r="X621" s="23"/>
      <c r="Y621" s="21"/>
    </row>
    <row r="622" customFormat="false" ht="26.85" hidden="false" customHeight="false" outlineLevel="0" collapsed="false">
      <c r="A622" s="17" t="n">
        <v>621</v>
      </c>
      <c r="B622" s="18" t="s">
        <v>1926</v>
      </c>
      <c r="C622" s="17" t="s">
        <v>1225</v>
      </c>
      <c r="D622" s="17" t="n">
        <v>257</v>
      </c>
      <c r="E622" s="17" t="str">
        <f aca="false">C622&amp;"말씀 #"&amp;TEXT(D622,"000")</f>
        <v>신약말씀 #257</v>
      </c>
      <c r="F622" s="17" t="s">
        <v>1917</v>
      </c>
      <c r="G622" s="18" t="s">
        <v>1927</v>
      </c>
      <c r="H622" s="19" t="s">
        <v>1928</v>
      </c>
      <c r="I622" s="17" t="s">
        <v>369</v>
      </c>
      <c r="J622" s="17" t="s">
        <v>148</v>
      </c>
      <c r="K622" s="20"/>
      <c r="L622" s="17" t="s">
        <v>76</v>
      </c>
      <c r="M622" s="17" t="n">
        <f aca="false">LEN(K622)</f>
        <v>0</v>
      </c>
      <c r="N622" s="17" t="str">
        <f aca="false">IF(M622=0,"-",ROUND(3+M622/안내!$C$12,0))</f>
        <v>-</v>
      </c>
      <c r="O622" s="21" t="str">
        <f aca="false">IF(K622="","(본문 입력 후 자동) | 살전 5:18",IF(LEN(K622)&gt;28,LEFT(K622,28)&amp;"…",K622)&amp;" | 살전 5:18")</f>
        <v>(본문 입력 후 자동) | 살전 5:18</v>
      </c>
      <c r="P622" s="21" t="str">
        <f aca="false">"#"&amp;SUBSTITUTE(안내!$C$5," ","")&amp;" #성경구절 #말씀 #데살로니가전서 #감사"</f>
        <v>#오늘의말씀 #성경구절 #말씀 #데살로니가전서 #감사</v>
      </c>
      <c r="Q622" s="21" t="s">
        <v>77</v>
      </c>
      <c r="R622" s="22" t="n">
        <f aca="false">안내!$C$6+INT((D622-1)/안내!$C$7)</f>
        <v>46516</v>
      </c>
      <c r="S622" s="17" t="str">
        <f aca="false">IF(MOD(D622-1,안내!$C$7)=0,안내!$C$9,안내!$C$11)</f>
        <v>12:30</v>
      </c>
      <c r="T622" s="17" t="str">
        <f aca="false">CHOOSE(WEEKDAY(R622,2),"월","화","수","목","금","토","일")</f>
        <v>일</v>
      </c>
      <c r="U622" s="17" t="s">
        <v>78</v>
      </c>
      <c r="V622" s="17" t="s">
        <v>78</v>
      </c>
      <c r="W622" s="23"/>
      <c r="X622" s="23"/>
      <c r="Y622" s="21"/>
    </row>
    <row r="623" customFormat="false" ht="26.85" hidden="false" customHeight="false" outlineLevel="0" collapsed="false">
      <c r="A623" s="17" t="n">
        <v>622</v>
      </c>
      <c r="B623" s="18" t="s">
        <v>1929</v>
      </c>
      <c r="C623" s="17" t="s">
        <v>1225</v>
      </c>
      <c r="D623" s="17" t="n">
        <v>258</v>
      </c>
      <c r="E623" s="17" t="str">
        <f aca="false">C623&amp;"말씀 #"&amp;TEXT(D623,"000")</f>
        <v>신약말씀 #258</v>
      </c>
      <c r="F623" s="17" t="s">
        <v>1917</v>
      </c>
      <c r="G623" s="18" t="s">
        <v>1776</v>
      </c>
      <c r="H623" s="19" t="s">
        <v>1930</v>
      </c>
      <c r="I623" s="17" t="s">
        <v>403</v>
      </c>
      <c r="J623" s="17" t="s">
        <v>148</v>
      </c>
      <c r="K623" s="20"/>
      <c r="L623" s="17" t="s">
        <v>76</v>
      </c>
      <c r="M623" s="17" t="n">
        <f aca="false">LEN(K623)</f>
        <v>0</v>
      </c>
      <c r="N623" s="17" t="str">
        <f aca="false">IF(M623=0,"-",ROUND(3+M623/안내!$C$12,0))</f>
        <v>-</v>
      </c>
      <c r="O623" s="21" t="str">
        <f aca="false">IF(K623="","(본문 입력 후 자동) | 살전 5:21",IF(LEN(K623)&gt;28,LEFT(K623,28)&amp;"…",K623)&amp;" | 살전 5:21")</f>
        <v>(본문 입력 후 자동) | 살전 5:21</v>
      </c>
      <c r="P623" s="21" t="str">
        <f aca="false">"#"&amp;SUBSTITUTE(안내!$C$5," ","")&amp;" #성경구절 #말씀 #데살로니가전서 #지혜"</f>
        <v>#오늘의말씀 #성경구절 #말씀 #데살로니가전서 #지혜</v>
      </c>
      <c r="Q623" s="21" t="s">
        <v>77</v>
      </c>
      <c r="R623" s="22" t="n">
        <f aca="false">안내!$C$6+INT((D623-1)/안내!$C$7)</f>
        <v>46516</v>
      </c>
      <c r="S623" s="17" t="str">
        <f aca="false">IF(MOD(D623-1,안내!$C$7)=0,안내!$C$9,안내!$C$11)</f>
        <v>21:30</v>
      </c>
      <c r="T623" s="17" t="str">
        <f aca="false">CHOOSE(WEEKDAY(R623,2),"월","화","수","목","금","토","일")</f>
        <v>일</v>
      </c>
      <c r="U623" s="17" t="s">
        <v>78</v>
      </c>
      <c r="V623" s="17" t="s">
        <v>78</v>
      </c>
      <c r="W623" s="23"/>
      <c r="X623" s="23"/>
      <c r="Y623" s="21"/>
    </row>
    <row r="624" customFormat="false" ht="26.85" hidden="false" customHeight="false" outlineLevel="0" collapsed="false">
      <c r="A624" s="17" t="n">
        <v>623</v>
      </c>
      <c r="B624" s="18" t="s">
        <v>1931</v>
      </c>
      <c r="C624" s="17" t="s">
        <v>1225</v>
      </c>
      <c r="D624" s="17" t="n">
        <v>259</v>
      </c>
      <c r="E624" s="17" t="str">
        <f aca="false">C624&amp;"말씀 #"&amp;TEXT(D624,"000")</f>
        <v>신약말씀 #259</v>
      </c>
      <c r="F624" s="17" t="s">
        <v>1917</v>
      </c>
      <c r="G624" s="18" t="s">
        <v>1147</v>
      </c>
      <c r="H624" s="19" t="s">
        <v>1932</v>
      </c>
      <c r="I624" s="17" t="s">
        <v>112</v>
      </c>
      <c r="J624" s="17" t="s">
        <v>113</v>
      </c>
      <c r="K624" s="20"/>
      <c r="L624" s="17" t="s">
        <v>76</v>
      </c>
      <c r="M624" s="17" t="n">
        <f aca="false">LEN(K624)</f>
        <v>0</v>
      </c>
      <c r="N624" s="17" t="str">
        <f aca="false">IF(M624=0,"-",ROUND(3+M624/안내!$C$12,0))</f>
        <v>-</v>
      </c>
      <c r="O624" s="21" t="str">
        <f aca="false">IF(K624="","(본문 입력 후 자동) | 살전 5:24",IF(LEN(K624)&gt;28,LEFT(K624,28)&amp;"…",K624)&amp;" | 살전 5:24")</f>
        <v>(본문 입력 후 자동) | 살전 5:24</v>
      </c>
      <c r="P624" s="21" t="str">
        <f aca="false">"#"&amp;SUBSTITUTE(안내!$C$5," ","")&amp;" #성경구절 #말씀 #데살로니가전서 #신실하심"</f>
        <v>#오늘의말씀 #성경구절 #말씀 #데살로니가전서 #신실하심</v>
      </c>
      <c r="Q624" s="21" t="s">
        <v>77</v>
      </c>
      <c r="R624" s="22" t="n">
        <f aca="false">안내!$C$6+INT((D624-1)/안내!$C$7)</f>
        <v>46517</v>
      </c>
      <c r="S624" s="17" t="str">
        <f aca="false">IF(MOD(D624-1,안내!$C$7)=0,안내!$C$9,안내!$C$11)</f>
        <v>12:30</v>
      </c>
      <c r="T624" s="17" t="str">
        <f aca="false">CHOOSE(WEEKDAY(R624,2),"월","화","수","목","금","토","일")</f>
        <v>월</v>
      </c>
      <c r="U624" s="17" t="s">
        <v>78</v>
      </c>
      <c r="V624" s="17" t="s">
        <v>78</v>
      </c>
      <c r="W624" s="23"/>
      <c r="X624" s="23"/>
      <c r="Y624" s="21"/>
    </row>
    <row r="625" customFormat="false" ht="26.85" hidden="false" customHeight="false" outlineLevel="0" collapsed="false">
      <c r="A625" s="17" t="n">
        <v>624</v>
      </c>
      <c r="B625" s="18" t="s">
        <v>1933</v>
      </c>
      <c r="C625" s="17" t="s">
        <v>1225</v>
      </c>
      <c r="D625" s="17" t="n">
        <v>260</v>
      </c>
      <c r="E625" s="17" t="str">
        <f aca="false">C625&amp;"말씀 #"&amp;TEXT(D625,"000")</f>
        <v>신약말씀 #260</v>
      </c>
      <c r="F625" s="17" t="s">
        <v>1934</v>
      </c>
      <c r="G625" s="18" t="s">
        <v>541</v>
      </c>
      <c r="H625" s="19" t="s">
        <v>1935</v>
      </c>
      <c r="I625" s="17" t="s">
        <v>353</v>
      </c>
      <c r="J625" s="17" t="s">
        <v>113</v>
      </c>
      <c r="K625" s="20"/>
      <c r="L625" s="17" t="s">
        <v>76</v>
      </c>
      <c r="M625" s="17" t="n">
        <f aca="false">LEN(K625)</f>
        <v>0</v>
      </c>
      <c r="N625" s="17" t="str">
        <f aca="false">IF(M625=0,"-",ROUND(3+M625/안내!$C$12,0))</f>
        <v>-</v>
      </c>
      <c r="O625" s="21" t="str">
        <f aca="false">IF(K625="","(본문 입력 후 자동) | 살후 3:3",IF(LEN(K625)&gt;28,LEFT(K625,28)&amp;"…",K625)&amp;" | 살후 3:3")</f>
        <v>(본문 입력 후 자동) | 살후 3:3</v>
      </c>
      <c r="P625" s="21" t="str">
        <f aca="false">"#"&amp;SUBSTITUTE(안내!$C$5," ","")&amp;" #성경구절 #말씀 #데살로니가후서 #보호"</f>
        <v>#오늘의말씀 #성경구절 #말씀 #데살로니가후서 #보호</v>
      </c>
      <c r="Q625" s="21" t="s">
        <v>77</v>
      </c>
      <c r="R625" s="22" t="n">
        <f aca="false">안내!$C$6+INT((D625-1)/안내!$C$7)</f>
        <v>46517</v>
      </c>
      <c r="S625" s="17" t="str">
        <f aca="false">IF(MOD(D625-1,안내!$C$7)=0,안내!$C$9,안내!$C$11)</f>
        <v>21:30</v>
      </c>
      <c r="T625" s="17" t="str">
        <f aca="false">CHOOSE(WEEKDAY(R625,2),"월","화","수","목","금","토","일")</f>
        <v>월</v>
      </c>
      <c r="U625" s="17" t="s">
        <v>78</v>
      </c>
      <c r="V625" s="17" t="s">
        <v>78</v>
      </c>
      <c r="W625" s="23"/>
      <c r="X625" s="23"/>
      <c r="Y625" s="21"/>
    </row>
    <row r="626" customFormat="false" ht="26.85" hidden="false" customHeight="false" outlineLevel="0" collapsed="false">
      <c r="A626" s="17" t="n">
        <v>625</v>
      </c>
      <c r="B626" s="18" t="s">
        <v>1936</v>
      </c>
      <c r="C626" s="17" t="s">
        <v>1225</v>
      </c>
      <c r="D626" s="17" t="n">
        <v>261</v>
      </c>
      <c r="E626" s="17" t="str">
        <f aca="false">C626&amp;"말씀 #"&amp;TEXT(D626,"000")</f>
        <v>신약말씀 #261</v>
      </c>
      <c r="F626" s="17" t="s">
        <v>1934</v>
      </c>
      <c r="G626" s="18" t="s">
        <v>170</v>
      </c>
      <c r="H626" s="19" t="s">
        <v>1937</v>
      </c>
      <c r="I626" s="17" t="s">
        <v>239</v>
      </c>
      <c r="J626" s="17" t="s">
        <v>94</v>
      </c>
      <c r="K626" s="20"/>
      <c r="L626" s="17" t="s">
        <v>76</v>
      </c>
      <c r="M626" s="17" t="n">
        <f aca="false">LEN(K626)</f>
        <v>0</v>
      </c>
      <c r="N626" s="17" t="str">
        <f aca="false">IF(M626=0,"-",ROUND(3+M626/안내!$C$12,0))</f>
        <v>-</v>
      </c>
      <c r="O626" s="21" t="str">
        <f aca="false">IF(K626="","(본문 입력 후 자동) | 살후 3:5",IF(LEN(K626)&gt;28,LEFT(K626,28)&amp;"…",K626)&amp;" | 살후 3:5")</f>
        <v>(본문 입력 후 자동) | 살후 3:5</v>
      </c>
      <c r="P626" s="21" t="str">
        <f aca="false">"#"&amp;SUBSTITUTE(안내!$C$5," ","")&amp;" #성경구절 #말씀 #데살로니가후서 #사랑"</f>
        <v>#오늘의말씀 #성경구절 #말씀 #데살로니가후서 #사랑</v>
      </c>
      <c r="Q626" s="21" t="s">
        <v>77</v>
      </c>
      <c r="R626" s="22" t="n">
        <f aca="false">안내!$C$6+INT((D626-1)/안내!$C$7)</f>
        <v>46518</v>
      </c>
      <c r="S626" s="17" t="str">
        <f aca="false">IF(MOD(D626-1,안내!$C$7)=0,안내!$C$9,안내!$C$11)</f>
        <v>12:30</v>
      </c>
      <c r="T626" s="17" t="str">
        <f aca="false">CHOOSE(WEEKDAY(R626,2),"월","화","수","목","금","토","일")</f>
        <v>화</v>
      </c>
      <c r="U626" s="17" t="s">
        <v>78</v>
      </c>
      <c r="V626" s="17" t="s">
        <v>78</v>
      </c>
      <c r="W626" s="23"/>
      <c r="X626" s="23"/>
      <c r="Y626" s="21"/>
    </row>
    <row r="627" customFormat="false" ht="26.85" hidden="false" customHeight="false" outlineLevel="0" collapsed="false">
      <c r="A627" s="17" t="n">
        <v>626</v>
      </c>
      <c r="B627" s="18" t="s">
        <v>1938</v>
      </c>
      <c r="C627" s="17" t="s">
        <v>1225</v>
      </c>
      <c r="D627" s="17" t="n">
        <v>262</v>
      </c>
      <c r="E627" s="17" t="str">
        <f aca="false">C627&amp;"말씀 #"&amp;TEXT(D627,"000")</f>
        <v>신약말씀 #262</v>
      </c>
      <c r="F627" s="17" t="s">
        <v>1934</v>
      </c>
      <c r="G627" s="18" t="s">
        <v>1904</v>
      </c>
      <c r="H627" s="19" t="s">
        <v>1939</v>
      </c>
      <c r="I627" s="17" t="s">
        <v>511</v>
      </c>
      <c r="J627" s="17" t="s">
        <v>89</v>
      </c>
      <c r="K627" s="20"/>
      <c r="L627" s="17" t="s">
        <v>76</v>
      </c>
      <c r="M627" s="17" t="n">
        <f aca="false">LEN(K627)</f>
        <v>0</v>
      </c>
      <c r="N627" s="17" t="str">
        <f aca="false">IF(M627=0,"-",ROUND(3+M627/안내!$C$12,0))</f>
        <v>-</v>
      </c>
      <c r="O627" s="21" t="str">
        <f aca="false">IF(K627="","(본문 입력 후 자동) | 살후 3:13",IF(LEN(K627)&gt;28,LEFT(K627,28)&amp;"…",K627)&amp;" | 살후 3:13")</f>
        <v>(본문 입력 후 자동) | 살후 3:13</v>
      </c>
      <c r="P627" s="21" t="str">
        <f aca="false">"#"&amp;SUBSTITUTE(안내!$C$5," ","")&amp;" #성경구절 #말씀 #데살로니가후서 #소망"</f>
        <v>#오늘의말씀 #성경구절 #말씀 #데살로니가후서 #소망</v>
      </c>
      <c r="Q627" s="21" t="s">
        <v>77</v>
      </c>
      <c r="R627" s="22" t="n">
        <f aca="false">안내!$C$6+INT((D627-1)/안내!$C$7)</f>
        <v>46518</v>
      </c>
      <c r="S627" s="17" t="str">
        <f aca="false">IF(MOD(D627-1,안내!$C$7)=0,안내!$C$9,안내!$C$11)</f>
        <v>21:30</v>
      </c>
      <c r="T627" s="17" t="str">
        <f aca="false">CHOOSE(WEEKDAY(R627,2),"월","화","수","목","금","토","일")</f>
        <v>화</v>
      </c>
      <c r="U627" s="17" t="s">
        <v>78</v>
      </c>
      <c r="V627" s="17" t="s">
        <v>78</v>
      </c>
      <c r="W627" s="23"/>
      <c r="X627" s="23"/>
      <c r="Y627" s="21"/>
    </row>
    <row r="628" customFormat="false" ht="26.85" hidden="false" customHeight="false" outlineLevel="0" collapsed="false">
      <c r="A628" s="17" t="n">
        <v>627</v>
      </c>
      <c r="B628" s="18" t="s">
        <v>1940</v>
      </c>
      <c r="C628" s="17" t="s">
        <v>1225</v>
      </c>
      <c r="D628" s="17" t="n">
        <v>263</v>
      </c>
      <c r="E628" s="17" t="str">
        <f aca="false">C628&amp;"말씀 #"&amp;TEXT(D628,"000")</f>
        <v>신약말씀 #263</v>
      </c>
      <c r="F628" s="17" t="s">
        <v>1941</v>
      </c>
      <c r="G628" s="18" t="s">
        <v>1333</v>
      </c>
      <c r="H628" s="19" t="s">
        <v>1942</v>
      </c>
      <c r="I628" s="17" t="s">
        <v>103</v>
      </c>
      <c r="J628" s="17" t="s">
        <v>104</v>
      </c>
      <c r="K628" s="20"/>
      <c r="L628" s="17" t="s">
        <v>76</v>
      </c>
      <c r="M628" s="17" t="n">
        <f aca="false">LEN(K628)</f>
        <v>0</v>
      </c>
      <c r="N628" s="17" t="str">
        <f aca="false">IF(M628=0,"-",ROUND(3+M628/안내!$C$12,0))</f>
        <v>-</v>
      </c>
      <c r="O628" s="21" t="str">
        <f aca="false">IF(K628="","(본문 입력 후 자동) | 딤전 1:15",IF(LEN(K628)&gt;28,LEFT(K628,28)&amp;"…",K628)&amp;" | 딤전 1:15")</f>
        <v>(본문 입력 후 자동) | 딤전 1:15</v>
      </c>
      <c r="P628" s="21" t="str">
        <f aca="false">"#"&amp;SUBSTITUTE(안내!$C$5," ","")&amp;" #성경구절 #말씀 #디모데전서 #구원"</f>
        <v>#오늘의말씀 #성경구절 #말씀 #디모데전서 #구원</v>
      </c>
      <c r="Q628" s="21" t="s">
        <v>77</v>
      </c>
      <c r="R628" s="22" t="n">
        <f aca="false">안내!$C$6+INT((D628-1)/안내!$C$7)</f>
        <v>46519</v>
      </c>
      <c r="S628" s="17" t="str">
        <f aca="false">IF(MOD(D628-1,안내!$C$7)=0,안내!$C$9,안내!$C$11)</f>
        <v>12:30</v>
      </c>
      <c r="T628" s="17" t="str">
        <f aca="false">CHOOSE(WEEKDAY(R628,2),"월","화","수","목","금","토","일")</f>
        <v>수</v>
      </c>
      <c r="U628" s="17" t="s">
        <v>78</v>
      </c>
      <c r="V628" s="17" t="s">
        <v>78</v>
      </c>
      <c r="W628" s="23"/>
      <c r="X628" s="23"/>
      <c r="Y628" s="21"/>
    </row>
    <row r="629" customFormat="false" ht="25.35" hidden="false" customHeight="false" outlineLevel="0" collapsed="false">
      <c r="A629" s="17" t="n">
        <v>628</v>
      </c>
      <c r="B629" s="18" t="s">
        <v>1943</v>
      </c>
      <c r="C629" s="17" t="s">
        <v>1225</v>
      </c>
      <c r="D629" s="17" t="n">
        <v>264</v>
      </c>
      <c r="E629" s="17" t="str">
        <f aca="false">C629&amp;"말씀 #"&amp;TEXT(D629,"000")</f>
        <v>신약말씀 #264</v>
      </c>
      <c r="F629" s="17" t="s">
        <v>1941</v>
      </c>
      <c r="G629" s="18" t="s">
        <v>880</v>
      </c>
      <c r="H629" s="19" t="s">
        <v>1944</v>
      </c>
      <c r="I629" s="17" t="s">
        <v>103</v>
      </c>
      <c r="J629" s="17" t="s">
        <v>104</v>
      </c>
      <c r="K629" s="20"/>
      <c r="L629" s="17" t="s">
        <v>76</v>
      </c>
      <c r="M629" s="17" t="n">
        <f aca="false">LEN(K629)</f>
        <v>0</v>
      </c>
      <c r="N629" s="17" t="str">
        <f aca="false">IF(M629=0,"-",ROUND(3+M629/안내!$C$12,0))</f>
        <v>-</v>
      </c>
      <c r="O629" s="21" t="str">
        <f aca="false">IF(K629="","(본문 입력 후 자동) | 딤전 2:4",IF(LEN(K629)&gt;28,LEFT(K629,28)&amp;"…",K629)&amp;" | 딤전 2:4")</f>
        <v>(본문 입력 후 자동) | 딤전 2:4</v>
      </c>
      <c r="P629" s="21" t="str">
        <f aca="false">"#"&amp;SUBSTITUTE(안내!$C$5," ","")&amp;" #성경구절 #말씀 #디모데전서 #구원"</f>
        <v>#오늘의말씀 #성경구절 #말씀 #디모데전서 #구원</v>
      </c>
      <c r="Q629" s="21" t="s">
        <v>77</v>
      </c>
      <c r="R629" s="22" t="n">
        <f aca="false">안내!$C$6+INT((D629-1)/안내!$C$7)</f>
        <v>46519</v>
      </c>
      <c r="S629" s="17" t="str">
        <f aca="false">IF(MOD(D629-1,안내!$C$7)=0,안내!$C$9,안내!$C$11)</f>
        <v>21:30</v>
      </c>
      <c r="T629" s="17" t="str">
        <f aca="false">CHOOSE(WEEKDAY(R629,2),"월","화","수","목","금","토","일")</f>
        <v>수</v>
      </c>
      <c r="U629" s="17" t="s">
        <v>78</v>
      </c>
      <c r="V629" s="17" t="s">
        <v>78</v>
      </c>
      <c r="W629" s="23"/>
      <c r="X629" s="23"/>
      <c r="Y629" s="21"/>
    </row>
    <row r="630" customFormat="false" ht="25.35" hidden="false" customHeight="false" outlineLevel="0" collapsed="false">
      <c r="A630" s="17" t="n">
        <v>629</v>
      </c>
      <c r="B630" s="18" t="s">
        <v>1945</v>
      </c>
      <c r="C630" s="17" t="s">
        <v>1225</v>
      </c>
      <c r="D630" s="17" t="n">
        <v>265</v>
      </c>
      <c r="E630" s="17" t="str">
        <f aca="false">C630&amp;"말씀 #"&amp;TEXT(D630,"000")</f>
        <v>신약말씀 #265</v>
      </c>
      <c r="F630" s="17" t="s">
        <v>1941</v>
      </c>
      <c r="G630" s="18" t="s">
        <v>1867</v>
      </c>
      <c r="H630" s="19" t="s">
        <v>1946</v>
      </c>
      <c r="I630" s="17" t="s">
        <v>103</v>
      </c>
      <c r="J630" s="17" t="s">
        <v>104</v>
      </c>
      <c r="K630" s="20"/>
      <c r="L630" s="17" t="s">
        <v>76</v>
      </c>
      <c r="M630" s="17" t="n">
        <f aca="false">LEN(K630)</f>
        <v>0</v>
      </c>
      <c r="N630" s="17" t="str">
        <f aca="false">IF(M630=0,"-",ROUND(3+M630/안내!$C$12,0))</f>
        <v>-</v>
      </c>
      <c r="O630" s="21" t="str">
        <f aca="false">IF(K630="","(본문 입력 후 자동) | 딤전 2:5",IF(LEN(K630)&gt;28,LEFT(K630,28)&amp;"…",K630)&amp;" | 딤전 2:5")</f>
        <v>(본문 입력 후 자동) | 딤전 2:5</v>
      </c>
      <c r="P630" s="21" t="str">
        <f aca="false">"#"&amp;SUBSTITUTE(안내!$C$5," ","")&amp;" #성경구절 #말씀 #디모데전서 #구원"</f>
        <v>#오늘의말씀 #성경구절 #말씀 #디모데전서 #구원</v>
      </c>
      <c r="Q630" s="21" t="s">
        <v>77</v>
      </c>
      <c r="R630" s="22" t="n">
        <f aca="false">안내!$C$6+INT((D630-1)/안내!$C$7)</f>
        <v>46520</v>
      </c>
      <c r="S630" s="17" t="str">
        <f aca="false">IF(MOD(D630-1,안내!$C$7)=0,안내!$C$9,안내!$C$11)</f>
        <v>12:30</v>
      </c>
      <c r="T630" s="17" t="str">
        <f aca="false">CHOOSE(WEEKDAY(R630,2),"월","화","수","목","금","토","일")</f>
        <v>목</v>
      </c>
      <c r="U630" s="17" t="s">
        <v>78</v>
      </c>
      <c r="V630" s="17" t="s">
        <v>78</v>
      </c>
      <c r="W630" s="23"/>
      <c r="X630" s="23"/>
      <c r="Y630" s="21"/>
    </row>
    <row r="631" customFormat="false" ht="25.35" hidden="false" customHeight="false" outlineLevel="0" collapsed="false">
      <c r="A631" s="17" t="n">
        <v>630</v>
      </c>
      <c r="B631" s="18" t="s">
        <v>1947</v>
      </c>
      <c r="C631" s="17" t="s">
        <v>1225</v>
      </c>
      <c r="D631" s="17" t="n">
        <v>266</v>
      </c>
      <c r="E631" s="17" t="str">
        <f aca="false">C631&amp;"말씀 #"&amp;TEXT(D631,"000")</f>
        <v>신약말씀 #266</v>
      </c>
      <c r="F631" s="17" t="s">
        <v>1941</v>
      </c>
      <c r="G631" s="18" t="s">
        <v>544</v>
      </c>
      <c r="H631" s="19" t="s">
        <v>1948</v>
      </c>
      <c r="I631" s="17" t="s">
        <v>1949</v>
      </c>
      <c r="J631" s="17" t="s">
        <v>148</v>
      </c>
      <c r="K631" s="20"/>
      <c r="L631" s="17" t="s">
        <v>76</v>
      </c>
      <c r="M631" s="17" t="n">
        <f aca="false">LEN(K631)</f>
        <v>0</v>
      </c>
      <c r="N631" s="17" t="str">
        <f aca="false">IF(M631=0,"-",ROUND(3+M631/안내!$C$12,0))</f>
        <v>-</v>
      </c>
      <c r="O631" s="21" t="str">
        <f aca="false">IF(K631="","(본문 입력 후 자동) | 딤전 4:8",IF(LEN(K631)&gt;28,LEFT(K631,28)&amp;"…",K631)&amp;" | 딤전 4:8")</f>
        <v>(본문 입력 후 자동) | 딤전 4:8</v>
      </c>
      <c r="P631" s="21" t="str">
        <f aca="false">"#"&amp;SUBSTITUTE(안내!$C$5," ","")&amp;" #성경구절 #말씀 #디모데전서 #경건"</f>
        <v>#오늘의말씀 #성경구절 #말씀 #디모데전서 #경건</v>
      </c>
      <c r="Q631" s="21" t="s">
        <v>77</v>
      </c>
      <c r="R631" s="22" t="n">
        <f aca="false">안내!$C$6+INT((D631-1)/안내!$C$7)</f>
        <v>46520</v>
      </c>
      <c r="S631" s="17" t="str">
        <f aca="false">IF(MOD(D631-1,안내!$C$7)=0,안내!$C$9,안내!$C$11)</f>
        <v>21:30</v>
      </c>
      <c r="T631" s="17" t="str">
        <f aca="false">CHOOSE(WEEKDAY(R631,2),"월","화","수","목","금","토","일")</f>
        <v>목</v>
      </c>
      <c r="U631" s="17" t="s">
        <v>78</v>
      </c>
      <c r="V631" s="17" t="s">
        <v>78</v>
      </c>
      <c r="W631" s="23"/>
      <c r="X631" s="23"/>
      <c r="Y631" s="21"/>
    </row>
    <row r="632" customFormat="false" ht="26.85" hidden="false" customHeight="false" outlineLevel="0" collapsed="false">
      <c r="A632" s="17" t="n">
        <v>631</v>
      </c>
      <c r="B632" s="18" t="s">
        <v>1950</v>
      </c>
      <c r="C632" s="17" t="s">
        <v>1225</v>
      </c>
      <c r="D632" s="17" t="n">
        <v>267</v>
      </c>
      <c r="E632" s="17" t="str">
        <f aca="false">C632&amp;"말씀 #"&amp;TEXT(D632,"000")</f>
        <v>신약말씀 #267</v>
      </c>
      <c r="F632" s="17" t="s">
        <v>1941</v>
      </c>
      <c r="G632" s="18" t="s">
        <v>178</v>
      </c>
      <c r="H632" s="19" t="s">
        <v>1951</v>
      </c>
      <c r="I632" s="17" t="s">
        <v>305</v>
      </c>
      <c r="J632" s="17" t="s">
        <v>113</v>
      </c>
      <c r="K632" s="20"/>
      <c r="L632" s="17" t="s">
        <v>76</v>
      </c>
      <c r="M632" s="17" t="n">
        <f aca="false">LEN(K632)</f>
        <v>0</v>
      </c>
      <c r="N632" s="17" t="str">
        <f aca="false">IF(M632=0,"-",ROUND(3+M632/안내!$C$12,0))</f>
        <v>-</v>
      </c>
      <c r="O632" s="21" t="str">
        <f aca="false">IF(K632="","(본문 입력 후 자동) | 딤전 4:12",IF(LEN(K632)&gt;28,LEFT(K632,28)&amp;"…",K632)&amp;" | 딤전 4:12")</f>
        <v>(본문 입력 후 자동) | 딤전 4:12</v>
      </c>
      <c r="P632" s="21" t="str">
        <f aca="false">"#"&amp;SUBSTITUTE(안내!$C$5," ","")&amp;" #성경구절 #말씀 #디모데전서 #담대함"</f>
        <v>#오늘의말씀 #성경구절 #말씀 #디모데전서 #담대함</v>
      </c>
      <c r="Q632" s="21" t="s">
        <v>77</v>
      </c>
      <c r="R632" s="22" t="n">
        <f aca="false">안내!$C$6+INT((D632-1)/안내!$C$7)</f>
        <v>46521</v>
      </c>
      <c r="S632" s="17" t="str">
        <f aca="false">IF(MOD(D632-1,안내!$C$7)=0,안내!$C$9,안내!$C$11)</f>
        <v>12:30</v>
      </c>
      <c r="T632" s="17" t="str">
        <f aca="false">CHOOSE(WEEKDAY(R632,2),"월","화","수","목","금","토","일")</f>
        <v>금</v>
      </c>
      <c r="U632" s="17" t="s">
        <v>78</v>
      </c>
      <c r="V632" s="17" t="s">
        <v>78</v>
      </c>
      <c r="W632" s="23"/>
      <c r="X632" s="23"/>
      <c r="Y632" s="21"/>
    </row>
    <row r="633" customFormat="false" ht="25.35" hidden="false" customHeight="false" outlineLevel="0" collapsed="false">
      <c r="A633" s="17" t="n">
        <v>632</v>
      </c>
      <c r="B633" s="18" t="s">
        <v>1952</v>
      </c>
      <c r="C633" s="17" t="s">
        <v>1225</v>
      </c>
      <c r="D633" s="17" t="n">
        <v>268</v>
      </c>
      <c r="E633" s="17" t="str">
        <f aca="false">C633&amp;"말씀 #"&amp;TEXT(D633,"000")</f>
        <v>신약말씀 #268</v>
      </c>
      <c r="F633" s="17" t="s">
        <v>1941</v>
      </c>
      <c r="G633" s="18" t="s">
        <v>282</v>
      </c>
      <c r="H633" s="19" t="s">
        <v>1953</v>
      </c>
      <c r="I633" s="17" t="s">
        <v>1949</v>
      </c>
      <c r="J633" s="17" t="s">
        <v>148</v>
      </c>
      <c r="K633" s="20"/>
      <c r="L633" s="17" t="s">
        <v>76</v>
      </c>
      <c r="M633" s="17" t="n">
        <f aca="false">LEN(K633)</f>
        <v>0</v>
      </c>
      <c r="N633" s="17" t="str">
        <f aca="false">IF(M633=0,"-",ROUND(3+M633/안내!$C$12,0))</f>
        <v>-</v>
      </c>
      <c r="O633" s="21" t="str">
        <f aca="false">IF(K633="","(본문 입력 후 자동) | 딤전 6:6",IF(LEN(K633)&gt;28,LEFT(K633,28)&amp;"…",K633)&amp;" | 딤전 6:6")</f>
        <v>(본문 입력 후 자동) | 딤전 6:6</v>
      </c>
      <c r="P633" s="21" t="str">
        <f aca="false">"#"&amp;SUBSTITUTE(안내!$C$5," ","")&amp;" #성경구절 #말씀 #디모데전서 #경건"</f>
        <v>#오늘의말씀 #성경구절 #말씀 #디모데전서 #경건</v>
      </c>
      <c r="Q633" s="21" t="s">
        <v>77</v>
      </c>
      <c r="R633" s="22" t="n">
        <f aca="false">안내!$C$6+INT((D633-1)/안내!$C$7)</f>
        <v>46521</v>
      </c>
      <c r="S633" s="17" t="str">
        <f aca="false">IF(MOD(D633-1,안내!$C$7)=0,안내!$C$9,안내!$C$11)</f>
        <v>21:30</v>
      </c>
      <c r="T633" s="17" t="str">
        <f aca="false">CHOOSE(WEEKDAY(R633,2),"월","화","수","목","금","토","일")</f>
        <v>금</v>
      </c>
      <c r="U633" s="17" t="s">
        <v>78</v>
      </c>
      <c r="V633" s="17" t="s">
        <v>78</v>
      </c>
      <c r="W633" s="23"/>
      <c r="X633" s="23"/>
      <c r="Y633" s="21"/>
    </row>
    <row r="634" customFormat="false" ht="26.85" hidden="false" customHeight="false" outlineLevel="0" collapsed="false">
      <c r="A634" s="17" t="n">
        <v>633</v>
      </c>
      <c r="B634" s="18" t="s">
        <v>1954</v>
      </c>
      <c r="C634" s="17" t="s">
        <v>1225</v>
      </c>
      <c r="D634" s="17" t="n">
        <v>269</v>
      </c>
      <c r="E634" s="17" t="str">
        <f aca="false">C634&amp;"말씀 #"&amp;TEXT(D634,"000")</f>
        <v>신약말씀 #269</v>
      </c>
      <c r="F634" s="17" t="s">
        <v>1941</v>
      </c>
      <c r="G634" s="18" t="s">
        <v>1113</v>
      </c>
      <c r="H634" s="19" t="s">
        <v>1955</v>
      </c>
      <c r="I634" s="17" t="s">
        <v>403</v>
      </c>
      <c r="J634" s="17" t="s">
        <v>148</v>
      </c>
      <c r="K634" s="20"/>
      <c r="L634" s="17" t="s">
        <v>76</v>
      </c>
      <c r="M634" s="17" t="n">
        <f aca="false">LEN(K634)</f>
        <v>0</v>
      </c>
      <c r="N634" s="17" t="str">
        <f aca="false">IF(M634=0,"-",ROUND(3+M634/안내!$C$12,0))</f>
        <v>-</v>
      </c>
      <c r="O634" s="21" t="str">
        <f aca="false">IF(K634="","(본문 입력 후 자동) | 딤전 6:10",IF(LEN(K634)&gt;28,LEFT(K634,28)&amp;"…",K634)&amp;" | 딤전 6:10")</f>
        <v>(본문 입력 후 자동) | 딤전 6:10</v>
      </c>
      <c r="P634" s="21" t="str">
        <f aca="false">"#"&amp;SUBSTITUTE(안내!$C$5," ","")&amp;" #성경구절 #말씀 #디모데전서 #지혜"</f>
        <v>#오늘의말씀 #성경구절 #말씀 #디모데전서 #지혜</v>
      </c>
      <c r="Q634" s="21" t="s">
        <v>77</v>
      </c>
      <c r="R634" s="22" t="n">
        <f aca="false">안내!$C$6+INT((D634-1)/안내!$C$7)</f>
        <v>46522</v>
      </c>
      <c r="S634" s="17" t="str">
        <f aca="false">IF(MOD(D634-1,안내!$C$7)=0,안내!$C$9,안내!$C$11)</f>
        <v>12:30</v>
      </c>
      <c r="T634" s="17" t="str">
        <f aca="false">CHOOSE(WEEKDAY(R634,2),"월","화","수","목","금","토","일")</f>
        <v>토</v>
      </c>
      <c r="U634" s="17" t="s">
        <v>78</v>
      </c>
      <c r="V634" s="17" t="s">
        <v>78</v>
      </c>
      <c r="W634" s="23"/>
      <c r="X634" s="23"/>
      <c r="Y634" s="21"/>
    </row>
    <row r="635" customFormat="false" ht="26.85" hidden="false" customHeight="false" outlineLevel="0" collapsed="false">
      <c r="A635" s="17" t="n">
        <v>634</v>
      </c>
      <c r="B635" s="18" t="s">
        <v>1956</v>
      </c>
      <c r="C635" s="17" t="s">
        <v>1225</v>
      </c>
      <c r="D635" s="17" t="n">
        <v>270</v>
      </c>
      <c r="E635" s="17" t="str">
        <f aca="false">C635&amp;"말씀 #"&amp;TEXT(D635,"000")</f>
        <v>신약말씀 #270</v>
      </c>
      <c r="F635" s="17" t="s">
        <v>1941</v>
      </c>
      <c r="G635" s="18" t="s">
        <v>336</v>
      </c>
      <c r="H635" s="19" t="s">
        <v>1957</v>
      </c>
      <c r="I635" s="17" t="s">
        <v>133</v>
      </c>
      <c r="J635" s="17" t="s">
        <v>113</v>
      </c>
      <c r="K635" s="20"/>
      <c r="L635" s="17" t="s">
        <v>76</v>
      </c>
      <c r="M635" s="17" t="n">
        <f aca="false">LEN(K635)</f>
        <v>0</v>
      </c>
      <c r="N635" s="17" t="str">
        <f aca="false">IF(M635=0,"-",ROUND(3+M635/안내!$C$12,0))</f>
        <v>-</v>
      </c>
      <c r="O635" s="21" t="str">
        <f aca="false">IF(K635="","(본문 입력 후 자동) | 딤전 6:12",IF(LEN(K635)&gt;28,LEFT(K635,28)&amp;"…",K635)&amp;" | 딤전 6:12")</f>
        <v>(본문 입력 후 자동) | 딤전 6:12</v>
      </c>
      <c r="P635" s="21" t="str">
        <f aca="false">"#"&amp;SUBSTITUTE(안내!$C$5," ","")&amp;" #성경구절 #말씀 #디모데전서 #믿음"</f>
        <v>#오늘의말씀 #성경구절 #말씀 #디모데전서 #믿음</v>
      </c>
      <c r="Q635" s="21" t="s">
        <v>77</v>
      </c>
      <c r="R635" s="22" t="n">
        <f aca="false">안내!$C$6+INT((D635-1)/안내!$C$7)</f>
        <v>46522</v>
      </c>
      <c r="S635" s="17" t="str">
        <f aca="false">IF(MOD(D635-1,안내!$C$7)=0,안내!$C$9,안내!$C$11)</f>
        <v>21:30</v>
      </c>
      <c r="T635" s="17" t="str">
        <f aca="false">CHOOSE(WEEKDAY(R635,2),"월","화","수","목","금","토","일")</f>
        <v>토</v>
      </c>
      <c r="U635" s="17" t="s">
        <v>78</v>
      </c>
      <c r="V635" s="17" t="s">
        <v>78</v>
      </c>
      <c r="W635" s="23"/>
      <c r="X635" s="23"/>
      <c r="Y635" s="21"/>
    </row>
    <row r="636" customFormat="false" ht="26.85" hidden="false" customHeight="false" outlineLevel="0" collapsed="false">
      <c r="A636" s="17" t="n">
        <v>635</v>
      </c>
      <c r="B636" s="18" t="s">
        <v>1958</v>
      </c>
      <c r="C636" s="17" t="s">
        <v>1225</v>
      </c>
      <c r="D636" s="17" t="n">
        <v>271</v>
      </c>
      <c r="E636" s="17" t="str">
        <f aca="false">C636&amp;"말씀 #"&amp;TEXT(D636,"000")</f>
        <v>신약말씀 #271</v>
      </c>
      <c r="F636" s="17" t="s">
        <v>1959</v>
      </c>
      <c r="G636" s="18" t="s">
        <v>749</v>
      </c>
      <c r="H636" s="19" t="s">
        <v>1960</v>
      </c>
      <c r="I636" s="17" t="s">
        <v>305</v>
      </c>
      <c r="J636" s="17" t="s">
        <v>113</v>
      </c>
      <c r="K636" s="20"/>
      <c r="L636" s="17" t="s">
        <v>76</v>
      </c>
      <c r="M636" s="17" t="n">
        <f aca="false">LEN(K636)</f>
        <v>0</v>
      </c>
      <c r="N636" s="17" t="str">
        <f aca="false">IF(M636=0,"-",ROUND(3+M636/안내!$C$12,0))</f>
        <v>-</v>
      </c>
      <c r="O636" s="21" t="str">
        <f aca="false">IF(K636="","(본문 입력 후 자동) | 딤후 1:7",IF(LEN(K636)&gt;28,LEFT(K636,28)&amp;"…",K636)&amp;" | 딤후 1:7")</f>
        <v>(본문 입력 후 자동) | 딤후 1:7</v>
      </c>
      <c r="P636" s="21" t="str">
        <f aca="false">"#"&amp;SUBSTITUTE(안내!$C$5," ","")&amp;" #성경구절 #말씀 #디모데후서 #담대함"</f>
        <v>#오늘의말씀 #성경구절 #말씀 #디모데후서 #담대함</v>
      </c>
      <c r="Q636" s="21" t="s">
        <v>77</v>
      </c>
      <c r="R636" s="22" t="n">
        <f aca="false">안내!$C$6+INT((D636-1)/안내!$C$7)</f>
        <v>46523</v>
      </c>
      <c r="S636" s="17" t="str">
        <f aca="false">IF(MOD(D636-1,안내!$C$7)=0,안내!$C$9,안내!$C$11)</f>
        <v>12:30</v>
      </c>
      <c r="T636" s="17" t="str">
        <f aca="false">CHOOSE(WEEKDAY(R636,2),"월","화","수","목","금","토","일")</f>
        <v>일</v>
      </c>
      <c r="U636" s="17" t="s">
        <v>78</v>
      </c>
      <c r="V636" s="17" t="s">
        <v>78</v>
      </c>
      <c r="W636" s="23"/>
      <c r="X636" s="23"/>
      <c r="Y636" s="21"/>
    </row>
    <row r="637" customFormat="false" ht="26.85" hidden="false" customHeight="false" outlineLevel="0" collapsed="false">
      <c r="A637" s="17" t="n">
        <v>636</v>
      </c>
      <c r="B637" s="18" t="s">
        <v>1961</v>
      </c>
      <c r="C637" s="17" t="s">
        <v>1225</v>
      </c>
      <c r="D637" s="17" t="n">
        <v>272</v>
      </c>
      <c r="E637" s="17" t="str">
        <f aca="false">C637&amp;"말씀 #"&amp;TEXT(D637,"000")</f>
        <v>신약말씀 #272</v>
      </c>
      <c r="F637" s="17" t="s">
        <v>1959</v>
      </c>
      <c r="G637" s="18" t="s">
        <v>1459</v>
      </c>
      <c r="H637" s="19" t="s">
        <v>1962</v>
      </c>
      <c r="I637" s="17" t="s">
        <v>497</v>
      </c>
      <c r="J637" s="17" t="s">
        <v>113</v>
      </c>
      <c r="K637" s="20"/>
      <c r="L637" s="17" t="s">
        <v>76</v>
      </c>
      <c r="M637" s="17" t="n">
        <f aca="false">LEN(K637)</f>
        <v>0</v>
      </c>
      <c r="N637" s="17" t="str">
        <f aca="false">IF(M637=0,"-",ROUND(3+M637/안내!$C$12,0))</f>
        <v>-</v>
      </c>
      <c r="O637" s="21" t="str">
        <f aca="false">IF(K637="","(본문 입력 후 자동) | 딤후 1:12",IF(LEN(K637)&gt;28,LEFT(K637,28)&amp;"…",K637)&amp;" | 딤후 1:12")</f>
        <v>(본문 입력 후 자동) | 딤후 1:12</v>
      </c>
      <c r="P637" s="21" t="str">
        <f aca="false">"#"&amp;SUBSTITUTE(안내!$C$5," ","")&amp;" #성경구절 #말씀 #디모데후서 #신뢰"</f>
        <v>#오늘의말씀 #성경구절 #말씀 #디모데후서 #신뢰</v>
      </c>
      <c r="Q637" s="21" t="s">
        <v>77</v>
      </c>
      <c r="R637" s="22" t="n">
        <f aca="false">안내!$C$6+INT((D637-1)/안내!$C$7)</f>
        <v>46523</v>
      </c>
      <c r="S637" s="17" t="str">
        <f aca="false">IF(MOD(D637-1,안내!$C$7)=0,안내!$C$9,안내!$C$11)</f>
        <v>21:30</v>
      </c>
      <c r="T637" s="17" t="str">
        <f aca="false">CHOOSE(WEEKDAY(R637,2),"월","화","수","목","금","토","일")</f>
        <v>일</v>
      </c>
      <c r="U637" s="17" t="s">
        <v>78</v>
      </c>
      <c r="V637" s="17" t="s">
        <v>78</v>
      </c>
      <c r="W637" s="23"/>
      <c r="X637" s="23"/>
      <c r="Y637" s="21"/>
    </row>
    <row r="638" customFormat="false" ht="25.35" hidden="false" customHeight="false" outlineLevel="0" collapsed="false">
      <c r="A638" s="17" t="n">
        <v>637</v>
      </c>
      <c r="B638" s="18" t="s">
        <v>1963</v>
      </c>
      <c r="C638" s="17" t="s">
        <v>1225</v>
      </c>
      <c r="D638" s="17" t="n">
        <v>273</v>
      </c>
      <c r="E638" s="17" t="str">
        <f aca="false">C638&amp;"말씀 #"&amp;TEXT(D638,"000")</f>
        <v>신약말씀 #273</v>
      </c>
      <c r="F638" s="17" t="s">
        <v>1959</v>
      </c>
      <c r="G638" s="18" t="s">
        <v>1964</v>
      </c>
      <c r="H638" s="19" t="s">
        <v>1965</v>
      </c>
      <c r="I638" s="17" t="s">
        <v>98</v>
      </c>
      <c r="J638" s="17" t="s">
        <v>99</v>
      </c>
      <c r="K638" s="20"/>
      <c r="L638" s="17" t="s">
        <v>76</v>
      </c>
      <c r="M638" s="17" t="n">
        <f aca="false">LEN(K638)</f>
        <v>0</v>
      </c>
      <c r="N638" s="17" t="str">
        <f aca="false">IF(M638=0,"-",ROUND(3+M638/안내!$C$12,0))</f>
        <v>-</v>
      </c>
      <c r="O638" s="21" t="str">
        <f aca="false">IF(K638="","(본문 입력 후 자동) | 딤후 2:1",IF(LEN(K638)&gt;28,LEFT(K638,28)&amp;"…",K638)&amp;" | 딤후 2:1")</f>
        <v>(본문 입력 후 자동) | 딤후 2:1</v>
      </c>
      <c r="P638" s="21" t="str">
        <f aca="false">"#"&amp;SUBSTITUTE(안내!$C$5," ","")&amp;" #성경구절 #말씀 #디모데후서 #은혜"</f>
        <v>#오늘의말씀 #성경구절 #말씀 #디모데후서 #은혜</v>
      </c>
      <c r="Q638" s="21" t="s">
        <v>77</v>
      </c>
      <c r="R638" s="22" t="n">
        <f aca="false">안내!$C$6+INT((D638-1)/안내!$C$7)</f>
        <v>46524</v>
      </c>
      <c r="S638" s="17" t="str">
        <f aca="false">IF(MOD(D638-1,안내!$C$7)=0,안내!$C$9,안내!$C$11)</f>
        <v>12:30</v>
      </c>
      <c r="T638" s="17" t="str">
        <f aca="false">CHOOSE(WEEKDAY(R638,2),"월","화","수","목","금","토","일")</f>
        <v>월</v>
      </c>
      <c r="U638" s="17" t="s">
        <v>78</v>
      </c>
      <c r="V638" s="17" t="s">
        <v>78</v>
      </c>
      <c r="W638" s="23"/>
      <c r="X638" s="23"/>
      <c r="Y638" s="21"/>
    </row>
    <row r="639" customFormat="false" ht="26.85" hidden="false" customHeight="false" outlineLevel="0" collapsed="false">
      <c r="A639" s="17" t="n">
        <v>638</v>
      </c>
      <c r="B639" s="18" t="s">
        <v>1966</v>
      </c>
      <c r="C639" s="17" t="s">
        <v>1225</v>
      </c>
      <c r="D639" s="17" t="n">
        <v>274</v>
      </c>
      <c r="E639" s="17" t="str">
        <f aca="false">C639&amp;"말씀 #"&amp;TEXT(D639,"000")</f>
        <v>신약말씀 #274</v>
      </c>
      <c r="F639" s="17" t="s">
        <v>1959</v>
      </c>
      <c r="G639" s="18" t="s">
        <v>1015</v>
      </c>
      <c r="H639" s="19" t="s">
        <v>1967</v>
      </c>
      <c r="I639" s="17" t="s">
        <v>112</v>
      </c>
      <c r="J639" s="17" t="s">
        <v>113</v>
      </c>
      <c r="K639" s="20"/>
      <c r="L639" s="17" t="s">
        <v>76</v>
      </c>
      <c r="M639" s="17" t="n">
        <f aca="false">LEN(K639)</f>
        <v>0</v>
      </c>
      <c r="N639" s="17" t="str">
        <f aca="false">IF(M639=0,"-",ROUND(3+M639/안내!$C$12,0))</f>
        <v>-</v>
      </c>
      <c r="O639" s="21" t="str">
        <f aca="false">IF(K639="","(본문 입력 후 자동) | 딤후 2:13",IF(LEN(K639)&gt;28,LEFT(K639,28)&amp;"…",K639)&amp;" | 딤후 2:13")</f>
        <v>(본문 입력 후 자동) | 딤후 2:13</v>
      </c>
      <c r="P639" s="21" t="str">
        <f aca="false">"#"&amp;SUBSTITUTE(안내!$C$5," ","")&amp;" #성경구절 #말씀 #디모데후서 #신실하심"</f>
        <v>#오늘의말씀 #성경구절 #말씀 #디모데후서 #신실하심</v>
      </c>
      <c r="Q639" s="21" t="s">
        <v>77</v>
      </c>
      <c r="R639" s="22" t="n">
        <f aca="false">안내!$C$6+INT((D639-1)/안내!$C$7)</f>
        <v>46524</v>
      </c>
      <c r="S639" s="17" t="str">
        <f aca="false">IF(MOD(D639-1,안내!$C$7)=0,안내!$C$9,안내!$C$11)</f>
        <v>21:30</v>
      </c>
      <c r="T639" s="17" t="str">
        <f aca="false">CHOOSE(WEEKDAY(R639,2),"월","화","수","목","금","토","일")</f>
        <v>월</v>
      </c>
      <c r="U639" s="17" t="s">
        <v>78</v>
      </c>
      <c r="V639" s="17" t="s">
        <v>78</v>
      </c>
      <c r="W639" s="23"/>
      <c r="X639" s="23"/>
      <c r="Y639" s="21"/>
    </row>
    <row r="640" customFormat="false" ht="26.85" hidden="false" customHeight="false" outlineLevel="0" collapsed="false">
      <c r="A640" s="17" t="n">
        <v>639</v>
      </c>
      <c r="B640" s="18" t="s">
        <v>1968</v>
      </c>
      <c r="C640" s="17" t="s">
        <v>1225</v>
      </c>
      <c r="D640" s="17" t="n">
        <v>275</v>
      </c>
      <c r="E640" s="17" t="str">
        <f aca="false">C640&amp;"말씀 #"&amp;TEXT(D640,"000")</f>
        <v>신약말씀 #275</v>
      </c>
      <c r="F640" s="17" t="s">
        <v>1959</v>
      </c>
      <c r="G640" s="18" t="s">
        <v>1969</v>
      </c>
      <c r="H640" s="19" t="s">
        <v>1970</v>
      </c>
      <c r="I640" s="17" t="s">
        <v>284</v>
      </c>
      <c r="J640" s="17" t="s">
        <v>148</v>
      </c>
      <c r="K640" s="20"/>
      <c r="L640" s="17" t="s">
        <v>76</v>
      </c>
      <c r="M640" s="17" t="n">
        <f aca="false">LEN(K640)</f>
        <v>0</v>
      </c>
      <c r="N640" s="17" t="str">
        <f aca="false">IF(M640=0,"-",ROUND(3+M640/안내!$C$12,0))</f>
        <v>-</v>
      </c>
      <c r="O640" s="21" t="str">
        <f aca="false">IF(K640="","(본문 입력 후 자동) | 딤후 2:15",IF(LEN(K640)&gt;28,LEFT(K640,28)&amp;"…",K640)&amp;" | 딤후 2:15")</f>
        <v>(본문 입력 후 자동) | 딤후 2:15</v>
      </c>
      <c r="P640" s="21" t="str">
        <f aca="false">"#"&amp;SUBSTITUTE(안내!$C$5," ","")&amp;" #성경구절 #말씀 #디모데후서 #말씀"</f>
        <v>#오늘의말씀 #성경구절 #말씀 #디모데후서 #말씀</v>
      </c>
      <c r="Q640" s="21" t="s">
        <v>77</v>
      </c>
      <c r="R640" s="22" t="n">
        <f aca="false">안내!$C$6+INT((D640-1)/안내!$C$7)</f>
        <v>46525</v>
      </c>
      <c r="S640" s="17" t="str">
        <f aca="false">IF(MOD(D640-1,안내!$C$7)=0,안내!$C$9,안내!$C$11)</f>
        <v>12:30</v>
      </c>
      <c r="T640" s="17" t="str">
        <f aca="false">CHOOSE(WEEKDAY(R640,2),"월","화","수","목","금","토","일")</f>
        <v>화</v>
      </c>
      <c r="U640" s="17" t="s">
        <v>78</v>
      </c>
      <c r="V640" s="17" t="s">
        <v>78</v>
      </c>
      <c r="W640" s="23"/>
      <c r="X640" s="23"/>
      <c r="Y640" s="21"/>
    </row>
    <row r="641" customFormat="false" ht="26.85" hidden="false" customHeight="false" outlineLevel="0" collapsed="false">
      <c r="A641" s="17" t="n">
        <v>640</v>
      </c>
      <c r="B641" s="18" t="s">
        <v>1971</v>
      </c>
      <c r="C641" s="17" t="s">
        <v>1225</v>
      </c>
      <c r="D641" s="17" t="n">
        <v>276</v>
      </c>
      <c r="E641" s="17" t="str">
        <f aca="false">C641&amp;"말씀 #"&amp;TEXT(D641,"000")</f>
        <v>신약말씀 #276</v>
      </c>
      <c r="F641" s="17" t="s">
        <v>1959</v>
      </c>
      <c r="G641" s="18" t="s">
        <v>1220</v>
      </c>
      <c r="H641" s="19" t="s">
        <v>1972</v>
      </c>
      <c r="I641" s="17" t="s">
        <v>284</v>
      </c>
      <c r="J641" s="17" t="s">
        <v>148</v>
      </c>
      <c r="K641" s="20"/>
      <c r="L641" s="17" t="s">
        <v>76</v>
      </c>
      <c r="M641" s="17" t="n">
        <f aca="false">LEN(K641)</f>
        <v>0</v>
      </c>
      <c r="N641" s="17" t="str">
        <f aca="false">IF(M641=0,"-",ROUND(3+M641/안내!$C$12,0))</f>
        <v>-</v>
      </c>
      <c r="O641" s="21" t="str">
        <f aca="false">IF(K641="","(본문 입력 후 자동) | 딤후 3:16",IF(LEN(K641)&gt;28,LEFT(K641,28)&amp;"…",K641)&amp;" | 딤후 3:16")</f>
        <v>(본문 입력 후 자동) | 딤후 3:16</v>
      </c>
      <c r="P641" s="21" t="str">
        <f aca="false">"#"&amp;SUBSTITUTE(안내!$C$5," ","")&amp;" #성경구절 #말씀 #디모데후서 #말씀"</f>
        <v>#오늘의말씀 #성경구절 #말씀 #디모데후서 #말씀</v>
      </c>
      <c r="Q641" s="21" t="s">
        <v>77</v>
      </c>
      <c r="R641" s="22" t="n">
        <f aca="false">안내!$C$6+INT((D641-1)/안내!$C$7)</f>
        <v>46525</v>
      </c>
      <c r="S641" s="17" t="str">
        <f aca="false">IF(MOD(D641-1,안내!$C$7)=0,안내!$C$9,안내!$C$11)</f>
        <v>21:30</v>
      </c>
      <c r="T641" s="17" t="str">
        <f aca="false">CHOOSE(WEEKDAY(R641,2),"월","화","수","목","금","토","일")</f>
        <v>화</v>
      </c>
      <c r="U641" s="17" t="s">
        <v>78</v>
      </c>
      <c r="V641" s="17" t="s">
        <v>78</v>
      </c>
      <c r="W641" s="23"/>
      <c r="X641" s="23"/>
      <c r="Y641" s="21"/>
    </row>
    <row r="642" customFormat="false" ht="25.35" hidden="false" customHeight="false" outlineLevel="0" collapsed="false">
      <c r="A642" s="17" t="n">
        <v>641</v>
      </c>
      <c r="B642" s="18" t="s">
        <v>1973</v>
      </c>
      <c r="C642" s="17" t="s">
        <v>1225</v>
      </c>
      <c r="D642" s="17" t="n">
        <v>277</v>
      </c>
      <c r="E642" s="17" t="str">
        <f aca="false">C642&amp;"말씀 #"&amp;TEXT(D642,"000")</f>
        <v>신약말씀 #277</v>
      </c>
      <c r="F642" s="17" t="s">
        <v>1959</v>
      </c>
      <c r="G642" s="18" t="s">
        <v>1161</v>
      </c>
      <c r="H642" s="19" t="s">
        <v>1974</v>
      </c>
      <c r="I642" s="17" t="s">
        <v>970</v>
      </c>
      <c r="J642" s="17" t="s">
        <v>104</v>
      </c>
      <c r="K642" s="20"/>
      <c r="L642" s="17" t="s">
        <v>76</v>
      </c>
      <c r="M642" s="17" t="n">
        <f aca="false">LEN(K642)</f>
        <v>0</v>
      </c>
      <c r="N642" s="17" t="str">
        <f aca="false">IF(M642=0,"-",ROUND(3+M642/안내!$C$12,0))</f>
        <v>-</v>
      </c>
      <c r="O642" s="21" t="str">
        <f aca="false">IF(K642="","(본문 입력 후 자동) | 딤후 4:2",IF(LEN(K642)&gt;28,LEFT(K642,28)&amp;"…",K642)&amp;" | 딤후 4:2")</f>
        <v>(본문 입력 후 자동) | 딤후 4:2</v>
      </c>
      <c r="P642" s="21" t="str">
        <f aca="false">"#"&amp;SUBSTITUTE(안내!$C$5," ","")&amp;" #성경구절 #말씀 #디모데후서 #복음"</f>
        <v>#오늘의말씀 #성경구절 #말씀 #디모데후서 #복음</v>
      </c>
      <c r="Q642" s="21" t="s">
        <v>77</v>
      </c>
      <c r="R642" s="22" t="n">
        <f aca="false">안내!$C$6+INT((D642-1)/안내!$C$7)</f>
        <v>46526</v>
      </c>
      <c r="S642" s="17" t="str">
        <f aca="false">IF(MOD(D642-1,안내!$C$7)=0,안내!$C$9,안내!$C$11)</f>
        <v>12:30</v>
      </c>
      <c r="T642" s="17" t="str">
        <f aca="false">CHOOSE(WEEKDAY(R642,2),"월","화","수","목","금","토","일")</f>
        <v>수</v>
      </c>
      <c r="U642" s="17" t="s">
        <v>78</v>
      </c>
      <c r="V642" s="17" t="s">
        <v>78</v>
      </c>
      <c r="W642" s="23"/>
      <c r="X642" s="23"/>
      <c r="Y642" s="21"/>
    </row>
    <row r="643" customFormat="false" ht="25.35" hidden="false" customHeight="false" outlineLevel="0" collapsed="false">
      <c r="A643" s="17" t="n">
        <v>642</v>
      </c>
      <c r="B643" s="18" t="s">
        <v>1975</v>
      </c>
      <c r="C643" s="17" t="s">
        <v>1225</v>
      </c>
      <c r="D643" s="17" t="n">
        <v>278</v>
      </c>
      <c r="E643" s="17" t="str">
        <f aca="false">C643&amp;"말씀 #"&amp;TEXT(D643,"000")</f>
        <v>신약말씀 #278</v>
      </c>
      <c r="F643" s="17" t="s">
        <v>1959</v>
      </c>
      <c r="G643" s="18" t="s">
        <v>1763</v>
      </c>
      <c r="H643" s="19" t="s">
        <v>1976</v>
      </c>
      <c r="I643" s="17" t="s">
        <v>133</v>
      </c>
      <c r="J643" s="17" t="s">
        <v>113</v>
      </c>
      <c r="K643" s="20"/>
      <c r="L643" s="17" t="s">
        <v>76</v>
      </c>
      <c r="M643" s="17" t="n">
        <f aca="false">LEN(K643)</f>
        <v>0</v>
      </c>
      <c r="N643" s="17" t="str">
        <f aca="false">IF(M643=0,"-",ROUND(3+M643/안내!$C$12,0))</f>
        <v>-</v>
      </c>
      <c r="O643" s="21" t="str">
        <f aca="false">IF(K643="","(본문 입력 후 자동) | 딤후 4:7",IF(LEN(K643)&gt;28,LEFT(K643,28)&amp;"…",K643)&amp;" | 딤후 4:7")</f>
        <v>(본문 입력 후 자동) | 딤후 4:7</v>
      </c>
      <c r="P643" s="21" t="str">
        <f aca="false">"#"&amp;SUBSTITUTE(안내!$C$5," ","")&amp;" #성경구절 #말씀 #디모데후서 #믿음"</f>
        <v>#오늘의말씀 #성경구절 #말씀 #디모데후서 #믿음</v>
      </c>
      <c r="Q643" s="21" t="s">
        <v>77</v>
      </c>
      <c r="R643" s="22" t="n">
        <f aca="false">안내!$C$6+INT((D643-1)/안내!$C$7)</f>
        <v>46526</v>
      </c>
      <c r="S643" s="17" t="str">
        <f aca="false">IF(MOD(D643-1,안내!$C$7)=0,안내!$C$9,안내!$C$11)</f>
        <v>21:30</v>
      </c>
      <c r="T643" s="17" t="str">
        <f aca="false">CHOOSE(WEEKDAY(R643,2),"월","화","수","목","금","토","일")</f>
        <v>수</v>
      </c>
      <c r="U643" s="17" t="s">
        <v>78</v>
      </c>
      <c r="V643" s="17" t="s">
        <v>78</v>
      </c>
      <c r="W643" s="23"/>
      <c r="X643" s="23"/>
      <c r="Y643" s="21"/>
    </row>
    <row r="644" customFormat="false" ht="15" hidden="false" customHeight="false" outlineLevel="0" collapsed="false">
      <c r="A644" s="17" t="n">
        <v>643</v>
      </c>
      <c r="B644" s="18" t="s">
        <v>1977</v>
      </c>
      <c r="C644" s="17" t="s">
        <v>1225</v>
      </c>
      <c r="D644" s="17" t="n">
        <v>279</v>
      </c>
      <c r="E644" s="17" t="str">
        <f aca="false">C644&amp;"말씀 #"&amp;TEXT(D644,"000")</f>
        <v>신약말씀 #279</v>
      </c>
      <c r="F644" s="17" t="s">
        <v>1978</v>
      </c>
      <c r="G644" s="18" t="s">
        <v>1388</v>
      </c>
      <c r="H644" s="19" t="s">
        <v>1979</v>
      </c>
      <c r="I644" s="17" t="s">
        <v>98</v>
      </c>
      <c r="J644" s="17" t="s">
        <v>99</v>
      </c>
      <c r="K644" s="20"/>
      <c r="L644" s="17" t="s">
        <v>76</v>
      </c>
      <c r="M644" s="17" t="n">
        <f aca="false">LEN(K644)</f>
        <v>0</v>
      </c>
      <c r="N644" s="17" t="str">
        <f aca="false">IF(M644=0,"-",ROUND(3+M644/안내!$C$12,0))</f>
        <v>-</v>
      </c>
      <c r="O644" s="21" t="str">
        <f aca="false">IF(K644="","(본문 입력 후 자동) | 딛 2:11",IF(LEN(K644)&gt;28,LEFT(K644,28)&amp;"…",K644)&amp;" | 딛 2:11")</f>
        <v>(본문 입력 후 자동) | 딛 2:11</v>
      </c>
      <c r="P644" s="21" t="str">
        <f aca="false">"#"&amp;SUBSTITUTE(안내!$C$5," ","")&amp;" #성경구절 #말씀 #디도서 #은혜"</f>
        <v>#오늘의말씀 #성경구절 #말씀 #디도서 #은혜</v>
      </c>
      <c r="Q644" s="21" t="s">
        <v>77</v>
      </c>
      <c r="R644" s="22" t="n">
        <f aca="false">안내!$C$6+INT((D644-1)/안내!$C$7)</f>
        <v>46527</v>
      </c>
      <c r="S644" s="17" t="str">
        <f aca="false">IF(MOD(D644-1,안내!$C$7)=0,안내!$C$9,안내!$C$11)</f>
        <v>12:30</v>
      </c>
      <c r="T644" s="17" t="str">
        <f aca="false">CHOOSE(WEEKDAY(R644,2),"월","화","수","목","금","토","일")</f>
        <v>목</v>
      </c>
      <c r="U644" s="17" t="s">
        <v>78</v>
      </c>
      <c r="V644" s="17" t="s">
        <v>78</v>
      </c>
      <c r="W644" s="23"/>
      <c r="X644" s="23"/>
      <c r="Y644" s="21"/>
    </row>
    <row r="645" customFormat="false" ht="15" hidden="false" customHeight="false" outlineLevel="0" collapsed="false">
      <c r="A645" s="17" t="n">
        <v>644</v>
      </c>
      <c r="B645" s="18" t="s">
        <v>1980</v>
      </c>
      <c r="C645" s="17" t="s">
        <v>1225</v>
      </c>
      <c r="D645" s="17" t="n">
        <v>280</v>
      </c>
      <c r="E645" s="17" t="str">
        <f aca="false">C645&amp;"말씀 #"&amp;TEXT(D645,"000")</f>
        <v>신약말씀 #280</v>
      </c>
      <c r="F645" s="17" t="s">
        <v>1978</v>
      </c>
      <c r="G645" s="18" t="s">
        <v>170</v>
      </c>
      <c r="H645" s="19" t="s">
        <v>1981</v>
      </c>
      <c r="I645" s="17" t="s">
        <v>103</v>
      </c>
      <c r="J645" s="17" t="s">
        <v>104</v>
      </c>
      <c r="K645" s="20"/>
      <c r="L645" s="17" t="s">
        <v>76</v>
      </c>
      <c r="M645" s="17" t="n">
        <f aca="false">LEN(K645)</f>
        <v>0</v>
      </c>
      <c r="N645" s="17" t="str">
        <f aca="false">IF(M645=0,"-",ROUND(3+M645/안내!$C$12,0))</f>
        <v>-</v>
      </c>
      <c r="O645" s="21" t="str">
        <f aca="false">IF(K645="","(본문 입력 후 자동) | 딛 3:5",IF(LEN(K645)&gt;28,LEFT(K645,28)&amp;"…",K645)&amp;" | 딛 3:5")</f>
        <v>(본문 입력 후 자동) | 딛 3:5</v>
      </c>
      <c r="P645" s="21" t="str">
        <f aca="false">"#"&amp;SUBSTITUTE(안내!$C$5," ","")&amp;" #성경구절 #말씀 #디도서 #구원"</f>
        <v>#오늘의말씀 #성경구절 #말씀 #디도서 #구원</v>
      </c>
      <c r="Q645" s="21" t="s">
        <v>77</v>
      </c>
      <c r="R645" s="22" t="n">
        <f aca="false">안내!$C$6+INT((D645-1)/안내!$C$7)</f>
        <v>46527</v>
      </c>
      <c r="S645" s="17" t="str">
        <f aca="false">IF(MOD(D645-1,안내!$C$7)=0,안내!$C$9,안내!$C$11)</f>
        <v>21:30</v>
      </c>
      <c r="T645" s="17" t="str">
        <f aca="false">CHOOSE(WEEKDAY(R645,2),"월","화","수","목","금","토","일")</f>
        <v>목</v>
      </c>
      <c r="U645" s="17" t="s">
        <v>78</v>
      </c>
      <c r="V645" s="17" t="s">
        <v>78</v>
      </c>
      <c r="W645" s="23"/>
      <c r="X645" s="23"/>
      <c r="Y645" s="21"/>
    </row>
    <row r="646" customFormat="false" ht="15" hidden="false" customHeight="false" outlineLevel="0" collapsed="false">
      <c r="A646" s="17" t="n">
        <v>645</v>
      </c>
      <c r="B646" s="18" t="s">
        <v>1982</v>
      </c>
      <c r="C646" s="17" t="s">
        <v>1225</v>
      </c>
      <c r="D646" s="17" t="n">
        <v>281</v>
      </c>
      <c r="E646" s="17" t="str">
        <f aca="false">C646&amp;"말씀 #"&amp;TEXT(D646,"000")</f>
        <v>신약말씀 #281</v>
      </c>
      <c r="F646" s="17" t="s">
        <v>1978</v>
      </c>
      <c r="G646" s="18" t="s">
        <v>1983</v>
      </c>
      <c r="H646" s="19" t="s">
        <v>1984</v>
      </c>
      <c r="I646" s="17" t="s">
        <v>511</v>
      </c>
      <c r="J646" s="17" t="s">
        <v>89</v>
      </c>
      <c r="K646" s="20"/>
      <c r="L646" s="17" t="s">
        <v>76</v>
      </c>
      <c r="M646" s="17" t="n">
        <f aca="false">LEN(K646)</f>
        <v>0</v>
      </c>
      <c r="N646" s="17" t="str">
        <f aca="false">IF(M646=0,"-",ROUND(3+M646/안내!$C$12,0))</f>
        <v>-</v>
      </c>
      <c r="O646" s="21" t="str">
        <f aca="false">IF(K646="","(본문 입력 후 자동) | 딛 3:7",IF(LEN(K646)&gt;28,LEFT(K646,28)&amp;"…",K646)&amp;" | 딛 3:7")</f>
        <v>(본문 입력 후 자동) | 딛 3:7</v>
      </c>
      <c r="P646" s="21" t="str">
        <f aca="false">"#"&amp;SUBSTITUTE(안내!$C$5," ","")&amp;" #성경구절 #말씀 #디도서 #소망"</f>
        <v>#오늘의말씀 #성경구절 #말씀 #디도서 #소망</v>
      </c>
      <c r="Q646" s="21" t="s">
        <v>77</v>
      </c>
      <c r="R646" s="22" t="n">
        <f aca="false">안내!$C$6+INT((D646-1)/안내!$C$7)</f>
        <v>46528</v>
      </c>
      <c r="S646" s="17" t="str">
        <f aca="false">IF(MOD(D646-1,안내!$C$7)=0,안내!$C$9,안내!$C$11)</f>
        <v>12:30</v>
      </c>
      <c r="T646" s="17" t="str">
        <f aca="false">CHOOSE(WEEKDAY(R646,2),"월","화","수","목","금","토","일")</f>
        <v>금</v>
      </c>
      <c r="U646" s="17" t="s">
        <v>78</v>
      </c>
      <c r="V646" s="17" t="s">
        <v>78</v>
      </c>
      <c r="W646" s="23"/>
      <c r="X646" s="23"/>
      <c r="Y646" s="21"/>
    </row>
    <row r="647" customFormat="false" ht="15" hidden="false" customHeight="false" outlineLevel="0" collapsed="false">
      <c r="A647" s="17" t="n">
        <v>646</v>
      </c>
      <c r="B647" s="18" t="s">
        <v>1985</v>
      </c>
      <c r="C647" s="17" t="s">
        <v>1225</v>
      </c>
      <c r="D647" s="17" t="n">
        <v>282</v>
      </c>
      <c r="E647" s="17" t="str">
        <f aca="false">C647&amp;"말씀 #"&amp;TEXT(D647,"000")</f>
        <v>신약말씀 #282</v>
      </c>
      <c r="F647" s="17" t="s">
        <v>1986</v>
      </c>
      <c r="G647" s="18" t="s">
        <v>348</v>
      </c>
      <c r="H647" s="19" t="s">
        <v>1987</v>
      </c>
      <c r="I647" s="17" t="s">
        <v>239</v>
      </c>
      <c r="J647" s="17" t="s">
        <v>94</v>
      </c>
      <c r="K647" s="20"/>
      <c r="L647" s="17" t="s">
        <v>76</v>
      </c>
      <c r="M647" s="17" t="n">
        <f aca="false">LEN(K647)</f>
        <v>0</v>
      </c>
      <c r="N647" s="17" t="str">
        <f aca="false">IF(M647=0,"-",ROUND(3+M647/안내!$C$12,0))</f>
        <v>-</v>
      </c>
      <c r="O647" s="21" t="str">
        <f aca="false">IF(K647="","(본문 입력 후 자동) | 몬 1:16",IF(LEN(K647)&gt;28,LEFT(K647,28)&amp;"…",K647)&amp;" | 몬 1:16")</f>
        <v>(본문 입력 후 자동) | 몬 1:16</v>
      </c>
      <c r="P647" s="21" t="str">
        <f aca="false">"#"&amp;SUBSTITUTE(안내!$C$5," ","")&amp;" #성경구절 #말씀 #빌레몬서 #사랑"</f>
        <v>#오늘의말씀 #성경구절 #말씀 #빌레몬서 #사랑</v>
      </c>
      <c r="Q647" s="21" t="s">
        <v>77</v>
      </c>
      <c r="R647" s="22" t="n">
        <f aca="false">안내!$C$6+INT((D647-1)/안내!$C$7)</f>
        <v>46528</v>
      </c>
      <c r="S647" s="17" t="str">
        <f aca="false">IF(MOD(D647-1,안내!$C$7)=0,안내!$C$9,안내!$C$11)</f>
        <v>21:30</v>
      </c>
      <c r="T647" s="17" t="str">
        <f aca="false">CHOOSE(WEEKDAY(R647,2),"월","화","수","목","금","토","일")</f>
        <v>금</v>
      </c>
      <c r="U647" s="17" t="s">
        <v>78</v>
      </c>
      <c r="V647" s="17" t="s">
        <v>78</v>
      </c>
      <c r="W647" s="23"/>
      <c r="X647" s="23"/>
      <c r="Y647" s="21"/>
    </row>
    <row r="648" customFormat="false" ht="15" hidden="false" customHeight="false" outlineLevel="0" collapsed="false">
      <c r="A648" s="17" t="n">
        <v>647</v>
      </c>
      <c r="B648" s="18" t="s">
        <v>1988</v>
      </c>
      <c r="C648" s="17" t="s">
        <v>1225</v>
      </c>
      <c r="D648" s="17" t="n">
        <v>283</v>
      </c>
      <c r="E648" s="17" t="str">
        <f aca="false">C648&amp;"말씀 #"&amp;TEXT(D648,"000")</f>
        <v>신약말씀 #283</v>
      </c>
      <c r="F648" s="17" t="s">
        <v>1989</v>
      </c>
      <c r="G648" s="18" t="s">
        <v>1152</v>
      </c>
      <c r="H648" s="19" t="s">
        <v>1990</v>
      </c>
      <c r="I648" s="17" t="s">
        <v>176</v>
      </c>
      <c r="J648" s="17" t="s">
        <v>75</v>
      </c>
      <c r="K648" s="20"/>
      <c r="L648" s="17" t="s">
        <v>76</v>
      </c>
      <c r="M648" s="17" t="n">
        <f aca="false">LEN(K648)</f>
        <v>0</v>
      </c>
      <c r="N648" s="17" t="str">
        <f aca="false">IF(M648=0,"-",ROUND(3+M648/안내!$C$12,0))</f>
        <v>-</v>
      </c>
      <c r="O648" s="21" t="str">
        <f aca="false">IF(K648="","(본문 입력 후 자동) | 히 1:3",IF(LEN(K648)&gt;28,LEFT(K648,28)&amp;"…",K648)&amp;" | 히 1:3")</f>
        <v>(본문 입력 후 자동) | 히 1:3</v>
      </c>
      <c r="P648" s="21" t="str">
        <f aca="false">"#"&amp;SUBSTITUTE(안내!$C$5," ","")&amp;" #성경구절 #말씀 #히브리서 #하나님"</f>
        <v>#오늘의말씀 #성경구절 #말씀 #히브리서 #하나님</v>
      </c>
      <c r="Q648" s="21" t="s">
        <v>77</v>
      </c>
      <c r="R648" s="22" t="n">
        <f aca="false">안내!$C$6+INT((D648-1)/안내!$C$7)</f>
        <v>46529</v>
      </c>
      <c r="S648" s="17" t="str">
        <f aca="false">IF(MOD(D648-1,안내!$C$7)=0,안내!$C$9,안내!$C$11)</f>
        <v>12:30</v>
      </c>
      <c r="T648" s="17" t="str">
        <f aca="false">CHOOSE(WEEKDAY(R648,2),"월","화","수","목","금","토","일")</f>
        <v>토</v>
      </c>
      <c r="U648" s="17" t="s">
        <v>78</v>
      </c>
      <c r="V648" s="17" t="s">
        <v>78</v>
      </c>
      <c r="W648" s="23"/>
      <c r="X648" s="23"/>
      <c r="Y648" s="21"/>
    </row>
    <row r="649" customFormat="false" ht="15" hidden="false" customHeight="false" outlineLevel="0" collapsed="false">
      <c r="A649" s="17" t="n">
        <v>648</v>
      </c>
      <c r="B649" s="18" t="s">
        <v>1991</v>
      </c>
      <c r="C649" s="17" t="s">
        <v>1225</v>
      </c>
      <c r="D649" s="17" t="n">
        <v>284</v>
      </c>
      <c r="E649" s="17" t="str">
        <f aca="false">C649&amp;"말씀 #"&amp;TEXT(D649,"000")</f>
        <v>신약말씀 #284</v>
      </c>
      <c r="F649" s="17" t="s">
        <v>1989</v>
      </c>
      <c r="G649" s="18" t="s">
        <v>91</v>
      </c>
      <c r="H649" s="19" t="s">
        <v>1992</v>
      </c>
      <c r="I649" s="17" t="s">
        <v>129</v>
      </c>
      <c r="J649" s="17" t="s">
        <v>99</v>
      </c>
      <c r="K649" s="20"/>
      <c r="L649" s="17" t="s">
        <v>76</v>
      </c>
      <c r="M649" s="17" t="n">
        <f aca="false">LEN(K649)</f>
        <v>0</v>
      </c>
      <c r="N649" s="17" t="str">
        <f aca="false">IF(M649=0,"-",ROUND(3+M649/안내!$C$12,0))</f>
        <v>-</v>
      </c>
      <c r="O649" s="21" t="str">
        <f aca="false">IF(K649="","(본문 입력 후 자동) | 히 2:18",IF(LEN(K649)&gt;28,LEFT(K649,28)&amp;"…",K649)&amp;" | 히 2:18")</f>
        <v>(본문 입력 후 자동) | 히 2:18</v>
      </c>
      <c r="P649" s="21" t="str">
        <f aca="false">"#"&amp;SUBSTITUTE(안내!$C$5," ","")&amp;" #성경구절 #말씀 #히브리서 #위로"</f>
        <v>#오늘의말씀 #성경구절 #말씀 #히브리서 #위로</v>
      </c>
      <c r="Q649" s="21" t="s">
        <v>77</v>
      </c>
      <c r="R649" s="22" t="n">
        <f aca="false">안내!$C$6+INT((D649-1)/안내!$C$7)</f>
        <v>46529</v>
      </c>
      <c r="S649" s="17" t="str">
        <f aca="false">IF(MOD(D649-1,안내!$C$7)=0,안내!$C$9,안내!$C$11)</f>
        <v>21:30</v>
      </c>
      <c r="T649" s="17" t="str">
        <f aca="false">CHOOSE(WEEKDAY(R649,2),"월","화","수","목","금","토","일")</f>
        <v>토</v>
      </c>
      <c r="U649" s="17" t="s">
        <v>78</v>
      </c>
      <c r="V649" s="17" t="s">
        <v>78</v>
      </c>
      <c r="W649" s="23"/>
      <c r="X649" s="23"/>
      <c r="Y649" s="21"/>
    </row>
    <row r="650" customFormat="false" ht="15" hidden="false" customHeight="false" outlineLevel="0" collapsed="false">
      <c r="A650" s="17" t="n">
        <v>649</v>
      </c>
      <c r="B650" s="18" t="s">
        <v>1993</v>
      </c>
      <c r="C650" s="17" t="s">
        <v>1225</v>
      </c>
      <c r="D650" s="17" t="n">
        <v>285</v>
      </c>
      <c r="E650" s="17" t="str">
        <f aca="false">C650&amp;"말씀 #"&amp;TEXT(D650,"000")</f>
        <v>신약말씀 #285</v>
      </c>
      <c r="F650" s="17" t="s">
        <v>1989</v>
      </c>
      <c r="G650" s="18" t="s">
        <v>178</v>
      </c>
      <c r="H650" s="19" t="s">
        <v>1994</v>
      </c>
      <c r="I650" s="17" t="s">
        <v>284</v>
      </c>
      <c r="J650" s="17" t="s">
        <v>148</v>
      </c>
      <c r="K650" s="20"/>
      <c r="L650" s="17" t="s">
        <v>76</v>
      </c>
      <c r="M650" s="17" t="n">
        <f aca="false">LEN(K650)</f>
        <v>0</v>
      </c>
      <c r="N650" s="17" t="str">
        <f aca="false">IF(M650=0,"-",ROUND(3+M650/안내!$C$12,0))</f>
        <v>-</v>
      </c>
      <c r="O650" s="21" t="str">
        <f aca="false">IF(K650="","(본문 입력 후 자동) | 히 4:12",IF(LEN(K650)&gt;28,LEFT(K650,28)&amp;"…",K650)&amp;" | 히 4:12")</f>
        <v>(본문 입력 후 자동) | 히 4:12</v>
      </c>
      <c r="P650" s="21" t="str">
        <f aca="false">"#"&amp;SUBSTITUTE(안내!$C$5," ","")&amp;" #성경구절 #말씀 #히브리서 #말씀"</f>
        <v>#오늘의말씀 #성경구절 #말씀 #히브리서 #말씀</v>
      </c>
      <c r="Q650" s="21" t="s">
        <v>77</v>
      </c>
      <c r="R650" s="22" t="n">
        <f aca="false">안내!$C$6+INT((D650-1)/안내!$C$7)</f>
        <v>46530</v>
      </c>
      <c r="S650" s="17" t="str">
        <f aca="false">IF(MOD(D650-1,안내!$C$7)=0,안내!$C$9,안내!$C$11)</f>
        <v>12:30</v>
      </c>
      <c r="T650" s="17" t="str">
        <f aca="false">CHOOSE(WEEKDAY(R650,2),"월","화","수","목","금","토","일")</f>
        <v>일</v>
      </c>
      <c r="U650" s="17" t="s">
        <v>78</v>
      </c>
      <c r="V650" s="17" t="s">
        <v>78</v>
      </c>
      <c r="W650" s="23"/>
      <c r="X650" s="23"/>
      <c r="Y650" s="21"/>
    </row>
    <row r="651" customFormat="false" ht="15" hidden="false" customHeight="false" outlineLevel="0" collapsed="false">
      <c r="A651" s="17" t="n">
        <v>650</v>
      </c>
      <c r="B651" s="18" t="s">
        <v>1995</v>
      </c>
      <c r="C651" s="17" t="s">
        <v>1225</v>
      </c>
      <c r="D651" s="17" t="n">
        <v>286</v>
      </c>
      <c r="E651" s="17" t="str">
        <f aca="false">C651&amp;"말씀 #"&amp;TEXT(D651,"000")</f>
        <v>신약말씀 #286</v>
      </c>
      <c r="F651" s="17" t="s">
        <v>1989</v>
      </c>
      <c r="G651" s="18" t="s">
        <v>1996</v>
      </c>
      <c r="H651" s="19" t="s">
        <v>1997</v>
      </c>
      <c r="I651" s="17" t="s">
        <v>129</v>
      </c>
      <c r="J651" s="17" t="s">
        <v>99</v>
      </c>
      <c r="K651" s="20"/>
      <c r="L651" s="17" t="s">
        <v>76</v>
      </c>
      <c r="M651" s="17" t="n">
        <f aca="false">LEN(K651)</f>
        <v>0</v>
      </c>
      <c r="N651" s="17" t="str">
        <f aca="false">IF(M651=0,"-",ROUND(3+M651/안내!$C$12,0))</f>
        <v>-</v>
      </c>
      <c r="O651" s="21" t="str">
        <f aca="false">IF(K651="","(본문 입력 후 자동) | 히 4:15",IF(LEN(K651)&gt;28,LEFT(K651,28)&amp;"…",K651)&amp;" | 히 4:15")</f>
        <v>(본문 입력 후 자동) | 히 4:15</v>
      </c>
      <c r="P651" s="21" t="str">
        <f aca="false">"#"&amp;SUBSTITUTE(안내!$C$5," ","")&amp;" #성경구절 #말씀 #히브리서 #위로"</f>
        <v>#오늘의말씀 #성경구절 #말씀 #히브리서 #위로</v>
      </c>
      <c r="Q651" s="21" t="s">
        <v>77</v>
      </c>
      <c r="R651" s="22" t="n">
        <f aca="false">안내!$C$6+INT((D651-1)/안내!$C$7)</f>
        <v>46530</v>
      </c>
      <c r="S651" s="17" t="str">
        <f aca="false">IF(MOD(D651-1,안내!$C$7)=0,안내!$C$9,안내!$C$11)</f>
        <v>21:30</v>
      </c>
      <c r="T651" s="17" t="str">
        <f aca="false">CHOOSE(WEEKDAY(R651,2),"월","화","수","목","금","토","일")</f>
        <v>일</v>
      </c>
      <c r="U651" s="17" t="s">
        <v>78</v>
      </c>
      <c r="V651" s="17" t="s">
        <v>78</v>
      </c>
      <c r="W651" s="23"/>
      <c r="X651" s="23"/>
      <c r="Y651" s="21"/>
    </row>
    <row r="652" customFormat="false" ht="15" hidden="false" customHeight="false" outlineLevel="0" collapsed="false">
      <c r="A652" s="17" t="n">
        <v>651</v>
      </c>
      <c r="B652" s="18" t="s">
        <v>1998</v>
      </c>
      <c r="C652" s="17" t="s">
        <v>1225</v>
      </c>
      <c r="D652" s="17" t="n">
        <v>287</v>
      </c>
      <c r="E652" s="17" t="str">
        <f aca="false">C652&amp;"말씀 #"&amp;TEXT(D652,"000")</f>
        <v>신약말씀 #287</v>
      </c>
      <c r="F652" s="17" t="s">
        <v>1989</v>
      </c>
      <c r="G652" s="18" t="s">
        <v>491</v>
      </c>
      <c r="H652" s="19" t="s">
        <v>1999</v>
      </c>
      <c r="I652" s="17" t="s">
        <v>160</v>
      </c>
      <c r="J652" s="17" t="s">
        <v>104</v>
      </c>
      <c r="K652" s="20"/>
      <c r="L652" s="17" t="s">
        <v>76</v>
      </c>
      <c r="M652" s="17" t="n">
        <f aca="false">LEN(K652)</f>
        <v>0</v>
      </c>
      <c r="N652" s="17" t="str">
        <f aca="false">IF(M652=0,"-",ROUND(3+M652/안내!$C$12,0))</f>
        <v>-</v>
      </c>
      <c r="O652" s="21" t="str">
        <f aca="false">IF(K652="","(본문 입력 후 자동) | 히 4:16",IF(LEN(K652)&gt;28,LEFT(K652,28)&amp;"…",K652)&amp;" | 히 4:16")</f>
        <v>(본문 입력 후 자동) | 히 4:16</v>
      </c>
      <c r="P652" s="21" t="str">
        <f aca="false">"#"&amp;SUBSTITUTE(안내!$C$5," ","")&amp;" #성경구절 #말씀 #히브리서 #기도"</f>
        <v>#오늘의말씀 #성경구절 #말씀 #히브리서 #기도</v>
      </c>
      <c r="Q652" s="21" t="s">
        <v>77</v>
      </c>
      <c r="R652" s="22" t="n">
        <f aca="false">안내!$C$6+INT((D652-1)/안내!$C$7)</f>
        <v>46531</v>
      </c>
      <c r="S652" s="17" t="str">
        <f aca="false">IF(MOD(D652-1,안내!$C$7)=0,안내!$C$9,안내!$C$11)</f>
        <v>12:30</v>
      </c>
      <c r="T652" s="17" t="str">
        <f aca="false">CHOOSE(WEEKDAY(R652,2),"월","화","수","목","금","토","일")</f>
        <v>월</v>
      </c>
      <c r="U652" s="17" t="s">
        <v>78</v>
      </c>
      <c r="V652" s="17" t="s">
        <v>78</v>
      </c>
      <c r="W652" s="23"/>
      <c r="X652" s="23"/>
      <c r="Y652" s="21"/>
    </row>
    <row r="653" customFormat="false" ht="15" hidden="false" customHeight="false" outlineLevel="0" collapsed="false">
      <c r="A653" s="17" t="n">
        <v>652</v>
      </c>
      <c r="B653" s="18" t="s">
        <v>2000</v>
      </c>
      <c r="C653" s="17" t="s">
        <v>1225</v>
      </c>
      <c r="D653" s="17" t="n">
        <v>288</v>
      </c>
      <c r="E653" s="17" t="str">
        <f aca="false">C653&amp;"말씀 #"&amp;TEXT(D653,"000")</f>
        <v>신약말씀 #288</v>
      </c>
      <c r="F653" s="17" t="s">
        <v>1989</v>
      </c>
      <c r="G653" s="18" t="s">
        <v>2001</v>
      </c>
      <c r="H653" s="19" t="s">
        <v>2002</v>
      </c>
      <c r="I653" s="17" t="s">
        <v>511</v>
      </c>
      <c r="J653" s="17" t="s">
        <v>89</v>
      </c>
      <c r="K653" s="20"/>
      <c r="L653" s="17" t="s">
        <v>76</v>
      </c>
      <c r="M653" s="17" t="n">
        <f aca="false">LEN(K653)</f>
        <v>0</v>
      </c>
      <c r="N653" s="17" t="str">
        <f aca="false">IF(M653=0,"-",ROUND(3+M653/안내!$C$12,0))</f>
        <v>-</v>
      </c>
      <c r="O653" s="21" t="str">
        <f aca="false">IF(K653="","(본문 입력 후 자동) | 히 6:19",IF(LEN(K653)&gt;28,LEFT(K653,28)&amp;"…",K653)&amp;" | 히 6:19")</f>
        <v>(본문 입력 후 자동) | 히 6:19</v>
      </c>
      <c r="P653" s="21" t="str">
        <f aca="false">"#"&amp;SUBSTITUTE(안내!$C$5," ","")&amp;" #성경구절 #말씀 #히브리서 #소망"</f>
        <v>#오늘의말씀 #성경구절 #말씀 #히브리서 #소망</v>
      </c>
      <c r="Q653" s="21" t="s">
        <v>77</v>
      </c>
      <c r="R653" s="22" t="n">
        <f aca="false">안내!$C$6+INT((D653-1)/안내!$C$7)</f>
        <v>46531</v>
      </c>
      <c r="S653" s="17" t="str">
        <f aca="false">IF(MOD(D653-1,안내!$C$7)=0,안내!$C$9,안내!$C$11)</f>
        <v>21:30</v>
      </c>
      <c r="T653" s="17" t="str">
        <f aca="false">CHOOSE(WEEKDAY(R653,2),"월","화","수","목","금","토","일")</f>
        <v>월</v>
      </c>
      <c r="U653" s="17" t="s">
        <v>78</v>
      </c>
      <c r="V653" s="17" t="s">
        <v>78</v>
      </c>
      <c r="W653" s="23"/>
      <c r="X653" s="23"/>
      <c r="Y653" s="21"/>
    </row>
    <row r="654" customFormat="false" ht="15" hidden="false" customHeight="false" outlineLevel="0" collapsed="false">
      <c r="A654" s="17" t="n">
        <v>653</v>
      </c>
      <c r="B654" s="18" t="s">
        <v>2003</v>
      </c>
      <c r="C654" s="17" t="s">
        <v>1225</v>
      </c>
      <c r="D654" s="17" t="n">
        <v>289</v>
      </c>
      <c r="E654" s="17" t="str">
        <f aca="false">C654&amp;"말씀 #"&amp;TEXT(D654,"000")</f>
        <v>신약말씀 #289</v>
      </c>
      <c r="F654" s="17" t="s">
        <v>1989</v>
      </c>
      <c r="G654" s="18" t="s">
        <v>2004</v>
      </c>
      <c r="H654" s="19" t="s">
        <v>2005</v>
      </c>
      <c r="I654" s="17" t="s">
        <v>103</v>
      </c>
      <c r="J654" s="17" t="s">
        <v>104</v>
      </c>
      <c r="K654" s="20"/>
      <c r="L654" s="17" t="s">
        <v>76</v>
      </c>
      <c r="M654" s="17" t="n">
        <f aca="false">LEN(K654)</f>
        <v>0</v>
      </c>
      <c r="N654" s="17" t="str">
        <f aca="false">IF(M654=0,"-",ROUND(3+M654/안내!$C$12,0))</f>
        <v>-</v>
      </c>
      <c r="O654" s="21" t="str">
        <f aca="false">IF(K654="","(본문 입력 후 자동) | 히 7:25",IF(LEN(K654)&gt;28,LEFT(K654,28)&amp;"…",K654)&amp;" | 히 7:25")</f>
        <v>(본문 입력 후 자동) | 히 7:25</v>
      </c>
      <c r="P654" s="21" t="str">
        <f aca="false">"#"&amp;SUBSTITUTE(안내!$C$5," ","")&amp;" #성경구절 #말씀 #히브리서 #구원"</f>
        <v>#오늘의말씀 #성경구절 #말씀 #히브리서 #구원</v>
      </c>
      <c r="Q654" s="21" t="s">
        <v>77</v>
      </c>
      <c r="R654" s="22" t="n">
        <f aca="false">안내!$C$6+INT((D654-1)/안내!$C$7)</f>
        <v>46532</v>
      </c>
      <c r="S654" s="17" t="str">
        <f aca="false">IF(MOD(D654-1,안내!$C$7)=0,안내!$C$9,안내!$C$11)</f>
        <v>12:30</v>
      </c>
      <c r="T654" s="17" t="str">
        <f aca="false">CHOOSE(WEEKDAY(R654,2),"월","화","수","목","금","토","일")</f>
        <v>화</v>
      </c>
      <c r="U654" s="17" t="s">
        <v>78</v>
      </c>
      <c r="V654" s="17" t="s">
        <v>78</v>
      </c>
      <c r="W654" s="23"/>
      <c r="X654" s="23"/>
      <c r="Y654" s="21"/>
    </row>
    <row r="655" customFormat="false" ht="26.85" hidden="false" customHeight="false" outlineLevel="0" collapsed="false">
      <c r="A655" s="17" t="n">
        <v>654</v>
      </c>
      <c r="B655" s="18" t="s">
        <v>2006</v>
      </c>
      <c r="C655" s="17" t="s">
        <v>1225</v>
      </c>
      <c r="D655" s="17" t="n">
        <v>290</v>
      </c>
      <c r="E655" s="17" t="str">
        <f aca="false">C655&amp;"말씀 #"&amp;TEXT(D655,"000")</f>
        <v>신약말씀 #290</v>
      </c>
      <c r="F655" s="17" t="s">
        <v>1989</v>
      </c>
      <c r="G655" s="18" t="s">
        <v>1021</v>
      </c>
      <c r="H655" s="19" t="s">
        <v>2007</v>
      </c>
      <c r="I655" s="17" t="s">
        <v>112</v>
      </c>
      <c r="J655" s="17" t="s">
        <v>113</v>
      </c>
      <c r="K655" s="20"/>
      <c r="L655" s="17" t="s">
        <v>76</v>
      </c>
      <c r="M655" s="17" t="n">
        <f aca="false">LEN(K655)</f>
        <v>0</v>
      </c>
      <c r="N655" s="17" t="str">
        <f aca="false">IF(M655=0,"-",ROUND(3+M655/안내!$C$12,0))</f>
        <v>-</v>
      </c>
      <c r="O655" s="21" t="str">
        <f aca="false">IF(K655="","(본문 입력 후 자동) | 히 10:23",IF(LEN(K655)&gt;28,LEFT(K655,28)&amp;"…",K655)&amp;" | 히 10:23")</f>
        <v>(본문 입력 후 자동) | 히 10:23</v>
      </c>
      <c r="P655" s="21" t="str">
        <f aca="false">"#"&amp;SUBSTITUTE(안내!$C$5," ","")&amp;" #성경구절 #말씀 #히브리서 #신실하심"</f>
        <v>#오늘의말씀 #성경구절 #말씀 #히브리서 #신실하심</v>
      </c>
      <c r="Q655" s="21" t="s">
        <v>77</v>
      </c>
      <c r="R655" s="22" t="n">
        <f aca="false">안내!$C$6+INT((D655-1)/안내!$C$7)</f>
        <v>46532</v>
      </c>
      <c r="S655" s="17" t="str">
        <f aca="false">IF(MOD(D655-1,안내!$C$7)=0,안내!$C$9,안내!$C$11)</f>
        <v>21:30</v>
      </c>
      <c r="T655" s="17" t="str">
        <f aca="false">CHOOSE(WEEKDAY(R655,2),"월","화","수","목","금","토","일")</f>
        <v>화</v>
      </c>
      <c r="U655" s="17" t="s">
        <v>78</v>
      </c>
      <c r="V655" s="17" t="s">
        <v>78</v>
      </c>
      <c r="W655" s="23"/>
      <c r="X655" s="23"/>
      <c r="Y655" s="21"/>
    </row>
    <row r="656" customFormat="false" ht="25.35" hidden="false" customHeight="false" outlineLevel="0" collapsed="false">
      <c r="A656" s="17" t="n">
        <v>655</v>
      </c>
      <c r="B656" s="18" t="s">
        <v>2008</v>
      </c>
      <c r="C656" s="17" t="s">
        <v>1225</v>
      </c>
      <c r="D656" s="17" t="n">
        <v>291</v>
      </c>
      <c r="E656" s="17" t="str">
        <f aca="false">C656&amp;"말씀 #"&amp;TEXT(D656,"000")</f>
        <v>신약말씀 #291</v>
      </c>
      <c r="F656" s="17" t="s">
        <v>1989</v>
      </c>
      <c r="G656" s="18" t="s">
        <v>2009</v>
      </c>
      <c r="H656" s="19" t="s">
        <v>2010</v>
      </c>
      <c r="I656" s="17" t="s">
        <v>1571</v>
      </c>
      <c r="J656" s="17" t="s">
        <v>94</v>
      </c>
      <c r="K656" s="20"/>
      <c r="L656" s="17" t="s">
        <v>76</v>
      </c>
      <c r="M656" s="17" t="n">
        <f aca="false">LEN(K656)</f>
        <v>0</v>
      </c>
      <c r="N656" s="17" t="str">
        <f aca="false">IF(M656=0,"-",ROUND(3+M656/안내!$C$12,0))</f>
        <v>-</v>
      </c>
      <c r="O656" s="21" t="str">
        <f aca="false">IF(K656="","(본문 입력 후 자동) | 히 10:24",IF(LEN(K656)&gt;28,LEFT(K656,28)&amp;"…",K656)&amp;" | 히 10:24")</f>
        <v>(본문 입력 후 자동) | 히 10:24</v>
      </c>
      <c r="P656" s="21" t="str">
        <f aca="false">"#"&amp;SUBSTITUTE(안내!$C$5," ","")&amp;" #성경구절 #말씀 #히브리서 #교회"</f>
        <v>#오늘의말씀 #성경구절 #말씀 #히브리서 #교회</v>
      </c>
      <c r="Q656" s="21" t="s">
        <v>77</v>
      </c>
      <c r="R656" s="22" t="n">
        <f aca="false">안내!$C$6+INT((D656-1)/안내!$C$7)</f>
        <v>46533</v>
      </c>
      <c r="S656" s="17" t="str">
        <f aca="false">IF(MOD(D656-1,안내!$C$7)=0,안내!$C$9,안내!$C$11)</f>
        <v>12:30</v>
      </c>
      <c r="T656" s="17" t="str">
        <f aca="false">CHOOSE(WEEKDAY(R656,2),"월","화","수","목","금","토","일")</f>
        <v>수</v>
      </c>
      <c r="U656" s="17" t="s">
        <v>78</v>
      </c>
      <c r="V656" s="17" t="s">
        <v>78</v>
      </c>
      <c r="W656" s="23"/>
      <c r="X656" s="23"/>
      <c r="Y656" s="21"/>
    </row>
    <row r="657" customFormat="false" ht="25.35" hidden="false" customHeight="false" outlineLevel="0" collapsed="false">
      <c r="A657" s="17" t="n">
        <v>656</v>
      </c>
      <c r="B657" s="18" t="s">
        <v>2011</v>
      </c>
      <c r="C657" s="17" t="s">
        <v>1225</v>
      </c>
      <c r="D657" s="17" t="n">
        <v>292</v>
      </c>
      <c r="E657" s="17" t="str">
        <f aca="false">C657&amp;"말씀 #"&amp;TEXT(D657,"000")</f>
        <v>신약말씀 #292</v>
      </c>
      <c r="F657" s="17" t="s">
        <v>1989</v>
      </c>
      <c r="G657" s="18" t="s">
        <v>2012</v>
      </c>
      <c r="H657" s="19" t="s">
        <v>2013</v>
      </c>
      <c r="I657" s="17" t="s">
        <v>1571</v>
      </c>
      <c r="J657" s="17" t="s">
        <v>94</v>
      </c>
      <c r="K657" s="20"/>
      <c r="L657" s="17" t="s">
        <v>76</v>
      </c>
      <c r="M657" s="17" t="n">
        <f aca="false">LEN(K657)</f>
        <v>0</v>
      </c>
      <c r="N657" s="17" t="str">
        <f aca="false">IF(M657=0,"-",ROUND(3+M657/안내!$C$12,0))</f>
        <v>-</v>
      </c>
      <c r="O657" s="21" t="str">
        <f aca="false">IF(K657="","(본문 입력 후 자동) | 히 10:25",IF(LEN(K657)&gt;28,LEFT(K657,28)&amp;"…",K657)&amp;" | 히 10:25")</f>
        <v>(본문 입력 후 자동) | 히 10:25</v>
      </c>
      <c r="P657" s="21" t="str">
        <f aca="false">"#"&amp;SUBSTITUTE(안내!$C$5," ","")&amp;" #성경구절 #말씀 #히브리서 #교회"</f>
        <v>#오늘의말씀 #성경구절 #말씀 #히브리서 #교회</v>
      </c>
      <c r="Q657" s="21" t="s">
        <v>77</v>
      </c>
      <c r="R657" s="22" t="n">
        <f aca="false">안내!$C$6+INT((D657-1)/안내!$C$7)</f>
        <v>46533</v>
      </c>
      <c r="S657" s="17" t="str">
        <f aca="false">IF(MOD(D657-1,안내!$C$7)=0,안내!$C$9,안내!$C$11)</f>
        <v>21:30</v>
      </c>
      <c r="T657" s="17" t="str">
        <f aca="false">CHOOSE(WEEKDAY(R657,2),"월","화","수","목","금","토","일")</f>
        <v>수</v>
      </c>
      <c r="U657" s="17" t="s">
        <v>78</v>
      </c>
      <c r="V657" s="17" t="s">
        <v>78</v>
      </c>
      <c r="W657" s="23"/>
      <c r="X657" s="23"/>
      <c r="Y657" s="21"/>
    </row>
    <row r="658" customFormat="false" ht="15" hidden="false" customHeight="false" outlineLevel="0" collapsed="false">
      <c r="A658" s="17" t="n">
        <v>657</v>
      </c>
      <c r="B658" s="18" t="s">
        <v>2014</v>
      </c>
      <c r="C658" s="17" t="s">
        <v>1225</v>
      </c>
      <c r="D658" s="17" t="n">
        <v>293</v>
      </c>
      <c r="E658" s="17" t="str">
        <f aca="false">C658&amp;"말씀 #"&amp;TEXT(D658,"000")</f>
        <v>신약말씀 #293</v>
      </c>
      <c r="F658" s="17" t="s">
        <v>1989</v>
      </c>
      <c r="G658" s="18" t="s">
        <v>2015</v>
      </c>
      <c r="H658" s="19" t="s">
        <v>2016</v>
      </c>
      <c r="I658" s="17" t="s">
        <v>133</v>
      </c>
      <c r="J658" s="17" t="s">
        <v>113</v>
      </c>
      <c r="K658" s="20"/>
      <c r="L658" s="17" t="s">
        <v>76</v>
      </c>
      <c r="M658" s="17" t="n">
        <f aca="false">LEN(K658)</f>
        <v>0</v>
      </c>
      <c r="N658" s="17" t="str">
        <f aca="false">IF(M658=0,"-",ROUND(3+M658/안내!$C$12,0))</f>
        <v>-</v>
      </c>
      <c r="O658" s="21" t="str">
        <f aca="false">IF(K658="","(본문 입력 후 자동) | 히 11:1",IF(LEN(K658)&gt;28,LEFT(K658,28)&amp;"…",K658)&amp;" | 히 11:1")</f>
        <v>(본문 입력 후 자동) | 히 11:1</v>
      </c>
      <c r="P658" s="21" t="str">
        <f aca="false">"#"&amp;SUBSTITUTE(안내!$C$5," ","")&amp;" #성경구절 #말씀 #히브리서 #믿음"</f>
        <v>#오늘의말씀 #성경구절 #말씀 #히브리서 #믿음</v>
      </c>
      <c r="Q658" s="21" t="s">
        <v>77</v>
      </c>
      <c r="R658" s="22" t="n">
        <f aca="false">안내!$C$6+INT((D658-1)/안내!$C$7)</f>
        <v>46534</v>
      </c>
      <c r="S658" s="17" t="str">
        <f aca="false">IF(MOD(D658-1,안내!$C$7)=0,안내!$C$9,안내!$C$11)</f>
        <v>12:30</v>
      </c>
      <c r="T658" s="17" t="str">
        <f aca="false">CHOOSE(WEEKDAY(R658,2),"월","화","수","목","금","토","일")</f>
        <v>목</v>
      </c>
      <c r="U658" s="17" t="s">
        <v>78</v>
      </c>
      <c r="V658" s="17" t="s">
        <v>78</v>
      </c>
      <c r="W658" s="23"/>
      <c r="X658" s="23"/>
      <c r="Y658" s="21"/>
    </row>
    <row r="659" customFormat="false" ht="15" hidden="false" customHeight="false" outlineLevel="0" collapsed="false">
      <c r="A659" s="17" t="n">
        <v>658</v>
      </c>
      <c r="B659" s="18" t="s">
        <v>2017</v>
      </c>
      <c r="C659" s="17" t="s">
        <v>1225</v>
      </c>
      <c r="D659" s="17" t="n">
        <v>294</v>
      </c>
      <c r="E659" s="17" t="str">
        <f aca="false">C659&amp;"말씀 #"&amp;TEXT(D659,"000")</f>
        <v>신약말씀 #294</v>
      </c>
      <c r="F659" s="17" t="s">
        <v>1989</v>
      </c>
      <c r="G659" s="18" t="s">
        <v>2018</v>
      </c>
      <c r="H659" s="19" t="s">
        <v>2019</v>
      </c>
      <c r="I659" s="17" t="s">
        <v>133</v>
      </c>
      <c r="J659" s="17" t="s">
        <v>113</v>
      </c>
      <c r="K659" s="20"/>
      <c r="L659" s="17" t="s">
        <v>76</v>
      </c>
      <c r="M659" s="17" t="n">
        <f aca="false">LEN(K659)</f>
        <v>0</v>
      </c>
      <c r="N659" s="17" t="str">
        <f aca="false">IF(M659=0,"-",ROUND(3+M659/안내!$C$12,0))</f>
        <v>-</v>
      </c>
      <c r="O659" s="21" t="str">
        <f aca="false">IF(K659="","(본문 입력 후 자동) | 히 11:6",IF(LEN(K659)&gt;28,LEFT(K659,28)&amp;"…",K659)&amp;" | 히 11:6")</f>
        <v>(본문 입력 후 자동) | 히 11:6</v>
      </c>
      <c r="P659" s="21" t="str">
        <f aca="false">"#"&amp;SUBSTITUTE(안내!$C$5," ","")&amp;" #성경구절 #말씀 #히브리서 #믿음"</f>
        <v>#오늘의말씀 #성경구절 #말씀 #히브리서 #믿음</v>
      </c>
      <c r="Q659" s="21" t="s">
        <v>77</v>
      </c>
      <c r="R659" s="22" t="n">
        <f aca="false">안내!$C$6+INT((D659-1)/안내!$C$7)</f>
        <v>46534</v>
      </c>
      <c r="S659" s="17" t="str">
        <f aca="false">IF(MOD(D659-1,안내!$C$7)=0,안내!$C$9,안내!$C$11)</f>
        <v>21:30</v>
      </c>
      <c r="T659" s="17" t="str">
        <f aca="false">CHOOSE(WEEKDAY(R659,2),"월","화","수","목","금","토","일")</f>
        <v>목</v>
      </c>
      <c r="U659" s="17" t="s">
        <v>78</v>
      </c>
      <c r="V659" s="17" t="s">
        <v>78</v>
      </c>
      <c r="W659" s="23"/>
      <c r="X659" s="23"/>
      <c r="Y659" s="21"/>
    </row>
    <row r="660" customFormat="false" ht="15" hidden="false" customHeight="false" outlineLevel="0" collapsed="false">
      <c r="A660" s="17" t="n">
        <v>659</v>
      </c>
      <c r="B660" s="18" t="s">
        <v>2020</v>
      </c>
      <c r="C660" s="17" t="s">
        <v>1225</v>
      </c>
      <c r="D660" s="17" t="n">
        <v>295</v>
      </c>
      <c r="E660" s="17" t="str">
        <f aca="false">C660&amp;"말씀 #"&amp;TEXT(D660,"000")</f>
        <v>신약말씀 #295</v>
      </c>
      <c r="F660" s="17" t="s">
        <v>1989</v>
      </c>
      <c r="G660" s="18" t="s">
        <v>119</v>
      </c>
      <c r="H660" s="19" t="s">
        <v>2021</v>
      </c>
      <c r="I660" s="17" t="s">
        <v>333</v>
      </c>
      <c r="J660" s="17" t="s">
        <v>122</v>
      </c>
      <c r="K660" s="20"/>
      <c r="L660" s="17" t="s">
        <v>76</v>
      </c>
      <c r="M660" s="17" t="n">
        <f aca="false">LEN(K660)</f>
        <v>0</v>
      </c>
      <c r="N660" s="17" t="str">
        <f aca="false">IF(M660=0,"-",ROUND(3+M660/안내!$C$12,0))</f>
        <v>-</v>
      </c>
      <c r="O660" s="21" t="str">
        <f aca="false">IF(K660="","(본문 입력 후 자동) | 히 12:1",IF(LEN(K660)&gt;28,LEFT(K660,28)&amp;"…",K660)&amp;" | 히 12:1")</f>
        <v>(본문 입력 후 자동) | 히 12:1</v>
      </c>
      <c r="P660" s="21" t="str">
        <f aca="false">"#"&amp;SUBSTITUTE(안내!$C$5," ","")&amp;" #성경구절 #말씀 #히브리서 #헌신"</f>
        <v>#오늘의말씀 #성경구절 #말씀 #히브리서 #헌신</v>
      </c>
      <c r="Q660" s="21" t="s">
        <v>77</v>
      </c>
      <c r="R660" s="22" t="n">
        <f aca="false">안내!$C$6+INT((D660-1)/안내!$C$7)</f>
        <v>46535</v>
      </c>
      <c r="S660" s="17" t="str">
        <f aca="false">IF(MOD(D660-1,안내!$C$7)=0,안내!$C$9,안내!$C$11)</f>
        <v>12:30</v>
      </c>
      <c r="T660" s="17" t="str">
        <f aca="false">CHOOSE(WEEKDAY(R660,2),"월","화","수","목","금","토","일")</f>
        <v>금</v>
      </c>
      <c r="U660" s="17" t="s">
        <v>78</v>
      </c>
      <c r="V660" s="17" t="s">
        <v>78</v>
      </c>
      <c r="W660" s="23"/>
      <c r="X660" s="23"/>
      <c r="Y660" s="21"/>
    </row>
    <row r="661" customFormat="false" ht="15" hidden="false" customHeight="false" outlineLevel="0" collapsed="false">
      <c r="A661" s="17" t="n">
        <v>660</v>
      </c>
      <c r="B661" s="18" t="s">
        <v>2022</v>
      </c>
      <c r="C661" s="17" t="s">
        <v>1225</v>
      </c>
      <c r="D661" s="17" t="n">
        <v>296</v>
      </c>
      <c r="E661" s="17" t="str">
        <f aca="false">C661&amp;"말씀 #"&amp;TEXT(D661,"000")</f>
        <v>신약말씀 #296</v>
      </c>
      <c r="F661" s="17" t="s">
        <v>1989</v>
      </c>
      <c r="G661" s="18" t="s">
        <v>124</v>
      </c>
      <c r="H661" s="19" t="s">
        <v>2023</v>
      </c>
      <c r="I661" s="17" t="s">
        <v>133</v>
      </c>
      <c r="J661" s="17" t="s">
        <v>113</v>
      </c>
      <c r="K661" s="20"/>
      <c r="L661" s="17" t="s">
        <v>76</v>
      </c>
      <c r="M661" s="17" t="n">
        <f aca="false">LEN(K661)</f>
        <v>0</v>
      </c>
      <c r="N661" s="17" t="str">
        <f aca="false">IF(M661=0,"-",ROUND(3+M661/안내!$C$12,0))</f>
        <v>-</v>
      </c>
      <c r="O661" s="21" t="str">
        <f aca="false">IF(K661="","(본문 입력 후 자동) | 히 12:2",IF(LEN(K661)&gt;28,LEFT(K661,28)&amp;"…",K661)&amp;" | 히 12:2")</f>
        <v>(본문 입력 후 자동) | 히 12:2</v>
      </c>
      <c r="P661" s="21" t="str">
        <f aca="false">"#"&amp;SUBSTITUTE(안내!$C$5," ","")&amp;" #성경구절 #말씀 #히브리서 #믿음"</f>
        <v>#오늘의말씀 #성경구절 #말씀 #히브리서 #믿음</v>
      </c>
      <c r="Q661" s="21" t="s">
        <v>77</v>
      </c>
      <c r="R661" s="22" t="n">
        <f aca="false">안내!$C$6+INT((D661-1)/안내!$C$7)</f>
        <v>46535</v>
      </c>
      <c r="S661" s="17" t="str">
        <f aca="false">IF(MOD(D661-1,안내!$C$7)=0,안내!$C$9,안내!$C$11)</f>
        <v>21:30</v>
      </c>
      <c r="T661" s="17" t="str">
        <f aca="false">CHOOSE(WEEKDAY(R661,2),"월","화","수","목","금","토","일")</f>
        <v>금</v>
      </c>
      <c r="U661" s="17" t="s">
        <v>78</v>
      </c>
      <c r="V661" s="17" t="s">
        <v>78</v>
      </c>
      <c r="W661" s="23"/>
      <c r="X661" s="23"/>
      <c r="Y661" s="21"/>
    </row>
    <row r="662" customFormat="false" ht="25.35" hidden="false" customHeight="false" outlineLevel="0" collapsed="false">
      <c r="A662" s="17" t="n">
        <v>661</v>
      </c>
      <c r="B662" s="18" t="s">
        <v>2024</v>
      </c>
      <c r="C662" s="17" t="s">
        <v>1225</v>
      </c>
      <c r="D662" s="17" t="n">
        <v>297</v>
      </c>
      <c r="E662" s="17" t="str">
        <f aca="false">C662&amp;"말씀 #"&amp;TEXT(D662,"000")</f>
        <v>신약말씀 #297</v>
      </c>
      <c r="F662" s="17" t="s">
        <v>1989</v>
      </c>
      <c r="G662" s="18" t="s">
        <v>2025</v>
      </c>
      <c r="H662" s="19" t="s">
        <v>2026</v>
      </c>
      <c r="I662" s="17" t="s">
        <v>504</v>
      </c>
      <c r="J662" s="17" t="s">
        <v>113</v>
      </c>
      <c r="K662" s="20"/>
      <c r="L662" s="17" t="s">
        <v>76</v>
      </c>
      <c r="M662" s="17" t="n">
        <f aca="false">LEN(K662)</f>
        <v>0</v>
      </c>
      <c r="N662" s="17" t="str">
        <f aca="false">IF(M662=0,"-",ROUND(3+M662/안내!$C$12,0))</f>
        <v>-</v>
      </c>
      <c r="O662" s="21" t="str">
        <f aca="false">IF(K662="","(본문 입력 후 자동) | 히 12:11",IF(LEN(K662)&gt;28,LEFT(K662,28)&amp;"…",K662)&amp;" | 히 12:11")</f>
        <v>(본문 입력 후 자동) | 히 12:11</v>
      </c>
      <c r="P662" s="21" t="str">
        <f aca="false">"#"&amp;SUBSTITUTE(안내!$C$5," ","")&amp;" #성경구절 #말씀 #히브리서 #연단"</f>
        <v>#오늘의말씀 #성경구절 #말씀 #히브리서 #연단</v>
      </c>
      <c r="Q662" s="21" t="s">
        <v>77</v>
      </c>
      <c r="R662" s="22" t="n">
        <f aca="false">안내!$C$6+INT((D662-1)/안내!$C$7)</f>
        <v>46536</v>
      </c>
      <c r="S662" s="17" t="str">
        <f aca="false">IF(MOD(D662-1,안내!$C$7)=0,안내!$C$9,안내!$C$11)</f>
        <v>12:30</v>
      </c>
      <c r="T662" s="17" t="str">
        <f aca="false">CHOOSE(WEEKDAY(R662,2),"월","화","수","목","금","토","일")</f>
        <v>토</v>
      </c>
      <c r="U662" s="17" t="s">
        <v>78</v>
      </c>
      <c r="V662" s="17" t="s">
        <v>78</v>
      </c>
      <c r="W662" s="23"/>
      <c r="X662" s="23"/>
      <c r="Y662" s="21"/>
    </row>
    <row r="663" customFormat="false" ht="15" hidden="false" customHeight="false" outlineLevel="0" collapsed="false">
      <c r="A663" s="17" t="n">
        <v>662</v>
      </c>
      <c r="B663" s="18" t="s">
        <v>2027</v>
      </c>
      <c r="C663" s="17" t="s">
        <v>1225</v>
      </c>
      <c r="D663" s="17" t="n">
        <v>298</v>
      </c>
      <c r="E663" s="17" t="str">
        <f aca="false">C663&amp;"말씀 #"&amp;TEXT(D663,"000")</f>
        <v>신약말씀 #298</v>
      </c>
      <c r="F663" s="17" t="s">
        <v>1989</v>
      </c>
      <c r="G663" s="18" t="s">
        <v>2028</v>
      </c>
      <c r="H663" s="19" t="s">
        <v>2029</v>
      </c>
      <c r="I663" s="17" t="s">
        <v>152</v>
      </c>
      <c r="J663" s="17" t="s">
        <v>122</v>
      </c>
      <c r="K663" s="20"/>
      <c r="L663" s="17" t="s">
        <v>76</v>
      </c>
      <c r="M663" s="17" t="n">
        <f aca="false">LEN(K663)</f>
        <v>0</v>
      </c>
      <c r="N663" s="17" t="str">
        <f aca="false">IF(M663=0,"-",ROUND(3+M663/안내!$C$12,0))</f>
        <v>-</v>
      </c>
      <c r="O663" s="21" t="str">
        <f aca="false">IF(K663="","(본문 입력 후 자동) | 히 13:5",IF(LEN(K663)&gt;28,LEFT(K663,28)&amp;"…",K663)&amp;" | 히 13:5")</f>
        <v>(본문 입력 후 자동) | 히 13:5</v>
      </c>
      <c r="P663" s="21" t="str">
        <f aca="false">"#"&amp;SUBSTITUTE(안내!$C$5," ","")&amp;" #성경구절 #말씀 #히브리서 #동행"</f>
        <v>#오늘의말씀 #성경구절 #말씀 #히브리서 #동행</v>
      </c>
      <c r="Q663" s="21" t="s">
        <v>77</v>
      </c>
      <c r="R663" s="22" t="n">
        <f aca="false">안내!$C$6+INT((D663-1)/안내!$C$7)</f>
        <v>46536</v>
      </c>
      <c r="S663" s="17" t="str">
        <f aca="false">IF(MOD(D663-1,안내!$C$7)=0,안내!$C$9,안내!$C$11)</f>
        <v>21:30</v>
      </c>
      <c r="T663" s="17" t="str">
        <f aca="false">CHOOSE(WEEKDAY(R663,2),"월","화","수","목","금","토","일")</f>
        <v>토</v>
      </c>
      <c r="U663" s="17" t="s">
        <v>78</v>
      </c>
      <c r="V663" s="17" t="s">
        <v>78</v>
      </c>
      <c r="W663" s="23"/>
      <c r="X663" s="23"/>
      <c r="Y663" s="21"/>
    </row>
    <row r="664" customFormat="false" ht="26.85" hidden="false" customHeight="false" outlineLevel="0" collapsed="false">
      <c r="A664" s="17" t="n">
        <v>663</v>
      </c>
      <c r="B664" s="18" t="s">
        <v>2030</v>
      </c>
      <c r="C664" s="17" t="s">
        <v>1225</v>
      </c>
      <c r="D664" s="17" t="n">
        <v>299</v>
      </c>
      <c r="E664" s="17" t="str">
        <f aca="false">C664&amp;"말씀 #"&amp;TEXT(D664,"000")</f>
        <v>신약말씀 #299</v>
      </c>
      <c r="F664" s="17" t="s">
        <v>1989</v>
      </c>
      <c r="G664" s="18" t="s">
        <v>1697</v>
      </c>
      <c r="H664" s="19" t="s">
        <v>2031</v>
      </c>
      <c r="I664" s="17" t="s">
        <v>112</v>
      </c>
      <c r="J664" s="17" t="s">
        <v>113</v>
      </c>
      <c r="K664" s="20"/>
      <c r="L664" s="17" t="s">
        <v>76</v>
      </c>
      <c r="M664" s="17" t="n">
        <f aca="false">LEN(K664)</f>
        <v>0</v>
      </c>
      <c r="N664" s="17" t="str">
        <f aca="false">IF(M664=0,"-",ROUND(3+M664/안내!$C$12,0))</f>
        <v>-</v>
      </c>
      <c r="O664" s="21" t="str">
        <f aca="false">IF(K664="","(본문 입력 후 자동) | 히 13:8",IF(LEN(K664)&gt;28,LEFT(K664,28)&amp;"…",K664)&amp;" | 히 13:8")</f>
        <v>(본문 입력 후 자동) | 히 13:8</v>
      </c>
      <c r="P664" s="21" t="str">
        <f aca="false">"#"&amp;SUBSTITUTE(안내!$C$5," ","")&amp;" #성경구절 #말씀 #히브리서 #신실하심"</f>
        <v>#오늘의말씀 #성경구절 #말씀 #히브리서 #신실하심</v>
      </c>
      <c r="Q664" s="21" t="s">
        <v>77</v>
      </c>
      <c r="R664" s="22" t="n">
        <f aca="false">안내!$C$6+INT((D664-1)/안내!$C$7)</f>
        <v>46537</v>
      </c>
      <c r="S664" s="17" t="str">
        <f aca="false">IF(MOD(D664-1,안내!$C$7)=0,안내!$C$9,안내!$C$11)</f>
        <v>12:30</v>
      </c>
      <c r="T664" s="17" t="str">
        <f aca="false">CHOOSE(WEEKDAY(R664,2),"월","화","수","목","금","토","일")</f>
        <v>일</v>
      </c>
      <c r="U664" s="17" t="s">
        <v>78</v>
      </c>
      <c r="V664" s="17" t="s">
        <v>78</v>
      </c>
      <c r="W664" s="23"/>
      <c r="X664" s="23"/>
      <c r="Y664" s="21"/>
    </row>
    <row r="665" customFormat="false" ht="25.35" hidden="false" customHeight="false" outlineLevel="0" collapsed="false">
      <c r="A665" s="17" t="n">
        <v>664</v>
      </c>
      <c r="B665" s="18" t="s">
        <v>2032</v>
      </c>
      <c r="C665" s="17" t="s">
        <v>1225</v>
      </c>
      <c r="D665" s="17" t="n">
        <v>300</v>
      </c>
      <c r="E665" s="17" t="str">
        <f aca="false">C665&amp;"말씀 #"&amp;TEXT(D665,"000")</f>
        <v>신약말씀 #300</v>
      </c>
      <c r="F665" s="17" t="s">
        <v>1989</v>
      </c>
      <c r="G665" s="18" t="s">
        <v>506</v>
      </c>
      <c r="H665" s="19" t="s">
        <v>2033</v>
      </c>
      <c r="I665" s="17" t="s">
        <v>196</v>
      </c>
      <c r="J665" s="17" t="s">
        <v>75</v>
      </c>
      <c r="K665" s="20"/>
      <c r="L665" s="17" t="s">
        <v>76</v>
      </c>
      <c r="M665" s="17" t="n">
        <f aca="false">LEN(K665)</f>
        <v>0</v>
      </c>
      <c r="N665" s="17" t="str">
        <f aca="false">IF(M665=0,"-",ROUND(3+M665/안내!$C$12,0))</f>
        <v>-</v>
      </c>
      <c r="O665" s="21" t="str">
        <f aca="false">IF(K665="","(본문 입력 후 자동) | 히 13:15",IF(LEN(K665)&gt;28,LEFT(K665,28)&amp;"…",K665)&amp;" | 히 13:15")</f>
        <v>(본문 입력 후 자동) | 히 13:15</v>
      </c>
      <c r="P665" s="21" t="str">
        <f aca="false">"#"&amp;SUBSTITUTE(안내!$C$5," ","")&amp;" #성경구절 #말씀 #히브리서 #찬양"</f>
        <v>#오늘의말씀 #성경구절 #말씀 #히브리서 #찬양</v>
      </c>
      <c r="Q665" s="21" t="s">
        <v>77</v>
      </c>
      <c r="R665" s="22" t="n">
        <f aca="false">안내!$C$6+INT((D665-1)/안내!$C$7)</f>
        <v>46537</v>
      </c>
      <c r="S665" s="17" t="str">
        <f aca="false">IF(MOD(D665-1,안내!$C$7)=0,안내!$C$9,안내!$C$11)</f>
        <v>21:30</v>
      </c>
      <c r="T665" s="17" t="str">
        <f aca="false">CHOOSE(WEEKDAY(R665,2),"월","화","수","목","금","토","일")</f>
        <v>일</v>
      </c>
      <c r="U665" s="17" t="s">
        <v>78</v>
      </c>
      <c r="V665" s="17" t="s">
        <v>78</v>
      </c>
      <c r="W665" s="23"/>
      <c r="X665" s="23"/>
      <c r="Y665" s="21"/>
    </row>
    <row r="666" customFormat="false" ht="15" hidden="false" customHeight="false" outlineLevel="0" collapsed="false">
      <c r="A666" s="17" t="n">
        <v>665</v>
      </c>
      <c r="B666" s="18" t="s">
        <v>2034</v>
      </c>
      <c r="C666" s="17" t="s">
        <v>1225</v>
      </c>
      <c r="D666" s="17" t="n">
        <v>301</v>
      </c>
      <c r="E666" s="17" t="str">
        <f aca="false">C666&amp;"말씀 #"&amp;TEXT(D666,"000")</f>
        <v>신약말씀 #301</v>
      </c>
      <c r="F666" s="17" t="s">
        <v>2035</v>
      </c>
      <c r="G666" s="18" t="s">
        <v>538</v>
      </c>
      <c r="H666" s="19" t="s">
        <v>2036</v>
      </c>
      <c r="I666" s="17" t="s">
        <v>504</v>
      </c>
      <c r="J666" s="17" t="s">
        <v>113</v>
      </c>
      <c r="K666" s="20"/>
      <c r="L666" s="17" t="s">
        <v>76</v>
      </c>
      <c r="M666" s="17" t="n">
        <f aca="false">LEN(K666)</f>
        <v>0</v>
      </c>
      <c r="N666" s="17" t="str">
        <f aca="false">IF(M666=0,"-",ROUND(3+M666/안내!$C$12,0))</f>
        <v>-</v>
      </c>
      <c r="O666" s="21" t="str">
        <f aca="false">IF(K666="","(본문 입력 후 자동) | 약 1:2",IF(LEN(K666)&gt;28,LEFT(K666,28)&amp;"…",K666)&amp;" | 약 1:2")</f>
        <v>(본문 입력 후 자동) | 약 1:2</v>
      </c>
      <c r="P666" s="21" t="str">
        <f aca="false">"#"&amp;SUBSTITUTE(안내!$C$5," ","")&amp;" #성경구절 #말씀 #야고보서 #연단"</f>
        <v>#오늘의말씀 #성경구절 #말씀 #야고보서 #연단</v>
      </c>
      <c r="Q666" s="21" t="s">
        <v>77</v>
      </c>
      <c r="R666" s="22" t="n">
        <f aca="false">안내!$C$6+INT((D666-1)/안내!$C$7)</f>
        <v>46538</v>
      </c>
      <c r="S666" s="17" t="str">
        <f aca="false">IF(MOD(D666-1,안내!$C$7)=0,안내!$C$9,안내!$C$11)</f>
        <v>12:30</v>
      </c>
      <c r="T666" s="17" t="str">
        <f aca="false">CHOOSE(WEEKDAY(R666,2),"월","화","수","목","금","토","일")</f>
        <v>월</v>
      </c>
      <c r="U666" s="17" t="s">
        <v>78</v>
      </c>
      <c r="V666" s="17" t="s">
        <v>78</v>
      </c>
      <c r="W666" s="23"/>
      <c r="X666" s="23"/>
      <c r="Y666" s="21"/>
    </row>
    <row r="667" customFormat="false" ht="15" hidden="false" customHeight="false" outlineLevel="0" collapsed="false">
      <c r="A667" s="17" t="n">
        <v>666</v>
      </c>
      <c r="B667" s="18" t="s">
        <v>2037</v>
      </c>
      <c r="C667" s="17" t="s">
        <v>1225</v>
      </c>
      <c r="D667" s="17" t="n">
        <v>302</v>
      </c>
      <c r="E667" s="17" t="str">
        <f aca="false">C667&amp;"말씀 #"&amp;TEXT(D667,"000")</f>
        <v>신약말씀 #302</v>
      </c>
      <c r="F667" s="17" t="s">
        <v>2035</v>
      </c>
      <c r="G667" s="18" t="s">
        <v>317</v>
      </c>
      <c r="H667" s="19" t="s">
        <v>2038</v>
      </c>
      <c r="I667" s="17" t="s">
        <v>403</v>
      </c>
      <c r="J667" s="17" t="s">
        <v>148</v>
      </c>
      <c r="K667" s="20"/>
      <c r="L667" s="17" t="s">
        <v>76</v>
      </c>
      <c r="M667" s="17" t="n">
        <f aca="false">LEN(K667)</f>
        <v>0</v>
      </c>
      <c r="N667" s="17" t="str">
        <f aca="false">IF(M667=0,"-",ROUND(3+M667/안내!$C$12,0))</f>
        <v>-</v>
      </c>
      <c r="O667" s="21" t="str">
        <f aca="false">IF(K667="","(본문 입력 후 자동) | 약 1:5",IF(LEN(K667)&gt;28,LEFT(K667,28)&amp;"…",K667)&amp;" | 약 1:5")</f>
        <v>(본문 입력 후 자동) | 약 1:5</v>
      </c>
      <c r="P667" s="21" t="str">
        <f aca="false">"#"&amp;SUBSTITUTE(안내!$C$5," ","")&amp;" #성경구절 #말씀 #야고보서 #지혜"</f>
        <v>#오늘의말씀 #성경구절 #말씀 #야고보서 #지혜</v>
      </c>
      <c r="Q667" s="21" t="s">
        <v>77</v>
      </c>
      <c r="R667" s="22" t="n">
        <f aca="false">안내!$C$6+INT((D667-1)/안내!$C$7)</f>
        <v>46538</v>
      </c>
      <c r="S667" s="17" t="str">
        <f aca="false">IF(MOD(D667-1,안내!$C$7)=0,안내!$C$9,안내!$C$11)</f>
        <v>21:30</v>
      </c>
      <c r="T667" s="17" t="str">
        <f aca="false">CHOOSE(WEEKDAY(R667,2),"월","화","수","목","금","토","일")</f>
        <v>월</v>
      </c>
      <c r="U667" s="17" t="s">
        <v>78</v>
      </c>
      <c r="V667" s="17" t="s">
        <v>78</v>
      </c>
      <c r="W667" s="23"/>
      <c r="X667" s="23"/>
      <c r="Y667" s="21"/>
    </row>
    <row r="668" customFormat="false" ht="15" hidden="false" customHeight="false" outlineLevel="0" collapsed="false">
      <c r="A668" s="17" t="n">
        <v>667</v>
      </c>
      <c r="B668" s="18" t="s">
        <v>2039</v>
      </c>
      <c r="C668" s="17" t="s">
        <v>1225</v>
      </c>
      <c r="D668" s="17" t="n">
        <v>303</v>
      </c>
      <c r="E668" s="17" t="str">
        <f aca="false">C668&amp;"말씀 #"&amp;TEXT(D668,"000")</f>
        <v>신약말씀 #303</v>
      </c>
      <c r="F668" s="17" t="s">
        <v>2035</v>
      </c>
      <c r="G668" s="18" t="s">
        <v>1459</v>
      </c>
      <c r="H668" s="19" t="s">
        <v>2040</v>
      </c>
      <c r="I668" s="17" t="s">
        <v>504</v>
      </c>
      <c r="J668" s="17" t="s">
        <v>113</v>
      </c>
      <c r="K668" s="20"/>
      <c r="L668" s="17" t="s">
        <v>76</v>
      </c>
      <c r="M668" s="17" t="n">
        <f aca="false">LEN(K668)</f>
        <v>0</v>
      </c>
      <c r="N668" s="17" t="str">
        <f aca="false">IF(M668=0,"-",ROUND(3+M668/안내!$C$12,0))</f>
        <v>-</v>
      </c>
      <c r="O668" s="21" t="str">
        <f aca="false">IF(K668="","(본문 입력 후 자동) | 약 1:12",IF(LEN(K668)&gt;28,LEFT(K668,28)&amp;"…",K668)&amp;" | 약 1:12")</f>
        <v>(본문 입력 후 자동) | 약 1:12</v>
      </c>
      <c r="P668" s="21" t="str">
        <f aca="false">"#"&amp;SUBSTITUTE(안내!$C$5," ","")&amp;" #성경구절 #말씀 #야고보서 #연단"</f>
        <v>#오늘의말씀 #성경구절 #말씀 #야고보서 #연단</v>
      </c>
      <c r="Q668" s="21" t="s">
        <v>77</v>
      </c>
      <c r="R668" s="22" t="n">
        <f aca="false">안내!$C$6+INT((D668-1)/안내!$C$7)</f>
        <v>46539</v>
      </c>
      <c r="S668" s="17" t="str">
        <f aca="false">IF(MOD(D668-1,안내!$C$7)=0,안내!$C$9,안내!$C$11)</f>
        <v>12:30</v>
      </c>
      <c r="T668" s="17" t="str">
        <f aca="false">CHOOSE(WEEKDAY(R668,2),"월","화","수","목","금","토","일")</f>
        <v>화</v>
      </c>
      <c r="U668" s="17" t="s">
        <v>78</v>
      </c>
      <c r="V668" s="17" t="s">
        <v>78</v>
      </c>
      <c r="W668" s="23"/>
      <c r="X668" s="23"/>
      <c r="Y668" s="21"/>
    </row>
    <row r="669" customFormat="false" ht="15" hidden="false" customHeight="false" outlineLevel="0" collapsed="false">
      <c r="A669" s="17" t="n">
        <v>668</v>
      </c>
      <c r="B669" s="18" t="s">
        <v>2041</v>
      </c>
      <c r="C669" s="17" t="s">
        <v>1225</v>
      </c>
      <c r="D669" s="17" t="n">
        <v>304</v>
      </c>
      <c r="E669" s="17" t="str">
        <f aca="false">C669&amp;"말씀 #"&amp;TEXT(D669,"000")</f>
        <v>신약말씀 #304</v>
      </c>
      <c r="F669" s="17" t="s">
        <v>2035</v>
      </c>
      <c r="G669" s="18" t="s">
        <v>1620</v>
      </c>
      <c r="H669" s="19" t="s">
        <v>2042</v>
      </c>
      <c r="I669" s="17" t="s">
        <v>98</v>
      </c>
      <c r="J669" s="17" t="s">
        <v>99</v>
      </c>
      <c r="K669" s="20"/>
      <c r="L669" s="17" t="s">
        <v>76</v>
      </c>
      <c r="M669" s="17" t="n">
        <f aca="false">LEN(K669)</f>
        <v>0</v>
      </c>
      <c r="N669" s="17" t="str">
        <f aca="false">IF(M669=0,"-",ROUND(3+M669/안내!$C$12,0))</f>
        <v>-</v>
      </c>
      <c r="O669" s="21" t="str">
        <f aca="false">IF(K669="","(본문 입력 후 자동) | 약 1:17",IF(LEN(K669)&gt;28,LEFT(K669,28)&amp;"…",K669)&amp;" | 약 1:17")</f>
        <v>(본문 입력 후 자동) | 약 1:17</v>
      </c>
      <c r="P669" s="21" t="str">
        <f aca="false">"#"&amp;SUBSTITUTE(안내!$C$5," ","")&amp;" #성경구절 #말씀 #야고보서 #은혜"</f>
        <v>#오늘의말씀 #성경구절 #말씀 #야고보서 #은혜</v>
      </c>
      <c r="Q669" s="21" t="s">
        <v>77</v>
      </c>
      <c r="R669" s="22" t="n">
        <f aca="false">안내!$C$6+INT((D669-1)/안내!$C$7)</f>
        <v>46539</v>
      </c>
      <c r="S669" s="17" t="str">
        <f aca="false">IF(MOD(D669-1,안내!$C$7)=0,안내!$C$9,안내!$C$11)</f>
        <v>21:30</v>
      </c>
      <c r="T669" s="17" t="str">
        <f aca="false">CHOOSE(WEEKDAY(R669,2),"월","화","수","목","금","토","일")</f>
        <v>화</v>
      </c>
      <c r="U669" s="17" t="s">
        <v>78</v>
      </c>
      <c r="V669" s="17" t="s">
        <v>78</v>
      </c>
      <c r="W669" s="23"/>
      <c r="X669" s="23"/>
      <c r="Y669" s="21"/>
    </row>
    <row r="670" customFormat="false" ht="15" hidden="false" customHeight="false" outlineLevel="0" collapsed="false">
      <c r="A670" s="17" t="n">
        <v>669</v>
      </c>
      <c r="B670" s="18" t="s">
        <v>2043</v>
      </c>
      <c r="C670" s="17" t="s">
        <v>1225</v>
      </c>
      <c r="D670" s="17" t="n">
        <v>305</v>
      </c>
      <c r="E670" s="17" t="str">
        <f aca="false">C670&amp;"말씀 #"&amp;TEXT(D670,"000")</f>
        <v>신약말씀 #305</v>
      </c>
      <c r="F670" s="17" t="s">
        <v>2035</v>
      </c>
      <c r="G670" s="18" t="s">
        <v>2044</v>
      </c>
      <c r="H670" s="19" t="s">
        <v>2045</v>
      </c>
      <c r="I670" s="17" t="s">
        <v>787</v>
      </c>
      <c r="J670" s="17" t="s">
        <v>94</v>
      </c>
      <c r="K670" s="20"/>
      <c r="L670" s="17" t="s">
        <v>76</v>
      </c>
      <c r="M670" s="17" t="n">
        <f aca="false">LEN(K670)</f>
        <v>0</v>
      </c>
      <c r="N670" s="17" t="str">
        <f aca="false">IF(M670=0,"-",ROUND(3+M670/안내!$C$12,0))</f>
        <v>-</v>
      </c>
      <c r="O670" s="21" t="str">
        <f aca="false">IF(K670="","(본문 입력 후 자동) | 약 1:19",IF(LEN(K670)&gt;28,LEFT(K670,28)&amp;"…",K670)&amp;" | 약 1:19")</f>
        <v>(본문 입력 후 자동) | 약 1:19</v>
      </c>
      <c r="P670" s="21" t="str">
        <f aca="false">"#"&amp;SUBSTITUTE(안내!$C$5," ","")&amp;" #성경구절 #말씀 #야고보서 #말"</f>
        <v>#오늘의말씀 #성경구절 #말씀 #야고보서 #말</v>
      </c>
      <c r="Q670" s="21" t="s">
        <v>77</v>
      </c>
      <c r="R670" s="22" t="n">
        <f aca="false">안내!$C$6+INT((D670-1)/안내!$C$7)</f>
        <v>46540</v>
      </c>
      <c r="S670" s="17" t="str">
        <f aca="false">IF(MOD(D670-1,안내!$C$7)=0,안내!$C$9,안내!$C$11)</f>
        <v>12:30</v>
      </c>
      <c r="T670" s="17" t="str">
        <f aca="false">CHOOSE(WEEKDAY(R670,2),"월","화","수","목","금","토","일")</f>
        <v>수</v>
      </c>
      <c r="U670" s="17" t="s">
        <v>78</v>
      </c>
      <c r="V670" s="17" t="s">
        <v>78</v>
      </c>
      <c r="W670" s="23"/>
      <c r="X670" s="23"/>
      <c r="Y670" s="21"/>
    </row>
    <row r="671" customFormat="false" ht="15" hidden="false" customHeight="false" outlineLevel="0" collapsed="false">
      <c r="A671" s="17" t="n">
        <v>670</v>
      </c>
      <c r="B671" s="18" t="s">
        <v>2046</v>
      </c>
      <c r="C671" s="17" t="s">
        <v>1225</v>
      </c>
      <c r="D671" s="17" t="n">
        <v>306</v>
      </c>
      <c r="E671" s="17" t="str">
        <f aca="false">C671&amp;"말씀 #"&amp;TEXT(D671,"000")</f>
        <v>신약말씀 #306</v>
      </c>
      <c r="F671" s="17" t="s">
        <v>2035</v>
      </c>
      <c r="G671" s="18" t="s">
        <v>2047</v>
      </c>
      <c r="H671" s="19" t="s">
        <v>2048</v>
      </c>
      <c r="I671" s="17" t="s">
        <v>121</v>
      </c>
      <c r="J671" s="17" t="s">
        <v>122</v>
      </c>
      <c r="K671" s="20"/>
      <c r="L671" s="17" t="s">
        <v>76</v>
      </c>
      <c r="M671" s="17" t="n">
        <f aca="false">LEN(K671)</f>
        <v>0</v>
      </c>
      <c r="N671" s="17" t="str">
        <f aca="false">IF(M671=0,"-",ROUND(3+M671/안내!$C$12,0))</f>
        <v>-</v>
      </c>
      <c r="O671" s="21" t="str">
        <f aca="false">IF(K671="","(본문 입력 후 자동) | 약 1:22",IF(LEN(K671)&gt;28,LEFT(K671,28)&amp;"…",K671)&amp;" | 약 1:22")</f>
        <v>(본문 입력 후 자동) | 약 1:22</v>
      </c>
      <c r="P671" s="21" t="str">
        <f aca="false">"#"&amp;SUBSTITUTE(안내!$C$5," ","")&amp;" #성경구절 #말씀 #야고보서 #순종"</f>
        <v>#오늘의말씀 #성경구절 #말씀 #야고보서 #순종</v>
      </c>
      <c r="Q671" s="21" t="s">
        <v>77</v>
      </c>
      <c r="R671" s="22" t="n">
        <f aca="false">안내!$C$6+INT((D671-1)/안내!$C$7)</f>
        <v>46540</v>
      </c>
      <c r="S671" s="17" t="str">
        <f aca="false">IF(MOD(D671-1,안내!$C$7)=0,안내!$C$9,안내!$C$11)</f>
        <v>21:30</v>
      </c>
      <c r="T671" s="17" t="str">
        <f aca="false">CHOOSE(WEEKDAY(R671,2),"월","화","수","목","금","토","일")</f>
        <v>수</v>
      </c>
      <c r="U671" s="17" t="s">
        <v>78</v>
      </c>
      <c r="V671" s="17" t="s">
        <v>78</v>
      </c>
      <c r="W671" s="23"/>
      <c r="X671" s="23"/>
      <c r="Y671" s="21"/>
    </row>
    <row r="672" customFormat="false" ht="15" hidden="false" customHeight="false" outlineLevel="0" collapsed="false">
      <c r="A672" s="17" t="n">
        <v>671</v>
      </c>
      <c r="B672" s="18" t="s">
        <v>2049</v>
      </c>
      <c r="C672" s="17" t="s">
        <v>1225</v>
      </c>
      <c r="D672" s="17" t="n">
        <v>307</v>
      </c>
      <c r="E672" s="17" t="str">
        <f aca="false">C672&amp;"말씀 #"&amp;TEXT(D672,"000")</f>
        <v>신약말씀 #307</v>
      </c>
      <c r="F672" s="17" t="s">
        <v>2035</v>
      </c>
      <c r="G672" s="18" t="s">
        <v>1339</v>
      </c>
      <c r="H672" s="19" t="s">
        <v>2050</v>
      </c>
      <c r="I672" s="17" t="s">
        <v>133</v>
      </c>
      <c r="J672" s="17" t="s">
        <v>113</v>
      </c>
      <c r="K672" s="20"/>
      <c r="L672" s="17" t="s">
        <v>76</v>
      </c>
      <c r="M672" s="17" t="n">
        <f aca="false">LEN(K672)</f>
        <v>0</v>
      </c>
      <c r="N672" s="17" t="str">
        <f aca="false">IF(M672=0,"-",ROUND(3+M672/안내!$C$12,0))</f>
        <v>-</v>
      </c>
      <c r="O672" s="21" t="str">
        <f aca="false">IF(K672="","(본문 입력 후 자동) | 약 2:17",IF(LEN(K672)&gt;28,LEFT(K672,28)&amp;"…",K672)&amp;" | 약 2:17")</f>
        <v>(본문 입력 후 자동) | 약 2:17</v>
      </c>
      <c r="P672" s="21" t="str">
        <f aca="false">"#"&amp;SUBSTITUTE(안내!$C$5," ","")&amp;" #성경구절 #말씀 #야고보서 #믿음"</f>
        <v>#오늘의말씀 #성경구절 #말씀 #야고보서 #믿음</v>
      </c>
      <c r="Q672" s="21" t="s">
        <v>77</v>
      </c>
      <c r="R672" s="22" t="n">
        <f aca="false">안내!$C$6+INT((D672-1)/안내!$C$7)</f>
        <v>46541</v>
      </c>
      <c r="S672" s="17" t="str">
        <f aca="false">IF(MOD(D672-1,안내!$C$7)=0,안내!$C$9,안내!$C$11)</f>
        <v>12:30</v>
      </c>
      <c r="T672" s="17" t="str">
        <f aca="false">CHOOSE(WEEKDAY(R672,2),"월","화","수","목","금","토","일")</f>
        <v>목</v>
      </c>
      <c r="U672" s="17" t="s">
        <v>78</v>
      </c>
      <c r="V672" s="17" t="s">
        <v>78</v>
      </c>
      <c r="W672" s="23"/>
      <c r="X672" s="23"/>
      <c r="Y672" s="21"/>
    </row>
    <row r="673" customFormat="false" ht="15" hidden="false" customHeight="false" outlineLevel="0" collapsed="false">
      <c r="A673" s="17" t="n">
        <v>672</v>
      </c>
      <c r="B673" s="18" t="s">
        <v>2051</v>
      </c>
      <c r="C673" s="17" t="s">
        <v>1225</v>
      </c>
      <c r="D673" s="17" t="n">
        <v>308</v>
      </c>
      <c r="E673" s="17" t="str">
        <f aca="false">C673&amp;"말씀 #"&amp;TEXT(D673,"000")</f>
        <v>신약말씀 #308</v>
      </c>
      <c r="F673" s="17" t="s">
        <v>2035</v>
      </c>
      <c r="G673" s="18" t="s">
        <v>1107</v>
      </c>
      <c r="H673" s="19" t="s">
        <v>2052</v>
      </c>
      <c r="I673" s="17" t="s">
        <v>403</v>
      </c>
      <c r="J673" s="17" t="s">
        <v>148</v>
      </c>
      <c r="K673" s="20"/>
      <c r="L673" s="17" t="s">
        <v>76</v>
      </c>
      <c r="M673" s="17" t="n">
        <f aca="false">LEN(K673)</f>
        <v>0</v>
      </c>
      <c r="N673" s="17" t="str">
        <f aca="false">IF(M673=0,"-",ROUND(3+M673/안내!$C$12,0))</f>
        <v>-</v>
      </c>
      <c r="O673" s="21" t="str">
        <f aca="false">IF(K673="","(본문 입력 후 자동) | 약 3:17",IF(LEN(K673)&gt;28,LEFT(K673,28)&amp;"…",K673)&amp;" | 약 3:17")</f>
        <v>(본문 입력 후 자동) | 약 3:17</v>
      </c>
      <c r="P673" s="21" t="str">
        <f aca="false">"#"&amp;SUBSTITUTE(안내!$C$5," ","")&amp;" #성경구절 #말씀 #야고보서 #지혜"</f>
        <v>#오늘의말씀 #성경구절 #말씀 #야고보서 #지혜</v>
      </c>
      <c r="Q673" s="21" t="s">
        <v>77</v>
      </c>
      <c r="R673" s="22" t="n">
        <f aca="false">안내!$C$6+INT((D673-1)/안내!$C$7)</f>
        <v>46541</v>
      </c>
      <c r="S673" s="17" t="str">
        <f aca="false">IF(MOD(D673-1,안내!$C$7)=0,안내!$C$9,안내!$C$11)</f>
        <v>21:30</v>
      </c>
      <c r="T673" s="17" t="str">
        <f aca="false">CHOOSE(WEEKDAY(R673,2),"월","화","수","목","금","토","일")</f>
        <v>목</v>
      </c>
      <c r="U673" s="17" t="s">
        <v>78</v>
      </c>
      <c r="V673" s="17" t="s">
        <v>78</v>
      </c>
      <c r="W673" s="23"/>
      <c r="X673" s="23"/>
      <c r="Y673" s="21"/>
    </row>
    <row r="674" customFormat="false" ht="15" hidden="false" customHeight="false" outlineLevel="0" collapsed="false">
      <c r="A674" s="17" t="n">
        <v>673</v>
      </c>
      <c r="B674" s="18" t="s">
        <v>2053</v>
      </c>
      <c r="C674" s="17" t="s">
        <v>1225</v>
      </c>
      <c r="D674" s="17" t="n">
        <v>309</v>
      </c>
      <c r="E674" s="17" t="str">
        <f aca="false">C674&amp;"말씀 #"&amp;TEXT(D674,"000")</f>
        <v>신약말씀 #309</v>
      </c>
      <c r="F674" s="17" t="s">
        <v>2035</v>
      </c>
      <c r="G674" s="18" t="s">
        <v>1763</v>
      </c>
      <c r="H674" s="19" t="s">
        <v>2054</v>
      </c>
      <c r="I674" s="17" t="s">
        <v>207</v>
      </c>
      <c r="J674" s="17" t="s">
        <v>113</v>
      </c>
      <c r="K674" s="20"/>
      <c r="L674" s="17" t="s">
        <v>76</v>
      </c>
      <c r="M674" s="17" t="n">
        <f aca="false">LEN(K674)</f>
        <v>0</v>
      </c>
      <c r="N674" s="17" t="str">
        <f aca="false">IF(M674=0,"-",ROUND(3+M674/안내!$C$12,0))</f>
        <v>-</v>
      </c>
      <c r="O674" s="21" t="str">
        <f aca="false">IF(K674="","(본문 입력 후 자동) | 약 4:7",IF(LEN(K674)&gt;28,LEFT(K674,28)&amp;"…",K674)&amp;" | 약 4:7")</f>
        <v>(본문 입력 후 자동) | 약 4:7</v>
      </c>
      <c r="P674" s="21" t="str">
        <f aca="false">"#"&amp;SUBSTITUTE(안내!$C$5," ","")&amp;" #성경구절 #말씀 #야고보서 #승리"</f>
        <v>#오늘의말씀 #성경구절 #말씀 #야고보서 #승리</v>
      </c>
      <c r="Q674" s="21" t="s">
        <v>77</v>
      </c>
      <c r="R674" s="22" t="n">
        <f aca="false">안내!$C$6+INT((D674-1)/안내!$C$7)</f>
        <v>46542</v>
      </c>
      <c r="S674" s="17" t="str">
        <f aca="false">IF(MOD(D674-1,안내!$C$7)=0,안내!$C$9,안내!$C$11)</f>
        <v>12:30</v>
      </c>
      <c r="T674" s="17" t="str">
        <f aca="false">CHOOSE(WEEKDAY(R674,2),"월","화","수","목","금","토","일")</f>
        <v>금</v>
      </c>
      <c r="U674" s="17" t="s">
        <v>78</v>
      </c>
      <c r="V674" s="17" t="s">
        <v>78</v>
      </c>
      <c r="W674" s="23"/>
      <c r="X674" s="23"/>
      <c r="Y674" s="21"/>
    </row>
    <row r="675" customFormat="false" ht="15" hidden="false" customHeight="false" outlineLevel="0" collapsed="false">
      <c r="A675" s="17" t="n">
        <v>674</v>
      </c>
      <c r="B675" s="18" t="s">
        <v>2055</v>
      </c>
      <c r="C675" s="17" t="s">
        <v>1225</v>
      </c>
      <c r="D675" s="17" t="n">
        <v>310</v>
      </c>
      <c r="E675" s="17" t="str">
        <f aca="false">C675&amp;"말씀 #"&amp;TEXT(D675,"000")</f>
        <v>신약말씀 #310</v>
      </c>
      <c r="F675" s="17" t="s">
        <v>2035</v>
      </c>
      <c r="G675" s="18" t="s">
        <v>544</v>
      </c>
      <c r="H675" s="19" t="s">
        <v>2056</v>
      </c>
      <c r="I675" s="17" t="s">
        <v>593</v>
      </c>
      <c r="J675" s="17" t="s">
        <v>75</v>
      </c>
      <c r="K675" s="20"/>
      <c r="L675" s="17" t="s">
        <v>76</v>
      </c>
      <c r="M675" s="17" t="n">
        <f aca="false">LEN(K675)</f>
        <v>0</v>
      </c>
      <c r="N675" s="17" t="str">
        <f aca="false">IF(M675=0,"-",ROUND(3+M675/안내!$C$12,0))</f>
        <v>-</v>
      </c>
      <c r="O675" s="21" t="str">
        <f aca="false">IF(K675="","(본문 입력 후 자동) | 약 4:8",IF(LEN(K675)&gt;28,LEFT(K675,28)&amp;"…",K675)&amp;" | 약 4:8")</f>
        <v>(본문 입력 후 자동) | 약 4:8</v>
      </c>
      <c r="P675" s="21" t="str">
        <f aca="false">"#"&amp;SUBSTITUTE(안내!$C$5," ","")&amp;" #성경구절 #말씀 #야고보서 #예배"</f>
        <v>#오늘의말씀 #성경구절 #말씀 #야고보서 #예배</v>
      </c>
      <c r="Q675" s="21" t="s">
        <v>77</v>
      </c>
      <c r="R675" s="22" t="n">
        <f aca="false">안내!$C$6+INT((D675-1)/안내!$C$7)</f>
        <v>46542</v>
      </c>
      <c r="S675" s="17" t="str">
        <f aca="false">IF(MOD(D675-1,안내!$C$7)=0,안내!$C$9,안내!$C$11)</f>
        <v>21:30</v>
      </c>
      <c r="T675" s="17" t="str">
        <f aca="false">CHOOSE(WEEKDAY(R675,2),"월","화","수","목","금","토","일")</f>
        <v>금</v>
      </c>
      <c r="U675" s="17" t="s">
        <v>78</v>
      </c>
      <c r="V675" s="17" t="s">
        <v>78</v>
      </c>
      <c r="W675" s="23"/>
      <c r="X675" s="23"/>
      <c r="Y675" s="21"/>
    </row>
    <row r="676" customFormat="false" ht="15" hidden="false" customHeight="false" outlineLevel="0" collapsed="false">
      <c r="A676" s="17" t="n">
        <v>675</v>
      </c>
      <c r="B676" s="18" t="s">
        <v>2057</v>
      </c>
      <c r="C676" s="17" t="s">
        <v>1225</v>
      </c>
      <c r="D676" s="17" t="n">
        <v>311</v>
      </c>
      <c r="E676" s="17" t="str">
        <f aca="false">C676&amp;"말씀 #"&amp;TEXT(D676,"000")</f>
        <v>신약말씀 #311</v>
      </c>
      <c r="F676" s="17" t="s">
        <v>2035</v>
      </c>
      <c r="G676" s="18" t="s">
        <v>355</v>
      </c>
      <c r="H676" s="19" t="s">
        <v>2058</v>
      </c>
      <c r="I676" s="17" t="s">
        <v>403</v>
      </c>
      <c r="J676" s="17" t="s">
        <v>148</v>
      </c>
      <c r="K676" s="20"/>
      <c r="L676" s="17" t="s">
        <v>76</v>
      </c>
      <c r="M676" s="17" t="n">
        <f aca="false">LEN(K676)</f>
        <v>0</v>
      </c>
      <c r="N676" s="17" t="str">
        <f aca="false">IF(M676=0,"-",ROUND(3+M676/안내!$C$12,0))</f>
        <v>-</v>
      </c>
      <c r="O676" s="21" t="str">
        <f aca="false">IF(K676="","(본문 입력 후 자동) | 약 4:14",IF(LEN(K676)&gt;28,LEFT(K676,28)&amp;"…",K676)&amp;" | 약 4:14")</f>
        <v>(본문 입력 후 자동) | 약 4:14</v>
      </c>
      <c r="P676" s="21" t="str">
        <f aca="false">"#"&amp;SUBSTITUTE(안내!$C$5," ","")&amp;" #성경구절 #말씀 #야고보서 #지혜"</f>
        <v>#오늘의말씀 #성경구절 #말씀 #야고보서 #지혜</v>
      </c>
      <c r="Q676" s="21" t="s">
        <v>77</v>
      </c>
      <c r="R676" s="22" t="n">
        <f aca="false">안내!$C$6+INT((D676-1)/안내!$C$7)</f>
        <v>46543</v>
      </c>
      <c r="S676" s="17" t="str">
        <f aca="false">IF(MOD(D676-1,안내!$C$7)=0,안내!$C$9,안내!$C$11)</f>
        <v>12:30</v>
      </c>
      <c r="T676" s="17" t="str">
        <f aca="false">CHOOSE(WEEKDAY(R676,2),"월","화","수","목","금","토","일")</f>
        <v>토</v>
      </c>
      <c r="U676" s="17" t="s">
        <v>78</v>
      </c>
      <c r="V676" s="17" t="s">
        <v>78</v>
      </c>
      <c r="W676" s="23"/>
      <c r="X676" s="23"/>
      <c r="Y676" s="21"/>
    </row>
    <row r="677" customFormat="false" ht="15" hidden="false" customHeight="false" outlineLevel="0" collapsed="false">
      <c r="A677" s="17" t="n">
        <v>676</v>
      </c>
      <c r="B677" s="18" t="s">
        <v>2059</v>
      </c>
      <c r="C677" s="17" t="s">
        <v>1225</v>
      </c>
      <c r="D677" s="17" t="n">
        <v>312</v>
      </c>
      <c r="E677" s="17" t="str">
        <f aca="false">C677&amp;"말씀 #"&amp;TEXT(D677,"000")</f>
        <v>신약말씀 #312</v>
      </c>
      <c r="F677" s="17" t="s">
        <v>2035</v>
      </c>
      <c r="G677" s="18" t="s">
        <v>1260</v>
      </c>
      <c r="H677" s="19" t="s">
        <v>2060</v>
      </c>
      <c r="I677" s="17" t="s">
        <v>160</v>
      </c>
      <c r="J677" s="17" t="s">
        <v>104</v>
      </c>
      <c r="K677" s="20"/>
      <c r="L677" s="17" t="s">
        <v>76</v>
      </c>
      <c r="M677" s="17" t="n">
        <f aca="false">LEN(K677)</f>
        <v>0</v>
      </c>
      <c r="N677" s="17" t="str">
        <f aca="false">IF(M677=0,"-",ROUND(3+M677/안내!$C$12,0))</f>
        <v>-</v>
      </c>
      <c r="O677" s="21" t="str">
        <f aca="false">IF(K677="","(본문 입력 후 자동) | 약 5:16",IF(LEN(K677)&gt;28,LEFT(K677,28)&amp;"…",K677)&amp;" | 약 5:16")</f>
        <v>(본문 입력 후 자동) | 약 5:16</v>
      </c>
      <c r="P677" s="21" t="str">
        <f aca="false">"#"&amp;SUBSTITUTE(안내!$C$5," ","")&amp;" #성경구절 #말씀 #야고보서 #기도"</f>
        <v>#오늘의말씀 #성경구절 #말씀 #야고보서 #기도</v>
      </c>
      <c r="Q677" s="21" t="s">
        <v>77</v>
      </c>
      <c r="R677" s="22" t="n">
        <f aca="false">안내!$C$6+INT((D677-1)/안내!$C$7)</f>
        <v>46543</v>
      </c>
      <c r="S677" s="17" t="str">
        <f aca="false">IF(MOD(D677-1,안내!$C$7)=0,안내!$C$9,안내!$C$11)</f>
        <v>21:30</v>
      </c>
      <c r="T677" s="17" t="str">
        <f aca="false">CHOOSE(WEEKDAY(R677,2),"월","화","수","목","금","토","일")</f>
        <v>토</v>
      </c>
      <c r="U677" s="17" t="s">
        <v>78</v>
      </c>
      <c r="V677" s="17" t="s">
        <v>78</v>
      </c>
      <c r="W677" s="23"/>
      <c r="X677" s="23"/>
      <c r="Y677" s="21"/>
    </row>
    <row r="678" customFormat="false" ht="25.35" hidden="false" customHeight="false" outlineLevel="0" collapsed="false">
      <c r="A678" s="17" t="n">
        <v>677</v>
      </c>
      <c r="B678" s="18" t="s">
        <v>2061</v>
      </c>
      <c r="C678" s="17" t="s">
        <v>1225</v>
      </c>
      <c r="D678" s="17" t="n">
        <v>313</v>
      </c>
      <c r="E678" s="17" t="str">
        <f aca="false">C678&amp;"말씀 #"&amp;TEXT(D678,"000")</f>
        <v>신약말씀 #313</v>
      </c>
      <c r="F678" s="17" t="s">
        <v>2062</v>
      </c>
      <c r="G678" s="18" t="s">
        <v>1152</v>
      </c>
      <c r="H678" s="19" t="s">
        <v>2063</v>
      </c>
      <c r="I678" s="17" t="s">
        <v>511</v>
      </c>
      <c r="J678" s="17" t="s">
        <v>89</v>
      </c>
      <c r="K678" s="20"/>
      <c r="L678" s="17" t="s">
        <v>76</v>
      </c>
      <c r="M678" s="17" t="n">
        <f aca="false">LEN(K678)</f>
        <v>0</v>
      </c>
      <c r="N678" s="17" t="str">
        <f aca="false">IF(M678=0,"-",ROUND(3+M678/안내!$C$12,0))</f>
        <v>-</v>
      </c>
      <c r="O678" s="21" t="str">
        <f aca="false">IF(K678="","(본문 입력 후 자동) | 벧전 1:3",IF(LEN(K678)&gt;28,LEFT(K678,28)&amp;"…",K678)&amp;" | 벧전 1:3")</f>
        <v>(본문 입력 후 자동) | 벧전 1:3</v>
      </c>
      <c r="P678" s="21" t="str">
        <f aca="false">"#"&amp;SUBSTITUTE(안내!$C$5," ","")&amp;" #성경구절 #말씀 #베드로전서 #소망"</f>
        <v>#오늘의말씀 #성경구절 #말씀 #베드로전서 #소망</v>
      </c>
      <c r="Q678" s="21" t="s">
        <v>77</v>
      </c>
      <c r="R678" s="22" t="n">
        <f aca="false">안내!$C$6+INT((D678-1)/안내!$C$7)</f>
        <v>46544</v>
      </c>
      <c r="S678" s="17" t="str">
        <f aca="false">IF(MOD(D678-1,안내!$C$7)=0,안내!$C$9,안내!$C$11)</f>
        <v>12:30</v>
      </c>
      <c r="T678" s="17" t="str">
        <f aca="false">CHOOSE(WEEKDAY(R678,2),"월","화","수","목","금","토","일")</f>
        <v>일</v>
      </c>
      <c r="U678" s="17" t="s">
        <v>78</v>
      </c>
      <c r="V678" s="17" t="s">
        <v>78</v>
      </c>
      <c r="W678" s="23"/>
      <c r="X678" s="23"/>
      <c r="Y678" s="21"/>
    </row>
    <row r="679" customFormat="false" ht="26.85" hidden="false" customHeight="false" outlineLevel="0" collapsed="false">
      <c r="A679" s="17" t="n">
        <v>678</v>
      </c>
      <c r="B679" s="18" t="s">
        <v>2064</v>
      </c>
      <c r="C679" s="17" t="s">
        <v>1225</v>
      </c>
      <c r="D679" s="17" t="n">
        <v>314</v>
      </c>
      <c r="E679" s="17" t="str">
        <f aca="false">C679&amp;"말씀 #"&amp;TEXT(D679,"000")</f>
        <v>신약말씀 #314</v>
      </c>
      <c r="F679" s="17" t="s">
        <v>2062</v>
      </c>
      <c r="G679" s="18" t="s">
        <v>348</v>
      </c>
      <c r="H679" s="19" t="s">
        <v>2065</v>
      </c>
      <c r="I679" s="17" t="s">
        <v>172</v>
      </c>
      <c r="J679" s="17" t="s">
        <v>75</v>
      </c>
      <c r="K679" s="20"/>
      <c r="L679" s="17" t="s">
        <v>76</v>
      </c>
      <c r="M679" s="17" t="n">
        <f aca="false">LEN(K679)</f>
        <v>0</v>
      </c>
      <c r="N679" s="17" t="str">
        <f aca="false">IF(M679=0,"-",ROUND(3+M679/안내!$C$12,0))</f>
        <v>-</v>
      </c>
      <c r="O679" s="21" t="str">
        <f aca="false">IF(K679="","(본문 입력 후 자동) | 벧전 1:16",IF(LEN(K679)&gt;28,LEFT(K679,28)&amp;"…",K679)&amp;" | 벧전 1:16")</f>
        <v>(본문 입력 후 자동) | 벧전 1:16</v>
      </c>
      <c r="P679" s="21" t="str">
        <f aca="false">"#"&amp;SUBSTITUTE(안내!$C$5," ","")&amp;" #성경구절 #말씀 #베드로전서 #거룩"</f>
        <v>#오늘의말씀 #성경구절 #말씀 #베드로전서 #거룩</v>
      </c>
      <c r="Q679" s="21" t="s">
        <v>77</v>
      </c>
      <c r="R679" s="22" t="n">
        <f aca="false">안내!$C$6+INT((D679-1)/안내!$C$7)</f>
        <v>46544</v>
      </c>
      <c r="S679" s="17" t="str">
        <f aca="false">IF(MOD(D679-1,안내!$C$7)=0,안내!$C$9,안내!$C$11)</f>
        <v>21:30</v>
      </c>
      <c r="T679" s="17" t="str">
        <f aca="false">CHOOSE(WEEKDAY(R679,2),"월","화","수","목","금","토","일")</f>
        <v>일</v>
      </c>
      <c r="U679" s="17" t="s">
        <v>78</v>
      </c>
      <c r="V679" s="17" t="s">
        <v>78</v>
      </c>
      <c r="W679" s="23"/>
      <c r="X679" s="23"/>
      <c r="Y679" s="21"/>
    </row>
    <row r="680" customFormat="false" ht="26.85" hidden="false" customHeight="false" outlineLevel="0" collapsed="false">
      <c r="A680" s="17" t="n">
        <v>679</v>
      </c>
      <c r="B680" s="18" t="s">
        <v>2066</v>
      </c>
      <c r="C680" s="17" t="s">
        <v>1225</v>
      </c>
      <c r="D680" s="17" t="n">
        <v>315</v>
      </c>
      <c r="E680" s="17" t="str">
        <f aca="false">C680&amp;"말씀 #"&amp;TEXT(D680,"000")</f>
        <v>신약말씀 #315</v>
      </c>
      <c r="F680" s="17" t="s">
        <v>2062</v>
      </c>
      <c r="G680" s="18" t="s">
        <v>2067</v>
      </c>
      <c r="H680" s="19" t="s">
        <v>2068</v>
      </c>
      <c r="I680" s="17" t="s">
        <v>284</v>
      </c>
      <c r="J680" s="17" t="s">
        <v>148</v>
      </c>
      <c r="K680" s="20"/>
      <c r="L680" s="17" t="s">
        <v>76</v>
      </c>
      <c r="M680" s="17" t="n">
        <f aca="false">LEN(K680)</f>
        <v>0</v>
      </c>
      <c r="N680" s="17" t="str">
        <f aca="false">IF(M680=0,"-",ROUND(3+M680/안내!$C$12,0))</f>
        <v>-</v>
      </c>
      <c r="O680" s="21" t="str">
        <f aca="false">IF(K680="","(본문 입력 후 자동) | 벧전 1:24",IF(LEN(K680)&gt;28,LEFT(K680,28)&amp;"…",K680)&amp;" | 벧전 1:24")</f>
        <v>(본문 입력 후 자동) | 벧전 1:24</v>
      </c>
      <c r="P680" s="21" t="str">
        <f aca="false">"#"&amp;SUBSTITUTE(안내!$C$5," ","")&amp;" #성경구절 #말씀 #베드로전서 #말씀"</f>
        <v>#오늘의말씀 #성경구절 #말씀 #베드로전서 #말씀</v>
      </c>
      <c r="Q680" s="21" t="s">
        <v>77</v>
      </c>
      <c r="R680" s="22" t="n">
        <f aca="false">안내!$C$6+INT((D680-1)/안내!$C$7)</f>
        <v>46545</v>
      </c>
      <c r="S680" s="17" t="str">
        <f aca="false">IF(MOD(D680-1,안내!$C$7)=0,안내!$C$9,안내!$C$11)</f>
        <v>12:30</v>
      </c>
      <c r="T680" s="17" t="str">
        <f aca="false">CHOOSE(WEEKDAY(R680,2),"월","화","수","목","금","토","일")</f>
        <v>월</v>
      </c>
      <c r="U680" s="17" t="s">
        <v>78</v>
      </c>
      <c r="V680" s="17" t="s">
        <v>78</v>
      </c>
      <c r="W680" s="23"/>
      <c r="X680" s="23"/>
      <c r="Y680" s="21"/>
    </row>
    <row r="681" customFormat="false" ht="26.85" hidden="false" customHeight="false" outlineLevel="0" collapsed="false">
      <c r="A681" s="17" t="n">
        <v>680</v>
      </c>
      <c r="B681" s="18" t="s">
        <v>2069</v>
      </c>
      <c r="C681" s="17" t="s">
        <v>1225</v>
      </c>
      <c r="D681" s="17" t="n">
        <v>316</v>
      </c>
      <c r="E681" s="17" t="str">
        <f aca="false">C681&amp;"말씀 #"&amp;TEXT(D681,"000")</f>
        <v>신약말씀 #316</v>
      </c>
      <c r="F681" s="17" t="s">
        <v>2062</v>
      </c>
      <c r="G681" s="18" t="s">
        <v>1158</v>
      </c>
      <c r="H681" s="19" t="s">
        <v>2070</v>
      </c>
      <c r="I681" s="17" t="s">
        <v>1011</v>
      </c>
      <c r="J681" s="17" t="s">
        <v>122</v>
      </c>
      <c r="K681" s="20"/>
      <c r="L681" s="17" t="s">
        <v>76</v>
      </c>
      <c r="M681" s="17" t="n">
        <f aca="false">LEN(K681)</f>
        <v>0</v>
      </c>
      <c r="N681" s="17" t="str">
        <f aca="false">IF(M681=0,"-",ROUND(3+M681/안내!$C$12,0))</f>
        <v>-</v>
      </c>
      <c r="O681" s="21" t="str">
        <f aca="false">IF(K681="","(본문 입력 후 자동) | 벧전 2:9",IF(LEN(K681)&gt;28,LEFT(K681,28)&amp;"…",K681)&amp;" | 벧전 2:9")</f>
        <v>(본문 입력 후 자동) | 벧전 2:9</v>
      </c>
      <c r="P681" s="21" t="str">
        <f aca="false">"#"&amp;SUBSTITUTE(안내!$C$5," ","")&amp;" #성경구절 #말씀 #베드로전서 #부르심"</f>
        <v>#오늘의말씀 #성경구절 #말씀 #베드로전서 #부르심</v>
      </c>
      <c r="Q681" s="21" t="s">
        <v>77</v>
      </c>
      <c r="R681" s="22" t="n">
        <f aca="false">안내!$C$6+INT((D681-1)/안내!$C$7)</f>
        <v>46545</v>
      </c>
      <c r="S681" s="17" t="str">
        <f aca="false">IF(MOD(D681-1,안내!$C$7)=0,안내!$C$9,안내!$C$11)</f>
        <v>21:30</v>
      </c>
      <c r="T681" s="17" t="str">
        <f aca="false">CHOOSE(WEEKDAY(R681,2),"월","화","수","목","금","토","일")</f>
        <v>월</v>
      </c>
      <c r="U681" s="17" t="s">
        <v>78</v>
      </c>
      <c r="V681" s="17" t="s">
        <v>78</v>
      </c>
      <c r="W681" s="23"/>
      <c r="X681" s="23"/>
      <c r="Y681" s="21"/>
    </row>
    <row r="682" customFormat="false" ht="26.85" hidden="false" customHeight="false" outlineLevel="0" collapsed="false">
      <c r="A682" s="17" t="n">
        <v>681</v>
      </c>
      <c r="B682" s="18" t="s">
        <v>2071</v>
      </c>
      <c r="C682" s="17" t="s">
        <v>1225</v>
      </c>
      <c r="D682" s="17" t="n">
        <v>317</v>
      </c>
      <c r="E682" s="17" t="str">
        <f aca="false">C682&amp;"말씀 #"&amp;TEXT(D682,"000")</f>
        <v>신약말씀 #317</v>
      </c>
      <c r="F682" s="17" t="s">
        <v>2062</v>
      </c>
      <c r="G682" s="18" t="s">
        <v>2072</v>
      </c>
      <c r="H682" s="19" t="s">
        <v>2073</v>
      </c>
      <c r="I682" s="17" t="s">
        <v>103</v>
      </c>
      <c r="J682" s="17" t="s">
        <v>104</v>
      </c>
      <c r="K682" s="20"/>
      <c r="L682" s="17" t="s">
        <v>76</v>
      </c>
      <c r="M682" s="17" t="n">
        <f aca="false">LEN(K682)</f>
        <v>0</v>
      </c>
      <c r="N682" s="17" t="str">
        <f aca="false">IF(M682=0,"-",ROUND(3+M682/안내!$C$12,0))</f>
        <v>-</v>
      </c>
      <c r="O682" s="21" t="str">
        <f aca="false">IF(K682="","(본문 입력 후 자동) | 벧전 2:24",IF(LEN(K682)&gt;28,LEFT(K682,28)&amp;"…",K682)&amp;" | 벧전 2:24")</f>
        <v>(본문 입력 후 자동) | 벧전 2:24</v>
      </c>
      <c r="P682" s="21" t="str">
        <f aca="false">"#"&amp;SUBSTITUTE(안내!$C$5," ","")&amp;" #성경구절 #말씀 #베드로전서 #구원"</f>
        <v>#오늘의말씀 #성경구절 #말씀 #베드로전서 #구원</v>
      </c>
      <c r="Q682" s="21" t="s">
        <v>77</v>
      </c>
      <c r="R682" s="22" t="n">
        <f aca="false">안내!$C$6+INT((D682-1)/안내!$C$7)</f>
        <v>46546</v>
      </c>
      <c r="S682" s="17" t="str">
        <f aca="false">IF(MOD(D682-1,안내!$C$7)=0,안내!$C$9,안내!$C$11)</f>
        <v>12:30</v>
      </c>
      <c r="T682" s="17" t="str">
        <f aca="false">CHOOSE(WEEKDAY(R682,2),"월","화","수","목","금","토","일")</f>
        <v>화</v>
      </c>
      <c r="U682" s="17" t="s">
        <v>78</v>
      </c>
      <c r="V682" s="17" t="s">
        <v>78</v>
      </c>
      <c r="W682" s="23"/>
      <c r="X682" s="23"/>
      <c r="Y682" s="21"/>
    </row>
    <row r="683" customFormat="false" ht="26.85" hidden="false" customHeight="false" outlineLevel="0" collapsed="false">
      <c r="A683" s="17" t="n">
        <v>682</v>
      </c>
      <c r="B683" s="18" t="s">
        <v>2074</v>
      </c>
      <c r="C683" s="17" t="s">
        <v>1225</v>
      </c>
      <c r="D683" s="17" t="n">
        <v>318</v>
      </c>
      <c r="E683" s="17" t="str">
        <f aca="false">C683&amp;"말씀 #"&amp;TEXT(D683,"000")</f>
        <v>신약말씀 #318</v>
      </c>
      <c r="F683" s="17" t="s">
        <v>2062</v>
      </c>
      <c r="G683" s="18" t="s">
        <v>101</v>
      </c>
      <c r="H683" s="19" t="s">
        <v>2075</v>
      </c>
      <c r="I683" s="17" t="s">
        <v>970</v>
      </c>
      <c r="J683" s="17" t="s">
        <v>104</v>
      </c>
      <c r="K683" s="20"/>
      <c r="L683" s="17" t="s">
        <v>76</v>
      </c>
      <c r="M683" s="17" t="n">
        <f aca="false">LEN(K683)</f>
        <v>0</v>
      </c>
      <c r="N683" s="17" t="str">
        <f aca="false">IF(M683=0,"-",ROUND(3+M683/안내!$C$12,0))</f>
        <v>-</v>
      </c>
      <c r="O683" s="21" t="str">
        <f aca="false">IF(K683="","(본문 입력 후 자동) | 벧전 3:15",IF(LEN(K683)&gt;28,LEFT(K683,28)&amp;"…",K683)&amp;" | 벧전 3:15")</f>
        <v>(본문 입력 후 자동) | 벧전 3:15</v>
      </c>
      <c r="P683" s="21" t="str">
        <f aca="false">"#"&amp;SUBSTITUTE(안내!$C$5," ","")&amp;" #성경구절 #말씀 #베드로전서 #복음"</f>
        <v>#오늘의말씀 #성경구절 #말씀 #베드로전서 #복음</v>
      </c>
      <c r="Q683" s="21" t="s">
        <v>77</v>
      </c>
      <c r="R683" s="22" t="n">
        <f aca="false">안내!$C$6+INT((D683-1)/안내!$C$7)</f>
        <v>46546</v>
      </c>
      <c r="S683" s="17" t="str">
        <f aca="false">IF(MOD(D683-1,안내!$C$7)=0,안내!$C$9,안내!$C$11)</f>
        <v>21:30</v>
      </c>
      <c r="T683" s="17" t="str">
        <f aca="false">CHOOSE(WEEKDAY(R683,2),"월","화","수","목","금","토","일")</f>
        <v>화</v>
      </c>
      <c r="U683" s="17" t="s">
        <v>78</v>
      </c>
      <c r="V683" s="17" t="s">
        <v>78</v>
      </c>
      <c r="W683" s="23"/>
      <c r="X683" s="23"/>
      <c r="Y683" s="21"/>
    </row>
    <row r="684" customFormat="false" ht="25.35" hidden="false" customHeight="false" outlineLevel="0" collapsed="false">
      <c r="A684" s="17" t="n">
        <v>683</v>
      </c>
      <c r="B684" s="18" t="s">
        <v>2076</v>
      </c>
      <c r="C684" s="17" t="s">
        <v>1225</v>
      </c>
      <c r="D684" s="17" t="n">
        <v>319</v>
      </c>
      <c r="E684" s="17" t="str">
        <f aca="false">C684&amp;"말씀 #"&amp;TEXT(D684,"000")</f>
        <v>신약말씀 #319</v>
      </c>
      <c r="F684" s="17" t="s">
        <v>2062</v>
      </c>
      <c r="G684" s="18" t="s">
        <v>544</v>
      </c>
      <c r="H684" s="19" t="s">
        <v>2077</v>
      </c>
      <c r="I684" s="17" t="s">
        <v>239</v>
      </c>
      <c r="J684" s="17" t="s">
        <v>94</v>
      </c>
      <c r="K684" s="20"/>
      <c r="L684" s="17" t="s">
        <v>76</v>
      </c>
      <c r="M684" s="17" t="n">
        <f aca="false">LEN(K684)</f>
        <v>0</v>
      </c>
      <c r="N684" s="17" t="str">
        <f aca="false">IF(M684=0,"-",ROUND(3+M684/안내!$C$12,0))</f>
        <v>-</v>
      </c>
      <c r="O684" s="21" t="str">
        <f aca="false">IF(K684="","(본문 입력 후 자동) | 벧전 4:8",IF(LEN(K684)&gt;28,LEFT(K684,28)&amp;"…",K684)&amp;" | 벧전 4:8")</f>
        <v>(본문 입력 후 자동) | 벧전 4:8</v>
      </c>
      <c r="P684" s="21" t="str">
        <f aca="false">"#"&amp;SUBSTITUTE(안내!$C$5," ","")&amp;" #성경구절 #말씀 #베드로전서 #사랑"</f>
        <v>#오늘의말씀 #성경구절 #말씀 #베드로전서 #사랑</v>
      </c>
      <c r="Q684" s="21" t="s">
        <v>77</v>
      </c>
      <c r="R684" s="22" t="n">
        <f aca="false">안내!$C$6+INT((D684-1)/안내!$C$7)</f>
        <v>46547</v>
      </c>
      <c r="S684" s="17" t="str">
        <f aca="false">IF(MOD(D684-1,안내!$C$7)=0,안내!$C$9,안내!$C$11)</f>
        <v>12:30</v>
      </c>
      <c r="T684" s="17" t="str">
        <f aca="false">CHOOSE(WEEKDAY(R684,2),"월","화","수","목","금","토","일")</f>
        <v>수</v>
      </c>
      <c r="U684" s="17" t="s">
        <v>78</v>
      </c>
      <c r="V684" s="17" t="s">
        <v>78</v>
      </c>
      <c r="W684" s="23"/>
      <c r="X684" s="23"/>
      <c r="Y684" s="21"/>
    </row>
    <row r="685" customFormat="false" ht="26.85" hidden="false" customHeight="false" outlineLevel="0" collapsed="false">
      <c r="A685" s="17" t="n">
        <v>684</v>
      </c>
      <c r="B685" s="18" t="s">
        <v>2078</v>
      </c>
      <c r="C685" s="17" t="s">
        <v>1225</v>
      </c>
      <c r="D685" s="17" t="n">
        <v>320</v>
      </c>
      <c r="E685" s="17" t="str">
        <f aca="false">C685&amp;"말씀 #"&amp;TEXT(D685,"000")</f>
        <v>신약말씀 #320</v>
      </c>
      <c r="F685" s="17" t="s">
        <v>2062</v>
      </c>
      <c r="G685" s="18" t="s">
        <v>435</v>
      </c>
      <c r="H685" s="19" t="s">
        <v>2079</v>
      </c>
      <c r="I685" s="17" t="s">
        <v>1365</v>
      </c>
      <c r="J685" s="17" t="s">
        <v>148</v>
      </c>
      <c r="K685" s="20"/>
      <c r="L685" s="17" t="s">
        <v>76</v>
      </c>
      <c r="M685" s="17" t="n">
        <f aca="false">LEN(K685)</f>
        <v>0</v>
      </c>
      <c r="N685" s="17" t="str">
        <f aca="false">IF(M685=0,"-",ROUND(3+M685/안내!$C$12,0))</f>
        <v>-</v>
      </c>
      <c r="O685" s="21" t="str">
        <f aca="false">IF(K685="","(본문 입력 후 자동) | 벧전 4:10",IF(LEN(K685)&gt;28,LEFT(K685,28)&amp;"…",K685)&amp;" | 벧전 4:10")</f>
        <v>(본문 입력 후 자동) | 벧전 4:10</v>
      </c>
      <c r="P685" s="21" t="str">
        <f aca="false">"#"&amp;SUBSTITUTE(안내!$C$5," ","")&amp;" #성경구절 #말씀 #베드로전서 #섬김"</f>
        <v>#오늘의말씀 #성경구절 #말씀 #베드로전서 #섬김</v>
      </c>
      <c r="Q685" s="21" t="s">
        <v>77</v>
      </c>
      <c r="R685" s="22" t="n">
        <f aca="false">안내!$C$6+INT((D685-1)/안내!$C$7)</f>
        <v>46547</v>
      </c>
      <c r="S685" s="17" t="str">
        <f aca="false">IF(MOD(D685-1,안내!$C$7)=0,안내!$C$9,안내!$C$11)</f>
        <v>21:30</v>
      </c>
      <c r="T685" s="17" t="str">
        <f aca="false">CHOOSE(WEEKDAY(R685,2),"월","화","수","목","금","토","일")</f>
        <v>수</v>
      </c>
      <c r="U685" s="17" t="s">
        <v>78</v>
      </c>
      <c r="V685" s="17" t="s">
        <v>78</v>
      </c>
      <c r="W685" s="23"/>
      <c r="X685" s="23"/>
      <c r="Y685" s="21"/>
    </row>
    <row r="686" customFormat="false" ht="25.35" hidden="false" customHeight="false" outlineLevel="0" collapsed="false">
      <c r="A686" s="17" t="n">
        <v>685</v>
      </c>
      <c r="B686" s="18" t="s">
        <v>2080</v>
      </c>
      <c r="C686" s="17" t="s">
        <v>1225</v>
      </c>
      <c r="D686" s="17" t="n">
        <v>321</v>
      </c>
      <c r="E686" s="17" t="str">
        <f aca="false">C686&amp;"말씀 #"&amp;TEXT(D686,"000")</f>
        <v>신약말씀 #321</v>
      </c>
      <c r="F686" s="17" t="s">
        <v>2062</v>
      </c>
      <c r="G686" s="18" t="s">
        <v>1400</v>
      </c>
      <c r="H686" s="19" t="s">
        <v>2081</v>
      </c>
      <c r="I686" s="17" t="s">
        <v>775</v>
      </c>
      <c r="J686" s="17" t="s">
        <v>94</v>
      </c>
      <c r="K686" s="20"/>
      <c r="L686" s="17" t="s">
        <v>76</v>
      </c>
      <c r="M686" s="17" t="n">
        <f aca="false">LEN(K686)</f>
        <v>0</v>
      </c>
      <c r="N686" s="17" t="str">
        <f aca="false">IF(M686=0,"-",ROUND(3+M686/안내!$C$12,0))</f>
        <v>-</v>
      </c>
      <c r="O686" s="21" t="str">
        <f aca="false">IF(K686="","(본문 입력 후 자동) | 벧전 5:5",IF(LEN(K686)&gt;28,LEFT(K686,28)&amp;"…",K686)&amp;" | 벧전 5:5")</f>
        <v>(본문 입력 후 자동) | 벧전 5:5</v>
      </c>
      <c r="P686" s="21" t="str">
        <f aca="false">"#"&amp;SUBSTITUTE(안내!$C$5," ","")&amp;" #성경구절 #말씀 #베드로전서 #겸손"</f>
        <v>#오늘의말씀 #성경구절 #말씀 #베드로전서 #겸손</v>
      </c>
      <c r="Q686" s="21" t="s">
        <v>77</v>
      </c>
      <c r="R686" s="22" t="n">
        <f aca="false">안내!$C$6+INT((D686-1)/안내!$C$7)</f>
        <v>46548</v>
      </c>
      <c r="S686" s="17" t="str">
        <f aca="false">IF(MOD(D686-1,안내!$C$7)=0,안내!$C$9,안내!$C$11)</f>
        <v>12:30</v>
      </c>
      <c r="T686" s="17" t="str">
        <f aca="false">CHOOSE(WEEKDAY(R686,2),"월","화","수","목","금","토","일")</f>
        <v>목</v>
      </c>
      <c r="U686" s="17" t="s">
        <v>78</v>
      </c>
      <c r="V686" s="17" t="s">
        <v>78</v>
      </c>
      <c r="W686" s="23"/>
      <c r="X686" s="23"/>
      <c r="Y686" s="21"/>
    </row>
    <row r="687" customFormat="false" ht="25.35" hidden="false" customHeight="false" outlineLevel="0" collapsed="false">
      <c r="A687" s="17" t="n">
        <v>686</v>
      </c>
      <c r="B687" s="18" t="s">
        <v>2082</v>
      </c>
      <c r="C687" s="17" t="s">
        <v>1225</v>
      </c>
      <c r="D687" s="17" t="n">
        <v>322</v>
      </c>
      <c r="E687" s="17" t="str">
        <f aca="false">C687&amp;"말씀 #"&amp;TEXT(D687,"000")</f>
        <v>신약말씀 #322</v>
      </c>
      <c r="F687" s="17" t="s">
        <v>2062</v>
      </c>
      <c r="G687" s="18" t="s">
        <v>1247</v>
      </c>
      <c r="H687" s="19" t="s">
        <v>2083</v>
      </c>
      <c r="I687" s="17" t="s">
        <v>221</v>
      </c>
      <c r="J687" s="17" t="s">
        <v>99</v>
      </c>
      <c r="K687" s="20"/>
      <c r="L687" s="17" t="s">
        <v>76</v>
      </c>
      <c r="M687" s="17" t="n">
        <f aca="false">LEN(K687)</f>
        <v>0</v>
      </c>
      <c r="N687" s="17" t="str">
        <f aca="false">IF(M687=0,"-",ROUND(3+M687/안내!$C$12,0))</f>
        <v>-</v>
      </c>
      <c r="O687" s="21" t="str">
        <f aca="false">IF(K687="","(본문 입력 후 자동) | 벧전 5:7",IF(LEN(K687)&gt;28,LEFT(K687,28)&amp;"…",K687)&amp;" | 벧전 5:7")</f>
        <v>(본문 입력 후 자동) | 벧전 5:7</v>
      </c>
      <c r="P687" s="21" t="str">
        <f aca="false">"#"&amp;SUBSTITUTE(안내!$C$5," ","")&amp;" #성경구절 #말씀 #베드로전서 #평안"</f>
        <v>#오늘의말씀 #성경구절 #말씀 #베드로전서 #평안</v>
      </c>
      <c r="Q687" s="21" t="s">
        <v>77</v>
      </c>
      <c r="R687" s="22" t="n">
        <f aca="false">안내!$C$6+INT((D687-1)/안내!$C$7)</f>
        <v>46548</v>
      </c>
      <c r="S687" s="17" t="str">
        <f aca="false">IF(MOD(D687-1,안내!$C$7)=0,안내!$C$9,안내!$C$11)</f>
        <v>21:30</v>
      </c>
      <c r="T687" s="17" t="str">
        <f aca="false">CHOOSE(WEEKDAY(R687,2),"월","화","수","목","금","토","일")</f>
        <v>목</v>
      </c>
      <c r="U687" s="17" t="s">
        <v>78</v>
      </c>
      <c r="V687" s="17" t="s">
        <v>78</v>
      </c>
      <c r="W687" s="23"/>
      <c r="X687" s="23"/>
      <c r="Y687" s="21"/>
    </row>
    <row r="688" customFormat="false" ht="25.35" hidden="false" customHeight="false" outlineLevel="0" collapsed="false">
      <c r="A688" s="17" t="n">
        <v>687</v>
      </c>
      <c r="B688" s="18" t="s">
        <v>2084</v>
      </c>
      <c r="C688" s="17" t="s">
        <v>1225</v>
      </c>
      <c r="D688" s="17" t="n">
        <v>323</v>
      </c>
      <c r="E688" s="17" t="str">
        <f aca="false">C688&amp;"말씀 #"&amp;TEXT(D688,"000")</f>
        <v>신약말씀 #323</v>
      </c>
      <c r="F688" s="17" t="s">
        <v>2062</v>
      </c>
      <c r="G688" s="18" t="s">
        <v>1250</v>
      </c>
      <c r="H688" s="19" t="s">
        <v>2085</v>
      </c>
      <c r="I688" s="17" t="s">
        <v>207</v>
      </c>
      <c r="J688" s="17" t="s">
        <v>113</v>
      </c>
      <c r="K688" s="20"/>
      <c r="L688" s="17" t="s">
        <v>76</v>
      </c>
      <c r="M688" s="17" t="n">
        <f aca="false">LEN(K688)</f>
        <v>0</v>
      </c>
      <c r="N688" s="17" t="str">
        <f aca="false">IF(M688=0,"-",ROUND(3+M688/안내!$C$12,0))</f>
        <v>-</v>
      </c>
      <c r="O688" s="21" t="str">
        <f aca="false">IF(K688="","(본문 입력 후 자동) | 벧전 5:8",IF(LEN(K688)&gt;28,LEFT(K688,28)&amp;"…",K688)&amp;" | 벧전 5:8")</f>
        <v>(본문 입력 후 자동) | 벧전 5:8</v>
      </c>
      <c r="P688" s="21" t="str">
        <f aca="false">"#"&amp;SUBSTITUTE(안내!$C$5," ","")&amp;" #성경구절 #말씀 #베드로전서 #승리"</f>
        <v>#오늘의말씀 #성경구절 #말씀 #베드로전서 #승리</v>
      </c>
      <c r="Q688" s="21" t="s">
        <v>77</v>
      </c>
      <c r="R688" s="22" t="n">
        <f aca="false">안내!$C$6+INT((D688-1)/안내!$C$7)</f>
        <v>46549</v>
      </c>
      <c r="S688" s="17" t="str">
        <f aca="false">IF(MOD(D688-1,안내!$C$7)=0,안내!$C$9,안내!$C$11)</f>
        <v>12:30</v>
      </c>
      <c r="T688" s="17" t="str">
        <f aca="false">CHOOSE(WEEKDAY(R688,2),"월","화","수","목","금","토","일")</f>
        <v>금</v>
      </c>
      <c r="U688" s="17" t="s">
        <v>78</v>
      </c>
      <c r="V688" s="17" t="s">
        <v>78</v>
      </c>
      <c r="W688" s="23"/>
      <c r="X688" s="23"/>
      <c r="Y688" s="21"/>
    </row>
    <row r="689" customFormat="false" ht="26.85" hidden="false" customHeight="false" outlineLevel="0" collapsed="false">
      <c r="A689" s="17" t="n">
        <v>688</v>
      </c>
      <c r="B689" s="18" t="s">
        <v>2086</v>
      </c>
      <c r="C689" s="17" t="s">
        <v>1225</v>
      </c>
      <c r="D689" s="17" t="n">
        <v>324</v>
      </c>
      <c r="E689" s="17" t="str">
        <f aca="false">C689&amp;"말씀 #"&amp;TEXT(D689,"000")</f>
        <v>신약말씀 #324</v>
      </c>
      <c r="F689" s="17" t="s">
        <v>2062</v>
      </c>
      <c r="G689" s="18" t="s">
        <v>2087</v>
      </c>
      <c r="H689" s="19" t="s">
        <v>2088</v>
      </c>
      <c r="I689" s="17" t="s">
        <v>98</v>
      </c>
      <c r="J689" s="17" t="s">
        <v>99</v>
      </c>
      <c r="K689" s="20"/>
      <c r="L689" s="17" t="s">
        <v>76</v>
      </c>
      <c r="M689" s="17" t="n">
        <f aca="false">LEN(K689)</f>
        <v>0</v>
      </c>
      <c r="N689" s="17" t="str">
        <f aca="false">IF(M689=0,"-",ROUND(3+M689/안내!$C$12,0))</f>
        <v>-</v>
      </c>
      <c r="O689" s="21" t="str">
        <f aca="false">IF(K689="","(본문 입력 후 자동) | 벧전 5:10",IF(LEN(K689)&gt;28,LEFT(K689,28)&amp;"…",K689)&amp;" | 벧전 5:10")</f>
        <v>(본문 입력 후 자동) | 벧전 5:10</v>
      </c>
      <c r="P689" s="21" t="str">
        <f aca="false">"#"&amp;SUBSTITUTE(안내!$C$5," ","")&amp;" #성경구절 #말씀 #베드로전서 #은혜"</f>
        <v>#오늘의말씀 #성경구절 #말씀 #베드로전서 #은혜</v>
      </c>
      <c r="Q689" s="21" t="s">
        <v>77</v>
      </c>
      <c r="R689" s="22" t="n">
        <f aca="false">안내!$C$6+INT((D689-1)/안내!$C$7)</f>
        <v>46549</v>
      </c>
      <c r="S689" s="17" t="str">
        <f aca="false">IF(MOD(D689-1,안내!$C$7)=0,안내!$C$9,안내!$C$11)</f>
        <v>21:30</v>
      </c>
      <c r="T689" s="17" t="str">
        <f aca="false">CHOOSE(WEEKDAY(R689,2),"월","화","수","목","금","토","일")</f>
        <v>금</v>
      </c>
      <c r="U689" s="17" t="s">
        <v>78</v>
      </c>
      <c r="V689" s="17" t="s">
        <v>78</v>
      </c>
      <c r="W689" s="23"/>
      <c r="X689" s="23"/>
      <c r="Y689" s="21"/>
    </row>
    <row r="690" customFormat="false" ht="25.35" hidden="false" customHeight="false" outlineLevel="0" collapsed="false">
      <c r="A690" s="17" t="n">
        <v>689</v>
      </c>
      <c r="B690" s="18" t="s">
        <v>2089</v>
      </c>
      <c r="C690" s="17" t="s">
        <v>1225</v>
      </c>
      <c r="D690" s="17" t="n">
        <v>325</v>
      </c>
      <c r="E690" s="17" t="str">
        <f aca="false">C690&amp;"말씀 #"&amp;TEXT(D690,"000")</f>
        <v>신약말씀 #325</v>
      </c>
      <c r="F690" s="17" t="s">
        <v>2090</v>
      </c>
      <c r="G690" s="18" t="s">
        <v>1152</v>
      </c>
      <c r="H690" s="19" t="s">
        <v>2091</v>
      </c>
      <c r="I690" s="17" t="s">
        <v>98</v>
      </c>
      <c r="J690" s="17" t="s">
        <v>99</v>
      </c>
      <c r="K690" s="20"/>
      <c r="L690" s="17" t="s">
        <v>76</v>
      </c>
      <c r="M690" s="17" t="n">
        <f aca="false">LEN(K690)</f>
        <v>0</v>
      </c>
      <c r="N690" s="17" t="str">
        <f aca="false">IF(M690=0,"-",ROUND(3+M690/안내!$C$12,0))</f>
        <v>-</v>
      </c>
      <c r="O690" s="21" t="str">
        <f aca="false">IF(K690="","(본문 입력 후 자동) | 벧후 1:3",IF(LEN(K690)&gt;28,LEFT(K690,28)&amp;"…",K690)&amp;" | 벧후 1:3")</f>
        <v>(본문 입력 후 자동) | 벧후 1:3</v>
      </c>
      <c r="P690" s="21" t="str">
        <f aca="false">"#"&amp;SUBSTITUTE(안내!$C$5," ","")&amp;" #성경구절 #말씀 #베드로후서 #은혜"</f>
        <v>#오늘의말씀 #성경구절 #말씀 #베드로후서 #은혜</v>
      </c>
      <c r="Q690" s="21" t="s">
        <v>77</v>
      </c>
      <c r="R690" s="22" t="n">
        <f aca="false">안내!$C$6+INT((D690-1)/안내!$C$7)</f>
        <v>46550</v>
      </c>
      <c r="S690" s="17" t="str">
        <f aca="false">IF(MOD(D690-1,안내!$C$7)=0,안내!$C$9,안내!$C$11)</f>
        <v>12:30</v>
      </c>
      <c r="T690" s="17" t="str">
        <f aca="false">CHOOSE(WEEKDAY(R690,2),"월","화","수","목","금","토","일")</f>
        <v>토</v>
      </c>
      <c r="U690" s="17" t="s">
        <v>78</v>
      </c>
      <c r="V690" s="17" t="s">
        <v>78</v>
      </c>
      <c r="W690" s="23"/>
      <c r="X690" s="23"/>
      <c r="Y690" s="21"/>
    </row>
    <row r="691" customFormat="false" ht="26.85" hidden="false" customHeight="false" outlineLevel="0" collapsed="false">
      <c r="A691" s="17" t="n">
        <v>690</v>
      </c>
      <c r="B691" s="18" t="s">
        <v>2092</v>
      </c>
      <c r="C691" s="17" t="s">
        <v>1225</v>
      </c>
      <c r="D691" s="17" t="n">
        <v>326</v>
      </c>
      <c r="E691" s="17" t="str">
        <f aca="false">C691&amp;"말씀 #"&amp;TEXT(D691,"000")</f>
        <v>신약말씀 #326</v>
      </c>
      <c r="F691" s="17" t="s">
        <v>2090</v>
      </c>
      <c r="G691" s="18" t="s">
        <v>495</v>
      </c>
      <c r="H691" s="19" t="s">
        <v>2093</v>
      </c>
      <c r="I691" s="17" t="s">
        <v>284</v>
      </c>
      <c r="J691" s="17" t="s">
        <v>148</v>
      </c>
      <c r="K691" s="20"/>
      <c r="L691" s="17" t="s">
        <v>76</v>
      </c>
      <c r="M691" s="17" t="n">
        <f aca="false">LEN(K691)</f>
        <v>0</v>
      </c>
      <c r="N691" s="17" t="str">
        <f aca="false">IF(M691=0,"-",ROUND(3+M691/안내!$C$12,0))</f>
        <v>-</v>
      </c>
      <c r="O691" s="21" t="str">
        <f aca="false">IF(K691="","(본문 입력 후 자동) | 벧후 1:21",IF(LEN(K691)&gt;28,LEFT(K691,28)&amp;"…",K691)&amp;" | 벧후 1:21")</f>
        <v>(본문 입력 후 자동) | 벧후 1:21</v>
      </c>
      <c r="P691" s="21" t="str">
        <f aca="false">"#"&amp;SUBSTITUTE(안내!$C$5," ","")&amp;" #성경구절 #말씀 #베드로후서 #말씀"</f>
        <v>#오늘의말씀 #성경구절 #말씀 #베드로후서 #말씀</v>
      </c>
      <c r="Q691" s="21" t="s">
        <v>77</v>
      </c>
      <c r="R691" s="22" t="n">
        <f aca="false">안내!$C$6+INT((D691-1)/안내!$C$7)</f>
        <v>46550</v>
      </c>
      <c r="S691" s="17" t="str">
        <f aca="false">IF(MOD(D691-1,안내!$C$7)=0,안내!$C$9,안내!$C$11)</f>
        <v>21:30</v>
      </c>
      <c r="T691" s="17" t="str">
        <f aca="false">CHOOSE(WEEKDAY(R691,2),"월","화","수","목","금","토","일")</f>
        <v>토</v>
      </c>
      <c r="U691" s="17" t="s">
        <v>78</v>
      </c>
      <c r="V691" s="17" t="s">
        <v>78</v>
      </c>
      <c r="W691" s="23"/>
      <c r="X691" s="23"/>
      <c r="Y691" s="21"/>
    </row>
    <row r="692" customFormat="false" ht="39.55" hidden="false" customHeight="false" outlineLevel="0" collapsed="false">
      <c r="A692" s="17" t="n">
        <v>691</v>
      </c>
      <c r="B692" s="18" t="s">
        <v>2094</v>
      </c>
      <c r="C692" s="17" t="s">
        <v>1225</v>
      </c>
      <c r="D692" s="17" t="n">
        <v>327</v>
      </c>
      <c r="E692" s="17" t="str">
        <f aca="false">C692&amp;"말씀 #"&amp;TEXT(D692,"000")</f>
        <v>신약말씀 #327</v>
      </c>
      <c r="F692" s="17" t="s">
        <v>2090</v>
      </c>
      <c r="G692" s="18" t="s">
        <v>1872</v>
      </c>
      <c r="H692" s="19" t="s">
        <v>2095</v>
      </c>
      <c r="I692" s="17" t="s">
        <v>112</v>
      </c>
      <c r="J692" s="17" t="s">
        <v>113</v>
      </c>
      <c r="K692" s="20"/>
      <c r="L692" s="17" t="s">
        <v>76</v>
      </c>
      <c r="M692" s="17" t="n">
        <f aca="false">LEN(K692)</f>
        <v>0</v>
      </c>
      <c r="N692" s="17" t="str">
        <f aca="false">IF(M692=0,"-",ROUND(3+M692/안내!$C$12,0))</f>
        <v>-</v>
      </c>
      <c r="O692" s="21" t="str">
        <f aca="false">IF(K692="","(본문 입력 후 자동) | 벧후 3:8",IF(LEN(K692)&gt;28,LEFT(K692,28)&amp;"…",K692)&amp;" | 벧후 3:8")</f>
        <v>(본문 입력 후 자동) | 벧후 3:8</v>
      </c>
      <c r="P692" s="21" t="str">
        <f aca="false">"#"&amp;SUBSTITUTE(안내!$C$5," ","")&amp;" #성경구절 #말씀 #베드로후서 #신실하심"</f>
        <v>#오늘의말씀 #성경구절 #말씀 #베드로후서 #신실하심</v>
      </c>
      <c r="Q692" s="24" t="s">
        <v>2096</v>
      </c>
      <c r="R692" s="22" t="n">
        <f aca="false">안내!$C$6+INT((D692-1)/안내!$C$7)</f>
        <v>46551</v>
      </c>
      <c r="S692" s="17" t="str">
        <f aca="false">IF(MOD(D692-1,안내!$C$7)=0,안내!$C$9,안내!$C$11)</f>
        <v>12:30</v>
      </c>
      <c r="T692" s="17" t="str">
        <f aca="false">CHOOSE(WEEKDAY(R692,2),"월","화","수","목","금","토","일")</f>
        <v>일</v>
      </c>
      <c r="U692" s="17" t="s">
        <v>78</v>
      </c>
      <c r="V692" s="17" t="s">
        <v>78</v>
      </c>
      <c r="W692" s="23"/>
      <c r="X692" s="23"/>
      <c r="Y692" s="21"/>
    </row>
    <row r="693" customFormat="false" ht="25.35" hidden="false" customHeight="false" outlineLevel="0" collapsed="false">
      <c r="A693" s="17" t="n">
        <v>692</v>
      </c>
      <c r="B693" s="18" t="s">
        <v>2097</v>
      </c>
      <c r="C693" s="17" t="s">
        <v>1225</v>
      </c>
      <c r="D693" s="17" t="n">
        <v>328</v>
      </c>
      <c r="E693" s="17" t="str">
        <f aca="false">C693&amp;"말씀 #"&amp;TEXT(D693,"000")</f>
        <v>신약말씀 #328</v>
      </c>
      <c r="F693" s="17" t="s">
        <v>2090</v>
      </c>
      <c r="G693" s="18" t="s">
        <v>96</v>
      </c>
      <c r="H693" s="19" t="s">
        <v>2098</v>
      </c>
      <c r="I693" s="17" t="s">
        <v>454</v>
      </c>
      <c r="J693" s="17" t="s">
        <v>104</v>
      </c>
      <c r="K693" s="20"/>
      <c r="L693" s="17" t="s">
        <v>76</v>
      </c>
      <c r="M693" s="17" t="n">
        <f aca="false">LEN(K693)</f>
        <v>0</v>
      </c>
      <c r="N693" s="17" t="str">
        <f aca="false">IF(M693=0,"-",ROUND(3+M693/안내!$C$12,0))</f>
        <v>-</v>
      </c>
      <c r="O693" s="21" t="str">
        <f aca="false">IF(K693="","(본문 입력 후 자동) | 벧후 3:9",IF(LEN(K693)&gt;28,LEFT(K693,28)&amp;"…",K693)&amp;" | 벧후 3:9")</f>
        <v>(본문 입력 후 자동) | 벧후 3:9</v>
      </c>
      <c r="P693" s="21" t="str">
        <f aca="false">"#"&amp;SUBSTITUTE(안내!$C$5," ","")&amp;" #성경구절 #말씀 #베드로후서 #회개"</f>
        <v>#오늘의말씀 #성경구절 #말씀 #베드로후서 #회개</v>
      </c>
      <c r="Q693" s="21" t="s">
        <v>77</v>
      </c>
      <c r="R693" s="22" t="n">
        <f aca="false">안내!$C$6+INT((D693-1)/안내!$C$7)</f>
        <v>46551</v>
      </c>
      <c r="S693" s="17" t="str">
        <f aca="false">IF(MOD(D693-1,안내!$C$7)=0,안내!$C$9,안내!$C$11)</f>
        <v>21:30</v>
      </c>
      <c r="T693" s="17" t="str">
        <f aca="false">CHOOSE(WEEKDAY(R693,2),"월","화","수","목","금","토","일")</f>
        <v>일</v>
      </c>
      <c r="U693" s="17" t="s">
        <v>78</v>
      </c>
      <c r="V693" s="17" t="s">
        <v>78</v>
      </c>
      <c r="W693" s="23"/>
      <c r="X693" s="23"/>
      <c r="Y693" s="21"/>
    </row>
    <row r="694" customFormat="false" ht="26.85" hidden="false" customHeight="false" outlineLevel="0" collapsed="false">
      <c r="A694" s="17" t="n">
        <v>693</v>
      </c>
      <c r="B694" s="18" t="s">
        <v>2099</v>
      </c>
      <c r="C694" s="17" t="s">
        <v>1225</v>
      </c>
      <c r="D694" s="17" t="n">
        <v>329</v>
      </c>
      <c r="E694" s="17" t="str">
        <f aca="false">C694&amp;"말씀 #"&amp;TEXT(D694,"000")</f>
        <v>신약말씀 #329</v>
      </c>
      <c r="F694" s="17" t="s">
        <v>2090</v>
      </c>
      <c r="G694" s="18" t="s">
        <v>1110</v>
      </c>
      <c r="H694" s="19" t="s">
        <v>2100</v>
      </c>
      <c r="I694" s="17" t="s">
        <v>1395</v>
      </c>
      <c r="J694" s="17" t="s">
        <v>148</v>
      </c>
      <c r="K694" s="20"/>
      <c r="L694" s="17" t="s">
        <v>76</v>
      </c>
      <c r="M694" s="17" t="n">
        <f aca="false">LEN(K694)</f>
        <v>0</v>
      </c>
      <c r="N694" s="17" t="str">
        <f aca="false">IF(M694=0,"-",ROUND(3+M694/안내!$C$12,0))</f>
        <v>-</v>
      </c>
      <c r="O694" s="21" t="str">
        <f aca="false">IF(K694="","(본문 입력 후 자동) | 벧후 3:18",IF(LEN(K694)&gt;28,LEFT(K694,28)&amp;"…",K694)&amp;" | 벧후 3:18")</f>
        <v>(본문 입력 후 자동) | 벧후 3:18</v>
      </c>
      <c r="P694" s="21" t="str">
        <f aca="false">"#"&amp;SUBSTITUTE(안내!$C$5," ","")&amp;" #성경구절 #말씀 #베드로후서 #성장"</f>
        <v>#오늘의말씀 #성경구절 #말씀 #베드로후서 #성장</v>
      </c>
      <c r="Q694" s="21" t="s">
        <v>77</v>
      </c>
      <c r="R694" s="22" t="n">
        <f aca="false">안내!$C$6+INT((D694-1)/안내!$C$7)</f>
        <v>46552</v>
      </c>
      <c r="S694" s="17" t="str">
        <f aca="false">IF(MOD(D694-1,안내!$C$7)=0,안내!$C$9,안내!$C$11)</f>
        <v>12:30</v>
      </c>
      <c r="T694" s="17" t="str">
        <f aca="false">CHOOSE(WEEKDAY(R694,2),"월","화","수","목","금","토","일")</f>
        <v>월</v>
      </c>
      <c r="U694" s="17" t="s">
        <v>78</v>
      </c>
      <c r="V694" s="17" t="s">
        <v>78</v>
      </c>
      <c r="W694" s="23"/>
      <c r="X694" s="23"/>
      <c r="Y694" s="21"/>
    </row>
    <row r="695" customFormat="false" ht="25.35" hidden="false" customHeight="false" outlineLevel="0" collapsed="false">
      <c r="A695" s="17" t="n">
        <v>694</v>
      </c>
      <c r="B695" s="18" t="s">
        <v>2101</v>
      </c>
      <c r="C695" s="17" t="s">
        <v>1225</v>
      </c>
      <c r="D695" s="17" t="n">
        <v>330</v>
      </c>
      <c r="E695" s="17" t="str">
        <f aca="false">C695&amp;"말씀 #"&amp;TEXT(D695,"000")</f>
        <v>신약말씀 #330</v>
      </c>
      <c r="F695" s="17" t="s">
        <v>2102</v>
      </c>
      <c r="G695" s="18" t="s">
        <v>317</v>
      </c>
      <c r="H695" s="19" t="s">
        <v>2103</v>
      </c>
      <c r="I695" s="17" t="s">
        <v>1258</v>
      </c>
      <c r="J695" s="17" t="s">
        <v>89</v>
      </c>
      <c r="K695" s="20"/>
      <c r="L695" s="17" t="s">
        <v>76</v>
      </c>
      <c r="M695" s="17" t="n">
        <f aca="false">LEN(K695)</f>
        <v>0</v>
      </c>
      <c r="N695" s="17" t="str">
        <f aca="false">IF(M695=0,"-",ROUND(3+M695/안내!$C$12,0))</f>
        <v>-</v>
      </c>
      <c r="O695" s="21" t="str">
        <f aca="false">IF(K695="","(본문 입력 후 자동) | 요일 1:5",IF(LEN(K695)&gt;28,LEFT(K695,28)&amp;"…",K695)&amp;" | 요일 1:5")</f>
        <v>(본문 입력 후 자동) | 요일 1:5</v>
      </c>
      <c r="P695" s="21" t="str">
        <f aca="false">"#"&amp;SUBSTITUTE(안내!$C$5," ","")&amp;" #성경구절 #말씀 #요한일서 #빛"</f>
        <v>#오늘의말씀 #성경구절 #말씀 #요한일서 #빛</v>
      </c>
      <c r="Q695" s="21" t="s">
        <v>77</v>
      </c>
      <c r="R695" s="22" t="n">
        <f aca="false">안내!$C$6+INT((D695-1)/안내!$C$7)</f>
        <v>46552</v>
      </c>
      <c r="S695" s="17" t="str">
        <f aca="false">IF(MOD(D695-1,안내!$C$7)=0,안내!$C$9,안내!$C$11)</f>
        <v>21:30</v>
      </c>
      <c r="T695" s="17" t="str">
        <f aca="false">CHOOSE(WEEKDAY(R695,2),"월","화","수","목","금","토","일")</f>
        <v>월</v>
      </c>
      <c r="U695" s="17" t="s">
        <v>78</v>
      </c>
      <c r="V695" s="17" t="s">
        <v>78</v>
      </c>
      <c r="W695" s="23"/>
      <c r="X695" s="23"/>
      <c r="Y695" s="21"/>
    </row>
    <row r="696" customFormat="false" ht="25.35" hidden="false" customHeight="false" outlineLevel="0" collapsed="false">
      <c r="A696" s="17" t="n">
        <v>695</v>
      </c>
      <c r="B696" s="18" t="s">
        <v>2104</v>
      </c>
      <c r="C696" s="17" t="s">
        <v>1225</v>
      </c>
      <c r="D696" s="17" t="n">
        <v>331</v>
      </c>
      <c r="E696" s="17" t="str">
        <f aca="false">C696&amp;"말씀 #"&amp;TEXT(D696,"000")</f>
        <v>신약말씀 #331</v>
      </c>
      <c r="F696" s="17" t="s">
        <v>2102</v>
      </c>
      <c r="G696" s="18" t="s">
        <v>323</v>
      </c>
      <c r="H696" s="19" t="s">
        <v>2105</v>
      </c>
      <c r="I696" s="17" t="s">
        <v>694</v>
      </c>
      <c r="J696" s="17" t="s">
        <v>99</v>
      </c>
      <c r="K696" s="20"/>
      <c r="L696" s="17" t="s">
        <v>76</v>
      </c>
      <c r="M696" s="17" t="n">
        <f aca="false">LEN(K696)</f>
        <v>0</v>
      </c>
      <c r="N696" s="17" t="str">
        <f aca="false">IF(M696=0,"-",ROUND(3+M696/안내!$C$12,0))</f>
        <v>-</v>
      </c>
      <c r="O696" s="21" t="str">
        <f aca="false">IF(K696="","(본문 입력 후 자동) | 요일 1:9",IF(LEN(K696)&gt;28,LEFT(K696,28)&amp;"…",K696)&amp;" | 요일 1:9")</f>
        <v>(본문 입력 후 자동) | 요일 1:9</v>
      </c>
      <c r="P696" s="21" t="str">
        <f aca="false">"#"&amp;SUBSTITUTE(안내!$C$5," ","")&amp;" #성경구절 #말씀 #요한일서 #용서"</f>
        <v>#오늘의말씀 #성경구절 #말씀 #요한일서 #용서</v>
      </c>
      <c r="Q696" s="21" t="s">
        <v>77</v>
      </c>
      <c r="R696" s="22" t="n">
        <f aca="false">안내!$C$6+INT((D696-1)/안내!$C$7)</f>
        <v>46553</v>
      </c>
      <c r="S696" s="17" t="str">
        <f aca="false">IF(MOD(D696-1,안내!$C$7)=0,안내!$C$9,안내!$C$11)</f>
        <v>12:30</v>
      </c>
      <c r="T696" s="17" t="str">
        <f aca="false">CHOOSE(WEEKDAY(R696,2),"월","화","수","목","금","토","일")</f>
        <v>화</v>
      </c>
      <c r="U696" s="17" t="s">
        <v>78</v>
      </c>
      <c r="V696" s="17" t="s">
        <v>78</v>
      </c>
      <c r="W696" s="23"/>
      <c r="X696" s="23"/>
      <c r="Y696" s="21"/>
    </row>
    <row r="697" customFormat="false" ht="25.35" hidden="false" customHeight="false" outlineLevel="0" collapsed="false">
      <c r="A697" s="17" t="n">
        <v>696</v>
      </c>
      <c r="B697" s="18" t="s">
        <v>2106</v>
      </c>
      <c r="C697" s="17" t="s">
        <v>1225</v>
      </c>
      <c r="D697" s="17" t="n">
        <v>332</v>
      </c>
      <c r="E697" s="17" t="str">
        <f aca="false">C697&amp;"말씀 #"&amp;TEXT(D697,"000")</f>
        <v>신약말씀 #332</v>
      </c>
      <c r="F697" s="17" t="s">
        <v>2102</v>
      </c>
      <c r="G697" s="18" t="s">
        <v>1964</v>
      </c>
      <c r="H697" s="19" t="s">
        <v>2107</v>
      </c>
      <c r="I697" s="17" t="s">
        <v>103</v>
      </c>
      <c r="J697" s="17" t="s">
        <v>104</v>
      </c>
      <c r="K697" s="20"/>
      <c r="L697" s="17" t="s">
        <v>76</v>
      </c>
      <c r="M697" s="17" t="n">
        <f aca="false">LEN(K697)</f>
        <v>0</v>
      </c>
      <c r="N697" s="17" t="str">
        <f aca="false">IF(M697=0,"-",ROUND(3+M697/안내!$C$12,0))</f>
        <v>-</v>
      </c>
      <c r="O697" s="21" t="str">
        <f aca="false">IF(K697="","(본문 입력 후 자동) | 요일 2:1",IF(LEN(K697)&gt;28,LEFT(K697,28)&amp;"…",K697)&amp;" | 요일 2:1")</f>
        <v>(본문 입력 후 자동) | 요일 2:1</v>
      </c>
      <c r="P697" s="21" t="str">
        <f aca="false">"#"&amp;SUBSTITUTE(안내!$C$5," ","")&amp;" #성경구절 #말씀 #요한일서 #구원"</f>
        <v>#오늘의말씀 #성경구절 #말씀 #요한일서 #구원</v>
      </c>
      <c r="Q697" s="21" t="s">
        <v>77</v>
      </c>
      <c r="R697" s="22" t="n">
        <f aca="false">안내!$C$6+INT((D697-1)/안내!$C$7)</f>
        <v>46553</v>
      </c>
      <c r="S697" s="17" t="str">
        <f aca="false">IF(MOD(D697-1,안내!$C$7)=0,안내!$C$9,안내!$C$11)</f>
        <v>21:30</v>
      </c>
      <c r="T697" s="17" t="str">
        <f aca="false">CHOOSE(WEEKDAY(R697,2),"월","화","수","목","금","토","일")</f>
        <v>화</v>
      </c>
      <c r="U697" s="17" t="s">
        <v>78</v>
      </c>
      <c r="V697" s="17" t="s">
        <v>78</v>
      </c>
      <c r="W697" s="23"/>
      <c r="X697" s="23"/>
      <c r="Y697" s="21"/>
    </row>
    <row r="698" customFormat="false" ht="26.85" hidden="false" customHeight="false" outlineLevel="0" collapsed="false">
      <c r="A698" s="17" t="n">
        <v>697</v>
      </c>
      <c r="B698" s="18" t="s">
        <v>2108</v>
      </c>
      <c r="C698" s="17" t="s">
        <v>1225</v>
      </c>
      <c r="D698" s="17" t="n">
        <v>333</v>
      </c>
      <c r="E698" s="17" t="str">
        <f aca="false">C698&amp;"말씀 #"&amp;TEXT(D698,"000")</f>
        <v>신약말씀 #333</v>
      </c>
      <c r="F698" s="17" t="s">
        <v>2102</v>
      </c>
      <c r="G698" s="18" t="s">
        <v>1339</v>
      </c>
      <c r="H698" s="19" t="s">
        <v>2109</v>
      </c>
      <c r="I698" s="17" t="s">
        <v>1273</v>
      </c>
      <c r="J698" s="17" t="s">
        <v>89</v>
      </c>
      <c r="K698" s="20"/>
      <c r="L698" s="17" t="s">
        <v>76</v>
      </c>
      <c r="M698" s="17" t="n">
        <f aca="false">LEN(K698)</f>
        <v>0</v>
      </c>
      <c r="N698" s="17" t="str">
        <f aca="false">IF(M698=0,"-",ROUND(3+M698/안내!$C$12,0))</f>
        <v>-</v>
      </c>
      <c r="O698" s="21" t="str">
        <f aca="false">IF(K698="","(본문 입력 후 자동) | 요일 2:17",IF(LEN(K698)&gt;28,LEFT(K698,28)&amp;"…",K698)&amp;" | 요일 2:17")</f>
        <v>(본문 입력 후 자동) | 요일 2:17</v>
      </c>
      <c r="P698" s="21" t="str">
        <f aca="false">"#"&amp;SUBSTITUTE(안내!$C$5," ","")&amp;" #성경구절 #말씀 #요한일서 #하나님나라"</f>
        <v>#오늘의말씀 #성경구절 #말씀 #요한일서 #하나님나라</v>
      </c>
      <c r="Q698" s="21" t="s">
        <v>77</v>
      </c>
      <c r="R698" s="22" t="n">
        <f aca="false">안내!$C$6+INT((D698-1)/안내!$C$7)</f>
        <v>46554</v>
      </c>
      <c r="S698" s="17" t="str">
        <f aca="false">IF(MOD(D698-1,안내!$C$7)=0,안내!$C$9,안내!$C$11)</f>
        <v>12:30</v>
      </c>
      <c r="T698" s="17" t="str">
        <f aca="false">CHOOSE(WEEKDAY(R698,2),"월","화","수","목","금","토","일")</f>
        <v>수</v>
      </c>
      <c r="U698" s="17" t="s">
        <v>78</v>
      </c>
      <c r="V698" s="17" t="s">
        <v>78</v>
      </c>
      <c r="W698" s="23"/>
      <c r="X698" s="23"/>
      <c r="Y698" s="21"/>
    </row>
    <row r="699" customFormat="false" ht="25.35" hidden="false" customHeight="false" outlineLevel="0" collapsed="false">
      <c r="A699" s="17" t="n">
        <v>698</v>
      </c>
      <c r="B699" s="18" t="s">
        <v>2110</v>
      </c>
      <c r="C699" s="17" t="s">
        <v>1225</v>
      </c>
      <c r="D699" s="17" t="n">
        <v>334</v>
      </c>
      <c r="E699" s="17" t="str">
        <f aca="false">C699&amp;"말씀 #"&amp;TEXT(D699,"000")</f>
        <v>신약말씀 #334</v>
      </c>
      <c r="F699" s="17" t="s">
        <v>2102</v>
      </c>
      <c r="G699" s="18" t="s">
        <v>860</v>
      </c>
      <c r="H699" s="19" t="s">
        <v>2111</v>
      </c>
      <c r="I699" s="17" t="s">
        <v>239</v>
      </c>
      <c r="J699" s="17" t="s">
        <v>94</v>
      </c>
      <c r="K699" s="20"/>
      <c r="L699" s="17" t="s">
        <v>76</v>
      </c>
      <c r="M699" s="17" t="n">
        <f aca="false">LEN(K699)</f>
        <v>0</v>
      </c>
      <c r="N699" s="17" t="str">
        <f aca="false">IF(M699=0,"-",ROUND(3+M699/안내!$C$12,0))</f>
        <v>-</v>
      </c>
      <c r="O699" s="21" t="str">
        <f aca="false">IF(K699="","(본문 입력 후 자동) | 요일 3:1",IF(LEN(K699)&gt;28,LEFT(K699,28)&amp;"…",K699)&amp;" | 요일 3:1")</f>
        <v>(본문 입력 후 자동) | 요일 3:1</v>
      </c>
      <c r="P699" s="21" t="str">
        <f aca="false">"#"&amp;SUBSTITUTE(안내!$C$5," ","")&amp;" #성경구절 #말씀 #요한일서 #사랑"</f>
        <v>#오늘의말씀 #성경구절 #말씀 #요한일서 #사랑</v>
      </c>
      <c r="Q699" s="21" t="s">
        <v>77</v>
      </c>
      <c r="R699" s="22" t="n">
        <f aca="false">안내!$C$6+INT((D699-1)/안내!$C$7)</f>
        <v>46554</v>
      </c>
      <c r="S699" s="17" t="str">
        <f aca="false">IF(MOD(D699-1,안내!$C$7)=0,안내!$C$9,안내!$C$11)</f>
        <v>21:30</v>
      </c>
      <c r="T699" s="17" t="str">
        <f aca="false">CHOOSE(WEEKDAY(R699,2),"월","화","수","목","금","토","일")</f>
        <v>수</v>
      </c>
      <c r="U699" s="17" t="s">
        <v>78</v>
      </c>
      <c r="V699" s="17" t="s">
        <v>78</v>
      </c>
      <c r="W699" s="23"/>
      <c r="X699" s="23"/>
      <c r="Y699" s="21"/>
    </row>
    <row r="700" customFormat="false" ht="26.85" hidden="false" customHeight="false" outlineLevel="0" collapsed="false">
      <c r="A700" s="17" t="n">
        <v>699</v>
      </c>
      <c r="B700" s="18" t="s">
        <v>2112</v>
      </c>
      <c r="C700" s="17" t="s">
        <v>1225</v>
      </c>
      <c r="D700" s="17" t="n">
        <v>335</v>
      </c>
      <c r="E700" s="17" t="str">
        <f aca="false">C700&amp;"말씀 #"&amp;TEXT(D700,"000")</f>
        <v>신약말씀 #335</v>
      </c>
      <c r="F700" s="17" t="s">
        <v>2102</v>
      </c>
      <c r="G700" s="18" t="s">
        <v>1110</v>
      </c>
      <c r="H700" s="19" t="s">
        <v>2113</v>
      </c>
      <c r="I700" s="17" t="s">
        <v>239</v>
      </c>
      <c r="J700" s="17" t="s">
        <v>94</v>
      </c>
      <c r="K700" s="20"/>
      <c r="L700" s="17" t="s">
        <v>76</v>
      </c>
      <c r="M700" s="17" t="n">
        <f aca="false">LEN(K700)</f>
        <v>0</v>
      </c>
      <c r="N700" s="17" t="str">
        <f aca="false">IF(M700=0,"-",ROUND(3+M700/안내!$C$12,0))</f>
        <v>-</v>
      </c>
      <c r="O700" s="21" t="str">
        <f aca="false">IF(K700="","(본문 입력 후 자동) | 요일 3:18",IF(LEN(K700)&gt;28,LEFT(K700,28)&amp;"…",K700)&amp;" | 요일 3:18")</f>
        <v>(본문 입력 후 자동) | 요일 3:18</v>
      </c>
      <c r="P700" s="21" t="str">
        <f aca="false">"#"&amp;SUBSTITUTE(안내!$C$5," ","")&amp;" #성경구절 #말씀 #요한일서 #사랑"</f>
        <v>#오늘의말씀 #성경구절 #말씀 #요한일서 #사랑</v>
      </c>
      <c r="Q700" s="21" t="s">
        <v>77</v>
      </c>
      <c r="R700" s="22" t="n">
        <f aca="false">안내!$C$6+INT((D700-1)/안내!$C$7)</f>
        <v>46555</v>
      </c>
      <c r="S700" s="17" t="str">
        <f aca="false">IF(MOD(D700-1,안내!$C$7)=0,안내!$C$9,안내!$C$11)</f>
        <v>12:30</v>
      </c>
      <c r="T700" s="17" t="str">
        <f aca="false">CHOOSE(WEEKDAY(R700,2),"월","화","수","목","금","토","일")</f>
        <v>목</v>
      </c>
      <c r="U700" s="17" t="s">
        <v>78</v>
      </c>
      <c r="V700" s="17" t="s">
        <v>78</v>
      </c>
      <c r="W700" s="23"/>
      <c r="X700" s="23"/>
      <c r="Y700" s="21"/>
    </row>
    <row r="701" customFormat="false" ht="25.35" hidden="false" customHeight="false" outlineLevel="0" collapsed="false">
      <c r="A701" s="17" t="n">
        <v>700</v>
      </c>
      <c r="B701" s="18" t="s">
        <v>2114</v>
      </c>
      <c r="C701" s="17" t="s">
        <v>1225</v>
      </c>
      <c r="D701" s="17" t="n">
        <v>336</v>
      </c>
      <c r="E701" s="17" t="str">
        <f aca="false">C701&amp;"말씀 #"&amp;TEXT(D701,"000")</f>
        <v>신약말씀 #336</v>
      </c>
      <c r="F701" s="17" t="s">
        <v>2102</v>
      </c>
      <c r="G701" s="18" t="s">
        <v>1234</v>
      </c>
      <c r="H701" s="19" t="s">
        <v>2115</v>
      </c>
      <c r="I701" s="17" t="s">
        <v>207</v>
      </c>
      <c r="J701" s="17" t="s">
        <v>113</v>
      </c>
      <c r="K701" s="20"/>
      <c r="L701" s="17" t="s">
        <v>76</v>
      </c>
      <c r="M701" s="17" t="n">
        <f aca="false">LEN(K701)</f>
        <v>0</v>
      </c>
      <c r="N701" s="17" t="str">
        <f aca="false">IF(M701=0,"-",ROUND(3+M701/안내!$C$12,0))</f>
        <v>-</v>
      </c>
      <c r="O701" s="21" t="str">
        <f aca="false">IF(K701="","(본문 입력 후 자동) | 요일 4:4",IF(LEN(K701)&gt;28,LEFT(K701,28)&amp;"…",K701)&amp;" | 요일 4:4")</f>
        <v>(본문 입력 후 자동) | 요일 4:4</v>
      </c>
      <c r="P701" s="21" t="str">
        <f aca="false">"#"&amp;SUBSTITUTE(안내!$C$5," ","")&amp;" #성경구절 #말씀 #요한일서 #승리"</f>
        <v>#오늘의말씀 #성경구절 #말씀 #요한일서 #승리</v>
      </c>
      <c r="Q701" s="21" t="s">
        <v>77</v>
      </c>
      <c r="R701" s="22" t="n">
        <f aca="false">안내!$C$6+INT((D701-1)/안내!$C$7)</f>
        <v>46555</v>
      </c>
      <c r="S701" s="17" t="str">
        <f aca="false">IF(MOD(D701-1,안내!$C$7)=0,안내!$C$9,안내!$C$11)</f>
        <v>21:30</v>
      </c>
      <c r="T701" s="17" t="str">
        <f aca="false">CHOOSE(WEEKDAY(R701,2),"월","화","수","목","금","토","일")</f>
        <v>목</v>
      </c>
      <c r="U701" s="17" t="s">
        <v>78</v>
      </c>
      <c r="V701" s="17" t="s">
        <v>78</v>
      </c>
      <c r="W701" s="23"/>
      <c r="X701" s="23"/>
      <c r="Y701" s="21"/>
    </row>
    <row r="702" customFormat="false" ht="25.35" hidden="false" customHeight="false" outlineLevel="0" collapsed="false">
      <c r="A702" s="17" t="n">
        <v>701</v>
      </c>
      <c r="B702" s="18" t="s">
        <v>2116</v>
      </c>
      <c r="C702" s="17" t="s">
        <v>1225</v>
      </c>
      <c r="D702" s="17" t="n">
        <v>337</v>
      </c>
      <c r="E702" s="17" t="str">
        <f aca="false">C702&amp;"말씀 #"&amp;TEXT(D702,"000")</f>
        <v>신약말씀 #337</v>
      </c>
      <c r="F702" s="17" t="s">
        <v>2102</v>
      </c>
      <c r="G702" s="18" t="s">
        <v>1763</v>
      </c>
      <c r="H702" s="19" t="s">
        <v>2117</v>
      </c>
      <c r="I702" s="17" t="s">
        <v>239</v>
      </c>
      <c r="J702" s="17" t="s">
        <v>94</v>
      </c>
      <c r="K702" s="20"/>
      <c r="L702" s="17" t="s">
        <v>76</v>
      </c>
      <c r="M702" s="17" t="n">
        <f aca="false">LEN(K702)</f>
        <v>0</v>
      </c>
      <c r="N702" s="17" t="str">
        <f aca="false">IF(M702=0,"-",ROUND(3+M702/안내!$C$12,0))</f>
        <v>-</v>
      </c>
      <c r="O702" s="21" t="str">
        <f aca="false">IF(K702="","(본문 입력 후 자동) | 요일 4:7",IF(LEN(K702)&gt;28,LEFT(K702,28)&amp;"…",K702)&amp;" | 요일 4:7")</f>
        <v>(본문 입력 후 자동) | 요일 4:7</v>
      </c>
      <c r="P702" s="21" t="str">
        <f aca="false">"#"&amp;SUBSTITUTE(안내!$C$5," ","")&amp;" #성경구절 #말씀 #요한일서 #사랑"</f>
        <v>#오늘의말씀 #성경구절 #말씀 #요한일서 #사랑</v>
      </c>
      <c r="Q702" s="21" t="s">
        <v>77</v>
      </c>
      <c r="R702" s="22" t="n">
        <f aca="false">안내!$C$6+INT((D702-1)/안내!$C$7)</f>
        <v>46556</v>
      </c>
      <c r="S702" s="17" t="str">
        <f aca="false">IF(MOD(D702-1,안내!$C$7)=0,안내!$C$9,안내!$C$11)</f>
        <v>12:30</v>
      </c>
      <c r="T702" s="17" t="str">
        <f aca="false">CHOOSE(WEEKDAY(R702,2),"월","화","수","목","금","토","일")</f>
        <v>금</v>
      </c>
      <c r="U702" s="17" t="s">
        <v>78</v>
      </c>
      <c r="V702" s="17" t="s">
        <v>78</v>
      </c>
      <c r="W702" s="23"/>
      <c r="X702" s="23"/>
      <c r="Y702" s="21"/>
    </row>
    <row r="703" customFormat="false" ht="25.35" hidden="false" customHeight="false" outlineLevel="0" collapsed="false">
      <c r="A703" s="17" t="n">
        <v>702</v>
      </c>
      <c r="B703" s="18" t="s">
        <v>2118</v>
      </c>
      <c r="C703" s="17" t="s">
        <v>1225</v>
      </c>
      <c r="D703" s="17" t="n">
        <v>338</v>
      </c>
      <c r="E703" s="17" t="str">
        <f aca="false">C703&amp;"말씀 #"&amp;TEXT(D703,"000")</f>
        <v>신약말씀 #338</v>
      </c>
      <c r="F703" s="17" t="s">
        <v>2102</v>
      </c>
      <c r="G703" s="18" t="s">
        <v>544</v>
      </c>
      <c r="H703" s="19" t="s">
        <v>2119</v>
      </c>
      <c r="I703" s="17" t="s">
        <v>239</v>
      </c>
      <c r="J703" s="17" t="s">
        <v>94</v>
      </c>
      <c r="K703" s="20"/>
      <c r="L703" s="17" t="s">
        <v>76</v>
      </c>
      <c r="M703" s="17" t="n">
        <f aca="false">LEN(K703)</f>
        <v>0</v>
      </c>
      <c r="N703" s="17" t="str">
        <f aca="false">IF(M703=0,"-",ROUND(3+M703/안내!$C$12,0))</f>
        <v>-</v>
      </c>
      <c r="O703" s="21" t="str">
        <f aca="false">IF(K703="","(본문 입력 후 자동) | 요일 4:8",IF(LEN(K703)&gt;28,LEFT(K703,28)&amp;"…",K703)&amp;" | 요일 4:8")</f>
        <v>(본문 입력 후 자동) | 요일 4:8</v>
      </c>
      <c r="P703" s="21" t="str">
        <f aca="false">"#"&amp;SUBSTITUTE(안내!$C$5," ","")&amp;" #성경구절 #말씀 #요한일서 #사랑"</f>
        <v>#오늘의말씀 #성경구절 #말씀 #요한일서 #사랑</v>
      </c>
      <c r="Q703" s="21" t="s">
        <v>77</v>
      </c>
      <c r="R703" s="22" t="n">
        <f aca="false">안내!$C$6+INT((D703-1)/안내!$C$7)</f>
        <v>46556</v>
      </c>
      <c r="S703" s="17" t="str">
        <f aca="false">IF(MOD(D703-1,안내!$C$7)=0,안내!$C$9,안내!$C$11)</f>
        <v>21:30</v>
      </c>
      <c r="T703" s="17" t="str">
        <f aca="false">CHOOSE(WEEKDAY(R703,2),"월","화","수","목","금","토","일")</f>
        <v>금</v>
      </c>
      <c r="U703" s="17" t="s">
        <v>78</v>
      </c>
      <c r="V703" s="17" t="s">
        <v>78</v>
      </c>
      <c r="W703" s="23"/>
      <c r="X703" s="23"/>
      <c r="Y703" s="21"/>
    </row>
    <row r="704" customFormat="false" ht="26.85" hidden="false" customHeight="false" outlineLevel="0" collapsed="false">
      <c r="A704" s="17" t="n">
        <v>703</v>
      </c>
      <c r="B704" s="18" t="s">
        <v>2120</v>
      </c>
      <c r="C704" s="17" t="s">
        <v>1225</v>
      </c>
      <c r="D704" s="17" t="n">
        <v>339</v>
      </c>
      <c r="E704" s="17" t="str">
        <f aca="false">C704&amp;"말씀 #"&amp;TEXT(D704,"000")</f>
        <v>신약말씀 #339</v>
      </c>
      <c r="F704" s="17" t="s">
        <v>2102</v>
      </c>
      <c r="G704" s="18" t="s">
        <v>435</v>
      </c>
      <c r="H704" s="19" t="s">
        <v>2121</v>
      </c>
      <c r="I704" s="17" t="s">
        <v>239</v>
      </c>
      <c r="J704" s="17" t="s">
        <v>94</v>
      </c>
      <c r="K704" s="20"/>
      <c r="L704" s="17" t="s">
        <v>76</v>
      </c>
      <c r="M704" s="17" t="n">
        <f aca="false">LEN(K704)</f>
        <v>0</v>
      </c>
      <c r="N704" s="17" t="str">
        <f aca="false">IF(M704=0,"-",ROUND(3+M704/안내!$C$12,0))</f>
        <v>-</v>
      </c>
      <c r="O704" s="21" t="str">
        <f aca="false">IF(K704="","(본문 입력 후 자동) | 요일 4:10",IF(LEN(K704)&gt;28,LEFT(K704,28)&amp;"…",K704)&amp;" | 요일 4:10")</f>
        <v>(본문 입력 후 자동) | 요일 4:10</v>
      </c>
      <c r="P704" s="21" t="str">
        <f aca="false">"#"&amp;SUBSTITUTE(안내!$C$5," ","")&amp;" #성경구절 #말씀 #요한일서 #사랑"</f>
        <v>#오늘의말씀 #성경구절 #말씀 #요한일서 #사랑</v>
      </c>
      <c r="Q704" s="21" t="s">
        <v>77</v>
      </c>
      <c r="R704" s="22" t="n">
        <f aca="false">안내!$C$6+INT((D704-1)/안내!$C$7)</f>
        <v>46557</v>
      </c>
      <c r="S704" s="17" t="str">
        <f aca="false">IF(MOD(D704-1,안내!$C$7)=0,안내!$C$9,안내!$C$11)</f>
        <v>12:30</v>
      </c>
      <c r="T704" s="17" t="str">
        <f aca="false">CHOOSE(WEEKDAY(R704,2),"월","화","수","목","금","토","일")</f>
        <v>토</v>
      </c>
      <c r="U704" s="17" t="s">
        <v>78</v>
      </c>
      <c r="V704" s="17" t="s">
        <v>78</v>
      </c>
      <c r="W704" s="23"/>
      <c r="X704" s="23"/>
      <c r="Y704" s="21"/>
    </row>
    <row r="705" customFormat="false" ht="26.85" hidden="false" customHeight="false" outlineLevel="0" collapsed="false">
      <c r="A705" s="17" t="n">
        <v>704</v>
      </c>
      <c r="B705" s="18" t="s">
        <v>2122</v>
      </c>
      <c r="C705" s="17" t="s">
        <v>1225</v>
      </c>
      <c r="D705" s="17" t="n">
        <v>340</v>
      </c>
      <c r="E705" s="17" t="str">
        <f aca="false">C705&amp;"말씀 #"&amp;TEXT(D705,"000")</f>
        <v>신약말씀 #340</v>
      </c>
      <c r="F705" s="17" t="s">
        <v>2102</v>
      </c>
      <c r="G705" s="18" t="s">
        <v>1397</v>
      </c>
      <c r="H705" s="19" t="s">
        <v>2123</v>
      </c>
      <c r="I705" s="17" t="s">
        <v>239</v>
      </c>
      <c r="J705" s="17" t="s">
        <v>94</v>
      </c>
      <c r="K705" s="20"/>
      <c r="L705" s="17" t="s">
        <v>76</v>
      </c>
      <c r="M705" s="17" t="n">
        <f aca="false">LEN(K705)</f>
        <v>0</v>
      </c>
      <c r="N705" s="17" t="str">
        <f aca="false">IF(M705=0,"-",ROUND(3+M705/안내!$C$12,0))</f>
        <v>-</v>
      </c>
      <c r="O705" s="21" t="str">
        <f aca="false">IF(K705="","(본문 입력 후 자동) | 요일 4:18",IF(LEN(K705)&gt;28,LEFT(K705,28)&amp;"…",K705)&amp;" | 요일 4:18")</f>
        <v>(본문 입력 후 자동) | 요일 4:18</v>
      </c>
      <c r="P705" s="21" t="str">
        <f aca="false">"#"&amp;SUBSTITUTE(안내!$C$5," ","")&amp;" #성경구절 #말씀 #요한일서 #사랑"</f>
        <v>#오늘의말씀 #성경구절 #말씀 #요한일서 #사랑</v>
      </c>
      <c r="Q705" s="21" t="s">
        <v>77</v>
      </c>
      <c r="R705" s="22" t="n">
        <f aca="false">안내!$C$6+INT((D705-1)/안내!$C$7)</f>
        <v>46557</v>
      </c>
      <c r="S705" s="17" t="str">
        <f aca="false">IF(MOD(D705-1,안내!$C$7)=0,안내!$C$9,안내!$C$11)</f>
        <v>21:30</v>
      </c>
      <c r="T705" s="17" t="str">
        <f aca="false">CHOOSE(WEEKDAY(R705,2),"월","화","수","목","금","토","일")</f>
        <v>토</v>
      </c>
      <c r="U705" s="17" t="s">
        <v>78</v>
      </c>
      <c r="V705" s="17" t="s">
        <v>78</v>
      </c>
      <c r="W705" s="23"/>
      <c r="X705" s="23"/>
      <c r="Y705" s="21"/>
    </row>
    <row r="706" customFormat="false" ht="26.85" hidden="false" customHeight="false" outlineLevel="0" collapsed="false">
      <c r="A706" s="17" t="n">
        <v>705</v>
      </c>
      <c r="B706" s="18" t="s">
        <v>2124</v>
      </c>
      <c r="C706" s="17" t="s">
        <v>1225</v>
      </c>
      <c r="D706" s="17" t="n">
        <v>341</v>
      </c>
      <c r="E706" s="17" t="str">
        <f aca="false">C706&amp;"말씀 #"&amp;TEXT(D706,"000")</f>
        <v>신약말씀 #341</v>
      </c>
      <c r="F706" s="17" t="s">
        <v>2102</v>
      </c>
      <c r="G706" s="18" t="s">
        <v>1237</v>
      </c>
      <c r="H706" s="19" t="s">
        <v>2125</v>
      </c>
      <c r="I706" s="17" t="s">
        <v>239</v>
      </c>
      <c r="J706" s="17" t="s">
        <v>94</v>
      </c>
      <c r="K706" s="20"/>
      <c r="L706" s="17" t="s">
        <v>76</v>
      </c>
      <c r="M706" s="17" t="n">
        <f aca="false">LEN(K706)</f>
        <v>0</v>
      </c>
      <c r="N706" s="17" t="str">
        <f aca="false">IF(M706=0,"-",ROUND(3+M706/안내!$C$12,0))</f>
        <v>-</v>
      </c>
      <c r="O706" s="21" t="str">
        <f aca="false">IF(K706="","(본문 입력 후 자동) | 요일 4:19",IF(LEN(K706)&gt;28,LEFT(K706,28)&amp;"…",K706)&amp;" | 요일 4:19")</f>
        <v>(본문 입력 후 자동) | 요일 4:19</v>
      </c>
      <c r="P706" s="21" t="str">
        <f aca="false">"#"&amp;SUBSTITUTE(안내!$C$5," ","")&amp;" #성경구절 #말씀 #요한일서 #사랑"</f>
        <v>#오늘의말씀 #성경구절 #말씀 #요한일서 #사랑</v>
      </c>
      <c r="Q706" s="21" t="s">
        <v>77</v>
      </c>
      <c r="R706" s="22" t="n">
        <f aca="false">안내!$C$6+INT((D706-1)/안내!$C$7)</f>
        <v>46558</v>
      </c>
      <c r="S706" s="17" t="str">
        <f aca="false">IF(MOD(D706-1,안내!$C$7)=0,안내!$C$9,안내!$C$11)</f>
        <v>12:30</v>
      </c>
      <c r="T706" s="17" t="str">
        <f aca="false">CHOOSE(WEEKDAY(R706,2),"월","화","수","목","금","토","일")</f>
        <v>일</v>
      </c>
      <c r="U706" s="17" t="s">
        <v>78</v>
      </c>
      <c r="V706" s="17" t="s">
        <v>78</v>
      </c>
      <c r="W706" s="23"/>
      <c r="X706" s="23"/>
      <c r="Y706" s="21"/>
    </row>
    <row r="707" customFormat="false" ht="25.35" hidden="false" customHeight="false" outlineLevel="0" collapsed="false">
      <c r="A707" s="17" t="n">
        <v>706</v>
      </c>
      <c r="B707" s="18" t="s">
        <v>2126</v>
      </c>
      <c r="C707" s="17" t="s">
        <v>1225</v>
      </c>
      <c r="D707" s="17" t="n">
        <v>342</v>
      </c>
      <c r="E707" s="17" t="str">
        <f aca="false">C707&amp;"말씀 #"&amp;TEXT(D707,"000")</f>
        <v>신약말씀 #342</v>
      </c>
      <c r="F707" s="17" t="s">
        <v>2102</v>
      </c>
      <c r="G707" s="18" t="s">
        <v>1144</v>
      </c>
      <c r="H707" s="19" t="s">
        <v>2127</v>
      </c>
      <c r="I707" s="17" t="s">
        <v>207</v>
      </c>
      <c r="J707" s="17" t="s">
        <v>113</v>
      </c>
      <c r="K707" s="20"/>
      <c r="L707" s="17" t="s">
        <v>76</v>
      </c>
      <c r="M707" s="17" t="n">
        <f aca="false">LEN(K707)</f>
        <v>0</v>
      </c>
      <c r="N707" s="17" t="str">
        <f aca="false">IF(M707=0,"-",ROUND(3+M707/안내!$C$12,0))</f>
        <v>-</v>
      </c>
      <c r="O707" s="21" t="str">
        <f aca="false">IF(K707="","(본문 입력 후 자동) | 요일 5:4",IF(LEN(K707)&gt;28,LEFT(K707,28)&amp;"…",K707)&amp;" | 요일 5:4")</f>
        <v>(본문 입력 후 자동) | 요일 5:4</v>
      </c>
      <c r="P707" s="21" t="str">
        <f aca="false">"#"&amp;SUBSTITUTE(안내!$C$5," ","")&amp;" #성경구절 #말씀 #요한일서 #승리"</f>
        <v>#오늘의말씀 #성경구절 #말씀 #요한일서 #승리</v>
      </c>
      <c r="Q707" s="21" t="s">
        <v>77</v>
      </c>
      <c r="R707" s="22" t="n">
        <f aca="false">안내!$C$6+INT((D707-1)/안내!$C$7)</f>
        <v>46558</v>
      </c>
      <c r="S707" s="17" t="str">
        <f aca="false">IF(MOD(D707-1,안내!$C$7)=0,안내!$C$9,안내!$C$11)</f>
        <v>21:30</v>
      </c>
      <c r="T707" s="17" t="str">
        <f aca="false">CHOOSE(WEEKDAY(R707,2),"월","화","수","목","금","토","일")</f>
        <v>일</v>
      </c>
      <c r="U707" s="17" t="s">
        <v>78</v>
      </c>
      <c r="V707" s="17" t="s">
        <v>78</v>
      </c>
      <c r="W707" s="23"/>
      <c r="X707" s="23"/>
      <c r="Y707" s="21"/>
    </row>
    <row r="708" customFormat="false" ht="26.85" hidden="false" customHeight="false" outlineLevel="0" collapsed="false">
      <c r="A708" s="17" t="n">
        <v>707</v>
      </c>
      <c r="B708" s="18" t="s">
        <v>2128</v>
      </c>
      <c r="C708" s="17" t="s">
        <v>1225</v>
      </c>
      <c r="D708" s="17" t="n">
        <v>343</v>
      </c>
      <c r="E708" s="17" t="str">
        <f aca="false">C708&amp;"말씀 #"&amp;TEXT(D708,"000")</f>
        <v>신약말씀 #343</v>
      </c>
      <c r="F708" s="17" t="s">
        <v>2102</v>
      </c>
      <c r="G708" s="18" t="s">
        <v>1808</v>
      </c>
      <c r="H708" s="19" t="s">
        <v>2129</v>
      </c>
      <c r="I708" s="17" t="s">
        <v>103</v>
      </c>
      <c r="J708" s="17" t="s">
        <v>104</v>
      </c>
      <c r="K708" s="20"/>
      <c r="L708" s="17" t="s">
        <v>76</v>
      </c>
      <c r="M708" s="17" t="n">
        <f aca="false">LEN(K708)</f>
        <v>0</v>
      </c>
      <c r="N708" s="17" t="str">
        <f aca="false">IF(M708=0,"-",ROUND(3+M708/안내!$C$12,0))</f>
        <v>-</v>
      </c>
      <c r="O708" s="21" t="str">
        <f aca="false">IF(K708="","(본문 입력 후 자동) | 요일 5:13",IF(LEN(K708)&gt;28,LEFT(K708,28)&amp;"…",K708)&amp;" | 요일 5:13")</f>
        <v>(본문 입력 후 자동) | 요일 5:13</v>
      </c>
      <c r="P708" s="21" t="str">
        <f aca="false">"#"&amp;SUBSTITUTE(안내!$C$5," ","")&amp;" #성경구절 #말씀 #요한일서 #구원"</f>
        <v>#오늘의말씀 #성경구절 #말씀 #요한일서 #구원</v>
      </c>
      <c r="Q708" s="21" t="s">
        <v>77</v>
      </c>
      <c r="R708" s="22" t="n">
        <f aca="false">안내!$C$6+INT((D708-1)/안내!$C$7)</f>
        <v>46559</v>
      </c>
      <c r="S708" s="17" t="str">
        <f aca="false">IF(MOD(D708-1,안내!$C$7)=0,안내!$C$9,안내!$C$11)</f>
        <v>12:30</v>
      </c>
      <c r="T708" s="17" t="str">
        <f aca="false">CHOOSE(WEEKDAY(R708,2),"월","화","수","목","금","토","일")</f>
        <v>월</v>
      </c>
      <c r="U708" s="17" t="s">
        <v>78</v>
      </c>
      <c r="V708" s="17" t="s">
        <v>78</v>
      </c>
      <c r="W708" s="23"/>
      <c r="X708" s="23"/>
      <c r="Y708" s="21"/>
    </row>
    <row r="709" customFormat="false" ht="25.35" hidden="false" customHeight="false" outlineLevel="0" collapsed="false">
      <c r="A709" s="17" t="n">
        <v>708</v>
      </c>
      <c r="B709" s="18" t="s">
        <v>2130</v>
      </c>
      <c r="C709" s="17" t="s">
        <v>1225</v>
      </c>
      <c r="D709" s="17" t="n">
        <v>344</v>
      </c>
      <c r="E709" s="17" t="str">
        <f aca="false">C709&amp;"말씀 #"&amp;TEXT(D709,"000")</f>
        <v>신약말씀 #344</v>
      </c>
      <c r="F709" s="17" t="s">
        <v>2131</v>
      </c>
      <c r="G709" s="18" t="s">
        <v>1860</v>
      </c>
      <c r="H709" s="19" t="s">
        <v>2132</v>
      </c>
      <c r="I709" s="17" t="s">
        <v>239</v>
      </c>
      <c r="J709" s="17" t="s">
        <v>94</v>
      </c>
      <c r="K709" s="20"/>
      <c r="L709" s="17" t="s">
        <v>76</v>
      </c>
      <c r="M709" s="17" t="n">
        <f aca="false">LEN(K709)</f>
        <v>0</v>
      </c>
      <c r="N709" s="17" t="str">
        <f aca="false">IF(M709=0,"-",ROUND(3+M709/안내!$C$12,0))</f>
        <v>-</v>
      </c>
      <c r="O709" s="21" t="str">
        <f aca="false">IF(K709="","(본문 입력 후 자동) | 요이 1:6",IF(LEN(K709)&gt;28,LEFT(K709,28)&amp;"…",K709)&amp;" | 요이 1:6")</f>
        <v>(본문 입력 후 자동) | 요이 1:6</v>
      </c>
      <c r="P709" s="21" t="str">
        <f aca="false">"#"&amp;SUBSTITUTE(안내!$C$5," ","")&amp;" #성경구절 #말씀 #요한이서 #사랑"</f>
        <v>#오늘의말씀 #성경구절 #말씀 #요한이서 #사랑</v>
      </c>
      <c r="Q709" s="21" t="s">
        <v>77</v>
      </c>
      <c r="R709" s="22" t="n">
        <f aca="false">안내!$C$6+INT((D709-1)/안내!$C$7)</f>
        <v>46559</v>
      </c>
      <c r="S709" s="17" t="str">
        <f aca="false">IF(MOD(D709-1,안내!$C$7)=0,안내!$C$9,안내!$C$11)</f>
        <v>21:30</v>
      </c>
      <c r="T709" s="17" t="str">
        <f aca="false">CHOOSE(WEEKDAY(R709,2),"월","화","수","목","금","토","일")</f>
        <v>월</v>
      </c>
      <c r="U709" s="17" t="s">
        <v>78</v>
      </c>
      <c r="V709" s="17" t="s">
        <v>78</v>
      </c>
      <c r="W709" s="23"/>
      <c r="X709" s="23"/>
      <c r="Y709" s="21"/>
    </row>
    <row r="710" customFormat="false" ht="25.35" hidden="false" customHeight="false" outlineLevel="0" collapsed="false">
      <c r="A710" s="17" t="n">
        <v>709</v>
      </c>
      <c r="B710" s="18" t="s">
        <v>2133</v>
      </c>
      <c r="C710" s="17" t="s">
        <v>1225</v>
      </c>
      <c r="D710" s="17" t="n">
        <v>345</v>
      </c>
      <c r="E710" s="17" t="str">
        <f aca="false">C710&amp;"말씀 #"&amp;TEXT(D710,"000")</f>
        <v>신약말씀 #345</v>
      </c>
      <c r="F710" s="17" t="s">
        <v>2134</v>
      </c>
      <c r="G710" s="18" t="s">
        <v>1456</v>
      </c>
      <c r="H710" s="19" t="s">
        <v>2135</v>
      </c>
      <c r="I710" s="17" t="s">
        <v>483</v>
      </c>
      <c r="J710" s="17" t="s">
        <v>89</v>
      </c>
      <c r="K710" s="20"/>
      <c r="L710" s="17" t="s">
        <v>76</v>
      </c>
      <c r="M710" s="17" t="n">
        <f aca="false">LEN(K710)</f>
        <v>0</v>
      </c>
      <c r="N710" s="17" t="str">
        <f aca="false">IF(M710=0,"-",ROUND(3+M710/안내!$C$12,0))</f>
        <v>-</v>
      </c>
      <c r="O710" s="21" t="str">
        <f aca="false">IF(K710="","(본문 입력 후 자동) | 요삼 1:4",IF(LEN(K710)&gt;28,LEFT(K710,28)&amp;"…",K710)&amp;" | 요삼 1:4")</f>
        <v>(본문 입력 후 자동) | 요삼 1:4</v>
      </c>
      <c r="P710" s="21" t="str">
        <f aca="false">"#"&amp;SUBSTITUTE(안내!$C$5," ","")&amp;" #성경구절 #말씀 #요한삼서 #기쁨"</f>
        <v>#오늘의말씀 #성경구절 #말씀 #요한삼서 #기쁨</v>
      </c>
      <c r="Q710" s="21" t="s">
        <v>77</v>
      </c>
      <c r="R710" s="22" t="n">
        <f aca="false">안내!$C$6+INT((D710-1)/안내!$C$7)</f>
        <v>46560</v>
      </c>
      <c r="S710" s="17" t="str">
        <f aca="false">IF(MOD(D710-1,안내!$C$7)=0,안내!$C$9,안내!$C$11)</f>
        <v>12:30</v>
      </c>
      <c r="T710" s="17" t="str">
        <f aca="false">CHOOSE(WEEKDAY(R710,2),"월","화","수","목","금","토","일")</f>
        <v>화</v>
      </c>
      <c r="U710" s="17" t="s">
        <v>78</v>
      </c>
      <c r="V710" s="17" t="s">
        <v>78</v>
      </c>
      <c r="W710" s="23"/>
      <c r="X710" s="23"/>
      <c r="Y710" s="21"/>
    </row>
    <row r="711" customFormat="false" ht="15" hidden="false" customHeight="false" outlineLevel="0" collapsed="false">
      <c r="A711" s="17" t="n">
        <v>710</v>
      </c>
      <c r="B711" s="18" t="s">
        <v>2136</v>
      </c>
      <c r="C711" s="17" t="s">
        <v>1225</v>
      </c>
      <c r="D711" s="17" t="n">
        <v>346</v>
      </c>
      <c r="E711" s="17" t="str">
        <f aca="false">C711&amp;"말씀 #"&amp;TEXT(D711,"000")</f>
        <v>신약말씀 #346</v>
      </c>
      <c r="F711" s="17" t="s">
        <v>2137</v>
      </c>
      <c r="G711" s="18" t="s">
        <v>495</v>
      </c>
      <c r="H711" s="19" t="s">
        <v>2138</v>
      </c>
      <c r="I711" s="17" t="s">
        <v>239</v>
      </c>
      <c r="J711" s="17" t="s">
        <v>94</v>
      </c>
      <c r="K711" s="20"/>
      <c r="L711" s="17" t="s">
        <v>76</v>
      </c>
      <c r="M711" s="17" t="n">
        <f aca="false">LEN(K711)</f>
        <v>0</v>
      </c>
      <c r="N711" s="17" t="str">
        <f aca="false">IF(M711=0,"-",ROUND(3+M711/안내!$C$12,0))</f>
        <v>-</v>
      </c>
      <c r="O711" s="21" t="str">
        <f aca="false">IF(K711="","(본문 입력 후 자동) | 유 1:21",IF(LEN(K711)&gt;28,LEFT(K711,28)&amp;"…",K711)&amp;" | 유 1:21")</f>
        <v>(본문 입력 후 자동) | 유 1:21</v>
      </c>
      <c r="P711" s="21" t="str">
        <f aca="false">"#"&amp;SUBSTITUTE(안내!$C$5," ","")&amp;" #성경구절 #말씀 #유다서 #사랑"</f>
        <v>#오늘의말씀 #성경구절 #말씀 #유다서 #사랑</v>
      </c>
      <c r="Q711" s="21" t="s">
        <v>77</v>
      </c>
      <c r="R711" s="22" t="n">
        <f aca="false">안내!$C$6+INT((D711-1)/안내!$C$7)</f>
        <v>46560</v>
      </c>
      <c r="S711" s="17" t="str">
        <f aca="false">IF(MOD(D711-1,안내!$C$7)=0,안내!$C$9,안내!$C$11)</f>
        <v>21:30</v>
      </c>
      <c r="T711" s="17" t="str">
        <f aca="false">CHOOSE(WEEKDAY(R711,2),"월","화","수","목","금","토","일")</f>
        <v>화</v>
      </c>
      <c r="U711" s="17" t="s">
        <v>78</v>
      </c>
      <c r="V711" s="17" t="s">
        <v>78</v>
      </c>
      <c r="W711" s="23"/>
      <c r="X711" s="23"/>
      <c r="Y711" s="21"/>
    </row>
    <row r="712" customFormat="false" ht="15" hidden="false" customHeight="false" outlineLevel="0" collapsed="false">
      <c r="A712" s="17" t="n">
        <v>711</v>
      </c>
      <c r="B712" s="18" t="s">
        <v>2139</v>
      </c>
      <c r="C712" s="17" t="s">
        <v>1225</v>
      </c>
      <c r="D712" s="17" t="n">
        <v>347</v>
      </c>
      <c r="E712" s="17" t="str">
        <f aca="false">C712&amp;"말씀 #"&amp;TEXT(D712,"000")</f>
        <v>신약말씀 #347</v>
      </c>
      <c r="F712" s="17" t="s">
        <v>2137</v>
      </c>
      <c r="G712" s="18" t="s">
        <v>2067</v>
      </c>
      <c r="H712" s="19" t="s">
        <v>2140</v>
      </c>
      <c r="I712" s="17" t="s">
        <v>353</v>
      </c>
      <c r="J712" s="17" t="s">
        <v>113</v>
      </c>
      <c r="K712" s="20"/>
      <c r="L712" s="17" t="s">
        <v>76</v>
      </c>
      <c r="M712" s="17" t="n">
        <f aca="false">LEN(K712)</f>
        <v>0</v>
      </c>
      <c r="N712" s="17" t="str">
        <f aca="false">IF(M712=0,"-",ROUND(3+M712/안내!$C$12,0))</f>
        <v>-</v>
      </c>
      <c r="O712" s="21" t="str">
        <f aca="false">IF(K712="","(본문 입력 후 자동) | 유 1:24",IF(LEN(K712)&gt;28,LEFT(K712,28)&amp;"…",K712)&amp;" | 유 1:24")</f>
        <v>(본문 입력 후 자동) | 유 1:24</v>
      </c>
      <c r="P712" s="21" t="str">
        <f aca="false">"#"&amp;SUBSTITUTE(안내!$C$5," ","")&amp;" #성경구절 #말씀 #유다서 #보호"</f>
        <v>#오늘의말씀 #성경구절 #말씀 #유다서 #보호</v>
      </c>
      <c r="Q712" s="21" t="s">
        <v>77</v>
      </c>
      <c r="R712" s="22" t="n">
        <f aca="false">안내!$C$6+INT((D712-1)/안내!$C$7)</f>
        <v>46561</v>
      </c>
      <c r="S712" s="17" t="str">
        <f aca="false">IF(MOD(D712-1,안내!$C$7)=0,안내!$C$9,안내!$C$11)</f>
        <v>12:30</v>
      </c>
      <c r="T712" s="17" t="str">
        <f aca="false">CHOOSE(WEEKDAY(R712,2),"월","화","수","목","금","토","일")</f>
        <v>수</v>
      </c>
      <c r="U712" s="17" t="s">
        <v>78</v>
      </c>
      <c r="V712" s="17" t="s">
        <v>78</v>
      </c>
      <c r="W712" s="23"/>
      <c r="X712" s="23"/>
      <c r="Y712" s="21"/>
    </row>
    <row r="713" customFormat="false" ht="15" hidden="false" customHeight="false" outlineLevel="0" collapsed="false">
      <c r="A713" s="17" t="n">
        <v>712</v>
      </c>
      <c r="B713" s="18" t="s">
        <v>2141</v>
      </c>
      <c r="C713" s="17" t="s">
        <v>1225</v>
      </c>
      <c r="D713" s="17" t="n">
        <v>348</v>
      </c>
      <c r="E713" s="17" t="str">
        <f aca="false">C713&amp;"말씀 #"&amp;TEXT(D713,"000")</f>
        <v>신약말씀 #348</v>
      </c>
      <c r="F713" s="17" t="s">
        <v>2142</v>
      </c>
      <c r="G713" s="18" t="s">
        <v>1152</v>
      </c>
      <c r="H713" s="19" t="s">
        <v>2143</v>
      </c>
      <c r="I713" s="17" t="s">
        <v>284</v>
      </c>
      <c r="J713" s="17" t="s">
        <v>148</v>
      </c>
      <c r="K713" s="20"/>
      <c r="L713" s="17" t="s">
        <v>76</v>
      </c>
      <c r="M713" s="17" t="n">
        <f aca="false">LEN(K713)</f>
        <v>0</v>
      </c>
      <c r="N713" s="17" t="str">
        <f aca="false">IF(M713=0,"-",ROUND(3+M713/안내!$C$12,0))</f>
        <v>-</v>
      </c>
      <c r="O713" s="21" t="str">
        <f aca="false">IF(K713="","(본문 입력 후 자동) | 계 1:3",IF(LEN(K713)&gt;28,LEFT(K713,28)&amp;"…",K713)&amp;" | 계 1:3")</f>
        <v>(본문 입력 후 자동) | 계 1:3</v>
      </c>
      <c r="P713" s="21" t="str">
        <f aca="false">"#"&amp;SUBSTITUTE(안내!$C$5," ","")&amp;" #성경구절 #말씀 #요한계시록 #말씀"</f>
        <v>#오늘의말씀 #성경구절 #말씀 #요한계시록 #말씀</v>
      </c>
      <c r="Q713" s="21" t="s">
        <v>77</v>
      </c>
      <c r="R713" s="22" t="n">
        <f aca="false">안내!$C$6+INT((D713-1)/안내!$C$7)</f>
        <v>46561</v>
      </c>
      <c r="S713" s="17" t="str">
        <f aca="false">IF(MOD(D713-1,안내!$C$7)=0,안내!$C$9,안내!$C$11)</f>
        <v>21:30</v>
      </c>
      <c r="T713" s="17" t="str">
        <f aca="false">CHOOSE(WEEKDAY(R713,2),"월","화","수","목","금","토","일")</f>
        <v>수</v>
      </c>
      <c r="U713" s="17" t="s">
        <v>78</v>
      </c>
      <c r="V713" s="17" t="s">
        <v>78</v>
      </c>
      <c r="W713" s="23"/>
      <c r="X713" s="23"/>
      <c r="Y713" s="21"/>
    </row>
    <row r="714" customFormat="false" ht="15" hidden="false" customHeight="false" outlineLevel="0" collapsed="false">
      <c r="A714" s="17" t="n">
        <v>713</v>
      </c>
      <c r="B714" s="18" t="s">
        <v>2144</v>
      </c>
      <c r="C714" s="17" t="s">
        <v>1225</v>
      </c>
      <c r="D714" s="17" t="n">
        <v>349</v>
      </c>
      <c r="E714" s="17" t="str">
        <f aca="false">C714&amp;"말씀 #"&amp;TEXT(D714,"000")</f>
        <v>신약말씀 #349</v>
      </c>
      <c r="F714" s="17" t="s">
        <v>2142</v>
      </c>
      <c r="G714" s="18" t="s">
        <v>499</v>
      </c>
      <c r="H714" s="19" t="s">
        <v>2145</v>
      </c>
      <c r="I714" s="17" t="s">
        <v>333</v>
      </c>
      <c r="J714" s="17" t="s">
        <v>122</v>
      </c>
      <c r="K714" s="20"/>
      <c r="L714" s="17" t="s">
        <v>76</v>
      </c>
      <c r="M714" s="17" t="n">
        <f aca="false">LEN(K714)</f>
        <v>0</v>
      </c>
      <c r="N714" s="17" t="str">
        <f aca="false">IF(M714=0,"-",ROUND(3+M714/안내!$C$12,0))</f>
        <v>-</v>
      </c>
      <c r="O714" s="21" t="str">
        <f aca="false">IF(K714="","(본문 입력 후 자동) | 계 2:10",IF(LEN(K714)&gt;28,LEFT(K714,28)&amp;"…",K714)&amp;" | 계 2:10")</f>
        <v>(본문 입력 후 자동) | 계 2:10</v>
      </c>
      <c r="P714" s="21" t="str">
        <f aca="false">"#"&amp;SUBSTITUTE(안내!$C$5," ","")&amp;" #성경구절 #말씀 #요한계시록 #헌신"</f>
        <v>#오늘의말씀 #성경구절 #말씀 #요한계시록 #헌신</v>
      </c>
      <c r="Q714" s="21" t="s">
        <v>77</v>
      </c>
      <c r="R714" s="22" t="n">
        <f aca="false">안내!$C$6+INT((D714-1)/안내!$C$7)</f>
        <v>46562</v>
      </c>
      <c r="S714" s="17" t="str">
        <f aca="false">IF(MOD(D714-1,안내!$C$7)=0,안내!$C$9,안내!$C$11)</f>
        <v>12:30</v>
      </c>
      <c r="T714" s="17" t="str">
        <f aca="false">CHOOSE(WEEKDAY(R714,2),"월","화","수","목","금","토","일")</f>
        <v>목</v>
      </c>
      <c r="U714" s="17" t="s">
        <v>78</v>
      </c>
      <c r="V714" s="17" t="s">
        <v>78</v>
      </c>
      <c r="W714" s="23"/>
      <c r="X714" s="23"/>
      <c r="Y714" s="21"/>
    </row>
    <row r="715" customFormat="false" ht="15" hidden="false" customHeight="false" outlineLevel="0" collapsed="false">
      <c r="A715" s="17" t="n">
        <v>714</v>
      </c>
      <c r="B715" s="18" t="s">
        <v>2146</v>
      </c>
      <c r="C715" s="17" t="s">
        <v>1225</v>
      </c>
      <c r="D715" s="17" t="n">
        <v>350</v>
      </c>
      <c r="E715" s="17" t="str">
        <f aca="false">C715&amp;"말씀 #"&amp;TEXT(D715,"000")</f>
        <v>신약말씀 #350</v>
      </c>
      <c r="F715" s="17" t="s">
        <v>2142</v>
      </c>
      <c r="G715" s="18" t="s">
        <v>1835</v>
      </c>
      <c r="H715" s="19" t="s">
        <v>2147</v>
      </c>
      <c r="I715" s="17" t="s">
        <v>98</v>
      </c>
      <c r="J715" s="17" t="s">
        <v>99</v>
      </c>
      <c r="K715" s="20"/>
      <c r="L715" s="17" t="s">
        <v>76</v>
      </c>
      <c r="M715" s="17" t="n">
        <f aca="false">LEN(K715)</f>
        <v>0</v>
      </c>
      <c r="N715" s="17" t="str">
        <f aca="false">IF(M715=0,"-",ROUND(3+M715/안내!$C$12,0))</f>
        <v>-</v>
      </c>
      <c r="O715" s="21" t="str">
        <f aca="false">IF(K715="","(본문 입력 후 자동) | 계 3:20",IF(LEN(K715)&gt;28,LEFT(K715,28)&amp;"…",K715)&amp;" | 계 3:20")</f>
        <v>(본문 입력 후 자동) | 계 3:20</v>
      </c>
      <c r="P715" s="21" t="str">
        <f aca="false">"#"&amp;SUBSTITUTE(안내!$C$5," ","")&amp;" #성경구절 #말씀 #요한계시록 #은혜"</f>
        <v>#오늘의말씀 #성경구절 #말씀 #요한계시록 #은혜</v>
      </c>
      <c r="Q715" s="21" t="s">
        <v>77</v>
      </c>
      <c r="R715" s="22" t="n">
        <f aca="false">안내!$C$6+INT((D715-1)/안내!$C$7)</f>
        <v>46562</v>
      </c>
      <c r="S715" s="17" t="str">
        <f aca="false">IF(MOD(D715-1,안내!$C$7)=0,안내!$C$9,안내!$C$11)</f>
        <v>21:30</v>
      </c>
      <c r="T715" s="17" t="str">
        <f aca="false">CHOOSE(WEEKDAY(R715,2),"월","화","수","목","금","토","일")</f>
        <v>목</v>
      </c>
      <c r="U715" s="17" t="s">
        <v>78</v>
      </c>
      <c r="V715" s="17" t="s">
        <v>78</v>
      </c>
      <c r="W715" s="23"/>
      <c r="X715" s="23"/>
      <c r="Y715" s="21"/>
    </row>
    <row r="716" customFormat="false" ht="15" hidden="false" customHeight="false" outlineLevel="0" collapsed="false">
      <c r="A716" s="17" t="n">
        <v>715</v>
      </c>
      <c r="B716" s="18" t="s">
        <v>2148</v>
      </c>
      <c r="C716" s="17" t="s">
        <v>1225</v>
      </c>
      <c r="D716" s="17" t="n">
        <v>351</v>
      </c>
      <c r="E716" s="17" t="str">
        <f aca="false">C716&amp;"말씀 #"&amp;TEXT(D716,"000")</f>
        <v>신약말씀 #351</v>
      </c>
      <c r="F716" s="17" t="s">
        <v>2142</v>
      </c>
      <c r="G716" s="18" t="s">
        <v>544</v>
      </c>
      <c r="H716" s="19" t="s">
        <v>2149</v>
      </c>
      <c r="I716" s="17" t="s">
        <v>172</v>
      </c>
      <c r="J716" s="17" t="s">
        <v>75</v>
      </c>
      <c r="K716" s="20"/>
      <c r="L716" s="17" t="s">
        <v>76</v>
      </c>
      <c r="M716" s="17" t="n">
        <f aca="false">LEN(K716)</f>
        <v>0</v>
      </c>
      <c r="N716" s="17" t="str">
        <f aca="false">IF(M716=0,"-",ROUND(3+M716/안내!$C$12,0))</f>
        <v>-</v>
      </c>
      <c r="O716" s="21" t="str">
        <f aca="false">IF(K716="","(본문 입력 후 자동) | 계 4:8",IF(LEN(K716)&gt;28,LEFT(K716,28)&amp;"…",K716)&amp;" | 계 4:8")</f>
        <v>(본문 입력 후 자동) | 계 4:8</v>
      </c>
      <c r="P716" s="21" t="str">
        <f aca="false">"#"&amp;SUBSTITUTE(안내!$C$5," ","")&amp;" #성경구절 #말씀 #요한계시록 #거룩"</f>
        <v>#오늘의말씀 #성경구절 #말씀 #요한계시록 #거룩</v>
      </c>
      <c r="Q716" s="21" t="s">
        <v>77</v>
      </c>
      <c r="R716" s="22" t="n">
        <f aca="false">안내!$C$6+INT((D716-1)/안내!$C$7)</f>
        <v>46563</v>
      </c>
      <c r="S716" s="17" t="str">
        <f aca="false">IF(MOD(D716-1,안내!$C$7)=0,안내!$C$9,안내!$C$11)</f>
        <v>12:30</v>
      </c>
      <c r="T716" s="17" t="str">
        <f aca="false">CHOOSE(WEEKDAY(R716,2),"월","화","수","목","금","토","일")</f>
        <v>금</v>
      </c>
      <c r="U716" s="17" t="s">
        <v>78</v>
      </c>
      <c r="V716" s="17" t="s">
        <v>78</v>
      </c>
      <c r="W716" s="23"/>
      <c r="X716" s="23"/>
      <c r="Y716" s="21"/>
    </row>
    <row r="717" customFormat="false" ht="15" hidden="false" customHeight="false" outlineLevel="0" collapsed="false">
      <c r="A717" s="17" t="n">
        <v>716</v>
      </c>
      <c r="B717" s="18" t="s">
        <v>2150</v>
      </c>
      <c r="C717" s="17" t="s">
        <v>1225</v>
      </c>
      <c r="D717" s="17" t="n">
        <v>352</v>
      </c>
      <c r="E717" s="17" t="str">
        <f aca="false">C717&amp;"말씀 #"&amp;TEXT(D717,"000")</f>
        <v>신약말씀 #352</v>
      </c>
      <c r="F717" s="17" t="s">
        <v>2142</v>
      </c>
      <c r="G717" s="18" t="s">
        <v>2151</v>
      </c>
      <c r="H717" s="19" t="s">
        <v>2152</v>
      </c>
      <c r="I717" s="17" t="s">
        <v>196</v>
      </c>
      <c r="J717" s="17" t="s">
        <v>75</v>
      </c>
      <c r="K717" s="20"/>
      <c r="L717" s="17" t="s">
        <v>76</v>
      </c>
      <c r="M717" s="17" t="n">
        <f aca="false">LEN(K717)</f>
        <v>0</v>
      </c>
      <c r="N717" s="17" t="str">
        <f aca="false">IF(M717=0,"-",ROUND(3+M717/안내!$C$12,0))</f>
        <v>-</v>
      </c>
      <c r="O717" s="21" t="str">
        <f aca="false">IF(K717="","(본문 입력 후 자동) | 계 4:11",IF(LEN(K717)&gt;28,LEFT(K717,28)&amp;"…",K717)&amp;" | 계 4:11")</f>
        <v>(본문 입력 후 자동) | 계 4:11</v>
      </c>
      <c r="P717" s="21" t="str">
        <f aca="false">"#"&amp;SUBSTITUTE(안내!$C$5," ","")&amp;" #성경구절 #말씀 #요한계시록 #찬양"</f>
        <v>#오늘의말씀 #성경구절 #말씀 #요한계시록 #찬양</v>
      </c>
      <c r="Q717" s="21" t="s">
        <v>77</v>
      </c>
      <c r="R717" s="22" t="n">
        <f aca="false">안내!$C$6+INT((D717-1)/안내!$C$7)</f>
        <v>46563</v>
      </c>
      <c r="S717" s="17" t="str">
        <f aca="false">IF(MOD(D717-1,안내!$C$7)=0,안내!$C$9,안내!$C$11)</f>
        <v>21:30</v>
      </c>
      <c r="T717" s="17" t="str">
        <f aca="false">CHOOSE(WEEKDAY(R717,2),"월","화","수","목","금","토","일")</f>
        <v>금</v>
      </c>
      <c r="U717" s="17" t="s">
        <v>78</v>
      </c>
      <c r="V717" s="17" t="s">
        <v>78</v>
      </c>
      <c r="W717" s="23"/>
      <c r="X717" s="23"/>
      <c r="Y717" s="21"/>
    </row>
    <row r="718" customFormat="false" ht="15" hidden="false" customHeight="false" outlineLevel="0" collapsed="false">
      <c r="A718" s="17" t="n">
        <v>717</v>
      </c>
      <c r="B718" s="18" t="s">
        <v>2153</v>
      </c>
      <c r="C718" s="17" t="s">
        <v>1225</v>
      </c>
      <c r="D718" s="17" t="n">
        <v>353</v>
      </c>
      <c r="E718" s="17" t="str">
        <f aca="false">C718&amp;"말씀 #"&amp;TEXT(D718,"000")</f>
        <v>신약말씀 #353</v>
      </c>
      <c r="F718" s="17" t="s">
        <v>2142</v>
      </c>
      <c r="G718" s="18" t="s">
        <v>2154</v>
      </c>
      <c r="H718" s="19" t="s">
        <v>2155</v>
      </c>
      <c r="I718" s="17" t="s">
        <v>196</v>
      </c>
      <c r="J718" s="17" t="s">
        <v>75</v>
      </c>
      <c r="K718" s="20"/>
      <c r="L718" s="17" t="s">
        <v>76</v>
      </c>
      <c r="M718" s="17" t="n">
        <f aca="false">LEN(K718)</f>
        <v>0</v>
      </c>
      <c r="N718" s="17" t="str">
        <f aca="false">IF(M718=0,"-",ROUND(3+M718/안내!$C$12,0))</f>
        <v>-</v>
      </c>
      <c r="O718" s="21" t="str">
        <f aca="false">IF(K718="","(본문 입력 후 자동) | 계 5:12",IF(LEN(K718)&gt;28,LEFT(K718,28)&amp;"…",K718)&amp;" | 계 5:12")</f>
        <v>(본문 입력 후 자동) | 계 5:12</v>
      </c>
      <c r="P718" s="21" t="str">
        <f aca="false">"#"&amp;SUBSTITUTE(안내!$C$5," ","")&amp;" #성경구절 #말씀 #요한계시록 #찬양"</f>
        <v>#오늘의말씀 #성경구절 #말씀 #요한계시록 #찬양</v>
      </c>
      <c r="Q718" s="21" t="s">
        <v>77</v>
      </c>
      <c r="R718" s="22" t="n">
        <f aca="false">안내!$C$6+INT((D718-1)/안내!$C$7)</f>
        <v>46564</v>
      </c>
      <c r="S718" s="17" t="str">
        <f aca="false">IF(MOD(D718-1,안내!$C$7)=0,안내!$C$9,안내!$C$11)</f>
        <v>12:30</v>
      </c>
      <c r="T718" s="17" t="str">
        <f aca="false">CHOOSE(WEEKDAY(R718,2),"월","화","수","목","금","토","일")</f>
        <v>토</v>
      </c>
      <c r="U718" s="17" t="s">
        <v>78</v>
      </c>
      <c r="V718" s="17" t="s">
        <v>78</v>
      </c>
      <c r="W718" s="23"/>
      <c r="X718" s="23"/>
      <c r="Y718" s="21"/>
    </row>
    <row r="719" customFormat="false" ht="15" hidden="false" customHeight="false" outlineLevel="0" collapsed="false">
      <c r="A719" s="17" t="n">
        <v>718</v>
      </c>
      <c r="B719" s="18" t="s">
        <v>2156</v>
      </c>
      <c r="C719" s="17" t="s">
        <v>1225</v>
      </c>
      <c r="D719" s="17" t="n">
        <v>354</v>
      </c>
      <c r="E719" s="17" t="str">
        <f aca="false">C719&amp;"말씀 #"&amp;TEXT(D719,"000")</f>
        <v>신약말씀 #354</v>
      </c>
      <c r="F719" s="17" t="s">
        <v>2142</v>
      </c>
      <c r="G719" s="18" t="s">
        <v>2157</v>
      </c>
      <c r="H719" s="19" t="s">
        <v>2158</v>
      </c>
      <c r="I719" s="17" t="s">
        <v>129</v>
      </c>
      <c r="J719" s="17" t="s">
        <v>99</v>
      </c>
      <c r="K719" s="20"/>
      <c r="L719" s="17" t="s">
        <v>76</v>
      </c>
      <c r="M719" s="17" t="n">
        <f aca="false">LEN(K719)</f>
        <v>0</v>
      </c>
      <c r="N719" s="17" t="str">
        <f aca="false">IF(M719=0,"-",ROUND(3+M719/안내!$C$12,0))</f>
        <v>-</v>
      </c>
      <c r="O719" s="21" t="str">
        <f aca="false">IF(K719="","(본문 입력 후 자동) | 계 7:17",IF(LEN(K719)&gt;28,LEFT(K719,28)&amp;"…",K719)&amp;" | 계 7:17")</f>
        <v>(본문 입력 후 자동) | 계 7:17</v>
      </c>
      <c r="P719" s="21" t="str">
        <f aca="false">"#"&amp;SUBSTITUTE(안내!$C$5," ","")&amp;" #성경구절 #말씀 #요한계시록 #위로"</f>
        <v>#오늘의말씀 #성경구절 #말씀 #요한계시록 #위로</v>
      </c>
      <c r="Q719" s="21" t="s">
        <v>77</v>
      </c>
      <c r="R719" s="22" t="n">
        <f aca="false">안내!$C$6+INT((D719-1)/안내!$C$7)</f>
        <v>46564</v>
      </c>
      <c r="S719" s="17" t="str">
        <f aca="false">IF(MOD(D719-1,안내!$C$7)=0,안내!$C$9,안내!$C$11)</f>
        <v>21:30</v>
      </c>
      <c r="T719" s="17" t="str">
        <f aca="false">CHOOSE(WEEKDAY(R719,2),"월","화","수","목","금","토","일")</f>
        <v>토</v>
      </c>
      <c r="U719" s="17" t="s">
        <v>78</v>
      </c>
      <c r="V719" s="17" t="s">
        <v>78</v>
      </c>
      <c r="W719" s="23"/>
      <c r="X719" s="23"/>
      <c r="Y719" s="21"/>
    </row>
    <row r="720" customFormat="false" ht="26.85" hidden="false" customHeight="false" outlineLevel="0" collapsed="false">
      <c r="A720" s="17" t="n">
        <v>719</v>
      </c>
      <c r="B720" s="18" t="s">
        <v>2159</v>
      </c>
      <c r="C720" s="17" t="s">
        <v>1225</v>
      </c>
      <c r="D720" s="17" t="n">
        <v>355</v>
      </c>
      <c r="E720" s="17" t="str">
        <f aca="false">C720&amp;"말씀 #"&amp;TEXT(D720,"000")</f>
        <v>신약말씀 #355</v>
      </c>
      <c r="F720" s="17" t="s">
        <v>2142</v>
      </c>
      <c r="G720" s="18" t="s">
        <v>2160</v>
      </c>
      <c r="H720" s="19" t="s">
        <v>2161</v>
      </c>
      <c r="I720" s="17" t="s">
        <v>1273</v>
      </c>
      <c r="J720" s="17" t="s">
        <v>89</v>
      </c>
      <c r="K720" s="20"/>
      <c r="L720" s="17" t="s">
        <v>76</v>
      </c>
      <c r="M720" s="17" t="n">
        <f aca="false">LEN(K720)</f>
        <v>0</v>
      </c>
      <c r="N720" s="17" t="str">
        <f aca="false">IF(M720=0,"-",ROUND(3+M720/안내!$C$12,0))</f>
        <v>-</v>
      </c>
      <c r="O720" s="21" t="str">
        <f aca="false">IF(K720="","(본문 입력 후 자동) | 계 11:15",IF(LEN(K720)&gt;28,LEFT(K720,28)&amp;"…",K720)&amp;" | 계 11:15")</f>
        <v>(본문 입력 후 자동) | 계 11:15</v>
      </c>
      <c r="P720" s="21" t="str">
        <f aca="false">"#"&amp;SUBSTITUTE(안내!$C$5," ","")&amp;" #성경구절 #말씀 #요한계시록 #하나님나라"</f>
        <v>#오늘의말씀 #성경구절 #말씀 #요한계시록 #하나님나라</v>
      </c>
      <c r="Q720" s="21" t="s">
        <v>77</v>
      </c>
      <c r="R720" s="22" t="n">
        <f aca="false">안내!$C$6+INT((D720-1)/안내!$C$7)</f>
        <v>46565</v>
      </c>
      <c r="S720" s="17" t="str">
        <f aca="false">IF(MOD(D720-1,안내!$C$7)=0,안내!$C$9,안내!$C$11)</f>
        <v>12:30</v>
      </c>
      <c r="T720" s="17" t="str">
        <f aca="false">CHOOSE(WEEKDAY(R720,2),"월","화","수","목","금","토","일")</f>
        <v>일</v>
      </c>
      <c r="U720" s="17" t="s">
        <v>78</v>
      </c>
      <c r="V720" s="17" t="s">
        <v>78</v>
      </c>
      <c r="W720" s="23"/>
      <c r="X720" s="23"/>
      <c r="Y720" s="21"/>
    </row>
    <row r="721" customFormat="false" ht="25.35" hidden="false" customHeight="false" outlineLevel="0" collapsed="false">
      <c r="A721" s="17" t="n">
        <v>720</v>
      </c>
      <c r="B721" s="18" t="s">
        <v>2162</v>
      </c>
      <c r="C721" s="17" t="s">
        <v>1225</v>
      </c>
      <c r="D721" s="17" t="n">
        <v>356</v>
      </c>
      <c r="E721" s="17" t="str">
        <f aca="false">C721&amp;"말씀 #"&amp;TEXT(D721,"000")</f>
        <v>신약말씀 #356</v>
      </c>
      <c r="F721" s="17" t="s">
        <v>2142</v>
      </c>
      <c r="G721" s="18" t="s">
        <v>2025</v>
      </c>
      <c r="H721" s="19" t="s">
        <v>2163</v>
      </c>
      <c r="I721" s="17" t="s">
        <v>207</v>
      </c>
      <c r="J721" s="17" t="s">
        <v>113</v>
      </c>
      <c r="K721" s="20"/>
      <c r="L721" s="17" t="s">
        <v>76</v>
      </c>
      <c r="M721" s="17" t="n">
        <f aca="false">LEN(K721)</f>
        <v>0</v>
      </c>
      <c r="N721" s="17" t="str">
        <f aca="false">IF(M721=0,"-",ROUND(3+M721/안내!$C$12,0))</f>
        <v>-</v>
      </c>
      <c r="O721" s="21" t="str">
        <f aca="false">IF(K721="","(본문 입력 후 자동) | 계 12:11",IF(LEN(K721)&gt;28,LEFT(K721,28)&amp;"…",K721)&amp;" | 계 12:11")</f>
        <v>(본문 입력 후 자동) | 계 12:11</v>
      </c>
      <c r="P721" s="21" t="str">
        <f aca="false">"#"&amp;SUBSTITUTE(안내!$C$5," ","")&amp;" #성경구절 #말씀 #요한계시록 #승리"</f>
        <v>#오늘의말씀 #성경구절 #말씀 #요한계시록 #승리</v>
      </c>
      <c r="Q721" s="21" t="s">
        <v>77</v>
      </c>
      <c r="R721" s="22" t="n">
        <f aca="false">안내!$C$6+INT((D721-1)/안내!$C$7)</f>
        <v>46565</v>
      </c>
      <c r="S721" s="17" t="str">
        <f aca="false">IF(MOD(D721-1,안내!$C$7)=0,안내!$C$9,안내!$C$11)</f>
        <v>21:30</v>
      </c>
      <c r="T721" s="17" t="str">
        <f aca="false">CHOOSE(WEEKDAY(R721,2),"월","화","수","목","금","토","일")</f>
        <v>일</v>
      </c>
      <c r="U721" s="17" t="s">
        <v>78</v>
      </c>
      <c r="V721" s="17" t="s">
        <v>78</v>
      </c>
      <c r="W721" s="23"/>
      <c r="X721" s="23"/>
      <c r="Y721" s="21"/>
    </row>
    <row r="722" customFormat="false" ht="25.35" hidden="false" customHeight="false" outlineLevel="0" collapsed="false">
      <c r="A722" s="17" t="n">
        <v>721</v>
      </c>
      <c r="B722" s="18" t="s">
        <v>2164</v>
      </c>
      <c r="C722" s="17" t="s">
        <v>1225</v>
      </c>
      <c r="D722" s="17" t="n">
        <v>357</v>
      </c>
      <c r="E722" s="17" t="str">
        <f aca="false">C722&amp;"말씀 #"&amp;TEXT(D722,"000")</f>
        <v>신약말씀 #357</v>
      </c>
      <c r="F722" s="17" t="s">
        <v>2142</v>
      </c>
      <c r="G722" s="18" t="s">
        <v>188</v>
      </c>
      <c r="H722" s="19" t="s">
        <v>2165</v>
      </c>
      <c r="I722" s="17" t="s">
        <v>511</v>
      </c>
      <c r="J722" s="17" t="s">
        <v>89</v>
      </c>
      <c r="K722" s="20"/>
      <c r="L722" s="17" t="s">
        <v>76</v>
      </c>
      <c r="M722" s="17" t="n">
        <f aca="false">LEN(K722)</f>
        <v>0</v>
      </c>
      <c r="N722" s="17" t="str">
        <f aca="false">IF(M722=0,"-",ROUND(3+M722/안내!$C$12,0))</f>
        <v>-</v>
      </c>
      <c r="O722" s="21" t="str">
        <f aca="false">IF(K722="","(본문 입력 후 자동) | 계 14:13",IF(LEN(K722)&gt;28,LEFT(K722,28)&amp;"…",K722)&amp;" | 계 14:13")</f>
        <v>(본문 입력 후 자동) | 계 14:13</v>
      </c>
      <c r="P722" s="21" t="str">
        <f aca="false">"#"&amp;SUBSTITUTE(안내!$C$5," ","")&amp;" #성경구절 #말씀 #요한계시록 #소망"</f>
        <v>#오늘의말씀 #성경구절 #말씀 #요한계시록 #소망</v>
      </c>
      <c r="Q722" s="21" t="s">
        <v>77</v>
      </c>
      <c r="R722" s="22" t="n">
        <f aca="false">안내!$C$6+INT((D722-1)/안내!$C$7)</f>
        <v>46566</v>
      </c>
      <c r="S722" s="17" t="str">
        <f aca="false">IF(MOD(D722-1,안내!$C$7)=0,안내!$C$9,안내!$C$11)</f>
        <v>12:30</v>
      </c>
      <c r="T722" s="17" t="str">
        <f aca="false">CHOOSE(WEEKDAY(R722,2),"월","화","수","목","금","토","일")</f>
        <v>월</v>
      </c>
      <c r="U722" s="17" t="s">
        <v>78</v>
      </c>
      <c r="V722" s="17" t="s">
        <v>78</v>
      </c>
      <c r="W722" s="23"/>
      <c r="X722" s="23"/>
      <c r="Y722" s="21"/>
    </row>
    <row r="723" customFormat="false" ht="15" hidden="false" customHeight="false" outlineLevel="0" collapsed="false">
      <c r="A723" s="17" t="n">
        <v>722</v>
      </c>
      <c r="B723" s="18" t="s">
        <v>2166</v>
      </c>
      <c r="C723" s="17" t="s">
        <v>1225</v>
      </c>
      <c r="D723" s="17" t="n">
        <v>358</v>
      </c>
      <c r="E723" s="17" t="str">
        <f aca="false">C723&amp;"말씀 #"&amp;TEXT(D723,"000")</f>
        <v>신약말씀 #358</v>
      </c>
      <c r="F723" s="17" t="s">
        <v>2142</v>
      </c>
      <c r="G723" s="18" t="s">
        <v>2167</v>
      </c>
      <c r="H723" s="19" t="s">
        <v>2168</v>
      </c>
      <c r="I723" s="17" t="s">
        <v>196</v>
      </c>
      <c r="J723" s="17" t="s">
        <v>75</v>
      </c>
      <c r="K723" s="20"/>
      <c r="L723" s="17" t="s">
        <v>76</v>
      </c>
      <c r="M723" s="17" t="n">
        <f aca="false">LEN(K723)</f>
        <v>0</v>
      </c>
      <c r="N723" s="17" t="str">
        <f aca="false">IF(M723=0,"-",ROUND(3+M723/안내!$C$12,0))</f>
        <v>-</v>
      </c>
      <c r="O723" s="21" t="str">
        <f aca="false">IF(K723="","(본문 입력 후 자동) | 계 19:6",IF(LEN(K723)&gt;28,LEFT(K723,28)&amp;"…",K723)&amp;" | 계 19:6")</f>
        <v>(본문 입력 후 자동) | 계 19:6</v>
      </c>
      <c r="P723" s="21" t="str">
        <f aca="false">"#"&amp;SUBSTITUTE(안내!$C$5," ","")&amp;" #성경구절 #말씀 #요한계시록 #찬양"</f>
        <v>#오늘의말씀 #성경구절 #말씀 #요한계시록 #찬양</v>
      </c>
      <c r="Q723" s="21" t="s">
        <v>77</v>
      </c>
      <c r="R723" s="22" t="n">
        <f aca="false">안내!$C$6+INT((D723-1)/안내!$C$7)</f>
        <v>46566</v>
      </c>
      <c r="S723" s="17" t="str">
        <f aca="false">IF(MOD(D723-1,안내!$C$7)=0,안내!$C$9,안내!$C$11)</f>
        <v>21:30</v>
      </c>
      <c r="T723" s="17" t="str">
        <f aca="false">CHOOSE(WEEKDAY(R723,2),"월","화","수","목","금","토","일")</f>
        <v>월</v>
      </c>
      <c r="U723" s="17" t="s">
        <v>78</v>
      </c>
      <c r="V723" s="17" t="s">
        <v>78</v>
      </c>
      <c r="W723" s="23"/>
      <c r="X723" s="23"/>
      <c r="Y723" s="21"/>
    </row>
    <row r="724" customFormat="false" ht="26.85" hidden="false" customHeight="false" outlineLevel="0" collapsed="false">
      <c r="A724" s="17" t="n">
        <v>723</v>
      </c>
      <c r="B724" s="18" t="s">
        <v>2169</v>
      </c>
      <c r="C724" s="17" t="s">
        <v>1225</v>
      </c>
      <c r="D724" s="17" t="n">
        <v>359</v>
      </c>
      <c r="E724" s="17" t="str">
        <f aca="false">C724&amp;"말씀 #"&amp;TEXT(D724,"000")</f>
        <v>신약말씀 #359</v>
      </c>
      <c r="F724" s="17" t="s">
        <v>2142</v>
      </c>
      <c r="G724" s="18" t="s">
        <v>2170</v>
      </c>
      <c r="H724" s="19" t="s">
        <v>2171</v>
      </c>
      <c r="I724" s="17" t="s">
        <v>176</v>
      </c>
      <c r="J724" s="17" t="s">
        <v>75</v>
      </c>
      <c r="K724" s="20"/>
      <c r="L724" s="17" t="s">
        <v>76</v>
      </c>
      <c r="M724" s="17" t="n">
        <f aca="false">LEN(K724)</f>
        <v>0</v>
      </c>
      <c r="N724" s="17" t="str">
        <f aca="false">IF(M724=0,"-",ROUND(3+M724/안내!$C$12,0))</f>
        <v>-</v>
      </c>
      <c r="O724" s="21" t="str">
        <f aca="false">IF(K724="","(본문 입력 후 자동) | 계 19:16",IF(LEN(K724)&gt;28,LEFT(K724,28)&amp;"…",K724)&amp;" | 계 19:16")</f>
        <v>(본문 입력 후 자동) | 계 19:16</v>
      </c>
      <c r="P724" s="21" t="str">
        <f aca="false">"#"&amp;SUBSTITUTE(안내!$C$5," ","")&amp;" #성경구절 #말씀 #요한계시록 #하나님"</f>
        <v>#오늘의말씀 #성경구절 #말씀 #요한계시록 #하나님</v>
      </c>
      <c r="Q724" s="21" t="s">
        <v>77</v>
      </c>
      <c r="R724" s="22" t="n">
        <f aca="false">안내!$C$6+INT((D724-1)/안내!$C$7)</f>
        <v>46567</v>
      </c>
      <c r="S724" s="17" t="str">
        <f aca="false">IF(MOD(D724-1,안내!$C$7)=0,안내!$C$9,안내!$C$11)</f>
        <v>12:30</v>
      </c>
      <c r="T724" s="17" t="str">
        <f aca="false">CHOOSE(WEEKDAY(R724,2),"월","화","수","목","금","토","일")</f>
        <v>화</v>
      </c>
      <c r="U724" s="17" t="s">
        <v>78</v>
      </c>
      <c r="V724" s="17" t="s">
        <v>78</v>
      </c>
      <c r="W724" s="23"/>
      <c r="X724" s="23"/>
      <c r="Y724" s="21"/>
    </row>
    <row r="725" customFormat="false" ht="15" hidden="false" customHeight="false" outlineLevel="0" collapsed="false">
      <c r="A725" s="17" t="n">
        <v>724</v>
      </c>
      <c r="B725" s="18" t="s">
        <v>2172</v>
      </c>
      <c r="C725" s="17" t="s">
        <v>1225</v>
      </c>
      <c r="D725" s="17" t="n">
        <v>360</v>
      </c>
      <c r="E725" s="17" t="str">
        <f aca="false">C725&amp;"말씀 #"&amp;TEXT(D725,"000")</f>
        <v>신약말씀 #360</v>
      </c>
      <c r="F725" s="17" t="s">
        <v>2142</v>
      </c>
      <c r="G725" s="18" t="s">
        <v>2173</v>
      </c>
      <c r="H725" s="19" t="s">
        <v>2174</v>
      </c>
      <c r="I725" s="17" t="s">
        <v>156</v>
      </c>
      <c r="J725" s="17" t="s">
        <v>75</v>
      </c>
      <c r="K725" s="20"/>
      <c r="L725" s="17" t="s">
        <v>76</v>
      </c>
      <c r="M725" s="17" t="n">
        <f aca="false">LEN(K725)</f>
        <v>0</v>
      </c>
      <c r="N725" s="17" t="str">
        <f aca="false">IF(M725=0,"-",ROUND(3+M725/안내!$C$12,0))</f>
        <v>-</v>
      </c>
      <c r="O725" s="21" t="str">
        <f aca="false">IF(K725="","(본문 입력 후 자동) | 계 21:3",IF(LEN(K725)&gt;28,LEFT(K725,28)&amp;"…",K725)&amp;" | 계 21:3")</f>
        <v>(본문 입력 후 자동) | 계 21:3</v>
      </c>
      <c r="P725" s="21" t="str">
        <f aca="false">"#"&amp;SUBSTITUTE(안내!$C$5," ","")&amp;" #성경구절 #말씀 #요한계시록 #임재"</f>
        <v>#오늘의말씀 #성경구절 #말씀 #요한계시록 #임재</v>
      </c>
      <c r="Q725" s="21" t="s">
        <v>77</v>
      </c>
      <c r="R725" s="22" t="n">
        <f aca="false">안내!$C$6+INT((D725-1)/안내!$C$7)</f>
        <v>46567</v>
      </c>
      <c r="S725" s="17" t="str">
        <f aca="false">IF(MOD(D725-1,안내!$C$7)=0,안내!$C$9,안내!$C$11)</f>
        <v>21:30</v>
      </c>
      <c r="T725" s="17" t="str">
        <f aca="false">CHOOSE(WEEKDAY(R725,2),"월","화","수","목","금","토","일")</f>
        <v>화</v>
      </c>
      <c r="U725" s="17" t="s">
        <v>78</v>
      </c>
      <c r="V725" s="17" t="s">
        <v>78</v>
      </c>
      <c r="W725" s="23"/>
      <c r="X725" s="23"/>
      <c r="Y725" s="21"/>
    </row>
    <row r="726" customFormat="false" ht="15" hidden="false" customHeight="false" outlineLevel="0" collapsed="false">
      <c r="A726" s="17" t="n">
        <v>725</v>
      </c>
      <c r="B726" s="18" t="s">
        <v>2175</v>
      </c>
      <c r="C726" s="17" t="s">
        <v>1225</v>
      </c>
      <c r="D726" s="17" t="n">
        <v>361</v>
      </c>
      <c r="E726" s="17" t="str">
        <f aca="false">C726&amp;"말씀 #"&amp;TEXT(D726,"000")</f>
        <v>신약말씀 #361</v>
      </c>
      <c r="F726" s="17" t="s">
        <v>2142</v>
      </c>
      <c r="G726" s="18" t="s">
        <v>2176</v>
      </c>
      <c r="H726" s="19" t="s">
        <v>2177</v>
      </c>
      <c r="I726" s="17" t="s">
        <v>511</v>
      </c>
      <c r="J726" s="17" t="s">
        <v>89</v>
      </c>
      <c r="K726" s="20"/>
      <c r="L726" s="17" t="s">
        <v>76</v>
      </c>
      <c r="M726" s="17" t="n">
        <f aca="false">LEN(K726)</f>
        <v>0</v>
      </c>
      <c r="N726" s="17" t="str">
        <f aca="false">IF(M726=0,"-",ROUND(3+M726/안내!$C$12,0))</f>
        <v>-</v>
      </c>
      <c r="O726" s="21" t="str">
        <f aca="false">IF(K726="","(본문 입력 후 자동) | 계 21:4",IF(LEN(K726)&gt;28,LEFT(K726,28)&amp;"…",K726)&amp;" | 계 21:4")</f>
        <v>(본문 입력 후 자동) | 계 21:4</v>
      </c>
      <c r="P726" s="21" t="str">
        <f aca="false">"#"&amp;SUBSTITUTE(안내!$C$5," ","")&amp;" #성경구절 #말씀 #요한계시록 #소망"</f>
        <v>#오늘의말씀 #성경구절 #말씀 #요한계시록 #소망</v>
      </c>
      <c r="Q726" s="21" t="s">
        <v>77</v>
      </c>
      <c r="R726" s="22" t="n">
        <f aca="false">안내!$C$6+INT((D726-1)/안내!$C$7)</f>
        <v>46568</v>
      </c>
      <c r="S726" s="17" t="str">
        <f aca="false">IF(MOD(D726-1,안내!$C$7)=0,안내!$C$9,안내!$C$11)</f>
        <v>12:30</v>
      </c>
      <c r="T726" s="17" t="str">
        <f aca="false">CHOOSE(WEEKDAY(R726,2),"월","화","수","목","금","토","일")</f>
        <v>수</v>
      </c>
      <c r="U726" s="17" t="s">
        <v>78</v>
      </c>
      <c r="V726" s="17" t="s">
        <v>78</v>
      </c>
      <c r="W726" s="23"/>
      <c r="X726" s="23"/>
      <c r="Y726" s="21"/>
    </row>
    <row r="727" customFormat="false" ht="15" hidden="false" customHeight="false" outlineLevel="0" collapsed="false">
      <c r="A727" s="17" t="n">
        <v>726</v>
      </c>
      <c r="B727" s="18" t="s">
        <v>2178</v>
      </c>
      <c r="C727" s="17" t="s">
        <v>1225</v>
      </c>
      <c r="D727" s="17" t="n">
        <v>362</v>
      </c>
      <c r="E727" s="17" t="str">
        <f aca="false">C727&amp;"말씀 #"&amp;TEXT(D727,"000")</f>
        <v>신약말씀 #362</v>
      </c>
      <c r="F727" s="17" t="s">
        <v>2142</v>
      </c>
      <c r="G727" s="18" t="s">
        <v>2179</v>
      </c>
      <c r="H727" s="19" t="s">
        <v>2180</v>
      </c>
      <c r="I727" s="17" t="s">
        <v>511</v>
      </c>
      <c r="J727" s="17" t="s">
        <v>89</v>
      </c>
      <c r="K727" s="20"/>
      <c r="L727" s="17" t="s">
        <v>76</v>
      </c>
      <c r="M727" s="17" t="n">
        <f aca="false">LEN(K727)</f>
        <v>0</v>
      </c>
      <c r="N727" s="17" t="str">
        <f aca="false">IF(M727=0,"-",ROUND(3+M727/안내!$C$12,0))</f>
        <v>-</v>
      </c>
      <c r="O727" s="21" t="str">
        <f aca="false">IF(K727="","(본문 입력 후 자동) | 계 21:5",IF(LEN(K727)&gt;28,LEFT(K727,28)&amp;"…",K727)&amp;" | 계 21:5")</f>
        <v>(본문 입력 후 자동) | 계 21:5</v>
      </c>
      <c r="P727" s="21" t="str">
        <f aca="false">"#"&amp;SUBSTITUTE(안내!$C$5," ","")&amp;" #성경구절 #말씀 #요한계시록 #소망"</f>
        <v>#오늘의말씀 #성경구절 #말씀 #요한계시록 #소망</v>
      </c>
      <c r="Q727" s="21" t="s">
        <v>77</v>
      </c>
      <c r="R727" s="22" t="n">
        <f aca="false">안내!$C$6+INT((D727-1)/안내!$C$7)</f>
        <v>46568</v>
      </c>
      <c r="S727" s="17" t="str">
        <f aca="false">IF(MOD(D727-1,안내!$C$7)=0,안내!$C$9,안내!$C$11)</f>
        <v>21:30</v>
      </c>
      <c r="T727" s="17" t="str">
        <f aca="false">CHOOSE(WEEKDAY(R727,2),"월","화","수","목","금","토","일")</f>
        <v>수</v>
      </c>
      <c r="U727" s="17" t="s">
        <v>78</v>
      </c>
      <c r="V727" s="17" t="s">
        <v>78</v>
      </c>
      <c r="W727" s="23"/>
      <c r="X727" s="23"/>
      <c r="Y727" s="21"/>
    </row>
    <row r="728" customFormat="false" ht="26.85" hidden="false" customHeight="false" outlineLevel="0" collapsed="false">
      <c r="A728" s="17" t="n">
        <v>727</v>
      </c>
      <c r="B728" s="18" t="s">
        <v>2181</v>
      </c>
      <c r="C728" s="17" t="s">
        <v>1225</v>
      </c>
      <c r="D728" s="17" t="n">
        <v>363</v>
      </c>
      <c r="E728" s="17" t="str">
        <f aca="false">C728&amp;"말씀 #"&amp;TEXT(D728,"000")</f>
        <v>신약말씀 #363</v>
      </c>
      <c r="F728" s="17" t="s">
        <v>2142</v>
      </c>
      <c r="G728" s="18" t="s">
        <v>2182</v>
      </c>
      <c r="H728" s="19" t="s">
        <v>2183</v>
      </c>
      <c r="I728" s="17" t="s">
        <v>176</v>
      </c>
      <c r="J728" s="17" t="s">
        <v>75</v>
      </c>
      <c r="K728" s="20"/>
      <c r="L728" s="17" t="s">
        <v>76</v>
      </c>
      <c r="M728" s="17" t="n">
        <f aca="false">LEN(K728)</f>
        <v>0</v>
      </c>
      <c r="N728" s="17" t="str">
        <f aca="false">IF(M728=0,"-",ROUND(3+M728/안내!$C$12,0))</f>
        <v>-</v>
      </c>
      <c r="O728" s="21" t="str">
        <f aca="false">IF(K728="","(본문 입력 후 자동) | 계 22:13",IF(LEN(K728)&gt;28,LEFT(K728,28)&amp;"…",K728)&amp;" | 계 22:13")</f>
        <v>(본문 입력 후 자동) | 계 22:13</v>
      </c>
      <c r="P728" s="21" t="str">
        <f aca="false">"#"&amp;SUBSTITUTE(안내!$C$5," ","")&amp;" #성경구절 #말씀 #요한계시록 #하나님"</f>
        <v>#오늘의말씀 #성경구절 #말씀 #요한계시록 #하나님</v>
      </c>
      <c r="Q728" s="21" t="s">
        <v>77</v>
      </c>
      <c r="R728" s="22" t="n">
        <f aca="false">안내!$C$6+INT((D728-1)/안내!$C$7)</f>
        <v>46569</v>
      </c>
      <c r="S728" s="17" t="str">
        <f aca="false">IF(MOD(D728-1,안내!$C$7)=0,안내!$C$9,안내!$C$11)</f>
        <v>12:30</v>
      </c>
      <c r="T728" s="17" t="str">
        <f aca="false">CHOOSE(WEEKDAY(R728,2),"월","화","수","목","금","토","일")</f>
        <v>목</v>
      </c>
      <c r="U728" s="17" t="s">
        <v>78</v>
      </c>
      <c r="V728" s="17" t="s">
        <v>78</v>
      </c>
      <c r="W728" s="23"/>
      <c r="X728" s="23"/>
      <c r="Y728" s="21"/>
    </row>
    <row r="729" customFormat="false" ht="25.35" hidden="false" customHeight="false" outlineLevel="0" collapsed="false">
      <c r="A729" s="17" t="n">
        <v>728</v>
      </c>
      <c r="B729" s="18" t="s">
        <v>2184</v>
      </c>
      <c r="C729" s="17" t="s">
        <v>1225</v>
      </c>
      <c r="D729" s="17" t="n">
        <v>364</v>
      </c>
      <c r="E729" s="17" t="str">
        <f aca="false">C729&amp;"말씀 #"&amp;TEXT(D729,"000")</f>
        <v>신약말씀 #364</v>
      </c>
      <c r="F729" s="17" t="s">
        <v>2142</v>
      </c>
      <c r="G729" s="18" t="s">
        <v>2185</v>
      </c>
      <c r="H729" s="19" t="s">
        <v>2186</v>
      </c>
      <c r="I729" s="17" t="s">
        <v>511</v>
      </c>
      <c r="J729" s="17" t="s">
        <v>89</v>
      </c>
      <c r="K729" s="20"/>
      <c r="L729" s="17" t="s">
        <v>76</v>
      </c>
      <c r="M729" s="17" t="n">
        <f aca="false">LEN(K729)</f>
        <v>0</v>
      </c>
      <c r="N729" s="17" t="str">
        <f aca="false">IF(M729=0,"-",ROUND(3+M729/안내!$C$12,0))</f>
        <v>-</v>
      </c>
      <c r="O729" s="21" t="str">
        <f aca="false">IF(K729="","(본문 입력 후 자동) | 계 22:20",IF(LEN(K729)&gt;28,LEFT(K729,28)&amp;"…",K729)&amp;" | 계 22:20")</f>
        <v>(본문 입력 후 자동) | 계 22:20</v>
      </c>
      <c r="P729" s="21" t="str">
        <f aca="false">"#"&amp;SUBSTITUTE(안내!$C$5," ","")&amp;" #성경구절 #말씀 #요한계시록 #소망"</f>
        <v>#오늘의말씀 #성경구절 #말씀 #요한계시록 #소망</v>
      </c>
      <c r="Q729" s="21" t="s">
        <v>77</v>
      </c>
      <c r="R729" s="22" t="n">
        <f aca="false">안내!$C$6+INT((D729-1)/안내!$C$7)</f>
        <v>46569</v>
      </c>
      <c r="S729" s="17" t="str">
        <f aca="false">IF(MOD(D729-1,안내!$C$7)=0,안내!$C$9,안내!$C$11)</f>
        <v>21:30</v>
      </c>
      <c r="T729" s="17" t="str">
        <f aca="false">CHOOSE(WEEKDAY(R729,2),"월","화","수","목","금","토","일")</f>
        <v>목</v>
      </c>
      <c r="U729" s="17" t="s">
        <v>78</v>
      </c>
      <c r="V729" s="17" t="s">
        <v>78</v>
      </c>
      <c r="W729" s="23"/>
      <c r="X729" s="23"/>
      <c r="Y729" s="21"/>
    </row>
  </sheetData>
  <autoFilter ref="A1:Y729"/>
  <dataValidations count="2">
    <dataValidation allowBlank="true" errorStyle="stop" operator="between" showDropDown="false" showErrorMessage="false" showInputMessage="false" sqref="L2:L729" type="list">
      <formula1>"미입력,입력,대조 완료"</formula1>
      <formula2>0</formula2>
    </dataValidation>
    <dataValidation allowBlank="true" errorStyle="stop" operator="between" showDropDown="false" showErrorMessage="false" showInputMessage="false" sqref="U2:V729" type="list">
      <formula1>"미착수,진행중,완료,보류"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30" hidden="false" customHeight="true" outlineLevel="0" collapsed="false">
      <c r="A1" s="14" t="s">
        <v>49</v>
      </c>
      <c r="B1" s="14" t="s">
        <v>2187</v>
      </c>
      <c r="C1" s="14" t="s">
        <v>2188</v>
      </c>
      <c r="D1" s="14" t="s">
        <v>2189</v>
      </c>
      <c r="E1" s="14" t="s">
        <v>2190</v>
      </c>
      <c r="F1" s="14" t="s">
        <v>30</v>
      </c>
      <c r="G1" s="14" t="s">
        <v>2191</v>
      </c>
    </row>
    <row r="2" customFormat="false" ht="15" hidden="false" customHeight="false" outlineLevel="0" collapsed="false">
      <c r="A2" s="21" t="s">
        <v>71</v>
      </c>
      <c r="B2" s="17" t="s">
        <v>70</v>
      </c>
      <c r="C2" s="17" t="n">
        <f aca="false">COUNTIF(구절목록!$F$2:$F$729,A2)</f>
        <v>23</v>
      </c>
      <c r="D2" s="17" t="n">
        <v>50</v>
      </c>
      <c r="E2" s="22" t="n">
        <f aca="false">_xlfn.MINIFS(구절목록!$R$2:$R$729,구절목록!$F$2:$F$729,A2)</f>
        <v>46388</v>
      </c>
      <c r="F2" s="22" t="n">
        <f aca="false">_xlfn.MAXIFS(구절목록!$R$2:$R$729,구절목록!$F$2:$F$729,A2)</f>
        <v>46399</v>
      </c>
      <c r="G2" s="17" t="str">
        <f aca="false">IF(C2&gt;0,"정상","구절 없음")</f>
        <v>정상</v>
      </c>
    </row>
    <row r="3" customFormat="false" ht="15" hidden="false" customHeight="false" outlineLevel="0" collapsed="false">
      <c r="A3" s="21" t="s">
        <v>169</v>
      </c>
      <c r="B3" s="17" t="s">
        <v>70</v>
      </c>
      <c r="C3" s="17" t="n">
        <f aca="false">COUNTIF(구절목록!$F$2:$F$729,A3)</f>
        <v>16</v>
      </c>
      <c r="D3" s="17" t="n">
        <v>40</v>
      </c>
      <c r="E3" s="22" t="n">
        <f aca="false">_xlfn.MINIFS(구절목록!$R$2:$R$729,구절목록!$F$2:$F$729,A3)</f>
        <v>46399</v>
      </c>
      <c r="F3" s="22" t="n">
        <f aca="false">_xlfn.MAXIFS(구절목록!$R$2:$R$729,구절목록!$F$2:$F$729,A3)</f>
        <v>46407</v>
      </c>
      <c r="G3" s="17" t="str">
        <f aca="false">IF(C3&gt;0,"정상","구절 없음")</f>
        <v>정상</v>
      </c>
    </row>
    <row r="4" customFormat="false" ht="15" hidden="false" customHeight="false" outlineLevel="0" collapsed="false">
      <c r="A4" s="21" t="s">
        <v>226</v>
      </c>
      <c r="B4" s="17" t="s">
        <v>70</v>
      </c>
      <c r="C4" s="17" t="n">
        <f aca="false">COUNTIF(구절목록!$F$2:$F$729,A4)</f>
        <v>6</v>
      </c>
      <c r="D4" s="17" t="n">
        <v>27</v>
      </c>
      <c r="E4" s="22" t="n">
        <f aca="false">_xlfn.MINIFS(구절목록!$R$2:$R$729,구절목록!$F$2:$F$729,A4)</f>
        <v>46407</v>
      </c>
      <c r="F4" s="22" t="n">
        <f aca="false">_xlfn.MAXIFS(구절목록!$R$2:$R$729,구절목록!$F$2:$F$729,A4)</f>
        <v>46410</v>
      </c>
      <c r="G4" s="17" t="str">
        <f aca="false">IF(C4&gt;0,"정상","구절 없음")</f>
        <v>정상</v>
      </c>
    </row>
    <row r="5" customFormat="false" ht="15" hidden="false" customHeight="false" outlineLevel="0" collapsed="false">
      <c r="A5" s="21" t="s">
        <v>248</v>
      </c>
      <c r="B5" s="17" t="s">
        <v>70</v>
      </c>
      <c r="C5" s="17" t="n">
        <f aca="false">COUNTIF(구절목록!$F$2:$F$729,A5)</f>
        <v>7</v>
      </c>
      <c r="D5" s="17" t="n">
        <v>36</v>
      </c>
      <c r="E5" s="22" t="n">
        <f aca="false">_xlfn.MINIFS(구절목록!$R$2:$R$729,구절목록!$F$2:$F$729,A5)</f>
        <v>46410</v>
      </c>
      <c r="F5" s="22" t="n">
        <f aca="false">_xlfn.MAXIFS(구절목록!$R$2:$R$729,구절목록!$F$2:$F$729,A5)</f>
        <v>46413</v>
      </c>
      <c r="G5" s="17" t="str">
        <f aca="false">IF(C5&gt;0,"정상","구절 없음")</f>
        <v>정상</v>
      </c>
    </row>
    <row r="6" customFormat="false" ht="15" hidden="false" customHeight="false" outlineLevel="0" collapsed="false">
      <c r="A6" s="21" t="s">
        <v>272</v>
      </c>
      <c r="B6" s="17" t="s">
        <v>70</v>
      </c>
      <c r="C6" s="17" t="n">
        <f aca="false">COUNTIF(구절목록!$F$2:$F$729,A6)</f>
        <v>14</v>
      </c>
      <c r="D6" s="17" t="n">
        <v>34</v>
      </c>
      <c r="E6" s="22" t="n">
        <f aca="false">_xlfn.MINIFS(구절목록!$R$2:$R$729,구절목록!$F$2:$F$729,A6)</f>
        <v>46414</v>
      </c>
      <c r="F6" s="22" t="n">
        <f aca="false">_xlfn.MAXIFS(구절목록!$R$2:$R$729,구절목록!$F$2:$F$729,A6)</f>
        <v>46420</v>
      </c>
      <c r="G6" s="17" t="str">
        <f aca="false">IF(C6&gt;0,"정상","구절 없음")</f>
        <v>정상</v>
      </c>
    </row>
    <row r="7" customFormat="false" ht="15" hidden="false" customHeight="false" outlineLevel="0" collapsed="false">
      <c r="A7" s="21" t="s">
        <v>316</v>
      </c>
      <c r="B7" s="17" t="s">
        <v>70</v>
      </c>
      <c r="C7" s="17" t="n">
        <f aca="false">COUNTIF(구절목록!$F$2:$F$729,A7)</f>
        <v>6</v>
      </c>
      <c r="D7" s="17" t="n">
        <v>24</v>
      </c>
      <c r="E7" s="22" t="n">
        <f aca="false">_xlfn.MINIFS(구절목록!$R$2:$R$729,구절목록!$F$2:$F$729,A7)</f>
        <v>46421</v>
      </c>
      <c r="F7" s="22" t="n">
        <f aca="false">_xlfn.MAXIFS(구절목록!$R$2:$R$729,구절목록!$F$2:$F$729,A7)</f>
        <v>46423</v>
      </c>
      <c r="G7" s="17" t="str">
        <f aca="false">IF(C7&gt;0,"정상","구절 없음")</f>
        <v>정상</v>
      </c>
    </row>
    <row r="8" customFormat="false" ht="15" hidden="false" customHeight="false" outlineLevel="0" collapsed="false">
      <c r="A8" s="21" t="s">
        <v>335</v>
      </c>
      <c r="B8" s="17" t="s">
        <v>70</v>
      </c>
      <c r="C8" s="17" t="n">
        <f aca="false">COUNTIF(구절목록!$F$2:$F$729,A8)</f>
        <v>4</v>
      </c>
      <c r="D8" s="17" t="n">
        <v>21</v>
      </c>
      <c r="E8" s="22" t="n">
        <f aca="false">_xlfn.MINIFS(구절목록!$R$2:$R$729,구절목록!$F$2:$F$729,A8)</f>
        <v>46424</v>
      </c>
      <c r="F8" s="22" t="n">
        <f aca="false">_xlfn.MAXIFS(구절목록!$R$2:$R$729,구절목록!$F$2:$F$729,A8)</f>
        <v>46425</v>
      </c>
      <c r="G8" s="17" t="str">
        <f aca="false">IF(C8&gt;0,"정상","구절 없음")</f>
        <v>정상</v>
      </c>
    </row>
    <row r="9" customFormat="false" ht="15" hidden="false" customHeight="false" outlineLevel="0" collapsed="false">
      <c r="A9" s="21" t="s">
        <v>347</v>
      </c>
      <c r="B9" s="17" t="s">
        <v>70</v>
      </c>
      <c r="C9" s="17" t="n">
        <f aca="false">COUNTIF(구절목록!$F$2:$F$729,A9)</f>
        <v>3</v>
      </c>
      <c r="D9" s="17" t="n">
        <v>4</v>
      </c>
      <c r="E9" s="22" t="n">
        <f aca="false">_xlfn.MINIFS(구절목록!$R$2:$R$729,구절목록!$F$2:$F$729,A9)</f>
        <v>46426</v>
      </c>
      <c r="F9" s="22" t="n">
        <f aca="false">_xlfn.MAXIFS(구절목록!$R$2:$R$729,구절목록!$F$2:$F$729,A9)</f>
        <v>46427</v>
      </c>
      <c r="G9" s="17" t="str">
        <f aca="false">IF(C9&gt;0,"정상","구절 없음")</f>
        <v>정상</v>
      </c>
    </row>
    <row r="10" customFormat="false" ht="15" hidden="false" customHeight="false" outlineLevel="0" collapsed="false">
      <c r="A10" s="21" t="s">
        <v>358</v>
      </c>
      <c r="B10" s="17" t="s">
        <v>70</v>
      </c>
      <c r="C10" s="17" t="n">
        <f aca="false">COUNTIF(구절목록!$F$2:$F$729,A10)</f>
        <v>8</v>
      </c>
      <c r="D10" s="17" t="n">
        <v>31</v>
      </c>
      <c r="E10" s="22" t="n">
        <f aca="false">_xlfn.MINIFS(구절목록!$R$2:$R$729,구절목록!$F$2:$F$729,A10)</f>
        <v>46427</v>
      </c>
      <c r="F10" s="22" t="n">
        <f aca="false">_xlfn.MAXIFS(구절목록!$R$2:$R$729,구절목록!$F$2:$F$729,A10)</f>
        <v>46431</v>
      </c>
      <c r="G10" s="17" t="str">
        <f aca="false">IF(C10&gt;0,"정상","구절 없음")</f>
        <v>정상</v>
      </c>
    </row>
    <row r="11" customFormat="false" ht="15" hidden="false" customHeight="false" outlineLevel="0" collapsed="false">
      <c r="A11" s="21" t="s">
        <v>384</v>
      </c>
      <c r="B11" s="17" t="s">
        <v>70</v>
      </c>
      <c r="C11" s="17" t="n">
        <f aca="false">COUNTIF(구절목록!$F$2:$F$729,A11)</f>
        <v>5</v>
      </c>
      <c r="D11" s="17" t="n">
        <v>24</v>
      </c>
      <c r="E11" s="22" t="n">
        <f aca="false">_xlfn.MINIFS(구절목록!$R$2:$R$729,구절목록!$F$2:$F$729,A11)</f>
        <v>46431</v>
      </c>
      <c r="F11" s="22" t="n">
        <f aca="false">_xlfn.MAXIFS(구절목록!$R$2:$R$729,구절목록!$F$2:$F$729,A11)</f>
        <v>46433</v>
      </c>
      <c r="G11" s="17" t="str">
        <f aca="false">IF(C11&gt;0,"정상","구절 없음")</f>
        <v>정상</v>
      </c>
    </row>
    <row r="12" customFormat="false" ht="15" hidden="false" customHeight="false" outlineLevel="0" collapsed="false">
      <c r="A12" s="21" t="s">
        <v>401</v>
      </c>
      <c r="B12" s="17" t="s">
        <v>70</v>
      </c>
      <c r="C12" s="17" t="n">
        <f aca="false">COUNTIF(구절목록!$F$2:$F$729,A12)</f>
        <v>6</v>
      </c>
      <c r="D12" s="17" t="n">
        <v>22</v>
      </c>
      <c r="E12" s="22" t="n">
        <f aca="false">_xlfn.MINIFS(구절목록!$R$2:$R$729,구절목록!$F$2:$F$729,A12)</f>
        <v>46434</v>
      </c>
      <c r="F12" s="22" t="n">
        <f aca="false">_xlfn.MAXIFS(구절목록!$R$2:$R$729,구절목록!$F$2:$F$729,A12)</f>
        <v>46436</v>
      </c>
      <c r="G12" s="17" t="str">
        <f aca="false">IF(C12&gt;0,"정상","구절 없음")</f>
        <v>정상</v>
      </c>
    </row>
    <row r="13" customFormat="false" ht="15" hidden="false" customHeight="false" outlineLevel="0" collapsed="false">
      <c r="A13" s="21" t="s">
        <v>421</v>
      </c>
      <c r="B13" s="17" t="s">
        <v>70</v>
      </c>
      <c r="C13" s="17" t="n">
        <f aca="false">COUNTIF(구절목록!$F$2:$F$729,A13)</f>
        <v>4</v>
      </c>
      <c r="D13" s="17" t="n">
        <v>25</v>
      </c>
      <c r="E13" s="22" t="n">
        <f aca="false">_xlfn.MINIFS(구절목록!$R$2:$R$729,구절목록!$F$2:$F$729,A13)</f>
        <v>46437</v>
      </c>
      <c r="F13" s="22" t="n">
        <f aca="false">_xlfn.MAXIFS(구절목록!$R$2:$R$729,구절목록!$F$2:$F$729,A13)</f>
        <v>46438</v>
      </c>
      <c r="G13" s="17" t="str">
        <f aca="false">IF(C13&gt;0,"정상","구절 없음")</f>
        <v>정상</v>
      </c>
    </row>
    <row r="14" customFormat="false" ht="15" hidden="false" customHeight="false" outlineLevel="0" collapsed="false">
      <c r="A14" s="21" t="s">
        <v>434</v>
      </c>
      <c r="B14" s="17" t="s">
        <v>70</v>
      </c>
      <c r="C14" s="17" t="n">
        <f aca="false">COUNTIF(구절목록!$F$2:$F$729,A14)</f>
        <v>5</v>
      </c>
      <c r="D14" s="17" t="n">
        <v>29</v>
      </c>
      <c r="E14" s="22" t="n">
        <f aca="false">_xlfn.MINIFS(구절목록!$R$2:$R$729,구절목록!$F$2:$F$729,A14)</f>
        <v>46439</v>
      </c>
      <c r="F14" s="22" t="n">
        <f aca="false">_xlfn.MAXIFS(구절목록!$R$2:$R$729,구절목록!$F$2:$F$729,A14)</f>
        <v>46441</v>
      </c>
      <c r="G14" s="17" t="str">
        <f aca="false">IF(C14&gt;0,"정상","구절 없음")</f>
        <v>정상</v>
      </c>
    </row>
    <row r="15" customFormat="false" ht="15" hidden="false" customHeight="false" outlineLevel="0" collapsed="false">
      <c r="A15" s="21" t="s">
        <v>451</v>
      </c>
      <c r="B15" s="17" t="s">
        <v>70</v>
      </c>
      <c r="C15" s="17" t="n">
        <f aca="false">COUNTIF(구절목록!$F$2:$F$729,A15)</f>
        <v>6</v>
      </c>
      <c r="D15" s="17" t="n">
        <v>36</v>
      </c>
      <c r="E15" s="22" t="n">
        <f aca="false">_xlfn.MINIFS(구절목록!$R$2:$R$729,구절목록!$F$2:$F$729,A15)</f>
        <v>46441</v>
      </c>
      <c r="F15" s="22" t="n">
        <f aca="false">_xlfn.MAXIFS(구절목록!$R$2:$R$729,구절목록!$F$2:$F$729,A15)</f>
        <v>46444</v>
      </c>
      <c r="G15" s="17" t="str">
        <f aca="false">IF(C15&gt;0,"정상","구절 없음")</f>
        <v>정상</v>
      </c>
    </row>
    <row r="16" customFormat="false" ht="15" hidden="false" customHeight="false" outlineLevel="0" collapsed="false">
      <c r="A16" s="21" t="s">
        <v>469</v>
      </c>
      <c r="B16" s="17" t="s">
        <v>70</v>
      </c>
      <c r="C16" s="17" t="n">
        <f aca="false">COUNTIF(구절목록!$F$2:$F$729,A16)</f>
        <v>2</v>
      </c>
      <c r="D16" s="17" t="n">
        <v>10</v>
      </c>
      <c r="E16" s="22" t="n">
        <f aca="false">_xlfn.MINIFS(구절목록!$R$2:$R$729,구절목록!$F$2:$F$729,A16)</f>
        <v>46444</v>
      </c>
      <c r="F16" s="22" t="n">
        <f aca="false">_xlfn.MAXIFS(구절목록!$R$2:$R$729,구절목록!$F$2:$F$729,A16)</f>
        <v>46445</v>
      </c>
      <c r="G16" s="17" t="str">
        <f aca="false">IF(C16&gt;0,"정상","구절 없음")</f>
        <v>정상</v>
      </c>
    </row>
    <row r="17" customFormat="false" ht="15" hidden="false" customHeight="false" outlineLevel="0" collapsed="false">
      <c r="A17" s="21" t="s">
        <v>475</v>
      </c>
      <c r="B17" s="17" t="s">
        <v>70</v>
      </c>
      <c r="C17" s="17" t="n">
        <f aca="false">COUNTIF(구절목록!$F$2:$F$729,A17)</f>
        <v>4</v>
      </c>
      <c r="D17" s="17" t="n">
        <v>13</v>
      </c>
      <c r="E17" s="22" t="n">
        <f aca="false">_xlfn.MINIFS(구절목록!$R$2:$R$729,구절목록!$F$2:$F$729,A17)</f>
        <v>46445</v>
      </c>
      <c r="F17" s="22" t="n">
        <f aca="false">_xlfn.MAXIFS(구절목록!$R$2:$R$729,구절목록!$F$2:$F$729,A17)</f>
        <v>46447</v>
      </c>
      <c r="G17" s="17" t="str">
        <f aca="false">IF(C17&gt;0,"정상","구절 없음")</f>
        <v>정상</v>
      </c>
    </row>
    <row r="18" customFormat="false" ht="15" hidden="false" customHeight="false" outlineLevel="0" collapsed="false">
      <c r="A18" s="21" t="s">
        <v>488</v>
      </c>
      <c r="B18" s="17" t="s">
        <v>70</v>
      </c>
      <c r="C18" s="17" t="n">
        <f aca="false">COUNTIF(구절목록!$F$2:$F$729,A18)</f>
        <v>2</v>
      </c>
      <c r="D18" s="17" t="n">
        <v>10</v>
      </c>
      <c r="E18" s="22" t="n">
        <f aca="false">_xlfn.MINIFS(구절목록!$R$2:$R$729,구절목록!$F$2:$F$729,A18)</f>
        <v>46447</v>
      </c>
      <c r="F18" s="22" t="n">
        <f aca="false">_xlfn.MAXIFS(구절목록!$R$2:$R$729,구절목록!$F$2:$F$729,A18)</f>
        <v>46448</v>
      </c>
      <c r="G18" s="17" t="str">
        <f aca="false">IF(C18&gt;0,"정상","구절 없음")</f>
        <v>정상</v>
      </c>
    </row>
    <row r="19" customFormat="false" ht="15" hidden="false" customHeight="false" outlineLevel="0" collapsed="false">
      <c r="A19" s="21" t="s">
        <v>494</v>
      </c>
      <c r="B19" s="17" t="s">
        <v>70</v>
      </c>
      <c r="C19" s="17" t="n">
        <f aca="false">COUNTIF(구절목록!$F$2:$F$729,A19)</f>
        <v>12</v>
      </c>
      <c r="D19" s="17" t="n">
        <v>42</v>
      </c>
      <c r="E19" s="22" t="n">
        <f aca="false">_xlfn.MINIFS(구절목록!$R$2:$R$729,구절목록!$F$2:$F$729,A19)</f>
        <v>46448</v>
      </c>
      <c r="F19" s="22" t="n">
        <f aca="false">_xlfn.MAXIFS(구절목록!$R$2:$R$729,구절목록!$F$2:$F$729,A19)</f>
        <v>46454</v>
      </c>
      <c r="G19" s="17" t="str">
        <f aca="false">IF(C19&gt;0,"정상","구절 없음")</f>
        <v>정상</v>
      </c>
    </row>
    <row r="20" customFormat="false" ht="15" hidden="false" customHeight="false" outlineLevel="0" collapsed="false">
      <c r="A20" s="21" t="s">
        <v>534</v>
      </c>
      <c r="B20" s="17" t="s">
        <v>70</v>
      </c>
      <c r="C20" s="17" t="n">
        <f aca="false">COUNTIF(구절목록!$F$2:$F$729,A20)</f>
        <v>70</v>
      </c>
      <c r="D20" s="17" t="n">
        <v>150</v>
      </c>
      <c r="E20" s="22" t="n">
        <f aca="false">_xlfn.MINIFS(구절목록!$R$2:$R$729,구절목록!$F$2:$F$729,A20)</f>
        <v>46454</v>
      </c>
      <c r="F20" s="22" t="n">
        <f aca="false">_xlfn.MAXIFS(구절목록!$R$2:$R$729,구절목록!$F$2:$F$729,A20)</f>
        <v>46489</v>
      </c>
      <c r="G20" s="17" t="str">
        <f aca="false">IF(C20&gt;0,"정상","구절 없음")</f>
        <v>정상</v>
      </c>
    </row>
    <row r="21" customFormat="false" ht="15" hidden="false" customHeight="false" outlineLevel="0" collapsed="false">
      <c r="A21" s="21" t="s">
        <v>748</v>
      </c>
      <c r="B21" s="17" t="s">
        <v>70</v>
      </c>
      <c r="C21" s="17" t="n">
        <f aca="false">COUNTIF(구절목록!$F$2:$F$729,A21)</f>
        <v>38</v>
      </c>
      <c r="D21" s="17" t="n">
        <v>31</v>
      </c>
      <c r="E21" s="22" t="n">
        <f aca="false">_xlfn.MINIFS(구절목록!$R$2:$R$729,구절목록!$F$2:$F$729,A21)</f>
        <v>46489</v>
      </c>
      <c r="F21" s="22" t="n">
        <f aca="false">_xlfn.MAXIFS(구절목록!$R$2:$R$729,구절목록!$F$2:$F$729,A21)</f>
        <v>46508</v>
      </c>
      <c r="G21" s="17" t="str">
        <f aca="false">IF(C21&gt;0,"정상","구절 없음")</f>
        <v>정상</v>
      </c>
    </row>
    <row r="22" customFormat="false" ht="15" hidden="false" customHeight="false" outlineLevel="0" collapsed="false">
      <c r="A22" s="21" t="s">
        <v>859</v>
      </c>
      <c r="B22" s="17" t="s">
        <v>70</v>
      </c>
      <c r="C22" s="17" t="n">
        <f aca="false">COUNTIF(구절목록!$F$2:$F$729,A22)</f>
        <v>8</v>
      </c>
      <c r="D22" s="17" t="n">
        <v>12</v>
      </c>
      <c r="E22" s="22" t="n">
        <f aca="false">_xlfn.MINIFS(구절목록!$R$2:$R$729,구절목록!$F$2:$F$729,A22)</f>
        <v>46508</v>
      </c>
      <c r="F22" s="22" t="n">
        <f aca="false">_xlfn.MAXIFS(구절목록!$R$2:$R$729,구절목록!$F$2:$F$729,A22)</f>
        <v>46512</v>
      </c>
      <c r="G22" s="17" t="str">
        <f aca="false">IF(C22&gt;0,"정상","구절 없음")</f>
        <v>정상</v>
      </c>
    </row>
    <row r="23" customFormat="false" ht="15" hidden="false" customHeight="false" outlineLevel="0" collapsed="false">
      <c r="A23" s="21" t="s">
        <v>879</v>
      </c>
      <c r="B23" s="17" t="s">
        <v>70</v>
      </c>
      <c r="C23" s="17" t="n">
        <f aca="false">COUNTIF(구절목록!$F$2:$F$729,A23)</f>
        <v>3</v>
      </c>
      <c r="D23" s="17" t="n">
        <v>8</v>
      </c>
      <c r="E23" s="22" t="n">
        <f aca="false">_xlfn.MINIFS(구절목록!$R$2:$R$729,구절목록!$F$2:$F$729,A23)</f>
        <v>46512</v>
      </c>
      <c r="F23" s="22" t="n">
        <f aca="false">_xlfn.MAXIFS(구절목록!$R$2:$R$729,구절목록!$F$2:$F$729,A23)</f>
        <v>46513</v>
      </c>
      <c r="G23" s="17" t="str">
        <f aca="false">IF(C23&gt;0,"정상","구절 없음")</f>
        <v>정상</v>
      </c>
    </row>
    <row r="24" customFormat="false" ht="15" hidden="false" customHeight="false" outlineLevel="0" collapsed="false">
      <c r="A24" s="21" t="s">
        <v>889</v>
      </c>
      <c r="B24" s="17" t="s">
        <v>70</v>
      </c>
      <c r="C24" s="17" t="n">
        <f aca="false">COUNTIF(구절목록!$F$2:$F$729,A24)</f>
        <v>40</v>
      </c>
      <c r="D24" s="17" t="n">
        <v>66</v>
      </c>
      <c r="E24" s="22" t="n">
        <f aca="false">_xlfn.MINIFS(구절목록!$R$2:$R$729,구절목록!$F$2:$F$729,A24)</f>
        <v>46514</v>
      </c>
      <c r="F24" s="22" t="n">
        <f aca="false">_xlfn.MAXIFS(구절목록!$R$2:$R$729,구절목록!$F$2:$F$729,A24)</f>
        <v>46533</v>
      </c>
      <c r="G24" s="17" t="str">
        <f aca="false">IF(C24&gt;0,"정상","구절 없음")</f>
        <v>정상</v>
      </c>
    </row>
    <row r="25" customFormat="false" ht="15" hidden="false" customHeight="false" outlineLevel="0" collapsed="false">
      <c r="A25" s="21" t="s">
        <v>1009</v>
      </c>
      <c r="B25" s="17" t="s">
        <v>70</v>
      </c>
      <c r="C25" s="17" t="n">
        <f aca="false">COUNTIF(구절목록!$F$2:$F$729,A25)</f>
        <v>18</v>
      </c>
      <c r="D25" s="17" t="n">
        <v>52</v>
      </c>
      <c r="E25" s="22" t="n">
        <f aca="false">_xlfn.MINIFS(구절목록!$R$2:$R$729,구절목록!$F$2:$F$729,A25)</f>
        <v>46534</v>
      </c>
      <c r="F25" s="22" t="n">
        <f aca="false">_xlfn.MAXIFS(구절목록!$R$2:$R$729,구절목록!$F$2:$F$729,A25)</f>
        <v>46542</v>
      </c>
      <c r="G25" s="17" t="str">
        <f aca="false">IF(C25&gt;0,"정상","구절 없음")</f>
        <v>정상</v>
      </c>
    </row>
    <row r="26" customFormat="false" ht="15" hidden="false" customHeight="false" outlineLevel="0" collapsed="false">
      <c r="A26" s="21" t="s">
        <v>1063</v>
      </c>
      <c r="B26" s="17" t="s">
        <v>70</v>
      </c>
      <c r="C26" s="17" t="n">
        <f aca="false">COUNTIF(구절목록!$F$2:$F$729,A26)</f>
        <v>4</v>
      </c>
      <c r="D26" s="17" t="n">
        <v>5</v>
      </c>
      <c r="E26" s="22" t="n">
        <f aca="false">_xlfn.MINIFS(구절목록!$R$2:$R$729,구절목록!$F$2:$F$729,A26)</f>
        <v>46543</v>
      </c>
      <c r="F26" s="22" t="n">
        <f aca="false">_xlfn.MAXIFS(구절목록!$R$2:$R$729,구절목록!$F$2:$F$729,A26)</f>
        <v>46544</v>
      </c>
      <c r="G26" s="17" t="str">
        <f aca="false">IF(C26&gt;0,"정상","구절 없음")</f>
        <v>정상</v>
      </c>
    </row>
    <row r="27" customFormat="false" ht="15" hidden="false" customHeight="false" outlineLevel="0" collapsed="false">
      <c r="A27" s="21" t="s">
        <v>1076</v>
      </c>
      <c r="B27" s="17" t="s">
        <v>70</v>
      </c>
      <c r="C27" s="17" t="n">
        <f aca="false">COUNTIF(구절목록!$F$2:$F$729,A27)</f>
        <v>8</v>
      </c>
      <c r="D27" s="17" t="n">
        <v>48</v>
      </c>
      <c r="E27" s="22" t="n">
        <f aca="false">_xlfn.MINIFS(구절목록!$R$2:$R$729,구절목록!$F$2:$F$729,A27)</f>
        <v>46545</v>
      </c>
      <c r="F27" s="22" t="n">
        <f aca="false">_xlfn.MAXIFS(구절목록!$R$2:$R$729,구절목록!$F$2:$F$729,A27)</f>
        <v>46548</v>
      </c>
      <c r="G27" s="17" t="str">
        <f aca="false">IF(C27&gt;0,"정상","구절 없음")</f>
        <v>정상</v>
      </c>
    </row>
    <row r="28" customFormat="false" ht="15" hidden="false" customHeight="false" outlineLevel="0" collapsed="false">
      <c r="A28" s="21" t="s">
        <v>1101</v>
      </c>
      <c r="B28" s="17" t="s">
        <v>70</v>
      </c>
      <c r="C28" s="17" t="n">
        <f aca="false">COUNTIF(구절목록!$F$2:$F$729,A28)</f>
        <v>6</v>
      </c>
      <c r="D28" s="17" t="n">
        <v>12</v>
      </c>
      <c r="E28" s="22" t="n">
        <f aca="false">_xlfn.MINIFS(구절목록!$R$2:$R$729,구절목록!$F$2:$F$729,A28)</f>
        <v>46549</v>
      </c>
      <c r="F28" s="22" t="n">
        <f aca="false">_xlfn.MAXIFS(구절목록!$R$2:$R$729,구절목록!$F$2:$F$729,A28)</f>
        <v>46551</v>
      </c>
      <c r="G28" s="17" t="str">
        <f aca="false">IF(C28&gt;0,"정상","구절 없음")</f>
        <v>정상</v>
      </c>
    </row>
    <row r="29" customFormat="false" ht="15" hidden="false" customHeight="false" outlineLevel="0" collapsed="false">
      <c r="A29" s="21" t="s">
        <v>1119</v>
      </c>
      <c r="B29" s="17" t="s">
        <v>70</v>
      </c>
      <c r="C29" s="17" t="n">
        <f aca="false">COUNTIF(구절목록!$F$2:$F$729,A29)</f>
        <v>4</v>
      </c>
      <c r="D29" s="17" t="n">
        <v>14</v>
      </c>
      <c r="E29" s="22" t="n">
        <f aca="false">_xlfn.MINIFS(구절목록!$R$2:$R$729,구절목록!$F$2:$F$729,A29)</f>
        <v>46552</v>
      </c>
      <c r="F29" s="22" t="n">
        <f aca="false">_xlfn.MAXIFS(구절목록!$R$2:$R$729,구절목록!$F$2:$F$729,A29)</f>
        <v>46553</v>
      </c>
      <c r="G29" s="17" t="str">
        <f aca="false">IF(C29&gt;0,"정상","구절 없음")</f>
        <v>정상</v>
      </c>
    </row>
    <row r="30" customFormat="false" ht="15" hidden="false" customHeight="false" outlineLevel="0" collapsed="false">
      <c r="A30" s="21" t="s">
        <v>1130</v>
      </c>
      <c r="B30" s="17" t="s">
        <v>70</v>
      </c>
      <c r="C30" s="17" t="n">
        <f aca="false">COUNTIF(구절목록!$F$2:$F$729,A30)</f>
        <v>3</v>
      </c>
      <c r="D30" s="17" t="n">
        <v>3</v>
      </c>
      <c r="E30" s="22" t="n">
        <f aca="false">_xlfn.MINIFS(구절목록!$R$2:$R$729,구절목록!$F$2:$F$729,A30)</f>
        <v>46554</v>
      </c>
      <c r="F30" s="22" t="n">
        <f aca="false">_xlfn.MAXIFS(구절목록!$R$2:$R$729,구절목록!$F$2:$F$729,A30)</f>
        <v>46555</v>
      </c>
      <c r="G30" s="17" t="str">
        <f aca="false">IF(C30&gt;0,"정상","구절 없음")</f>
        <v>정상</v>
      </c>
    </row>
    <row r="31" customFormat="false" ht="15" hidden="false" customHeight="false" outlineLevel="0" collapsed="false">
      <c r="A31" s="21" t="s">
        <v>1141</v>
      </c>
      <c r="B31" s="17" t="s">
        <v>70</v>
      </c>
      <c r="C31" s="17" t="n">
        <f aca="false">COUNTIF(구절목록!$F$2:$F$729,A31)</f>
        <v>3</v>
      </c>
      <c r="D31" s="17" t="n">
        <v>9</v>
      </c>
      <c r="E31" s="22" t="n">
        <f aca="false">_xlfn.MINIFS(구절목록!$R$2:$R$729,구절목록!$F$2:$F$729,A31)</f>
        <v>46555</v>
      </c>
      <c r="F31" s="22" t="n">
        <f aca="false">_xlfn.MAXIFS(구절목록!$R$2:$R$729,구절목록!$F$2:$F$729,A31)</f>
        <v>46556</v>
      </c>
      <c r="G31" s="17" t="str">
        <f aca="false">IF(C31&gt;0,"정상","구절 없음")</f>
        <v>정상</v>
      </c>
    </row>
    <row r="32" customFormat="false" ht="15" hidden="false" customHeight="false" outlineLevel="0" collapsed="false">
      <c r="A32" s="21" t="s">
        <v>1151</v>
      </c>
      <c r="B32" s="17" t="s">
        <v>70</v>
      </c>
      <c r="C32" s="17" t="n">
        <f aca="false">COUNTIF(구절목록!$F$2:$F$729,A32)</f>
        <v>1</v>
      </c>
      <c r="D32" s="17" t="n">
        <v>1</v>
      </c>
      <c r="E32" s="22" t="n">
        <f aca="false">_xlfn.MINIFS(구절목록!$R$2:$R$729,구절목록!$F$2:$F$729,A32)</f>
        <v>46557</v>
      </c>
      <c r="F32" s="22" t="n">
        <f aca="false">_xlfn.MAXIFS(구절목록!$R$2:$R$729,구절목록!$F$2:$F$729,A32)</f>
        <v>46557</v>
      </c>
      <c r="G32" s="17" t="str">
        <f aca="false">IF(C32&gt;0,"정상","구절 없음")</f>
        <v>정상</v>
      </c>
    </row>
    <row r="33" customFormat="false" ht="15" hidden="false" customHeight="false" outlineLevel="0" collapsed="false">
      <c r="A33" s="21" t="s">
        <v>1155</v>
      </c>
      <c r="B33" s="17" t="s">
        <v>70</v>
      </c>
      <c r="C33" s="17" t="n">
        <f aca="false">COUNTIF(구절목록!$F$2:$F$729,A33)</f>
        <v>3</v>
      </c>
      <c r="D33" s="17" t="n">
        <v>4</v>
      </c>
      <c r="E33" s="22" t="n">
        <f aca="false">_xlfn.MINIFS(구절목록!$R$2:$R$729,구절목록!$F$2:$F$729,A33)</f>
        <v>46557</v>
      </c>
      <c r="F33" s="22" t="n">
        <f aca="false">_xlfn.MAXIFS(구절목록!$R$2:$R$729,구절목록!$F$2:$F$729,A33)</f>
        <v>46558</v>
      </c>
      <c r="G33" s="17" t="str">
        <f aca="false">IF(C33&gt;0,"정상","구절 없음")</f>
        <v>정상</v>
      </c>
    </row>
    <row r="34" customFormat="false" ht="15" hidden="false" customHeight="false" outlineLevel="0" collapsed="false">
      <c r="A34" s="21" t="s">
        <v>1164</v>
      </c>
      <c r="B34" s="17" t="s">
        <v>70</v>
      </c>
      <c r="C34" s="17" t="n">
        <f aca="false">COUNTIF(구절목록!$F$2:$F$729,A34)</f>
        <v>4</v>
      </c>
      <c r="D34" s="17" t="n">
        <v>7</v>
      </c>
      <c r="E34" s="22" t="n">
        <f aca="false">_xlfn.MINIFS(구절목록!$R$2:$R$729,구절목록!$F$2:$F$729,A34)</f>
        <v>46559</v>
      </c>
      <c r="F34" s="22" t="n">
        <f aca="false">_xlfn.MAXIFS(구절목록!$R$2:$R$729,구절목록!$F$2:$F$729,A34)</f>
        <v>46560</v>
      </c>
      <c r="G34" s="17" t="str">
        <f aca="false">IF(C34&gt;0,"정상","구절 없음")</f>
        <v>정상</v>
      </c>
    </row>
    <row r="35" customFormat="false" ht="15" hidden="false" customHeight="false" outlineLevel="0" collapsed="false">
      <c r="A35" s="21" t="s">
        <v>1174</v>
      </c>
      <c r="B35" s="17" t="s">
        <v>70</v>
      </c>
      <c r="C35" s="17" t="n">
        <f aca="false">COUNTIF(구절목록!$F$2:$F$729,A35)</f>
        <v>2</v>
      </c>
      <c r="D35" s="17" t="n">
        <v>3</v>
      </c>
      <c r="E35" s="22" t="n">
        <f aca="false">_xlfn.MINIFS(구절목록!$R$2:$R$729,구절목록!$F$2:$F$729,A35)</f>
        <v>46561</v>
      </c>
      <c r="F35" s="22" t="n">
        <f aca="false">_xlfn.MAXIFS(구절목록!$R$2:$R$729,구절목록!$F$2:$F$729,A35)</f>
        <v>46561</v>
      </c>
      <c r="G35" s="17" t="str">
        <f aca="false">IF(C35&gt;0,"정상","구절 없음")</f>
        <v>정상</v>
      </c>
    </row>
    <row r="36" customFormat="false" ht="15" hidden="false" customHeight="false" outlineLevel="0" collapsed="false">
      <c r="A36" s="21" t="s">
        <v>1179</v>
      </c>
      <c r="B36" s="17" t="s">
        <v>70</v>
      </c>
      <c r="C36" s="17" t="n">
        <f aca="false">COUNTIF(구절목록!$F$2:$F$729,A36)</f>
        <v>4</v>
      </c>
      <c r="D36" s="17" t="n">
        <v>3</v>
      </c>
      <c r="E36" s="22" t="n">
        <f aca="false">_xlfn.MINIFS(구절목록!$R$2:$R$729,구절목록!$F$2:$F$729,A36)</f>
        <v>46562</v>
      </c>
      <c r="F36" s="22" t="n">
        <f aca="false">_xlfn.MAXIFS(구절목록!$R$2:$R$729,구절목록!$F$2:$F$729,A36)</f>
        <v>46563</v>
      </c>
      <c r="G36" s="17" t="str">
        <f aca="false">IF(C36&gt;0,"정상","구절 없음")</f>
        <v>정상</v>
      </c>
    </row>
    <row r="37" customFormat="false" ht="15" hidden="false" customHeight="false" outlineLevel="0" collapsed="false">
      <c r="A37" s="21" t="s">
        <v>1191</v>
      </c>
      <c r="B37" s="17" t="s">
        <v>70</v>
      </c>
      <c r="C37" s="17" t="n">
        <f aca="false">COUNTIF(구절목록!$F$2:$F$729,A37)</f>
        <v>2</v>
      </c>
      <c r="D37" s="17" t="n">
        <v>3</v>
      </c>
      <c r="E37" s="22" t="n">
        <f aca="false">_xlfn.MINIFS(구절목록!$R$2:$R$729,구절목록!$F$2:$F$729,A37)</f>
        <v>46564</v>
      </c>
      <c r="F37" s="22" t="n">
        <f aca="false">_xlfn.MAXIFS(구절목록!$R$2:$R$729,구절목록!$F$2:$F$729,A37)</f>
        <v>46564</v>
      </c>
      <c r="G37" s="17" t="str">
        <f aca="false">IF(C37&gt;0,"정상","구절 없음")</f>
        <v>정상</v>
      </c>
    </row>
    <row r="38" customFormat="false" ht="15" hidden="false" customHeight="false" outlineLevel="0" collapsed="false">
      <c r="A38" s="21" t="s">
        <v>1197</v>
      </c>
      <c r="B38" s="17" t="s">
        <v>70</v>
      </c>
      <c r="C38" s="17" t="n">
        <f aca="false">COUNTIF(구절목록!$F$2:$F$729,A38)</f>
        <v>2</v>
      </c>
      <c r="D38" s="17" t="n">
        <v>2</v>
      </c>
      <c r="E38" s="22" t="n">
        <f aca="false">_xlfn.MINIFS(구절목록!$R$2:$R$729,구절목록!$F$2:$F$729,A38)</f>
        <v>46565</v>
      </c>
      <c r="F38" s="22" t="n">
        <f aca="false">_xlfn.MAXIFS(구절목록!$R$2:$R$729,구절목록!$F$2:$F$729,A38)</f>
        <v>46565</v>
      </c>
      <c r="G38" s="17" t="str">
        <f aca="false">IF(C38&gt;0,"정상","구절 없음")</f>
        <v>정상</v>
      </c>
    </row>
    <row r="39" customFormat="false" ht="15" hidden="false" customHeight="false" outlineLevel="0" collapsed="false">
      <c r="A39" s="21" t="s">
        <v>1202</v>
      </c>
      <c r="B39" s="17" t="s">
        <v>70</v>
      </c>
      <c r="C39" s="17" t="n">
        <f aca="false">COUNTIF(구절목록!$F$2:$F$729,A39)</f>
        <v>4</v>
      </c>
      <c r="D39" s="17" t="n">
        <v>14</v>
      </c>
      <c r="E39" s="22" t="n">
        <f aca="false">_xlfn.MINIFS(구절목록!$R$2:$R$729,구절목록!$F$2:$F$729,A39)</f>
        <v>46566</v>
      </c>
      <c r="F39" s="22" t="n">
        <f aca="false">_xlfn.MAXIFS(구절목록!$R$2:$R$729,구절목록!$F$2:$F$729,A39)</f>
        <v>46567</v>
      </c>
      <c r="G39" s="17" t="str">
        <f aca="false">IF(C39&gt;0,"정상","구절 없음")</f>
        <v>정상</v>
      </c>
    </row>
    <row r="40" customFormat="false" ht="15" hidden="false" customHeight="false" outlineLevel="0" collapsed="false">
      <c r="A40" s="21" t="s">
        <v>1215</v>
      </c>
      <c r="B40" s="17" t="s">
        <v>70</v>
      </c>
      <c r="C40" s="17" t="n">
        <f aca="false">COUNTIF(구절목록!$F$2:$F$729,A40)</f>
        <v>4</v>
      </c>
      <c r="D40" s="17" t="n">
        <v>4</v>
      </c>
      <c r="E40" s="22" t="n">
        <f aca="false">_xlfn.MINIFS(구절목록!$R$2:$R$729,구절목록!$F$2:$F$729,A40)</f>
        <v>46568</v>
      </c>
      <c r="F40" s="22" t="n">
        <f aca="false">_xlfn.MAXIFS(구절목록!$R$2:$R$729,구절목록!$F$2:$F$729,A40)</f>
        <v>46569</v>
      </c>
      <c r="G40" s="17" t="str">
        <f aca="false">IF(C40&gt;0,"정상","구절 없음")</f>
        <v>정상</v>
      </c>
    </row>
    <row r="41" customFormat="false" ht="15" hidden="false" customHeight="false" outlineLevel="0" collapsed="false">
      <c r="A41" s="21" t="s">
        <v>1226</v>
      </c>
      <c r="B41" s="17" t="s">
        <v>1225</v>
      </c>
      <c r="C41" s="17" t="n">
        <f aca="false">COUNTIF(구절목록!$F$2:$F$729,A41)</f>
        <v>36</v>
      </c>
      <c r="D41" s="17" t="n">
        <v>28</v>
      </c>
      <c r="E41" s="22" t="n">
        <f aca="false">_xlfn.MINIFS(구절목록!$R$2:$R$729,구절목록!$F$2:$F$729,A41)</f>
        <v>46388</v>
      </c>
      <c r="F41" s="22" t="n">
        <f aca="false">_xlfn.MAXIFS(구절목록!$R$2:$R$729,구절목록!$F$2:$F$729,A41)</f>
        <v>46405</v>
      </c>
      <c r="G41" s="17" t="str">
        <f aca="false">IF(C41&gt;0,"정상","구절 없음")</f>
        <v>정상</v>
      </c>
    </row>
    <row r="42" customFormat="false" ht="15" hidden="false" customHeight="false" outlineLevel="0" collapsed="false">
      <c r="A42" s="21" t="s">
        <v>1332</v>
      </c>
      <c r="B42" s="17" t="s">
        <v>1225</v>
      </c>
      <c r="C42" s="17" t="n">
        <f aca="false">COUNTIF(구절목록!$F$2:$F$729,A42)</f>
        <v>14</v>
      </c>
      <c r="D42" s="17" t="n">
        <v>16</v>
      </c>
      <c r="E42" s="22" t="n">
        <f aca="false">_xlfn.MINIFS(구절목록!$R$2:$R$729,구절목록!$F$2:$F$729,A42)</f>
        <v>46406</v>
      </c>
      <c r="F42" s="22" t="n">
        <f aca="false">_xlfn.MAXIFS(구절목록!$R$2:$R$729,구절목록!$F$2:$F$729,A42)</f>
        <v>46412</v>
      </c>
      <c r="G42" s="17" t="str">
        <f aca="false">IF(C42&gt;0,"정상","구절 없음")</f>
        <v>정상</v>
      </c>
    </row>
    <row r="43" customFormat="false" ht="15" hidden="false" customHeight="false" outlineLevel="0" collapsed="false">
      <c r="A43" s="21" t="s">
        <v>1376</v>
      </c>
      <c r="B43" s="17" t="s">
        <v>1225</v>
      </c>
      <c r="C43" s="17" t="n">
        <f aca="false">COUNTIF(구절목록!$F$2:$F$729,A43)</f>
        <v>26</v>
      </c>
      <c r="D43" s="17" t="n">
        <v>24</v>
      </c>
      <c r="E43" s="22" t="n">
        <f aca="false">_xlfn.MINIFS(구절목록!$R$2:$R$729,구절목록!$F$2:$F$729,A43)</f>
        <v>46413</v>
      </c>
      <c r="F43" s="22" t="n">
        <f aca="false">_xlfn.MAXIFS(구절목록!$R$2:$R$729,구절목록!$F$2:$F$729,A43)</f>
        <v>46425</v>
      </c>
      <c r="G43" s="17" t="str">
        <f aca="false">IF(C43&gt;0,"정상","구절 없음")</f>
        <v>정상</v>
      </c>
    </row>
    <row r="44" customFormat="false" ht="15" hidden="false" customHeight="false" outlineLevel="0" collapsed="false">
      <c r="A44" s="21" t="s">
        <v>1453</v>
      </c>
      <c r="B44" s="17" t="s">
        <v>1225</v>
      </c>
      <c r="C44" s="17" t="n">
        <f aca="false">COUNTIF(구절목록!$F$2:$F$729,A44)</f>
        <v>38</v>
      </c>
      <c r="D44" s="17" t="n">
        <v>21</v>
      </c>
      <c r="E44" s="22" t="n">
        <f aca="false">_xlfn.MINIFS(구절목록!$R$2:$R$729,구절목록!$F$2:$F$729,A44)</f>
        <v>46426</v>
      </c>
      <c r="F44" s="22" t="n">
        <f aca="false">_xlfn.MAXIFS(구절목록!$R$2:$R$729,구절목록!$F$2:$F$729,A44)</f>
        <v>46444</v>
      </c>
      <c r="G44" s="17" t="str">
        <f aca="false">IF(C44&gt;0,"정상","구절 없음")</f>
        <v>정상</v>
      </c>
    </row>
    <row r="45" customFormat="false" ht="15" hidden="false" customHeight="false" outlineLevel="0" collapsed="false">
      <c r="A45" s="21" t="s">
        <v>1561</v>
      </c>
      <c r="B45" s="17" t="s">
        <v>1225</v>
      </c>
      <c r="C45" s="17" t="n">
        <f aca="false">COUNTIF(구절목록!$F$2:$F$729,A45)</f>
        <v>20</v>
      </c>
      <c r="D45" s="17" t="n">
        <v>28</v>
      </c>
      <c r="E45" s="22" t="n">
        <f aca="false">_xlfn.MINIFS(구절목록!$R$2:$R$729,구절목록!$F$2:$F$729,A45)</f>
        <v>46445</v>
      </c>
      <c r="F45" s="22" t="n">
        <f aca="false">_xlfn.MAXIFS(구절목록!$R$2:$R$729,구절목록!$F$2:$F$729,A45)</f>
        <v>46454</v>
      </c>
      <c r="G45" s="17" t="str">
        <f aca="false">IF(C45&gt;0,"정상","구절 없음")</f>
        <v>정상</v>
      </c>
    </row>
    <row r="46" customFormat="false" ht="15" hidden="false" customHeight="false" outlineLevel="0" collapsed="false">
      <c r="A46" s="21" t="s">
        <v>1617</v>
      </c>
      <c r="B46" s="17" t="s">
        <v>1225</v>
      </c>
      <c r="C46" s="17" t="n">
        <f aca="false">COUNTIF(구절목록!$F$2:$F$729,A46)</f>
        <v>34</v>
      </c>
      <c r="D46" s="17" t="n">
        <v>16</v>
      </c>
      <c r="E46" s="22" t="n">
        <f aca="false">_xlfn.MINIFS(구절목록!$R$2:$R$729,구절목록!$F$2:$F$729,A46)</f>
        <v>46455</v>
      </c>
      <c r="F46" s="22" t="n">
        <f aca="false">_xlfn.MAXIFS(구절목록!$R$2:$R$729,구절목록!$F$2:$F$729,A46)</f>
        <v>46471</v>
      </c>
      <c r="G46" s="17" t="str">
        <f aca="false">IF(C46&gt;0,"정상","구절 없음")</f>
        <v>정상</v>
      </c>
    </row>
    <row r="47" customFormat="false" ht="15" hidden="false" customHeight="false" outlineLevel="0" collapsed="false">
      <c r="A47" s="21" t="s">
        <v>1706</v>
      </c>
      <c r="B47" s="17" t="s">
        <v>1225</v>
      </c>
      <c r="C47" s="17" t="n">
        <f aca="false">COUNTIF(구절목록!$F$2:$F$729,A47)</f>
        <v>19</v>
      </c>
      <c r="D47" s="17" t="n">
        <v>16</v>
      </c>
      <c r="E47" s="22" t="n">
        <f aca="false">_xlfn.MINIFS(구절목록!$R$2:$R$729,구절목록!$F$2:$F$729,A47)</f>
        <v>46472</v>
      </c>
      <c r="F47" s="22" t="n">
        <f aca="false">_xlfn.MAXIFS(구절목록!$R$2:$R$729,구절목록!$F$2:$F$729,A47)</f>
        <v>46481</v>
      </c>
      <c r="G47" s="17" t="str">
        <f aca="false">IF(C47&gt;0,"정상","구절 없음")</f>
        <v>정상</v>
      </c>
    </row>
    <row r="48" customFormat="false" ht="15" hidden="false" customHeight="false" outlineLevel="0" collapsed="false">
      <c r="A48" s="21" t="s">
        <v>1756</v>
      </c>
      <c r="B48" s="17" t="s">
        <v>1225</v>
      </c>
      <c r="C48" s="17" t="n">
        <f aca="false">COUNTIF(구절목록!$F$2:$F$729,A48)</f>
        <v>14</v>
      </c>
      <c r="D48" s="17" t="n">
        <v>13</v>
      </c>
      <c r="E48" s="22" t="n">
        <f aca="false">_xlfn.MINIFS(구절목록!$R$2:$R$729,구절목록!$F$2:$F$729,A48)</f>
        <v>46481</v>
      </c>
      <c r="F48" s="22" t="n">
        <f aca="false">_xlfn.MAXIFS(구절목록!$R$2:$R$729,구절목록!$F$2:$F$729,A48)</f>
        <v>46488</v>
      </c>
      <c r="G48" s="17" t="str">
        <f aca="false">IF(C48&gt;0,"정상","구절 없음")</f>
        <v>정상</v>
      </c>
    </row>
    <row r="49" customFormat="false" ht="15" hidden="false" customHeight="false" outlineLevel="0" collapsed="false">
      <c r="A49" s="21" t="s">
        <v>1791</v>
      </c>
      <c r="B49" s="17" t="s">
        <v>1225</v>
      </c>
      <c r="C49" s="17" t="n">
        <f aca="false">COUNTIF(구절목록!$F$2:$F$729,A49)</f>
        <v>12</v>
      </c>
      <c r="D49" s="17" t="n">
        <v>6</v>
      </c>
      <c r="E49" s="22" t="n">
        <f aca="false">_xlfn.MINIFS(구절목록!$R$2:$R$729,구절목록!$F$2:$F$729,A49)</f>
        <v>46488</v>
      </c>
      <c r="F49" s="22" t="n">
        <f aca="false">_xlfn.MAXIFS(구절목록!$R$2:$R$729,구절목록!$F$2:$F$729,A49)</f>
        <v>46494</v>
      </c>
      <c r="G49" s="17" t="str">
        <f aca="false">IF(C49&gt;0,"정상","구절 없음")</f>
        <v>정상</v>
      </c>
    </row>
    <row r="50" customFormat="false" ht="15" hidden="false" customHeight="false" outlineLevel="0" collapsed="false">
      <c r="A50" s="21" t="s">
        <v>1824</v>
      </c>
      <c r="B50" s="17" t="s">
        <v>1225</v>
      </c>
      <c r="C50" s="17" t="n">
        <f aca="false">COUNTIF(구절목록!$F$2:$F$729,A50)</f>
        <v>15</v>
      </c>
      <c r="D50" s="17" t="n">
        <v>6</v>
      </c>
      <c r="E50" s="22" t="n">
        <f aca="false">_xlfn.MINIFS(구절목록!$R$2:$R$729,구절목록!$F$2:$F$729,A50)</f>
        <v>46494</v>
      </c>
      <c r="F50" s="22" t="n">
        <f aca="false">_xlfn.MAXIFS(구절목록!$R$2:$R$729,구절목록!$F$2:$F$729,A50)</f>
        <v>46501</v>
      </c>
      <c r="G50" s="17" t="str">
        <f aca="false">IF(C50&gt;0,"정상","구절 없음")</f>
        <v>정상</v>
      </c>
    </row>
    <row r="51" customFormat="false" ht="15" hidden="false" customHeight="false" outlineLevel="0" collapsed="false">
      <c r="A51" s="21" t="s">
        <v>1859</v>
      </c>
      <c r="B51" s="17" t="s">
        <v>1225</v>
      </c>
      <c r="C51" s="17" t="n">
        <f aca="false">COUNTIF(구절목록!$F$2:$F$729,A51)</f>
        <v>14</v>
      </c>
      <c r="D51" s="17" t="n">
        <v>4</v>
      </c>
      <c r="E51" s="22" t="n">
        <f aca="false">_xlfn.MINIFS(구절목록!$R$2:$R$729,구절목록!$F$2:$F$729,A51)</f>
        <v>46502</v>
      </c>
      <c r="F51" s="22" t="n">
        <f aca="false">_xlfn.MAXIFS(구절목록!$R$2:$R$729,구절목록!$F$2:$F$729,A51)</f>
        <v>46508</v>
      </c>
      <c r="G51" s="17" t="str">
        <f aca="false">IF(C51&gt;0,"정상","구절 없음")</f>
        <v>정상</v>
      </c>
    </row>
    <row r="52" customFormat="false" ht="15" hidden="false" customHeight="false" outlineLevel="0" collapsed="false">
      <c r="A52" s="21" t="s">
        <v>1894</v>
      </c>
      <c r="B52" s="17" t="s">
        <v>1225</v>
      </c>
      <c r="C52" s="17" t="n">
        <f aca="false">COUNTIF(구절목록!$F$2:$F$729,A52)</f>
        <v>10</v>
      </c>
      <c r="D52" s="17" t="n">
        <v>4</v>
      </c>
      <c r="E52" s="22" t="n">
        <f aca="false">_xlfn.MINIFS(구절목록!$R$2:$R$729,구절목록!$F$2:$F$729,A52)</f>
        <v>46509</v>
      </c>
      <c r="F52" s="22" t="n">
        <f aca="false">_xlfn.MAXIFS(구절목록!$R$2:$R$729,구절목록!$F$2:$F$729,A52)</f>
        <v>46513</v>
      </c>
      <c r="G52" s="17" t="str">
        <f aca="false">IF(C52&gt;0,"정상","구절 없음")</f>
        <v>정상</v>
      </c>
    </row>
    <row r="53" customFormat="false" ht="15" hidden="false" customHeight="false" outlineLevel="0" collapsed="false">
      <c r="A53" s="21" t="s">
        <v>1917</v>
      </c>
      <c r="B53" s="17" t="s">
        <v>1225</v>
      </c>
      <c r="C53" s="17" t="n">
        <f aca="false">COUNTIF(구절목록!$F$2:$F$729,A53)</f>
        <v>7</v>
      </c>
      <c r="D53" s="17" t="n">
        <v>5</v>
      </c>
      <c r="E53" s="22" t="n">
        <f aca="false">_xlfn.MINIFS(구절목록!$R$2:$R$729,구절목록!$F$2:$F$729,A53)</f>
        <v>46514</v>
      </c>
      <c r="F53" s="22" t="n">
        <f aca="false">_xlfn.MAXIFS(구절목록!$R$2:$R$729,구절목록!$F$2:$F$729,A53)</f>
        <v>46517</v>
      </c>
      <c r="G53" s="17" t="str">
        <f aca="false">IF(C53&gt;0,"정상","구절 없음")</f>
        <v>정상</v>
      </c>
    </row>
    <row r="54" customFormat="false" ht="15" hidden="false" customHeight="false" outlineLevel="0" collapsed="false">
      <c r="A54" s="21" t="s">
        <v>1934</v>
      </c>
      <c r="B54" s="17" t="s">
        <v>1225</v>
      </c>
      <c r="C54" s="17" t="n">
        <f aca="false">COUNTIF(구절목록!$F$2:$F$729,A54)</f>
        <v>3</v>
      </c>
      <c r="D54" s="17" t="n">
        <v>3</v>
      </c>
      <c r="E54" s="22" t="n">
        <f aca="false">_xlfn.MINIFS(구절목록!$R$2:$R$729,구절목록!$F$2:$F$729,A54)</f>
        <v>46517</v>
      </c>
      <c r="F54" s="22" t="n">
        <f aca="false">_xlfn.MAXIFS(구절목록!$R$2:$R$729,구절목록!$F$2:$F$729,A54)</f>
        <v>46518</v>
      </c>
      <c r="G54" s="17" t="str">
        <f aca="false">IF(C54&gt;0,"정상","구절 없음")</f>
        <v>정상</v>
      </c>
    </row>
    <row r="55" customFormat="false" ht="15" hidden="false" customHeight="false" outlineLevel="0" collapsed="false">
      <c r="A55" s="21" t="s">
        <v>1941</v>
      </c>
      <c r="B55" s="17" t="s">
        <v>1225</v>
      </c>
      <c r="C55" s="17" t="n">
        <f aca="false">COUNTIF(구절목록!$F$2:$F$729,A55)</f>
        <v>8</v>
      </c>
      <c r="D55" s="17" t="n">
        <v>6</v>
      </c>
      <c r="E55" s="22" t="n">
        <f aca="false">_xlfn.MINIFS(구절목록!$R$2:$R$729,구절목록!$F$2:$F$729,A55)</f>
        <v>46519</v>
      </c>
      <c r="F55" s="22" t="n">
        <f aca="false">_xlfn.MAXIFS(구절목록!$R$2:$R$729,구절목록!$F$2:$F$729,A55)</f>
        <v>46522</v>
      </c>
      <c r="G55" s="17" t="str">
        <f aca="false">IF(C55&gt;0,"정상","구절 없음")</f>
        <v>정상</v>
      </c>
    </row>
    <row r="56" customFormat="false" ht="15" hidden="false" customHeight="false" outlineLevel="0" collapsed="false">
      <c r="A56" s="21" t="s">
        <v>1959</v>
      </c>
      <c r="B56" s="17" t="s">
        <v>1225</v>
      </c>
      <c r="C56" s="17" t="n">
        <f aca="false">COUNTIF(구절목록!$F$2:$F$729,A56)</f>
        <v>8</v>
      </c>
      <c r="D56" s="17" t="n">
        <v>4</v>
      </c>
      <c r="E56" s="22" t="n">
        <f aca="false">_xlfn.MINIFS(구절목록!$R$2:$R$729,구절목록!$F$2:$F$729,A56)</f>
        <v>46523</v>
      </c>
      <c r="F56" s="22" t="n">
        <f aca="false">_xlfn.MAXIFS(구절목록!$R$2:$R$729,구절목록!$F$2:$F$729,A56)</f>
        <v>46526</v>
      </c>
      <c r="G56" s="17" t="str">
        <f aca="false">IF(C56&gt;0,"정상","구절 없음")</f>
        <v>정상</v>
      </c>
    </row>
    <row r="57" customFormat="false" ht="15" hidden="false" customHeight="false" outlineLevel="0" collapsed="false">
      <c r="A57" s="21" t="s">
        <v>1978</v>
      </c>
      <c r="B57" s="17" t="s">
        <v>1225</v>
      </c>
      <c r="C57" s="17" t="n">
        <f aca="false">COUNTIF(구절목록!$F$2:$F$729,A57)</f>
        <v>3</v>
      </c>
      <c r="D57" s="17" t="n">
        <v>3</v>
      </c>
      <c r="E57" s="22" t="n">
        <f aca="false">_xlfn.MINIFS(구절목록!$R$2:$R$729,구절목록!$F$2:$F$729,A57)</f>
        <v>46527</v>
      </c>
      <c r="F57" s="22" t="n">
        <f aca="false">_xlfn.MAXIFS(구절목록!$R$2:$R$729,구절목록!$F$2:$F$729,A57)</f>
        <v>46528</v>
      </c>
      <c r="G57" s="17" t="str">
        <f aca="false">IF(C57&gt;0,"정상","구절 없음")</f>
        <v>정상</v>
      </c>
    </row>
    <row r="58" customFormat="false" ht="15" hidden="false" customHeight="false" outlineLevel="0" collapsed="false">
      <c r="A58" s="21" t="s">
        <v>1986</v>
      </c>
      <c r="B58" s="17" t="s">
        <v>1225</v>
      </c>
      <c r="C58" s="17" t="n">
        <f aca="false">COUNTIF(구절목록!$F$2:$F$729,A58)</f>
        <v>1</v>
      </c>
      <c r="D58" s="17" t="n">
        <v>1</v>
      </c>
      <c r="E58" s="22" t="n">
        <f aca="false">_xlfn.MINIFS(구절목록!$R$2:$R$729,구절목록!$F$2:$F$729,A58)</f>
        <v>46528</v>
      </c>
      <c r="F58" s="22" t="n">
        <f aca="false">_xlfn.MAXIFS(구절목록!$R$2:$R$729,구절목록!$F$2:$F$729,A58)</f>
        <v>46528</v>
      </c>
      <c r="G58" s="17" t="str">
        <f aca="false">IF(C58&gt;0,"정상","구절 없음")</f>
        <v>정상</v>
      </c>
    </row>
    <row r="59" customFormat="false" ht="15" hidden="false" customHeight="false" outlineLevel="0" collapsed="false">
      <c r="A59" s="21" t="s">
        <v>1989</v>
      </c>
      <c r="B59" s="17" t="s">
        <v>1225</v>
      </c>
      <c r="C59" s="17" t="n">
        <f aca="false">COUNTIF(구절목록!$F$2:$F$729,A59)</f>
        <v>18</v>
      </c>
      <c r="D59" s="17" t="n">
        <v>13</v>
      </c>
      <c r="E59" s="22" t="n">
        <f aca="false">_xlfn.MINIFS(구절목록!$R$2:$R$729,구절목록!$F$2:$F$729,A59)</f>
        <v>46529</v>
      </c>
      <c r="F59" s="22" t="n">
        <f aca="false">_xlfn.MAXIFS(구절목록!$R$2:$R$729,구절목록!$F$2:$F$729,A59)</f>
        <v>46537</v>
      </c>
      <c r="G59" s="17" t="str">
        <f aca="false">IF(C59&gt;0,"정상","구절 없음")</f>
        <v>정상</v>
      </c>
    </row>
    <row r="60" customFormat="false" ht="15" hidden="false" customHeight="false" outlineLevel="0" collapsed="false">
      <c r="A60" s="21" t="s">
        <v>2035</v>
      </c>
      <c r="B60" s="17" t="s">
        <v>1225</v>
      </c>
      <c r="C60" s="17" t="n">
        <f aca="false">COUNTIF(구절목록!$F$2:$F$729,A60)</f>
        <v>12</v>
      </c>
      <c r="D60" s="17" t="n">
        <v>5</v>
      </c>
      <c r="E60" s="22" t="n">
        <f aca="false">_xlfn.MINIFS(구절목록!$R$2:$R$729,구절목록!$F$2:$F$729,A60)</f>
        <v>46538</v>
      </c>
      <c r="F60" s="22" t="n">
        <f aca="false">_xlfn.MAXIFS(구절목록!$R$2:$R$729,구절목록!$F$2:$F$729,A60)</f>
        <v>46543</v>
      </c>
      <c r="G60" s="17" t="str">
        <f aca="false">IF(C60&gt;0,"정상","구절 없음")</f>
        <v>정상</v>
      </c>
    </row>
    <row r="61" customFormat="false" ht="15" hidden="false" customHeight="false" outlineLevel="0" collapsed="false">
      <c r="A61" s="21" t="s">
        <v>2062</v>
      </c>
      <c r="B61" s="17" t="s">
        <v>1225</v>
      </c>
      <c r="C61" s="17" t="n">
        <f aca="false">COUNTIF(구절목록!$F$2:$F$729,A61)</f>
        <v>12</v>
      </c>
      <c r="D61" s="17" t="n">
        <v>5</v>
      </c>
      <c r="E61" s="22" t="n">
        <f aca="false">_xlfn.MINIFS(구절목록!$R$2:$R$729,구절목록!$F$2:$F$729,A61)</f>
        <v>46544</v>
      </c>
      <c r="F61" s="22" t="n">
        <f aca="false">_xlfn.MAXIFS(구절목록!$R$2:$R$729,구절목록!$F$2:$F$729,A61)</f>
        <v>46549</v>
      </c>
      <c r="G61" s="17" t="str">
        <f aca="false">IF(C61&gt;0,"정상","구절 없음")</f>
        <v>정상</v>
      </c>
    </row>
    <row r="62" customFormat="false" ht="15" hidden="false" customHeight="false" outlineLevel="0" collapsed="false">
      <c r="A62" s="21" t="s">
        <v>2090</v>
      </c>
      <c r="B62" s="17" t="s">
        <v>1225</v>
      </c>
      <c r="C62" s="17" t="n">
        <f aca="false">COUNTIF(구절목록!$F$2:$F$729,A62)</f>
        <v>5</v>
      </c>
      <c r="D62" s="17" t="n">
        <v>3</v>
      </c>
      <c r="E62" s="22" t="n">
        <f aca="false">_xlfn.MINIFS(구절목록!$R$2:$R$729,구절목록!$F$2:$F$729,A62)</f>
        <v>46550</v>
      </c>
      <c r="F62" s="22" t="n">
        <f aca="false">_xlfn.MAXIFS(구절목록!$R$2:$R$729,구절목록!$F$2:$F$729,A62)</f>
        <v>46552</v>
      </c>
      <c r="G62" s="17" t="str">
        <f aca="false">IF(C62&gt;0,"정상","구절 없음")</f>
        <v>정상</v>
      </c>
    </row>
    <row r="63" customFormat="false" ht="15" hidden="false" customHeight="false" outlineLevel="0" collapsed="false">
      <c r="A63" s="21" t="s">
        <v>2102</v>
      </c>
      <c r="B63" s="17" t="s">
        <v>1225</v>
      </c>
      <c r="C63" s="17" t="n">
        <f aca="false">COUNTIF(구절목록!$F$2:$F$729,A63)</f>
        <v>14</v>
      </c>
      <c r="D63" s="17" t="n">
        <v>5</v>
      </c>
      <c r="E63" s="22" t="n">
        <f aca="false">_xlfn.MINIFS(구절목록!$R$2:$R$729,구절목록!$F$2:$F$729,A63)</f>
        <v>46552</v>
      </c>
      <c r="F63" s="22" t="n">
        <f aca="false">_xlfn.MAXIFS(구절목록!$R$2:$R$729,구절목록!$F$2:$F$729,A63)</f>
        <v>46559</v>
      </c>
      <c r="G63" s="17" t="str">
        <f aca="false">IF(C63&gt;0,"정상","구절 없음")</f>
        <v>정상</v>
      </c>
    </row>
    <row r="64" customFormat="false" ht="15" hidden="false" customHeight="false" outlineLevel="0" collapsed="false">
      <c r="A64" s="21" t="s">
        <v>2131</v>
      </c>
      <c r="B64" s="17" t="s">
        <v>1225</v>
      </c>
      <c r="C64" s="17" t="n">
        <f aca="false">COUNTIF(구절목록!$F$2:$F$729,A64)</f>
        <v>1</v>
      </c>
      <c r="D64" s="17" t="n">
        <v>1</v>
      </c>
      <c r="E64" s="22" t="n">
        <f aca="false">_xlfn.MINIFS(구절목록!$R$2:$R$729,구절목록!$F$2:$F$729,A64)</f>
        <v>46559</v>
      </c>
      <c r="F64" s="22" t="n">
        <f aca="false">_xlfn.MAXIFS(구절목록!$R$2:$R$729,구절목록!$F$2:$F$729,A64)</f>
        <v>46559</v>
      </c>
      <c r="G64" s="17" t="str">
        <f aca="false">IF(C64&gt;0,"정상","구절 없음")</f>
        <v>정상</v>
      </c>
    </row>
    <row r="65" customFormat="false" ht="15" hidden="false" customHeight="false" outlineLevel="0" collapsed="false">
      <c r="A65" s="21" t="s">
        <v>2134</v>
      </c>
      <c r="B65" s="17" t="s">
        <v>1225</v>
      </c>
      <c r="C65" s="17" t="n">
        <f aca="false">COUNTIF(구절목록!$F$2:$F$729,A65)</f>
        <v>1</v>
      </c>
      <c r="D65" s="17" t="n">
        <v>1</v>
      </c>
      <c r="E65" s="22" t="n">
        <f aca="false">_xlfn.MINIFS(구절목록!$R$2:$R$729,구절목록!$F$2:$F$729,A65)</f>
        <v>46560</v>
      </c>
      <c r="F65" s="22" t="n">
        <f aca="false">_xlfn.MAXIFS(구절목록!$R$2:$R$729,구절목록!$F$2:$F$729,A65)</f>
        <v>46560</v>
      </c>
      <c r="G65" s="17" t="str">
        <f aca="false">IF(C65&gt;0,"정상","구절 없음")</f>
        <v>정상</v>
      </c>
    </row>
    <row r="66" customFormat="false" ht="15" hidden="false" customHeight="false" outlineLevel="0" collapsed="false">
      <c r="A66" s="21" t="s">
        <v>2137</v>
      </c>
      <c r="B66" s="17" t="s">
        <v>1225</v>
      </c>
      <c r="C66" s="17" t="n">
        <f aca="false">COUNTIF(구절목록!$F$2:$F$729,A66)</f>
        <v>2</v>
      </c>
      <c r="D66" s="17" t="n">
        <v>1</v>
      </c>
      <c r="E66" s="22" t="n">
        <f aca="false">_xlfn.MINIFS(구절목록!$R$2:$R$729,구절목록!$F$2:$F$729,A66)</f>
        <v>46560</v>
      </c>
      <c r="F66" s="22" t="n">
        <f aca="false">_xlfn.MAXIFS(구절목록!$R$2:$R$729,구절목록!$F$2:$F$729,A66)</f>
        <v>46561</v>
      </c>
      <c r="G66" s="17" t="str">
        <f aca="false">IF(C66&gt;0,"정상","구절 없음")</f>
        <v>정상</v>
      </c>
    </row>
    <row r="67" customFormat="false" ht="15" hidden="false" customHeight="false" outlineLevel="0" collapsed="false">
      <c r="A67" s="21" t="s">
        <v>2142</v>
      </c>
      <c r="B67" s="17" t="s">
        <v>1225</v>
      </c>
      <c r="C67" s="17" t="n">
        <f aca="false">COUNTIF(구절목록!$F$2:$F$729,A67)</f>
        <v>17</v>
      </c>
      <c r="D67" s="17" t="n">
        <v>22</v>
      </c>
      <c r="E67" s="22" t="n">
        <f aca="false">_xlfn.MINIFS(구절목록!$R$2:$R$729,구절목록!$F$2:$F$729,A67)</f>
        <v>46561</v>
      </c>
      <c r="F67" s="22" t="n">
        <f aca="false">_xlfn.MAXIFS(구절목록!$R$2:$R$729,구절목록!$F$2:$F$729,A67)</f>
        <v>46569</v>
      </c>
      <c r="G67" s="17" t="str">
        <f aca="false">IF(C67&gt;0,"정상","구절 없음")</f>
        <v>정상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4"/>
    <col collapsed="false" customWidth="true" hidden="false" outlineLevel="0" max="4" min="4" style="0" width="12"/>
  </cols>
  <sheetData>
    <row r="1" customFormat="false" ht="19.7" hidden="false" customHeight="false" outlineLevel="0" collapsed="false">
      <c r="A1" s="1" t="s">
        <v>2192</v>
      </c>
    </row>
    <row r="2" customFormat="false" ht="15" hidden="false" customHeight="false" outlineLevel="0" collapsed="false">
      <c r="A2" s="2" t="s">
        <v>2193</v>
      </c>
    </row>
    <row r="4" customFormat="false" ht="15" hidden="false" customHeight="false" outlineLevel="0" collapsed="false">
      <c r="A4" s="3" t="s">
        <v>2194</v>
      </c>
      <c r="B4" s="4"/>
      <c r="C4" s="4"/>
      <c r="D4" s="4"/>
    </row>
    <row r="5" customFormat="false" ht="15" hidden="false" customHeight="false" outlineLevel="0" collapsed="false">
      <c r="A5" s="26" t="s">
        <v>2195</v>
      </c>
      <c r="B5" s="26" t="s">
        <v>2196</v>
      </c>
      <c r="C5" s="26" t="s">
        <v>2197</v>
      </c>
      <c r="D5" s="26" t="s">
        <v>2191</v>
      </c>
    </row>
    <row r="6" customFormat="false" ht="15" hidden="false" customHeight="false" outlineLevel="0" collapsed="false">
      <c r="A6" s="27" t="s">
        <v>25</v>
      </c>
      <c r="B6" s="27" t="n">
        <f aca="false">COUNTA(구절목록!$B$2:$B$729)</f>
        <v>728</v>
      </c>
      <c r="C6" s="27" t="n">
        <v>728</v>
      </c>
      <c r="D6" s="28" t="str">
        <f aca="false">IF(B6=C6,"정상","확인 필요")</f>
        <v>정상</v>
      </c>
    </row>
    <row r="7" customFormat="false" ht="15" hidden="false" customHeight="false" outlineLevel="0" collapsed="false">
      <c r="A7" s="27" t="s">
        <v>2198</v>
      </c>
      <c r="B7" s="27" t="n">
        <f aca="false">COUNTIF(구절목록!$C$2:$C$729,"구약")</f>
        <v>364</v>
      </c>
      <c r="C7" s="27" t="n">
        <v>364</v>
      </c>
      <c r="D7" s="28" t="str">
        <f aca="false">IF(B7=C7,"정상","확인 필요")</f>
        <v>정상</v>
      </c>
    </row>
    <row r="8" customFormat="false" ht="15" hidden="false" customHeight="false" outlineLevel="0" collapsed="false">
      <c r="A8" s="27" t="s">
        <v>2199</v>
      </c>
      <c r="B8" s="27" t="n">
        <f aca="false">COUNTIF(구절목록!$C$2:$C$729,"신약")</f>
        <v>364</v>
      </c>
      <c r="C8" s="27" t="n">
        <v>364</v>
      </c>
      <c r="D8" s="28" t="str">
        <f aca="false">IF(B8=C8,"정상","확인 필요")</f>
        <v>정상</v>
      </c>
    </row>
    <row r="9" customFormat="false" ht="15" hidden="false" customHeight="false" outlineLevel="0" collapsed="false">
      <c r="A9" s="27" t="s">
        <v>2200</v>
      </c>
      <c r="B9" s="27" t="n">
        <f aca="false">COUNTIF(권별점검!$C$2:$C$67,0)</f>
        <v>0</v>
      </c>
      <c r="C9" s="27" t="n">
        <v>0</v>
      </c>
      <c r="D9" s="28" t="str">
        <f aca="false">IF(B9=C9,"정상","확인 필요")</f>
        <v>정상</v>
      </c>
    </row>
    <row r="10" customFormat="false" ht="15" hidden="false" customHeight="false" outlineLevel="0" collapsed="false">
      <c r="A10" s="27" t="s">
        <v>2201</v>
      </c>
      <c r="B10" s="27" t="n">
        <f aca="false">COUNTIF(권별점검!$C$2:$C$67,"&gt;0")</f>
        <v>66</v>
      </c>
      <c r="C10" s="27" t="n">
        <v>66</v>
      </c>
      <c r="D10" s="28" t="str">
        <f aca="false">IF(B10=C10,"정상","확인 필요")</f>
        <v>정상</v>
      </c>
    </row>
    <row r="11" customFormat="false" ht="15" hidden="false" customHeight="false" outlineLevel="0" collapsed="false">
      <c r="A11" s="27" t="s">
        <v>2202</v>
      </c>
      <c r="B11" s="27" t="n">
        <f aca="false">SUMPRODUCT((COUNTIF(구절목록!$H$2:$H$729,구절목록!$H$2:$H$729)&gt;1)*1)</f>
        <v>0</v>
      </c>
      <c r="C11" s="27" t="n">
        <v>0</v>
      </c>
      <c r="D11" s="28" t="str">
        <f aca="false">IF(B11=C11,"정상","확인 필요")</f>
        <v>정상</v>
      </c>
    </row>
    <row r="12" customFormat="false" ht="15" hidden="false" customHeight="false" outlineLevel="0" collapsed="false">
      <c r="A12" s="27" t="s">
        <v>2203</v>
      </c>
      <c r="B12" s="27" t="n">
        <f aca="false">SUMPRODUCT((COUNTIFS(구절목록!$R$2:$R$729,구절목록!$R$2:$R$729,구절목록!$S$2:$S$729,구절목록!$S$2:$S$729)&gt;1)*1)</f>
        <v>0</v>
      </c>
      <c r="C12" s="27" t="n">
        <v>0</v>
      </c>
      <c r="D12" s="28" t="str">
        <f aca="false">IF(B12=C12,"정상","확인 필요")</f>
        <v>정상</v>
      </c>
    </row>
    <row r="13" customFormat="false" ht="15" hidden="false" customHeight="false" outlineLevel="0" collapsed="false">
      <c r="A13" s="29" t="s">
        <v>2204</v>
      </c>
      <c r="B13" s="27" t="n">
        <f aca="false">IF(MAX(구절목록!$R$2:$R$729)-안내!$C$6+1&lt;=182,1,0)</f>
        <v>1</v>
      </c>
      <c r="C13" s="27" t="n">
        <v>1</v>
      </c>
      <c r="D13" s="28" t="str">
        <f aca="false">IF(B13=C13,"정상","확인 필요")</f>
        <v>정상</v>
      </c>
    </row>
    <row r="14" customFormat="false" ht="15" hidden="false" customHeight="false" outlineLevel="0" collapsed="false">
      <c r="A14" s="27" t="s">
        <v>2205</v>
      </c>
      <c r="B14" s="27" t="n">
        <f aca="false">SUMPRODUCT((COUNTIFS(구절목록!$C$2:$C$729,구절목록!$C$2:$C$729,구절목록!$D$2:$D$729,구절목록!$D$2:$D$729)&gt;1)*1)</f>
        <v>0</v>
      </c>
      <c r="C14" s="27" t="n">
        <v>0</v>
      </c>
      <c r="D14" s="28" t="str">
        <f aca="false">IF(B14=C14,"정상","확인 필요")</f>
        <v>정상</v>
      </c>
    </row>
    <row r="15" customFormat="false" ht="15" hidden="false" customHeight="false" outlineLevel="0" collapsed="false">
      <c r="A15" s="27" t="s">
        <v>2206</v>
      </c>
      <c r="B15" s="27" t="n">
        <f aca="false">COUNTBLANK(구절목록!$J$2:$J$729)</f>
        <v>0</v>
      </c>
      <c r="C15" s="27" t="n">
        <v>0</v>
      </c>
      <c r="D15" s="28" t="str">
        <f aca="false">IF(B15=C15,"정상","확인 필요")</f>
        <v>정상</v>
      </c>
    </row>
    <row r="16" customFormat="false" ht="15" hidden="false" customHeight="false" outlineLevel="0" collapsed="false">
      <c r="A16" s="5" t="s">
        <v>2207</v>
      </c>
      <c r="D16" s="30" t="str">
        <f aca="false">IF(COUNTIF(D6:D15,"정상")=10,"모두 정상","확인 필요 있음")</f>
        <v>모두 정상</v>
      </c>
    </row>
    <row r="18" customFormat="false" ht="15" hidden="false" customHeight="false" outlineLevel="0" collapsed="false">
      <c r="A18" s="5" t="s">
        <v>2208</v>
      </c>
    </row>
    <row r="19" customFormat="false" ht="15" hidden="false" customHeight="false" outlineLevel="0" collapsed="false">
      <c r="A19" s="31" t="s">
        <v>2209</v>
      </c>
      <c r="B19" s="0" t="n">
        <f aca="false">COUNTBLANK(구절목록!$K$2:$K$729)</f>
        <v>728</v>
      </c>
    </row>
    <row r="20" customFormat="false" ht="15" hidden="false" customHeight="false" outlineLevel="0" collapsed="false">
      <c r="A20" s="31" t="s">
        <v>2210</v>
      </c>
      <c r="B20" s="0" t="n">
        <f aca="false">COUNTIF(구절목록!$L$2:$L$729,"대조 완료")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0"/>
    <col collapsed="false" customWidth="true" hidden="false" outlineLevel="0" max="3" min="3" style="0" width="40"/>
    <col collapsed="false" customWidth="true" hidden="false" outlineLevel="0" max="4" min="4" style="0" width="30"/>
  </cols>
  <sheetData>
    <row r="1" customFormat="false" ht="19.7" hidden="false" customHeight="false" outlineLevel="0" collapsed="false">
      <c r="A1" s="1" t="s">
        <v>2211</v>
      </c>
    </row>
    <row r="2" customFormat="false" ht="15" hidden="false" customHeight="false" outlineLevel="0" collapsed="false">
      <c r="A2" s="2" t="s">
        <v>2212</v>
      </c>
    </row>
    <row r="4" customFormat="false" ht="16.4" hidden="false" customHeight="false" outlineLevel="0" collapsed="false">
      <c r="A4" s="32" t="s">
        <v>2213</v>
      </c>
      <c r="B4" s="4"/>
      <c r="C4" s="4"/>
      <c r="D4" s="4"/>
    </row>
    <row r="5" customFormat="false" ht="15" hidden="false" customHeight="false" outlineLevel="0" collapsed="false">
      <c r="A5" s="33" t="s">
        <v>2214</v>
      </c>
      <c r="B5" s="33" t="s">
        <v>2215</v>
      </c>
      <c r="C5" s="33" t="s">
        <v>2216</v>
      </c>
      <c r="D5" s="33" t="s">
        <v>68</v>
      </c>
    </row>
    <row r="6" customFormat="false" ht="26.85" hidden="false" customHeight="false" outlineLevel="0" collapsed="false">
      <c r="A6" s="19" t="s">
        <v>2217</v>
      </c>
      <c r="B6" s="21" t="s">
        <v>2218</v>
      </c>
      <c r="C6" s="21" t="s">
        <v>53</v>
      </c>
      <c r="D6" s="21" t="s">
        <v>2219</v>
      </c>
    </row>
    <row r="7" customFormat="false" ht="15" hidden="false" customHeight="false" outlineLevel="0" collapsed="false">
      <c r="A7" s="19" t="s">
        <v>2220</v>
      </c>
      <c r="B7" s="21" t="s">
        <v>2221</v>
      </c>
      <c r="C7" s="21" t="s">
        <v>2222</v>
      </c>
      <c r="D7" s="21" t="s">
        <v>2223</v>
      </c>
    </row>
    <row r="8" customFormat="false" ht="15" hidden="false" customHeight="false" outlineLevel="0" collapsed="false">
      <c r="A8" s="21" t="s">
        <v>2224</v>
      </c>
      <c r="B8" s="21" t="s">
        <v>2225</v>
      </c>
      <c r="C8" s="21" t="s">
        <v>51</v>
      </c>
      <c r="D8" s="21" t="s">
        <v>2226</v>
      </c>
    </row>
    <row r="9" customFormat="false" ht="15" hidden="false" customHeight="false" outlineLevel="0" collapsed="false">
      <c r="A9" s="21" t="s">
        <v>2227</v>
      </c>
      <c r="B9" s="21" t="s">
        <v>2228</v>
      </c>
      <c r="C9" s="19" t="s">
        <v>2229</v>
      </c>
      <c r="D9" s="21" t="s">
        <v>2230</v>
      </c>
    </row>
    <row r="11" customFormat="false" ht="16.4" hidden="false" customHeight="false" outlineLevel="0" collapsed="false">
      <c r="A11" s="32" t="s">
        <v>2231</v>
      </c>
      <c r="B11" s="4"/>
      <c r="C11" s="4"/>
      <c r="D11" s="4"/>
    </row>
    <row r="12" customFormat="false" ht="15" hidden="false" customHeight="false" outlineLevel="0" collapsed="false">
      <c r="A12" s="33" t="s">
        <v>2232</v>
      </c>
      <c r="B12" s="33" t="s">
        <v>2233</v>
      </c>
      <c r="C12" s="33" t="s">
        <v>2234</v>
      </c>
      <c r="D12" s="33" t="s">
        <v>2188</v>
      </c>
    </row>
    <row r="13" customFormat="false" ht="26.85" hidden="false" customHeight="false" outlineLevel="0" collapsed="false">
      <c r="A13" s="21" t="s">
        <v>89</v>
      </c>
      <c r="B13" s="21" t="s">
        <v>2235</v>
      </c>
      <c r="C13" s="21" t="s">
        <v>2236</v>
      </c>
      <c r="D13" s="21" t="n">
        <f aca="false">COUNTIF(구절목록!$J$2:$J$729,"새벽빛")</f>
        <v>82</v>
      </c>
    </row>
    <row r="14" customFormat="false" ht="15" hidden="false" customHeight="false" outlineLevel="0" collapsed="false">
      <c r="A14" s="21" t="s">
        <v>99</v>
      </c>
      <c r="B14" s="21" t="s">
        <v>2237</v>
      </c>
      <c r="C14" s="21" t="s">
        <v>2238</v>
      </c>
      <c r="D14" s="21" t="n">
        <f aca="false">COUNTIF(구절목록!$J$2:$J$729,"잔잔한 물")</f>
        <v>81</v>
      </c>
    </row>
    <row r="15" customFormat="false" ht="26.85" hidden="false" customHeight="false" outlineLevel="0" collapsed="false">
      <c r="A15" s="21" t="s">
        <v>113</v>
      </c>
      <c r="B15" s="21" t="s">
        <v>2239</v>
      </c>
      <c r="C15" s="21" t="s">
        <v>2240</v>
      </c>
      <c r="D15" s="21" t="n">
        <f aca="false">COUNTIF(구절목록!$J$2:$J$729,"바위산·광야")</f>
        <v>125</v>
      </c>
    </row>
    <row r="16" customFormat="false" ht="26.85" hidden="false" customHeight="false" outlineLevel="0" collapsed="false">
      <c r="A16" s="21" t="s">
        <v>148</v>
      </c>
      <c r="B16" s="21" t="s">
        <v>2241</v>
      </c>
      <c r="C16" s="21" t="s">
        <v>2242</v>
      </c>
      <c r="D16" s="21" t="n">
        <f aca="false">COUNTIF(구절목록!$J$2:$J$729,"들판·나무")</f>
        <v>77</v>
      </c>
    </row>
    <row r="17" customFormat="false" ht="26.85" hidden="false" customHeight="false" outlineLevel="0" collapsed="false">
      <c r="A17" s="21" t="s">
        <v>75</v>
      </c>
      <c r="B17" s="21" t="s">
        <v>2243</v>
      </c>
      <c r="C17" s="21" t="s">
        <v>2244</v>
      </c>
      <c r="D17" s="21" t="n">
        <f aca="false">COUNTIF(구절목록!$J$2:$J$729,"하늘·별")</f>
        <v>97</v>
      </c>
    </row>
    <row r="18" customFormat="false" ht="15" hidden="false" customHeight="false" outlineLevel="0" collapsed="false">
      <c r="A18" s="21" t="s">
        <v>122</v>
      </c>
      <c r="B18" s="21" t="s">
        <v>2245</v>
      </c>
      <c r="C18" s="21" t="s">
        <v>2246</v>
      </c>
      <c r="D18" s="21" t="n">
        <f aca="false">COUNTIF(구절목록!$J$2:$J$729,"길·등불")</f>
        <v>59</v>
      </c>
    </row>
    <row r="19" customFormat="false" ht="15" hidden="false" customHeight="false" outlineLevel="0" collapsed="false">
      <c r="A19" s="21" t="s">
        <v>94</v>
      </c>
      <c r="B19" s="21" t="s">
        <v>2247</v>
      </c>
      <c r="C19" s="21" t="s">
        <v>2248</v>
      </c>
      <c r="D19" s="21" t="n">
        <f aca="false">COUNTIF(구절목록!$J$2:$J$729,"창가·식탁")</f>
        <v>97</v>
      </c>
    </row>
    <row r="20" customFormat="false" ht="15" hidden="false" customHeight="false" outlineLevel="0" collapsed="false">
      <c r="A20" s="21" t="s">
        <v>104</v>
      </c>
      <c r="B20" s="21" t="s">
        <v>2249</v>
      </c>
      <c r="C20" s="21" t="s">
        <v>2250</v>
      </c>
      <c r="D20" s="21" t="n">
        <f aca="false">COUNTIF(구절목록!$J$2:$J$729,"제단·십자가")</f>
        <v>110</v>
      </c>
    </row>
    <row r="22" customFormat="false" ht="16.4" hidden="false" customHeight="false" outlineLevel="0" collapsed="false">
      <c r="A22" s="32" t="s">
        <v>2251</v>
      </c>
      <c r="B22" s="4"/>
      <c r="C22" s="4"/>
      <c r="D22" s="4"/>
    </row>
    <row r="23" customFormat="false" ht="15" hidden="false" customHeight="false" outlineLevel="0" collapsed="false">
      <c r="A23" s="33" t="s">
        <v>2195</v>
      </c>
      <c r="B23" s="33" t="s">
        <v>2252</v>
      </c>
      <c r="C23" s="33" t="s">
        <v>68</v>
      </c>
    </row>
    <row r="24" customFormat="false" ht="26.85" hidden="false" customHeight="false" outlineLevel="0" collapsed="false">
      <c r="A24" s="21" t="s">
        <v>2253</v>
      </c>
      <c r="B24" s="21" t="s">
        <v>2254</v>
      </c>
      <c r="C24" s="21" t="s">
        <v>2255</v>
      </c>
    </row>
    <row r="25" customFormat="false" ht="15" hidden="false" customHeight="false" outlineLevel="0" collapsed="false">
      <c r="A25" s="21" t="s">
        <v>2256</v>
      </c>
      <c r="B25" s="21" t="s">
        <v>2257</v>
      </c>
      <c r="C25" s="19" t="s">
        <v>2258</v>
      </c>
    </row>
    <row r="26" customFormat="false" ht="15" hidden="false" customHeight="false" outlineLevel="0" collapsed="false">
      <c r="A26" s="21" t="s">
        <v>2259</v>
      </c>
      <c r="B26" s="21" t="s">
        <v>2260</v>
      </c>
      <c r="C26" s="21" t="s">
        <v>2261</v>
      </c>
    </row>
    <row r="27" customFormat="false" ht="15" hidden="false" customHeight="false" outlineLevel="0" collapsed="false">
      <c r="A27" s="21" t="s">
        <v>2262</v>
      </c>
      <c r="B27" s="19" t="s">
        <v>2263</v>
      </c>
      <c r="C27" s="21" t="s">
        <v>2264</v>
      </c>
    </row>
    <row r="29" customFormat="false" ht="16.4" hidden="false" customHeight="false" outlineLevel="0" collapsed="false">
      <c r="A29" s="32" t="s">
        <v>2265</v>
      </c>
      <c r="B29" s="4"/>
      <c r="C29" s="4"/>
      <c r="D29" s="4"/>
    </row>
    <row r="30" customFormat="false" ht="15" hidden="false" customHeight="false" outlineLevel="0" collapsed="false">
      <c r="A30" s="33" t="s">
        <v>2195</v>
      </c>
      <c r="B30" s="33" t="s">
        <v>2266</v>
      </c>
      <c r="C30" s="33" t="s">
        <v>68</v>
      </c>
    </row>
    <row r="31" customFormat="false" ht="15" hidden="false" customHeight="false" outlineLevel="0" collapsed="false">
      <c r="A31" s="21" t="s">
        <v>2267</v>
      </c>
      <c r="B31" s="21" t="s">
        <v>2268</v>
      </c>
      <c r="C31" s="19" t="s">
        <v>2269</v>
      </c>
    </row>
    <row r="32" customFormat="false" ht="26.85" hidden="false" customHeight="false" outlineLevel="0" collapsed="false">
      <c r="A32" s="21" t="s">
        <v>2270</v>
      </c>
      <c r="B32" s="21" t="s">
        <v>2271</v>
      </c>
      <c r="C32" s="19" t="s">
        <v>2272</v>
      </c>
    </row>
    <row r="33" customFormat="false" ht="15" hidden="false" customHeight="false" outlineLevel="0" collapsed="false">
      <c r="A33" s="21" t="s">
        <v>59</v>
      </c>
      <c r="B33" s="19" t="s">
        <v>2273</v>
      </c>
      <c r="C33" s="19" t="s">
        <v>2274</v>
      </c>
    </row>
    <row r="35" customFormat="false" ht="16.4" hidden="false" customHeight="false" outlineLevel="0" collapsed="false">
      <c r="A35" s="32" t="s">
        <v>2275</v>
      </c>
      <c r="B35" s="4"/>
      <c r="C35" s="4"/>
      <c r="D35" s="4"/>
    </row>
    <row r="36" customFormat="false" ht="15" hidden="false" customHeight="false" outlineLevel="0" collapsed="false">
      <c r="A36" s="33" t="s">
        <v>2276</v>
      </c>
      <c r="B36" s="33" t="s">
        <v>2215</v>
      </c>
    </row>
    <row r="37" customFormat="false" ht="26.85" hidden="false" customHeight="false" outlineLevel="0" collapsed="false">
      <c r="A37" s="21" t="s">
        <v>2277</v>
      </c>
      <c r="B37" s="21" t="s">
        <v>2278</v>
      </c>
    </row>
    <row r="38" customFormat="false" ht="26.85" hidden="false" customHeight="false" outlineLevel="0" collapsed="false">
      <c r="A38" s="21" t="s">
        <v>2279</v>
      </c>
      <c r="B38" s="21" t="s">
        <v>2280</v>
      </c>
    </row>
    <row r="39" customFormat="false" ht="26.85" hidden="false" customHeight="false" outlineLevel="0" collapsed="false">
      <c r="A39" s="21" t="s">
        <v>2281</v>
      </c>
      <c r="B39" s="21" t="s">
        <v>2282</v>
      </c>
    </row>
    <row r="40" customFormat="false" ht="15" hidden="false" customHeight="false" outlineLevel="0" collapsed="false">
      <c r="A40" s="21" t="s">
        <v>2283</v>
      </c>
      <c r="B40" s="21" t="s">
        <v>2284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8"/>
  </cols>
  <sheetData>
    <row r="1" customFormat="false" ht="19.7" hidden="false" customHeight="false" outlineLevel="0" collapsed="false">
      <c r="A1" s="1" t="s">
        <v>2285</v>
      </c>
    </row>
    <row r="2" customFormat="false" ht="15" hidden="false" customHeight="false" outlineLevel="0" collapsed="false">
      <c r="A2" s="2" t="s">
        <v>2286</v>
      </c>
    </row>
    <row r="4" customFormat="false" ht="15" hidden="false" customHeight="false" outlineLevel="0" collapsed="false">
      <c r="A4" s="26" t="s">
        <v>52</v>
      </c>
      <c r="B4" s="26" t="s">
        <v>2188</v>
      </c>
      <c r="C4" s="26" t="s">
        <v>2287</v>
      </c>
      <c r="D4" s="26" t="s">
        <v>2288</v>
      </c>
      <c r="E4" s="26" t="s">
        <v>2289</v>
      </c>
    </row>
    <row r="5" customFormat="false" ht="15" hidden="false" customHeight="false" outlineLevel="0" collapsed="false">
      <c r="A5" s="31" t="s">
        <v>93</v>
      </c>
      <c r="B5" s="0" t="n">
        <f aca="false">COUNTIF(구절목록!$I$2:$I$729,A5)</f>
        <v>6</v>
      </c>
      <c r="C5" s="0" t="n">
        <f aca="false">COUNTIFS(구절목록!$I$2:$I$729,A5,구절목록!$W$2:$W$729,"&lt;&gt;")</f>
        <v>0</v>
      </c>
      <c r="D5" s="0" t="str">
        <f aca="false">IFERROR(AVERAGEIFS(구절목록!$W$2:$W$729,구절목록!$I$2:$I$729,A5),"-")</f>
        <v>-</v>
      </c>
      <c r="E5" s="0" t="str">
        <f aca="false">IFERROR(AVERAGEIFS(구절목록!$X$2:$X$729,구절목록!$I$2:$I$729,A5),"-")</f>
        <v>-</v>
      </c>
    </row>
    <row r="6" customFormat="false" ht="15" hidden="false" customHeight="false" outlineLevel="0" collapsed="false">
      <c r="A6" s="31" t="s">
        <v>369</v>
      </c>
      <c r="B6" s="0" t="n">
        <f aca="false">COUNTIF(구절목록!$I$2:$I$729,A6)</f>
        <v>7</v>
      </c>
      <c r="C6" s="0" t="n">
        <f aca="false">COUNTIFS(구절목록!$I$2:$I$729,A6,구절목록!$W$2:$W$729,"&lt;&gt;")</f>
        <v>0</v>
      </c>
      <c r="D6" s="0" t="str">
        <f aca="false">IFERROR(AVERAGEIFS(구절목록!$W$2:$W$729,구절목록!$I$2:$I$729,A6),"-")</f>
        <v>-</v>
      </c>
      <c r="E6" s="0" t="str">
        <f aca="false">IFERROR(AVERAGEIFS(구절목록!$X$2:$X$729,구절목록!$I$2:$I$729,A6),"-")</f>
        <v>-</v>
      </c>
    </row>
    <row r="7" customFormat="false" ht="15" hidden="false" customHeight="false" outlineLevel="0" collapsed="false">
      <c r="A7" s="31" t="s">
        <v>172</v>
      </c>
      <c r="B7" s="0" t="n">
        <f aca="false">COUNTIF(구절목록!$I$2:$I$729,A7)</f>
        <v>9</v>
      </c>
      <c r="C7" s="0" t="n">
        <f aca="false">COUNTIFS(구절목록!$I$2:$I$729,A7,구절목록!$W$2:$W$729,"&lt;&gt;")</f>
        <v>0</v>
      </c>
      <c r="D7" s="0" t="str">
        <f aca="false">IFERROR(AVERAGEIFS(구절목록!$W$2:$W$729,구절목록!$I$2:$I$729,A7),"-")</f>
        <v>-</v>
      </c>
      <c r="E7" s="0" t="str">
        <f aca="false">IFERROR(AVERAGEIFS(구절목록!$X$2:$X$729,구절목록!$I$2:$I$729,A7),"-")</f>
        <v>-</v>
      </c>
    </row>
    <row r="8" customFormat="false" ht="15" hidden="false" customHeight="false" outlineLevel="0" collapsed="false">
      <c r="A8" s="31" t="s">
        <v>413</v>
      </c>
      <c r="B8" s="0" t="n">
        <f aca="false">COUNTIF(구절목록!$I$2:$I$729,A8)</f>
        <v>1</v>
      </c>
      <c r="C8" s="0" t="n">
        <f aca="false">COUNTIFS(구절목록!$I$2:$I$729,A8,구절목록!$W$2:$W$729,"&lt;&gt;")</f>
        <v>0</v>
      </c>
      <c r="D8" s="0" t="str">
        <f aca="false">IFERROR(AVERAGEIFS(구절목록!$W$2:$W$729,구절목록!$I$2:$I$729,A8),"-")</f>
        <v>-</v>
      </c>
      <c r="E8" s="0" t="str">
        <f aca="false">IFERROR(AVERAGEIFS(구절목록!$X$2:$X$729,구절목록!$I$2:$I$729,A8),"-")</f>
        <v>-</v>
      </c>
    </row>
    <row r="9" customFormat="false" ht="15" hidden="false" customHeight="false" outlineLevel="0" collapsed="false">
      <c r="A9" s="31" t="s">
        <v>775</v>
      </c>
      <c r="B9" s="0" t="n">
        <f aca="false">COUNTIF(구절목록!$I$2:$I$729,A9)</f>
        <v>10</v>
      </c>
      <c r="C9" s="0" t="n">
        <f aca="false">COUNTIFS(구절목록!$I$2:$I$729,A9,구절목록!$W$2:$W$729,"&lt;&gt;")</f>
        <v>0</v>
      </c>
      <c r="D9" s="0" t="str">
        <f aca="false">IFERROR(AVERAGEIFS(구절목록!$W$2:$W$729,구절목록!$I$2:$I$729,A9),"-")</f>
        <v>-</v>
      </c>
      <c r="E9" s="0" t="str">
        <f aca="false">IFERROR(AVERAGEIFS(구절목록!$X$2:$X$729,구절목록!$I$2:$I$729,A9),"-")</f>
        <v>-</v>
      </c>
    </row>
    <row r="10" customFormat="false" ht="15" hidden="false" customHeight="false" outlineLevel="0" collapsed="false">
      <c r="A10" s="31" t="s">
        <v>1949</v>
      </c>
      <c r="B10" s="0" t="n">
        <f aca="false">COUNTIF(구절목록!$I$2:$I$729,A10)</f>
        <v>2</v>
      </c>
      <c r="C10" s="0" t="n">
        <f aca="false">COUNTIFS(구절목록!$I$2:$I$729,A10,구절목록!$W$2:$W$729,"&lt;&gt;")</f>
        <v>0</v>
      </c>
      <c r="D10" s="0" t="str">
        <f aca="false">IFERROR(AVERAGEIFS(구절목록!$W$2:$W$729,구절목록!$I$2:$I$729,A10),"-")</f>
        <v>-</v>
      </c>
      <c r="E10" s="0" t="str">
        <f aca="false">IFERROR(AVERAGEIFS(구절목록!$X$2:$X$729,구절목록!$I$2:$I$729,A10),"-")</f>
        <v>-</v>
      </c>
    </row>
    <row r="11" customFormat="false" ht="15" hidden="false" customHeight="false" outlineLevel="0" collapsed="false">
      <c r="A11" s="31" t="s">
        <v>857</v>
      </c>
      <c r="B11" s="0" t="n">
        <f aca="false">COUNTIF(구절목록!$I$2:$I$729,A11)</f>
        <v>6</v>
      </c>
      <c r="C11" s="0" t="n">
        <f aca="false">COUNTIFS(구절목록!$I$2:$I$729,A11,구절목록!$W$2:$W$729,"&lt;&gt;")</f>
        <v>0</v>
      </c>
      <c r="D11" s="0" t="str">
        <f aca="false">IFERROR(AVERAGEIFS(구절목록!$W$2:$W$729,구절목록!$I$2:$I$729,A11),"-")</f>
        <v>-</v>
      </c>
      <c r="E11" s="0" t="str">
        <f aca="false">IFERROR(AVERAGEIFS(구절목록!$X$2:$X$729,구절목록!$I$2:$I$729,A11),"-")</f>
        <v>-</v>
      </c>
    </row>
    <row r="12" customFormat="false" ht="15" hidden="false" customHeight="false" outlineLevel="0" collapsed="false">
      <c r="A12" s="31" t="s">
        <v>214</v>
      </c>
      <c r="B12" s="0" t="n">
        <f aca="false">COUNTIF(구절목록!$I$2:$I$729,A12)</f>
        <v>1</v>
      </c>
      <c r="C12" s="0" t="n">
        <f aca="false">COUNTIFS(구절목록!$I$2:$I$729,A12,구절목록!$W$2:$W$729,"&lt;&gt;")</f>
        <v>0</v>
      </c>
      <c r="D12" s="0" t="str">
        <f aca="false">IFERROR(AVERAGEIFS(구절목록!$W$2:$W$729,구절목록!$I$2:$I$729,A12),"-")</f>
        <v>-</v>
      </c>
      <c r="E12" s="0" t="str">
        <f aca="false">IFERROR(AVERAGEIFS(구절목록!$X$2:$X$729,구절목록!$I$2:$I$729,A12),"-")</f>
        <v>-</v>
      </c>
    </row>
    <row r="13" customFormat="false" ht="15" hidden="false" customHeight="false" outlineLevel="0" collapsed="false">
      <c r="A13" s="31" t="s">
        <v>147</v>
      </c>
      <c r="B13" s="0" t="n">
        <f aca="false">COUNTIF(구절목록!$I$2:$I$729,A13)</f>
        <v>4</v>
      </c>
      <c r="C13" s="0" t="n">
        <f aca="false">COUNTIFS(구절목록!$I$2:$I$729,A13,구절목록!$W$2:$W$729,"&lt;&gt;")</f>
        <v>0</v>
      </c>
      <c r="D13" s="0" t="str">
        <f aca="false">IFERROR(AVERAGEIFS(구절목록!$W$2:$W$729,구절목록!$I$2:$I$729,A13),"-")</f>
        <v>-</v>
      </c>
      <c r="E13" s="0" t="str">
        <f aca="false">IFERROR(AVERAGEIFS(구절목록!$X$2:$X$729,구절목록!$I$2:$I$729,A13),"-")</f>
        <v>-</v>
      </c>
    </row>
    <row r="14" customFormat="false" ht="15" hidden="false" customHeight="false" outlineLevel="0" collapsed="false">
      <c r="A14" s="31" t="s">
        <v>1571</v>
      </c>
      <c r="B14" s="0" t="n">
        <f aca="false">COUNTIF(구절목록!$I$2:$I$729,A14)</f>
        <v>6</v>
      </c>
      <c r="C14" s="0" t="n">
        <f aca="false">COUNTIFS(구절목록!$I$2:$I$729,A14,구절목록!$W$2:$W$729,"&lt;&gt;")</f>
        <v>0</v>
      </c>
      <c r="D14" s="0" t="str">
        <f aca="false">IFERROR(AVERAGEIFS(구절목록!$W$2:$W$729,구절목록!$I$2:$I$729,A14),"-")</f>
        <v>-</v>
      </c>
      <c r="E14" s="0" t="str">
        <f aca="false">IFERROR(AVERAGEIFS(구절목록!$X$2:$X$729,구절목록!$I$2:$I$729,A14),"-")</f>
        <v>-</v>
      </c>
    </row>
    <row r="15" customFormat="false" ht="15" hidden="false" customHeight="false" outlineLevel="0" collapsed="false">
      <c r="A15" s="31" t="s">
        <v>103</v>
      </c>
      <c r="B15" s="0" t="n">
        <f aca="false">COUNTIF(구절목록!$I$2:$I$729,A15)</f>
        <v>37</v>
      </c>
      <c r="C15" s="0" t="n">
        <f aca="false">COUNTIFS(구절목록!$I$2:$I$729,A15,구절목록!$W$2:$W$729,"&lt;&gt;")</f>
        <v>0</v>
      </c>
      <c r="D15" s="0" t="str">
        <f aca="false">IFERROR(AVERAGEIFS(구절목록!$W$2:$W$729,구절목록!$I$2:$I$729,A15),"-")</f>
        <v>-</v>
      </c>
      <c r="E15" s="0" t="str">
        <f aca="false">IFERROR(AVERAGEIFS(구절목록!$X$2:$X$729,구절목록!$I$2:$I$729,A15),"-")</f>
        <v>-</v>
      </c>
    </row>
    <row r="16" customFormat="false" ht="15" hidden="false" customHeight="false" outlineLevel="0" collapsed="false">
      <c r="A16" s="31" t="s">
        <v>160</v>
      </c>
      <c r="B16" s="0" t="n">
        <f aca="false">COUNTIF(구절목록!$I$2:$I$729,A16)</f>
        <v>30</v>
      </c>
      <c r="C16" s="0" t="n">
        <f aca="false">COUNTIFS(구절목록!$I$2:$I$729,A16,구절목록!$W$2:$W$729,"&lt;&gt;")</f>
        <v>0</v>
      </c>
      <c r="D16" s="0" t="str">
        <f aca="false">IFERROR(AVERAGEIFS(구절목록!$W$2:$W$729,구절목록!$I$2:$I$729,A16),"-")</f>
        <v>-</v>
      </c>
      <c r="E16" s="0" t="str">
        <f aca="false">IFERROR(AVERAGEIFS(구절목록!$X$2:$X$729,구절목록!$I$2:$I$729,A16),"-")</f>
        <v>-</v>
      </c>
    </row>
    <row r="17" customFormat="false" ht="15" hidden="false" customHeight="false" outlineLevel="0" collapsed="false">
      <c r="A17" s="31" t="s">
        <v>483</v>
      </c>
      <c r="B17" s="0" t="n">
        <f aca="false">COUNTIF(구절목록!$I$2:$I$729,A17)</f>
        <v>11</v>
      </c>
      <c r="C17" s="0" t="n">
        <f aca="false">COUNTIFS(구절목록!$I$2:$I$729,A17,구절목록!$W$2:$W$729,"&lt;&gt;")</f>
        <v>0</v>
      </c>
      <c r="D17" s="0" t="str">
        <f aca="false">IFERROR(AVERAGEIFS(구절목록!$W$2:$W$729,구절목록!$I$2:$I$729,A17),"-")</f>
        <v>-</v>
      </c>
      <c r="E17" s="0" t="str">
        <f aca="false">IFERROR(AVERAGEIFS(구절목록!$X$2:$X$729,구절목록!$I$2:$I$729,A17),"-")</f>
        <v>-</v>
      </c>
    </row>
    <row r="18" customFormat="false" ht="15" hidden="false" customHeight="false" outlineLevel="0" collapsed="false">
      <c r="A18" s="31" t="s">
        <v>1410</v>
      </c>
      <c r="B18" s="0" t="n">
        <f aca="false">COUNTIF(구절목록!$I$2:$I$729,A18)</f>
        <v>3</v>
      </c>
      <c r="C18" s="0" t="n">
        <f aca="false">COUNTIFS(구절목록!$I$2:$I$729,A18,구절목록!$W$2:$W$729,"&lt;&gt;")</f>
        <v>0</v>
      </c>
      <c r="D18" s="0" t="str">
        <f aca="false">IFERROR(AVERAGEIFS(구절목록!$W$2:$W$729,구절목록!$I$2:$I$729,A18),"-")</f>
        <v>-</v>
      </c>
      <c r="E18" s="0" t="str">
        <f aca="false">IFERROR(AVERAGEIFS(구절목록!$X$2:$X$729,구절목록!$I$2:$I$729,A18),"-")</f>
        <v>-</v>
      </c>
    </row>
    <row r="19" customFormat="false" ht="15" hidden="false" customHeight="false" outlineLevel="0" collapsed="false">
      <c r="A19" s="31" t="s">
        <v>140</v>
      </c>
      <c r="B19" s="0" t="n">
        <f aca="false">COUNTIF(구절목록!$I$2:$I$729,A19)</f>
        <v>16</v>
      </c>
      <c r="C19" s="0" t="n">
        <f aca="false">COUNTIFS(구절목록!$I$2:$I$729,A19,구절목록!$W$2:$W$729,"&lt;&gt;")</f>
        <v>0</v>
      </c>
      <c r="D19" s="0" t="str">
        <f aca="false">IFERROR(AVERAGEIFS(구절목록!$W$2:$W$729,구절목록!$I$2:$I$729,A19),"-")</f>
        <v>-</v>
      </c>
      <c r="E19" s="0" t="str">
        <f aca="false">IFERROR(AVERAGEIFS(구절목록!$X$2:$X$729,구절목록!$I$2:$I$729,A19),"-")</f>
        <v>-</v>
      </c>
    </row>
    <row r="20" customFormat="false" ht="15" hidden="false" customHeight="false" outlineLevel="0" collapsed="false">
      <c r="A20" s="31" t="s">
        <v>305</v>
      </c>
      <c r="B20" s="0" t="n">
        <f aca="false">COUNTIF(구절목록!$I$2:$I$729,A20)</f>
        <v>13</v>
      </c>
      <c r="C20" s="0" t="n">
        <f aca="false">COUNTIFS(구절목록!$I$2:$I$729,A20,구절목록!$W$2:$W$729,"&lt;&gt;")</f>
        <v>0</v>
      </c>
      <c r="D20" s="0" t="str">
        <f aca="false">IFERROR(AVERAGEIFS(구절목록!$W$2:$W$729,구절목록!$I$2:$I$729,A20),"-")</f>
        <v>-</v>
      </c>
      <c r="E20" s="0" t="str">
        <f aca="false">IFERROR(AVERAGEIFS(구절목록!$X$2:$X$729,구절목록!$I$2:$I$729,A20),"-")</f>
        <v>-</v>
      </c>
    </row>
    <row r="21" customFormat="false" ht="15" hidden="false" customHeight="false" outlineLevel="0" collapsed="false">
      <c r="A21" s="31" t="s">
        <v>152</v>
      </c>
      <c r="B21" s="0" t="n">
        <f aca="false">COUNTIF(구절목록!$I$2:$I$729,A21)</f>
        <v>10</v>
      </c>
      <c r="C21" s="0" t="n">
        <f aca="false">COUNTIFS(구절목록!$I$2:$I$729,A21,구절목록!$W$2:$W$729,"&lt;&gt;")</f>
        <v>0</v>
      </c>
      <c r="D21" s="0" t="str">
        <f aca="false">IFERROR(AVERAGEIFS(구절목록!$W$2:$W$729,구절목록!$I$2:$I$729,A21),"-")</f>
        <v>-</v>
      </c>
      <c r="E21" s="0" t="str">
        <f aca="false">IFERROR(AVERAGEIFS(구절목록!$X$2:$X$729,구절목록!$I$2:$I$729,A21),"-")</f>
        <v>-</v>
      </c>
    </row>
    <row r="22" customFormat="false" ht="15" hidden="false" customHeight="false" outlineLevel="0" collapsed="false">
      <c r="A22" s="31" t="s">
        <v>376</v>
      </c>
      <c r="B22" s="0" t="n">
        <f aca="false">COUNTIF(구절목록!$I$2:$I$729,A22)</f>
        <v>7</v>
      </c>
      <c r="C22" s="0" t="n">
        <f aca="false">COUNTIFS(구절목록!$I$2:$I$729,A22,구절목록!$W$2:$W$729,"&lt;&gt;")</f>
        <v>0</v>
      </c>
      <c r="D22" s="0" t="str">
        <f aca="false">IFERROR(AVERAGEIFS(구절목록!$W$2:$W$729,구절목록!$I$2:$I$729,A22),"-")</f>
        <v>-</v>
      </c>
      <c r="E22" s="0" t="str">
        <f aca="false">IFERROR(AVERAGEIFS(구절목록!$X$2:$X$729,구절목록!$I$2:$I$729,A22),"-")</f>
        <v>-</v>
      </c>
    </row>
    <row r="23" customFormat="false" ht="15" hidden="false" customHeight="false" outlineLevel="0" collapsed="false">
      <c r="A23" s="31" t="s">
        <v>787</v>
      </c>
      <c r="B23" s="0" t="n">
        <f aca="false">COUNTIF(구절목록!$I$2:$I$729,A23)</f>
        <v>5</v>
      </c>
      <c r="C23" s="0" t="n">
        <f aca="false">COUNTIFS(구절목록!$I$2:$I$729,A23,구절목록!$W$2:$W$729,"&lt;&gt;")</f>
        <v>0</v>
      </c>
      <c r="D23" s="0" t="str">
        <f aca="false">IFERROR(AVERAGEIFS(구절목록!$W$2:$W$729,구절목록!$I$2:$I$729,A23),"-")</f>
        <v>-</v>
      </c>
      <c r="E23" s="0" t="str">
        <f aca="false">IFERROR(AVERAGEIFS(구절목록!$X$2:$X$729,구절목록!$I$2:$I$729,A23),"-")</f>
        <v>-</v>
      </c>
    </row>
    <row r="24" customFormat="false" ht="15" hidden="false" customHeight="false" outlineLevel="0" collapsed="false">
      <c r="A24" s="31" t="s">
        <v>284</v>
      </c>
      <c r="B24" s="0" t="n">
        <f aca="false">COUNTIF(구절목록!$I$2:$I$729,A24)</f>
        <v>30</v>
      </c>
      <c r="C24" s="0" t="n">
        <f aca="false">COUNTIFS(구절목록!$I$2:$I$729,A24,구절목록!$W$2:$W$729,"&lt;&gt;")</f>
        <v>0</v>
      </c>
      <c r="D24" s="0" t="str">
        <f aca="false">IFERROR(AVERAGEIFS(구절목록!$W$2:$W$729,구절목록!$I$2:$I$729,A24),"-")</f>
        <v>-</v>
      </c>
      <c r="E24" s="0" t="str">
        <f aca="false">IFERROR(AVERAGEIFS(구절목록!$X$2:$X$729,구절목록!$I$2:$I$729,A24),"-")</f>
        <v>-</v>
      </c>
    </row>
    <row r="25" customFormat="false" ht="15" hidden="false" customHeight="false" outlineLevel="0" collapsed="false">
      <c r="A25" s="31" t="s">
        <v>133</v>
      </c>
      <c r="B25" s="0" t="n">
        <f aca="false">COUNTIF(구절목록!$I$2:$I$729,A25)</f>
        <v>27</v>
      </c>
      <c r="C25" s="0" t="n">
        <f aca="false">COUNTIFS(구절목록!$I$2:$I$729,A25,구절목록!$W$2:$W$729,"&lt;&gt;")</f>
        <v>0</v>
      </c>
      <c r="D25" s="0" t="str">
        <f aca="false">IFERROR(AVERAGEIFS(구절목록!$W$2:$W$729,구절목록!$I$2:$I$729,A25),"-")</f>
        <v>-</v>
      </c>
      <c r="E25" s="0" t="str">
        <f aca="false">IFERROR(AVERAGEIFS(구절목록!$X$2:$X$729,구절목록!$I$2:$I$729,A25),"-")</f>
        <v>-</v>
      </c>
    </row>
    <row r="26" customFormat="false" ht="15" hidden="false" customHeight="false" outlineLevel="0" collapsed="false">
      <c r="A26" s="31" t="s">
        <v>353</v>
      </c>
      <c r="B26" s="0" t="n">
        <f aca="false">COUNTIF(구절목록!$I$2:$I$729,A26)</f>
        <v>14</v>
      </c>
      <c r="C26" s="0" t="n">
        <f aca="false">COUNTIFS(구절목록!$I$2:$I$729,A26,구절목록!$W$2:$W$729,"&lt;&gt;")</f>
        <v>0</v>
      </c>
      <c r="D26" s="0" t="str">
        <f aca="false">IFERROR(AVERAGEIFS(구절목록!$W$2:$W$729,구절목록!$I$2:$I$729,A26),"-")</f>
        <v>-</v>
      </c>
      <c r="E26" s="0" t="str">
        <f aca="false">IFERROR(AVERAGEIFS(구절목록!$X$2:$X$729,구절목록!$I$2:$I$729,A26),"-")</f>
        <v>-</v>
      </c>
    </row>
    <row r="27" customFormat="false" ht="15" hidden="false" customHeight="false" outlineLevel="0" collapsed="false">
      <c r="A27" s="31" t="s">
        <v>536</v>
      </c>
      <c r="B27" s="0" t="n">
        <f aca="false">COUNTIF(구절목록!$I$2:$I$729,A27)</f>
        <v>4</v>
      </c>
      <c r="C27" s="0" t="n">
        <f aca="false">COUNTIFS(구절목록!$I$2:$I$729,A27,구절목록!$W$2:$W$729,"&lt;&gt;")</f>
        <v>0</v>
      </c>
      <c r="D27" s="0" t="str">
        <f aca="false">IFERROR(AVERAGEIFS(구절목록!$W$2:$W$729,구절목록!$I$2:$I$729,A27),"-")</f>
        <v>-</v>
      </c>
      <c r="E27" s="0" t="str">
        <f aca="false">IFERROR(AVERAGEIFS(구절목록!$X$2:$X$729,구절목록!$I$2:$I$729,A27),"-")</f>
        <v>-</v>
      </c>
    </row>
    <row r="28" customFormat="false" ht="15" hidden="false" customHeight="false" outlineLevel="0" collapsed="false">
      <c r="A28" s="31" t="s">
        <v>970</v>
      </c>
      <c r="B28" s="0" t="n">
        <f aca="false">COUNTIF(구절목록!$I$2:$I$729,A28)</f>
        <v>10</v>
      </c>
      <c r="C28" s="0" t="n">
        <f aca="false">COUNTIFS(구절목록!$I$2:$I$729,A28,구절목록!$W$2:$W$729,"&lt;&gt;")</f>
        <v>0</v>
      </c>
      <c r="D28" s="0" t="str">
        <f aca="false">IFERROR(AVERAGEIFS(구절목록!$W$2:$W$729,구절목록!$I$2:$I$729,A28),"-")</f>
        <v>-</v>
      </c>
      <c r="E28" s="0" t="str">
        <f aca="false">IFERROR(AVERAGEIFS(구절목록!$X$2:$X$729,구절목록!$I$2:$I$729,A28),"-")</f>
        <v>-</v>
      </c>
    </row>
    <row r="29" customFormat="false" ht="15" hidden="false" customHeight="false" outlineLevel="0" collapsed="false">
      <c r="A29" s="31" t="s">
        <v>1011</v>
      </c>
      <c r="B29" s="0" t="n">
        <f aca="false">COUNTIF(구절목록!$I$2:$I$729,A29)</f>
        <v>6</v>
      </c>
      <c r="C29" s="0" t="n">
        <f aca="false">COUNTIFS(구절목록!$I$2:$I$729,A29,구절목록!$W$2:$W$729,"&lt;&gt;")</f>
        <v>0</v>
      </c>
      <c r="D29" s="0" t="str">
        <f aca="false">IFERROR(AVERAGEIFS(구절목록!$W$2:$W$729,구절목록!$I$2:$I$729,A29),"-")</f>
        <v>-</v>
      </c>
      <c r="E29" s="0" t="str">
        <f aca="false">IFERROR(AVERAGEIFS(구절목록!$X$2:$X$729,구절목록!$I$2:$I$729,A29),"-")</f>
        <v>-</v>
      </c>
    </row>
    <row r="30" customFormat="false" ht="15" hidden="false" customHeight="false" outlineLevel="0" collapsed="false">
      <c r="A30" s="31" t="s">
        <v>1324</v>
      </c>
      <c r="B30" s="0" t="n">
        <f aca="false">COUNTIF(구절목록!$I$2:$I$729,A30)</f>
        <v>4</v>
      </c>
      <c r="C30" s="0" t="n">
        <f aca="false">COUNTIFS(구절목록!$I$2:$I$729,A30,구절목록!$W$2:$W$729,"&lt;&gt;")</f>
        <v>0</v>
      </c>
      <c r="D30" s="0" t="str">
        <f aca="false">IFERROR(AVERAGEIFS(구절목록!$W$2:$W$729,구절목록!$I$2:$I$729,A30),"-")</f>
        <v>-</v>
      </c>
      <c r="E30" s="0" t="str">
        <f aca="false">IFERROR(AVERAGEIFS(구절목록!$X$2:$X$729,구절목록!$I$2:$I$729,A30),"-")</f>
        <v>-</v>
      </c>
    </row>
    <row r="31" customFormat="false" ht="15" hidden="false" customHeight="false" outlineLevel="0" collapsed="false">
      <c r="A31" s="31" t="s">
        <v>1258</v>
      </c>
      <c r="B31" s="0" t="n">
        <f aca="false">COUNTIF(구절목록!$I$2:$I$729,A31)</f>
        <v>5</v>
      </c>
      <c r="C31" s="0" t="n">
        <f aca="false">COUNTIFS(구절목록!$I$2:$I$729,A31,구절목록!$W$2:$W$729,"&lt;&gt;")</f>
        <v>0</v>
      </c>
      <c r="D31" s="0" t="str">
        <f aca="false">IFERROR(AVERAGEIFS(구절목록!$W$2:$W$729,구절목록!$I$2:$I$729,A31),"-")</f>
        <v>-</v>
      </c>
      <c r="E31" s="0" t="str">
        <f aca="false">IFERROR(AVERAGEIFS(구절목록!$X$2:$X$729,구절목록!$I$2:$I$729,A31),"-")</f>
        <v>-</v>
      </c>
    </row>
    <row r="32" customFormat="false" ht="15" hidden="false" customHeight="false" outlineLevel="0" collapsed="false">
      <c r="A32" s="31" t="s">
        <v>239</v>
      </c>
      <c r="B32" s="0" t="n">
        <f aca="false">COUNTIF(구절목록!$I$2:$I$729,A32)</f>
        <v>57</v>
      </c>
      <c r="C32" s="0" t="n">
        <f aca="false">COUNTIFS(구절목록!$I$2:$I$729,A32,구절목록!$W$2:$W$729,"&lt;&gt;")</f>
        <v>0</v>
      </c>
      <c r="D32" s="0" t="str">
        <f aca="false">IFERROR(AVERAGEIFS(구절목록!$W$2:$W$729,구절목록!$I$2:$I$729,A32),"-")</f>
        <v>-</v>
      </c>
      <c r="E32" s="0" t="str">
        <f aca="false">IFERROR(AVERAGEIFS(구절목록!$X$2:$X$729,구절목록!$I$2:$I$729,A32),"-")</f>
        <v>-</v>
      </c>
    </row>
    <row r="33" customFormat="false" ht="15" hidden="false" customHeight="false" outlineLevel="0" collapsed="false">
      <c r="A33" s="31" t="s">
        <v>1079</v>
      </c>
      <c r="B33" s="0" t="n">
        <f aca="false">COUNTIF(구절목록!$I$2:$I$729,A33)</f>
        <v>6</v>
      </c>
      <c r="C33" s="0" t="n">
        <f aca="false">COUNTIFS(구절목록!$I$2:$I$729,A33,구절목록!$W$2:$W$729,"&lt;&gt;")</f>
        <v>0</v>
      </c>
      <c r="D33" s="0" t="str">
        <f aca="false">IFERROR(AVERAGEIFS(구절목록!$W$2:$W$729,구절목록!$I$2:$I$729,A33),"-")</f>
        <v>-</v>
      </c>
      <c r="E33" s="0" t="str">
        <f aca="false">IFERROR(AVERAGEIFS(구절목록!$X$2:$X$729,구절목록!$I$2:$I$729,A33),"-")</f>
        <v>-</v>
      </c>
    </row>
    <row r="34" customFormat="false" ht="15" hidden="false" customHeight="false" outlineLevel="0" collapsed="false">
      <c r="A34" s="31" t="s">
        <v>88</v>
      </c>
      <c r="B34" s="0" t="n">
        <f aca="false">COUNTIF(구절목록!$I$2:$I$729,A34)</f>
        <v>15</v>
      </c>
      <c r="C34" s="0" t="n">
        <f aca="false">COUNTIFS(구절목록!$I$2:$I$729,A34,구절목록!$W$2:$W$729,"&lt;&gt;")</f>
        <v>0</v>
      </c>
      <c r="D34" s="0" t="str">
        <f aca="false">IFERROR(AVERAGEIFS(구절목록!$W$2:$W$729,구절목록!$I$2:$I$729,A34),"-")</f>
        <v>-</v>
      </c>
      <c r="E34" s="0" t="str">
        <f aca="false">IFERROR(AVERAGEIFS(구절목록!$X$2:$X$729,구절목록!$I$2:$I$729,A34),"-")</f>
        <v>-</v>
      </c>
    </row>
    <row r="35" customFormat="false" ht="15" hidden="false" customHeight="false" outlineLevel="0" collapsed="false">
      <c r="A35" s="31" t="s">
        <v>1365</v>
      </c>
      <c r="B35" s="0" t="n">
        <f aca="false">COUNTIF(구절목록!$I$2:$I$729,A35)</f>
        <v>4</v>
      </c>
      <c r="C35" s="0" t="n">
        <f aca="false">COUNTIFS(구절목록!$I$2:$I$729,A35,구절목록!$W$2:$W$729,"&lt;&gt;")</f>
        <v>0</v>
      </c>
      <c r="D35" s="0" t="str">
        <f aca="false">IFERROR(AVERAGEIFS(구절목록!$W$2:$W$729,구절목록!$I$2:$I$729,A35),"-")</f>
        <v>-</v>
      </c>
      <c r="E35" s="0" t="str">
        <f aca="false">IFERROR(AVERAGEIFS(구절목록!$X$2:$X$729,구절목록!$I$2:$I$729,A35),"-")</f>
        <v>-</v>
      </c>
    </row>
    <row r="36" customFormat="false" ht="15" hidden="false" customHeight="false" outlineLevel="0" collapsed="false">
      <c r="A36" s="31" t="s">
        <v>167</v>
      </c>
      <c r="B36" s="0" t="n">
        <f aca="false">COUNTIF(구절목록!$I$2:$I$729,A36)</f>
        <v>11</v>
      </c>
      <c r="C36" s="0" t="n">
        <f aca="false">COUNTIFS(구절목록!$I$2:$I$729,A36,구절목록!$W$2:$W$729,"&lt;&gt;")</f>
        <v>0</v>
      </c>
      <c r="D36" s="0" t="str">
        <f aca="false">IFERROR(AVERAGEIFS(구절목록!$W$2:$W$729,구절목록!$I$2:$I$729,A36),"-")</f>
        <v>-</v>
      </c>
      <c r="E36" s="0" t="str">
        <f aca="false">IFERROR(AVERAGEIFS(구절목록!$X$2:$X$729,구절목록!$I$2:$I$729,A36),"-")</f>
        <v>-</v>
      </c>
    </row>
    <row r="37" customFormat="false" ht="15" hidden="false" customHeight="false" outlineLevel="0" collapsed="false">
      <c r="A37" s="31" t="s">
        <v>1139</v>
      </c>
      <c r="B37" s="0" t="n">
        <f aca="false">COUNTIF(구절목록!$I$2:$I$729,A37)</f>
        <v>10</v>
      </c>
      <c r="C37" s="0" t="n">
        <f aca="false">COUNTIFS(구절목록!$I$2:$I$729,A37,구절목록!$W$2:$W$729,"&lt;&gt;")</f>
        <v>0</v>
      </c>
      <c r="D37" s="0" t="str">
        <f aca="false">IFERROR(AVERAGEIFS(구절목록!$W$2:$W$729,구절목록!$I$2:$I$729,A37),"-")</f>
        <v>-</v>
      </c>
      <c r="E37" s="0" t="str">
        <f aca="false">IFERROR(AVERAGEIFS(구절목록!$X$2:$X$729,구절목록!$I$2:$I$729,A37),"-")</f>
        <v>-</v>
      </c>
    </row>
    <row r="38" customFormat="false" ht="15" hidden="false" customHeight="false" outlineLevel="0" collapsed="false">
      <c r="A38" s="31" t="s">
        <v>1395</v>
      </c>
      <c r="B38" s="0" t="n">
        <f aca="false">COUNTIF(구절목록!$I$2:$I$729,A38)</f>
        <v>2</v>
      </c>
      <c r="C38" s="0" t="n">
        <f aca="false">COUNTIFS(구절목록!$I$2:$I$729,A38,구절목록!$W$2:$W$729,"&lt;&gt;")</f>
        <v>0</v>
      </c>
      <c r="D38" s="0" t="str">
        <f aca="false">IFERROR(AVERAGEIFS(구절목록!$W$2:$W$729,구절목록!$I$2:$I$729,A38),"-")</f>
        <v>-</v>
      </c>
      <c r="E38" s="0" t="str">
        <f aca="false">IFERROR(AVERAGEIFS(구절목록!$X$2:$X$729,구절목록!$I$2:$I$729,A38),"-")</f>
        <v>-</v>
      </c>
    </row>
    <row r="39" customFormat="false" ht="15" hidden="false" customHeight="false" outlineLevel="0" collapsed="false">
      <c r="A39" s="31" t="s">
        <v>511</v>
      </c>
      <c r="B39" s="0" t="n">
        <f aca="false">COUNTIF(구절목록!$I$2:$I$729,A39)</f>
        <v>35</v>
      </c>
      <c r="C39" s="0" t="n">
        <f aca="false">COUNTIFS(구절목록!$I$2:$I$729,A39,구절목록!$W$2:$W$729,"&lt;&gt;")</f>
        <v>0</v>
      </c>
      <c r="D39" s="0" t="str">
        <f aca="false">IFERROR(AVERAGEIFS(구절목록!$W$2:$W$729,구절목록!$I$2:$I$729,A39),"-")</f>
        <v>-</v>
      </c>
      <c r="E39" s="0" t="str">
        <f aca="false">IFERROR(AVERAGEIFS(구절목록!$X$2:$X$729,구절목록!$I$2:$I$729,A39),"-")</f>
        <v>-</v>
      </c>
    </row>
    <row r="40" customFormat="false" ht="15" hidden="false" customHeight="false" outlineLevel="0" collapsed="false">
      <c r="A40" s="31" t="s">
        <v>232</v>
      </c>
      <c r="B40" s="0" t="n">
        <f aca="false">COUNTIF(구절목록!$I$2:$I$729,A40)</f>
        <v>1</v>
      </c>
      <c r="C40" s="0" t="n">
        <f aca="false">COUNTIFS(구절목록!$I$2:$I$729,A40,구절목록!$W$2:$W$729,"&lt;&gt;")</f>
        <v>0</v>
      </c>
      <c r="D40" s="0" t="str">
        <f aca="false">IFERROR(AVERAGEIFS(구절목록!$W$2:$W$729,구절목록!$I$2:$I$729,A40),"-")</f>
        <v>-</v>
      </c>
      <c r="E40" s="0" t="str">
        <f aca="false">IFERROR(AVERAGEIFS(구절목록!$X$2:$X$729,구절목록!$I$2:$I$729,A40),"-")</f>
        <v>-</v>
      </c>
    </row>
    <row r="41" customFormat="false" ht="15" hidden="false" customHeight="false" outlineLevel="0" collapsed="false">
      <c r="A41" s="31" t="s">
        <v>121</v>
      </c>
      <c r="B41" s="0" t="n">
        <f aca="false">COUNTIF(구절목록!$I$2:$I$729,A41)</f>
        <v>12</v>
      </c>
      <c r="C41" s="0" t="n">
        <f aca="false">COUNTIFS(구절목록!$I$2:$I$729,A41,구절목록!$W$2:$W$729,"&lt;&gt;")</f>
        <v>0</v>
      </c>
      <c r="D41" s="0" t="str">
        <f aca="false">IFERROR(AVERAGEIFS(구절목록!$W$2:$W$729,구절목록!$I$2:$I$729,A41),"-")</f>
        <v>-</v>
      </c>
      <c r="E41" s="0" t="str">
        <f aca="false">IFERROR(AVERAGEIFS(구절목록!$X$2:$X$729,구절목록!$I$2:$I$729,A41),"-")</f>
        <v>-</v>
      </c>
    </row>
    <row r="42" customFormat="false" ht="15" hidden="false" customHeight="false" outlineLevel="0" collapsed="false">
      <c r="A42" s="31" t="s">
        <v>1350</v>
      </c>
      <c r="B42" s="0" t="n">
        <f aca="false">COUNTIF(구절목록!$I$2:$I$729,A42)</f>
        <v>1</v>
      </c>
      <c r="C42" s="0" t="n">
        <f aca="false">COUNTIFS(구절목록!$I$2:$I$729,A42,구절목록!$W$2:$W$729,"&lt;&gt;")</f>
        <v>0</v>
      </c>
      <c r="D42" s="0" t="str">
        <f aca="false">IFERROR(AVERAGEIFS(구절목록!$W$2:$W$729,구절목록!$I$2:$I$729,A42),"-")</f>
        <v>-</v>
      </c>
      <c r="E42" s="0" t="str">
        <f aca="false">IFERROR(AVERAGEIFS(구절목록!$X$2:$X$729,구절목록!$I$2:$I$729,A42),"-")</f>
        <v>-</v>
      </c>
    </row>
    <row r="43" customFormat="false" ht="15" hidden="false" customHeight="false" outlineLevel="0" collapsed="false">
      <c r="A43" s="31" t="s">
        <v>207</v>
      </c>
      <c r="B43" s="0" t="n">
        <f aca="false">COUNTIF(구절목록!$I$2:$I$729,A43)</f>
        <v>12</v>
      </c>
      <c r="C43" s="0" t="n">
        <f aca="false">COUNTIFS(구절목록!$I$2:$I$729,A43,구절목록!$W$2:$W$729,"&lt;&gt;")</f>
        <v>0</v>
      </c>
      <c r="D43" s="0" t="str">
        <f aca="false">IFERROR(AVERAGEIFS(구절목록!$W$2:$W$729,구절목록!$I$2:$I$729,A43),"-")</f>
        <v>-</v>
      </c>
      <c r="E43" s="0" t="str">
        <f aca="false">IFERROR(AVERAGEIFS(구절목록!$X$2:$X$729,구절목록!$I$2:$I$729,A43),"-")</f>
        <v>-</v>
      </c>
    </row>
    <row r="44" customFormat="false" ht="15" hidden="false" customHeight="false" outlineLevel="0" collapsed="false">
      <c r="A44" s="31" t="s">
        <v>497</v>
      </c>
      <c r="B44" s="0" t="n">
        <f aca="false">COUNTIF(구절목록!$I$2:$I$729,A44)</f>
        <v>15</v>
      </c>
      <c r="C44" s="0" t="n">
        <f aca="false">COUNTIFS(구절목록!$I$2:$I$729,A44,구절목록!$W$2:$W$729,"&lt;&gt;")</f>
        <v>0</v>
      </c>
      <c r="D44" s="0" t="str">
        <f aca="false">IFERROR(AVERAGEIFS(구절목록!$W$2:$W$729,구절목록!$I$2:$I$729,A44),"-")</f>
        <v>-</v>
      </c>
      <c r="E44" s="0" t="str">
        <f aca="false">IFERROR(AVERAGEIFS(구절목록!$X$2:$X$729,구절목록!$I$2:$I$729,A44),"-")</f>
        <v>-</v>
      </c>
    </row>
    <row r="45" customFormat="false" ht="15" hidden="false" customHeight="false" outlineLevel="0" collapsed="false">
      <c r="A45" s="31" t="s">
        <v>112</v>
      </c>
      <c r="B45" s="0" t="n">
        <f aca="false">COUNTIF(구절목록!$I$2:$I$729,A45)</f>
        <v>15</v>
      </c>
      <c r="C45" s="0" t="n">
        <f aca="false">COUNTIFS(구절목록!$I$2:$I$729,A45,구절목록!$W$2:$W$729,"&lt;&gt;")</f>
        <v>0</v>
      </c>
      <c r="D45" s="0" t="str">
        <f aca="false">IFERROR(AVERAGEIFS(구절목록!$W$2:$W$729,구절목록!$I$2:$I$729,A45),"-")</f>
        <v>-</v>
      </c>
      <c r="E45" s="0" t="str">
        <f aca="false">IFERROR(AVERAGEIFS(구절목록!$X$2:$X$729,구절목록!$I$2:$I$729,A45),"-")</f>
        <v>-</v>
      </c>
    </row>
    <row r="46" customFormat="false" ht="15" hidden="false" customHeight="false" outlineLevel="0" collapsed="false">
      <c r="A46" s="31" t="s">
        <v>117</v>
      </c>
      <c r="B46" s="0" t="n">
        <f aca="false">COUNTIF(구절목록!$I$2:$I$729,A46)</f>
        <v>6</v>
      </c>
      <c r="C46" s="0" t="n">
        <f aca="false">COUNTIFS(구절목록!$I$2:$I$729,A46,구절목록!$W$2:$W$729,"&lt;&gt;")</f>
        <v>0</v>
      </c>
      <c r="D46" s="0" t="str">
        <f aca="false">IFERROR(AVERAGEIFS(구절목록!$W$2:$W$729,구절목록!$I$2:$I$729,A46),"-")</f>
        <v>-</v>
      </c>
      <c r="E46" s="0" t="str">
        <f aca="false">IFERROR(AVERAGEIFS(구절목록!$X$2:$X$729,구절목록!$I$2:$I$729,A46),"-")</f>
        <v>-</v>
      </c>
    </row>
    <row r="47" customFormat="false" ht="15" hidden="false" customHeight="false" outlineLevel="0" collapsed="false">
      <c r="A47" s="31" t="s">
        <v>504</v>
      </c>
      <c r="B47" s="0" t="n">
        <f aca="false">COUNTIF(구절목록!$I$2:$I$729,A47)</f>
        <v>7</v>
      </c>
      <c r="C47" s="0" t="n">
        <f aca="false">COUNTIFS(구절목록!$I$2:$I$729,A47,구절목록!$W$2:$W$729,"&lt;&gt;")</f>
        <v>0</v>
      </c>
      <c r="D47" s="0" t="str">
        <f aca="false">IFERROR(AVERAGEIFS(구절목록!$W$2:$W$729,구절목록!$I$2:$I$729,A47),"-")</f>
        <v>-</v>
      </c>
      <c r="E47" s="0" t="str">
        <f aca="false">IFERROR(AVERAGEIFS(구절목록!$X$2:$X$729,구절목록!$I$2:$I$729,A47),"-")</f>
        <v>-</v>
      </c>
    </row>
    <row r="48" customFormat="false" ht="15" hidden="false" customHeight="false" outlineLevel="0" collapsed="false">
      <c r="A48" s="31" t="s">
        <v>728</v>
      </c>
      <c r="B48" s="0" t="n">
        <f aca="false">COUNTIF(구절목록!$I$2:$I$729,A48)</f>
        <v>6</v>
      </c>
      <c r="C48" s="0" t="n">
        <f aca="false">COUNTIFS(구절목록!$I$2:$I$729,A48,구절목록!$W$2:$W$729,"&lt;&gt;")</f>
        <v>0</v>
      </c>
      <c r="D48" s="0" t="str">
        <f aca="false">IFERROR(AVERAGEIFS(구절목록!$W$2:$W$729,구절목록!$I$2:$I$729,A48),"-")</f>
        <v>-</v>
      </c>
      <c r="E48" s="0" t="str">
        <f aca="false">IFERROR(AVERAGEIFS(구절목록!$X$2:$X$729,구절목록!$I$2:$I$729,A48),"-")</f>
        <v>-</v>
      </c>
    </row>
    <row r="49" customFormat="false" ht="15" hidden="false" customHeight="false" outlineLevel="0" collapsed="false">
      <c r="A49" s="31" t="s">
        <v>593</v>
      </c>
      <c r="B49" s="0" t="n">
        <f aca="false">COUNTIF(구절목록!$I$2:$I$729,A49)</f>
        <v>11</v>
      </c>
      <c r="C49" s="0" t="n">
        <f aca="false">COUNTIFS(구절목록!$I$2:$I$729,A49,구절목록!$W$2:$W$729,"&lt;&gt;")</f>
        <v>0</v>
      </c>
      <c r="D49" s="0" t="str">
        <f aca="false">IFERROR(AVERAGEIFS(구절목록!$W$2:$W$729,구절목록!$I$2:$I$729,A49),"-")</f>
        <v>-</v>
      </c>
      <c r="E49" s="0" t="str">
        <f aca="false">IFERROR(AVERAGEIFS(구절목록!$X$2:$X$729,구절목록!$I$2:$I$729,A49),"-")</f>
        <v>-</v>
      </c>
    </row>
    <row r="50" customFormat="false" ht="15" hidden="false" customHeight="false" outlineLevel="0" collapsed="false">
      <c r="A50" s="31" t="s">
        <v>694</v>
      </c>
      <c r="B50" s="0" t="n">
        <f aca="false">COUNTIF(구절목록!$I$2:$I$729,A50)</f>
        <v>9</v>
      </c>
      <c r="C50" s="0" t="n">
        <f aca="false">COUNTIFS(구절목록!$I$2:$I$729,A50,구절목록!$W$2:$W$729,"&lt;&gt;")</f>
        <v>0</v>
      </c>
      <c r="D50" s="0" t="str">
        <f aca="false">IFERROR(AVERAGEIFS(구절목록!$W$2:$W$729,구절목록!$I$2:$I$729,A50),"-")</f>
        <v>-</v>
      </c>
      <c r="E50" s="0" t="str">
        <f aca="false">IFERROR(AVERAGEIFS(구절목록!$X$2:$X$729,구절목록!$I$2:$I$729,A50),"-")</f>
        <v>-</v>
      </c>
    </row>
    <row r="51" customFormat="false" ht="15" hidden="false" customHeight="false" outlineLevel="0" collapsed="false">
      <c r="A51" s="31" t="s">
        <v>129</v>
      </c>
      <c r="B51" s="0" t="n">
        <f aca="false">COUNTIF(구절목록!$I$2:$I$729,A51)</f>
        <v>19</v>
      </c>
      <c r="C51" s="0" t="n">
        <f aca="false">COUNTIFS(구절목록!$I$2:$I$729,A51,구절목록!$W$2:$W$729,"&lt;&gt;")</f>
        <v>0</v>
      </c>
      <c r="D51" s="0" t="str">
        <f aca="false">IFERROR(AVERAGEIFS(구절목록!$W$2:$W$729,구절목록!$I$2:$I$729,A51),"-")</f>
        <v>-</v>
      </c>
      <c r="E51" s="0" t="str">
        <f aca="false">IFERROR(AVERAGEIFS(구절목록!$X$2:$X$729,구절목록!$I$2:$I$729,A51),"-")</f>
        <v>-</v>
      </c>
    </row>
    <row r="52" customFormat="false" ht="15" hidden="false" customHeight="false" outlineLevel="0" collapsed="false">
      <c r="A52" s="31" t="s">
        <v>98</v>
      </c>
      <c r="B52" s="0" t="n">
        <f aca="false">COUNTIF(구절목록!$I$2:$I$729,A52)</f>
        <v>29</v>
      </c>
      <c r="C52" s="0" t="n">
        <f aca="false">COUNTIFS(구절목록!$I$2:$I$729,A52,구절목록!$W$2:$W$729,"&lt;&gt;")</f>
        <v>0</v>
      </c>
      <c r="D52" s="0" t="str">
        <f aca="false">IFERROR(AVERAGEIFS(구절목록!$W$2:$W$729,구절목록!$I$2:$I$729,A52),"-")</f>
        <v>-</v>
      </c>
      <c r="E52" s="0" t="str">
        <f aca="false">IFERROR(AVERAGEIFS(구절목록!$X$2:$X$729,구절목록!$I$2:$I$729,A52),"-")</f>
        <v>-</v>
      </c>
    </row>
    <row r="53" customFormat="false" ht="15" hidden="false" customHeight="false" outlineLevel="0" collapsed="false">
      <c r="A53" s="31" t="s">
        <v>180</v>
      </c>
      <c r="B53" s="0" t="n">
        <f aca="false">COUNTIF(구절목록!$I$2:$I$729,A53)</f>
        <v>11</v>
      </c>
      <c r="C53" s="0" t="n">
        <f aca="false">COUNTIFS(구절목록!$I$2:$I$729,A53,구절목록!$W$2:$W$729,"&lt;&gt;")</f>
        <v>0</v>
      </c>
      <c r="D53" s="0" t="str">
        <f aca="false">IFERROR(AVERAGEIFS(구절목록!$W$2:$W$729,구절목록!$I$2:$I$729,A53),"-")</f>
        <v>-</v>
      </c>
      <c r="E53" s="0" t="str">
        <f aca="false">IFERROR(AVERAGEIFS(구절목록!$X$2:$X$729,구절목록!$I$2:$I$729,A53),"-")</f>
        <v>-</v>
      </c>
    </row>
    <row r="54" customFormat="false" ht="15" hidden="false" customHeight="false" outlineLevel="0" collapsed="false">
      <c r="A54" s="31" t="s">
        <v>156</v>
      </c>
      <c r="B54" s="0" t="n">
        <f aca="false">COUNTIF(구절목록!$I$2:$I$729,A54)</f>
        <v>8</v>
      </c>
      <c r="C54" s="0" t="n">
        <f aca="false">COUNTIFS(구절목록!$I$2:$I$729,A54,구절목록!$W$2:$W$729,"&lt;&gt;")</f>
        <v>0</v>
      </c>
      <c r="D54" s="0" t="str">
        <f aca="false">IFERROR(AVERAGEIFS(구절목록!$W$2:$W$729,구절목록!$I$2:$I$729,A54),"-")</f>
        <v>-</v>
      </c>
      <c r="E54" s="0" t="str">
        <f aca="false">IFERROR(AVERAGEIFS(구절목록!$X$2:$X$729,구절목록!$I$2:$I$729,A54),"-")</f>
        <v>-</v>
      </c>
    </row>
    <row r="55" customFormat="false" ht="15" hidden="false" customHeight="false" outlineLevel="0" collapsed="false">
      <c r="A55" s="31" t="s">
        <v>243</v>
      </c>
      <c r="B55" s="0" t="n">
        <f aca="false">COUNTIF(구절목록!$I$2:$I$729,A55)</f>
        <v>5</v>
      </c>
      <c r="C55" s="0" t="n">
        <f aca="false">COUNTIFS(구절목록!$I$2:$I$729,A55,구절목록!$W$2:$W$729,"&lt;&gt;")</f>
        <v>0</v>
      </c>
      <c r="D55" s="0" t="str">
        <f aca="false">IFERROR(AVERAGEIFS(구절목록!$W$2:$W$729,구절목록!$I$2:$I$729,A55),"-")</f>
        <v>-</v>
      </c>
      <c r="E55" s="0" t="str">
        <f aca="false">IFERROR(AVERAGEIFS(구절목록!$X$2:$X$729,구절목록!$I$2:$I$729,A55),"-")</f>
        <v>-</v>
      </c>
    </row>
    <row r="56" customFormat="false" ht="15" hidden="false" customHeight="false" outlineLevel="0" collapsed="false">
      <c r="A56" s="31" t="s">
        <v>1149</v>
      </c>
      <c r="B56" s="0" t="n">
        <f aca="false">COUNTIF(구절목록!$I$2:$I$729,A56)</f>
        <v>1</v>
      </c>
      <c r="C56" s="0" t="n">
        <f aca="false">COUNTIFS(구절목록!$I$2:$I$729,A56,구절목록!$W$2:$W$729,"&lt;&gt;")</f>
        <v>0</v>
      </c>
      <c r="D56" s="0" t="str">
        <f aca="false">IFERROR(AVERAGEIFS(구절목록!$W$2:$W$729,구절목록!$I$2:$I$729,A56),"-")</f>
        <v>-</v>
      </c>
      <c r="E56" s="0" t="str">
        <f aca="false">IFERROR(AVERAGEIFS(구절목록!$X$2:$X$729,구절목록!$I$2:$I$729,A56),"-")</f>
        <v>-</v>
      </c>
    </row>
    <row r="57" customFormat="false" ht="15" hidden="false" customHeight="false" outlineLevel="0" collapsed="false">
      <c r="A57" s="31" t="s">
        <v>403</v>
      </c>
      <c r="B57" s="0" t="n">
        <f aca="false">COUNTIF(구절목록!$I$2:$I$729,A57)</f>
        <v>18</v>
      </c>
      <c r="C57" s="0" t="n">
        <f aca="false">COUNTIFS(구절목록!$I$2:$I$729,A57,구절목록!$W$2:$W$729,"&lt;&gt;")</f>
        <v>0</v>
      </c>
      <c r="D57" s="0" t="str">
        <f aca="false">IFERROR(AVERAGEIFS(구절목록!$W$2:$W$729,구절목록!$I$2:$I$729,A57),"-")</f>
        <v>-</v>
      </c>
      <c r="E57" s="0" t="str">
        <f aca="false">IFERROR(AVERAGEIFS(구절목록!$X$2:$X$729,구절목록!$I$2:$I$729,A57),"-")</f>
        <v>-</v>
      </c>
    </row>
    <row r="58" customFormat="false" ht="15" hidden="false" customHeight="false" outlineLevel="0" collapsed="false">
      <c r="A58" s="31" t="s">
        <v>196</v>
      </c>
      <c r="B58" s="0" t="n">
        <f aca="false">COUNTIF(구절목록!$I$2:$I$729,A58)</f>
        <v>19</v>
      </c>
      <c r="C58" s="0" t="n">
        <f aca="false">COUNTIFS(구절목록!$I$2:$I$729,A58,구절목록!$W$2:$W$729,"&lt;&gt;")</f>
        <v>0</v>
      </c>
      <c r="D58" s="0" t="str">
        <f aca="false">IFERROR(AVERAGEIFS(구절목록!$W$2:$W$729,구절목록!$I$2:$I$729,A58),"-")</f>
        <v>-</v>
      </c>
      <c r="E58" s="0" t="str">
        <f aca="false">IFERROR(AVERAGEIFS(구절목록!$X$2:$X$729,구절목록!$I$2:$I$729,A58),"-")</f>
        <v>-</v>
      </c>
    </row>
    <row r="59" customFormat="false" ht="15" hidden="false" customHeight="false" outlineLevel="0" collapsed="false">
      <c r="A59" s="31" t="s">
        <v>74</v>
      </c>
      <c r="B59" s="0" t="n">
        <f aca="false">COUNTIF(구절목록!$I$2:$I$729,A59)</f>
        <v>11</v>
      </c>
      <c r="C59" s="0" t="n">
        <f aca="false">COUNTIFS(구절목록!$I$2:$I$729,A59,구절목록!$W$2:$W$729,"&lt;&gt;")</f>
        <v>0</v>
      </c>
      <c r="D59" s="0" t="str">
        <f aca="false">IFERROR(AVERAGEIFS(구절목록!$W$2:$W$729,구절목록!$I$2:$I$729,A59),"-")</f>
        <v>-</v>
      </c>
      <c r="E59" s="0" t="str">
        <f aca="false">IFERROR(AVERAGEIFS(구절목록!$X$2:$X$729,구절목록!$I$2:$I$729,A59),"-")</f>
        <v>-</v>
      </c>
    </row>
    <row r="60" customFormat="false" ht="15" hidden="false" customHeight="false" outlineLevel="0" collapsed="false">
      <c r="A60" s="31" t="s">
        <v>251</v>
      </c>
      <c r="B60" s="0" t="n">
        <f aca="false">COUNTIF(구절목록!$I$2:$I$729,A60)</f>
        <v>2</v>
      </c>
      <c r="C60" s="0" t="n">
        <f aca="false">COUNTIFS(구절목록!$I$2:$I$729,A60,구절목록!$W$2:$W$729,"&lt;&gt;")</f>
        <v>0</v>
      </c>
      <c r="D60" s="0" t="str">
        <f aca="false">IFERROR(AVERAGEIFS(구절목록!$W$2:$W$729,구절목록!$I$2:$I$729,A60),"-")</f>
        <v>-</v>
      </c>
      <c r="E60" s="0" t="str">
        <f aca="false">IFERROR(AVERAGEIFS(구절목록!$X$2:$X$729,구절목록!$I$2:$I$729,A60),"-")</f>
        <v>-</v>
      </c>
    </row>
    <row r="61" customFormat="false" ht="15" hidden="false" customHeight="false" outlineLevel="0" collapsed="false">
      <c r="A61" s="31" t="s">
        <v>200</v>
      </c>
      <c r="B61" s="0" t="n">
        <f aca="false">COUNTIF(구절목록!$I$2:$I$729,A61)</f>
        <v>3</v>
      </c>
      <c r="C61" s="0" t="n">
        <f aca="false">COUNTIFS(구절목록!$I$2:$I$729,A61,구절목록!$W$2:$W$729,"&lt;&gt;")</f>
        <v>0</v>
      </c>
      <c r="D61" s="0" t="str">
        <f aca="false">IFERROR(AVERAGEIFS(구절목록!$W$2:$W$729,구절목록!$I$2:$I$729,A61),"-")</f>
        <v>-</v>
      </c>
      <c r="E61" s="0" t="str">
        <f aca="false">IFERROR(AVERAGEIFS(구절목록!$X$2:$X$729,구절목록!$I$2:$I$729,A61),"-")</f>
        <v>-</v>
      </c>
    </row>
    <row r="62" customFormat="false" ht="15" hidden="false" customHeight="false" outlineLevel="0" collapsed="false">
      <c r="A62" s="31" t="s">
        <v>221</v>
      </c>
      <c r="B62" s="0" t="n">
        <f aca="false">COUNTIF(구절목록!$I$2:$I$729,A62)</f>
        <v>20</v>
      </c>
      <c r="C62" s="0" t="n">
        <f aca="false">COUNTIFS(구절목록!$I$2:$I$729,A62,구절목록!$W$2:$W$729,"&lt;&gt;")</f>
        <v>0</v>
      </c>
      <c r="D62" s="0" t="str">
        <f aca="false">IFERROR(AVERAGEIFS(구절목록!$W$2:$W$729,구절목록!$I$2:$I$729,A62),"-")</f>
        <v>-</v>
      </c>
      <c r="E62" s="0" t="str">
        <f aca="false">IFERROR(AVERAGEIFS(구절목록!$X$2:$X$729,구절목록!$I$2:$I$729,A62),"-")</f>
        <v>-</v>
      </c>
    </row>
    <row r="63" customFormat="false" ht="15" hidden="false" customHeight="false" outlineLevel="0" collapsed="false">
      <c r="A63" s="31" t="s">
        <v>390</v>
      </c>
      <c r="B63" s="0" t="n">
        <f aca="false">COUNTIF(구절목록!$I$2:$I$729,A63)</f>
        <v>6</v>
      </c>
      <c r="C63" s="0" t="n">
        <f aca="false">COUNTIFS(구절목록!$I$2:$I$729,A63,구절목록!$W$2:$W$729,"&lt;&gt;")</f>
        <v>0</v>
      </c>
      <c r="D63" s="0" t="str">
        <f aca="false">IFERROR(AVERAGEIFS(구절목록!$W$2:$W$729,구절목록!$I$2:$I$729,A63),"-")</f>
        <v>-</v>
      </c>
      <c r="E63" s="0" t="str">
        <f aca="false">IFERROR(AVERAGEIFS(구절목록!$X$2:$X$729,구절목록!$I$2:$I$729,A63),"-")</f>
        <v>-</v>
      </c>
    </row>
    <row r="64" customFormat="false" ht="15" hidden="false" customHeight="false" outlineLevel="0" collapsed="false">
      <c r="A64" s="31" t="s">
        <v>176</v>
      </c>
      <c r="B64" s="0" t="n">
        <f aca="false">COUNTIF(구절목록!$I$2:$I$729,A64)</f>
        <v>12</v>
      </c>
      <c r="C64" s="0" t="n">
        <f aca="false">COUNTIFS(구절목록!$I$2:$I$729,A64,구절목록!$W$2:$W$729,"&lt;&gt;")</f>
        <v>0</v>
      </c>
      <c r="D64" s="0" t="str">
        <f aca="false">IFERROR(AVERAGEIFS(구절목록!$W$2:$W$729,구절목록!$I$2:$I$729,A64),"-")</f>
        <v>-</v>
      </c>
      <c r="E64" s="0" t="str">
        <f aca="false">IFERROR(AVERAGEIFS(구절목록!$X$2:$X$729,구절목록!$I$2:$I$729,A64),"-")</f>
        <v>-</v>
      </c>
    </row>
    <row r="65" customFormat="false" ht="15" hidden="false" customHeight="false" outlineLevel="0" collapsed="false">
      <c r="A65" s="31" t="s">
        <v>1273</v>
      </c>
      <c r="B65" s="0" t="n">
        <f aca="false">COUNTIF(구절목록!$I$2:$I$729,A65)</f>
        <v>4</v>
      </c>
      <c r="C65" s="0" t="n">
        <f aca="false">COUNTIFS(구절목록!$I$2:$I$729,A65,구절목록!$W$2:$W$729,"&lt;&gt;")</f>
        <v>0</v>
      </c>
      <c r="D65" s="0" t="str">
        <f aca="false">IFERROR(AVERAGEIFS(구절목록!$W$2:$W$729,구절목록!$I$2:$I$729,A65),"-")</f>
        <v>-</v>
      </c>
      <c r="E65" s="0" t="str">
        <f aca="false">IFERROR(AVERAGEIFS(구절목록!$X$2:$X$729,구절목록!$I$2:$I$729,A65),"-")</f>
        <v>-</v>
      </c>
    </row>
    <row r="66" customFormat="false" ht="15" hidden="false" customHeight="false" outlineLevel="0" collapsed="false">
      <c r="A66" s="31" t="s">
        <v>333</v>
      </c>
      <c r="B66" s="0" t="n">
        <f aca="false">COUNTIF(구절목록!$I$2:$I$729,A66)</f>
        <v>19</v>
      </c>
      <c r="C66" s="0" t="n">
        <f aca="false">COUNTIFS(구절목록!$I$2:$I$729,A66,구절목록!$W$2:$W$729,"&lt;&gt;")</f>
        <v>0</v>
      </c>
      <c r="D66" s="0" t="str">
        <f aca="false">IFERROR(AVERAGEIFS(구절목록!$W$2:$W$729,구절목록!$I$2:$I$729,A66),"-")</f>
        <v>-</v>
      </c>
      <c r="E66" s="0" t="str">
        <f aca="false">IFERROR(AVERAGEIFS(구절목록!$X$2:$X$729,구절목록!$I$2:$I$729,A66),"-")</f>
        <v>-</v>
      </c>
    </row>
    <row r="67" customFormat="false" ht="15" hidden="false" customHeight="false" outlineLevel="0" collapsed="false">
      <c r="A67" s="31" t="s">
        <v>454</v>
      </c>
      <c r="B67" s="0" t="n">
        <f aca="false">COUNTIF(구절목록!$I$2:$I$729,A67)</f>
        <v>20</v>
      </c>
      <c r="C67" s="0" t="n">
        <f aca="false">COUNTIFS(구절목록!$I$2:$I$729,A67,구절목록!$W$2:$W$729,"&lt;&gt;")</f>
        <v>0</v>
      </c>
      <c r="D67" s="0" t="str">
        <f aca="false">IFERROR(AVERAGEIFS(구절목록!$W$2:$W$729,구절목록!$I$2:$I$729,A67),"-")</f>
        <v>-</v>
      </c>
      <c r="E67" s="0" t="str">
        <f aca="false">IFERROR(AVERAGEIFS(구절목록!$X$2:$X$729,구절목록!$I$2:$I$729,A67),"-")</f>
        <v>-</v>
      </c>
    </row>
    <row r="68" customFormat="false" ht="15" hidden="false" customHeight="false" outlineLevel="0" collapsed="false">
      <c r="A68" s="31" t="s">
        <v>1135</v>
      </c>
      <c r="B68" s="0" t="n">
        <f aca="false">COUNTIF(구절목록!$I$2:$I$729,A68)</f>
        <v>2</v>
      </c>
      <c r="C68" s="0" t="n">
        <f aca="false">COUNTIFS(구절목록!$I$2:$I$729,A68,구절목록!$W$2:$W$729,"&lt;&gt;")</f>
        <v>0</v>
      </c>
      <c r="D68" s="0" t="str">
        <f aca="false">IFERROR(AVERAGEIFS(구절목록!$W$2:$W$729,구절목록!$I$2:$I$729,A68),"-")</f>
        <v>-</v>
      </c>
      <c r="E68" s="0" t="str">
        <f aca="false">IFERROR(AVERAGEIFS(구절목록!$X$2:$X$729,구절목록!$I$2:$I$729,A68),"-")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2026-10-27T16:33:05Z</dcterms:created>
  <dc:creator>openpyxl</dc:creator>
  <dc:description/>
  <dc:language>en-US</dc:language>
  <cp:lastModifiedBy/>
  <dcterms:modified xsi:type="dcterms:W3CDTF">2026-10-27T16:33:07Z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