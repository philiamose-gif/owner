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구절목록" sheetId="2" state="visible" r:id="rId2"/>
    <sheet xmlns:r="http://schemas.openxmlformats.org/officeDocument/2006/relationships" name="권별점검" sheetId="3" state="visible" r:id="rId3"/>
    <sheet xmlns:r="http://schemas.openxmlformats.org/officeDocument/2006/relationships" name="누락점검" sheetId="4" state="visible" r:id="rId4"/>
    <sheet xmlns:r="http://schemas.openxmlformats.org/officeDocument/2006/relationships" name="제작템플릿" sheetId="5" state="visible" r:id="rId5"/>
    <sheet xmlns:r="http://schemas.openxmlformats.org/officeDocument/2006/relationships" name="성과기록" sheetId="6" state="visible" r:id="rId6"/>
  </sheets>
  <definedNames>
    <definedName name="_xlnm._FilterDatabase" localSheetId="1" hidden="1">'구절목록'!$A$1:$AA$729</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F3864"/>
      <sz val="16"/>
    </font>
    <font>
      <name val="Arial"/>
      <color rgb="00595959"/>
      <sz val="10"/>
    </font>
    <font>
      <name val="Arial"/>
      <b val="1"/>
      <color rgb="00FFFFFF"/>
      <sz val="12"/>
    </font>
    <font>
      <name val="Arial"/>
      <b val="1"/>
      <color rgb="00000000"/>
      <sz val="10"/>
    </font>
    <font>
      <name val="Arial"/>
      <color rgb="000000FF"/>
      <sz val="10"/>
    </font>
    <font>
      <name val="Arial"/>
      <color rgb="00595959"/>
      <sz val="9"/>
    </font>
    <font>
      <name val="Arial"/>
      <color rgb="00000000"/>
      <sz val="10"/>
    </font>
    <font>
      <name val="Arial"/>
      <b val="1"/>
      <color rgb="00FFFFFF"/>
      <sz val="10"/>
    </font>
    <font>
      <name val="Arial"/>
      <color rgb="00C00000"/>
      <sz val="10"/>
    </font>
    <font>
      <name val="Arial"/>
      <b val="1"/>
      <color rgb="00C00000"/>
      <sz val="11"/>
    </font>
  </fonts>
  <fills count="6">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pivotButton="0" quotePrefix="0" xfId="0"/>
    <xf numFmtId="0" fontId="6" fillId="0" borderId="0" pivotButton="0" quotePrefix="0" xfId="0"/>
    <xf numFmtId="164" fontId="5" fillId="3" borderId="1" pivotButton="0" quotePrefix="0" xfId="0"/>
    <xf numFmtId="0" fontId="0" fillId="0" borderId="1" pivotButton="0" quotePrefix="0" xfId="0"/>
    <xf numFmtId="164" fontId="0" fillId="0" borderId="1" pivotButton="0" quotePrefix="0" xfId="0"/>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vertical="top" wrapText="1"/>
    </xf>
    <xf numFmtId="0" fontId="7" fillId="3" borderId="1" applyAlignment="1" pivotButton="0" quotePrefix="0" xfId="0">
      <alignment vertical="top" wrapText="1"/>
    </xf>
    <xf numFmtId="164" fontId="7" fillId="0" borderId="1" applyAlignment="1" pivotButton="0" quotePrefix="0" xfId="0">
      <alignment horizontal="center" vertical="center" wrapText="1"/>
    </xf>
    <xf numFmtId="0" fontId="7" fillId="3" borderId="1" applyAlignment="1" pivotButton="0" quotePrefix="0" xfId="0">
      <alignment horizontal="center" vertical="center" wrapText="1"/>
    </xf>
    <xf numFmtId="0" fontId="9" fillId="0" borderId="1" applyAlignment="1" pivotButton="0" quotePrefix="0" xfId="0">
      <alignment vertical="top" wrapText="1"/>
    </xf>
    <xf numFmtId="0" fontId="4" fillId="5" borderId="0" pivotButton="0" quotePrefix="0" xfId="0"/>
    <xf numFmtId="0" fontId="7" fillId="0" borderId="1" pivotButton="0" quotePrefix="0" xfId="0"/>
    <xf numFmtId="0" fontId="4" fillId="0" borderId="1" pivotButton="0" quotePrefix="0" xfId="0"/>
    <xf numFmtId="0" fontId="10" fillId="0" borderId="0" pivotButton="0" quotePrefix="0" xfId="0"/>
    <xf numFmtId="0" fontId="4"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18" customWidth="1" min="2" max="2"/>
    <col width="16" customWidth="1" min="3" max="3"/>
    <col width="64" customWidth="1" min="4" max="4"/>
  </cols>
  <sheetData>
    <row r="1">
      <c r="A1" s="1" t="inlineStr">
        <is>
          <t>프로젝트2 · 말씀 숏폼 제작표</t>
        </is>
      </c>
    </row>
    <row r="2">
      <c r="A2" s="2" t="inlineStr">
        <is>
          <t>성경 66권 핵심 구절 728편을 6개월에 · 구약/신약 트랙 · 성경 본문: 개역한글판 | 작성일 2026-10-27</t>
        </is>
      </c>
    </row>
    <row r="4">
      <c r="A4" s="3" t="inlineStr">
        <is>
          <t>제작 변수 (노란 칸만 수정하세요)</t>
        </is>
      </c>
      <c r="B4" s="4" t="n"/>
      <c r="C4" s="4" t="n"/>
      <c r="D4" s="4" t="n"/>
    </row>
    <row r="5">
      <c r="A5" s="5" t="inlineStr">
        <is>
          <t>말씀 시리즈 이름(가칭)</t>
        </is>
      </c>
      <c r="C5" s="6" t="inlineStr">
        <is>
          <t>오늘의 말씀</t>
        </is>
      </c>
      <c r="D5" s="7" t="inlineStr">
        <is>
          <t>같은 채널 안의 재생목록 이름. 제목·해시태그에 반영</t>
        </is>
      </c>
    </row>
    <row r="6">
      <c r="A6" s="5" t="inlineStr">
        <is>
          <t>시작일</t>
        </is>
      </c>
      <c r="C6" s="8" t="n">
        <v>46388</v>
      </c>
      <c r="D6" s="7" t="inlineStr">
        <is>
          <t>예시 날짜입니다. 프로젝트1과 상관없이 정하면 됩니다</t>
        </is>
      </c>
    </row>
    <row r="7">
      <c r="A7" s="5" t="inlineStr">
        <is>
          <t>트랙별 하루 편수</t>
        </is>
      </c>
      <c r="C7" s="6" t="n">
        <v>2</v>
      </c>
      <c r="D7" s="7" t="inlineStr">
        <is>
          <t>구약·신약 각각. 2편이면 하루 총 4편</t>
        </is>
      </c>
    </row>
    <row r="8">
      <c r="A8" s="5" t="inlineStr">
        <is>
          <t>구약 1번째 업로드 시간</t>
        </is>
      </c>
      <c r="C8" s="6" t="inlineStr">
        <is>
          <t>06:30</t>
        </is>
      </c>
      <c r="D8" s="7" t="inlineStr">
        <is>
          <t>출근·등교 전 묵상 시간</t>
        </is>
      </c>
    </row>
    <row r="9">
      <c r="A9" s="5" t="inlineStr">
        <is>
          <t>신약 1번째 업로드 시간</t>
        </is>
      </c>
      <c r="C9" s="6" t="inlineStr">
        <is>
          <t>12:30</t>
        </is>
      </c>
      <c r="D9" s="7" t="inlineStr">
        <is>
          <t>점심 시간</t>
        </is>
      </c>
    </row>
    <row r="10">
      <c r="A10" s="5" t="inlineStr">
        <is>
          <t>구약 2번째 업로드 시간</t>
        </is>
      </c>
      <c r="C10" s="6" t="inlineStr">
        <is>
          <t>18:30</t>
        </is>
      </c>
      <c r="D10" s="7" t="inlineStr">
        <is>
          <t>퇴근 시간</t>
        </is>
      </c>
    </row>
    <row r="11">
      <c r="A11" s="5" t="inlineStr">
        <is>
          <t>신약 2번째 업로드 시간</t>
        </is>
      </c>
      <c r="C11" s="6" t="inlineStr">
        <is>
          <t>21:30</t>
        </is>
      </c>
      <c r="D11" s="7" t="inlineStr">
        <is>
          <t>잠들기 전. 프로젝트1(애니메이션)은 17:00 전후로 두어 겹치지 않게</t>
        </is>
      </c>
    </row>
    <row r="12">
      <c r="A12" s="5" t="inlineStr">
        <is>
          <t>낭독 속도 (글자/초)</t>
        </is>
      </c>
      <c r="C12" s="6" t="n">
        <v>5</v>
      </c>
      <c r="D12" s="7" t="inlineStr">
        <is>
          <t>차분한 낭독 기준. 권장 영상 길이 계산에 사용</t>
        </is>
      </c>
    </row>
    <row r="14">
      <c r="A14" s="3" t="inlineStr">
        <is>
          <t>전체 규모 (자동 계산)</t>
        </is>
      </c>
      <c r="B14" s="4" t="n"/>
      <c r="C14" s="4" t="n"/>
      <c r="D14" s="4" t="n"/>
    </row>
    <row r="15">
      <c r="A15" s="5" t="inlineStr">
        <is>
          <t>전체 편수</t>
        </is>
      </c>
      <c r="C15" s="9">
        <f>COUNTA('구절목록'!$B$2:$B$729)</f>
        <v/>
      </c>
      <c r="D15" s="7" t="inlineStr">
        <is>
          <t>편</t>
        </is>
      </c>
    </row>
    <row r="16">
      <c r="A16" s="5" t="inlineStr">
        <is>
          <t>구약 / 신약</t>
        </is>
      </c>
      <c r="C16" s="9">
        <f>COUNTIF('구절목록'!$C$2:$C$729,"구약")&amp;" / "&amp;COUNTIF('구절목록'!$C$2:$C$729,"신약")</f>
        <v/>
      </c>
      <c r="D16" s="7" t="inlineStr">
        <is>
          <t>편</t>
        </is>
      </c>
    </row>
    <row r="17">
      <c r="A17" s="5" t="inlineStr">
        <is>
          <t>포함된 책</t>
        </is>
      </c>
      <c r="C17" s="9">
        <f>COUNTIF('권별점검'!$C$2:$C$67,"&gt;0")</f>
        <v/>
      </c>
      <c r="D17" s="7" t="inlineStr">
        <is>
          <t>권 / 66권</t>
        </is>
      </c>
    </row>
    <row r="18">
      <c r="A18" s="5" t="inlineStr">
        <is>
          <t>마지막 업로드일</t>
        </is>
      </c>
      <c r="C18" s="10">
        <f>MAX('구절목록'!$R$2:$R$729)</f>
        <v/>
      </c>
      <c r="D18" s="7" t="inlineStr"/>
    </row>
    <row r="19">
      <c r="A19" s="5" t="inlineStr">
        <is>
          <t>전체 기간</t>
        </is>
      </c>
      <c r="C19" s="9">
        <f>MAX('구절목록'!$R$2:$R$729)-'안내'!$C$6+1</f>
        <v/>
      </c>
      <c r="D19" s="7" t="inlineStr">
        <is>
          <t>일 (목표 182일 이내)</t>
        </is>
      </c>
    </row>
    <row r="20">
      <c r="A20" s="5" t="inlineStr">
        <is>
          <t>본문 자동 입력</t>
        </is>
      </c>
      <c r="C20" s="9">
        <f>COUNTIF('구절목록'!$L$2:$L$729,"자동 입력*")+COUNTIF('구절목록'!$L$2:$L$729,"대조 완료")</f>
        <v/>
      </c>
      <c r="D20" s="7" t="inlineStr">
        <is>
          <t>편 (개역한글 원문에서)</t>
        </is>
      </c>
    </row>
    <row r="21">
      <c r="A21" s="5" t="inlineStr">
        <is>
          <t>띄어쓰기 대조가 필요한 구절</t>
        </is>
      </c>
      <c r="C21" s="9">
        <f>COUNTIF('구절목록'!$L$2:$L$729,"*대조 필요")</f>
        <v/>
      </c>
      <c r="D21" s="7" t="inlineStr">
        <is>
          <t>편 (여러 줄에 걸친 구절)</t>
        </is>
      </c>
    </row>
    <row r="23">
      <c r="A23" s="3" t="inlineStr">
        <is>
          <t>운영 원칙</t>
        </is>
      </c>
      <c r="B23" s="4" t="n"/>
      <c r="C23" s="4" t="n"/>
      <c r="D23" s="4" t="n"/>
    </row>
    <row r="24" ht="30" customHeight="1">
      <c r="A24" s="5" t="inlineStr">
        <is>
          <t>말씀에만 집중</t>
        </is>
      </c>
      <c r="B24" s="11" t="inlineStr">
        <is>
          <t>영상에는 해설·진행자·내레이션 없이 구절 낭독과 자막만. 설명이 꼭 필요한 구절은 '설명란 문구'를 유튜브 설명란·인스타 게시글에만 적음</t>
        </is>
      </c>
    </row>
    <row r="25" ht="30" customHeight="1">
      <c r="A25" s="5" t="inlineStr">
        <is>
          <t>트랙</t>
        </is>
      </c>
      <c r="B25" s="11" t="inlineStr">
        <is>
          <t>구약 트랙과 신약 트랙이 각각 성경 순서대로 동시에 진행 (창세기→말라기, 마태복음→요한계시록)</t>
        </is>
      </c>
    </row>
    <row r="26" ht="30" customHeight="1">
      <c r="A26" s="5" t="inlineStr">
        <is>
          <t>채널</t>
        </is>
      </c>
      <c r="B26" s="11" t="inlineStr">
        <is>
          <t>프로젝트1과 같은 채널. '말씀' 재생목록으로 구분하고 업로드 시간을 겹치지 않게</t>
        </is>
      </c>
    </row>
    <row r="27" ht="30" customHeight="1">
      <c r="A27" s="5" t="inlineStr">
        <is>
          <t>성경 본문</t>
        </is>
      </c>
      <c r="B27" s="11" t="inlineStr">
        <is>
          <t>개역한글판만 사용. 본문은 reference/krv.tsv(개역한글 원문 변환본)에서 자동으로 넣음. '대조 필요' 표시 구절은 띄어쓰기를 원본 PDF와 한 번 더 확인</t>
        </is>
      </c>
    </row>
    <row r="28" ht="30" customHeight="1">
      <c r="A28" s="5" t="inlineStr">
        <is>
          <t>선정 기준</t>
        </is>
      </c>
      <c r="B28" s="11" t="inlineStr">
        <is>
          <t>66권 모두 1구절 이상. 책의 분량과 많이 암송·인용되는 구절을 함께 고려. 한 절만 떼어 쓰면 뜻이 달라지는 구절은 피하거나 설명란 문구를 붙임</t>
        </is>
      </c>
    </row>
  </sheetData>
  <mergeCells count="5">
    <mergeCell ref="B28:D28"/>
    <mergeCell ref="B26:D26"/>
    <mergeCell ref="B27:D27"/>
    <mergeCell ref="B25:D25"/>
    <mergeCell ref="B24:D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729"/>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6" customWidth="1" min="3" max="3"/>
    <col width="7" customWidth="1" min="4" max="4"/>
    <col width="13" customWidth="1" min="5" max="5"/>
    <col width="11" customWidth="1" min="6" max="6"/>
    <col width="9" customWidth="1" min="7" max="7"/>
    <col width="16" customWidth="1" min="8" max="8"/>
    <col width="10" customWidth="1" min="9" max="9"/>
    <col width="11" customWidth="1" min="10" max="10"/>
    <col width="50" customWidth="1" min="11" max="11"/>
    <col width="14" customWidth="1" min="12" max="12"/>
    <col width="7" customWidth="1" min="13" max="13"/>
    <col width="9" customWidth="1" min="14" max="14"/>
    <col width="44" customWidth="1" min="15" max="15"/>
    <col width="40" customWidth="1" min="16" max="16"/>
    <col width="50" customWidth="1" min="17" max="17"/>
    <col width="11" customWidth="1" min="18" max="18"/>
    <col width="9" customWidth="1" min="19" max="19"/>
    <col width="5" customWidth="1" min="20" max="20"/>
    <col width="8" customWidth="1" min="21" max="21"/>
    <col width="8" customWidth="1" min="22" max="22"/>
    <col width="9" customWidth="1" min="23" max="23"/>
    <col width="9" customWidth="1" min="24" max="24"/>
    <col width="16" customWidth="1" min="25" max="25"/>
    <col width="24" customWidth="1" min="26" max="26"/>
    <col width="50" customWidth="1" min="27" max="27"/>
  </cols>
  <sheetData>
    <row r="1" ht="30" customHeight="1">
      <c r="A1" s="12" t="inlineStr">
        <is>
          <t>순번</t>
        </is>
      </c>
      <c r="B1" s="12" t="inlineStr">
        <is>
          <t>코드</t>
        </is>
      </c>
      <c r="C1" s="12" t="inlineStr">
        <is>
          <t>트랙</t>
        </is>
      </c>
      <c r="D1" s="12" t="inlineStr">
        <is>
          <t>트랙 회차</t>
        </is>
      </c>
      <c r="E1" s="12" t="inlineStr">
        <is>
          <t>회차 표기</t>
        </is>
      </c>
      <c r="F1" s="12" t="inlineStr">
        <is>
          <t>책</t>
        </is>
      </c>
      <c r="G1" s="12" t="inlineStr">
        <is>
          <t>장절</t>
        </is>
      </c>
      <c r="H1" s="12" t="inlineStr">
        <is>
          <t>자막 출처 표기</t>
        </is>
      </c>
      <c r="I1" s="12" t="inlineStr">
        <is>
          <t>주제</t>
        </is>
      </c>
      <c r="J1" s="12" t="inlineStr">
        <is>
          <t>화면 배경</t>
        </is>
      </c>
      <c r="K1" s="12" t="inlineStr">
        <is>
          <t>본문 (개역한글)</t>
        </is>
      </c>
      <c r="L1" s="12" t="inlineStr">
        <is>
          <t>본문 상태</t>
        </is>
      </c>
      <c r="M1" s="12" t="inlineStr">
        <is>
          <t>글자 수</t>
        </is>
      </c>
      <c r="N1" s="12" t="inlineStr">
        <is>
          <t>권장 길이(초)</t>
        </is>
      </c>
      <c r="O1" s="12" t="inlineStr">
        <is>
          <t>제목안</t>
        </is>
      </c>
      <c r="P1" s="12" t="inlineStr">
        <is>
          <t>해시태그</t>
        </is>
      </c>
      <c r="Q1" s="12" t="inlineStr">
        <is>
          <t>설명란 문구</t>
        </is>
      </c>
      <c r="R1" s="12" t="inlineStr">
        <is>
          <t>업로드일</t>
        </is>
      </c>
      <c r="S1" s="12" t="inlineStr">
        <is>
          <t>업로드 시간</t>
        </is>
      </c>
      <c r="T1" s="12" t="inlineStr">
        <is>
          <t>요일</t>
        </is>
      </c>
      <c r="U1" s="12" t="inlineStr">
        <is>
          <t>영상</t>
        </is>
      </c>
      <c r="V1" s="12" t="inlineStr">
        <is>
          <t>업로드</t>
        </is>
      </c>
      <c r="W1" s="12" t="inlineStr">
        <is>
          <t>조회수</t>
        </is>
      </c>
      <c r="X1" s="12" t="inlineStr">
        <is>
          <t>시청 vs 넘김(%)</t>
        </is>
      </c>
      <c r="Y1" s="12" t="inlineStr">
        <is>
          <t>비고</t>
        </is>
      </c>
      <c r="Z1" s="12" t="inlineStr">
        <is>
          <t>확인 표시</t>
        </is>
      </c>
      <c r="AA1" s="12" t="inlineStr">
        <is>
          <t>WEB (영어, 확장용)</t>
        </is>
      </c>
    </row>
    <row r="2">
      <c r="A2" s="13" t="n">
        <v>1</v>
      </c>
      <c r="B2" s="13" t="inlineStr">
        <is>
          <t>W0001</t>
        </is>
      </c>
      <c r="C2" s="13" t="inlineStr">
        <is>
          <t>구약</t>
        </is>
      </c>
      <c r="D2" s="13" t="n">
        <v>1</v>
      </c>
      <c r="E2" s="13">
        <f>C2&amp;"말씀 #"&amp;TEXT(D2,"000")</f>
        <v/>
      </c>
      <c r="F2" s="14" t="inlineStr">
        <is>
          <t>창세기</t>
        </is>
      </c>
      <c r="G2" s="14" t="inlineStr">
        <is>
          <t>1:1</t>
        </is>
      </c>
      <c r="H2" s="15" t="inlineStr">
        <is>
          <t>(창 1:1, 개역한글)</t>
        </is>
      </c>
      <c r="I2" s="14" t="inlineStr">
        <is>
          <t>창조</t>
        </is>
      </c>
      <c r="J2" s="14" t="inlineStr">
        <is>
          <t>하늘·별</t>
        </is>
      </c>
      <c r="K2" s="16" t="inlineStr">
        <is>
          <t>태초에 하나님이 천지를 창조하시니라</t>
        </is>
      </c>
      <c r="L2" s="14" t="inlineStr">
        <is>
          <t>자동 입력</t>
        </is>
      </c>
      <c r="M2" s="14">
        <f>LEN(K2)</f>
        <v/>
      </c>
      <c r="N2" s="14">
        <f>IF(M2=0,"-",ROUND(3+M2/'안내'!$C$12,0))</f>
        <v/>
      </c>
      <c r="O2" s="15">
        <f>IF(K2="","(본문 입력 후 자동) | 창 1:1",IF(LEN(K2)&gt;28,LEFT(K2,28)&amp;"…",K2)&amp;" | 창 1:1")</f>
        <v/>
      </c>
      <c r="P2" s="15">
        <f>"#"&amp;SUBSTITUTE('안내'!$C$5," ","")&amp;" #성경구절 #말씀 #창세기 #창조"</f>
        <v/>
      </c>
      <c r="Q2" s="15" t="inlineStr">
        <is>
          <t>성경 본문: 개역한글판</t>
        </is>
      </c>
      <c r="R2" s="17">
        <f>'안내'!$C$6+INT((D2-1)/'안내'!$C$7)</f>
        <v/>
      </c>
      <c r="S2" s="14">
        <f>IF(MOD(D2-1,'안내'!$C$7)=0,'안내'!$C$8,'안내'!$C$10)</f>
        <v/>
      </c>
      <c r="T2" s="14">
        <f>CHOOSE(WEEKDAY(R2,2),"월","화","수","목","금","토","일")</f>
        <v/>
      </c>
      <c r="U2" s="14" t="inlineStr">
        <is>
          <t>미착수</t>
        </is>
      </c>
      <c r="V2" s="14" t="inlineStr">
        <is>
          <t>미착수</t>
        </is>
      </c>
      <c r="W2" s="18" t="n"/>
      <c r="X2" s="18" t="n"/>
      <c r="Y2" s="15" t="n"/>
      <c r="Z2" s="15" t="inlineStr"/>
      <c r="AA2" s="15" t="inlineStr">
        <is>
          <t>In the beginning, God created the heavens and the earth.</t>
        </is>
      </c>
    </row>
    <row r="3">
      <c r="A3" s="13" t="n">
        <v>2</v>
      </c>
      <c r="B3" s="13" t="inlineStr">
        <is>
          <t>W0002</t>
        </is>
      </c>
      <c r="C3" s="13" t="inlineStr">
        <is>
          <t>구약</t>
        </is>
      </c>
      <c r="D3" s="13" t="n">
        <v>2</v>
      </c>
      <c r="E3" s="13">
        <f>C3&amp;"말씀 #"&amp;TEXT(D3,"000")</f>
        <v/>
      </c>
      <c r="F3" s="14" t="inlineStr">
        <is>
          <t>창세기</t>
        </is>
      </c>
      <c r="G3" s="14" t="inlineStr">
        <is>
          <t>1:27</t>
        </is>
      </c>
      <c r="H3" s="15" t="inlineStr">
        <is>
          <t>(창 1:27, 개역한글)</t>
        </is>
      </c>
      <c r="I3" s="14" t="inlineStr">
        <is>
          <t>창조</t>
        </is>
      </c>
      <c r="J3" s="14" t="inlineStr">
        <is>
          <t>하늘·별</t>
        </is>
      </c>
      <c r="K3" s="16" t="inlineStr">
        <is>
          <t>하나님이 자기 형상 곧 하나님의 형상대로 사람을 창조하시되 남자와 여자를 창조하시고</t>
        </is>
      </c>
      <c r="L3" s="14" t="inlineStr">
        <is>
          <t>자동 입력</t>
        </is>
      </c>
      <c r="M3" s="14">
        <f>LEN(K3)</f>
        <v/>
      </c>
      <c r="N3" s="14">
        <f>IF(M3=0,"-",ROUND(3+M3/'안내'!$C$12,0))</f>
        <v/>
      </c>
      <c r="O3" s="15">
        <f>IF(K3="","(본문 입력 후 자동) | 창 1:27",IF(LEN(K3)&gt;28,LEFT(K3,28)&amp;"…",K3)&amp;" | 창 1:27")</f>
        <v/>
      </c>
      <c r="P3" s="15">
        <f>"#"&amp;SUBSTITUTE('안내'!$C$5," ","")&amp;" #성경구절 #말씀 #창세기 #창조"</f>
        <v/>
      </c>
      <c r="Q3" s="15" t="inlineStr">
        <is>
          <t>성경 본문: 개역한글판</t>
        </is>
      </c>
      <c r="R3" s="17">
        <f>'안내'!$C$6+INT((D3-1)/'안내'!$C$7)</f>
        <v/>
      </c>
      <c r="S3" s="14">
        <f>IF(MOD(D3-1,'안내'!$C$7)=0,'안내'!$C$8,'안내'!$C$10)</f>
        <v/>
      </c>
      <c r="T3" s="14">
        <f>CHOOSE(WEEKDAY(R3,2),"월","화","수","목","금","토","일")</f>
        <v/>
      </c>
      <c r="U3" s="14" t="inlineStr">
        <is>
          <t>미착수</t>
        </is>
      </c>
      <c r="V3" s="14" t="inlineStr">
        <is>
          <t>미착수</t>
        </is>
      </c>
      <c r="W3" s="18" t="n"/>
      <c r="X3" s="18" t="n"/>
      <c r="Y3" s="15" t="n"/>
      <c r="Z3" s="15" t="inlineStr"/>
      <c r="AA3" s="15" t="inlineStr">
        <is>
          <t>God created man in his own image. In God’s image he created him; male and fe- male he created them.</t>
        </is>
      </c>
    </row>
    <row r="4">
      <c r="A4" s="13" t="n">
        <v>3</v>
      </c>
      <c r="B4" s="13" t="inlineStr">
        <is>
          <t>W0003</t>
        </is>
      </c>
      <c r="C4" s="13" t="inlineStr">
        <is>
          <t>구약</t>
        </is>
      </c>
      <c r="D4" s="13" t="n">
        <v>3</v>
      </c>
      <c r="E4" s="13">
        <f>C4&amp;"말씀 #"&amp;TEXT(D4,"000")</f>
        <v/>
      </c>
      <c r="F4" s="14" t="inlineStr">
        <is>
          <t>창세기</t>
        </is>
      </c>
      <c r="G4" s="14" t="inlineStr">
        <is>
          <t>1:31</t>
        </is>
      </c>
      <c r="H4" s="15" t="inlineStr">
        <is>
          <t>(창 1:31, 개역한글)</t>
        </is>
      </c>
      <c r="I4" s="14" t="inlineStr">
        <is>
          <t>창조</t>
        </is>
      </c>
      <c r="J4" s="14" t="inlineStr">
        <is>
          <t>하늘·별</t>
        </is>
      </c>
      <c r="K4" s="16" t="inlineStr">
        <is>
          <t>하나님이 그 지으신 모든 것을 보시니 보시기에 심히 좋았더라 저녁이 되며 아침이 되니 이는 여섯째 날이니라</t>
        </is>
      </c>
      <c r="L4" s="14" t="inlineStr">
        <is>
          <t>자동 입력</t>
        </is>
      </c>
      <c r="M4" s="14">
        <f>LEN(K4)</f>
        <v/>
      </c>
      <c r="N4" s="14">
        <f>IF(M4=0,"-",ROUND(3+M4/'안내'!$C$12,0))</f>
        <v/>
      </c>
      <c r="O4" s="15">
        <f>IF(K4="","(본문 입력 후 자동) | 창 1:31",IF(LEN(K4)&gt;28,LEFT(K4,28)&amp;"…",K4)&amp;" | 창 1:31")</f>
        <v/>
      </c>
      <c r="P4" s="15">
        <f>"#"&amp;SUBSTITUTE('안내'!$C$5," ","")&amp;" #성경구절 #말씀 #창세기 #창조"</f>
        <v/>
      </c>
      <c r="Q4" s="15" t="inlineStr">
        <is>
          <t>성경 본문: 개역한글판</t>
        </is>
      </c>
      <c r="R4" s="17">
        <f>'안내'!$C$6+INT((D4-1)/'안내'!$C$7)</f>
        <v/>
      </c>
      <c r="S4" s="14">
        <f>IF(MOD(D4-1,'안내'!$C$7)=0,'안내'!$C$8,'안내'!$C$10)</f>
        <v/>
      </c>
      <c r="T4" s="14">
        <f>CHOOSE(WEEKDAY(R4,2),"월","화","수","목","금","토","일")</f>
        <v/>
      </c>
      <c r="U4" s="14" t="inlineStr">
        <is>
          <t>미착수</t>
        </is>
      </c>
      <c r="V4" s="14" t="inlineStr">
        <is>
          <t>미착수</t>
        </is>
      </c>
      <c r="W4" s="18" t="n"/>
      <c r="X4" s="18" t="n"/>
      <c r="Y4" s="15" t="n"/>
      <c r="Z4" s="15" t="inlineStr"/>
      <c r="AA4" s="15" t="inlineStr">
        <is>
          <t>God saw everything that he had made, and, behold, it was very good. There was evening and there was morning, a sixth day.</t>
        </is>
      </c>
    </row>
    <row r="5">
      <c r="A5" s="13" t="n">
        <v>4</v>
      </c>
      <c r="B5" s="13" t="inlineStr">
        <is>
          <t>W0004</t>
        </is>
      </c>
      <c r="C5" s="13" t="inlineStr">
        <is>
          <t>구약</t>
        </is>
      </c>
      <c r="D5" s="13" t="n">
        <v>4</v>
      </c>
      <c r="E5" s="13">
        <f>C5&amp;"말씀 #"&amp;TEXT(D5,"000")</f>
        <v/>
      </c>
      <c r="F5" s="14" t="inlineStr">
        <is>
          <t>창세기</t>
        </is>
      </c>
      <c r="G5" s="14" t="inlineStr">
        <is>
          <t>2:7</t>
        </is>
      </c>
      <c r="H5" s="15" t="inlineStr">
        <is>
          <t>(창 2:7, 개역한글)</t>
        </is>
      </c>
      <c r="I5" s="14" t="inlineStr">
        <is>
          <t>생명</t>
        </is>
      </c>
      <c r="J5" s="14" t="inlineStr">
        <is>
          <t>새벽빛</t>
        </is>
      </c>
      <c r="K5" s="16" t="inlineStr">
        <is>
          <t>여호와 하나님이 흙으로 사람을 지으시고 생기를 그 코에 불어넣으시니 사람이 생령이 된지라</t>
        </is>
      </c>
      <c r="L5" s="14" t="inlineStr">
        <is>
          <t>자동 입력</t>
        </is>
      </c>
      <c r="M5" s="14">
        <f>LEN(K5)</f>
        <v/>
      </c>
      <c r="N5" s="14">
        <f>IF(M5=0,"-",ROUND(3+M5/'안내'!$C$12,0))</f>
        <v/>
      </c>
      <c r="O5" s="15">
        <f>IF(K5="","(본문 입력 후 자동) | 창 2:7",IF(LEN(K5)&gt;28,LEFT(K5,28)&amp;"…",K5)&amp;" | 창 2:7")</f>
        <v/>
      </c>
      <c r="P5" s="15">
        <f>"#"&amp;SUBSTITUTE('안내'!$C$5," ","")&amp;" #성경구절 #말씀 #창세기 #생명"</f>
        <v/>
      </c>
      <c r="Q5" s="15" t="inlineStr">
        <is>
          <t>성경 본문: 개역한글판</t>
        </is>
      </c>
      <c r="R5" s="17">
        <f>'안내'!$C$6+INT((D5-1)/'안내'!$C$7)</f>
        <v/>
      </c>
      <c r="S5" s="14">
        <f>IF(MOD(D5-1,'안내'!$C$7)=0,'안내'!$C$8,'안내'!$C$10)</f>
        <v/>
      </c>
      <c r="T5" s="14">
        <f>CHOOSE(WEEKDAY(R5,2),"월","화","수","목","금","토","일")</f>
        <v/>
      </c>
      <c r="U5" s="14" t="inlineStr">
        <is>
          <t>미착수</t>
        </is>
      </c>
      <c r="V5" s="14" t="inlineStr">
        <is>
          <t>미착수</t>
        </is>
      </c>
      <c r="W5" s="18" t="n"/>
      <c r="X5" s="18" t="n"/>
      <c r="Y5" s="15" t="n"/>
      <c r="Z5" s="15" t="inlineStr"/>
      <c r="AA5" s="15" t="inlineStr">
        <is>
          <t>Yahweh God formed man from the dust of the ground, and breathed into his nostrils the breath of life; and man became a living soul.</t>
        </is>
      </c>
    </row>
    <row r="6">
      <c r="A6" s="13" t="n">
        <v>5</v>
      </c>
      <c r="B6" s="13" t="inlineStr">
        <is>
          <t>W0005</t>
        </is>
      </c>
      <c r="C6" s="13" t="inlineStr">
        <is>
          <t>구약</t>
        </is>
      </c>
      <c r="D6" s="13" t="n">
        <v>5</v>
      </c>
      <c r="E6" s="13">
        <f>C6&amp;"말씀 #"&amp;TEXT(D6,"000")</f>
        <v/>
      </c>
      <c r="F6" s="14" t="inlineStr">
        <is>
          <t>창세기</t>
        </is>
      </c>
      <c r="G6" s="14" t="inlineStr">
        <is>
          <t>2:18</t>
        </is>
      </c>
      <c r="H6" s="15" t="inlineStr">
        <is>
          <t>(창 2:18, 개역한글)</t>
        </is>
      </c>
      <c r="I6" s="14" t="inlineStr">
        <is>
          <t>가정</t>
        </is>
      </c>
      <c r="J6" s="14" t="inlineStr">
        <is>
          <t>창가·식탁</t>
        </is>
      </c>
      <c r="K6" s="16" t="inlineStr">
        <is>
          <t>여호와 하나님이 가라사대 사람의 독처하는 것이 좋지 못하니 내가 그를 위하여 돕는 배필을 지으리라 하시니라</t>
        </is>
      </c>
      <c r="L6" s="14" t="inlineStr">
        <is>
          <t>자동 입력</t>
        </is>
      </c>
      <c r="M6" s="14">
        <f>LEN(K6)</f>
        <v/>
      </c>
      <c r="N6" s="14">
        <f>IF(M6=0,"-",ROUND(3+M6/'안내'!$C$12,0))</f>
        <v/>
      </c>
      <c r="O6" s="15">
        <f>IF(K6="","(본문 입력 후 자동) | 창 2:18",IF(LEN(K6)&gt;28,LEFT(K6,28)&amp;"…",K6)&amp;" | 창 2:18")</f>
        <v/>
      </c>
      <c r="P6" s="15">
        <f>"#"&amp;SUBSTITUTE('안내'!$C$5," ","")&amp;" #성경구절 #말씀 #창세기 #가정"</f>
        <v/>
      </c>
      <c r="Q6" s="15" t="inlineStr">
        <is>
          <t>성경 본문: 개역한글판</t>
        </is>
      </c>
      <c r="R6" s="17">
        <f>'안내'!$C$6+INT((D6-1)/'안내'!$C$7)</f>
        <v/>
      </c>
      <c r="S6" s="14">
        <f>IF(MOD(D6-1,'안내'!$C$7)=0,'안내'!$C$8,'안내'!$C$10)</f>
        <v/>
      </c>
      <c r="T6" s="14">
        <f>CHOOSE(WEEKDAY(R6,2),"월","화","수","목","금","토","일")</f>
        <v/>
      </c>
      <c r="U6" s="14" t="inlineStr">
        <is>
          <t>미착수</t>
        </is>
      </c>
      <c r="V6" s="14" t="inlineStr">
        <is>
          <t>미착수</t>
        </is>
      </c>
      <c r="W6" s="18" t="n"/>
      <c r="X6" s="18" t="n"/>
      <c r="Y6" s="15" t="n"/>
      <c r="Z6" s="15" t="inlineStr"/>
      <c r="AA6" s="15" t="inlineStr">
        <is>
          <t>Yahweh God said, “It is not good for the man to be alone. I will make him a helper comparable to him.”</t>
        </is>
      </c>
    </row>
    <row r="7">
      <c r="A7" s="13" t="n">
        <v>6</v>
      </c>
      <c r="B7" s="13" t="inlineStr">
        <is>
          <t>W0006</t>
        </is>
      </c>
      <c r="C7" s="13" t="inlineStr">
        <is>
          <t>구약</t>
        </is>
      </c>
      <c r="D7" s="13" t="n">
        <v>6</v>
      </c>
      <c r="E7" s="13">
        <f>C7&amp;"말씀 #"&amp;TEXT(D7,"000")</f>
        <v/>
      </c>
      <c r="F7" s="14" t="inlineStr">
        <is>
          <t>창세기</t>
        </is>
      </c>
      <c r="G7" s="14" t="inlineStr">
        <is>
          <t>3:9</t>
        </is>
      </c>
      <c r="H7" s="15" t="inlineStr">
        <is>
          <t>(창 3:9, 개역한글)</t>
        </is>
      </c>
      <c r="I7" s="14" t="inlineStr">
        <is>
          <t>은혜</t>
        </is>
      </c>
      <c r="J7" s="14" t="inlineStr">
        <is>
          <t>잔잔한 물</t>
        </is>
      </c>
      <c r="K7" s="16" t="inlineStr">
        <is>
          <t>여호와 하나님이 아담을 부르시며 그에게 이르시되 네가 어디 있느냐</t>
        </is>
      </c>
      <c r="L7" s="14" t="inlineStr">
        <is>
          <t>자동 입력</t>
        </is>
      </c>
      <c r="M7" s="14">
        <f>LEN(K7)</f>
        <v/>
      </c>
      <c r="N7" s="14">
        <f>IF(M7=0,"-",ROUND(3+M7/'안내'!$C$12,0))</f>
        <v/>
      </c>
      <c r="O7" s="15">
        <f>IF(K7="","(본문 입력 후 자동) | 창 3:9",IF(LEN(K7)&gt;28,LEFT(K7,28)&amp;"…",K7)&amp;" | 창 3:9")</f>
        <v/>
      </c>
      <c r="P7" s="15">
        <f>"#"&amp;SUBSTITUTE('안내'!$C$5," ","")&amp;" #성경구절 #말씀 #창세기 #은혜"</f>
        <v/>
      </c>
      <c r="Q7" s="15" t="inlineStr">
        <is>
          <t>성경 본문: 개역한글판</t>
        </is>
      </c>
      <c r="R7" s="17">
        <f>'안내'!$C$6+INT((D7-1)/'안내'!$C$7)</f>
        <v/>
      </c>
      <c r="S7" s="14">
        <f>IF(MOD(D7-1,'안내'!$C$7)=0,'안내'!$C$8,'안내'!$C$10)</f>
        <v/>
      </c>
      <c r="T7" s="14">
        <f>CHOOSE(WEEKDAY(R7,2),"월","화","수","목","금","토","일")</f>
        <v/>
      </c>
      <c r="U7" s="14" t="inlineStr">
        <is>
          <t>미착수</t>
        </is>
      </c>
      <c r="V7" s="14" t="inlineStr">
        <is>
          <t>미착수</t>
        </is>
      </c>
      <c r="W7" s="18" t="n"/>
      <c r="X7" s="18" t="n"/>
      <c r="Y7" s="15" t="n"/>
      <c r="Z7" s="15" t="inlineStr"/>
      <c r="AA7" s="15" t="inlineStr">
        <is>
          <t>Yahweh God called to the man, and said to him, “Where are you?”</t>
        </is>
      </c>
    </row>
    <row r="8">
      <c r="A8" s="13" t="n">
        <v>7</v>
      </c>
      <c r="B8" s="13" t="inlineStr">
        <is>
          <t>W0007</t>
        </is>
      </c>
      <c r="C8" s="13" t="inlineStr">
        <is>
          <t>구약</t>
        </is>
      </c>
      <c r="D8" s="13" t="n">
        <v>7</v>
      </c>
      <c r="E8" s="13">
        <f>C8&amp;"말씀 #"&amp;TEXT(D8,"000")</f>
        <v/>
      </c>
      <c r="F8" s="14" t="inlineStr">
        <is>
          <t>창세기</t>
        </is>
      </c>
      <c r="G8" s="14" t="inlineStr">
        <is>
          <t>3:15</t>
        </is>
      </c>
      <c r="H8" s="15" t="inlineStr">
        <is>
          <t>(창 3:15, 개역한글)</t>
        </is>
      </c>
      <c r="I8" s="14" t="inlineStr">
        <is>
          <t>구원</t>
        </is>
      </c>
      <c r="J8" s="14" t="inlineStr">
        <is>
          <t>제단·십자가</t>
        </is>
      </c>
      <c r="K8" s="16" t="inlineStr">
        <is>
          <t>내가 너로 여자와 원수가 되게 하고 너의 후손도 여자의 후손과 원수가 되게 하리니 여자의 후손은 네 머리를 상하게 할 것이요 너는 그의 발꿈치를 상하게 할 것이니라 하시고</t>
        </is>
      </c>
      <c r="L8" s="14" t="inlineStr">
        <is>
          <t>자동 입력</t>
        </is>
      </c>
      <c r="M8" s="14">
        <f>LEN(K8)</f>
        <v/>
      </c>
      <c r="N8" s="14">
        <f>IF(M8=0,"-",ROUND(3+M8/'안내'!$C$12,0))</f>
        <v/>
      </c>
      <c r="O8" s="15">
        <f>IF(K8="","(본문 입력 후 자동) | 창 3:15",IF(LEN(K8)&gt;28,LEFT(K8,28)&amp;"…",K8)&amp;" | 창 3:15")</f>
        <v/>
      </c>
      <c r="P8" s="15">
        <f>"#"&amp;SUBSTITUTE('안내'!$C$5," ","")&amp;" #성경구절 #말씀 #창세기 #구원"</f>
        <v/>
      </c>
      <c r="Q8" s="19" t="inlineStr">
        <is>
          <t>여자의 후손이 뱀의 머리를 상하게 하리라는 약속은 그리스도의 승리를 가리킵니다(원시복음).
성경 본문: 개역한글판</t>
        </is>
      </c>
      <c r="R8" s="17">
        <f>'안내'!$C$6+INT((D8-1)/'안내'!$C$7)</f>
        <v/>
      </c>
      <c r="S8" s="14">
        <f>IF(MOD(D8-1,'안내'!$C$7)=0,'안내'!$C$8,'안내'!$C$10)</f>
        <v/>
      </c>
      <c r="T8" s="14">
        <f>CHOOSE(WEEKDAY(R8,2),"월","화","수","목","금","토","일")</f>
        <v/>
      </c>
      <c r="U8" s="14" t="inlineStr">
        <is>
          <t>미착수</t>
        </is>
      </c>
      <c r="V8" s="14" t="inlineStr">
        <is>
          <t>미착수</t>
        </is>
      </c>
      <c r="W8" s="18" t="n"/>
      <c r="X8" s="18" t="n"/>
      <c r="Y8" s="15" t="n"/>
      <c r="Z8" s="15" t="inlineStr"/>
      <c r="AA8" s="15" t="inlineStr">
        <is>
          <t>I will put hostility between you and the woman, and between your offspring and her offspring. He will bruise your head, and you will bruise his heel.”</t>
        </is>
      </c>
    </row>
    <row r="9">
      <c r="A9" s="13" t="n">
        <v>8</v>
      </c>
      <c r="B9" s="13" t="inlineStr">
        <is>
          <t>W0008</t>
        </is>
      </c>
      <c r="C9" s="13" t="inlineStr">
        <is>
          <t>구약</t>
        </is>
      </c>
      <c r="D9" s="13" t="n">
        <v>8</v>
      </c>
      <c r="E9" s="13">
        <f>C9&amp;"말씀 #"&amp;TEXT(D9,"000")</f>
        <v/>
      </c>
      <c r="F9" s="14" t="inlineStr">
        <is>
          <t>창세기</t>
        </is>
      </c>
      <c r="G9" s="14" t="inlineStr">
        <is>
          <t>6:8</t>
        </is>
      </c>
      <c r="H9" s="15" t="inlineStr">
        <is>
          <t>(창 6:8, 개역한글)</t>
        </is>
      </c>
      <c r="I9" s="14" t="inlineStr">
        <is>
          <t>은혜</t>
        </is>
      </c>
      <c r="J9" s="14" t="inlineStr">
        <is>
          <t>잔잔한 물</t>
        </is>
      </c>
      <c r="K9" s="16" t="inlineStr">
        <is>
          <t>그러나 노아는 여호와께 은혜를 입었더라</t>
        </is>
      </c>
      <c r="L9" s="14" t="inlineStr">
        <is>
          <t>자동 입력</t>
        </is>
      </c>
      <c r="M9" s="14">
        <f>LEN(K9)</f>
        <v/>
      </c>
      <c r="N9" s="14">
        <f>IF(M9=0,"-",ROUND(3+M9/'안내'!$C$12,0))</f>
        <v/>
      </c>
      <c r="O9" s="15">
        <f>IF(K9="","(본문 입력 후 자동) | 창 6:8",IF(LEN(K9)&gt;28,LEFT(K9,28)&amp;"…",K9)&amp;" | 창 6:8")</f>
        <v/>
      </c>
      <c r="P9" s="15">
        <f>"#"&amp;SUBSTITUTE('안내'!$C$5," ","")&amp;" #성경구절 #말씀 #창세기 #은혜"</f>
        <v/>
      </c>
      <c r="Q9" s="15" t="inlineStr">
        <is>
          <t>성경 본문: 개역한글판</t>
        </is>
      </c>
      <c r="R9" s="17">
        <f>'안내'!$C$6+INT((D9-1)/'안내'!$C$7)</f>
        <v/>
      </c>
      <c r="S9" s="14">
        <f>IF(MOD(D9-1,'안내'!$C$7)=0,'안내'!$C$8,'안내'!$C$10)</f>
        <v/>
      </c>
      <c r="T9" s="14">
        <f>CHOOSE(WEEKDAY(R9,2),"월","화","수","목","금","토","일")</f>
        <v/>
      </c>
      <c r="U9" s="14" t="inlineStr">
        <is>
          <t>미착수</t>
        </is>
      </c>
      <c r="V9" s="14" t="inlineStr">
        <is>
          <t>미착수</t>
        </is>
      </c>
      <c r="W9" s="18" t="n"/>
      <c r="X9" s="18" t="n"/>
      <c r="Y9" s="15" t="n"/>
      <c r="Z9" s="15" t="inlineStr"/>
      <c r="AA9" s="15" t="inlineStr">
        <is>
          <t>But Noah found favor in Yahweh’s eyes.</t>
        </is>
      </c>
    </row>
    <row r="10">
      <c r="A10" s="13" t="n">
        <v>9</v>
      </c>
      <c r="B10" s="13" t="inlineStr">
        <is>
          <t>W0009</t>
        </is>
      </c>
      <c r="C10" s="13" t="inlineStr">
        <is>
          <t>구약</t>
        </is>
      </c>
      <c r="D10" s="13" t="n">
        <v>9</v>
      </c>
      <c r="E10" s="13">
        <f>C10&amp;"말씀 #"&amp;TEXT(D10,"000")</f>
        <v/>
      </c>
      <c r="F10" s="14" t="inlineStr">
        <is>
          <t>창세기</t>
        </is>
      </c>
      <c r="G10" s="14" t="inlineStr">
        <is>
          <t>8:22</t>
        </is>
      </c>
      <c r="H10" s="15" t="inlineStr">
        <is>
          <t>(창 8:22, 개역한글)</t>
        </is>
      </c>
      <c r="I10" s="14" t="inlineStr">
        <is>
          <t>신실하심</t>
        </is>
      </c>
      <c r="J10" s="14" t="inlineStr">
        <is>
          <t>바위산·광야</t>
        </is>
      </c>
      <c r="K10" s="16" t="inlineStr">
        <is>
          <t>땅이 있을 동안에는 심음과 거둠과 추위와 더위와 여름과 겨울과 낮과 밤이 쉬지 아니하리라</t>
        </is>
      </c>
      <c r="L10" s="14" t="inlineStr">
        <is>
          <t>자동 입력</t>
        </is>
      </c>
      <c r="M10" s="14">
        <f>LEN(K10)</f>
        <v/>
      </c>
      <c r="N10" s="14">
        <f>IF(M10=0,"-",ROUND(3+M10/'안내'!$C$12,0))</f>
        <v/>
      </c>
      <c r="O10" s="15">
        <f>IF(K10="","(본문 입력 후 자동) | 창 8:22",IF(LEN(K10)&gt;28,LEFT(K10,28)&amp;"…",K10)&amp;" | 창 8:22")</f>
        <v/>
      </c>
      <c r="P10" s="15">
        <f>"#"&amp;SUBSTITUTE('안내'!$C$5," ","")&amp;" #성경구절 #말씀 #창세기 #신실하심"</f>
        <v/>
      </c>
      <c r="Q10" s="15" t="inlineStr">
        <is>
          <t>성경 본문: 개역한글판</t>
        </is>
      </c>
      <c r="R10" s="17">
        <f>'안내'!$C$6+INT((D10-1)/'안내'!$C$7)</f>
        <v/>
      </c>
      <c r="S10" s="14">
        <f>IF(MOD(D10-1,'안내'!$C$7)=0,'안내'!$C$8,'안내'!$C$10)</f>
        <v/>
      </c>
      <c r="T10" s="14">
        <f>CHOOSE(WEEKDAY(R10,2),"월","화","수","목","금","토","일")</f>
        <v/>
      </c>
      <c r="U10" s="14" t="inlineStr">
        <is>
          <t>미착수</t>
        </is>
      </c>
      <c r="V10" s="14" t="inlineStr">
        <is>
          <t>미착수</t>
        </is>
      </c>
      <c r="W10" s="18" t="n"/>
      <c r="X10" s="18" t="n"/>
      <c r="Y10" s="15" t="n"/>
      <c r="Z10" s="15" t="inlineStr"/>
      <c r="AA10" s="15" t="inlineStr">
        <is>
          <t>While the earth remains, seed time and harvest, and cold and heat, and summer and winter, and day and night will not cease.”</t>
        </is>
      </c>
    </row>
    <row r="11">
      <c r="A11" s="13" t="n">
        <v>10</v>
      </c>
      <c r="B11" s="13" t="inlineStr">
        <is>
          <t>W0010</t>
        </is>
      </c>
      <c r="C11" s="13" t="inlineStr">
        <is>
          <t>구약</t>
        </is>
      </c>
      <c r="D11" s="13" t="n">
        <v>10</v>
      </c>
      <c r="E11" s="13">
        <f>C11&amp;"말씀 #"&amp;TEXT(D11,"000")</f>
        <v/>
      </c>
      <c r="F11" s="14" t="inlineStr">
        <is>
          <t>창세기</t>
        </is>
      </c>
      <c r="G11" s="14" t="inlineStr">
        <is>
          <t>9:13</t>
        </is>
      </c>
      <c r="H11" s="15" t="inlineStr">
        <is>
          <t>(창 9:13, 개역한글)</t>
        </is>
      </c>
      <c r="I11" s="14" t="inlineStr">
        <is>
          <t>언약</t>
        </is>
      </c>
      <c r="J11" s="14" t="inlineStr">
        <is>
          <t>제단·십자가</t>
        </is>
      </c>
      <c r="K11" s="16" t="inlineStr">
        <is>
          <t>내가 내 무지개를 구름 속에 두었나니 이것이 나의 세상과의 언약의 증거니라</t>
        </is>
      </c>
      <c r="L11" s="14" t="inlineStr">
        <is>
          <t>자동 입력</t>
        </is>
      </c>
      <c r="M11" s="14">
        <f>LEN(K11)</f>
        <v/>
      </c>
      <c r="N11" s="14">
        <f>IF(M11=0,"-",ROUND(3+M11/'안내'!$C$12,0))</f>
        <v/>
      </c>
      <c r="O11" s="15">
        <f>IF(K11="","(본문 입력 후 자동) | 창 9:13",IF(LEN(K11)&gt;28,LEFT(K11,28)&amp;"…",K11)&amp;" | 창 9:13")</f>
        <v/>
      </c>
      <c r="P11" s="15">
        <f>"#"&amp;SUBSTITUTE('안내'!$C$5," ","")&amp;" #성경구절 #말씀 #창세기 #언약"</f>
        <v/>
      </c>
      <c r="Q11" s="15" t="inlineStr">
        <is>
          <t>성경 본문: 개역한글판</t>
        </is>
      </c>
      <c r="R11" s="17">
        <f>'안내'!$C$6+INT((D11-1)/'안내'!$C$7)</f>
        <v/>
      </c>
      <c r="S11" s="14">
        <f>IF(MOD(D11-1,'안내'!$C$7)=0,'안내'!$C$8,'안내'!$C$10)</f>
        <v/>
      </c>
      <c r="T11" s="14">
        <f>CHOOSE(WEEKDAY(R11,2),"월","화","수","목","금","토","일")</f>
        <v/>
      </c>
      <c r="U11" s="14" t="inlineStr">
        <is>
          <t>미착수</t>
        </is>
      </c>
      <c r="V11" s="14" t="inlineStr">
        <is>
          <t>미착수</t>
        </is>
      </c>
      <c r="W11" s="18" t="n"/>
      <c r="X11" s="18" t="n"/>
      <c r="Y11" s="15" t="n"/>
      <c r="Z11" s="15" t="inlineStr"/>
      <c r="AA11" s="15" t="inlineStr">
        <is>
          <t>I set my rainbow in the cloud, and it will be a sign of a covenant between me and the earth.</t>
        </is>
      </c>
    </row>
    <row r="12">
      <c r="A12" s="13" t="n">
        <v>11</v>
      </c>
      <c r="B12" s="13" t="inlineStr">
        <is>
          <t>W0011</t>
        </is>
      </c>
      <c r="C12" s="13" t="inlineStr">
        <is>
          <t>구약</t>
        </is>
      </c>
      <c r="D12" s="13" t="n">
        <v>11</v>
      </c>
      <c r="E12" s="13">
        <f>C12&amp;"말씀 #"&amp;TEXT(D12,"000")</f>
        <v/>
      </c>
      <c r="F12" s="14" t="inlineStr">
        <is>
          <t>창세기</t>
        </is>
      </c>
      <c r="G12" s="14" t="inlineStr">
        <is>
          <t>12:1</t>
        </is>
      </c>
      <c r="H12" s="15" t="inlineStr">
        <is>
          <t>(창 12:1, 개역한글)</t>
        </is>
      </c>
      <c r="I12" s="14" t="inlineStr">
        <is>
          <t>순종</t>
        </is>
      </c>
      <c r="J12" s="14" t="inlineStr">
        <is>
          <t>길·등불</t>
        </is>
      </c>
      <c r="K12" s="16" t="inlineStr">
        <is>
          <t>여호와께서 아브람에게 이르시되 너는 너의 본토 친척 아비 집을 떠나 내가 네게 지시할 땅으로 가라</t>
        </is>
      </c>
      <c r="L12" s="14" t="inlineStr">
        <is>
          <t>자동 입력</t>
        </is>
      </c>
      <c r="M12" s="14">
        <f>LEN(K12)</f>
        <v/>
      </c>
      <c r="N12" s="14">
        <f>IF(M12=0,"-",ROUND(3+M12/'안내'!$C$12,0))</f>
        <v/>
      </c>
      <c r="O12" s="15">
        <f>IF(K12="","(본문 입력 후 자동) | 창 12:1",IF(LEN(K12)&gt;28,LEFT(K12,28)&amp;"…",K12)&amp;" | 창 12:1")</f>
        <v/>
      </c>
      <c r="P12" s="15">
        <f>"#"&amp;SUBSTITUTE('안내'!$C$5," ","")&amp;" #성경구절 #말씀 #창세기 #순종"</f>
        <v/>
      </c>
      <c r="Q12" s="15" t="inlineStr">
        <is>
          <t>성경 본문: 개역한글판</t>
        </is>
      </c>
      <c r="R12" s="17">
        <f>'안내'!$C$6+INT((D12-1)/'안내'!$C$7)</f>
        <v/>
      </c>
      <c r="S12" s="14">
        <f>IF(MOD(D12-1,'안내'!$C$7)=0,'안내'!$C$8,'안내'!$C$10)</f>
        <v/>
      </c>
      <c r="T12" s="14">
        <f>CHOOSE(WEEKDAY(R12,2),"월","화","수","목","금","토","일")</f>
        <v/>
      </c>
      <c r="U12" s="14" t="inlineStr">
        <is>
          <t>미착수</t>
        </is>
      </c>
      <c r="V12" s="14" t="inlineStr">
        <is>
          <t>미착수</t>
        </is>
      </c>
      <c r="W12" s="18" t="n"/>
      <c r="X12" s="18" t="n"/>
      <c r="Y12" s="15" t="n"/>
      <c r="Z12" s="15" t="inlineStr"/>
      <c r="AA12" s="15" t="inlineStr">
        <is>
          <t>Now Yahweh said to Abram, “Leave your country, and your relatives, and your father’s house, and go to the land that I will show you.</t>
        </is>
      </c>
    </row>
    <row r="13">
      <c r="A13" s="13" t="n">
        <v>12</v>
      </c>
      <c r="B13" s="13" t="inlineStr">
        <is>
          <t>W0012</t>
        </is>
      </c>
      <c r="C13" s="13" t="inlineStr">
        <is>
          <t>구약</t>
        </is>
      </c>
      <c r="D13" s="13" t="n">
        <v>12</v>
      </c>
      <c r="E13" s="13">
        <f>C13&amp;"말씀 #"&amp;TEXT(D13,"000")</f>
        <v/>
      </c>
      <c r="F13" s="14" t="inlineStr">
        <is>
          <t>창세기</t>
        </is>
      </c>
      <c r="G13" s="14" t="inlineStr">
        <is>
          <t>12:2</t>
        </is>
      </c>
      <c r="H13" s="15" t="inlineStr">
        <is>
          <t>(창 12:2, 개역한글)</t>
        </is>
      </c>
      <c r="I13" s="14" t="inlineStr">
        <is>
          <t>언약</t>
        </is>
      </c>
      <c r="J13" s="14" t="inlineStr">
        <is>
          <t>제단·십자가</t>
        </is>
      </c>
      <c r="K13" s="16" t="inlineStr">
        <is>
          <t>내가 너로 큰 민족을 이루고 네게 복을 주어 네 이름을 창대케 하리니 너는 복의 근원이 될지라</t>
        </is>
      </c>
      <c r="L13" s="14" t="inlineStr">
        <is>
          <t>자동 입력</t>
        </is>
      </c>
      <c r="M13" s="14">
        <f>LEN(K13)</f>
        <v/>
      </c>
      <c r="N13" s="14">
        <f>IF(M13=0,"-",ROUND(3+M13/'안내'!$C$12,0))</f>
        <v/>
      </c>
      <c r="O13" s="15">
        <f>IF(K13="","(본문 입력 후 자동) | 창 12:2",IF(LEN(K13)&gt;28,LEFT(K13,28)&amp;"…",K13)&amp;" | 창 12:2")</f>
        <v/>
      </c>
      <c r="P13" s="15">
        <f>"#"&amp;SUBSTITUTE('안내'!$C$5," ","")&amp;" #성경구절 #말씀 #창세기 #언약"</f>
        <v/>
      </c>
      <c r="Q13" s="15" t="inlineStr">
        <is>
          <t>성경 본문: 개역한글판</t>
        </is>
      </c>
      <c r="R13" s="17">
        <f>'안내'!$C$6+INT((D13-1)/'안내'!$C$7)</f>
        <v/>
      </c>
      <c r="S13" s="14">
        <f>IF(MOD(D13-1,'안내'!$C$7)=0,'안내'!$C$8,'안내'!$C$10)</f>
        <v/>
      </c>
      <c r="T13" s="14">
        <f>CHOOSE(WEEKDAY(R13,2),"월","화","수","목","금","토","일")</f>
        <v/>
      </c>
      <c r="U13" s="14" t="inlineStr">
        <is>
          <t>미착수</t>
        </is>
      </c>
      <c r="V13" s="14" t="inlineStr">
        <is>
          <t>미착수</t>
        </is>
      </c>
      <c r="W13" s="18" t="n"/>
      <c r="X13" s="18" t="n"/>
      <c r="Y13" s="15" t="n"/>
      <c r="Z13" s="15" t="inlineStr"/>
      <c r="AA13" s="15" t="inlineStr">
        <is>
          <t>I will make of you a great nation. I will bless you and make your name great. You will be a blessing.</t>
        </is>
      </c>
    </row>
    <row r="14">
      <c r="A14" s="13" t="n">
        <v>13</v>
      </c>
      <c r="B14" s="13" t="inlineStr">
        <is>
          <t>W0013</t>
        </is>
      </c>
      <c r="C14" s="13" t="inlineStr">
        <is>
          <t>구약</t>
        </is>
      </c>
      <c r="D14" s="13" t="n">
        <v>13</v>
      </c>
      <c r="E14" s="13">
        <f>C14&amp;"말씀 #"&amp;TEXT(D14,"000")</f>
        <v/>
      </c>
      <c r="F14" s="14" t="inlineStr">
        <is>
          <t>창세기</t>
        </is>
      </c>
      <c r="G14" s="14" t="inlineStr">
        <is>
          <t>15:1</t>
        </is>
      </c>
      <c r="H14" s="15" t="inlineStr">
        <is>
          <t>(창 15:1, 개역한글)</t>
        </is>
      </c>
      <c r="I14" s="14" t="inlineStr">
        <is>
          <t>위로</t>
        </is>
      </c>
      <c r="J14" s="14" t="inlineStr">
        <is>
          <t>잔잔한 물</t>
        </is>
      </c>
      <c r="K14" s="16" t="inlineStr">
        <is>
          <t>이 후에 여호와의 말씀이 이상 중에 아브람에게 임하여 가라사대 아브람아 두려워 말라 나는 너의 방패요 너의 지극히 큰 상급이니라</t>
        </is>
      </c>
      <c r="L14" s="14" t="inlineStr">
        <is>
          <t>자동 입력 · 대조 필요</t>
        </is>
      </c>
      <c r="M14" s="14">
        <f>LEN(K14)</f>
        <v/>
      </c>
      <c r="N14" s="14">
        <f>IF(M14=0,"-",ROUND(3+M14/'안내'!$C$12,0))</f>
        <v/>
      </c>
      <c r="O14" s="15">
        <f>IF(K14="","(본문 입력 후 자동) | 창 15:1",IF(LEN(K14)&gt;28,LEFT(K14,28)&amp;"…",K14)&amp;" | 창 15:1")</f>
        <v/>
      </c>
      <c r="P14" s="15">
        <f>"#"&amp;SUBSTITUTE('안내'!$C$5," ","")&amp;" #성경구절 #말씀 #창세기 #위로"</f>
        <v/>
      </c>
      <c r="Q14" s="15" t="inlineStr">
        <is>
          <t>성경 본문: 개역한글판</t>
        </is>
      </c>
      <c r="R14" s="17">
        <f>'안내'!$C$6+INT((D14-1)/'안내'!$C$7)</f>
        <v/>
      </c>
      <c r="S14" s="14">
        <f>IF(MOD(D14-1,'안내'!$C$7)=0,'안내'!$C$8,'안내'!$C$10)</f>
        <v/>
      </c>
      <c r="T14" s="14">
        <f>CHOOSE(WEEKDAY(R14,2),"월","화","수","목","금","토","일")</f>
        <v/>
      </c>
      <c r="U14" s="14" t="inlineStr">
        <is>
          <t>미착수</t>
        </is>
      </c>
      <c r="V14" s="14" t="inlineStr">
        <is>
          <t>미착수</t>
        </is>
      </c>
      <c r="W14" s="18" t="n"/>
      <c r="X14" s="18" t="n"/>
      <c r="Y14" s="15" t="n"/>
      <c r="Z14" s="15" t="inlineStr">
        <is>
          <t>줄바꿈 띄어쓰기 확인</t>
        </is>
      </c>
      <c r="AA14" s="15" t="inlineStr">
        <is>
          <t>After these things Yahweh’s word came to Abram in a vision, saying, “Don’t be afraid, Abram. I am your shield, your exceedingly great reward.”</t>
        </is>
      </c>
    </row>
    <row r="15">
      <c r="A15" s="13" t="n">
        <v>14</v>
      </c>
      <c r="B15" s="13" t="inlineStr">
        <is>
          <t>W0014</t>
        </is>
      </c>
      <c r="C15" s="13" t="inlineStr">
        <is>
          <t>구약</t>
        </is>
      </c>
      <c r="D15" s="13" t="n">
        <v>14</v>
      </c>
      <c r="E15" s="13">
        <f>C15&amp;"말씀 #"&amp;TEXT(D15,"000")</f>
        <v/>
      </c>
      <c r="F15" s="14" t="inlineStr">
        <is>
          <t>창세기</t>
        </is>
      </c>
      <c r="G15" s="14" t="inlineStr">
        <is>
          <t>15:6</t>
        </is>
      </c>
      <c r="H15" s="15" t="inlineStr">
        <is>
          <t>(창 15:6, 개역한글)</t>
        </is>
      </c>
      <c r="I15" s="14" t="inlineStr">
        <is>
          <t>믿음</t>
        </is>
      </c>
      <c r="J15" s="14" t="inlineStr">
        <is>
          <t>바위산·광야</t>
        </is>
      </c>
      <c r="K15" s="16" t="inlineStr">
        <is>
          <t>아브람이 여호와를 믿으니 여호와께서 이를 그의 의로 여기시고</t>
        </is>
      </c>
      <c r="L15" s="14" t="inlineStr">
        <is>
          <t>자동 입력</t>
        </is>
      </c>
      <c r="M15" s="14">
        <f>LEN(K15)</f>
        <v/>
      </c>
      <c r="N15" s="14">
        <f>IF(M15=0,"-",ROUND(3+M15/'안내'!$C$12,0))</f>
        <v/>
      </c>
      <c r="O15" s="15">
        <f>IF(K15="","(본문 입력 후 자동) | 창 15:6",IF(LEN(K15)&gt;28,LEFT(K15,28)&amp;"…",K15)&amp;" | 창 15:6")</f>
        <v/>
      </c>
      <c r="P15" s="15">
        <f>"#"&amp;SUBSTITUTE('안내'!$C$5," ","")&amp;" #성경구절 #말씀 #창세기 #믿음"</f>
        <v/>
      </c>
      <c r="Q15" s="15" t="inlineStr">
        <is>
          <t>성경 본문: 개역한글판</t>
        </is>
      </c>
      <c r="R15" s="17">
        <f>'안내'!$C$6+INT((D15-1)/'안내'!$C$7)</f>
        <v/>
      </c>
      <c r="S15" s="14">
        <f>IF(MOD(D15-1,'안내'!$C$7)=0,'안내'!$C$8,'안내'!$C$10)</f>
        <v/>
      </c>
      <c r="T15" s="14">
        <f>CHOOSE(WEEKDAY(R15,2),"월","화","수","목","금","토","일")</f>
        <v/>
      </c>
      <c r="U15" s="14" t="inlineStr">
        <is>
          <t>미착수</t>
        </is>
      </c>
      <c r="V15" s="14" t="inlineStr">
        <is>
          <t>미착수</t>
        </is>
      </c>
      <c r="W15" s="18" t="n"/>
      <c r="X15" s="18" t="n"/>
      <c r="Y15" s="15" t="n"/>
      <c r="Z15" s="15" t="inlineStr"/>
      <c r="AA15" s="15" t="inlineStr">
        <is>
          <t>He believed in Yahweh, who credited it to him for righteousness.</t>
        </is>
      </c>
    </row>
    <row r="16">
      <c r="A16" s="13" t="n">
        <v>15</v>
      </c>
      <c r="B16" s="13" t="inlineStr">
        <is>
          <t>W0015</t>
        </is>
      </c>
      <c r="C16" s="13" t="inlineStr">
        <is>
          <t>구약</t>
        </is>
      </c>
      <c r="D16" s="13" t="n">
        <v>15</v>
      </c>
      <c r="E16" s="13">
        <f>C16&amp;"말씀 #"&amp;TEXT(D16,"000")</f>
        <v/>
      </c>
      <c r="F16" s="14" t="inlineStr">
        <is>
          <t>창세기</t>
        </is>
      </c>
      <c r="G16" s="14" t="inlineStr">
        <is>
          <t>16:13</t>
        </is>
      </c>
      <c r="H16" s="15" t="inlineStr">
        <is>
          <t>(창 16:13, 개역한글)</t>
        </is>
      </c>
      <c r="I16" s="14" t="inlineStr">
        <is>
          <t>위로</t>
        </is>
      </c>
      <c r="J16" s="14" t="inlineStr">
        <is>
          <t>잔잔한 물</t>
        </is>
      </c>
      <c r="K16" s="16" t="inlineStr">
        <is>
          <t>하갈이 자기에게 이르신 여호와의 이름을 감찰하시는 하나님이라 하였으니 이는 내가 어떻게 여기서 나를 감찰하시는 하나님을 뵈었는고 함이라</t>
        </is>
      </c>
      <c r="L16" s="14" t="inlineStr">
        <is>
          <t>자동 입력 · 대조 필요</t>
        </is>
      </c>
      <c r="M16" s="14">
        <f>LEN(K16)</f>
        <v/>
      </c>
      <c r="N16" s="14">
        <f>IF(M16=0,"-",ROUND(3+M16/'안내'!$C$12,0))</f>
        <v/>
      </c>
      <c r="O16" s="15">
        <f>IF(K16="","(본문 입력 후 자동) | 창 16:13",IF(LEN(K16)&gt;28,LEFT(K16,28)&amp;"…",K16)&amp;" | 창 16:13")</f>
        <v/>
      </c>
      <c r="P16" s="15">
        <f>"#"&amp;SUBSTITUTE('안내'!$C$5," ","")&amp;" #성경구절 #말씀 #창세기 #위로"</f>
        <v/>
      </c>
      <c r="Q16" s="15" t="inlineStr">
        <is>
          <t>성경 본문: 개역한글판</t>
        </is>
      </c>
      <c r="R16" s="17">
        <f>'안내'!$C$6+INT((D16-1)/'안내'!$C$7)</f>
        <v/>
      </c>
      <c r="S16" s="14">
        <f>IF(MOD(D16-1,'안내'!$C$7)=0,'안내'!$C$8,'안내'!$C$10)</f>
        <v/>
      </c>
      <c r="T16" s="14">
        <f>CHOOSE(WEEKDAY(R16,2),"월","화","수","목","금","토","일")</f>
        <v/>
      </c>
      <c r="U16" s="14" t="inlineStr">
        <is>
          <t>미착수</t>
        </is>
      </c>
      <c r="V16" s="14" t="inlineStr">
        <is>
          <t>미착수</t>
        </is>
      </c>
      <c r="W16" s="18" t="n"/>
      <c r="X16" s="18" t="n"/>
      <c r="Y16" s="15" t="n"/>
      <c r="Z16" s="15" t="inlineStr">
        <is>
          <t>줄바꿈 띄어쓰기 확인</t>
        </is>
      </c>
      <c r="AA16" s="15" t="inlineStr">
        <is>
          <t>She called the name of Yahweh who spoke to her, “You are a God who sees,” for she said, “Have I even stayed alive after seeing him?”</t>
        </is>
      </c>
    </row>
    <row r="17">
      <c r="A17" s="13" t="n">
        <v>16</v>
      </c>
      <c r="B17" s="13" t="inlineStr">
        <is>
          <t>W0016</t>
        </is>
      </c>
      <c r="C17" s="13" t="inlineStr">
        <is>
          <t>구약</t>
        </is>
      </c>
      <c r="D17" s="13" t="n">
        <v>16</v>
      </c>
      <c r="E17" s="13">
        <f>C17&amp;"말씀 #"&amp;TEXT(D17,"000")</f>
        <v/>
      </c>
      <c r="F17" s="14" t="inlineStr">
        <is>
          <t>창세기</t>
        </is>
      </c>
      <c r="G17" s="14" t="inlineStr">
        <is>
          <t>18:14</t>
        </is>
      </c>
      <c r="H17" s="15" t="inlineStr">
        <is>
          <t>(창 18:14, 개역한글)</t>
        </is>
      </c>
      <c r="I17" s="14" t="inlineStr">
        <is>
          <t>능력</t>
        </is>
      </c>
      <c r="J17" s="14" t="inlineStr">
        <is>
          <t>바위산·광야</t>
        </is>
      </c>
      <c r="K17" s="16" t="inlineStr">
        <is>
          <t>여호와께 능치 못한 일이 있겠느냐 기한이 이를 때에 내가 네게로 돌아오리니 사라에게 아들이 있으리라</t>
        </is>
      </c>
      <c r="L17" s="14" t="inlineStr">
        <is>
          <t>자동 입력</t>
        </is>
      </c>
      <c r="M17" s="14">
        <f>LEN(K17)</f>
        <v/>
      </c>
      <c r="N17" s="14">
        <f>IF(M17=0,"-",ROUND(3+M17/'안내'!$C$12,0))</f>
        <v/>
      </c>
      <c r="O17" s="15">
        <f>IF(K17="","(본문 입력 후 자동) | 창 18:14",IF(LEN(K17)&gt;28,LEFT(K17,28)&amp;"…",K17)&amp;" | 창 18:14")</f>
        <v/>
      </c>
      <c r="P17" s="15">
        <f>"#"&amp;SUBSTITUTE('안내'!$C$5," ","")&amp;" #성경구절 #말씀 #창세기 #능력"</f>
        <v/>
      </c>
      <c r="Q17" s="15" t="inlineStr">
        <is>
          <t>성경 본문: 개역한글판</t>
        </is>
      </c>
      <c r="R17" s="17">
        <f>'안내'!$C$6+INT((D17-1)/'안내'!$C$7)</f>
        <v/>
      </c>
      <c r="S17" s="14">
        <f>IF(MOD(D17-1,'안내'!$C$7)=0,'안내'!$C$8,'안내'!$C$10)</f>
        <v/>
      </c>
      <c r="T17" s="14">
        <f>CHOOSE(WEEKDAY(R17,2),"월","화","수","목","금","토","일")</f>
        <v/>
      </c>
      <c r="U17" s="14" t="inlineStr">
        <is>
          <t>미착수</t>
        </is>
      </c>
      <c r="V17" s="14" t="inlineStr">
        <is>
          <t>미착수</t>
        </is>
      </c>
      <c r="W17" s="18" t="n"/>
      <c r="X17" s="18" t="n"/>
      <c r="Y17" s="15" t="n"/>
      <c r="Z17" s="15" t="inlineStr"/>
      <c r="AA17" s="15" t="inlineStr">
        <is>
          <t>Is anything too hard for Yahweh? At the set time I will return to you, when the season comes around, and Sarah will have a son.”</t>
        </is>
      </c>
    </row>
    <row r="18">
      <c r="A18" s="13" t="n">
        <v>17</v>
      </c>
      <c r="B18" s="13" t="inlineStr">
        <is>
          <t>W0017</t>
        </is>
      </c>
      <c r="C18" s="13" t="inlineStr">
        <is>
          <t>구약</t>
        </is>
      </c>
      <c r="D18" s="13" t="n">
        <v>17</v>
      </c>
      <c r="E18" s="13">
        <f>C18&amp;"말씀 #"&amp;TEXT(D18,"000")</f>
        <v/>
      </c>
      <c r="F18" s="14" t="inlineStr">
        <is>
          <t>창세기</t>
        </is>
      </c>
      <c r="G18" s="14" t="inlineStr">
        <is>
          <t>22:8</t>
        </is>
      </c>
      <c r="H18" s="15" t="inlineStr">
        <is>
          <t>(창 22:8, 개역한글)</t>
        </is>
      </c>
      <c r="I18" s="14" t="inlineStr">
        <is>
          <t>믿음</t>
        </is>
      </c>
      <c r="J18" s="14" t="inlineStr">
        <is>
          <t>바위산·광야</t>
        </is>
      </c>
      <c r="K18" s="16" t="inlineStr">
        <is>
          <t>아브라함이 가로되 아들아 번제할 어린 양은 하나님이 자기를 위하여 친히 준비하시리라 하고 두 사람이 함께 나아가서</t>
        </is>
      </c>
      <c r="L18" s="14" t="inlineStr">
        <is>
          <t>자동 입력</t>
        </is>
      </c>
      <c r="M18" s="14">
        <f>LEN(K18)</f>
        <v/>
      </c>
      <c r="N18" s="14">
        <f>IF(M18=0,"-",ROUND(3+M18/'안내'!$C$12,0))</f>
        <v/>
      </c>
      <c r="O18" s="15">
        <f>IF(K18="","(본문 입력 후 자동) | 창 22:8",IF(LEN(K18)&gt;28,LEFT(K18,28)&amp;"…",K18)&amp;" | 창 22:8")</f>
        <v/>
      </c>
      <c r="P18" s="15">
        <f>"#"&amp;SUBSTITUTE('안내'!$C$5," ","")&amp;" #성경구절 #말씀 #창세기 #믿음"</f>
        <v/>
      </c>
      <c r="Q18" s="15" t="inlineStr">
        <is>
          <t>성경 본문: 개역한글판</t>
        </is>
      </c>
      <c r="R18" s="17">
        <f>'안내'!$C$6+INT((D18-1)/'안내'!$C$7)</f>
        <v/>
      </c>
      <c r="S18" s="14">
        <f>IF(MOD(D18-1,'안내'!$C$7)=0,'안내'!$C$8,'안내'!$C$10)</f>
        <v/>
      </c>
      <c r="T18" s="14">
        <f>CHOOSE(WEEKDAY(R18,2),"월","화","수","목","금","토","일")</f>
        <v/>
      </c>
      <c r="U18" s="14" t="inlineStr">
        <is>
          <t>미착수</t>
        </is>
      </c>
      <c r="V18" s="14" t="inlineStr">
        <is>
          <t>미착수</t>
        </is>
      </c>
      <c r="W18" s="18" t="n"/>
      <c r="X18" s="18" t="n"/>
      <c r="Y18" s="15" t="n"/>
      <c r="Z18" s="15" t="inlineStr"/>
      <c r="AA18" s="15" t="inlineStr">
        <is>
          <t>Abraham said, “God will provide him- self the lamb for a burnt offering, my son.” So they both went together.</t>
        </is>
      </c>
    </row>
    <row r="19">
      <c r="A19" s="13" t="n">
        <v>18</v>
      </c>
      <c r="B19" s="13" t="inlineStr">
        <is>
          <t>W0018</t>
        </is>
      </c>
      <c r="C19" s="13" t="inlineStr">
        <is>
          <t>구약</t>
        </is>
      </c>
      <c r="D19" s="13" t="n">
        <v>18</v>
      </c>
      <c r="E19" s="13">
        <f>C19&amp;"말씀 #"&amp;TEXT(D19,"000")</f>
        <v/>
      </c>
      <c r="F19" s="14" t="inlineStr">
        <is>
          <t>창세기</t>
        </is>
      </c>
      <c r="G19" s="14" t="inlineStr">
        <is>
          <t>22:14</t>
        </is>
      </c>
      <c r="H19" s="15" t="inlineStr">
        <is>
          <t>(창 22:14, 개역한글)</t>
        </is>
      </c>
      <c r="I19" s="14" t="inlineStr">
        <is>
          <t>공급하심</t>
        </is>
      </c>
      <c r="J19" s="14" t="inlineStr">
        <is>
          <t>들판·나무</t>
        </is>
      </c>
      <c r="K19" s="16" t="inlineStr">
        <is>
          <t>아브라함이 그 땅 이름을 여호와이레라 하였으므로 오늘까지 사람들이 이르기를 여호와의 산에서 준비되리라 하더라</t>
        </is>
      </c>
      <c r="L19" s="14" t="inlineStr">
        <is>
          <t>자동 입력 · 대조 필요</t>
        </is>
      </c>
      <c r="M19" s="14">
        <f>LEN(K19)</f>
        <v/>
      </c>
      <c r="N19" s="14">
        <f>IF(M19=0,"-",ROUND(3+M19/'안내'!$C$12,0))</f>
        <v/>
      </c>
      <c r="O19" s="15">
        <f>IF(K19="","(본문 입력 후 자동) | 창 22:14",IF(LEN(K19)&gt;28,LEFT(K19,28)&amp;"…",K19)&amp;" | 창 22:14")</f>
        <v/>
      </c>
      <c r="P19" s="15">
        <f>"#"&amp;SUBSTITUTE('안내'!$C$5," ","")&amp;" #성경구절 #말씀 #창세기 #공급하심"</f>
        <v/>
      </c>
      <c r="Q19" s="15" t="inlineStr">
        <is>
          <t>성경 본문: 개역한글판</t>
        </is>
      </c>
      <c r="R19" s="17">
        <f>'안내'!$C$6+INT((D19-1)/'안내'!$C$7)</f>
        <v/>
      </c>
      <c r="S19" s="14">
        <f>IF(MOD(D19-1,'안내'!$C$7)=0,'안내'!$C$8,'안내'!$C$10)</f>
        <v/>
      </c>
      <c r="T19" s="14">
        <f>CHOOSE(WEEKDAY(R19,2),"월","화","수","목","금","토","일")</f>
        <v/>
      </c>
      <c r="U19" s="14" t="inlineStr">
        <is>
          <t>미착수</t>
        </is>
      </c>
      <c r="V19" s="14" t="inlineStr">
        <is>
          <t>미착수</t>
        </is>
      </c>
      <c r="W19" s="18" t="n"/>
      <c r="X19" s="18" t="n"/>
      <c r="Y19" s="15" t="n"/>
      <c r="Z19" s="15" t="inlineStr">
        <is>
          <t>줄바꿈 띄어쓰기 확인</t>
        </is>
      </c>
      <c r="AA19" s="15" t="inlineStr">
        <is>
          <t>Abraham called the name of that place “Yahweh Will Provide”. As it is said to this day, “On Yahweh’s mountain, it will be provided.”</t>
        </is>
      </c>
    </row>
    <row r="20">
      <c r="A20" s="13" t="n">
        <v>19</v>
      </c>
      <c r="B20" s="13" t="inlineStr">
        <is>
          <t>W0019</t>
        </is>
      </c>
      <c r="C20" s="13" t="inlineStr">
        <is>
          <t>구약</t>
        </is>
      </c>
      <c r="D20" s="13" t="n">
        <v>19</v>
      </c>
      <c r="E20" s="13">
        <f>C20&amp;"말씀 #"&amp;TEXT(D20,"000")</f>
        <v/>
      </c>
      <c r="F20" s="14" t="inlineStr">
        <is>
          <t>창세기</t>
        </is>
      </c>
      <c r="G20" s="14" t="inlineStr">
        <is>
          <t>28:15</t>
        </is>
      </c>
      <c r="H20" s="15" t="inlineStr">
        <is>
          <t>(창 28:15, 개역한글)</t>
        </is>
      </c>
      <c r="I20" s="14" t="inlineStr">
        <is>
          <t>동행</t>
        </is>
      </c>
      <c r="J20" s="14" t="inlineStr">
        <is>
          <t>길·등불</t>
        </is>
      </c>
      <c r="K20" s="16" t="inlineStr">
        <is>
          <t>내가 너와 함께 있어 네가 어디로 가든지 너를 지키며 너를 이끌어 이 땅으로 돌아오게 할지라 내가 네게 허락한 것을 다 이루기까지 너를 떠나지 아니하리라 하신지라</t>
        </is>
      </c>
      <c r="L20" s="14" t="inlineStr">
        <is>
          <t>자동 입력 · 대조 필요</t>
        </is>
      </c>
      <c r="M20" s="14">
        <f>LEN(K20)</f>
        <v/>
      </c>
      <c r="N20" s="14">
        <f>IF(M20=0,"-",ROUND(3+M20/'안내'!$C$12,0))</f>
        <v/>
      </c>
      <c r="O20" s="15">
        <f>IF(K20="","(본문 입력 후 자동) | 창 28:15",IF(LEN(K20)&gt;28,LEFT(K20,28)&amp;"…",K20)&amp;" | 창 28:15")</f>
        <v/>
      </c>
      <c r="P20" s="15">
        <f>"#"&amp;SUBSTITUTE('안내'!$C$5," ","")&amp;" #성경구절 #말씀 #창세기 #동행"</f>
        <v/>
      </c>
      <c r="Q20" s="15" t="inlineStr">
        <is>
          <t>성경 본문: 개역한글판</t>
        </is>
      </c>
      <c r="R20" s="17">
        <f>'안내'!$C$6+INT((D20-1)/'안내'!$C$7)</f>
        <v/>
      </c>
      <c r="S20" s="14">
        <f>IF(MOD(D20-1,'안내'!$C$7)=0,'안내'!$C$8,'안내'!$C$10)</f>
        <v/>
      </c>
      <c r="T20" s="14">
        <f>CHOOSE(WEEKDAY(R20,2),"월","화","수","목","금","토","일")</f>
        <v/>
      </c>
      <c r="U20" s="14" t="inlineStr">
        <is>
          <t>미착수</t>
        </is>
      </c>
      <c r="V20" s="14" t="inlineStr">
        <is>
          <t>미착수</t>
        </is>
      </c>
      <c r="W20" s="18" t="n"/>
      <c r="X20" s="18" t="n"/>
      <c r="Y20" s="15" t="n"/>
      <c r="Z20" s="15" t="inlineStr">
        <is>
          <t>줄바꿈 띄어쓰기 확인</t>
        </is>
      </c>
      <c r="AA20" s="15" t="inlineStr">
        <is>
          <t>Behold, I am with you, and will keep you, wherever you go, and will bring you again into this land. For I will not leave you until I have done that which I have spoken of to you.”</t>
        </is>
      </c>
    </row>
    <row r="21">
      <c r="A21" s="13" t="n">
        <v>20</v>
      </c>
      <c r="B21" s="13" t="inlineStr">
        <is>
          <t>W0020</t>
        </is>
      </c>
      <c r="C21" s="13" t="inlineStr">
        <is>
          <t>구약</t>
        </is>
      </c>
      <c r="D21" s="13" t="n">
        <v>20</v>
      </c>
      <c r="E21" s="13">
        <f>C21&amp;"말씀 #"&amp;TEXT(D21,"000")</f>
        <v/>
      </c>
      <c r="F21" s="14" t="inlineStr">
        <is>
          <t>창세기</t>
        </is>
      </c>
      <c r="G21" s="14" t="inlineStr">
        <is>
          <t>28:16</t>
        </is>
      </c>
      <c r="H21" s="15" t="inlineStr">
        <is>
          <t>(창 28:16, 개역한글)</t>
        </is>
      </c>
      <c r="I21" s="14" t="inlineStr">
        <is>
          <t>임재</t>
        </is>
      </c>
      <c r="J21" s="14" t="inlineStr">
        <is>
          <t>하늘·별</t>
        </is>
      </c>
      <c r="K21" s="16" t="inlineStr">
        <is>
          <t>야곱이 잠이 깨어 가로되 여호와께서 과연 여기 계시거늘 내가 알지 못하였도다</t>
        </is>
      </c>
      <c r="L21" s="14" t="inlineStr">
        <is>
          <t>자동 입력</t>
        </is>
      </c>
      <c r="M21" s="14">
        <f>LEN(K21)</f>
        <v/>
      </c>
      <c r="N21" s="14">
        <f>IF(M21=0,"-",ROUND(3+M21/'안내'!$C$12,0))</f>
        <v/>
      </c>
      <c r="O21" s="15">
        <f>IF(K21="","(본문 입력 후 자동) | 창 28:16",IF(LEN(K21)&gt;28,LEFT(K21,28)&amp;"…",K21)&amp;" | 창 28:16")</f>
        <v/>
      </c>
      <c r="P21" s="15">
        <f>"#"&amp;SUBSTITUTE('안내'!$C$5," ","")&amp;" #성경구절 #말씀 #창세기 #임재"</f>
        <v/>
      </c>
      <c r="Q21" s="15" t="inlineStr">
        <is>
          <t>성경 본문: 개역한글판</t>
        </is>
      </c>
      <c r="R21" s="17">
        <f>'안내'!$C$6+INT((D21-1)/'안내'!$C$7)</f>
        <v/>
      </c>
      <c r="S21" s="14">
        <f>IF(MOD(D21-1,'안내'!$C$7)=0,'안내'!$C$8,'안내'!$C$10)</f>
        <v/>
      </c>
      <c r="T21" s="14">
        <f>CHOOSE(WEEKDAY(R21,2),"월","화","수","목","금","토","일")</f>
        <v/>
      </c>
      <c r="U21" s="14" t="inlineStr">
        <is>
          <t>미착수</t>
        </is>
      </c>
      <c r="V21" s="14" t="inlineStr">
        <is>
          <t>미착수</t>
        </is>
      </c>
      <c r="W21" s="18" t="n"/>
      <c r="X21" s="18" t="n"/>
      <c r="Y21" s="15" t="n"/>
      <c r="Z21" s="15" t="inlineStr"/>
      <c r="AA21" s="15" t="inlineStr">
        <is>
          <t>Jacob awakened out of his sleep, and he said, “Surely Yahweh is in this place, and I didn’t know it.”</t>
        </is>
      </c>
    </row>
    <row r="22">
      <c r="A22" s="13" t="n">
        <v>21</v>
      </c>
      <c r="B22" s="13" t="inlineStr">
        <is>
          <t>W0021</t>
        </is>
      </c>
      <c r="C22" s="13" t="inlineStr">
        <is>
          <t>구약</t>
        </is>
      </c>
      <c r="D22" s="13" t="n">
        <v>21</v>
      </c>
      <c r="E22" s="13">
        <f>C22&amp;"말씀 #"&amp;TEXT(D22,"000")</f>
        <v/>
      </c>
      <c r="F22" s="14" t="inlineStr">
        <is>
          <t>창세기</t>
        </is>
      </c>
      <c r="G22" s="14" t="inlineStr">
        <is>
          <t>32:28</t>
        </is>
      </c>
      <c r="H22" s="15" t="inlineStr">
        <is>
          <t>(창 32:28, 개역한글)</t>
        </is>
      </c>
      <c r="I22" s="14" t="inlineStr">
        <is>
          <t>기도</t>
        </is>
      </c>
      <c r="J22" s="14" t="inlineStr">
        <is>
          <t>제단·십자가</t>
        </is>
      </c>
      <c r="K22" s="16" t="inlineStr">
        <is>
          <t>그 사람이 가로되 네 이름을 다시는 야곱이라 부를 것이 아니요 이스라엘이라 부를 것이니 이는 네가 하나님과 사람으로 더불어 겨루어 이기었음이니라</t>
        </is>
      </c>
      <c r="L22" s="14" t="inlineStr">
        <is>
          <t>자동 입력</t>
        </is>
      </c>
      <c r="M22" s="14">
        <f>LEN(K22)</f>
        <v/>
      </c>
      <c r="N22" s="14">
        <f>IF(M22=0,"-",ROUND(3+M22/'안내'!$C$12,0))</f>
        <v/>
      </c>
      <c r="O22" s="15">
        <f>IF(K22="","(본문 입력 후 자동) | 창 32:28",IF(LEN(K22)&gt;28,LEFT(K22,28)&amp;"…",K22)&amp;" | 창 32:28")</f>
        <v/>
      </c>
      <c r="P22" s="15">
        <f>"#"&amp;SUBSTITUTE('안내'!$C$5," ","")&amp;" #성경구절 #말씀 #창세기 #기도"</f>
        <v/>
      </c>
      <c r="Q22" s="15" t="inlineStr">
        <is>
          <t>성경 본문: 개역한글판</t>
        </is>
      </c>
      <c r="R22" s="17">
        <f>'안내'!$C$6+INT((D22-1)/'안내'!$C$7)</f>
        <v/>
      </c>
      <c r="S22" s="14">
        <f>IF(MOD(D22-1,'안내'!$C$7)=0,'안내'!$C$8,'안내'!$C$10)</f>
        <v/>
      </c>
      <c r="T22" s="14">
        <f>CHOOSE(WEEKDAY(R22,2),"월","화","수","목","금","토","일")</f>
        <v/>
      </c>
      <c r="U22" s="14" t="inlineStr">
        <is>
          <t>미착수</t>
        </is>
      </c>
      <c r="V22" s="14" t="inlineStr">
        <is>
          <t>미착수</t>
        </is>
      </c>
      <c r="W22" s="18" t="n"/>
      <c r="X22" s="18" t="n"/>
      <c r="Y22" s="15" t="n"/>
      <c r="Z22" s="15" t="inlineStr"/>
      <c r="AA22" s="15" t="inlineStr">
        <is>
          <t>He said, “Your name will no longer be called Jacob, but Israel; for you have fought with God and with men, and have prevailed.”</t>
        </is>
      </c>
    </row>
    <row r="23">
      <c r="A23" s="13" t="n">
        <v>22</v>
      </c>
      <c r="B23" s="13" t="inlineStr">
        <is>
          <t>W0022</t>
        </is>
      </c>
      <c r="C23" s="13" t="inlineStr">
        <is>
          <t>구약</t>
        </is>
      </c>
      <c r="D23" s="13" t="n">
        <v>22</v>
      </c>
      <c r="E23" s="13">
        <f>C23&amp;"말씀 #"&amp;TEXT(D23,"000")</f>
        <v/>
      </c>
      <c r="F23" s="14" t="inlineStr">
        <is>
          <t>창세기</t>
        </is>
      </c>
      <c r="G23" s="14" t="inlineStr">
        <is>
          <t>39:2</t>
        </is>
      </c>
      <c r="H23" s="15" t="inlineStr">
        <is>
          <t>(창 39:2, 개역한글)</t>
        </is>
      </c>
      <c r="I23" s="14" t="inlineStr">
        <is>
          <t>동행</t>
        </is>
      </c>
      <c r="J23" s="14" t="inlineStr">
        <is>
          <t>길·등불</t>
        </is>
      </c>
      <c r="K23" s="16" t="inlineStr">
        <is>
          <t>여호와께서 요셉과 함께 하시므로 그가 형통한 자가 되어 그 주인 애굽 사람의 집에 있으니</t>
        </is>
      </c>
      <c r="L23" s="14" t="inlineStr">
        <is>
          <t>자동 입력</t>
        </is>
      </c>
      <c r="M23" s="14">
        <f>LEN(K23)</f>
        <v/>
      </c>
      <c r="N23" s="14">
        <f>IF(M23=0,"-",ROUND(3+M23/'안내'!$C$12,0))</f>
        <v/>
      </c>
      <c r="O23" s="15">
        <f>IF(K23="","(본문 입력 후 자동) | 창 39:2",IF(LEN(K23)&gt;28,LEFT(K23,28)&amp;"…",K23)&amp;" | 창 39:2")</f>
        <v/>
      </c>
      <c r="P23" s="15">
        <f>"#"&amp;SUBSTITUTE('안내'!$C$5," ","")&amp;" #성경구절 #말씀 #창세기 #동행"</f>
        <v/>
      </c>
      <c r="Q23" s="15" t="inlineStr">
        <is>
          <t>성경 본문: 개역한글판</t>
        </is>
      </c>
      <c r="R23" s="17">
        <f>'안내'!$C$6+INT((D23-1)/'안내'!$C$7)</f>
        <v/>
      </c>
      <c r="S23" s="14">
        <f>IF(MOD(D23-1,'안내'!$C$7)=0,'안내'!$C$8,'안내'!$C$10)</f>
        <v/>
      </c>
      <c r="T23" s="14">
        <f>CHOOSE(WEEKDAY(R23,2),"월","화","수","목","금","토","일")</f>
        <v/>
      </c>
      <c r="U23" s="14" t="inlineStr">
        <is>
          <t>미착수</t>
        </is>
      </c>
      <c r="V23" s="14" t="inlineStr">
        <is>
          <t>미착수</t>
        </is>
      </c>
      <c r="W23" s="18" t="n"/>
      <c r="X23" s="18" t="n"/>
      <c r="Y23" s="15" t="n"/>
      <c r="Z23" s="15" t="inlineStr"/>
      <c r="AA23" s="15" t="inlineStr">
        <is>
          <t>Yahweh was with Joseph, and he was a prosperous man. He was in the house of his master the Egyptian.</t>
        </is>
      </c>
    </row>
    <row r="24">
      <c r="A24" s="13" t="n">
        <v>23</v>
      </c>
      <c r="B24" s="13" t="inlineStr">
        <is>
          <t>W0023</t>
        </is>
      </c>
      <c r="C24" s="13" t="inlineStr">
        <is>
          <t>구약</t>
        </is>
      </c>
      <c r="D24" s="13" t="n">
        <v>23</v>
      </c>
      <c r="E24" s="13">
        <f>C24&amp;"말씀 #"&amp;TEXT(D24,"000")</f>
        <v/>
      </c>
      <c r="F24" s="14" t="inlineStr">
        <is>
          <t>창세기</t>
        </is>
      </c>
      <c r="G24" s="14" t="inlineStr">
        <is>
          <t>50:20</t>
        </is>
      </c>
      <c r="H24" s="15" t="inlineStr">
        <is>
          <t>(창 50:20, 개역한글)</t>
        </is>
      </c>
      <c r="I24" s="14" t="inlineStr">
        <is>
          <t>섭리</t>
        </is>
      </c>
      <c r="J24" s="14" t="inlineStr">
        <is>
          <t>하늘·별</t>
        </is>
      </c>
      <c r="K24" s="16" t="inlineStr">
        <is>
          <t>당신들은 나를 해하려 하였으나 하나님은 그것을 선으로 바꾸사 오늘과 같이 만민의 생명을 구원하게 하시려 하셨나니</t>
        </is>
      </c>
      <c r="L24" s="14" t="inlineStr">
        <is>
          <t>자동 입력</t>
        </is>
      </c>
      <c r="M24" s="14">
        <f>LEN(K24)</f>
        <v/>
      </c>
      <c r="N24" s="14">
        <f>IF(M24=0,"-",ROUND(3+M24/'안내'!$C$12,0))</f>
        <v/>
      </c>
      <c r="O24" s="15">
        <f>IF(K24="","(본문 입력 후 자동) | 창 50:20",IF(LEN(K24)&gt;28,LEFT(K24,28)&amp;"…",K24)&amp;" | 창 50:20")</f>
        <v/>
      </c>
      <c r="P24" s="15">
        <f>"#"&amp;SUBSTITUTE('안내'!$C$5," ","")&amp;" #성경구절 #말씀 #창세기 #섭리"</f>
        <v/>
      </c>
      <c r="Q24" s="15" t="inlineStr">
        <is>
          <t>성경 본문: 개역한글판</t>
        </is>
      </c>
      <c r="R24" s="17">
        <f>'안내'!$C$6+INT((D24-1)/'안내'!$C$7)</f>
        <v/>
      </c>
      <c r="S24" s="14">
        <f>IF(MOD(D24-1,'안내'!$C$7)=0,'안내'!$C$8,'안내'!$C$10)</f>
        <v/>
      </c>
      <c r="T24" s="14">
        <f>CHOOSE(WEEKDAY(R24,2),"월","화","수","목","금","토","일")</f>
        <v/>
      </c>
      <c r="U24" s="14" t="inlineStr">
        <is>
          <t>미착수</t>
        </is>
      </c>
      <c r="V24" s="14" t="inlineStr">
        <is>
          <t>미착수</t>
        </is>
      </c>
      <c r="W24" s="18" t="n"/>
      <c r="X24" s="18" t="n"/>
      <c r="Y24" s="15" t="n"/>
      <c r="Z24" s="15" t="inlineStr"/>
      <c r="AA24" s="15" t="inlineStr">
        <is>
          <t>As for you, you meant evil against me, but God meant it for good, to save many people alive, as is happening today.</t>
        </is>
      </c>
    </row>
    <row r="25">
      <c r="A25" s="13" t="n">
        <v>24</v>
      </c>
      <c r="B25" s="13" t="inlineStr">
        <is>
          <t>W0024</t>
        </is>
      </c>
      <c r="C25" s="13" t="inlineStr">
        <is>
          <t>구약</t>
        </is>
      </c>
      <c r="D25" s="13" t="n">
        <v>24</v>
      </c>
      <c r="E25" s="13">
        <f>C25&amp;"말씀 #"&amp;TEXT(D25,"000")</f>
        <v/>
      </c>
      <c r="F25" s="14" t="inlineStr">
        <is>
          <t>출애굽기</t>
        </is>
      </c>
      <c r="G25" s="14" t="inlineStr">
        <is>
          <t>3:5</t>
        </is>
      </c>
      <c r="H25" s="15" t="inlineStr">
        <is>
          <t>(출 3:5, 개역한글)</t>
        </is>
      </c>
      <c r="I25" s="14" t="inlineStr">
        <is>
          <t>거룩</t>
        </is>
      </c>
      <c r="J25" s="14" t="inlineStr">
        <is>
          <t>하늘·별</t>
        </is>
      </c>
      <c r="K25" s="16" t="inlineStr">
        <is>
          <t>하나님이 가라사대 이리로 가까이 하지 말라 너의 선 곳은 거룩한 땅이니 네 발에서 신을 벗으라</t>
        </is>
      </c>
      <c r="L25" s="14" t="inlineStr">
        <is>
          <t>자동 입력</t>
        </is>
      </c>
      <c r="M25" s="14">
        <f>LEN(K25)</f>
        <v/>
      </c>
      <c r="N25" s="14">
        <f>IF(M25=0,"-",ROUND(3+M25/'안내'!$C$12,0))</f>
        <v/>
      </c>
      <c r="O25" s="15">
        <f>IF(K25="","(본문 입력 후 자동) | 출 3:5",IF(LEN(K25)&gt;28,LEFT(K25,28)&amp;"…",K25)&amp;" | 출 3:5")</f>
        <v/>
      </c>
      <c r="P25" s="15">
        <f>"#"&amp;SUBSTITUTE('안내'!$C$5," ","")&amp;" #성경구절 #말씀 #출애굽기 #거룩"</f>
        <v/>
      </c>
      <c r="Q25" s="15" t="inlineStr">
        <is>
          <t>성경 본문: 개역한글판</t>
        </is>
      </c>
      <c r="R25" s="17">
        <f>'안내'!$C$6+INT((D25-1)/'안내'!$C$7)</f>
        <v/>
      </c>
      <c r="S25" s="14">
        <f>IF(MOD(D25-1,'안내'!$C$7)=0,'안내'!$C$8,'안내'!$C$10)</f>
        <v/>
      </c>
      <c r="T25" s="14">
        <f>CHOOSE(WEEKDAY(R25,2),"월","화","수","목","금","토","일")</f>
        <v/>
      </c>
      <c r="U25" s="14" t="inlineStr">
        <is>
          <t>미착수</t>
        </is>
      </c>
      <c r="V25" s="14" t="inlineStr">
        <is>
          <t>미착수</t>
        </is>
      </c>
      <c r="W25" s="18" t="n"/>
      <c r="X25" s="18" t="n"/>
      <c r="Y25" s="15" t="n"/>
      <c r="Z25" s="15" t="inlineStr"/>
      <c r="AA25" s="15" t="inlineStr">
        <is>
          <t>He said, “Don’t come close. Take off your sandals, for the place you are standing on is holy ground.”</t>
        </is>
      </c>
    </row>
    <row r="26">
      <c r="A26" s="13" t="n">
        <v>25</v>
      </c>
      <c r="B26" s="13" t="inlineStr">
        <is>
          <t>W0025</t>
        </is>
      </c>
      <c r="C26" s="13" t="inlineStr">
        <is>
          <t>구약</t>
        </is>
      </c>
      <c r="D26" s="13" t="n">
        <v>25</v>
      </c>
      <c r="E26" s="13">
        <f>C26&amp;"말씀 #"&amp;TEXT(D26,"000")</f>
        <v/>
      </c>
      <c r="F26" s="14" t="inlineStr">
        <is>
          <t>출애굽기</t>
        </is>
      </c>
      <c r="G26" s="14" t="inlineStr">
        <is>
          <t>3:14</t>
        </is>
      </c>
      <c r="H26" s="15" t="inlineStr">
        <is>
          <t>(출 3:14, 개역한글)</t>
        </is>
      </c>
      <c r="I26" s="14" t="inlineStr">
        <is>
          <t>하나님</t>
        </is>
      </c>
      <c r="J26" s="14" t="inlineStr">
        <is>
          <t>하늘·별</t>
        </is>
      </c>
      <c r="K26" s="16" t="inlineStr">
        <is>
          <t>하나님이 모세에게 이르시되 나는 스스로 있는 자니라 또 이르시되 너는 이스라엘 자손에게 이같이 이르기를 스스로 있는 자가 나를 너희에게 보내셨다 하라</t>
        </is>
      </c>
      <c r="L26" s="14" t="inlineStr">
        <is>
          <t>자동 입력</t>
        </is>
      </c>
      <c r="M26" s="14">
        <f>LEN(K26)</f>
        <v/>
      </c>
      <c r="N26" s="14">
        <f>IF(M26=0,"-",ROUND(3+M26/'안내'!$C$12,0))</f>
        <v/>
      </c>
      <c r="O26" s="15">
        <f>IF(K26="","(본문 입력 후 자동) | 출 3:14",IF(LEN(K26)&gt;28,LEFT(K26,28)&amp;"…",K26)&amp;" | 출 3:14")</f>
        <v/>
      </c>
      <c r="P26" s="15">
        <f>"#"&amp;SUBSTITUTE('안내'!$C$5," ","")&amp;" #성경구절 #말씀 #출애굽기 #하나님"</f>
        <v/>
      </c>
      <c r="Q26" s="15" t="inlineStr">
        <is>
          <t>성경 본문: 개역한글판</t>
        </is>
      </c>
      <c r="R26" s="17">
        <f>'안내'!$C$6+INT((D26-1)/'안내'!$C$7)</f>
        <v/>
      </c>
      <c r="S26" s="14">
        <f>IF(MOD(D26-1,'안내'!$C$7)=0,'안내'!$C$8,'안내'!$C$10)</f>
        <v/>
      </c>
      <c r="T26" s="14">
        <f>CHOOSE(WEEKDAY(R26,2),"월","화","수","목","금","토","일")</f>
        <v/>
      </c>
      <c r="U26" s="14" t="inlineStr">
        <is>
          <t>미착수</t>
        </is>
      </c>
      <c r="V26" s="14" t="inlineStr">
        <is>
          <t>미착수</t>
        </is>
      </c>
      <c r="W26" s="18" t="n"/>
      <c r="X26" s="18" t="n"/>
      <c r="Y26" s="15" t="n"/>
      <c r="Z26" s="15" t="inlineStr"/>
      <c r="AA26" s="15" t="inlineStr">
        <is>
          <t>God said to Moses, “I AM WHO I AM,” and he said, “You shall tell the children of Israel this: ‘I AM has sent me to you.’ ”</t>
        </is>
      </c>
    </row>
    <row r="27">
      <c r="A27" s="13" t="n">
        <v>26</v>
      </c>
      <c r="B27" s="13" t="inlineStr">
        <is>
          <t>W0026</t>
        </is>
      </c>
      <c r="C27" s="13" t="inlineStr">
        <is>
          <t>구약</t>
        </is>
      </c>
      <c r="D27" s="13" t="n">
        <v>26</v>
      </c>
      <c r="E27" s="13">
        <f>C27&amp;"말씀 #"&amp;TEXT(D27,"000")</f>
        <v/>
      </c>
      <c r="F27" s="14" t="inlineStr">
        <is>
          <t>출애굽기</t>
        </is>
      </c>
      <c r="G27" s="14" t="inlineStr">
        <is>
          <t>4:12</t>
        </is>
      </c>
      <c r="H27" s="15" t="inlineStr">
        <is>
          <t>(출 4:12, 개역한글)</t>
        </is>
      </c>
      <c r="I27" s="14" t="inlineStr">
        <is>
          <t>인도</t>
        </is>
      </c>
      <c r="J27" s="14" t="inlineStr">
        <is>
          <t>길·등불</t>
        </is>
      </c>
      <c r="K27" s="16" t="inlineStr">
        <is>
          <t>이제 가라 내가 네 입과 함께 있어서 할 말을 가르치리라</t>
        </is>
      </c>
      <c r="L27" s="14" t="inlineStr">
        <is>
          <t>자동 입력</t>
        </is>
      </c>
      <c r="M27" s="14">
        <f>LEN(K27)</f>
        <v/>
      </c>
      <c r="N27" s="14">
        <f>IF(M27=0,"-",ROUND(3+M27/'안내'!$C$12,0))</f>
        <v/>
      </c>
      <c r="O27" s="15">
        <f>IF(K27="","(본문 입력 후 자동) | 출 4:12",IF(LEN(K27)&gt;28,LEFT(K27,28)&amp;"…",K27)&amp;" | 출 4:12")</f>
        <v/>
      </c>
      <c r="P27" s="15">
        <f>"#"&amp;SUBSTITUTE('안내'!$C$5," ","")&amp;" #성경구절 #말씀 #출애굽기 #인도"</f>
        <v/>
      </c>
      <c r="Q27" s="15" t="inlineStr">
        <is>
          <t>성경 본문: 개역한글판</t>
        </is>
      </c>
      <c r="R27" s="17">
        <f>'안내'!$C$6+INT((D27-1)/'안내'!$C$7)</f>
        <v/>
      </c>
      <c r="S27" s="14">
        <f>IF(MOD(D27-1,'안내'!$C$7)=0,'안내'!$C$8,'안내'!$C$10)</f>
        <v/>
      </c>
      <c r="T27" s="14">
        <f>CHOOSE(WEEKDAY(R27,2),"월","화","수","목","금","토","일")</f>
        <v/>
      </c>
      <c r="U27" s="14" t="inlineStr">
        <is>
          <t>미착수</t>
        </is>
      </c>
      <c r="V27" s="14" t="inlineStr">
        <is>
          <t>미착수</t>
        </is>
      </c>
      <c r="W27" s="18" t="n"/>
      <c r="X27" s="18" t="n"/>
      <c r="Y27" s="15" t="n"/>
      <c r="Z27" s="15" t="inlineStr"/>
      <c r="AA27" s="15" t="inlineStr">
        <is>
          <t>Now therefore go, and I will be with your mouth, and teach you what you shall speak.”</t>
        </is>
      </c>
    </row>
    <row r="28">
      <c r="A28" s="13" t="n">
        <v>27</v>
      </c>
      <c r="B28" s="13" t="inlineStr">
        <is>
          <t>W0027</t>
        </is>
      </c>
      <c r="C28" s="13" t="inlineStr">
        <is>
          <t>구약</t>
        </is>
      </c>
      <c r="D28" s="13" t="n">
        <v>27</v>
      </c>
      <c r="E28" s="13">
        <f>C28&amp;"말씀 #"&amp;TEXT(D28,"000")</f>
        <v/>
      </c>
      <c r="F28" s="14" t="inlineStr">
        <is>
          <t>출애굽기</t>
        </is>
      </c>
      <c r="G28" s="14" t="inlineStr">
        <is>
          <t>6:7</t>
        </is>
      </c>
      <c r="H28" s="15" t="inlineStr">
        <is>
          <t>(출 6:7, 개역한글)</t>
        </is>
      </c>
      <c r="I28" s="14" t="inlineStr">
        <is>
          <t>언약</t>
        </is>
      </c>
      <c r="J28" s="14" t="inlineStr">
        <is>
          <t>제단·십자가</t>
        </is>
      </c>
      <c r="K28" s="16" t="inlineStr">
        <is>
          <t>너희로 내 백성을 삼고 나는 너희 하나님이 되리니 나는 애굽 사람의 무거운 짐 밑에서 너희를 빼어낸 너희 하나님 여호와인 줄 너희가 알지라</t>
        </is>
      </c>
      <c r="L28" s="14" t="inlineStr">
        <is>
          <t>자동 입력</t>
        </is>
      </c>
      <c r="M28" s="14">
        <f>LEN(K28)</f>
        <v/>
      </c>
      <c r="N28" s="14">
        <f>IF(M28=0,"-",ROUND(3+M28/'안내'!$C$12,0))</f>
        <v/>
      </c>
      <c r="O28" s="15">
        <f>IF(K28="","(본문 입력 후 자동) | 출 6:7",IF(LEN(K28)&gt;28,LEFT(K28,28)&amp;"…",K28)&amp;" | 출 6:7")</f>
        <v/>
      </c>
      <c r="P28" s="15">
        <f>"#"&amp;SUBSTITUTE('안내'!$C$5," ","")&amp;" #성경구절 #말씀 #출애굽기 #언약"</f>
        <v/>
      </c>
      <c r="Q28" s="15" t="inlineStr">
        <is>
          <t>성경 본문: 개역한글판</t>
        </is>
      </c>
      <c r="R28" s="17">
        <f>'안내'!$C$6+INT((D28-1)/'안내'!$C$7)</f>
        <v/>
      </c>
      <c r="S28" s="14">
        <f>IF(MOD(D28-1,'안내'!$C$7)=0,'안내'!$C$8,'안내'!$C$10)</f>
        <v/>
      </c>
      <c r="T28" s="14">
        <f>CHOOSE(WEEKDAY(R28,2),"월","화","수","목","금","토","일")</f>
        <v/>
      </c>
      <c r="U28" s="14" t="inlineStr">
        <is>
          <t>미착수</t>
        </is>
      </c>
      <c r="V28" s="14" t="inlineStr">
        <is>
          <t>미착수</t>
        </is>
      </c>
      <c r="W28" s="18" t="n"/>
      <c r="X28" s="18" t="n"/>
      <c r="Y28" s="15" t="n"/>
      <c r="Z28" s="15" t="inlineStr"/>
      <c r="AA28" s="15" t="inlineStr">
        <is>
          <t>I will take you to myself for a people. I will be your God; and you shall know that I am Yahweh your God, who brings you out from under the burdens of the Egyptians.</t>
        </is>
      </c>
    </row>
    <row r="29">
      <c r="A29" s="13" t="n">
        <v>28</v>
      </c>
      <c r="B29" s="13" t="inlineStr">
        <is>
          <t>W0028</t>
        </is>
      </c>
      <c r="C29" s="13" t="inlineStr">
        <is>
          <t>구약</t>
        </is>
      </c>
      <c r="D29" s="13" t="n">
        <v>28</v>
      </c>
      <c r="E29" s="13">
        <f>C29&amp;"말씀 #"&amp;TEXT(D29,"000")</f>
        <v/>
      </c>
      <c r="F29" s="14" t="inlineStr">
        <is>
          <t>출애굽기</t>
        </is>
      </c>
      <c r="G29" s="14" t="inlineStr">
        <is>
          <t>12:13</t>
        </is>
      </c>
      <c r="H29" s="15" t="inlineStr">
        <is>
          <t>(출 12:13, 개역한글)</t>
        </is>
      </c>
      <c r="I29" s="14" t="inlineStr">
        <is>
          <t>구원</t>
        </is>
      </c>
      <c r="J29" s="14" t="inlineStr">
        <is>
          <t>제단·십자가</t>
        </is>
      </c>
      <c r="K29" s="16" t="inlineStr">
        <is>
          <t>내가 애굽 땅을 칠 때에 그 피가 너희의 거하는 집에 있어서 너희를 위하여 표적이 될지라 내가 피를 볼 때에 너희를 넘어가리니 재앙이 너희에게 내려 멸하지 아니하리라</t>
        </is>
      </c>
      <c r="L29" s="14" t="inlineStr">
        <is>
          <t>자동 입력</t>
        </is>
      </c>
      <c r="M29" s="14">
        <f>LEN(K29)</f>
        <v/>
      </c>
      <c r="N29" s="14">
        <f>IF(M29=0,"-",ROUND(3+M29/'안내'!$C$12,0))</f>
        <v/>
      </c>
      <c r="O29" s="15">
        <f>IF(K29="","(본문 입력 후 자동) | 출 12:13",IF(LEN(K29)&gt;28,LEFT(K29,28)&amp;"…",K29)&amp;" | 출 12:13")</f>
        <v/>
      </c>
      <c r="P29" s="15">
        <f>"#"&amp;SUBSTITUTE('안내'!$C$5," ","")&amp;" #성경구절 #말씀 #출애굽기 #구원"</f>
        <v/>
      </c>
      <c r="Q29" s="15" t="inlineStr">
        <is>
          <t>성경 본문: 개역한글판</t>
        </is>
      </c>
      <c r="R29" s="17">
        <f>'안내'!$C$6+INT((D29-1)/'안내'!$C$7)</f>
        <v/>
      </c>
      <c r="S29" s="14">
        <f>IF(MOD(D29-1,'안내'!$C$7)=0,'안내'!$C$8,'안내'!$C$10)</f>
        <v/>
      </c>
      <c r="T29" s="14">
        <f>CHOOSE(WEEKDAY(R29,2),"월","화","수","목","금","토","일")</f>
        <v/>
      </c>
      <c r="U29" s="14" t="inlineStr">
        <is>
          <t>미착수</t>
        </is>
      </c>
      <c r="V29" s="14" t="inlineStr">
        <is>
          <t>미착수</t>
        </is>
      </c>
      <c r="W29" s="18" t="n"/>
      <c r="X29" s="18" t="n"/>
      <c r="Y29" s="15" t="n"/>
      <c r="Z29" s="15" t="inlineStr"/>
      <c r="AA29" s="15" t="inlineStr">
        <is>
          <t>The blood shall be to you for a token on the houses where you are. When I see the blood, I will pass over you, and no plague will be on you to destroy you when I strike the land of Egypt.</t>
        </is>
      </c>
    </row>
    <row r="30">
      <c r="A30" s="13" t="n">
        <v>29</v>
      </c>
      <c r="B30" s="13" t="inlineStr">
        <is>
          <t>W0029</t>
        </is>
      </c>
      <c r="C30" s="13" t="inlineStr">
        <is>
          <t>구약</t>
        </is>
      </c>
      <c r="D30" s="13" t="n">
        <v>29</v>
      </c>
      <c r="E30" s="13">
        <f>C30&amp;"말씀 #"&amp;TEXT(D30,"000")</f>
        <v/>
      </c>
      <c r="F30" s="14" t="inlineStr">
        <is>
          <t>출애굽기</t>
        </is>
      </c>
      <c r="G30" s="14" t="inlineStr">
        <is>
          <t>14:13</t>
        </is>
      </c>
      <c r="H30" s="15" t="inlineStr">
        <is>
          <t>(출 14:13, 개역한글)</t>
        </is>
      </c>
      <c r="I30" s="14" t="inlineStr">
        <is>
          <t>구원</t>
        </is>
      </c>
      <c r="J30" s="14" t="inlineStr">
        <is>
          <t>제단·십자가</t>
        </is>
      </c>
      <c r="K30" s="16" t="inlineStr">
        <is>
          <t>모세가 백성에게 이르되 너희는 두려워 말고 가만히 서서 여호와께서 오늘날 너희를 위하여 행하시는 구원을 보라 너희가 오늘 본 애굽 사람을 또 다시는 영원히 보지 못하리라</t>
        </is>
      </c>
      <c r="L30" s="14" t="inlineStr">
        <is>
          <t>자동 입력</t>
        </is>
      </c>
      <c r="M30" s="14">
        <f>LEN(K30)</f>
        <v/>
      </c>
      <c r="N30" s="14">
        <f>IF(M30=0,"-",ROUND(3+M30/'안내'!$C$12,0))</f>
        <v/>
      </c>
      <c r="O30" s="15">
        <f>IF(K30="","(본문 입력 후 자동) | 출 14:13",IF(LEN(K30)&gt;28,LEFT(K30,28)&amp;"…",K30)&amp;" | 출 14:13")</f>
        <v/>
      </c>
      <c r="P30" s="15">
        <f>"#"&amp;SUBSTITUTE('안내'!$C$5," ","")&amp;" #성경구절 #말씀 #출애굽기 #구원"</f>
        <v/>
      </c>
      <c r="Q30" s="15" t="inlineStr">
        <is>
          <t>성경 본문: 개역한글판</t>
        </is>
      </c>
      <c r="R30" s="17">
        <f>'안내'!$C$6+INT((D30-1)/'안내'!$C$7)</f>
        <v/>
      </c>
      <c r="S30" s="14">
        <f>IF(MOD(D30-1,'안내'!$C$7)=0,'안내'!$C$8,'안내'!$C$10)</f>
        <v/>
      </c>
      <c r="T30" s="14">
        <f>CHOOSE(WEEKDAY(R30,2),"월","화","수","목","금","토","일")</f>
        <v/>
      </c>
      <c r="U30" s="14" t="inlineStr">
        <is>
          <t>미착수</t>
        </is>
      </c>
      <c r="V30" s="14" t="inlineStr">
        <is>
          <t>미착수</t>
        </is>
      </c>
      <c r="W30" s="18" t="n"/>
      <c r="X30" s="18" t="n"/>
      <c r="Y30" s="15" t="n"/>
      <c r="Z30" s="15" t="inlineStr"/>
      <c r="AA30" s="15" t="inlineStr">
        <is>
          <t>Moses said to the people, “Don’t be afraid. Stand still, and see the salvation of Yahweh, which he will work for you today; for you will never again see the Egyptians whom you have seen today.</t>
        </is>
      </c>
    </row>
    <row r="31">
      <c r="A31" s="13" t="n">
        <v>30</v>
      </c>
      <c r="B31" s="13" t="inlineStr">
        <is>
          <t>W0030</t>
        </is>
      </c>
      <c r="C31" s="13" t="inlineStr">
        <is>
          <t>구약</t>
        </is>
      </c>
      <c r="D31" s="13" t="n">
        <v>30</v>
      </c>
      <c r="E31" s="13">
        <f>C31&amp;"말씀 #"&amp;TEXT(D31,"000")</f>
        <v/>
      </c>
      <c r="F31" s="14" t="inlineStr">
        <is>
          <t>출애굽기</t>
        </is>
      </c>
      <c r="G31" s="14" t="inlineStr">
        <is>
          <t>14:14</t>
        </is>
      </c>
      <c r="H31" s="15" t="inlineStr">
        <is>
          <t>(출 14:14, 개역한글)</t>
        </is>
      </c>
      <c r="I31" s="14" t="inlineStr">
        <is>
          <t>능력</t>
        </is>
      </c>
      <c r="J31" s="14" t="inlineStr">
        <is>
          <t>바위산·광야</t>
        </is>
      </c>
      <c r="K31" s="16" t="inlineStr">
        <is>
          <t>여호와께서 너희를 위하여 싸우시리니 너희는 가만히 있을지니라</t>
        </is>
      </c>
      <c r="L31" s="14" t="inlineStr">
        <is>
          <t>자동 입력</t>
        </is>
      </c>
      <c r="M31" s="14">
        <f>LEN(K31)</f>
        <v/>
      </c>
      <c r="N31" s="14">
        <f>IF(M31=0,"-",ROUND(3+M31/'안내'!$C$12,0))</f>
        <v/>
      </c>
      <c r="O31" s="15">
        <f>IF(K31="","(본문 입력 후 자동) | 출 14:14",IF(LEN(K31)&gt;28,LEFT(K31,28)&amp;"…",K31)&amp;" | 출 14:14")</f>
        <v/>
      </c>
      <c r="P31" s="15">
        <f>"#"&amp;SUBSTITUTE('안내'!$C$5," ","")&amp;" #성경구절 #말씀 #출애굽기 #능력"</f>
        <v/>
      </c>
      <c r="Q31" s="15" t="inlineStr">
        <is>
          <t>성경 본문: 개역한글판</t>
        </is>
      </c>
      <c r="R31" s="17">
        <f>'안내'!$C$6+INT((D31-1)/'안내'!$C$7)</f>
        <v/>
      </c>
      <c r="S31" s="14">
        <f>IF(MOD(D31-1,'안내'!$C$7)=0,'안내'!$C$8,'안내'!$C$10)</f>
        <v/>
      </c>
      <c r="T31" s="14">
        <f>CHOOSE(WEEKDAY(R31,2),"월","화","수","목","금","토","일")</f>
        <v/>
      </c>
      <c r="U31" s="14" t="inlineStr">
        <is>
          <t>미착수</t>
        </is>
      </c>
      <c r="V31" s="14" t="inlineStr">
        <is>
          <t>미착수</t>
        </is>
      </c>
      <c r="W31" s="18" t="n"/>
      <c r="X31" s="18" t="n"/>
      <c r="Y31" s="15" t="n"/>
      <c r="Z31" s="15" t="inlineStr"/>
      <c r="AA31" s="15" t="inlineStr">
        <is>
          <t>Yahweh will fight for you, and you shall be still.”</t>
        </is>
      </c>
    </row>
    <row r="32">
      <c r="A32" s="13" t="n">
        <v>31</v>
      </c>
      <c r="B32" s="13" t="inlineStr">
        <is>
          <t>W0031</t>
        </is>
      </c>
      <c r="C32" s="13" t="inlineStr">
        <is>
          <t>구약</t>
        </is>
      </c>
      <c r="D32" s="13" t="n">
        <v>31</v>
      </c>
      <c r="E32" s="13">
        <f>C32&amp;"말씀 #"&amp;TEXT(D32,"000")</f>
        <v/>
      </c>
      <c r="F32" s="14" t="inlineStr">
        <is>
          <t>출애굽기</t>
        </is>
      </c>
      <c r="G32" s="14" t="inlineStr">
        <is>
          <t>15:2</t>
        </is>
      </c>
      <c r="H32" s="15" t="inlineStr">
        <is>
          <t>(출 15:2, 개역한글)</t>
        </is>
      </c>
      <c r="I32" s="14" t="inlineStr">
        <is>
          <t>찬양</t>
        </is>
      </c>
      <c r="J32" s="14" t="inlineStr">
        <is>
          <t>하늘·별</t>
        </is>
      </c>
      <c r="K32" s="16" t="inlineStr">
        <is>
          <t>여호와는 나의 힘이요 노래시며 나의 구원이시로다 그는 나의 하나님이시니 내가 그를 찬송할 것이요 내 아비의 하나님이시니 내가 그를 높이리로다</t>
        </is>
      </c>
      <c r="L32" s="14" t="inlineStr">
        <is>
          <t>자동 입력</t>
        </is>
      </c>
      <c r="M32" s="14">
        <f>LEN(K32)</f>
        <v/>
      </c>
      <c r="N32" s="14">
        <f>IF(M32=0,"-",ROUND(3+M32/'안내'!$C$12,0))</f>
        <v/>
      </c>
      <c r="O32" s="15">
        <f>IF(K32="","(본문 입력 후 자동) | 출 15:2",IF(LEN(K32)&gt;28,LEFT(K32,28)&amp;"…",K32)&amp;" | 출 15:2")</f>
        <v/>
      </c>
      <c r="P32" s="15">
        <f>"#"&amp;SUBSTITUTE('안내'!$C$5," ","")&amp;" #성경구절 #말씀 #출애굽기 #찬양"</f>
        <v/>
      </c>
      <c r="Q32" s="15" t="inlineStr">
        <is>
          <t>성경 본문: 개역한글판</t>
        </is>
      </c>
      <c r="R32" s="17">
        <f>'안내'!$C$6+INT((D32-1)/'안내'!$C$7)</f>
        <v/>
      </c>
      <c r="S32" s="14">
        <f>IF(MOD(D32-1,'안내'!$C$7)=0,'안내'!$C$8,'안내'!$C$10)</f>
        <v/>
      </c>
      <c r="T32" s="14">
        <f>CHOOSE(WEEKDAY(R32,2),"월","화","수","목","금","토","일")</f>
        <v/>
      </c>
      <c r="U32" s="14" t="inlineStr">
        <is>
          <t>미착수</t>
        </is>
      </c>
      <c r="V32" s="14" t="inlineStr">
        <is>
          <t>미착수</t>
        </is>
      </c>
      <c r="W32" s="18" t="n"/>
      <c r="X32" s="18" t="n"/>
      <c r="Y32" s="15" t="n"/>
      <c r="Z32" s="15" t="inlineStr"/>
      <c r="AA32" s="15" t="inlineStr">
        <is>
          <t>Yah is my strength and song. He has become my salvation. This is my God, and I will praise him; my father’s God, and I will exalt him.</t>
        </is>
      </c>
    </row>
    <row r="33">
      <c r="A33" s="13" t="n">
        <v>32</v>
      </c>
      <c r="B33" s="13" t="inlineStr">
        <is>
          <t>W0032</t>
        </is>
      </c>
      <c r="C33" s="13" t="inlineStr">
        <is>
          <t>구약</t>
        </is>
      </c>
      <c r="D33" s="13" t="n">
        <v>32</v>
      </c>
      <c r="E33" s="13">
        <f>C33&amp;"말씀 #"&amp;TEXT(D33,"000")</f>
        <v/>
      </c>
      <c r="F33" s="14" t="inlineStr">
        <is>
          <t>출애굽기</t>
        </is>
      </c>
      <c r="G33" s="14" t="inlineStr">
        <is>
          <t>15:26</t>
        </is>
      </c>
      <c r="H33" s="15" t="inlineStr">
        <is>
          <t>(출 15:26, 개역한글)</t>
        </is>
      </c>
      <c r="I33" s="14" t="inlineStr">
        <is>
          <t>치료</t>
        </is>
      </c>
      <c r="J33" s="14" t="inlineStr">
        <is>
          <t>잔잔한 물</t>
        </is>
      </c>
      <c r="K33" s="16" t="inlineStr">
        <is>
          <t>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t>
        </is>
      </c>
      <c r="L33" s="14" t="inlineStr">
        <is>
          <t>자동 입력 · 대조 필요</t>
        </is>
      </c>
      <c r="M33" s="14">
        <f>LEN(K33)</f>
        <v/>
      </c>
      <c r="N33" s="14">
        <f>IF(M33=0,"-",ROUND(3+M33/'안내'!$C$12,0))</f>
        <v/>
      </c>
      <c r="O33" s="15">
        <f>IF(K33="","(본문 입력 후 자동) | 출 15:26",IF(LEN(K33)&gt;28,LEFT(K33,28)&amp;"…",K33)&amp;" | 출 15:26")</f>
        <v/>
      </c>
      <c r="P33" s="15">
        <f>"#"&amp;SUBSTITUTE('안내'!$C$5," ","")&amp;" #성경구절 #말씀 #출애굽기 #치료"</f>
        <v/>
      </c>
      <c r="Q33" s="15" t="inlineStr">
        <is>
          <t>성경 본문: 개역한글판</t>
        </is>
      </c>
      <c r="R33" s="17">
        <f>'안내'!$C$6+INT((D33-1)/'안내'!$C$7)</f>
        <v/>
      </c>
      <c r="S33" s="14">
        <f>IF(MOD(D33-1,'안내'!$C$7)=0,'안내'!$C$8,'안내'!$C$10)</f>
        <v/>
      </c>
      <c r="T33" s="14">
        <f>CHOOSE(WEEKDAY(R33,2),"월","화","수","목","금","토","일")</f>
        <v/>
      </c>
      <c r="U33" s="14" t="inlineStr">
        <is>
          <t>미착수</t>
        </is>
      </c>
      <c r="V33" s="14" t="inlineStr">
        <is>
          <t>미착수</t>
        </is>
      </c>
      <c r="W33" s="18" t="n"/>
      <c r="X33" s="18" t="n"/>
      <c r="Y33" s="15" t="n"/>
      <c r="Z33" s="15" t="inlineStr">
        <is>
          <t>줄바꿈 띄어쓰기 확인</t>
        </is>
      </c>
      <c r="AA33" s="15" t="inlineStr">
        <is>
          <t>He said, “If you will diligently listen to Yahweh your God’s voice, and will do that which is right in his eyes, and will pay attention to his commandments, and keep all his statutes, I will put none of the diseases on you which I have put on the Egyptians; for I am Yahweh who heals you.”</t>
        </is>
      </c>
    </row>
    <row r="34">
      <c r="A34" s="13" t="n">
        <v>33</v>
      </c>
      <c r="B34" s="13" t="inlineStr">
        <is>
          <t>W0033</t>
        </is>
      </c>
      <c r="C34" s="13" t="inlineStr">
        <is>
          <t>구약</t>
        </is>
      </c>
      <c r="D34" s="13" t="n">
        <v>33</v>
      </c>
      <c r="E34" s="13">
        <f>C34&amp;"말씀 #"&amp;TEXT(D34,"000")</f>
        <v/>
      </c>
      <c r="F34" s="14" t="inlineStr">
        <is>
          <t>출애굽기</t>
        </is>
      </c>
      <c r="G34" s="14" t="inlineStr">
        <is>
          <t>16:4</t>
        </is>
      </c>
      <c r="H34" s="15" t="inlineStr">
        <is>
          <t>(출 16:4, 개역한글)</t>
        </is>
      </c>
      <c r="I34" s="14" t="inlineStr">
        <is>
          <t>공급하심</t>
        </is>
      </c>
      <c r="J34" s="14" t="inlineStr">
        <is>
          <t>들판·나무</t>
        </is>
      </c>
      <c r="K34" s="16" t="inlineStr">
        <is>
          <t>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t>
        </is>
      </c>
      <c r="L34" s="14" t="inlineStr">
        <is>
          <t>자동 입력</t>
        </is>
      </c>
      <c r="M34" s="14">
        <f>LEN(K34)</f>
        <v/>
      </c>
      <c r="N34" s="14">
        <f>IF(M34=0,"-",ROUND(3+M34/'안내'!$C$12,0))</f>
        <v/>
      </c>
      <c r="O34" s="15">
        <f>IF(K34="","(본문 입력 후 자동) | 출 16:4",IF(LEN(K34)&gt;28,LEFT(K34,28)&amp;"…",K34)&amp;" | 출 16:4")</f>
        <v/>
      </c>
      <c r="P34" s="15">
        <f>"#"&amp;SUBSTITUTE('안내'!$C$5," ","")&amp;" #성경구절 #말씀 #출애굽기 #공급하심"</f>
        <v/>
      </c>
      <c r="Q34" s="15" t="inlineStr">
        <is>
          <t>성경 본문: 개역한글판</t>
        </is>
      </c>
      <c r="R34" s="17">
        <f>'안내'!$C$6+INT((D34-1)/'안내'!$C$7)</f>
        <v/>
      </c>
      <c r="S34" s="14">
        <f>IF(MOD(D34-1,'안내'!$C$7)=0,'안내'!$C$8,'안내'!$C$10)</f>
        <v/>
      </c>
      <c r="T34" s="14">
        <f>CHOOSE(WEEKDAY(R34,2),"월","화","수","목","금","토","일")</f>
        <v/>
      </c>
      <c r="U34" s="14" t="inlineStr">
        <is>
          <t>미착수</t>
        </is>
      </c>
      <c r="V34" s="14" t="inlineStr">
        <is>
          <t>미착수</t>
        </is>
      </c>
      <c r="W34" s="18" t="n"/>
      <c r="X34" s="18" t="n"/>
      <c r="Y34" s="15" t="n"/>
      <c r="Z34" s="15" t="inlineStr"/>
      <c r="AA34" s="15" t="inlineStr">
        <is>
          <t>Then Yahweh said to Moses, “Behold, I will rain bread from the sky for you, and the people shall go out and gather a day’s portion every day, that I may test them, whether they will walk in my law or not.</t>
        </is>
      </c>
    </row>
    <row r="35">
      <c r="A35" s="13" t="n">
        <v>34</v>
      </c>
      <c r="B35" s="13" t="inlineStr">
        <is>
          <t>W0034</t>
        </is>
      </c>
      <c r="C35" s="13" t="inlineStr">
        <is>
          <t>구약</t>
        </is>
      </c>
      <c r="D35" s="13" t="n">
        <v>34</v>
      </c>
      <c r="E35" s="13">
        <f>C35&amp;"말씀 #"&amp;TEXT(D35,"000")</f>
        <v/>
      </c>
      <c r="F35" s="14" t="inlineStr">
        <is>
          <t>출애굽기</t>
        </is>
      </c>
      <c r="G35" s="14" t="inlineStr">
        <is>
          <t>17:15</t>
        </is>
      </c>
      <c r="H35" s="15" t="inlineStr">
        <is>
          <t>(출 17:15, 개역한글)</t>
        </is>
      </c>
      <c r="I35" s="14" t="inlineStr">
        <is>
          <t>승리</t>
        </is>
      </c>
      <c r="J35" s="14" t="inlineStr">
        <is>
          <t>바위산·광야</t>
        </is>
      </c>
      <c r="K35" s="16" t="inlineStr">
        <is>
          <t>모세가 단을 쌓고 그 이름을 여호와 닛시라 하고</t>
        </is>
      </c>
      <c r="L35" s="14" t="inlineStr">
        <is>
          <t>자동 입력</t>
        </is>
      </c>
      <c r="M35" s="14">
        <f>LEN(K35)</f>
        <v/>
      </c>
      <c r="N35" s="14">
        <f>IF(M35=0,"-",ROUND(3+M35/'안내'!$C$12,0))</f>
        <v/>
      </c>
      <c r="O35" s="15">
        <f>IF(K35="","(본문 입력 후 자동) | 출 17:15",IF(LEN(K35)&gt;28,LEFT(K35,28)&amp;"…",K35)&amp;" | 출 17:15")</f>
        <v/>
      </c>
      <c r="P35" s="15">
        <f>"#"&amp;SUBSTITUTE('안내'!$C$5," ","")&amp;" #성경구절 #말씀 #출애굽기 #승리"</f>
        <v/>
      </c>
      <c r="Q35" s="15" t="inlineStr">
        <is>
          <t>성경 본문: 개역한글판</t>
        </is>
      </c>
      <c r="R35" s="17">
        <f>'안내'!$C$6+INT((D35-1)/'안내'!$C$7)</f>
        <v/>
      </c>
      <c r="S35" s="14">
        <f>IF(MOD(D35-1,'안내'!$C$7)=0,'안내'!$C$8,'안내'!$C$10)</f>
        <v/>
      </c>
      <c r="T35" s="14">
        <f>CHOOSE(WEEKDAY(R35,2),"월","화","수","목","금","토","일")</f>
        <v/>
      </c>
      <c r="U35" s="14" t="inlineStr">
        <is>
          <t>미착수</t>
        </is>
      </c>
      <c r="V35" s="14" t="inlineStr">
        <is>
          <t>미착수</t>
        </is>
      </c>
      <c r="W35" s="18" t="n"/>
      <c r="X35" s="18" t="n"/>
      <c r="Y35" s="15" t="n"/>
      <c r="Z35" s="15" t="inlineStr"/>
      <c r="AA35" s="15" t="inlineStr">
        <is>
          <t>Moses built an altar, and called its name “Yahweh our Banner”.</t>
        </is>
      </c>
    </row>
    <row r="36">
      <c r="A36" s="13" t="n">
        <v>35</v>
      </c>
      <c r="B36" s="13" t="inlineStr">
        <is>
          <t>W0035</t>
        </is>
      </c>
      <c r="C36" s="13" t="inlineStr">
        <is>
          <t>구약</t>
        </is>
      </c>
      <c r="D36" s="13" t="n">
        <v>35</v>
      </c>
      <c r="E36" s="13">
        <f>C36&amp;"말씀 #"&amp;TEXT(D36,"000")</f>
        <v/>
      </c>
      <c r="F36" s="14" t="inlineStr">
        <is>
          <t>출애굽기</t>
        </is>
      </c>
      <c r="G36" s="14" t="inlineStr">
        <is>
          <t>19:5</t>
        </is>
      </c>
      <c r="H36" s="15" t="inlineStr">
        <is>
          <t>(출 19:5, 개역한글)</t>
        </is>
      </c>
      <c r="I36" s="14" t="inlineStr">
        <is>
          <t>언약</t>
        </is>
      </c>
      <c r="J36" s="14" t="inlineStr">
        <is>
          <t>제단·십자가</t>
        </is>
      </c>
      <c r="K36" s="16" t="inlineStr">
        <is>
          <t>세계가 다 내게 속하였나니 너희가 내 말을 잘 듣고 내 언약을 지키면 너희는 열국 중에서 내 소유가 되겠고</t>
        </is>
      </c>
      <c r="L36" s="14" t="inlineStr">
        <is>
          <t>자동 입력</t>
        </is>
      </c>
      <c r="M36" s="14">
        <f>LEN(K36)</f>
        <v/>
      </c>
      <c r="N36" s="14">
        <f>IF(M36=0,"-",ROUND(3+M36/'안내'!$C$12,0))</f>
        <v/>
      </c>
      <c r="O36" s="15">
        <f>IF(K36="","(본문 입력 후 자동) | 출 19:5",IF(LEN(K36)&gt;28,LEFT(K36,28)&amp;"…",K36)&amp;" | 출 19:5")</f>
        <v/>
      </c>
      <c r="P36" s="15">
        <f>"#"&amp;SUBSTITUTE('안내'!$C$5," ","")&amp;" #성경구절 #말씀 #출애굽기 #언약"</f>
        <v/>
      </c>
      <c r="Q36" s="15" t="inlineStr">
        <is>
          <t>성경 본문: 개역한글판</t>
        </is>
      </c>
      <c r="R36" s="17">
        <f>'안내'!$C$6+INT((D36-1)/'안내'!$C$7)</f>
        <v/>
      </c>
      <c r="S36" s="14">
        <f>IF(MOD(D36-1,'안내'!$C$7)=0,'안내'!$C$8,'안내'!$C$10)</f>
        <v/>
      </c>
      <c r="T36" s="14">
        <f>CHOOSE(WEEKDAY(R36,2),"월","화","수","목","금","토","일")</f>
        <v/>
      </c>
      <c r="U36" s="14" t="inlineStr">
        <is>
          <t>미착수</t>
        </is>
      </c>
      <c r="V36" s="14" t="inlineStr">
        <is>
          <t>미착수</t>
        </is>
      </c>
      <c r="W36" s="18" t="n"/>
      <c r="X36" s="18" t="n"/>
      <c r="Y36" s="15" t="n"/>
      <c r="Z36" s="15" t="inlineStr"/>
      <c r="AA36" s="15" t="inlineStr">
        <is>
          <t>Now therefore, if you will indeed obey my voice and keep my covenant, then you shall be my own possession from among all peoples; for all the earth is mine;</t>
        </is>
      </c>
    </row>
    <row r="37">
      <c r="A37" s="13" t="n">
        <v>36</v>
      </c>
      <c r="B37" s="13" t="inlineStr">
        <is>
          <t>W0036</t>
        </is>
      </c>
      <c r="C37" s="13" t="inlineStr">
        <is>
          <t>구약</t>
        </is>
      </c>
      <c r="D37" s="13" t="n">
        <v>36</v>
      </c>
      <c r="E37" s="13">
        <f>C37&amp;"말씀 #"&amp;TEXT(D37,"000")</f>
        <v/>
      </c>
      <c r="F37" s="14" t="inlineStr">
        <is>
          <t>출애굽기</t>
        </is>
      </c>
      <c r="G37" s="14" t="inlineStr">
        <is>
          <t>20:3</t>
        </is>
      </c>
      <c r="H37" s="15" t="inlineStr">
        <is>
          <t>(출 20:3, 개역한글)</t>
        </is>
      </c>
      <c r="I37" s="14" t="inlineStr">
        <is>
          <t>계명</t>
        </is>
      </c>
      <c r="J37" s="14" t="inlineStr">
        <is>
          <t>제단·십자가</t>
        </is>
      </c>
      <c r="K37" s="16" t="inlineStr">
        <is>
          <t>너는 나 외에는 다른 신들을 네게 있게 말지니라</t>
        </is>
      </c>
      <c r="L37" s="14" t="inlineStr">
        <is>
          <t>자동 입력</t>
        </is>
      </c>
      <c r="M37" s="14">
        <f>LEN(K37)</f>
        <v/>
      </c>
      <c r="N37" s="14">
        <f>IF(M37=0,"-",ROUND(3+M37/'안내'!$C$12,0))</f>
        <v/>
      </c>
      <c r="O37" s="15">
        <f>IF(K37="","(본문 입력 후 자동) | 출 20:3",IF(LEN(K37)&gt;28,LEFT(K37,28)&amp;"…",K37)&amp;" | 출 20:3")</f>
        <v/>
      </c>
      <c r="P37" s="15">
        <f>"#"&amp;SUBSTITUTE('안내'!$C$5," ","")&amp;" #성경구절 #말씀 #출애굽기 #계명"</f>
        <v/>
      </c>
      <c r="Q37" s="15" t="inlineStr">
        <is>
          <t>성경 본문: 개역한글판</t>
        </is>
      </c>
      <c r="R37" s="17">
        <f>'안내'!$C$6+INT((D37-1)/'안내'!$C$7)</f>
        <v/>
      </c>
      <c r="S37" s="14">
        <f>IF(MOD(D37-1,'안내'!$C$7)=0,'안내'!$C$8,'안내'!$C$10)</f>
        <v/>
      </c>
      <c r="T37" s="14">
        <f>CHOOSE(WEEKDAY(R37,2),"월","화","수","목","금","토","일")</f>
        <v/>
      </c>
      <c r="U37" s="14" t="inlineStr">
        <is>
          <t>미착수</t>
        </is>
      </c>
      <c r="V37" s="14" t="inlineStr">
        <is>
          <t>미착수</t>
        </is>
      </c>
      <c r="W37" s="18" t="n"/>
      <c r="X37" s="18" t="n"/>
      <c r="Y37" s="15" t="n"/>
      <c r="Z37" s="15" t="inlineStr"/>
      <c r="AA37" s="15" t="inlineStr">
        <is>
          <t>“You shall have no other gods before me.</t>
        </is>
      </c>
    </row>
    <row r="38">
      <c r="A38" s="13" t="n">
        <v>37</v>
      </c>
      <c r="B38" s="13" t="inlineStr">
        <is>
          <t>W0037</t>
        </is>
      </c>
      <c r="C38" s="13" t="inlineStr">
        <is>
          <t>구약</t>
        </is>
      </c>
      <c r="D38" s="13" t="n">
        <v>37</v>
      </c>
      <c r="E38" s="13">
        <f>C38&amp;"말씀 #"&amp;TEXT(D38,"000")</f>
        <v/>
      </c>
      <c r="F38" s="14" t="inlineStr">
        <is>
          <t>출애굽기</t>
        </is>
      </c>
      <c r="G38" s="14" t="inlineStr">
        <is>
          <t>20:12</t>
        </is>
      </c>
      <c r="H38" s="15" t="inlineStr">
        <is>
          <t>(출 20:12, 개역한글)</t>
        </is>
      </c>
      <c r="I38" s="14" t="inlineStr">
        <is>
          <t>가정</t>
        </is>
      </c>
      <c r="J38" s="14" t="inlineStr">
        <is>
          <t>창가·식탁</t>
        </is>
      </c>
      <c r="K38" s="16" t="inlineStr">
        <is>
          <t>네 부모를 공경하라 그리하면 너의 하나님 나 여호와가 네게 준 땅에서 네 생명이 길리라</t>
        </is>
      </c>
      <c r="L38" s="14" t="inlineStr">
        <is>
          <t>자동 입력</t>
        </is>
      </c>
      <c r="M38" s="14">
        <f>LEN(K38)</f>
        <v/>
      </c>
      <c r="N38" s="14">
        <f>IF(M38=0,"-",ROUND(3+M38/'안내'!$C$12,0))</f>
        <v/>
      </c>
      <c r="O38" s="15">
        <f>IF(K38="","(본문 입력 후 자동) | 출 20:12",IF(LEN(K38)&gt;28,LEFT(K38,28)&amp;"…",K38)&amp;" | 출 20:12")</f>
        <v/>
      </c>
      <c r="P38" s="15">
        <f>"#"&amp;SUBSTITUTE('안내'!$C$5," ","")&amp;" #성경구절 #말씀 #출애굽기 #가정"</f>
        <v/>
      </c>
      <c r="Q38" s="15" t="inlineStr">
        <is>
          <t>성경 본문: 개역한글판</t>
        </is>
      </c>
      <c r="R38" s="17">
        <f>'안내'!$C$6+INT((D38-1)/'안내'!$C$7)</f>
        <v/>
      </c>
      <c r="S38" s="14">
        <f>IF(MOD(D38-1,'안내'!$C$7)=0,'안내'!$C$8,'안내'!$C$10)</f>
        <v/>
      </c>
      <c r="T38" s="14">
        <f>CHOOSE(WEEKDAY(R38,2),"월","화","수","목","금","토","일")</f>
        <v/>
      </c>
      <c r="U38" s="14" t="inlineStr">
        <is>
          <t>미착수</t>
        </is>
      </c>
      <c r="V38" s="14" t="inlineStr">
        <is>
          <t>미착수</t>
        </is>
      </c>
      <c r="W38" s="18" t="n"/>
      <c r="X38" s="18" t="n"/>
      <c r="Y38" s="15" t="n"/>
      <c r="Z38" s="15" t="inlineStr"/>
      <c r="AA38" s="15" t="inlineStr">
        <is>
          <t>“Honor your father and your mother, that your days may be long in the land which Yahweh your God gives you.</t>
        </is>
      </c>
    </row>
    <row r="39">
      <c r="A39" s="13" t="n">
        <v>38</v>
      </c>
      <c r="B39" s="13" t="inlineStr">
        <is>
          <t>W0038</t>
        </is>
      </c>
      <c r="C39" s="13" t="inlineStr">
        <is>
          <t>구약</t>
        </is>
      </c>
      <c r="D39" s="13" t="n">
        <v>38</v>
      </c>
      <c r="E39" s="13">
        <f>C39&amp;"말씀 #"&amp;TEXT(D39,"000")</f>
        <v/>
      </c>
      <c r="F39" s="14" t="inlineStr">
        <is>
          <t>출애굽기</t>
        </is>
      </c>
      <c r="G39" s="14" t="inlineStr">
        <is>
          <t>33:14</t>
        </is>
      </c>
      <c r="H39" s="15" t="inlineStr">
        <is>
          <t>(출 33:14, 개역한글)</t>
        </is>
      </c>
      <c r="I39" s="14" t="inlineStr">
        <is>
          <t>평안</t>
        </is>
      </c>
      <c r="J39" s="14" t="inlineStr">
        <is>
          <t>잔잔한 물</t>
        </is>
      </c>
      <c r="K39" s="16" t="inlineStr">
        <is>
          <t>여호와께서 가라사대 내가 친히 가리라 내가 너로 편케 하리라</t>
        </is>
      </c>
      <c r="L39" s="14" t="inlineStr">
        <is>
          <t>자동 입력</t>
        </is>
      </c>
      <c r="M39" s="14">
        <f>LEN(K39)</f>
        <v/>
      </c>
      <c r="N39" s="14">
        <f>IF(M39=0,"-",ROUND(3+M39/'안내'!$C$12,0))</f>
        <v/>
      </c>
      <c r="O39" s="15">
        <f>IF(K39="","(본문 입력 후 자동) | 출 33:14",IF(LEN(K39)&gt;28,LEFT(K39,28)&amp;"…",K39)&amp;" | 출 33:14")</f>
        <v/>
      </c>
      <c r="P39" s="15">
        <f>"#"&amp;SUBSTITUTE('안내'!$C$5," ","")&amp;" #성경구절 #말씀 #출애굽기 #평안"</f>
        <v/>
      </c>
      <c r="Q39" s="15" t="inlineStr">
        <is>
          <t>성경 본문: 개역한글판</t>
        </is>
      </c>
      <c r="R39" s="17">
        <f>'안내'!$C$6+INT((D39-1)/'안내'!$C$7)</f>
        <v/>
      </c>
      <c r="S39" s="14">
        <f>IF(MOD(D39-1,'안내'!$C$7)=0,'안내'!$C$8,'안내'!$C$10)</f>
        <v/>
      </c>
      <c r="T39" s="14">
        <f>CHOOSE(WEEKDAY(R39,2),"월","화","수","목","금","토","일")</f>
        <v/>
      </c>
      <c r="U39" s="14" t="inlineStr">
        <is>
          <t>미착수</t>
        </is>
      </c>
      <c r="V39" s="14" t="inlineStr">
        <is>
          <t>미착수</t>
        </is>
      </c>
      <c r="W39" s="18" t="n"/>
      <c r="X39" s="18" t="n"/>
      <c r="Y39" s="15" t="n"/>
      <c r="Z39" s="15" t="inlineStr"/>
      <c r="AA39" s="15" t="inlineStr">
        <is>
          <t>He said, “My presence will go with you, and I will give you rest.”</t>
        </is>
      </c>
    </row>
    <row r="40">
      <c r="A40" s="13" t="n">
        <v>39</v>
      </c>
      <c r="B40" s="13" t="inlineStr">
        <is>
          <t>W0039</t>
        </is>
      </c>
      <c r="C40" s="13" t="inlineStr">
        <is>
          <t>구약</t>
        </is>
      </c>
      <c r="D40" s="13" t="n">
        <v>39</v>
      </c>
      <c r="E40" s="13">
        <f>C40&amp;"말씀 #"&amp;TEXT(D40,"000")</f>
        <v/>
      </c>
      <c r="F40" s="14" t="inlineStr">
        <is>
          <t>출애굽기</t>
        </is>
      </c>
      <c r="G40" s="14" t="inlineStr">
        <is>
          <t>34:6</t>
        </is>
      </c>
      <c r="H40" s="15" t="inlineStr">
        <is>
          <t>(출 34:6, 개역한글)</t>
        </is>
      </c>
      <c r="I40" s="14" t="inlineStr">
        <is>
          <t>은혜</t>
        </is>
      </c>
      <c r="J40" s="14" t="inlineStr">
        <is>
          <t>잔잔한 물</t>
        </is>
      </c>
      <c r="K40" s="16" t="inlineStr">
        <is>
          <t>여호와께서 그의 앞으로 지나시며 반포하시되 여호와로라 여호와로라 자비롭고 은혜롭고 노하기를 더디하고 인자와 진실이 많은 하나님이로라</t>
        </is>
      </c>
      <c r="L40" s="14" t="inlineStr">
        <is>
          <t>자동 입력 · 대조 필요</t>
        </is>
      </c>
      <c r="M40" s="14">
        <f>LEN(K40)</f>
        <v/>
      </c>
      <c r="N40" s="14">
        <f>IF(M40=0,"-",ROUND(3+M40/'안내'!$C$12,0))</f>
        <v/>
      </c>
      <c r="O40" s="15">
        <f>IF(K40="","(본문 입력 후 자동) | 출 34:6",IF(LEN(K40)&gt;28,LEFT(K40,28)&amp;"…",K40)&amp;" | 출 34:6")</f>
        <v/>
      </c>
      <c r="P40" s="15">
        <f>"#"&amp;SUBSTITUTE('안내'!$C$5," ","")&amp;" #성경구절 #말씀 #출애굽기 #은혜"</f>
        <v/>
      </c>
      <c r="Q40" s="15" t="inlineStr">
        <is>
          <t>성경 본문: 개역한글판</t>
        </is>
      </c>
      <c r="R40" s="17">
        <f>'안내'!$C$6+INT((D40-1)/'안내'!$C$7)</f>
        <v/>
      </c>
      <c r="S40" s="14">
        <f>IF(MOD(D40-1,'안내'!$C$7)=0,'안내'!$C$8,'안내'!$C$10)</f>
        <v/>
      </c>
      <c r="T40" s="14">
        <f>CHOOSE(WEEKDAY(R40,2),"월","화","수","목","금","토","일")</f>
        <v/>
      </c>
      <c r="U40" s="14" t="inlineStr">
        <is>
          <t>미착수</t>
        </is>
      </c>
      <c r="V40" s="14" t="inlineStr">
        <is>
          <t>미착수</t>
        </is>
      </c>
      <c r="W40" s="18" t="n"/>
      <c r="X40" s="18" t="n"/>
      <c r="Y40" s="15" t="n"/>
      <c r="Z40" s="15" t="inlineStr">
        <is>
          <t>줄바꿈 띄어쓰기 확인</t>
        </is>
      </c>
      <c r="AA40" s="15" t="inlineStr">
        <is>
          <t>Yahweh passed by before him, and pro- claimed, “Yahweh! Yahweh, a merciful and gracious God, slow to anger, and abundant in loving kindness and truth,</t>
        </is>
      </c>
    </row>
    <row r="41">
      <c r="A41" s="13" t="n">
        <v>40</v>
      </c>
      <c r="B41" s="13" t="inlineStr">
        <is>
          <t>W0040</t>
        </is>
      </c>
      <c r="C41" s="13" t="inlineStr">
        <is>
          <t>구약</t>
        </is>
      </c>
      <c r="D41" s="13" t="n">
        <v>40</v>
      </c>
      <c r="E41" s="13">
        <f>C41&amp;"말씀 #"&amp;TEXT(D41,"000")</f>
        <v/>
      </c>
      <c r="F41" s="14" t="inlineStr">
        <is>
          <t>레위기</t>
        </is>
      </c>
      <c r="G41" s="14" t="inlineStr">
        <is>
          <t>11:44</t>
        </is>
      </c>
      <c r="H41" s="15" t="inlineStr">
        <is>
          <t>(레 11:44, 개역한글)</t>
        </is>
      </c>
      <c r="I41" s="14" t="inlineStr">
        <is>
          <t>거룩</t>
        </is>
      </c>
      <c r="J41" s="14" t="inlineStr">
        <is>
          <t>하늘·별</t>
        </is>
      </c>
      <c r="K41" s="16" t="inlineStr">
        <is>
          <t>나는 여호와 너희 하나님이라 내가 거룩하니 너희도 몸을 구별하여 거룩하게 하고 땅에 기는 바 기어다니는 것으로 인하여 스스로 더럽히지 말라</t>
        </is>
      </c>
      <c r="L41" s="14" t="inlineStr">
        <is>
          <t>자동 입력</t>
        </is>
      </c>
      <c r="M41" s="14">
        <f>LEN(K41)</f>
        <v/>
      </c>
      <c r="N41" s="14">
        <f>IF(M41=0,"-",ROUND(3+M41/'안내'!$C$12,0))</f>
        <v/>
      </c>
      <c r="O41" s="15">
        <f>IF(K41="","(본문 입력 후 자동) | 레 11:44",IF(LEN(K41)&gt;28,LEFT(K41,28)&amp;"…",K41)&amp;" | 레 11:44")</f>
        <v/>
      </c>
      <c r="P41" s="15">
        <f>"#"&amp;SUBSTITUTE('안내'!$C$5," ","")&amp;" #성경구절 #말씀 #레위기 #거룩"</f>
        <v/>
      </c>
      <c r="Q41" s="15" t="inlineStr">
        <is>
          <t>성경 본문: 개역한글판</t>
        </is>
      </c>
      <c r="R41" s="17">
        <f>'안내'!$C$6+INT((D41-1)/'안내'!$C$7)</f>
        <v/>
      </c>
      <c r="S41" s="14">
        <f>IF(MOD(D41-1,'안내'!$C$7)=0,'안내'!$C$8,'안내'!$C$10)</f>
        <v/>
      </c>
      <c r="T41" s="14">
        <f>CHOOSE(WEEKDAY(R41,2),"월","화","수","목","금","토","일")</f>
        <v/>
      </c>
      <c r="U41" s="14" t="inlineStr">
        <is>
          <t>미착수</t>
        </is>
      </c>
      <c r="V41" s="14" t="inlineStr">
        <is>
          <t>미착수</t>
        </is>
      </c>
      <c r="W41" s="18" t="n"/>
      <c r="X41" s="18" t="n"/>
      <c r="Y41" s="15" t="n"/>
      <c r="Z41" s="15" t="inlineStr"/>
      <c r="AA41" s="15" t="inlineStr">
        <is>
          <t>For I am Yahweh your God. Sanctify yourselves therefore, and be holy; for I am holy. You shall not defile yourselves with any kind of creeping thing that moves on the earth.</t>
        </is>
      </c>
    </row>
    <row r="42">
      <c r="A42" s="13" t="n">
        <v>41</v>
      </c>
      <c r="B42" s="13" t="inlineStr">
        <is>
          <t>W0041</t>
        </is>
      </c>
      <c r="C42" s="13" t="inlineStr">
        <is>
          <t>구약</t>
        </is>
      </c>
      <c r="D42" s="13" t="n">
        <v>41</v>
      </c>
      <c r="E42" s="13">
        <f>C42&amp;"말씀 #"&amp;TEXT(D42,"000")</f>
        <v/>
      </c>
      <c r="F42" s="14" t="inlineStr">
        <is>
          <t>레위기</t>
        </is>
      </c>
      <c r="G42" s="14" t="inlineStr">
        <is>
          <t>17:11</t>
        </is>
      </c>
      <c r="H42" s="15" t="inlineStr">
        <is>
          <t>(레 17:11, 개역한글)</t>
        </is>
      </c>
      <c r="I42" s="14" t="inlineStr">
        <is>
          <t>속죄</t>
        </is>
      </c>
      <c r="J42" s="14" t="inlineStr">
        <is>
          <t>제단·십자가</t>
        </is>
      </c>
      <c r="K42" s="16" t="inlineStr">
        <is>
          <t>육체의 생명은 피에 있음이라 내가 이 피를 너희에게 주어 단에 뿌려 너희의 생명을 위하여 속하게 하였나니 생명이 피에 있으므로 피가 죄를 속하느니라</t>
        </is>
      </c>
      <c r="L42" s="14" t="inlineStr">
        <is>
          <t>자동 입력</t>
        </is>
      </c>
      <c r="M42" s="14">
        <f>LEN(K42)</f>
        <v/>
      </c>
      <c r="N42" s="14">
        <f>IF(M42=0,"-",ROUND(3+M42/'안내'!$C$12,0))</f>
        <v/>
      </c>
      <c r="O42" s="15">
        <f>IF(K42="","(본문 입력 후 자동) | 레 17:11",IF(LEN(K42)&gt;28,LEFT(K42,28)&amp;"…",K42)&amp;" | 레 17:11")</f>
        <v/>
      </c>
      <c r="P42" s="15">
        <f>"#"&amp;SUBSTITUTE('안내'!$C$5," ","")&amp;" #성경구절 #말씀 #레위기 #속죄"</f>
        <v/>
      </c>
      <c r="Q42" s="15" t="inlineStr">
        <is>
          <t>성경 본문: 개역한글판</t>
        </is>
      </c>
      <c r="R42" s="17">
        <f>'안내'!$C$6+INT((D42-1)/'안내'!$C$7)</f>
        <v/>
      </c>
      <c r="S42" s="14">
        <f>IF(MOD(D42-1,'안내'!$C$7)=0,'안내'!$C$8,'안내'!$C$10)</f>
        <v/>
      </c>
      <c r="T42" s="14">
        <f>CHOOSE(WEEKDAY(R42,2),"월","화","수","목","금","토","일")</f>
        <v/>
      </c>
      <c r="U42" s="14" t="inlineStr">
        <is>
          <t>미착수</t>
        </is>
      </c>
      <c r="V42" s="14" t="inlineStr">
        <is>
          <t>미착수</t>
        </is>
      </c>
      <c r="W42" s="18" t="n"/>
      <c r="X42" s="18" t="n"/>
      <c r="Y42" s="15" t="n"/>
      <c r="Z42" s="15" t="inlineStr"/>
      <c r="AA42" s="15" t="inlineStr">
        <is>
          <t>For the life of the flesh is in the blood. I have given it to you on the altar to make atonement for your souls; for it is the blood that makes atonement by reason of the life.</t>
        </is>
      </c>
    </row>
    <row r="43">
      <c r="A43" s="13" t="n">
        <v>42</v>
      </c>
      <c r="B43" s="13" t="inlineStr">
        <is>
          <t>W0042</t>
        </is>
      </c>
      <c r="C43" s="13" t="inlineStr">
        <is>
          <t>구약</t>
        </is>
      </c>
      <c r="D43" s="13" t="n">
        <v>42</v>
      </c>
      <c r="E43" s="13">
        <f>C43&amp;"말씀 #"&amp;TEXT(D43,"000")</f>
        <v/>
      </c>
      <c r="F43" s="14" t="inlineStr">
        <is>
          <t>레위기</t>
        </is>
      </c>
      <c r="G43" s="14" t="inlineStr">
        <is>
          <t>19:2</t>
        </is>
      </c>
      <c r="H43" s="15" t="inlineStr">
        <is>
          <t>(레 19:2, 개역한글)</t>
        </is>
      </c>
      <c r="I43" s="14" t="inlineStr">
        <is>
          <t>거룩</t>
        </is>
      </c>
      <c r="J43" s="14" t="inlineStr">
        <is>
          <t>하늘·별</t>
        </is>
      </c>
      <c r="K43" s="16" t="inlineStr">
        <is>
          <t>너는 이스라엘 자손의 온 회중에게 고하여 이르라 너희는 거룩하라 나 여호와 너희 하나님이 거룩함이니라</t>
        </is>
      </c>
      <c r="L43" s="14" t="inlineStr">
        <is>
          <t>자동 입력</t>
        </is>
      </c>
      <c r="M43" s="14">
        <f>LEN(K43)</f>
        <v/>
      </c>
      <c r="N43" s="14">
        <f>IF(M43=0,"-",ROUND(3+M43/'안내'!$C$12,0))</f>
        <v/>
      </c>
      <c r="O43" s="15">
        <f>IF(K43="","(본문 입력 후 자동) | 레 19:2",IF(LEN(K43)&gt;28,LEFT(K43,28)&amp;"…",K43)&amp;" | 레 19:2")</f>
        <v/>
      </c>
      <c r="P43" s="15">
        <f>"#"&amp;SUBSTITUTE('안내'!$C$5," ","")&amp;" #성경구절 #말씀 #레위기 #거룩"</f>
        <v/>
      </c>
      <c r="Q43" s="15" t="inlineStr">
        <is>
          <t>성경 본문: 개역한글판</t>
        </is>
      </c>
      <c r="R43" s="17">
        <f>'안내'!$C$6+INT((D43-1)/'안내'!$C$7)</f>
        <v/>
      </c>
      <c r="S43" s="14">
        <f>IF(MOD(D43-1,'안내'!$C$7)=0,'안내'!$C$8,'안내'!$C$10)</f>
        <v/>
      </c>
      <c r="T43" s="14">
        <f>CHOOSE(WEEKDAY(R43,2),"월","화","수","목","금","토","일")</f>
        <v/>
      </c>
      <c r="U43" s="14" t="inlineStr">
        <is>
          <t>미착수</t>
        </is>
      </c>
      <c r="V43" s="14" t="inlineStr">
        <is>
          <t>미착수</t>
        </is>
      </c>
      <c r="W43" s="18" t="n"/>
      <c r="X43" s="18" t="n"/>
      <c r="Y43" s="15" t="n"/>
      <c r="Z43" s="15" t="inlineStr"/>
      <c r="AA43" s="15" t="inlineStr">
        <is>
          <t>“Speak to all the congregation of the children of Israel, and tell them, ‘You shall be holy; for I, Yahweh your God, am holy.</t>
        </is>
      </c>
    </row>
    <row r="44">
      <c r="A44" s="13" t="n">
        <v>43</v>
      </c>
      <c r="B44" s="13" t="inlineStr">
        <is>
          <t>W0043</t>
        </is>
      </c>
      <c r="C44" s="13" t="inlineStr">
        <is>
          <t>구약</t>
        </is>
      </c>
      <c r="D44" s="13" t="n">
        <v>43</v>
      </c>
      <c r="E44" s="13">
        <f>C44&amp;"말씀 #"&amp;TEXT(D44,"000")</f>
        <v/>
      </c>
      <c r="F44" s="14" t="inlineStr">
        <is>
          <t>레위기</t>
        </is>
      </c>
      <c r="G44" s="14" t="inlineStr">
        <is>
          <t>19:18</t>
        </is>
      </c>
      <c r="H44" s="15" t="inlineStr">
        <is>
          <t>(레 19:18, 개역한글)</t>
        </is>
      </c>
      <c r="I44" s="14" t="inlineStr">
        <is>
          <t>사랑</t>
        </is>
      </c>
      <c r="J44" s="14" t="inlineStr">
        <is>
          <t>창가·식탁</t>
        </is>
      </c>
      <c r="K44" s="16" t="inlineStr">
        <is>
          <t>원수를 갚지 말며 동포를 원망하지 말며 이웃 사랑하기를 네 몸과 같이 하라 나는 여호와니라</t>
        </is>
      </c>
      <c r="L44" s="14" t="inlineStr">
        <is>
          <t>자동 입력</t>
        </is>
      </c>
      <c r="M44" s="14">
        <f>LEN(K44)</f>
        <v/>
      </c>
      <c r="N44" s="14">
        <f>IF(M44=0,"-",ROUND(3+M44/'안내'!$C$12,0))</f>
        <v/>
      </c>
      <c r="O44" s="15">
        <f>IF(K44="","(본문 입력 후 자동) | 레 19:18",IF(LEN(K44)&gt;28,LEFT(K44,28)&amp;"…",K44)&amp;" | 레 19:18")</f>
        <v/>
      </c>
      <c r="P44" s="15">
        <f>"#"&amp;SUBSTITUTE('안내'!$C$5," ","")&amp;" #성경구절 #말씀 #레위기 #사랑"</f>
        <v/>
      </c>
      <c r="Q44" s="15" t="inlineStr">
        <is>
          <t>성경 본문: 개역한글판</t>
        </is>
      </c>
      <c r="R44" s="17">
        <f>'안내'!$C$6+INT((D44-1)/'안내'!$C$7)</f>
        <v/>
      </c>
      <c r="S44" s="14">
        <f>IF(MOD(D44-1,'안내'!$C$7)=0,'안내'!$C$8,'안내'!$C$10)</f>
        <v/>
      </c>
      <c r="T44" s="14">
        <f>CHOOSE(WEEKDAY(R44,2),"월","화","수","목","금","토","일")</f>
        <v/>
      </c>
      <c r="U44" s="14" t="inlineStr">
        <is>
          <t>미착수</t>
        </is>
      </c>
      <c r="V44" s="14" t="inlineStr">
        <is>
          <t>미착수</t>
        </is>
      </c>
      <c r="W44" s="18" t="n"/>
      <c r="X44" s="18" t="n"/>
      <c r="Y44" s="15" t="n"/>
      <c r="Z44" s="15" t="inlineStr"/>
      <c r="AA44" s="15" t="inlineStr">
        <is>
          <t>“ ‘You shall not take vengeance, nor bear any grudge against the children of your people; but you shall love your neigh- bor as yourself. I am Yahweh.</t>
        </is>
      </c>
    </row>
    <row r="45">
      <c r="A45" s="13" t="n">
        <v>44</v>
      </c>
      <c r="B45" s="13" t="inlineStr">
        <is>
          <t>W0044</t>
        </is>
      </c>
      <c r="C45" s="13" t="inlineStr">
        <is>
          <t>구약</t>
        </is>
      </c>
      <c r="D45" s="13" t="n">
        <v>44</v>
      </c>
      <c r="E45" s="13">
        <f>C45&amp;"말씀 #"&amp;TEXT(D45,"000")</f>
        <v/>
      </c>
      <c r="F45" s="14" t="inlineStr">
        <is>
          <t>레위기</t>
        </is>
      </c>
      <c r="G45" s="14" t="inlineStr">
        <is>
          <t>25:10</t>
        </is>
      </c>
      <c r="H45" s="15" t="inlineStr">
        <is>
          <t>(레 25:10, 개역한글)</t>
        </is>
      </c>
      <c r="I45" s="14" t="inlineStr">
        <is>
          <t>자유</t>
        </is>
      </c>
      <c r="J45" s="14" t="inlineStr">
        <is>
          <t>제단·십자가</t>
        </is>
      </c>
      <c r="K45" s="16" t="inlineStr">
        <is>
          <t>제 오십 년을 거룩하게 하여 전국 거민에게 자유를 공포하라 이 해는 너희에게 희년이니 너희는 각각 그 기업으로 돌아가며 각각 그 가족에게로 돌아갈지며</t>
        </is>
      </c>
      <c r="L45" s="14" t="inlineStr">
        <is>
          <t>자동 입력</t>
        </is>
      </c>
      <c r="M45" s="14">
        <f>LEN(K45)</f>
        <v/>
      </c>
      <c r="N45" s="14">
        <f>IF(M45=0,"-",ROUND(3+M45/'안내'!$C$12,0))</f>
        <v/>
      </c>
      <c r="O45" s="15">
        <f>IF(K45="","(본문 입력 후 자동) | 레 25:10",IF(LEN(K45)&gt;28,LEFT(K45,28)&amp;"…",K45)&amp;" | 레 25:10")</f>
        <v/>
      </c>
      <c r="P45" s="15">
        <f>"#"&amp;SUBSTITUTE('안내'!$C$5," ","")&amp;" #성경구절 #말씀 #레위기 #자유"</f>
        <v/>
      </c>
      <c r="Q45" s="15" t="inlineStr">
        <is>
          <t>성경 본문: 개역한글판</t>
        </is>
      </c>
      <c r="R45" s="17">
        <f>'안내'!$C$6+INT((D45-1)/'안내'!$C$7)</f>
        <v/>
      </c>
      <c r="S45" s="14">
        <f>IF(MOD(D45-1,'안내'!$C$7)=0,'안내'!$C$8,'안내'!$C$10)</f>
        <v/>
      </c>
      <c r="T45" s="14">
        <f>CHOOSE(WEEKDAY(R45,2),"월","화","수","목","금","토","일")</f>
        <v/>
      </c>
      <c r="U45" s="14" t="inlineStr">
        <is>
          <t>미착수</t>
        </is>
      </c>
      <c r="V45" s="14" t="inlineStr">
        <is>
          <t>미착수</t>
        </is>
      </c>
      <c r="W45" s="18" t="n"/>
      <c r="X45" s="18" t="n"/>
      <c r="Y45" s="15" t="n"/>
      <c r="Z45" s="15" t="inlineStr"/>
      <c r="AA45" s="15" t="inlineStr">
        <is>
          <t>You shall make the fiftieth year holy, and proclaim liberty throughout the land to all its inhabitants. It shall be a jubilee to you; and each of you shall return to his own property, and each of you shall return to his family.</t>
        </is>
      </c>
    </row>
    <row r="46">
      <c r="A46" s="13" t="n">
        <v>45</v>
      </c>
      <c r="B46" s="13" t="inlineStr">
        <is>
          <t>W0045</t>
        </is>
      </c>
      <c r="C46" s="13" t="inlineStr">
        <is>
          <t>구약</t>
        </is>
      </c>
      <c r="D46" s="13" t="n">
        <v>45</v>
      </c>
      <c r="E46" s="13">
        <f>C46&amp;"말씀 #"&amp;TEXT(D46,"000")</f>
        <v/>
      </c>
      <c r="F46" s="14" t="inlineStr">
        <is>
          <t>레위기</t>
        </is>
      </c>
      <c r="G46" s="14" t="inlineStr">
        <is>
          <t>26:12</t>
        </is>
      </c>
      <c r="H46" s="15" t="inlineStr">
        <is>
          <t>(레 26:12, 개역한글)</t>
        </is>
      </c>
      <c r="I46" s="14" t="inlineStr">
        <is>
          <t>언약</t>
        </is>
      </c>
      <c r="J46" s="14" t="inlineStr">
        <is>
          <t>제단·십자가</t>
        </is>
      </c>
      <c r="K46" s="16" t="inlineStr">
        <is>
          <t>나는 너희 중에 행하여 너희 하나님이 되고 너희는 나의 백성이 될 것이니라</t>
        </is>
      </c>
      <c r="L46" s="14" t="inlineStr">
        <is>
          <t>자동 입력</t>
        </is>
      </c>
      <c r="M46" s="14">
        <f>LEN(K46)</f>
        <v/>
      </c>
      <c r="N46" s="14">
        <f>IF(M46=0,"-",ROUND(3+M46/'안내'!$C$12,0))</f>
        <v/>
      </c>
      <c r="O46" s="15">
        <f>IF(K46="","(본문 입력 후 자동) | 레 26:12",IF(LEN(K46)&gt;28,LEFT(K46,28)&amp;"…",K46)&amp;" | 레 26:12")</f>
        <v/>
      </c>
      <c r="P46" s="15">
        <f>"#"&amp;SUBSTITUTE('안내'!$C$5," ","")&amp;" #성경구절 #말씀 #레위기 #언약"</f>
        <v/>
      </c>
      <c r="Q46" s="15" t="inlineStr">
        <is>
          <t>성경 본문: 개역한글판</t>
        </is>
      </c>
      <c r="R46" s="17">
        <f>'안내'!$C$6+INT((D46-1)/'안내'!$C$7)</f>
        <v/>
      </c>
      <c r="S46" s="14">
        <f>IF(MOD(D46-1,'안내'!$C$7)=0,'안내'!$C$8,'안내'!$C$10)</f>
        <v/>
      </c>
      <c r="T46" s="14">
        <f>CHOOSE(WEEKDAY(R46,2),"월","화","수","목","금","토","일")</f>
        <v/>
      </c>
      <c r="U46" s="14" t="inlineStr">
        <is>
          <t>미착수</t>
        </is>
      </c>
      <c r="V46" s="14" t="inlineStr">
        <is>
          <t>미착수</t>
        </is>
      </c>
      <c r="W46" s="18" t="n"/>
      <c r="X46" s="18" t="n"/>
      <c r="Y46" s="15" t="n"/>
      <c r="Z46" s="15" t="inlineStr"/>
      <c r="AA46" s="15" t="inlineStr">
        <is>
          <t>I will walk among you, and will be your God, and you will be my people.</t>
        </is>
      </c>
    </row>
    <row r="47">
      <c r="A47" s="13" t="n">
        <v>46</v>
      </c>
      <c r="B47" s="13" t="inlineStr">
        <is>
          <t>W0046</t>
        </is>
      </c>
      <c r="C47" s="13" t="inlineStr">
        <is>
          <t>구약</t>
        </is>
      </c>
      <c r="D47" s="13" t="n">
        <v>46</v>
      </c>
      <c r="E47" s="13">
        <f>C47&amp;"말씀 #"&amp;TEXT(D47,"000")</f>
        <v/>
      </c>
      <c r="F47" s="14" t="inlineStr">
        <is>
          <t>민수기</t>
        </is>
      </c>
      <c r="G47" s="14" t="inlineStr">
        <is>
          <t>6:24</t>
        </is>
      </c>
      <c r="H47" s="15" t="inlineStr">
        <is>
          <t>(민 6:24, 개역한글)</t>
        </is>
      </c>
      <c r="I47" s="14" t="inlineStr">
        <is>
          <t>축복</t>
        </is>
      </c>
      <c r="J47" s="14" t="inlineStr">
        <is>
          <t>들판·나무</t>
        </is>
      </c>
      <c r="K47" s="16" t="inlineStr">
        <is>
          <t>여호와는 네게 복을 주시고 너를 지키시기를 원하며</t>
        </is>
      </c>
      <c r="L47" s="14" t="inlineStr">
        <is>
          <t>자동 입력</t>
        </is>
      </c>
      <c r="M47" s="14">
        <f>LEN(K47)</f>
        <v/>
      </c>
      <c r="N47" s="14">
        <f>IF(M47=0,"-",ROUND(3+M47/'안내'!$C$12,0))</f>
        <v/>
      </c>
      <c r="O47" s="15">
        <f>IF(K47="","(본문 입력 후 자동) | 민 6:24",IF(LEN(K47)&gt;28,LEFT(K47,28)&amp;"…",K47)&amp;" | 민 6:24")</f>
        <v/>
      </c>
      <c r="P47" s="15">
        <f>"#"&amp;SUBSTITUTE('안내'!$C$5," ","")&amp;" #성경구절 #말씀 #민수기 #축복"</f>
        <v/>
      </c>
      <c r="Q47" s="15" t="inlineStr">
        <is>
          <t>성경 본문: 개역한글판</t>
        </is>
      </c>
      <c r="R47" s="17">
        <f>'안내'!$C$6+INT((D47-1)/'안내'!$C$7)</f>
        <v/>
      </c>
      <c r="S47" s="14">
        <f>IF(MOD(D47-1,'안내'!$C$7)=0,'안내'!$C$8,'안내'!$C$10)</f>
        <v/>
      </c>
      <c r="T47" s="14">
        <f>CHOOSE(WEEKDAY(R47,2),"월","화","수","목","금","토","일")</f>
        <v/>
      </c>
      <c r="U47" s="14" t="inlineStr">
        <is>
          <t>미착수</t>
        </is>
      </c>
      <c r="V47" s="14" t="inlineStr">
        <is>
          <t>미착수</t>
        </is>
      </c>
      <c r="W47" s="18" t="n"/>
      <c r="X47" s="18" t="n"/>
      <c r="Y47" s="15" t="n"/>
      <c r="Z47" s="15" t="inlineStr"/>
      <c r="AA47" s="15" t="inlineStr">
        <is>
          <t>‘Yahweh bless you, and keep you.</t>
        </is>
      </c>
    </row>
    <row r="48">
      <c r="A48" s="13" t="n">
        <v>47</v>
      </c>
      <c r="B48" s="13" t="inlineStr">
        <is>
          <t>W0047</t>
        </is>
      </c>
      <c r="C48" s="13" t="inlineStr">
        <is>
          <t>구약</t>
        </is>
      </c>
      <c r="D48" s="13" t="n">
        <v>47</v>
      </c>
      <c r="E48" s="13">
        <f>C48&amp;"말씀 #"&amp;TEXT(D48,"000")</f>
        <v/>
      </c>
      <c r="F48" s="14" t="inlineStr">
        <is>
          <t>민수기</t>
        </is>
      </c>
      <c r="G48" s="14" t="inlineStr">
        <is>
          <t>6:25</t>
        </is>
      </c>
      <c r="H48" s="15" t="inlineStr">
        <is>
          <t>(민 6:25, 개역한글)</t>
        </is>
      </c>
      <c r="I48" s="14" t="inlineStr">
        <is>
          <t>축복</t>
        </is>
      </c>
      <c r="J48" s="14" t="inlineStr">
        <is>
          <t>들판·나무</t>
        </is>
      </c>
      <c r="K48" s="16" t="inlineStr">
        <is>
          <t>여호와는 그 얼굴로 네게 비취사 은혜 베푸시기를 원하며</t>
        </is>
      </c>
      <c r="L48" s="14" t="inlineStr">
        <is>
          <t>자동 입력</t>
        </is>
      </c>
      <c r="M48" s="14">
        <f>LEN(K48)</f>
        <v/>
      </c>
      <c r="N48" s="14">
        <f>IF(M48=0,"-",ROUND(3+M48/'안내'!$C$12,0))</f>
        <v/>
      </c>
      <c r="O48" s="15">
        <f>IF(K48="","(본문 입력 후 자동) | 민 6:25",IF(LEN(K48)&gt;28,LEFT(K48,28)&amp;"…",K48)&amp;" | 민 6:25")</f>
        <v/>
      </c>
      <c r="P48" s="15">
        <f>"#"&amp;SUBSTITUTE('안내'!$C$5," ","")&amp;" #성경구절 #말씀 #민수기 #축복"</f>
        <v/>
      </c>
      <c r="Q48" s="15" t="inlineStr">
        <is>
          <t>성경 본문: 개역한글판</t>
        </is>
      </c>
      <c r="R48" s="17">
        <f>'안내'!$C$6+INT((D48-1)/'안내'!$C$7)</f>
        <v/>
      </c>
      <c r="S48" s="14">
        <f>IF(MOD(D48-1,'안내'!$C$7)=0,'안내'!$C$8,'안내'!$C$10)</f>
        <v/>
      </c>
      <c r="T48" s="14">
        <f>CHOOSE(WEEKDAY(R48,2),"월","화","수","목","금","토","일")</f>
        <v/>
      </c>
      <c r="U48" s="14" t="inlineStr">
        <is>
          <t>미착수</t>
        </is>
      </c>
      <c r="V48" s="14" t="inlineStr">
        <is>
          <t>미착수</t>
        </is>
      </c>
      <c r="W48" s="18" t="n"/>
      <c r="X48" s="18" t="n"/>
      <c r="Y48" s="15" t="n"/>
      <c r="Z48" s="15" t="inlineStr"/>
      <c r="AA48" s="15" t="inlineStr">
        <is>
          <t>Yahweh make his face to shine on you, and be gracious to you.</t>
        </is>
      </c>
    </row>
    <row r="49">
      <c r="A49" s="13" t="n">
        <v>48</v>
      </c>
      <c r="B49" s="13" t="inlineStr">
        <is>
          <t>W0048</t>
        </is>
      </c>
      <c r="C49" s="13" t="inlineStr">
        <is>
          <t>구약</t>
        </is>
      </c>
      <c r="D49" s="13" t="n">
        <v>48</v>
      </c>
      <c r="E49" s="13">
        <f>C49&amp;"말씀 #"&amp;TEXT(D49,"000")</f>
        <v/>
      </c>
      <c r="F49" s="14" t="inlineStr">
        <is>
          <t>민수기</t>
        </is>
      </c>
      <c r="G49" s="14" t="inlineStr">
        <is>
          <t>6:26</t>
        </is>
      </c>
      <c r="H49" s="15" t="inlineStr">
        <is>
          <t>(민 6:26, 개역한글)</t>
        </is>
      </c>
      <c r="I49" s="14" t="inlineStr">
        <is>
          <t>평안</t>
        </is>
      </c>
      <c r="J49" s="14" t="inlineStr">
        <is>
          <t>잔잔한 물</t>
        </is>
      </c>
      <c r="K49" s="16" t="inlineStr">
        <is>
          <t>여호와는 그 얼굴을 네게로 향하여 드사 평강 주시기를 원하노라 할지니라 하라</t>
        </is>
      </c>
      <c r="L49" s="14" t="inlineStr">
        <is>
          <t>자동 입력</t>
        </is>
      </c>
      <c r="M49" s="14">
        <f>LEN(K49)</f>
        <v/>
      </c>
      <c r="N49" s="14">
        <f>IF(M49=0,"-",ROUND(3+M49/'안내'!$C$12,0))</f>
        <v/>
      </c>
      <c r="O49" s="15">
        <f>IF(K49="","(본문 입력 후 자동) | 민 6:26",IF(LEN(K49)&gt;28,LEFT(K49,28)&amp;"…",K49)&amp;" | 민 6:26")</f>
        <v/>
      </c>
      <c r="P49" s="15">
        <f>"#"&amp;SUBSTITUTE('안내'!$C$5," ","")&amp;" #성경구절 #말씀 #민수기 #평안"</f>
        <v/>
      </c>
      <c r="Q49" s="15" t="inlineStr">
        <is>
          <t>성경 본문: 개역한글판</t>
        </is>
      </c>
      <c r="R49" s="17">
        <f>'안내'!$C$6+INT((D49-1)/'안내'!$C$7)</f>
        <v/>
      </c>
      <c r="S49" s="14">
        <f>IF(MOD(D49-1,'안내'!$C$7)=0,'안내'!$C$8,'안내'!$C$10)</f>
        <v/>
      </c>
      <c r="T49" s="14">
        <f>CHOOSE(WEEKDAY(R49,2),"월","화","수","목","금","토","일")</f>
        <v/>
      </c>
      <c r="U49" s="14" t="inlineStr">
        <is>
          <t>미착수</t>
        </is>
      </c>
      <c r="V49" s="14" t="inlineStr">
        <is>
          <t>미착수</t>
        </is>
      </c>
      <c r="W49" s="18" t="n"/>
      <c r="X49" s="18" t="n"/>
      <c r="Y49" s="15" t="n"/>
      <c r="Z49" s="15" t="inlineStr"/>
      <c r="AA49" s="15" t="inlineStr">
        <is>
          <t>Yahweh lift up his face toward you, and give you peace.’</t>
        </is>
      </c>
    </row>
    <row r="50">
      <c r="A50" s="13" t="n">
        <v>49</v>
      </c>
      <c r="B50" s="13" t="inlineStr">
        <is>
          <t>W0049</t>
        </is>
      </c>
      <c r="C50" s="13" t="inlineStr">
        <is>
          <t>구약</t>
        </is>
      </c>
      <c r="D50" s="13" t="n">
        <v>49</v>
      </c>
      <c r="E50" s="13">
        <f>C50&amp;"말씀 #"&amp;TEXT(D50,"000")</f>
        <v/>
      </c>
      <c r="F50" s="14" t="inlineStr">
        <is>
          <t>민수기</t>
        </is>
      </c>
      <c r="G50" s="14" t="inlineStr">
        <is>
          <t>14:8</t>
        </is>
      </c>
      <c r="H50" s="15" t="inlineStr">
        <is>
          <t>(민 14:8, 개역한글)</t>
        </is>
      </c>
      <c r="I50" s="14" t="inlineStr">
        <is>
          <t>믿음</t>
        </is>
      </c>
      <c r="J50" s="14" t="inlineStr">
        <is>
          <t>바위산·광야</t>
        </is>
      </c>
      <c r="K50" s="16" t="inlineStr">
        <is>
          <t>여호와께서 우리를 기뻐하시면 우리를 그 땅으로 인도하여 들이시고 그 땅을 우리에게 주시리라 이는 과연 젖과 꿀이 흐르는 땅이니라</t>
        </is>
      </c>
      <c r="L50" s="14" t="inlineStr">
        <is>
          <t>자동 입력 · 대조 필요</t>
        </is>
      </c>
      <c r="M50" s="14">
        <f>LEN(K50)</f>
        <v/>
      </c>
      <c r="N50" s="14">
        <f>IF(M50=0,"-",ROUND(3+M50/'안내'!$C$12,0))</f>
        <v/>
      </c>
      <c r="O50" s="15">
        <f>IF(K50="","(본문 입력 후 자동) | 민 14:8",IF(LEN(K50)&gt;28,LEFT(K50,28)&amp;"…",K50)&amp;" | 민 14:8")</f>
        <v/>
      </c>
      <c r="P50" s="15">
        <f>"#"&amp;SUBSTITUTE('안내'!$C$5," ","")&amp;" #성경구절 #말씀 #민수기 #믿음"</f>
        <v/>
      </c>
      <c r="Q50" s="15" t="inlineStr">
        <is>
          <t>성경 본문: 개역한글판</t>
        </is>
      </c>
      <c r="R50" s="17">
        <f>'안내'!$C$6+INT((D50-1)/'안내'!$C$7)</f>
        <v/>
      </c>
      <c r="S50" s="14">
        <f>IF(MOD(D50-1,'안내'!$C$7)=0,'안내'!$C$8,'안내'!$C$10)</f>
        <v/>
      </c>
      <c r="T50" s="14">
        <f>CHOOSE(WEEKDAY(R50,2),"월","화","수","목","금","토","일")</f>
        <v/>
      </c>
      <c r="U50" s="14" t="inlineStr">
        <is>
          <t>미착수</t>
        </is>
      </c>
      <c r="V50" s="14" t="inlineStr">
        <is>
          <t>미착수</t>
        </is>
      </c>
      <c r="W50" s="18" t="n"/>
      <c r="X50" s="18" t="n"/>
      <c r="Y50" s="15" t="n"/>
      <c r="Z50" s="15" t="inlineStr">
        <is>
          <t>줄바꿈 띄어쓰기 확인</t>
        </is>
      </c>
      <c r="AA50" s="15" t="inlineStr">
        <is>
          <t>If Yahweh de- lights in us, then he will bring us into this land, and give it to us: a land which flows with milk and honey.</t>
        </is>
      </c>
    </row>
    <row r="51">
      <c r="A51" s="13" t="n">
        <v>50</v>
      </c>
      <c r="B51" s="13" t="inlineStr">
        <is>
          <t>W0050</t>
        </is>
      </c>
      <c r="C51" s="13" t="inlineStr">
        <is>
          <t>구약</t>
        </is>
      </c>
      <c r="D51" s="13" t="n">
        <v>50</v>
      </c>
      <c r="E51" s="13">
        <f>C51&amp;"말씀 #"&amp;TEXT(D51,"000")</f>
        <v/>
      </c>
      <c r="F51" s="14" t="inlineStr">
        <is>
          <t>민수기</t>
        </is>
      </c>
      <c r="G51" s="14" t="inlineStr">
        <is>
          <t>14:24</t>
        </is>
      </c>
      <c r="H51" s="15" t="inlineStr">
        <is>
          <t>(민 14:24, 개역한글)</t>
        </is>
      </c>
      <c r="I51" s="14" t="inlineStr">
        <is>
          <t>순종</t>
        </is>
      </c>
      <c r="J51" s="14" t="inlineStr">
        <is>
          <t>길·등불</t>
        </is>
      </c>
      <c r="K51" s="16" t="inlineStr">
        <is>
          <t>오직 내 종 갈렙은 그 마음이 그들과 달라서 나를 온전히 좇았은즉 그의 갔던 땅으로 내가 그를 인도하여 들이리니 그 자손이 그 땅을 차지하리라</t>
        </is>
      </c>
      <c r="L51" s="14" t="inlineStr">
        <is>
          <t>자동 입력 · 대조 필요</t>
        </is>
      </c>
      <c r="M51" s="14">
        <f>LEN(K51)</f>
        <v/>
      </c>
      <c r="N51" s="14">
        <f>IF(M51=0,"-",ROUND(3+M51/'안내'!$C$12,0))</f>
        <v/>
      </c>
      <c r="O51" s="15">
        <f>IF(K51="","(본문 입력 후 자동) | 민 14:24",IF(LEN(K51)&gt;28,LEFT(K51,28)&amp;"…",K51)&amp;" | 민 14:24")</f>
        <v/>
      </c>
      <c r="P51" s="15">
        <f>"#"&amp;SUBSTITUTE('안내'!$C$5," ","")&amp;" #성경구절 #말씀 #민수기 #순종"</f>
        <v/>
      </c>
      <c r="Q51" s="15" t="inlineStr">
        <is>
          <t>성경 본문: 개역한글판</t>
        </is>
      </c>
      <c r="R51" s="17">
        <f>'안내'!$C$6+INT((D51-1)/'안내'!$C$7)</f>
        <v/>
      </c>
      <c r="S51" s="14">
        <f>IF(MOD(D51-1,'안내'!$C$7)=0,'안내'!$C$8,'안내'!$C$10)</f>
        <v/>
      </c>
      <c r="T51" s="14">
        <f>CHOOSE(WEEKDAY(R51,2),"월","화","수","목","금","토","일")</f>
        <v/>
      </c>
      <c r="U51" s="14" t="inlineStr">
        <is>
          <t>미착수</t>
        </is>
      </c>
      <c r="V51" s="14" t="inlineStr">
        <is>
          <t>미착수</t>
        </is>
      </c>
      <c r="W51" s="18" t="n"/>
      <c r="X51" s="18" t="n"/>
      <c r="Y51" s="15" t="n"/>
      <c r="Z51" s="15" t="inlineStr">
        <is>
          <t>줄바꿈 띄어쓰기 확인</t>
        </is>
      </c>
      <c r="AA51" s="15" t="inlineStr">
        <is>
          <t>But my servant Caleb, because he had another spirit with him, and has followed me fully, him I will bring into the land into which he went. His offspring shall possess it.</t>
        </is>
      </c>
    </row>
    <row r="52">
      <c r="A52" s="13" t="n">
        <v>51</v>
      </c>
      <c r="B52" s="13" t="inlineStr">
        <is>
          <t>W0051</t>
        </is>
      </c>
      <c r="C52" s="13" t="inlineStr">
        <is>
          <t>구약</t>
        </is>
      </c>
      <c r="D52" s="13" t="n">
        <v>51</v>
      </c>
      <c r="E52" s="13">
        <f>C52&amp;"말씀 #"&amp;TEXT(D52,"000")</f>
        <v/>
      </c>
      <c r="F52" s="14" t="inlineStr">
        <is>
          <t>민수기</t>
        </is>
      </c>
      <c r="G52" s="14" t="inlineStr">
        <is>
          <t>21:8</t>
        </is>
      </c>
      <c r="H52" s="15" t="inlineStr">
        <is>
          <t>(민 21:8, 개역한글)</t>
        </is>
      </c>
      <c r="I52" s="14" t="inlineStr">
        <is>
          <t>구원</t>
        </is>
      </c>
      <c r="J52" s="14" t="inlineStr">
        <is>
          <t>제단·십자가</t>
        </is>
      </c>
      <c r="K52" s="16" t="inlineStr">
        <is>
          <t>여호와께서 모세에게 이르시되 불뱀을 만들어 장대 위에 달라 물린 자마다 그것을 보면 살리라</t>
        </is>
      </c>
      <c r="L52" s="14" t="inlineStr">
        <is>
          <t>자동 입력</t>
        </is>
      </c>
      <c r="M52" s="14">
        <f>LEN(K52)</f>
        <v/>
      </c>
      <c r="N52" s="14">
        <f>IF(M52=0,"-",ROUND(3+M52/'안내'!$C$12,0))</f>
        <v/>
      </c>
      <c r="O52" s="15">
        <f>IF(K52="","(본문 입력 후 자동) | 민 21:8",IF(LEN(K52)&gt;28,LEFT(K52,28)&amp;"…",K52)&amp;" | 민 21:8")</f>
        <v/>
      </c>
      <c r="P52" s="15">
        <f>"#"&amp;SUBSTITUTE('안내'!$C$5," ","")&amp;" #성경구절 #말씀 #민수기 #구원"</f>
        <v/>
      </c>
      <c r="Q52" s="19" t="inlineStr">
        <is>
          <t>놋뱀을 바라보면 살았던 사건은 십자가의 그리스도를 바라보는 믿음을 가리킵니다(요 3:14-15).
성경 본문: 개역한글판</t>
        </is>
      </c>
      <c r="R52" s="17">
        <f>'안내'!$C$6+INT((D52-1)/'안내'!$C$7)</f>
        <v/>
      </c>
      <c r="S52" s="14">
        <f>IF(MOD(D52-1,'안내'!$C$7)=0,'안내'!$C$8,'안내'!$C$10)</f>
        <v/>
      </c>
      <c r="T52" s="14">
        <f>CHOOSE(WEEKDAY(R52,2),"월","화","수","목","금","토","일")</f>
        <v/>
      </c>
      <c r="U52" s="14" t="inlineStr">
        <is>
          <t>미착수</t>
        </is>
      </c>
      <c r="V52" s="14" t="inlineStr">
        <is>
          <t>미착수</t>
        </is>
      </c>
      <c r="W52" s="18" t="n"/>
      <c r="X52" s="18" t="n"/>
      <c r="Y52" s="15" t="n"/>
      <c r="Z52" s="15" t="inlineStr"/>
      <c r="AA52" s="15" t="inlineStr">
        <is>
          <t>Yahweh said to Moses, “Make a ven- omous snake, and set it on a pole. It shall happen that everyone who is bitten, when he sees it, shall live.”</t>
        </is>
      </c>
    </row>
    <row r="53">
      <c r="A53" s="13" t="n">
        <v>52</v>
      </c>
      <c r="B53" s="13" t="inlineStr">
        <is>
          <t>W0052</t>
        </is>
      </c>
      <c r="C53" s="13" t="inlineStr">
        <is>
          <t>구약</t>
        </is>
      </c>
      <c r="D53" s="13" t="n">
        <v>52</v>
      </c>
      <c r="E53" s="13">
        <f>C53&amp;"말씀 #"&amp;TEXT(D53,"000")</f>
        <v/>
      </c>
      <c r="F53" s="14" t="inlineStr">
        <is>
          <t>민수기</t>
        </is>
      </c>
      <c r="G53" s="14" t="inlineStr">
        <is>
          <t>23:19</t>
        </is>
      </c>
      <c r="H53" s="15" t="inlineStr">
        <is>
          <t>(민 23:19, 개역한글)</t>
        </is>
      </c>
      <c r="I53" s="14" t="inlineStr">
        <is>
          <t>신실하심</t>
        </is>
      </c>
      <c r="J53" s="14" t="inlineStr">
        <is>
          <t>바위산·광야</t>
        </is>
      </c>
      <c r="K53" s="16" t="inlineStr">
        <is>
          <t>하나님은 인생이 아니시니 식언치 않으시고 인자가 아니시니 후회가 없으시도다 어찌 그 말씀하신 바를 행치 않으시며 하신 말씀을 실행치 않으시랴</t>
        </is>
      </c>
      <c r="L53" s="14" t="inlineStr">
        <is>
          <t>자동 입력</t>
        </is>
      </c>
      <c r="M53" s="14">
        <f>LEN(K53)</f>
        <v/>
      </c>
      <c r="N53" s="14">
        <f>IF(M53=0,"-",ROUND(3+M53/'안내'!$C$12,0))</f>
        <v/>
      </c>
      <c r="O53" s="15">
        <f>IF(K53="","(본문 입력 후 자동) | 민 23:19",IF(LEN(K53)&gt;28,LEFT(K53,28)&amp;"…",K53)&amp;" | 민 23:19")</f>
        <v/>
      </c>
      <c r="P53" s="15">
        <f>"#"&amp;SUBSTITUTE('안내'!$C$5," ","")&amp;" #성경구절 #말씀 #민수기 #신실하심"</f>
        <v/>
      </c>
      <c r="Q53" s="15" t="inlineStr">
        <is>
          <t>성경 본문: 개역한글판</t>
        </is>
      </c>
      <c r="R53" s="17">
        <f>'안내'!$C$6+INT((D53-1)/'안내'!$C$7)</f>
        <v/>
      </c>
      <c r="S53" s="14">
        <f>IF(MOD(D53-1,'안내'!$C$7)=0,'안내'!$C$8,'안내'!$C$10)</f>
        <v/>
      </c>
      <c r="T53" s="14">
        <f>CHOOSE(WEEKDAY(R53,2),"월","화","수","목","금","토","일")</f>
        <v/>
      </c>
      <c r="U53" s="14" t="inlineStr">
        <is>
          <t>미착수</t>
        </is>
      </c>
      <c r="V53" s="14" t="inlineStr">
        <is>
          <t>미착수</t>
        </is>
      </c>
      <c r="W53" s="18" t="n"/>
      <c r="X53" s="18" t="n"/>
      <c r="Y53" s="15" t="n"/>
      <c r="Z53" s="15" t="inlineStr"/>
      <c r="AA53" s="15" t="inlineStr">
        <is>
          <t>God is not a man, that he should lie, nor a son of man, that he should repent. Has he said, and he won’t do it? Or has he spoken, and he won’t make it good?</t>
        </is>
      </c>
    </row>
    <row r="54">
      <c r="A54" s="13" t="n">
        <v>53</v>
      </c>
      <c r="B54" s="13" t="inlineStr">
        <is>
          <t>W0053</t>
        </is>
      </c>
      <c r="C54" s="13" t="inlineStr">
        <is>
          <t>구약</t>
        </is>
      </c>
      <c r="D54" s="13" t="n">
        <v>53</v>
      </c>
      <c r="E54" s="13">
        <f>C54&amp;"말씀 #"&amp;TEXT(D54,"000")</f>
        <v/>
      </c>
      <c r="F54" s="14" t="inlineStr">
        <is>
          <t>신명기</t>
        </is>
      </c>
      <c r="G54" s="14" t="inlineStr">
        <is>
          <t>4:29</t>
        </is>
      </c>
      <c r="H54" s="15" t="inlineStr">
        <is>
          <t>(신 4:29, 개역한글)</t>
        </is>
      </c>
      <c r="I54" s="14" t="inlineStr">
        <is>
          <t>기도</t>
        </is>
      </c>
      <c r="J54" s="14" t="inlineStr">
        <is>
          <t>제단·십자가</t>
        </is>
      </c>
      <c r="K54" s="16" t="inlineStr">
        <is>
          <t>그러나 네가 거기서 네 하나님 여호와를 구하게 되리니 만일 마음을 다하고 성품을 다하여 그를 구하면 만나리라</t>
        </is>
      </c>
      <c r="L54" s="14" t="inlineStr">
        <is>
          <t>자동 입력</t>
        </is>
      </c>
      <c r="M54" s="14">
        <f>LEN(K54)</f>
        <v/>
      </c>
      <c r="N54" s="14">
        <f>IF(M54=0,"-",ROUND(3+M54/'안내'!$C$12,0))</f>
        <v/>
      </c>
      <c r="O54" s="15">
        <f>IF(K54="","(본문 입력 후 자동) | 신 4:29",IF(LEN(K54)&gt;28,LEFT(K54,28)&amp;"…",K54)&amp;" | 신 4:29")</f>
        <v/>
      </c>
      <c r="P54" s="15">
        <f>"#"&amp;SUBSTITUTE('안내'!$C$5," ","")&amp;" #성경구절 #말씀 #신명기 #기도"</f>
        <v/>
      </c>
      <c r="Q54" s="15" t="inlineStr">
        <is>
          <t>성경 본문: 개역한글판</t>
        </is>
      </c>
      <c r="R54" s="17">
        <f>'안내'!$C$6+INT((D54-1)/'안내'!$C$7)</f>
        <v/>
      </c>
      <c r="S54" s="14">
        <f>IF(MOD(D54-1,'안내'!$C$7)=0,'안내'!$C$8,'안내'!$C$10)</f>
        <v/>
      </c>
      <c r="T54" s="14">
        <f>CHOOSE(WEEKDAY(R54,2),"월","화","수","목","금","토","일")</f>
        <v/>
      </c>
      <c r="U54" s="14" t="inlineStr">
        <is>
          <t>미착수</t>
        </is>
      </c>
      <c r="V54" s="14" t="inlineStr">
        <is>
          <t>미착수</t>
        </is>
      </c>
      <c r="W54" s="18" t="n"/>
      <c r="X54" s="18" t="n"/>
      <c r="Y54" s="15" t="n"/>
      <c r="Z54" s="15" t="inlineStr"/>
      <c r="AA54" s="15" t="inlineStr">
        <is>
          <t>But from there you shall seek Yahweh your God, and you will find him when you search after him with all your heart and with all your soul.</t>
        </is>
      </c>
    </row>
    <row r="55">
      <c r="A55" s="13" t="n">
        <v>54</v>
      </c>
      <c r="B55" s="13" t="inlineStr">
        <is>
          <t>W0054</t>
        </is>
      </c>
      <c r="C55" s="13" t="inlineStr">
        <is>
          <t>구약</t>
        </is>
      </c>
      <c r="D55" s="13" t="n">
        <v>54</v>
      </c>
      <c r="E55" s="13">
        <f>C55&amp;"말씀 #"&amp;TEXT(D55,"000")</f>
        <v/>
      </c>
      <c r="F55" s="14" t="inlineStr">
        <is>
          <t>신명기</t>
        </is>
      </c>
      <c r="G55" s="14" t="inlineStr">
        <is>
          <t>6:4</t>
        </is>
      </c>
      <c r="H55" s="15" t="inlineStr">
        <is>
          <t>(신 6:4, 개역한글)</t>
        </is>
      </c>
      <c r="I55" s="14" t="inlineStr">
        <is>
          <t>하나님</t>
        </is>
      </c>
      <c r="J55" s="14" t="inlineStr">
        <is>
          <t>하늘·별</t>
        </is>
      </c>
      <c r="K55" s="16" t="inlineStr">
        <is>
          <t>이스라엘아 들으라 우리 하나님 여호와는 오직 하나인 여호와시니</t>
        </is>
      </c>
      <c r="L55" s="14" t="inlineStr">
        <is>
          <t>자동 입력</t>
        </is>
      </c>
      <c r="M55" s="14">
        <f>LEN(K55)</f>
        <v/>
      </c>
      <c r="N55" s="14">
        <f>IF(M55=0,"-",ROUND(3+M55/'안내'!$C$12,0))</f>
        <v/>
      </c>
      <c r="O55" s="15">
        <f>IF(K55="","(본문 입력 후 자동) | 신 6:4",IF(LEN(K55)&gt;28,LEFT(K55,28)&amp;"…",K55)&amp;" | 신 6:4")</f>
        <v/>
      </c>
      <c r="P55" s="15">
        <f>"#"&amp;SUBSTITUTE('안내'!$C$5," ","")&amp;" #성경구절 #말씀 #신명기 #하나님"</f>
        <v/>
      </c>
      <c r="Q55" s="15" t="inlineStr">
        <is>
          <t>성경 본문: 개역한글판</t>
        </is>
      </c>
      <c r="R55" s="17">
        <f>'안내'!$C$6+INT((D55-1)/'안내'!$C$7)</f>
        <v/>
      </c>
      <c r="S55" s="14">
        <f>IF(MOD(D55-1,'안내'!$C$7)=0,'안내'!$C$8,'안내'!$C$10)</f>
        <v/>
      </c>
      <c r="T55" s="14">
        <f>CHOOSE(WEEKDAY(R55,2),"월","화","수","목","금","토","일")</f>
        <v/>
      </c>
      <c r="U55" s="14" t="inlineStr">
        <is>
          <t>미착수</t>
        </is>
      </c>
      <c r="V55" s="14" t="inlineStr">
        <is>
          <t>미착수</t>
        </is>
      </c>
      <c r="W55" s="18" t="n"/>
      <c r="X55" s="18" t="n"/>
      <c r="Y55" s="15" t="n"/>
      <c r="Z55" s="15" t="inlineStr"/>
      <c r="AA55" s="15" t="inlineStr">
        <is>
          <t>Hear, Israel: Yahweh is our God. Yah- weh is one.</t>
        </is>
      </c>
    </row>
    <row r="56">
      <c r="A56" s="13" t="n">
        <v>55</v>
      </c>
      <c r="B56" s="13" t="inlineStr">
        <is>
          <t>W0055</t>
        </is>
      </c>
      <c r="C56" s="13" t="inlineStr">
        <is>
          <t>구약</t>
        </is>
      </c>
      <c r="D56" s="13" t="n">
        <v>55</v>
      </c>
      <c r="E56" s="13">
        <f>C56&amp;"말씀 #"&amp;TEXT(D56,"000")</f>
        <v/>
      </c>
      <c r="F56" s="14" t="inlineStr">
        <is>
          <t>신명기</t>
        </is>
      </c>
      <c r="G56" s="14" t="inlineStr">
        <is>
          <t>6:5</t>
        </is>
      </c>
      <c r="H56" s="15" t="inlineStr">
        <is>
          <t>(신 6:5, 개역한글)</t>
        </is>
      </c>
      <c r="I56" s="14" t="inlineStr">
        <is>
          <t>사랑</t>
        </is>
      </c>
      <c r="J56" s="14" t="inlineStr">
        <is>
          <t>창가·식탁</t>
        </is>
      </c>
      <c r="K56" s="16" t="inlineStr">
        <is>
          <t>너는 마음을 다하고 성품을 다하고 힘을 다하여 네 하나님 여호와를 사랑하라</t>
        </is>
      </c>
      <c r="L56" s="14" t="inlineStr">
        <is>
          <t>자동 입력</t>
        </is>
      </c>
      <c r="M56" s="14">
        <f>LEN(K56)</f>
        <v/>
      </c>
      <c r="N56" s="14">
        <f>IF(M56=0,"-",ROUND(3+M56/'안내'!$C$12,0))</f>
        <v/>
      </c>
      <c r="O56" s="15">
        <f>IF(K56="","(본문 입력 후 자동) | 신 6:5",IF(LEN(K56)&gt;28,LEFT(K56,28)&amp;"…",K56)&amp;" | 신 6:5")</f>
        <v/>
      </c>
      <c r="P56" s="15">
        <f>"#"&amp;SUBSTITUTE('안내'!$C$5," ","")&amp;" #성경구절 #말씀 #신명기 #사랑"</f>
        <v/>
      </c>
      <c r="Q56" s="15" t="inlineStr">
        <is>
          <t>성경 본문: 개역한글판</t>
        </is>
      </c>
      <c r="R56" s="17">
        <f>'안내'!$C$6+INT((D56-1)/'안내'!$C$7)</f>
        <v/>
      </c>
      <c r="S56" s="14">
        <f>IF(MOD(D56-1,'안내'!$C$7)=0,'안내'!$C$8,'안내'!$C$10)</f>
        <v/>
      </c>
      <c r="T56" s="14">
        <f>CHOOSE(WEEKDAY(R56,2),"월","화","수","목","금","토","일")</f>
        <v/>
      </c>
      <c r="U56" s="14" t="inlineStr">
        <is>
          <t>미착수</t>
        </is>
      </c>
      <c r="V56" s="14" t="inlineStr">
        <is>
          <t>미착수</t>
        </is>
      </c>
      <c r="W56" s="18" t="n"/>
      <c r="X56" s="18" t="n"/>
      <c r="Y56" s="15" t="n"/>
      <c r="Z56" s="15" t="inlineStr"/>
      <c r="AA56" s="15" t="inlineStr">
        <is>
          <t>You shall love Yahweh your God with all your heart, with all your soul, and with all your might.</t>
        </is>
      </c>
    </row>
    <row r="57">
      <c r="A57" s="13" t="n">
        <v>56</v>
      </c>
      <c r="B57" s="13" t="inlineStr">
        <is>
          <t>W0056</t>
        </is>
      </c>
      <c r="C57" s="13" t="inlineStr">
        <is>
          <t>구약</t>
        </is>
      </c>
      <c r="D57" s="13" t="n">
        <v>56</v>
      </c>
      <c r="E57" s="13">
        <f>C57&amp;"말씀 #"&amp;TEXT(D57,"000")</f>
        <v/>
      </c>
      <c r="F57" s="14" t="inlineStr">
        <is>
          <t>신명기</t>
        </is>
      </c>
      <c r="G57" s="14" t="inlineStr">
        <is>
          <t>6:6</t>
        </is>
      </c>
      <c r="H57" s="15" t="inlineStr">
        <is>
          <t>(신 6:6, 개역한글)</t>
        </is>
      </c>
      <c r="I57" s="14" t="inlineStr">
        <is>
          <t>말씀</t>
        </is>
      </c>
      <c r="J57" s="14" t="inlineStr">
        <is>
          <t>들판·나무</t>
        </is>
      </c>
      <c r="K57" s="16" t="inlineStr">
        <is>
          <t>오늘날 내가 네게 명하는 이 말씀을 너는 마음에 새기고</t>
        </is>
      </c>
      <c r="L57" s="14" t="inlineStr">
        <is>
          <t>자동 입력</t>
        </is>
      </c>
      <c r="M57" s="14">
        <f>LEN(K57)</f>
        <v/>
      </c>
      <c r="N57" s="14">
        <f>IF(M57=0,"-",ROUND(3+M57/'안내'!$C$12,0))</f>
        <v/>
      </c>
      <c r="O57" s="15">
        <f>IF(K57="","(본문 입력 후 자동) | 신 6:6",IF(LEN(K57)&gt;28,LEFT(K57,28)&amp;"…",K57)&amp;" | 신 6:6")</f>
        <v/>
      </c>
      <c r="P57" s="15">
        <f>"#"&amp;SUBSTITUTE('안내'!$C$5," ","")&amp;" #성경구절 #말씀 #신명기 #말씀"</f>
        <v/>
      </c>
      <c r="Q57" s="15" t="inlineStr">
        <is>
          <t>성경 본문: 개역한글판</t>
        </is>
      </c>
      <c r="R57" s="17">
        <f>'안내'!$C$6+INT((D57-1)/'안내'!$C$7)</f>
        <v/>
      </c>
      <c r="S57" s="14">
        <f>IF(MOD(D57-1,'안내'!$C$7)=0,'안내'!$C$8,'안내'!$C$10)</f>
        <v/>
      </c>
      <c r="T57" s="14">
        <f>CHOOSE(WEEKDAY(R57,2),"월","화","수","목","금","토","일")</f>
        <v/>
      </c>
      <c r="U57" s="14" t="inlineStr">
        <is>
          <t>미착수</t>
        </is>
      </c>
      <c r="V57" s="14" t="inlineStr">
        <is>
          <t>미착수</t>
        </is>
      </c>
      <c r="W57" s="18" t="n"/>
      <c r="X57" s="18" t="n"/>
      <c r="Y57" s="15" t="n"/>
      <c r="Z57" s="15" t="inlineStr"/>
      <c r="AA57" s="15" t="inlineStr">
        <is>
          <t>These words, which I command you today, shall be on your heart;</t>
        </is>
      </c>
    </row>
    <row r="58">
      <c r="A58" s="13" t="n">
        <v>57</v>
      </c>
      <c r="B58" s="13" t="inlineStr">
        <is>
          <t>W0057</t>
        </is>
      </c>
      <c r="C58" s="13" t="inlineStr">
        <is>
          <t>구약</t>
        </is>
      </c>
      <c r="D58" s="13" t="n">
        <v>57</v>
      </c>
      <c r="E58" s="13">
        <f>C58&amp;"말씀 #"&amp;TEXT(D58,"000")</f>
        <v/>
      </c>
      <c r="F58" s="14" t="inlineStr">
        <is>
          <t>신명기</t>
        </is>
      </c>
      <c r="G58" s="14" t="inlineStr">
        <is>
          <t>6:7</t>
        </is>
      </c>
      <c r="H58" s="15" t="inlineStr">
        <is>
          <t>(신 6:7, 개역한글)</t>
        </is>
      </c>
      <c r="I58" s="14" t="inlineStr">
        <is>
          <t>가정</t>
        </is>
      </c>
      <c r="J58" s="14" t="inlineStr">
        <is>
          <t>창가·식탁</t>
        </is>
      </c>
      <c r="K58" s="16" t="inlineStr">
        <is>
          <t>네 자녀에게 부지런히 가르치며 집에 앉았을 때에든지 길에 행할 때에든지 누웠을 때에든지 일어날 때에든지 이 말씀을 강론할 것이며</t>
        </is>
      </c>
      <c r="L58" s="14" t="inlineStr">
        <is>
          <t>자동 입력 · 대조 필요</t>
        </is>
      </c>
      <c r="M58" s="14">
        <f>LEN(K58)</f>
        <v/>
      </c>
      <c r="N58" s="14">
        <f>IF(M58=0,"-",ROUND(3+M58/'안내'!$C$12,0))</f>
        <v/>
      </c>
      <c r="O58" s="15">
        <f>IF(K58="","(본문 입력 후 자동) | 신 6:7",IF(LEN(K58)&gt;28,LEFT(K58,28)&amp;"…",K58)&amp;" | 신 6:7")</f>
        <v/>
      </c>
      <c r="P58" s="15">
        <f>"#"&amp;SUBSTITUTE('안내'!$C$5," ","")&amp;" #성경구절 #말씀 #신명기 #가정"</f>
        <v/>
      </c>
      <c r="Q58" s="15" t="inlineStr">
        <is>
          <t>성경 본문: 개역한글판</t>
        </is>
      </c>
      <c r="R58" s="17">
        <f>'안내'!$C$6+INT((D58-1)/'안내'!$C$7)</f>
        <v/>
      </c>
      <c r="S58" s="14">
        <f>IF(MOD(D58-1,'안내'!$C$7)=0,'안내'!$C$8,'안내'!$C$10)</f>
        <v/>
      </c>
      <c r="T58" s="14">
        <f>CHOOSE(WEEKDAY(R58,2),"월","화","수","목","금","토","일")</f>
        <v/>
      </c>
      <c r="U58" s="14" t="inlineStr">
        <is>
          <t>미착수</t>
        </is>
      </c>
      <c r="V58" s="14" t="inlineStr">
        <is>
          <t>미착수</t>
        </is>
      </c>
      <c r="W58" s="18" t="n"/>
      <c r="X58" s="18" t="n"/>
      <c r="Y58" s="15" t="n"/>
      <c r="Z58" s="15" t="inlineStr">
        <is>
          <t>줄바꿈 띄어쓰기 확인</t>
        </is>
      </c>
      <c r="AA58" s="15" t="inlineStr">
        <is>
          <t>and you shall teach them diligently to your children, and shall talk of them when you sit in your house, and when you walk by the way, and when you lie down, and when you rise up.</t>
        </is>
      </c>
    </row>
    <row r="59">
      <c r="A59" s="13" t="n">
        <v>58</v>
      </c>
      <c r="B59" s="13" t="inlineStr">
        <is>
          <t>W0058</t>
        </is>
      </c>
      <c r="C59" s="13" t="inlineStr">
        <is>
          <t>구약</t>
        </is>
      </c>
      <c r="D59" s="13" t="n">
        <v>58</v>
      </c>
      <c r="E59" s="13">
        <f>C59&amp;"말씀 #"&amp;TEXT(D59,"000")</f>
        <v/>
      </c>
      <c r="F59" s="14" t="inlineStr">
        <is>
          <t>신명기</t>
        </is>
      </c>
      <c r="G59" s="14" t="inlineStr">
        <is>
          <t>7:9</t>
        </is>
      </c>
      <c r="H59" s="15" t="inlineStr">
        <is>
          <t>(신 7:9, 개역한글)</t>
        </is>
      </c>
      <c r="I59" s="14" t="inlineStr">
        <is>
          <t>신실하심</t>
        </is>
      </c>
      <c r="J59" s="14" t="inlineStr">
        <is>
          <t>바위산·광야</t>
        </is>
      </c>
      <c r="K59" s="16" t="inlineStr">
        <is>
          <t>그런즉 너는 알라 오직 네 하나님 여호와는 하나님이시요 신실하신 하나님이시라 그를 사랑하고 그 계명을 지키는 자에게는 천 대까지 그 언약을 이행하시며 인애를 베푸시되</t>
        </is>
      </c>
      <c r="L59" s="14" t="inlineStr">
        <is>
          <t>자동 입력</t>
        </is>
      </c>
      <c r="M59" s="14">
        <f>LEN(K59)</f>
        <v/>
      </c>
      <c r="N59" s="14">
        <f>IF(M59=0,"-",ROUND(3+M59/'안내'!$C$12,0))</f>
        <v/>
      </c>
      <c r="O59" s="15">
        <f>IF(K59="","(본문 입력 후 자동) | 신 7:9",IF(LEN(K59)&gt;28,LEFT(K59,28)&amp;"…",K59)&amp;" | 신 7:9")</f>
        <v/>
      </c>
      <c r="P59" s="15">
        <f>"#"&amp;SUBSTITUTE('안내'!$C$5," ","")&amp;" #성경구절 #말씀 #신명기 #신실하심"</f>
        <v/>
      </c>
      <c r="Q59" s="15" t="inlineStr">
        <is>
          <t>성경 본문: 개역한글판</t>
        </is>
      </c>
      <c r="R59" s="17">
        <f>'안내'!$C$6+INT((D59-1)/'안내'!$C$7)</f>
        <v/>
      </c>
      <c r="S59" s="14">
        <f>IF(MOD(D59-1,'안내'!$C$7)=0,'안내'!$C$8,'안내'!$C$10)</f>
        <v/>
      </c>
      <c r="T59" s="14">
        <f>CHOOSE(WEEKDAY(R59,2),"월","화","수","목","금","토","일")</f>
        <v/>
      </c>
      <c r="U59" s="14" t="inlineStr">
        <is>
          <t>미착수</t>
        </is>
      </c>
      <c r="V59" s="14" t="inlineStr">
        <is>
          <t>미착수</t>
        </is>
      </c>
      <c r="W59" s="18" t="n"/>
      <c r="X59" s="18" t="n"/>
      <c r="Y59" s="15" t="n"/>
      <c r="Z59" s="15" t="inlineStr"/>
      <c r="AA59" s="15" t="inlineStr">
        <is>
          <t>Know therefore that Yahweh your God himself is God, the faithful God, who keeps covenant and loving kindness to a thousand generations with those who love him and keep his commandments,</t>
        </is>
      </c>
    </row>
    <row r="60">
      <c r="A60" s="13" t="n">
        <v>59</v>
      </c>
      <c r="B60" s="13" t="inlineStr">
        <is>
          <t>W0059</t>
        </is>
      </c>
      <c r="C60" s="13" t="inlineStr">
        <is>
          <t>구약</t>
        </is>
      </c>
      <c r="D60" s="13" t="n">
        <v>59</v>
      </c>
      <c r="E60" s="13">
        <f>C60&amp;"말씀 #"&amp;TEXT(D60,"000")</f>
        <v/>
      </c>
      <c r="F60" s="14" t="inlineStr">
        <is>
          <t>신명기</t>
        </is>
      </c>
      <c r="G60" s="14" t="inlineStr">
        <is>
          <t>8:3</t>
        </is>
      </c>
      <c r="H60" s="15" t="inlineStr">
        <is>
          <t>(신 8:3, 개역한글)</t>
        </is>
      </c>
      <c r="I60" s="14" t="inlineStr">
        <is>
          <t>말씀</t>
        </is>
      </c>
      <c r="J60" s="14" t="inlineStr">
        <is>
          <t>들판·나무</t>
        </is>
      </c>
      <c r="K60" s="16" t="inlineStr">
        <is>
          <t>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t>
        </is>
      </c>
      <c r="L60" s="14" t="inlineStr">
        <is>
          <t>자동 입력</t>
        </is>
      </c>
      <c r="M60" s="14">
        <f>LEN(K60)</f>
        <v/>
      </c>
      <c r="N60" s="14">
        <f>IF(M60=0,"-",ROUND(3+M60/'안내'!$C$12,0))</f>
        <v/>
      </c>
      <c r="O60" s="15">
        <f>IF(K60="","(본문 입력 후 자동) | 신 8:3",IF(LEN(K60)&gt;28,LEFT(K60,28)&amp;"…",K60)&amp;" | 신 8:3")</f>
        <v/>
      </c>
      <c r="P60" s="15">
        <f>"#"&amp;SUBSTITUTE('안내'!$C$5," ","")&amp;" #성경구절 #말씀 #신명기 #말씀"</f>
        <v/>
      </c>
      <c r="Q60" s="15" t="inlineStr">
        <is>
          <t>성경 본문: 개역한글판</t>
        </is>
      </c>
      <c r="R60" s="17">
        <f>'안내'!$C$6+INT((D60-1)/'안내'!$C$7)</f>
        <v/>
      </c>
      <c r="S60" s="14">
        <f>IF(MOD(D60-1,'안내'!$C$7)=0,'안내'!$C$8,'안내'!$C$10)</f>
        <v/>
      </c>
      <c r="T60" s="14">
        <f>CHOOSE(WEEKDAY(R60,2),"월","화","수","목","금","토","일")</f>
        <v/>
      </c>
      <c r="U60" s="14" t="inlineStr">
        <is>
          <t>미착수</t>
        </is>
      </c>
      <c r="V60" s="14" t="inlineStr">
        <is>
          <t>미착수</t>
        </is>
      </c>
      <c r="W60" s="18" t="n"/>
      <c r="X60" s="18" t="n"/>
      <c r="Y60" s="15" t="n"/>
      <c r="Z60" s="15" t="inlineStr"/>
      <c r="AA60" s="15" t="inlineStr">
        <is>
          <t>He humbled you, allowed you to be hungry, and fed you with manna, which you didn’t know, neither did your fathers know, that he might teach you that man does not live by bread only, but man lives by every word that proceeds out of Yah- weh’s mouth.</t>
        </is>
      </c>
    </row>
    <row r="61">
      <c r="A61" s="13" t="n">
        <v>60</v>
      </c>
      <c r="B61" s="13" t="inlineStr">
        <is>
          <t>W0060</t>
        </is>
      </c>
      <c r="C61" s="13" t="inlineStr">
        <is>
          <t>구약</t>
        </is>
      </c>
      <c r="D61" s="13" t="n">
        <v>60</v>
      </c>
      <c r="E61" s="13">
        <f>C61&amp;"말씀 #"&amp;TEXT(D61,"000")</f>
        <v/>
      </c>
      <c r="F61" s="14" t="inlineStr">
        <is>
          <t>신명기</t>
        </is>
      </c>
      <c r="G61" s="14" t="inlineStr">
        <is>
          <t>10:12</t>
        </is>
      </c>
      <c r="H61" s="15" t="inlineStr">
        <is>
          <t>(신 10:12, 개역한글)</t>
        </is>
      </c>
      <c r="I61" s="14" t="inlineStr">
        <is>
          <t>순종</t>
        </is>
      </c>
      <c r="J61" s="14" t="inlineStr">
        <is>
          <t>길·등불</t>
        </is>
      </c>
      <c r="K61" s="16" t="inlineStr">
        <is>
          <t>이스라엘아 네 하나님 여호와께서 네게 요구하시는 것이 무엇이냐 곧 네 하나님 여호와를 경외하여 그 모든 도를 행하고 그를 사랑하며 마음을 다하고 성품을 다하여 네 하나님 여호와를 섬기고</t>
        </is>
      </c>
      <c r="L61" s="14" t="inlineStr">
        <is>
          <t>자동 입력</t>
        </is>
      </c>
      <c r="M61" s="14">
        <f>LEN(K61)</f>
        <v/>
      </c>
      <c r="N61" s="14">
        <f>IF(M61=0,"-",ROUND(3+M61/'안내'!$C$12,0))</f>
        <v/>
      </c>
      <c r="O61" s="15">
        <f>IF(K61="","(본문 입력 후 자동) | 신 10:12",IF(LEN(K61)&gt;28,LEFT(K61,28)&amp;"…",K61)&amp;" | 신 10:12")</f>
        <v/>
      </c>
      <c r="P61" s="15">
        <f>"#"&amp;SUBSTITUTE('안내'!$C$5," ","")&amp;" #성경구절 #말씀 #신명기 #순종"</f>
        <v/>
      </c>
      <c r="Q61" s="15" t="inlineStr">
        <is>
          <t>성경 본문: 개역한글판</t>
        </is>
      </c>
      <c r="R61" s="17">
        <f>'안내'!$C$6+INT((D61-1)/'안내'!$C$7)</f>
        <v/>
      </c>
      <c r="S61" s="14">
        <f>IF(MOD(D61-1,'안내'!$C$7)=0,'안내'!$C$8,'안내'!$C$10)</f>
        <v/>
      </c>
      <c r="T61" s="14">
        <f>CHOOSE(WEEKDAY(R61,2),"월","화","수","목","금","토","일")</f>
        <v/>
      </c>
      <c r="U61" s="14" t="inlineStr">
        <is>
          <t>미착수</t>
        </is>
      </c>
      <c r="V61" s="14" t="inlineStr">
        <is>
          <t>미착수</t>
        </is>
      </c>
      <c r="W61" s="18" t="n"/>
      <c r="X61" s="18" t="n"/>
      <c r="Y61" s="15" t="n"/>
      <c r="Z61" s="15" t="inlineStr"/>
      <c r="AA61" s="15" t="inlineStr">
        <is>
          <t>Now, Israel, what does Yahweh your God require of you, but to fear Yahweh your God, to walk in all his ways, to love him, and to serve Yahweh your God with all your heart and with all your soul,</t>
        </is>
      </c>
    </row>
    <row r="62">
      <c r="A62" s="13" t="n">
        <v>61</v>
      </c>
      <c r="B62" s="13" t="inlineStr">
        <is>
          <t>W0061</t>
        </is>
      </c>
      <c r="C62" s="13" t="inlineStr">
        <is>
          <t>구약</t>
        </is>
      </c>
      <c r="D62" s="13" t="n">
        <v>61</v>
      </c>
      <c r="E62" s="13">
        <f>C62&amp;"말씀 #"&amp;TEXT(D62,"000")</f>
        <v/>
      </c>
      <c r="F62" s="14" t="inlineStr">
        <is>
          <t>신명기</t>
        </is>
      </c>
      <c r="G62" s="14" t="inlineStr">
        <is>
          <t>29:29</t>
        </is>
      </c>
      <c r="H62" s="15" t="inlineStr">
        <is>
          <t>(신 29:29, 개역한글)</t>
        </is>
      </c>
      <c r="I62" s="14" t="inlineStr">
        <is>
          <t>말씀</t>
        </is>
      </c>
      <c r="J62" s="14" t="inlineStr">
        <is>
          <t>들판·나무</t>
        </is>
      </c>
      <c r="K62" s="16" t="inlineStr">
        <is>
          <t>오묘한 일은 우리 하나님 여호와께 속하였거니와 나타난 일은 영구히 우리와 우리 자손에게 속하였나니 이는 우리로 이 율법의 모든 말씀을 행하게 하심이니라</t>
        </is>
      </c>
      <c r="L62" s="14" t="inlineStr">
        <is>
          <t>자동 입력</t>
        </is>
      </c>
      <c r="M62" s="14">
        <f>LEN(K62)</f>
        <v/>
      </c>
      <c r="N62" s="14">
        <f>IF(M62=0,"-",ROUND(3+M62/'안내'!$C$12,0))</f>
        <v/>
      </c>
      <c r="O62" s="15">
        <f>IF(K62="","(본문 입력 후 자동) | 신 29:29",IF(LEN(K62)&gt;28,LEFT(K62,28)&amp;"…",K62)&amp;" | 신 29:29")</f>
        <v/>
      </c>
      <c r="P62" s="15">
        <f>"#"&amp;SUBSTITUTE('안내'!$C$5," ","")&amp;" #성경구절 #말씀 #신명기 #말씀"</f>
        <v/>
      </c>
      <c r="Q62" s="15" t="inlineStr">
        <is>
          <t>성경 본문: 개역한글판</t>
        </is>
      </c>
      <c r="R62" s="17">
        <f>'안내'!$C$6+INT((D62-1)/'안내'!$C$7)</f>
        <v/>
      </c>
      <c r="S62" s="14">
        <f>IF(MOD(D62-1,'안내'!$C$7)=0,'안내'!$C$8,'안내'!$C$10)</f>
        <v/>
      </c>
      <c r="T62" s="14">
        <f>CHOOSE(WEEKDAY(R62,2),"월","화","수","목","금","토","일")</f>
        <v/>
      </c>
      <c r="U62" s="14" t="inlineStr">
        <is>
          <t>미착수</t>
        </is>
      </c>
      <c r="V62" s="14" t="inlineStr">
        <is>
          <t>미착수</t>
        </is>
      </c>
      <c r="W62" s="18" t="n"/>
      <c r="X62" s="18" t="n"/>
      <c r="Y62" s="15" t="n"/>
      <c r="Z62" s="15" t="inlineStr"/>
      <c r="AA62" s="15" t="inlineStr">
        <is>
          <t>The secret things belong to Yahweh our God; but the things that are revealed belong to us and to our children forever, that we may do all the words of this law.</t>
        </is>
      </c>
    </row>
    <row r="63">
      <c r="A63" s="13" t="n">
        <v>62</v>
      </c>
      <c r="B63" s="13" t="inlineStr">
        <is>
          <t>W0062</t>
        </is>
      </c>
      <c r="C63" s="13" t="inlineStr">
        <is>
          <t>구약</t>
        </is>
      </c>
      <c r="D63" s="13" t="n">
        <v>62</v>
      </c>
      <c r="E63" s="13">
        <f>C63&amp;"말씀 #"&amp;TEXT(D63,"000")</f>
        <v/>
      </c>
      <c r="F63" s="14" t="inlineStr">
        <is>
          <t>신명기</t>
        </is>
      </c>
      <c r="G63" s="14" t="inlineStr">
        <is>
          <t>30:19</t>
        </is>
      </c>
      <c r="H63" s="15" t="inlineStr">
        <is>
          <t>(신 30:19, 개역한글)</t>
        </is>
      </c>
      <c r="I63" s="14" t="inlineStr">
        <is>
          <t>생명</t>
        </is>
      </c>
      <c r="J63" s="14" t="inlineStr">
        <is>
          <t>새벽빛</t>
        </is>
      </c>
      <c r="K63" s="16" t="inlineStr">
        <is>
          <t>내가 오늘날 천지를 불러서 너희에게 증거를 삼노라 내가 생명과 사망과 복과 저주를 네 앞에 두었은즉 너와 네 자손이 살기 위하여 생명을 택하고</t>
        </is>
      </c>
      <c r="L63" s="14" t="inlineStr">
        <is>
          <t>자동 입력</t>
        </is>
      </c>
      <c r="M63" s="14">
        <f>LEN(K63)</f>
        <v/>
      </c>
      <c r="N63" s="14">
        <f>IF(M63=0,"-",ROUND(3+M63/'안내'!$C$12,0))</f>
        <v/>
      </c>
      <c r="O63" s="15">
        <f>IF(K63="","(본문 입력 후 자동) | 신 30:19",IF(LEN(K63)&gt;28,LEFT(K63,28)&amp;"…",K63)&amp;" | 신 30:19")</f>
        <v/>
      </c>
      <c r="P63" s="15">
        <f>"#"&amp;SUBSTITUTE('안내'!$C$5," ","")&amp;" #성경구절 #말씀 #신명기 #생명"</f>
        <v/>
      </c>
      <c r="Q63" s="15" t="inlineStr">
        <is>
          <t>성경 본문: 개역한글판</t>
        </is>
      </c>
      <c r="R63" s="17">
        <f>'안내'!$C$6+INT((D63-1)/'안내'!$C$7)</f>
        <v/>
      </c>
      <c r="S63" s="14">
        <f>IF(MOD(D63-1,'안내'!$C$7)=0,'안내'!$C$8,'안내'!$C$10)</f>
        <v/>
      </c>
      <c r="T63" s="14">
        <f>CHOOSE(WEEKDAY(R63,2),"월","화","수","목","금","토","일")</f>
        <v/>
      </c>
      <c r="U63" s="14" t="inlineStr">
        <is>
          <t>미착수</t>
        </is>
      </c>
      <c r="V63" s="14" t="inlineStr">
        <is>
          <t>미착수</t>
        </is>
      </c>
      <c r="W63" s="18" t="n"/>
      <c r="X63" s="18" t="n"/>
      <c r="Y63" s="15" t="n"/>
      <c r="Z63" s="15" t="inlineStr"/>
      <c r="AA63" s="15" t="inlineStr">
        <is>
          <t>I call heaven and earth to witness against you today that I have set before you life and death, the blessing and the curse. Therefore choose life, that you may live, you and your descendants,</t>
        </is>
      </c>
    </row>
    <row r="64">
      <c r="A64" s="13" t="n">
        <v>63</v>
      </c>
      <c r="B64" s="13" t="inlineStr">
        <is>
          <t>W0063</t>
        </is>
      </c>
      <c r="C64" s="13" t="inlineStr">
        <is>
          <t>구약</t>
        </is>
      </c>
      <c r="D64" s="13" t="n">
        <v>63</v>
      </c>
      <c r="E64" s="13">
        <f>C64&amp;"말씀 #"&amp;TEXT(D64,"000")</f>
        <v/>
      </c>
      <c r="F64" s="14" t="inlineStr">
        <is>
          <t>신명기</t>
        </is>
      </c>
      <c r="G64" s="14" t="inlineStr">
        <is>
          <t>31:6</t>
        </is>
      </c>
      <c r="H64" s="15" t="inlineStr">
        <is>
          <t>(신 31:6, 개역한글)</t>
        </is>
      </c>
      <c r="I64" s="14" t="inlineStr">
        <is>
          <t>담대함</t>
        </is>
      </c>
      <c r="J64" s="14" t="inlineStr">
        <is>
          <t>바위산·광야</t>
        </is>
      </c>
      <c r="K64" s="16" t="inlineStr">
        <is>
          <t>너는 마음을 강하게 하고 담대히 하라 그들을 두려워 말라 그들 앞에서 떨지 말라 이는 네 하나님 여호와 그가 너와 함께 행하실 것임이라 반드시 너를 떠나지 아니하시며 버리지 아니하시리라 하고</t>
        </is>
      </c>
      <c r="L64" s="14" t="inlineStr">
        <is>
          <t>자동 입력</t>
        </is>
      </c>
      <c r="M64" s="14">
        <f>LEN(K64)</f>
        <v/>
      </c>
      <c r="N64" s="14">
        <f>IF(M64=0,"-",ROUND(3+M64/'안내'!$C$12,0))</f>
        <v/>
      </c>
      <c r="O64" s="15">
        <f>IF(K64="","(본문 입력 후 자동) | 신 31:6",IF(LEN(K64)&gt;28,LEFT(K64,28)&amp;"…",K64)&amp;" | 신 31:6")</f>
        <v/>
      </c>
      <c r="P64" s="15">
        <f>"#"&amp;SUBSTITUTE('안내'!$C$5," ","")&amp;" #성경구절 #말씀 #신명기 #담대함"</f>
        <v/>
      </c>
      <c r="Q64" s="15" t="inlineStr">
        <is>
          <t>성경 본문: 개역한글판</t>
        </is>
      </c>
      <c r="R64" s="17">
        <f>'안내'!$C$6+INT((D64-1)/'안내'!$C$7)</f>
        <v/>
      </c>
      <c r="S64" s="14">
        <f>IF(MOD(D64-1,'안내'!$C$7)=0,'안내'!$C$8,'안내'!$C$10)</f>
        <v/>
      </c>
      <c r="T64" s="14">
        <f>CHOOSE(WEEKDAY(R64,2),"월","화","수","목","금","토","일")</f>
        <v/>
      </c>
      <c r="U64" s="14" t="inlineStr">
        <is>
          <t>미착수</t>
        </is>
      </c>
      <c r="V64" s="14" t="inlineStr">
        <is>
          <t>미착수</t>
        </is>
      </c>
      <c r="W64" s="18" t="n"/>
      <c r="X64" s="18" t="n"/>
      <c r="Y64" s="15" t="n"/>
      <c r="Z64" s="15" t="inlineStr"/>
      <c r="AA64" s="15" t="inlineStr">
        <is>
          <t>Be strong and courageous. Don’t be afraid or scared of them, for Yahweh your God himself is who goes with you. He will not fail you nor forsake you.”</t>
        </is>
      </c>
    </row>
    <row r="65">
      <c r="A65" s="13" t="n">
        <v>64</v>
      </c>
      <c r="B65" s="13" t="inlineStr">
        <is>
          <t>W0064</t>
        </is>
      </c>
      <c r="C65" s="13" t="inlineStr">
        <is>
          <t>구약</t>
        </is>
      </c>
      <c r="D65" s="13" t="n">
        <v>64</v>
      </c>
      <c r="E65" s="13">
        <f>C65&amp;"말씀 #"&amp;TEXT(D65,"000")</f>
        <v/>
      </c>
      <c r="F65" s="14" t="inlineStr">
        <is>
          <t>신명기</t>
        </is>
      </c>
      <c r="G65" s="14" t="inlineStr">
        <is>
          <t>31:8</t>
        </is>
      </c>
      <c r="H65" s="15" t="inlineStr">
        <is>
          <t>(신 31:8, 개역한글)</t>
        </is>
      </c>
      <c r="I65" s="14" t="inlineStr">
        <is>
          <t>동행</t>
        </is>
      </c>
      <c r="J65" s="14" t="inlineStr">
        <is>
          <t>길·등불</t>
        </is>
      </c>
      <c r="K65" s="16" t="inlineStr">
        <is>
          <t>여호와 그가 네 앞서 행하시며 너와 함께 하사 너를 떠나지 아니하시며 버리지 아니하시리니 너는 두려워 말라 놀라지 말라</t>
        </is>
      </c>
      <c r="L65" s="14" t="inlineStr">
        <is>
          <t>자동 입력</t>
        </is>
      </c>
      <c r="M65" s="14">
        <f>LEN(K65)</f>
        <v/>
      </c>
      <c r="N65" s="14">
        <f>IF(M65=0,"-",ROUND(3+M65/'안내'!$C$12,0))</f>
        <v/>
      </c>
      <c r="O65" s="15">
        <f>IF(K65="","(본문 입력 후 자동) | 신 31:8",IF(LEN(K65)&gt;28,LEFT(K65,28)&amp;"…",K65)&amp;" | 신 31:8")</f>
        <v/>
      </c>
      <c r="P65" s="15">
        <f>"#"&amp;SUBSTITUTE('안내'!$C$5," ","")&amp;" #성경구절 #말씀 #신명기 #동행"</f>
        <v/>
      </c>
      <c r="Q65" s="15" t="inlineStr">
        <is>
          <t>성경 본문: 개역한글판</t>
        </is>
      </c>
      <c r="R65" s="17">
        <f>'안내'!$C$6+INT((D65-1)/'안내'!$C$7)</f>
        <v/>
      </c>
      <c r="S65" s="14">
        <f>IF(MOD(D65-1,'안내'!$C$7)=0,'안내'!$C$8,'안내'!$C$10)</f>
        <v/>
      </c>
      <c r="T65" s="14">
        <f>CHOOSE(WEEKDAY(R65,2),"월","화","수","목","금","토","일")</f>
        <v/>
      </c>
      <c r="U65" s="14" t="inlineStr">
        <is>
          <t>미착수</t>
        </is>
      </c>
      <c r="V65" s="14" t="inlineStr">
        <is>
          <t>미착수</t>
        </is>
      </c>
      <c r="W65" s="18" t="n"/>
      <c r="X65" s="18" t="n"/>
      <c r="Y65" s="15" t="n"/>
      <c r="Z65" s="15" t="inlineStr"/>
      <c r="AA65" s="15" t="inlineStr">
        <is>
          <t>Yahweh himself is who goes before you. He will be with you. He will not fail you nor forsake you. Don’t be afraid. Don’t be discouraged.”</t>
        </is>
      </c>
    </row>
    <row r="66">
      <c r="A66" s="13" t="n">
        <v>65</v>
      </c>
      <c r="B66" s="13" t="inlineStr">
        <is>
          <t>W0065</t>
        </is>
      </c>
      <c r="C66" s="13" t="inlineStr">
        <is>
          <t>구약</t>
        </is>
      </c>
      <c r="D66" s="13" t="n">
        <v>65</v>
      </c>
      <c r="E66" s="13">
        <f>C66&amp;"말씀 #"&amp;TEXT(D66,"000")</f>
        <v/>
      </c>
      <c r="F66" s="14" t="inlineStr">
        <is>
          <t>신명기</t>
        </is>
      </c>
      <c r="G66" s="14" t="inlineStr">
        <is>
          <t>32:4</t>
        </is>
      </c>
      <c r="H66" s="15" t="inlineStr">
        <is>
          <t>(신 32:4, 개역한글)</t>
        </is>
      </c>
      <c r="I66" s="14" t="inlineStr">
        <is>
          <t>신실하심</t>
        </is>
      </c>
      <c r="J66" s="14" t="inlineStr">
        <is>
          <t>바위산·광야</t>
        </is>
      </c>
      <c r="K66" s="16" t="inlineStr">
        <is>
          <t>그는 반석이시니 그 공덕이 완전하고 그 모든 길이 공평하며 진실무망하신 하나님이시니 공의로우시고 정직하시도다</t>
        </is>
      </c>
      <c r="L66" s="14" t="inlineStr">
        <is>
          <t>자동 입력 · 대조 필요</t>
        </is>
      </c>
      <c r="M66" s="14">
        <f>LEN(K66)</f>
        <v/>
      </c>
      <c r="N66" s="14">
        <f>IF(M66=0,"-",ROUND(3+M66/'안내'!$C$12,0))</f>
        <v/>
      </c>
      <c r="O66" s="15">
        <f>IF(K66="","(본문 입력 후 자동) | 신 32:4",IF(LEN(K66)&gt;28,LEFT(K66,28)&amp;"…",K66)&amp;" | 신 32:4")</f>
        <v/>
      </c>
      <c r="P66" s="15">
        <f>"#"&amp;SUBSTITUTE('안내'!$C$5," ","")&amp;" #성경구절 #말씀 #신명기 #신실하심"</f>
        <v/>
      </c>
      <c r="Q66" s="15" t="inlineStr">
        <is>
          <t>성경 본문: 개역한글판</t>
        </is>
      </c>
      <c r="R66" s="17">
        <f>'안내'!$C$6+INT((D66-1)/'안내'!$C$7)</f>
        <v/>
      </c>
      <c r="S66" s="14">
        <f>IF(MOD(D66-1,'안내'!$C$7)=0,'안내'!$C$8,'안내'!$C$10)</f>
        <v/>
      </c>
      <c r="T66" s="14">
        <f>CHOOSE(WEEKDAY(R66,2),"월","화","수","목","금","토","일")</f>
        <v/>
      </c>
      <c r="U66" s="14" t="inlineStr">
        <is>
          <t>미착수</t>
        </is>
      </c>
      <c r="V66" s="14" t="inlineStr">
        <is>
          <t>미착수</t>
        </is>
      </c>
      <c r="W66" s="18" t="n"/>
      <c r="X66" s="18" t="n"/>
      <c r="Y66" s="15" t="n"/>
      <c r="Z66" s="15" t="inlineStr">
        <is>
          <t>줄바꿈 띄어쓰기 확인</t>
        </is>
      </c>
      <c r="AA66" s="15" t="inlineStr">
        <is>
          <t>The Rock: his work is perfect, for all his ways are just. A God of faithfulness who does no wrong, just and right is he.</t>
        </is>
      </c>
    </row>
    <row r="67">
      <c r="A67" s="13" t="n">
        <v>66</v>
      </c>
      <c r="B67" s="13" t="inlineStr">
        <is>
          <t>W0066</t>
        </is>
      </c>
      <c r="C67" s="13" t="inlineStr">
        <is>
          <t>구약</t>
        </is>
      </c>
      <c r="D67" s="13" t="n">
        <v>66</v>
      </c>
      <c r="E67" s="13">
        <f>C67&amp;"말씀 #"&amp;TEXT(D67,"000")</f>
        <v/>
      </c>
      <c r="F67" s="14" t="inlineStr">
        <is>
          <t>신명기</t>
        </is>
      </c>
      <c r="G67" s="14" t="inlineStr">
        <is>
          <t>33:27</t>
        </is>
      </c>
      <c r="H67" s="15" t="inlineStr">
        <is>
          <t>(신 33:27, 개역한글)</t>
        </is>
      </c>
      <c r="I67" s="14" t="inlineStr">
        <is>
          <t>위로</t>
        </is>
      </c>
      <c r="J67" s="14" t="inlineStr">
        <is>
          <t>잔잔한 물</t>
        </is>
      </c>
      <c r="K67" s="16" t="inlineStr">
        <is>
          <t>영원하신 하나님이 너의 처소가 되시니 그 영원하신 팔이 네 아래 있도다 그가 네 앞에서 대적을 쫓으시며 멸하라 하시도다</t>
        </is>
      </c>
      <c r="L67" s="14" t="inlineStr">
        <is>
          <t>자동 입력 · 대조 필요</t>
        </is>
      </c>
      <c r="M67" s="14">
        <f>LEN(K67)</f>
        <v/>
      </c>
      <c r="N67" s="14">
        <f>IF(M67=0,"-",ROUND(3+M67/'안내'!$C$12,0))</f>
        <v/>
      </c>
      <c r="O67" s="15">
        <f>IF(K67="","(본문 입력 후 자동) | 신 33:27",IF(LEN(K67)&gt;28,LEFT(K67,28)&amp;"…",K67)&amp;" | 신 33:27")</f>
        <v/>
      </c>
      <c r="P67" s="15">
        <f>"#"&amp;SUBSTITUTE('안내'!$C$5," ","")&amp;" #성경구절 #말씀 #신명기 #위로"</f>
        <v/>
      </c>
      <c r="Q67" s="15" t="inlineStr">
        <is>
          <t>성경 본문: 개역한글판</t>
        </is>
      </c>
      <c r="R67" s="17">
        <f>'안내'!$C$6+INT((D67-1)/'안내'!$C$7)</f>
        <v/>
      </c>
      <c r="S67" s="14">
        <f>IF(MOD(D67-1,'안내'!$C$7)=0,'안내'!$C$8,'안내'!$C$10)</f>
        <v/>
      </c>
      <c r="T67" s="14">
        <f>CHOOSE(WEEKDAY(R67,2),"월","화","수","목","금","토","일")</f>
        <v/>
      </c>
      <c r="U67" s="14" t="inlineStr">
        <is>
          <t>미착수</t>
        </is>
      </c>
      <c r="V67" s="14" t="inlineStr">
        <is>
          <t>미착수</t>
        </is>
      </c>
      <c r="W67" s="18" t="n"/>
      <c r="X67" s="18" t="n"/>
      <c r="Y67" s="15" t="n"/>
      <c r="Z67" s="15" t="inlineStr">
        <is>
          <t>줄바꿈 띄어쓰기 확인</t>
        </is>
      </c>
      <c r="AA67" s="15" t="inlineStr">
        <is>
          <t>The eternal God is your dwelling place. Underneath are the everlasting arms. He thrust out the enemy from before you, and said, ‘Destroy!’</t>
        </is>
      </c>
    </row>
    <row r="68">
      <c r="A68" s="13" t="n">
        <v>67</v>
      </c>
      <c r="B68" s="13" t="inlineStr">
        <is>
          <t>W0067</t>
        </is>
      </c>
      <c r="C68" s="13" t="inlineStr">
        <is>
          <t>구약</t>
        </is>
      </c>
      <c r="D68" s="13" t="n">
        <v>67</v>
      </c>
      <c r="E68" s="13">
        <f>C68&amp;"말씀 #"&amp;TEXT(D68,"000")</f>
        <v/>
      </c>
      <c r="F68" s="14" t="inlineStr">
        <is>
          <t>여호수아</t>
        </is>
      </c>
      <c r="G68" s="14" t="inlineStr">
        <is>
          <t>1:5</t>
        </is>
      </c>
      <c r="H68" s="15" t="inlineStr">
        <is>
          <t>(수 1:5, 개역한글)</t>
        </is>
      </c>
      <c r="I68" s="14" t="inlineStr">
        <is>
          <t>동행</t>
        </is>
      </c>
      <c r="J68" s="14" t="inlineStr">
        <is>
          <t>길·등불</t>
        </is>
      </c>
      <c r="K68" s="16" t="inlineStr">
        <is>
          <t>너의 평생에 너를 능히 당할 자 없으리니 내가 모세와 함께 있던 것같이 너와 함께 있을 것임이라 내가 너를 떠나지 아니하며 버리지 아니하리니</t>
        </is>
      </c>
      <c r="L68" s="14" t="inlineStr">
        <is>
          <t>자동 입력</t>
        </is>
      </c>
      <c r="M68" s="14">
        <f>LEN(K68)</f>
        <v/>
      </c>
      <c r="N68" s="14">
        <f>IF(M68=0,"-",ROUND(3+M68/'안내'!$C$12,0))</f>
        <v/>
      </c>
      <c r="O68" s="15">
        <f>IF(K68="","(본문 입력 후 자동) | 수 1:5",IF(LEN(K68)&gt;28,LEFT(K68,28)&amp;"…",K68)&amp;" | 수 1:5")</f>
        <v/>
      </c>
      <c r="P68" s="15">
        <f>"#"&amp;SUBSTITUTE('안내'!$C$5," ","")&amp;" #성경구절 #말씀 #여호수아 #동행"</f>
        <v/>
      </c>
      <c r="Q68" s="15" t="inlineStr">
        <is>
          <t>성경 본문: 개역한글판</t>
        </is>
      </c>
      <c r="R68" s="17">
        <f>'안내'!$C$6+INT((D68-1)/'안내'!$C$7)</f>
        <v/>
      </c>
      <c r="S68" s="14">
        <f>IF(MOD(D68-1,'안내'!$C$7)=0,'안내'!$C$8,'안내'!$C$10)</f>
        <v/>
      </c>
      <c r="T68" s="14">
        <f>CHOOSE(WEEKDAY(R68,2),"월","화","수","목","금","토","일")</f>
        <v/>
      </c>
      <c r="U68" s="14" t="inlineStr">
        <is>
          <t>미착수</t>
        </is>
      </c>
      <c r="V68" s="14" t="inlineStr">
        <is>
          <t>미착수</t>
        </is>
      </c>
      <c r="W68" s="18" t="n"/>
      <c r="X68" s="18" t="n"/>
      <c r="Y68" s="15" t="n"/>
      <c r="Z68" s="15" t="inlineStr"/>
      <c r="AA68" s="15" t="inlineStr">
        <is>
          <t>No man will be able to stand before you all the days of your life. As I was with Moses, so I will be with you. I will not fail you nor forsake you.</t>
        </is>
      </c>
    </row>
    <row r="69">
      <c r="A69" s="13" t="n">
        <v>68</v>
      </c>
      <c r="B69" s="13" t="inlineStr">
        <is>
          <t>W0068</t>
        </is>
      </c>
      <c r="C69" s="13" t="inlineStr">
        <is>
          <t>구약</t>
        </is>
      </c>
      <c r="D69" s="13" t="n">
        <v>68</v>
      </c>
      <c r="E69" s="13">
        <f>C69&amp;"말씀 #"&amp;TEXT(D69,"000")</f>
        <v/>
      </c>
      <c r="F69" s="14" t="inlineStr">
        <is>
          <t>여호수아</t>
        </is>
      </c>
      <c r="G69" s="14" t="inlineStr">
        <is>
          <t>1:8</t>
        </is>
      </c>
      <c r="H69" s="15" t="inlineStr">
        <is>
          <t>(수 1:8, 개역한글)</t>
        </is>
      </c>
      <c r="I69" s="14" t="inlineStr">
        <is>
          <t>말씀</t>
        </is>
      </c>
      <c r="J69" s="14" t="inlineStr">
        <is>
          <t>들판·나무</t>
        </is>
      </c>
      <c r="K69" s="16" t="inlineStr">
        <is>
          <t>이 율법책을 네 입에서 떠나지 말게 하며 주야로 그것을 묵상하여 그 가운데 기록한 대로 다 지켜 행하라 그리하면 네 길이 평탄하게 될 것이라 네가 형통하리라</t>
        </is>
      </c>
      <c r="L69" s="14" t="inlineStr">
        <is>
          <t>자동 입력</t>
        </is>
      </c>
      <c r="M69" s="14">
        <f>LEN(K69)</f>
        <v/>
      </c>
      <c r="N69" s="14">
        <f>IF(M69=0,"-",ROUND(3+M69/'안내'!$C$12,0))</f>
        <v/>
      </c>
      <c r="O69" s="15">
        <f>IF(K69="","(본문 입력 후 자동) | 수 1:8",IF(LEN(K69)&gt;28,LEFT(K69,28)&amp;"…",K69)&amp;" | 수 1:8")</f>
        <v/>
      </c>
      <c r="P69" s="15">
        <f>"#"&amp;SUBSTITUTE('안내'!$C$5," ","")&amp;" #성경구절 #말씀 #여호수아 #말씀"</f>
        <v/>
      </c>
      <c r="Q69" s="15" t="inlineStr">
        <is>
          <t>성경 본문: 개역한글판</t>
        </is>
      </c>
      <c r="R69" s="17">
        <f>'안내'!$C$6+INT((D69-1)/'안내'!$C$7)</f>
        <v/>
      </c>
      <c r="S69" s="14">
        <f>IF(MOD(D69-1,'안내'!$C$7)=0,'안내'!$C$8,'안내'!$C$10)</f>
        <v/>
      </c>
      <c r="T69" s="14">
        <f>CHOOSE(WEEKDAY(R69,2),"월","화","수","목","금","토","일")</f>
        <v/>
      </c>
      <c r="U69" s="14" t="inlineStr">
        <is>
          <t>미착수</t>
        </is>
      </c>
      <c r="V69" s="14" t="inlineStr">
        <is>
          <t>미착수</t>
        </is>
      </c>
      <c r="W69" s="18" t="n"/>
      <c r="X69" s="18" t="n"/>
      <c r="Y69" s="15" t="n"/>
      <c r="Z69" s="15" t="inlineStr"/>
      <c r="AA69" s="15" t="inlineStr">
        <is>
          <t>This book of the law shall not depart from your mouth, but you shall meditate on it day and night, that you may observe to do according to all that is written in it; for then you shall make your way prosperous, and then you shall have good success.</t>
        </is>
      </c>
    </row>
    <row r="70">
      <c r="A70" s="13" t="n">
        <v>69</v>
      </c>
      <c r="B70" s="13" t="inlineStr">
        <is>
          <t>W0069</t>
        </is>
      </c>
      <c r="C70" s="13" t="inlineStr">
        <is>
          <t>구약</t>
        </is>
      </c>
      <c r="D70" s="13" t="n">
        <v>69</v>
      </c>
      <c r="E70" s="13">
        <f>C70&amp;"말씀 #"&amp;TEXT(D70,"000")</f>
        <v/>
      </c>
      <c r="F70" s="14" t="inlineStr">
        <is>
          <t>여호수아</t>
        </is>
      </c>
      <c r="G70" s="14" t="inlineStr">
        <is>
          <t>1:9</t>
        </is>
      </c>
      <c r="H70" s="15" t="inlineStr">
        <is>
          <t>(수 1:9, 개역한글)</t>
        </is>
      </c>
      <c r="I70" s="14" t="inlineStr">
        <is>
          <t>담대함</t>
        </is>
      </c>
      <c r="J70" s="14" t="inlineStr">
        <is>
          <t>바위산·광야</t>
        </is>
      </c>
      <c r="K70" s="16" t="inlineStr">
        <is>
          <t>내가 네게 명한 것이 아니냐 마음을 강하게 하고 담대히 하라 두려워 말며 놀라지 말라 네가 어디로 가든지 네 하나님 나 여호와가 너와 함께 하느니라 하시니라</t>
        </is>
      </c>
      <c r="L70" s="14" t="inlineStr">
        <is>
          <t>자동 입력 · 대조 필요</t>
        </is>
      </c>
      <c r="M70" s="14">
        <f>LEN(K70)</f>
        <v/>
      </c>
      <c r="N70" s="14">
        <f>IF(M70=0,"-",ROUND(3+M70/'안내'!$C$12,0))</f>
        <v/>
      </c>
      <c r="O70" s="15">
        <f>IF(K70="","(본문 입력 후 자동) | 수 1:9",IF(LEN(K70)&gt;28,LEFT(K70,28)&amp;"…",K70)&amp;" | 수 1:9")</f>
        <v/>
      </c>
      <c r="P70" s="15">
        <f>"#"&amp;SUBSTITUTE('안내'!$C$5," ","")&amp;" #성경구절 #말씀 #여호수아 #담대함"</f>
        <v/>
      </c>
      <c r="Q70" s="15" t="inlineStr">
        <is>
          <t>성경 본문: 개역한글판</t>
        </is>
      </c>
      <c r="R70" s="17">
        <f>'안내'!$C$6+INT((D70-1)/'안내'!$C$7)</f>
        <v/>
      </c>
      <c r="S70" s="14">
        <f>IF(MOD(D70-1,'안내'!$C$7)=0,'안내'!$C$8,'안내'!$C$10)</f>
        <v/>
      </c>
      <c r="T70" s="14">
        <f>CHOOSE(WEEKDAY(R70,2),"월","화","수","목","금","토","일")</f>
        <v/>
      </c>
      <c r="U70" s="14" t="inlineStr">
        <is>
          <t>미착수</t>
        </is>
      </c>
      <c r="V70" s="14" t="inlineStr">
        <is>
          <t>미착수</t>
        </is>
      </c>
      <c r="W70" s="18" t="n"/>
      <c r="X70" s="18" t="n"/>
      <c r="Y70" s="15" t="n"/>
      <c r="Z70" s="15" t="inlineStr">
        <is>
          <t>줄바꿈 띄어쓰기 확인</t>
        </is>
      </c>
      <c r="AA70" s="15" t="inlineStr">
        <is>
          <t>Haven’t I commanded you? Be strong and courageous. Don’t be afraid. Don’t be dismayed, for Yahweh your God is with you wherever you go.”</t>
        </is>
      </c>
    </row>
    <row r="71">
      <c r="A71" s="13" t="n">
        <v>70</v>
      </c>
      <c r="B71" s="13" t="inlineStr">
        <is>
          <t>W0070</t>
        </is>
      </c>
      <c r="C71" s="13" t="inlineStr">
        <is>
          <t>구약</t>
        </is>
      </c>
      <c r="D71" s="13" t="n">
        <v>70</v>
      </c>
      <c r="E71" s="13">
        <f>C71&amp;"말씀 #"&amp;TEXT(D71,"000")</f>
        <v/>
      </c>
      <c r="F71" s="14" t="inlineStr">
        <is>
          <t>여호수아</t>
        </is>
      </c>
      <c r="G71" s="14" t="inlineStr">
        <is>
          <t>3:5</t>
        </is>
      </c>
      <c r="H71" s="15" t="inlineStr">
        <is>
          <t>(수 3:5, 개역한글)</t>
        </is>
      </c>
      <c r="I71" s="14" t="inlineStr">
        <is>
          <t>거룩</t>
        </is>
      </c>
      <c r="J71" s="14" t="inlineStr">
        <is>
          <t>하늘·별</t>
        </is>
      </c>
      <c r="K71" s="16" t="inlineStr">
        <is>
          <t>여호수아가 또 백성에게 이르되 너희는 스스로 성결케 하라 여호와께서 내일 너희 가운데 기사를 행하시리라</t>
        </is>
      </c>
      <c r="L71" s="14" t="inlineStr">
        <is>
          <t>자동 입력</t>
        </is>
      </c>
      <c r="M71" s="14">
        <f>LEN(K71)</f>
        <v/>
      </c>
      <c r="N71" s="14">
        <f>IF(M71=0,"-",ROUND(3+M71/'안내'!$C$12,0))</f>
        <v/>
      </c>
      <c r="O71" s="15">
        <f>IF(K71="","(본문 입력 후 자동) | 수 3:5",IF(LEN(K71)&gt;28,LEFT(K71,28)&amp;"…",K71)&amp;" | 수 3:5")</f>
        <v/>
      </c>
      <c r="P71" s="15">
        <f>"#"&amp;SUBSTITUTE('안내'!$C$5," ","")&amp;" #성경구절 #말씀 #여호수아 #거룩"</f>
        <v/>
      </c>
      <c r="Q71" s="15" t="inlineStr">
        <is>
          <t>성경 본문: 개역한글판</t>
        </is>
      </c>
      <c r="R71" s="17">
        <f>'안내'!$C$6+INT((D71-1)/'안내'!$C$7)</f>
        <v/>
      </c>
      <c r="S71" s="14">
        <f>IF(MOD(D71-1,'안내'!$C$7)=0,'안내'!$C$8,'안내'!$C$10)</f>
        <v/>
      </c>
      <c r="T71" s="14">
        <f>CHOOSE(WEEKDAY(R71,2),"월","화","수","목","금","토","일")</f>
        <v/>
      </c>
      <c r="U71" s="14" t="inlineStr">
        <is>
          <t>미착수</t>
        </is>
      </c>
      <c r="V71" s="14" t="inlineStr">
        <is>
          <t>미착수</t>
        </is>
      </c>
      <c r="W71" s="18" t="n"/>
      <c r="X71" s="18" t="n"/>
      <c r="Y71" s="15" t="n"/>
      <c r="Z71" s="15" t="inlineStr"/>
      <c r="AA71" s="15" t="inlineStr">
        <is>
          <t>Joshua said to the people, “Sanctify yourselves; for tomorrow Yahweh will do wonders among you.”</t>
        </is>
      </c>
    </row>
    <row r="72">
      <c r="A72" s="13" t="n">
        <v>71</v>
      </c>
      <c r="B72" s="13" t="inlineStr">
        <is>
          <t>W0071</t>
        </is>
      </c>
      <c r="C72" s="13" t="inlineStr">
        <is>
          <t>구약</t>
        </is>
      </c>
      <c r="D72" s="13" t="n">
        <v>71</v>
      </c>
      <c r="E72" s="13">
        <f>C72&amp;"말씀 #"&amp;TEXT(D72,"000")</f>
        <v/>
      </c>
      <c r="F72" s="14" t="inlineStr">
        <is>
          <t>여호수아</t>
        </is>
      </c>
      <c r="G72" s="14" t="inlineStr">
        <is>
          <t>21:45</t>
        </is>
      </c>
      <c r="H72" s="15" t="inlineStr">
        <is>
          <t>(수 21:45, 개역한글)</t>
        </is>
      </c>
      <c r="I72" s="14" t="inlineStr">
        <is>
          <t>신실하심</t>
        </is>
      </c>
      <c r="J72" s="14" t="inlineStr">
        <is>
          <t>바위산·광야</t>
        </is>
      </c>
      <c r="K72" s="16" t="inlineStr">
        <is>
          <t>여호와께서 이스라엘 족속에게 말씀하신 선한 일이 하나도 남음이 없이 다 응하였더라</t>
        </is>
      </c>
      <c r="L72" s="14" t="inlineStr">
        <is>
          <t>자동 입력</t>
        </is>
      </c>
      <c r="M72" s="14">
        <f>LEN(K72)</f>
        <v/>
      </c>
      <c r="N72" s="14">
        <f>IF(M72=0,"-",ROUND(3+M72/'안내'!$C$12,0))</f>
        <v/>
      </c>
      <c r="O72" s="15">
        <f>IF(K72="","(본문 입력 후 자동) | 수 21:45",IF(LEN(K72)&gt;28,LEFT(K72,28)&amp;"…",K72)&amp;" | 수 21:45")</f>
        <v/>
      </c>
      <c r="P72" s="15">
        <f>"#"&amp;SUBSTITUTE('안내'!$C$5," ","")&amp;" #성경구절 #말씀 #여호수아 #신실하심"</f>
        <v/>
      </c>
      <c r="Q72" s="15" t="inlineStr">
        <is>
          <t>성경 본문: 개역한글판</t>
        </is>
      </c>
      <c r="R72" s="17">
        <f>'안내'!$C$6+INT((D72-1)/'안내'!$C$7)</f>
        <v/>
      </c>
      <c r="S72" s="14">
        <f>IF(MOD(D72-1,'안내'!$C$7)=0,'안내'!$C$8,'안내'!$C$10)</f>
        <v/>
      </c>
      <c r="T72" s="14">
        <f>CHOOSE(WEEKDAY(R72,2),"월","화","수","목","금","토","일")</f>
        <v/>
      </c>
      <c r="U72" s="14" t="inlineStr">
        <is>
          <t>미착수</t>
        </is>
      </c>
      <c r="V72" s="14" t="inlineStr">
        <is>
          <t>미착수</t>
        </is>
      </c>
      <c r="W72" s="18" t="n"/>
      <c r="X72" s="18" t="n"/>
      <c r="Y72" s="15" t="n"/>
      <c r="Z72" s="15" t="inlineStr"/>
      <c r="AA72" s="15" t="inlineStr">
        <is>
          <t>Nothing failed of any good thing which Yahweh had spoken to the house of Israel. All came to pass.</t>
        </is>
      </c>
    </row>
    <row r="73">
      <c r="A73" s="13" t="n">
        <v>72</v>
      </c>
      <c r="B73" s="13" t="inlineStr">
        <is>
          <t>W0072</t>
        </is>
      </c>
      <c r="C73" s="13" t="inlineStr">
        <is>
          <t>구약</t>
        </is>
      </c>
      <c r="D73" s="13" t="n">
        <v>72</v>
      </c>
      <c r="E73" s="13">
        <f>C73&amp;"말씀 #"&amp;TEXT(D73,"000")</f>
        <v/>
      </c>
      <c r="F73" s="14" t="inlineStr">
        <is>
          <t>여호수아</t>
        </is>
      </c>
      <c r="G73" s="14" t="inlineStr">
        <is>
          <t>24:15</t>
        </is>
      </c>
      <c r="H73" s="15" t="inlineStr">
        <is>
          <t>(수 24:15, 개역한글)</t>
        </is>
      </c>
      <c r="I73" s="14" t="inlineStr">
        <is>
          <t>헌신</t>
        </is>
      </c>
      <c r="J73" s="14" t="inlineStr">
        <is>
          <t>길·등불</t>
        </is>
      </c>
      <c r="K73" s="16" t="inlineStr">
        <is>
          <t>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t>
        </is>
      </c>
      <c r="L73" s="14" t="inlineStr">
        <is>
          <t>자동 입력 · 대조 필요</t>
        </is>
      </c>
      <c r="M73" s="14">
        <f>LEN(K73)</f>
        <v/>
      </c>
      <c r="N73" s="14">
        <f>IF(M73=0,"-",ROUND(3+M73/'안내'!$C$12,0))</f>
        <v/>
      </c>
      <c r="O73" s="15">
        <f>IF(K73="","(본문 입력 후 자동) | 수 24:15",IF(LEN(K73)&gt;28,LEFT(K73,28)&amp;"…",K73)&amp;" | 수 24:15")</f>
        <v/>
      </c>
      <c r="P73" s="15">
        <f>"#"&amp;SUBSTITUTE('안내'!$C$5," ","")&amp;" #성경구절 #말씀 #여호수아 #헌신"</f>
        <v/>
      </c>
      <c r="Q73" s="15" t="inlineStr">
        <is>
          <t>성경 본문: 개역한글판</t>
        </is>
      </c>
      <c r="R73" s="17">
        <f>'안내'!$C$6+INT((D73-1)/'안내'!$C$7)</f>
        <v/>
      </c>
      <c r="S73" s="14">
        <f>IF(MOD(D73-1,'안내'!$C$7)=0,'안내'!$C$8,'안내'!$C$10)</f>
        <v/>
      </c>
      <c r="T73" s="14">
        <f>CHOOSE(WEEKDAY(R73,2),"월","화","수","목","금","토","일")</f>
        <v/>
      </c>
      <c r="U73" s="14" t="inlineStr">
        <is>
          <t>미착수</t>
        </is>
      </c>
      <c r="V73" s="14" t="inlineStr">
        <is>
          <t>미착수</t>
        </is>
      </c>
      <c r="W73" s="18" t="n"/>
      <c r="X73" s="18" t="n"/>
      <c r="Y73" s="15" t="n"/>
      <c r="Z73" s="15" t="inlineStr">
        <is>
          <t>줄바꿈 띄어쓰기 확인</t>
        </is>
      </c>
      <c r="AA73" s="15" t="inlineStr">
        <is>
          <t>If it seems evil to you to serve Yahweh, choose today whom you will serve; whether the gods which your fathers served that were beyond the River, or the gods of the Amorites, in whose land you dwell; but as for me and my house, we will serve Yahweh.”</t>
        </is>
      </c>
    </row>
    <row r="74">
      <c r="A74" s="13" t="n">
        <v>73</v>
      </c>
      <c r="B74" s="13" t="inlineStr">
        <is>
          <t>W0073</t>
        </is>
      </c>
      <c r="C74" s="13" t="inlineStr">
        <is>
          <t>구약</t>
        </is>
      </c>
      <c r="D74" s="13" t="n">
        <v>73</v>
      </c>
      <c r="E74" s="13">
        <f>C74&amp;"말씀 #"&amp;TEXT(D74,"000")</f>
        <v/>
      </c>
      <c r="F74" s="14" t="inlineStr">
        <is>
          <t>사사기</t>
        </is>
      </c>
      <c r="G74" s="14" t="inlineStr">
        <is>
          <t>6:12</t>
        </is>
      </c>
      <c r="H74" s="15" t="inlineStr">
        <is>
          <t>(삿 6:12, 개역한글)</t>
        </is>
      </c>
      <c r="I74" s="14" t="inlineStr">
        <is>
          <t>담대함</t>
        </is>
      </c>
      <c r="J74" s="14" t="inlineStr">
        <is>
          <t>바위산·광야</t>
        </is>
      </c>
      <c r="K74" s="16" t="inlineStr">
        <is>
          <t>여호와의 사자가 기드온에게 나타나 이르되 큰 용사여 여호와께서 너와 함께 계시도다</t>
        </is>
      </c>
      <c r="L74" s="14" t="inlineStr">
        <is>
          <t>자동 입력</t>
        </is>
      </c>
      <c r="M74" s="14">
        <f>LEN(K74)</f>
        <v/>
      </c>
      <c r="N74" s="14">
        <f>IF(M74=0,"-",ROUND(3+M74/'안내'!$C$12,0))</f>
        <v/>
      </c>
      <c r="O74" s="15">
        <f>IF(K74="","(본문 입력 후 자동) | 삿 6:12",IF(LEN(K74)&gt;28,LEFT(K74,28)&amp;"…",K74)&amp;" | 삿 6:12")</f>
        <v/>
      </c>
      <c r="P74" s="15">
        <f>"#"&amp;SUBSTITUTE('안내'!$C$5," ","")&amp;" #성경구절 #말씀 #사사기 #담대함"</f>
        <v/>
      </c>
      <c r="Q74" s="15" t="inlineStr">
        <is>
          <t>성경 본문: 개역한글판</t>
        </is>
      </c>
      <c r="R74" s="17">
        <f>'안내'!$C$6+INT((D74-1)/'안내'!$C$7)</f>
        <v/>
      </c>
      <c r="S74" s="14">
        <f>IF(MOD(D74-1,'안내'!$C$7)=0,'안내'!$C$8,'안내'!$C$10)</f>
        <v/>
      </c>
      <c r="T74" s="14">
        <f>CHOOSE(WEEKDAY(R74,2),"월","화","수","목","금","토","일")</f>
        <v/>
      </c>
      <c r="U74" s="14" t="inlineStr">
        <is>
          <t>미착수</t>
        </is>
      </c>
      <c r="V74" s="14" t="inlineStr">
        <is>
          <t>미착수</t>
        </is>
      </c>
      <c r="W74" s="18" t="n"/>
      <c r="X74" s="18" t="n"/>
      <c r="Y74" s="15" t="n"/>
      <c r="Z74" s="15" t="inlineStr"/>
      <c r="AA74" s="15" t="inlineStr">
        <is>
          <t>Yahweh’s angel appeared to him, and said to him, “Yahweh is with you, you mighty man of valor!”</t>
        </is>
      </c>
    </row>
    <row r="75">
      <c r="A75" s="13" t="n">
        <v>74</v>
      </c>
      <c r="B75" s="13" t="inlineStr">
        <is>
          <t>W0074</t>
        </is>
      </c>
      <c r="C75" s="13" t="inlineStr">
        <is>
          <t>구약</t>
        </is>
      </c>
      <c r="D75" s="13" t="n">
        <v>74</v>
      </c>
      <c r="E75" s="13">
        <f>C75&amp;"말씀 #"&amp;TEXT(D75,"000")</f>
        <v/>
      </c>
      <c r="F75" s="14" t="inlineStr">
        <is>
          <t>사사기</t>
        </is>
      </c>
      <c r="G75" s="14" t="inlineStr">
        <is>
          <t>6:24</t>
        </is>
      </c>
      <c r="H75" s="15" t="inlineStr">
        <is>
          <t>(삿 6:24, 개역한글)</t>
        </is>
      </c>
      <c r="I75" s="14" t="inlineStr">
        <is>
          <t>평안</t>
        </is>
      </c>
      <c r="J75" s="14" t="inlineStr">
        <is>
          <t>잔잔한 물</t>
        </is>
      </c>
      <c r="K75" s="16" t="inlineStr">
        <is>
          <t>기드온이 여호와를 위하여 거기서 단을 쌓고 이름을 여호와살롬이라 하였더라 그것이 오늘까지 아비에셀 사람에게 속한 오브라에 있더라</t>
        </is>
      </c>
      <c r="L75" s="14" t="inlineStr">
        <is>
          <t>자동 입력</t>
        </is>
      </c>
      <c r="M75" s="14">
        <f>LEN(K75)</f>
        <v/>
      </c>
      <c r="N75" s="14">
        <f>IF(M75=0,"-",ROUND(3+M75/'안내'!$C$12,0))</f>
        <v/>
      </c>
      <c r="O75" s="15">
        <f>IF(K75="","(본문 입력 후 자동) | 삿 6:24",IF(LEN(K75)&gt;28,LEFT(K75,28)&amp;"…",K75)&amp;" | 삿 6:24")</f>
        <v/>
      </c>
      <c r="P75" s="15">
        <f>"#"&amp;SUBSTITUTE('안내'!$C$5," ","")&amp;" #성경구절 #말씀 #사사기 #평안"</f>
        <v/>
      </c>
      <c r="Q75" s="15" t="inlineStr">
        <is>
          <t>성경 본문: 개역한글판</t>
        </is>
      </c>
      <c r="R75" s="17">
        <f>'안내'!$C$6+INT((D75-1)/'안내'!$C$7)</f>
        <v/>
      </c>
      <c r="S75" s="14">
        <f>IF(MOD(D75-1,'안내'!$C$7)=0,'안내'!$C$8,'안내'!$C$10)</f>
        <v/>
      </c>
      <c r="T75" s="14">
        <f>CHOOSE(WEEKDAY(R75,2),"월","화","수","목","금","토","일")</f>
        <v/>
      </c>
      <c r="U75" s="14" t="inlineStr">
        <is>
          <t>미착수</t>
        </is>
      </c>
      <c r="V75" s="14" t="inlineStr">
        <is>
          <t>미착수</t>
        </is>
      </c>
      <c r="W75" s="18" t="n"/>
      <c r="X75" s="18" t="n"/>
      <c r="Y75" s="15" t="n"/>
      <c r="Z75" s="15" t="inlineStr"/>
      <c r="AA75" s="15" t="inlineStr">
        <is>
          <t>Then Gideon built an altar there to Yahweh, and called it “Yahweh is Peace.” To this day it is still in Ophrah of the Abiezrites.</t>
        </is>
      </c>
    </row>
    <row r="76">
      <c r="A76" s="13" t="n">
        <v>75</v>
      </c>
      <c r="B76" s="13" t="inlineStr">
        <is>
          <t>W0075</t>
        </is>
      </c>
      <c r="C76" s="13" t="inlineStr">
        <is>
          <t>구약</t>
        </is>
      </c>
      <c r="D76" s="13" t="n">
        <v>75</v>
      </c>
      <c r="E76" s="13">
        <f>C76&amp;"말씀 #"&amp;TEXT(D76,"000")</f>
        <v/>
      </c>
      <c r="F76" s="14" t="inlineStr">
        <is>
          <t>사사기</t>
        </is>
      </c>
      <c r="G76" s="14" t="inlineStr">
        <is>
          <t>7:7</t>
        </is>
      </c>
      <c r="H76" s="15" t="inlineStr">
        <is>
          <t>(삿 7:7, 개역한글)</t>
        </is>
      </c>
      <c r="I76" s="14" t="inlineStr">
        <is>
          <t>능력</t>
        </is>
      </c>
      <c r="J76" s="14" t="inlineStr">
        <is>
          <t>바위산·광야</t>
        </is>
      </c>
      <c r="K76" s="16" t="inlineStr">
        <is>
          <t>여호와께서 기드온에게 이르시되 내가 이 물을 핥아 먹은 삼백 명으로 너희를 구원하며 미디안 사람을 네 손에 붙이리니 남은 백성은 각각 그 처소로 돌아갈 것이니라 하시니</t>
        </is>
      </c>
      <c r="L76" s="14" t="inlineStr">
        <is>
          <t>자동 입력</t>
        </is>
      </c>
      <c r="M76" s="14">
        <f>LEN(K76)</f>
        <v/>
      </c>
      <c r="N76" s="14">
        <f>IF(M76=0,"-",ROUND(3+M76/'안내'!$C$12,0))</f>
        <v/>
      </c>
      <c r="O76" s="15">
        <f>IF(K76="","(본문 입력 후 자동) | 삿 7:7",IF(LEN(K76)&gt;28,LEFT(K76,28)&amp;"…",K76)&amp;" | 삿 7:7")</f>
        <v/>
      </c>
      <c r="P76" s="15">
        <f>"#"&amp;SUBSTITUTE('안내'!$C$5," ","")&amp;" #성경구절 #말씀 #사사기 #능력"</f>
        <v/>
      </c>
      <c r="Q76" s="15" t="inlineStr">
        <is>
          <t>성경 본문: 개역한글판</t>
        </is>
      </c>
      <c r="R76" s="17">
        <f>'안내'!$C$6+INT((D76-1)/'안내'!$C$7)</f>
        <v/>
      </c>
      <c r="S76" s="14">
        <f>IF(MOD(D76-1,'안내'!$C$7)=0,'안내'!$C$8,'안내'!$C$10)</f>
        <v/>
      </c>
      <c r="T76" s="14">
        <f>CHOOSE(WEEKDAY(R76,2),"월","화","수","목","금","토","일")</f>
        <v/>
      </c>
      <c r="U76" s="14" t="inlineStr">
        <is>
          <t>미착수</t>
        </is>
      </c>
      <c r="V76" s="14" t="inlineStr">
        <is>
          <t>미착수</t>
        </is>
      </c>
      <c r="W76" s="18" t="n"/>
      <c r="X76" s="18" t="n"/>
      <c r="Y76" s="15" t="n"/>
      <c r="Z76" s="15" t="inlineStr"/>
      <c r="AA76" s="15" t="inlineStr">
        <is>
          <t>Yahweh said to Gideon, “I will save you by the three hundred men who lapped, and deliver the Midianites into your hand. Let all the other people go, each to his own place.”</t>
        </is>
      </c>
    </row>
    <row r="77">
      <c r="A77" s="13" t="n">
        <v>76</v>
      </c>
      <c r="B77" s="13" t="inlineStr">
        <is>
          <t>W0076</t>
        </is>
      </c>
      <c r="C77" s="13" t="inlineStr">
        <is>
          <t>구약</t>
        </is>
      </c>
      <c r="D77" s="13" t="n">
        <v>76</v>
      </c>
      <c r="E77" s="13">
        <f>C77&amp;"말씀 #"&amp;TEXT(D77,"000")</f>
        <v/>
      </c>
      <c r="F77" s="14" t="inlineStr">
        <is>
          <t>사사기</t>
        </is>
      </c>
      <c r="G77" s="14" t="inlineStr">
        <is>
          <t>16:28</t>
        </is>
      </c>
      <c r="H77" s="15" t="inlineStr">
        <is>
          <t>(삿 16:28, 개역한글)</t>
        </is>
      </c>
      <c r="I77" s="14" t="inlineStr">
        <is>
          <t>기도</t>
        </is>
      </c>
      <c r="J77" s="14" t="inlineStr">
        <is>
          <t>제단·십자가</t>
        </is>
      </c>
      <c r="K77" s="16" t="inlineStr">
        <is>
          <t>삼손이 여호와께 부르짖어 가로되 주 여호와여 구하옵나니 나를 생각하옵소서 하나님이여 구하옵나니 이번만 나로 강하게 하사 블레셋 사람이 나의 두 눈을 뺀 원수를 단번에 갚게 하옵소서 하고</t>
        </is>
      </c>
      <c r="L77" s="14" t="inlineStr">
        <is>
          <t>자동 입력</t>
        </is>
      </c>
      <c r="M77" s="14">
        <f>LEN(K77)</f>
        <v/>
      </c>
      <c r="N77" s="14">
        <f>IF(M77=0,"-",ROUND(3+M77/'안내'!$C$12,0))</f>
        <v/>
      </c>
      <c r="O77" s="15">
        <f>IF(K77="","(본문 입력 후 자동) | 삿 16:28",IF(LEN(K77)&gt;28,LEFT(K77,28)&amp;"…",K77)&amp;" | 삿 16:28")</f>
        <v/>
      </c>
      <c r="P77" s="15">
        <f>"#"&amp;SUBSTITUTE('안내'!$C$5," ","")&amp;" #성경구절 #말씀 #사사기 #기도"</f>
        <v/>
      </c>
      <c r="Q77" s="15" t="inlineStr">
        <is>
          <t>성경 본문: 개역한글판</t>
        </is>
      </c>
      <c r="R77" s="17">
        <f>'안내'!$C$6+INT((D77-1)/'안내'!$C$7)</f>
        <v/>
      </c>
      <c r="S77" s="14">
        <f>IF(MOD(D77-1,'안내'!$C$7)=0,'안내'!$C$8,'안내'!$C$10)</f>
        <v/>
      </c>
      <c r="T77" s="14">
        <f>CHOOSE(WEEKDAY(R77,2),"월","화","수","목","금","토","일")</f>
        <v/>
      </c>
      <c r="U77" s="14" t="inlineStr">
        <is>
          <t>미착수</t>
        </is>
      </c>
      <c r="V77" s="14" t="inlineStr">
        <is>
          <t>미착수</t>
        </is>
      </c>
      <c r="W77" s="18" t="n"/>
      <c r="X77" s="18" t="n"/>
      <c r="Y77" s="15" t="n"/>
      <c r="Z77" s="15" t="inlineStr"/>
      <c r="AA77" s="15" t="inlineStr">
        <is>
          <t>Samson called to Yahweh, and said, “Lord Yahweh, remember me, please, and strengthen me, please, only this once, God, that I may be at once avenged of the Philistines for my two eyes.”</t>
        </is>
      </c>
    </row>
    <row r="78">
      <c r="A78" s="13" t="n">
        <v>77</v>
      </c>
      <c r="B78" s="13" t="inlineStr">
        <is>
          <t>W0077</t>
        </is>
      </c>
      <c r="C78" s="13" t="inlineStr">
        <is>
          <t>구약</t>
        </is>
      </c>
      <c r="D78" s="13" t="n">
        <v>77</v>
      </c>
      <c r="E78" s="13">
        <f>C78&amp;"말씀 #"&amp;TEXT(D78,"000")</f>
        <v/>
      </c>
      <c r="F78" s="14" t="inlineStr">
        <is>
          <t>룻기</t>
        </is>
      </c>
      <c r="G78" s="14" t="inlineStr">
        <is>
          <t>1:16</t>
        </is>
      </c>
      <c r="H78" s="15" t="inlineStr">
        <is>
          <t>(룻 1:16, 개역한글)</t>
        </is>
      </c>
      <c r="I78" s="14" t="inlineStr">
        <is>
          <t>헌신</t>
        </is>
      </c>
      <c r="J78" s="14" t="inlineStr">
        <is>
          <t>길·등불</t>
        </is>
      </c>
      <c r="K78" s="16" t="inlineStr">
        <is>
          <t>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t>
        </is>
      </c>
      <c r="L78" s="14" t="inlineStr">
        <is>
          <t>자동 입력 · 대조 필요</t>
        </is>
      </c>
      <c r="M78" s="14">
        <f>LEN(K78)</f>
        <v/>
      </c>
      <c r="N78" s="14">
        <f>IF(M78=0,"-",ROUND(3+M78/'안내'!$C$12,0))</f>
        <v/>
      </c>
      <c r="O78" s="15">
        <f>IF(K78="","(본문 입력 후 자동) | 룻 1:16",IF(LEN(K78)&gt;28,LEFT(K78,28)&amp;"…",K78)&amp;" | 룻 1:16")</f>
        <v/>
      </c>
      <c r="P78" s="15">
        <f>"#"&amp;SUBSTITUTE('안내'!$C$5," ","")&amp;" #성경구절 #말씀 #룻기 #헌신"</f>
        <v/>
      </c>
      <c r="Q78" s="15" t="inlineStr">
        <is>
          <t>성경 본문: 개역한글판</t>
        </is>
      </c>
      <c r="R78" s="17">
        <f>'안내'!$C$6+INT((D78-1)/'안내'!$C$7)</f>
        <v/>
      </c>
      <c r="S78" s="14">
        <f>IF(MOD(D78-1,'안내'!$C$7)=0,'안내'!$C$8,'안내'!$C$10)</f>
        <v/>
      </c>
      <c r="T78" s="14">
        <f>CHOOSE(WEEKDAY(R78,2),"월","화","수","목","금","토","일")</f>
        <v/>
      </c>
      <c r="U78" s="14" t="inlineStr">
        <is>
          <t>미착수</t>
        </is>
      </c>
      <c r="V78" s="14" t="inlineStr">
        <is>
          <t>미착수</t>
        </is>
      </c>
      <c r="W78" s="18" t="n"/>
      <c r="X78" s="18" t="n"/>
      <c r="Y78" s="15" t="n"/>
      <c r="Z78" s="15" t="inlineStr">
        <is>
          <t>줄바꿈 띄어쓰기 확인</t>
        </is>
      </c>
      <c r="AA78" s="15" t="inlineStr">
        <is>
          <t>Ruth said, “Don’t urge me to leave you, and to return from following you, for where you go, I will go; and where you stay, I will stay. Your people will be my people, and your God my God.</t>
        </is>
      </c>
    </row>
    <row r="79">
      <c r="A79" s="13" t="n">
        <v>78</v>
      </c>
      <c r="B79" s="13" t="inlineStr">
        <is>
          <t>W0078</t>
        </is>
      </c>
      <c r="C79" s="13" t="inlineStr">
        <is>
          <t>구약</t>
        </is>
      </c>
      <c r="D79" s="13" t="n">
        <v>78</v>
      </c>
      <c r="E79" s="13">
        <f>C79&amp;"말씀 #"&amp;TEXT(D79,"000")</f>
        <v/>
      </c>
      <c r="F79" s="14" t="inlineStr">
        <is>
          <t>룻기</t>
        </is>
      </c>
      <c r="G79" s="14" t="inlineStr">
        <is>
          <t>2:12</t>
        </is>
      </c>
      <c r="H79" s="15" t="inlineStr">
        <is>
          <t>(룻 2:12, 개역한글)</t>
        </is>
      </c>
      <c r="I79" s="14" t="inlineStr">
        <is>
          <t>보호</t>
        </is>
      </c>
      <c r="J79" s="14" t="inlineStr">
        <is>
          <t>바위산·광야</t>
        </is>
      </c>
      <c r="K79" s="16" t="inlineStr">
        <is>
          <t>여호와께서 네 행한 일을 보응하시기를 원하며 이스라엘의 하나님 여호와께서 그 날개 아래 보호를 받으러 온 네게 온전한 상 주시기를 원하노라</t>
        </is>
      </c>
      <c r="L79" s="14" t="inlineStr">
        <is>
          <t>자동 입력 · 대조 필요</t>
        </is>
      </c>
      <c r="M79" s="14">
        <f>LEN(K79)</f>
        <v/>
      </c>
      <c r="N79" s="14">
        <f>IF(M79=0,"-",ROUND(3+M79/'안내'!$C$12,0))</f>
        <v/>
      </c>
      <c r="O79" s="15">
        <f>IF(K79="","(본문 입력 후 자동) | 룻 2:12",IF(LEN(K79)&gt;28,LEFT(K79,28)&amp;"…",K79)&amp;" | 룻 2:12")</f>
        <v/>
      </c>
      <c r="P79" s="15">
        <f>"#"&amp;SUBSTITUTE('안내'!$C$5," ","")&amp;" #성경구절 #말씀 #룻기 #보호"</f>
        <v/>
      </c>
      <c r="Q79" s="15" t="inlineStr">
        <is>
          <t>성경 본문: 개역한글판</t>
        </is>
      </c>
      <c r="R79" s="17">
        <f>'안내'!$C$6+INT((D79-1)/'안내'!$C$7)</f>
        <v/>
      </c>
      <c r="S79" s="14">
        <f>IF(MOD(D79-1,'안내'!$C$7)=0,'안내'!$C$8,'안내'!$C$10)</f>
        <v/>
      </c>
      <c r="T79" s="14">
        <f>CHOOSE(WEEKDAY(R79,2),"월","화","수","목","금","토","일")</f>
        <v/>
      </c>
      <c r="U79" s="14" t="inlineStr">
        <is>
          <t>미착수</t>
        </is>
      </c>
      <c r="V79" s="14" t="inlineStr">
        <is>
          <t>미착수</t>
        </is>
      </c>
      <c r="W79" s="18" t="n"/>
      <c r="X79" s="18" t="n"/>
      <c r="Y79" s="15" t="n"/>
      <c r="Z79" s="15" t="inlineStr">
        <is>
          <t>줄바꿈 띄어쓰기 확인</t>
        </is>
      </c>
      <c r="AA79" s="15" t="inlineStr">
        <is>
          <t>May Yahweh repay your work, and a full reward be given to you from Yahweh, the God of Israel, under whose wings you have come to take refuge.”</t>
        </is>
      </c>
    </row>
    <row r="80">
      <c r="A80" s="13" t="n">
        <v>79</v>
      </c>
      <c r="B80" s="13" t="inlineStr">
        <is>
          <t>W0079</t>
        </is>
      </c>
      <c r="C80" s="13" t="inlineStr">
        <is>
          <t>구약</t>
        </is>
      </c>
      <c r="D80" s="13" t="n">
        <v>79</v>
      </c>
      <c r="E80" s="13">
        <f>C80&amp;"말씀 #"&amp;TEXT(D80,"000")</f>
        <v/>
      </c>
      <c r="F80" s="14" t="inlineStr">
        <is>
          <t>룻기</t>
        </is>
      </c>
      <c r="G80" s="14" t="inlineStr">
        <is>
          <t>4:14</t>
        </is>
      </c>
      <c r="H80" s="15" t="inlineStr">
        <is>
          <t>(룻 4:14, 개역한글)</t>
        </is>
      </c>
      <c r="I80" s="14" t="inlineStr">
        <is>
          <t>찬양</t>
        </is>
      </c>
      <c r="J80" s="14" t="inlineStr">
        <is>
          <t>하늘·별</t>
        </is>
      </c>
      <c r="K80" s="16" t="inlineStr">
        <is>
          <t>여인들이 나오미에게 이르되 찬송할지로다 여호와께서 오늘날 네게 기업 무를 자가 없게 아니하셨도다 이 아이의 이름이 이스라엘 중에 유명하게 되기를 원하노라</t>
        </is>
      </c>
      <c r="L80" s="14" t="inlineStr">
        <is>
          <t>자동 입력</t>
        </is>
      </c>
      <c r="M80" s="14">
        <f>LEN(K80)</f>
        <v/>
      </c>
      <c r="N80" s="14">
        <f>IF(M80=0,"-",ROUND(3+M80/'안내'!$C$12,0))</f>
        <v/>
      </c>
      <c r="O80" s="15">
        <f>IF(K80="","(본문 입력 후 자동) | 룻 4:14",IF(LEN(K80)&gt;28,LEFT(K80,28)&amp;"…",K80)&amp;" | 룻 4:14")</f>
        <v/>
      </c>
      <c r="P80" s="15">
        <f>"#"&amp;SUBSTITUTE('안내'!$C$5," ","")&amp;" #성경구절 #말씀 #룻기 #찬양"</f>
        <v/>
      </c>
      <c r="Q80" s="15" t="inlineStr">
        <is>
          <t>성경 본문: 개역한글판</t>
        </is>
      </c>
      <c r="R80" s="17">
        <f>'안내'!$C$6+INT((D80-1)/'안내'!$C$7)</f>
        <v/>
      </c>
      <c r="S80" s="14">
        <f>IF(MOD(D80-1,'안내'!$C$7)=0,'안내'!$C$8,'안내'!$C$10)</f>
        <v/>
      </c>
      <c r="T80" s="14">
        <f>CHOOSE(WEEKDAY(R80,2),"월","화","수","목","금","토","일")</f>
        <v/>
      </c>
      <c r="U80" s="14" t="inlineStr">
        <is>
          <t>미착수</t>
        </is>
      </c>
      <c r="V80" s="14" t="inlineStr">
        <is>
          <t>미착수</t>
        </is>
      </c>
      <c r="W80" s="18" t="n"/>
      <c r="X80" s="18" t="n"/>
      <c r="Y80" s="15" t="n"/>
      <c r="Z80" s="15" t="inlineStr"/>
      <c r="AA80" s="15" t="inlineStr">
        <is>
          <t>The women said to Naomi, “Blessed be Yahweh, who has not left you today without a near kinsman. Let his name be famous in Israel.</t>
        </is>
      </c>
    </row>
    <row r="81">
      <c r="A81" s="13" t="n">
        <v>80</v>
      </c>
      <c r="B81" s="13" t="inlineStr">
        <is>
          <t>W0080</t>
        </is>
      </c>
      <c r="C81" s="13" t="inlineStr">
        <is>
          <t>구약</t>
        </is>
      </c>
      <c r="D81" s="13" t="n">
        <v>80</v>
      </c>
      <c r="E81" s="13">
        <f>C81&amp;"말씀 #"&amp;TEXT(D81,"000")</f>
        <v/>
      </c>
      <c r="F81" s="14" t="inlineStr">
        <is>
          <t>사무엘상</t>
        </is>
      </c>
      <c r="G81" s="14" t="inlineStr">
        <is>
          <t>1:27</t>
        </is>
      </c>
      <c r="H81" s="15" t="inlineStr">
        <is>
          <t>(삼상 1:27, 개역한글)</t>
        </is>
      </c>
      <c r="I81" s="14" t="inlineStr">
        <is>
          <t>기도</t>
        </is>
      </c>
      <c r="J81" s="14" t="inlineStr">
        <is>
          <t>제단·십자가</t>
        </is>
      </c>
      <c r="K81" s="16" t="inlineStr">
        <is>
          <t>이 아이를 위하여 내가 기도하였더니 여호와께서 나의 구하여 기도한 바를 허락하신지라</t>
        </is>
      </c>
      <c r="L81" s="14" t="inlineStr">
        <is>
          <t>자동 입력</t>
        </is>
      </c>
      <c r="M81" s="14">
        <f>LEN(K81)</f>
        <v/>
      </c>
      <c r="N81" s="14">
        <f>IF(M81=0,"-",ROUND(3+M81/'안내'!$C$12,0))</f>
        <v/>
      </c>
      <c r="O81" s="15">
        <f>IF(K81="","(본문 입력 후 자동) | 삼상 1:27",IF(LEN(K81)&gt;28,LEFT(K81,28)&amp;"…",K81)&amp;" | 삼상 1:27")</f>
        <v/>
      </c>
      <c r="P81" s="15">
        <f>"#"&amp;SUBSTITUTE('안내'!$C$5," ","")&amp;" #성경구절 #말씀 #사무엘상 #기도"</f>
        <v/>
      </c>
      <c r="Q81" s="15" t="inlineStr">
        <is>
          <t>성경 본문: 개역한글판</t>
        </is>
      </c>
      <c r="R81" s="17">
        <f>'안내'!$C$6+INT((D81-1)/'안내'!$C$7)</f>
        <v/>
      </c>
      <c r="S81" s="14">
        <f>IF(MOD(D81-1,'안내'!$C$7)=0,'안내'!$C$8,'안내'!$C$10)</f>
        <v/>
      </c>
      <c r="T81" s="14">
        <f>CHOOSE(WEEKDAY(R81,2),"월","화","수","목","금","토","일")</f>
        <v/>
      </c>
      <c r="U81" s="14" t="inlineStr">
        <is>
          <t>미착수</t>
        </is>
      </c>
      <c r="V81" s="14" t="inlineStr">
        <is>
          <t>미착수</t>
        </is>
      </c>
      <c r="W81" s="18" t="n"/>
      <c r="X81" s="18" t="n"/>
      <c r="Y81" s="15" t="n"/>
      <c r="Z81" s="15" t="inlineStr"/>
      <c r="AA81" s="15" t="inlineStr">
        <is>
          <t>I prayed for this child, and Yahweh has given me my petition which I asked of him.</t>
        </is>
      </c>
    </row>
    <row r="82">
      <c r="A82" s="13" t="n">
        <v>81</v>
      </c>
      <c r="B82" s="13" t="inlineStr">
        <is>
          <t>W0081</t>
        </is>
      </c>
      <c r="C82" s="13" t="inlineStr">
        <is>
          <t>구약</t>
        </is>
      </c>
      <c r="D82" s="13" t="n">
        <v>81</v>
      </c>
      <c r="E82" s="13">
        <f>C82&amp;"말씀 #"&amp;TEXT(D82,"000")</f>
        <v/>
      </c>
      <c r="F82" s="14" t="inlineStr">
        <is>
          <t>사무엘상</t>
        </is>
      </c>
      <c r="G82" s="14" t="inlineStr">
        <is>
          <t>2:2</t>
        </is>
      </c>
      <c r="H82" s="15" t="inlineStr">
        <is>
          <t>(삼상 2:2, 개역한글)</t>
        </is>
      </c>
      <c r="I82" s="14" t="inlineStr">
        <is>
          <t>찬양</t>
        </is>
      </c>
      <c r="J82" s="14" t="inlineStr">
        <is>
          <t>하늘·별</t>
        </is>
      </c>
      <c r="K82" s="16" t="inlineStr">
        <is>
          <t>여호와와 같이 거룩하신 이가 없으시니 이는 주밖에 다른 이가 없고 우리 하나님 같은 반석도 없으심이니이다</t>
        </is>
      </c>
      <c r="L82" s="14" t="inlineStr">
        <is>
          <t>자동 입력 · 대조 필요</t>
        </is>
      </c>
      <c r="M82" s="14">
        <f>LEN(K82)</f>
        <v/>
      </c>
      <c r="N82" s="14">
        <f>IF(M82=0,"-",ROUND(3+M82/'안내'!$C$12,0))</f>
        <v/>
      </c>
      <c r="O82" s="15">
        <f>IF(K82="","(본문 입력 후 자동) | 삼상 2:2",IF(LEN(K82)&gt;28,LEFT(K82,28)&amp;"…",K82)&amp;" | 삼상 2:2")</f>
        <v/>
      </c>
      <c r="P82" s="15">
        <f>"#"&amp;SUBSTITUTE('안내'!$C$5," ","")&amp;" #성경구절 #말씀 #사무엘상 #찬양"</f>
        <v/>
      </c>
      <c r="Q82" s="15" t="inlineStr">
        <is>
          <t>성경 본문: 개역한글판</t>
        </is>
      </c>
      <c r="R82" s="17">
        <f>'안내'!$C$6+INT((D82-1)/'안내'!$C$7)</f>
        <v/>
      </c>
      <c r="S82" s="14">
        <f>IF(MOD(D82-1,'안내'!$C$7)=0,'안내'!$C$8,'안내'!$C$10)</f>
        <v/>
      </c>
      <c r="T82" s="14">
        <f>CHOOSE(WEEKDAY(R82,2),"월","화","수","목","금","토","일")</f>
        <v/>
      </c>
      <c r="U82" s="14" t="inlineStr">
        <is>
          <t>미착수</t>
        </is>
      </c>
      <c r="V82" s="14" t="inlineStr">
        <is>
          <t>미착수</t>
        </is>
      </c>
      <c r="W82" s="18" t="n"/>
      <c r="X82" s="18" t="n"/>
      <c r="Y82" s="15" t="n"/>
      <c r="Z82" s="15" t="inlineStr">
        <is>
          <t>줄바꿈 띄어쓰기 확인</t>
        </is>
      </c>
      <c r="AA82" s="15" t="inlineStr">
        <is>
          <t>There is no one as holy as Yahweh, for there is no one besides you, nor is there any rock like our God.</t>
        </is>
      </c>
    </row>
    <row r="83">
      <c r="A83" s="13" t="n">
        <v>82</v>
      </c>
      <c r="B83" s="13" t="inlineStr">
        <is>
          <t>W0082</t>
        </is>
      </c>
      <c r="C83" s="13" t="inlineStr">
        <is>
          <t>구약</t>
        </is>
      </c>
      <c r="D83" s="13" t="n">
        <v>82</v>
      </c>
      <c r="E83" s="13">
        <f>C83&amp;"말씀 #"&amp;TEXT(D83,"000")</f>
        <v/>
      </c>
      <c r="F83" s="14" t="inlineStr">
        <is>
          <t>사무엘상</t>
        </is>
      </c>
      <c r="G83" s="14" t="inlineStr">
        <is>
          <t>3:10</t>
        </is>
      </c>
      <c r="H83" s="15" t="inlineStr">
        <is>
          <t>(삼상 3:10, 개역한글)</t>
        </is>
      </c>
      <c r="I83" s="14" t="inlineStr">
        <is>
          <t>순종</t>
        </is>
      </c>
      <c r="J83" s="14" t="inlineStr">
        <is>
          <t>길·등불</t>
        </is>
      </c>
      <c r="K83" s="16" t="inlineStr">
        <is>
          <t>여호와께서 임하여 서서 전과 같이 사무엘아 사무엘아 부르시는지라 사무엘이 가로되 말씀하옵소서 주의 종이 듣겠나이다</t>
        </is>
      </c>
      <c r="L83" s="14" t="inlineStr">
        <is>
          <t>자동 입력</t>
        </is>
      </c>
      <c r="M83" s="14">
        <f>LEN(K83)</f>
        <v/>
      </c>
      <c r="N83" s="14">
        <f>IF(M83=0,"-",ROUND(3+M83/'안내'!$C$12,0))</f>
        <v/>
      </c>
      <c r="O83" s="15">
        <f>IF(K83="","(본문 입력 후 자동) | 삼상 3:10",IF(LEN(K83)&gt;28,LEFT(K83,28)&amp;"…",K83)&amp;" | 삼상 3:10")</f>
        <v/>
      </c>
      <c r="P83" s="15">
        <f>"#"&amp;SUBSTITUTE('안내'!$C$5," ","")&amp;" #성경구절 #말씀 #사무엘상 #순종"</f>
        <v/>
      </c>
      <c r="Q83" s="15" t="inlineStr">
        <is>
          <t>성경 본문: 개역한글판</t>
        </is>
      </c>
      <c r="R83" s="17">
        <f>'안내'!$C$6+INT((D83-1)/'안내'!$C$7)</f>
        <v/>
      </c>
      <c r="S83" s="14">
        <f>IF(MOD(D83-1,'안내'!$C$7)=0,'안내'!$C$8,'안내'!$C$10)</f>
        <v/>
      </c>
      <c r="T83" s="14">
        <f>CHOOSE(WEEKDAY(R83,2),"월","화","수","목","금","토","일")</f>
        <v/>
      </c>
      <c r="U83" s="14" t="inlineStr">
        <is>
          <t>미착수</t>
        </is>
      </c>
      <c r="V83" s="14" t="inlineStr">
        <is>
          <t>미착수</t>
        </is>
      </c>
      <c r="W83" s="18" t="n"/>
      <c r="X83" s="18" t="n"/>
      <c r="Y83" s="15" t="n"/>
      <c r="Z83" s="15" t="inlineStr"/>
      <c r="AA83" s="15" t="inlineStr">
        <is>
          <t>Yahweh came, and stood, and called as at other times, “Samuel! Samuel!” Then Samuel said, “Speak; for your ser- vant hears.”</t>
        </is>
      </c>
    </row>
    <row r="84">
      <c r="A84" s="13" t="n">
        <v>83</v>
      </c>
      <c r="B84" s="13" t="inlineStr">
        <is>
          <t>W0083</t>
        </is>
      </c>
      <c r="C84" s="13" t="inlineStr">
        <is>
          <t>구약</t>
        </is>
      </c>
      <c r="D84" s="13" t="n">
        <v>83</v>
      </c>
      <c r="E84" s="13">
        <f>C84&amp;"말씀 #"&amp;TEXT(D84,"000")</f>
        <v/>
      </c>
      <c r="F84" s="14" t="inlineStr">
        <is>
          <t>사무엘상</t>
        </is>
      </c>
      <c r="G84" s="14" t="inlineStr">
        <is>
          <t>7:12</t>
        </is>
      </c>
      <c r="H84" s="15" t="inlineStr">
        <is>
          <t>(삼상 7:12, 개역한글)</t>
        </is>
      </c>
      <c r="I84" s="14" t="inlineStr">
        <is>
          <t>감사</t>
        </is>
      </c>
      <c r="J84" s="14" t="inlineStr">
        <is>
          <t>들판·나무</t>
        </is>
      </c>
      <c r="K84" s="16" t="inlineStr">
        <is>
          <t>사무엘이 돌을 취하여 미스바와 센 사이에 세워 가로되 여호와께서 여기까지 우리를 도우셨다 하고 그 이름을 에벤에셀이라 하니라</t>
        </is>
      </c>
      <c r="L84" s="14" t="inlineStr">
        <is>
          <t>자동 입력</t>
        </is>
      </c>
      <c r="M84" s="14">
        <f>LEN(K84)</f>
        <v/>
      </c>
      <c r="N84" s="14">
        <f>IF(M84=0,"-",ROUND(3+M84/'안내'!$C$12,0))</f>
        <v/>
      </c>
      <c r="O84" s="15">
        <f>IF(K84="","(본문 입력 후 자동) | 삼상 7:12",IF(LEN(K84)&gt;28,LEFT(K84,28)&amp;"…",K84)&amp;" | 삼상 7:12")</f>
        <v/>
      </c>
      <c r="P84" s="15">
        <f>"#"&amp;SUBSTITUTE('안내'!$C$5," ","")&amp;" #성경구절 #말씀 #사무엘상 #감사"</f>
        <v/>
      </c>
      <c r="Q84" s="15" t="inlineStr">
        <is>
          <t>성경 본문: 개역한글판</t>
        </is>
      </c>
      <c r="R84" s="17">
        <f>'안내'!$C$6+INT((D84-1)/'안내'!$C$7)</f>
        <v/>
      </c>
      <c r="S84" s="14">
        <f>IF(MOD(D84-1,'안내'!$C$7)=0,'안내'!$C$8,'안내'!$C$10)</f>
        <v/>
      </c>
      <c r="T84" s="14">
        <f>CHOOSE(WEEKDAY(R84,2),"월","화","수","목","금","토","일")</f>
        <v/>
      </c>
      <c r="U84" s="14" t="inlineStr">
        <is>
          <t>미착수</t>
        </is>
      </c>
      <c r="V84" s="14" t="inlineStr">
        <is>
          <t>미착수</t>
        </is>
      </c>
      <c r="W84" s="18" t="n"/>
      <c r="X84" s="18" t="n"/>
      <c r="Y84" s="15" t="n"/>
      <c r="Z84" s="15" t="inlineStr"/>
      <c r="AA84" s="15" t="inlineStr">
        <is>
          <t>Then Samuel took a stone and set it between Mizpah and Shen, and called its name Ebenezer, saying, “Yahweh helped us until now.”</t>
        </is>
      </c>
    </row>
    <row r="85">
      <c r="A85" s="13" t="n">
        <v>84</v>
      </c>
      <c r="B85" s="13" t="inlineStr">
        <is>
          <t>W0084</t>
        </is>
      </c>
      <c r="C85" s="13" t="inlineStr">
        <is>
          <t>구약</t>
        </is>
      </c>
      <c r="D85" s="13" t="n">
        <v>84</v>
      </c>
      <c r="E85" s="13">
        <f>C85&amp;"말씀 #"&amp;TEXT(D85,"000")</f>
        <v/>
      </c>
      <c r="F85" s="14" t="inlineStr">
        <is>
          <t>사무엘상</t>
        </is>
      </c>
      <c r="G85" s="14" t="inlineStr">
        <is>
          <t>15:22</t>
        </is>
      </c>
      <c r="H85" s="15" t="inlineStr">
        <is>
          <t>(삼상 15:22, 개역한글)</t>
        </is>
      </c>
      <c r="I85" s="14" t="inlineStr">
        <is>
          <t>순종</t>
        </is>
      </c>
      <c r="J85" s="14" t="inlineStr">
        <is>
          <t>길·등불</t>
        </is>
      </c>
      <c r="K85" s="16" t="inlineStr">
        <is>
          <t>사무엘이 가로되 여호와께서 번제와 다른 제사를 그 목소리 순종하는 것을 좋아하심같이 좋아하시겠나이까 순종이 제사보다 낫고 듣는 것이 숫양의 기름보다 나으니</t>
        </is>
      </c>
      <c r="L85" s="14" t="inlineStr">
        <is>
          <t>자동 입력 · 대조 필요</t>
        </is>
      </c>
      <c r="M85" s="14">
        <f>LEN(K85)</f>
        <v/>
      </c>
      <c r="N85" s="14">
        <f>IF(M85=0,"-",ROUND(3+M85/'안내'!$C$12,0))</f>
        <v/>
      </c>
      <c r="O85" s="15">
        <f>IF(K85="","(본문 입력 후 자동) | 삼상 15:22",IF(LEN(K85)&gt;28,LEFT(K85,28)&amp;"…",K85)&amp;" | 삼상 15:22")</f>
        <v/>
      </c>
      <c r="P85" s="15">
        <f>"#"&amp;SUBSTITUTE('안내'!$C$5," ","")&amp;" #성경구절 #말씀 #사무엘상 #순종"</f>
        <v/>
      </c>
      <c r="Q85" s="15" t="inlineStr">
        <is>
          <t>성경 본문: 개역한글판</t>
        </is>
      </c>
      <c r="R85" s="17">
        <f>'안내'!$C$6+INT((D85-1)/'안내'!$C$7)</f>
        <v/>
      </c>
      <c r="S85" s="14">
        <f>IF(MOD(D85-1,'안내'!$C$7)=0,'안내'!$C$8,'안내'!$C$10)</f>
        <v/>
      </c>
      <c r="T85" s="14">
        <f>CHOOSE(WEEKDAY(R85,2),"월","화","수","목","금","토","일")</f>
        <v/>
      </c>
      <c r="U85" s="14" t="inlineStr">
        <is>
          <t>미착수</t>
        </is>
      </c>
      <c r="V85" s="14" t="inlineStr">
        <is>
          <t>미착수</t>
        </is>
      </c>
      <c r="W85" s="18" t="n"/>
      <c r="X85" s="18" t="n"/>
      <c r="Y85" s="15" t="n"/>
      <c r="Z85" s="15" t="inlineStr">
        <is>
          <t>줄바꿈 띄어쓰기 확인</t>
        </is>
      </c>
      <c r="AA85" s="15" t="inlineStr">
        <is>
          <t>Samuel said, “Has Yahweh as great delight in burnt offerings and sacrifices, as in obeying Yahweh’s voice? Behold, to obey is better than sacrifice, and to listen than the fat of rams.</t>
        </is>
      </c>
    </row>
    <row r="86">
      <c r="A86" s="13" t="n">
        <v>85</v>
      </c>
      <c r="B86" s="13" t="inlineStr">
        <is>
          <t>W0085</t>
        </is>
      </c>
      <c r="C86" s="13" t="inlineStr">
        <is>
          <t>구약</t>
        </is>
      </c>
      <c r="D86" s="13" t="n">
        <v>85</v>
      </c>
      <c r="E86" s="13">
        <f>C86&amp;"말씀 #"&amp;TEXT(D86,"000")</f>
        <v/>
      </c>
      <c r="F86" s="14" t="inlineStr">
        <is>
          <t>사무엘상</t>
        </is>
      </c>
      <c r="G86" s="14" t="inlineStr">
        <is>
          <t>16:7</t>
        </is>
      </c>
      <c r="H86" s="15" t="inlineStr">
        <is>
          <t>(삼상 16:7, 개역한글)</t>
        </is>
      </c>
      <c r="I86" s="14" t="inlineStr">
        <is>
          <t>마음</t>
        </is>
      </c>
      <c r="J86" s="14" t="inlineStr">
        <is>
          <t>창가·식탁</t>
        </is>
      </c>
      <c r="K86" s="16" t="inlineStr">
        <is>
          <t>여호와께서 사무엘에게 이르시되 그 용모와 신장을 보지 말라 내가 이미 그를 버렸노라 나의 보는 것은 사람과 같지 아니하니 사람은 외모를 보거니와 나 여호와는 중심을 보느니라</t>
        </is>
      </c>
      <c r="L86" s="14" t="inlineStr">
        <is>
          <t>자동 입력 · 대조 필요</t>
        </is>
      </c>
      <c r="M86" s="14">
        <f>LEN(K86)</f>
        <v/>
      </c>
      <c r="N86" s="14">
        <f>IF(M86=0,"-",ROUND(3+M86/'안내'!$C$12,0))</f>
        <v/>
      </c>
      <c r="O86" s="15">
        <f>IF(K86="","(본문 입력 후 자동) | 삼상 16:7",IF(LEN(K86)&gt;28,LEFT(K86,28)&amp;"…",K86)&amp;" | 삼상 16:7")</f>
        <v/>
      </c>
      <c r="P86" s="15">
        <f>"#"&amp;SUBSTITUTE('안내'!$C$5," ","")&amp;" #성경구절 #말씀 #사무엘상 #마음"</f>
        <v/>
      </c>
      <c r="Q86" s="15" t="inlineStr">
        <is>
          <t>성경 본문: 개역한글판</t>
        </is>
      </c>
      <c r="R86" s="17">
        <f>'안내'!$C$6+INT((D86-1)/'안내'!$C$7)</f>
        <v/>
      </c>
      <c r="S86" s="14">
        <f>IF(MOD(D86-1,'안내'!$C$7)=0,'안내'!$C$8,'안내'!$C$10)</f>
        <v/>
      </c>
      <c r="T86" s="14">
        <f>CHOOSE(WEEKDAY(R86,2),"월","화","수","목","금","토","일")</f>
        <v/>
      </c>
      <c r="U86" s="14" t="inlineStr">
        <is>
          <t>미착수</t>
        </is>
      </c>
      <c r="V86" s="14" t="inlineStr">
        <is>
          <t>미착수</t>
        </is>
      </c>
      <c r="W86" s="18" t="n"/>
      <c r="X86" s="18" t="n"/>
      <c r="Y86" s="15" t="n"/>
      <c r="Z86" s="15" t="inlineStr">
        <is>
          <t>줄바꿈 띄어쓰기 확인</t>
        </is>
      </c>
      <c r="AA86" s="15" t="inlineStr">
        <is>
          <t>But Yahweh said to Samuel, “Don’t look on his face, or on the height of his stature, because I have rejected him; for I don’t see as man sees. For man looks at the outward appearance, but Yahweh looks at the heart.”</t>
        </is>
      </c>
    </row>
    <row r="87">
      <c r="A87" s="13" t="n">
        <v>86</v>
      </c>
      <c r="B87" s="13" t="inlineStr">
        <is>
          <t>W0086</t>
        </is>
      </c>
      <c r="C87" s="13" t="inlineStr">
        <is>
          <t>구약</t>
        </is>
      </c>
      <c r="D87" s="13" t="n">
        <v>86</v>
      </c>
      <c r="E87" s="13">
        <f>C87&amp;"말씀 #"&amp;TEXT(D87,"000")</f>
        <v/>
      </c>
      <c r="F87" s="14" t="inlineStr">
        <is>
          <t>사무엘상</t>
        </is>
      </c>
      <c r="G87" s="14" t="inlineStr">
        <is>
          <t>17:45</t>
        </is>
      </c>
      <c r="H87" s="15" t="inlineStr">
        <is>
          <t>(삼상 17:45, 개역한글)</t>
        </is>
      </c>
      <c r="I87" s="14" t="inlineStr">
        <is>
          <t>믿음</t>
        </is>
      </c>
      <c r="J87" s="14" t="inlineStr">
        <is>
          <t>바위산·광야</t>
        </is>
      </c>
      <c r="K87" s="16" t="inlineStr">
        <is>
          <t>다윗이 블레셋 사람에게 이르되 너는 칼과 창과 단창으로 내게 오거니와 나는 만군의 여호와의 이름 곧 네가 모욕하는 이스라엘 군대의 하나님의 이름으로 네게 가노라</t>
        </is>
      </c>
      <c r="L87" s="14" t="inlineStr">
        <is>
          <t>자동 입력</t>
        </is>
      </c>
      <c r="M87" s="14">
        <f>LEN(K87)</f>
        <v/>
      </c>
      <c r="N87" s="14">
        <f>IF(M87=0,"-",ROUND(3+M87/'안내'!$C$12,0))</f>
        <v/>
      </c>
      <c r="O87" s="15">
        <f>IF(K87="","(본문 입력 후 자동) | 삼상 17:45",IF(LEN(K87)&gt;28,LEFT(K87,28)&amp;"…",K87)&amp;" | 삼상 17:45")</f>
        <v/>
      </c>
      <c r="P87" s="15">
        <f>"#"&amp;SUBSTITUTE('안내'!$C$5," ","")&amp;" #성경구절 #말씀 #사무엘상 #믿음"</f>
        <v/>
      </c>
      <c r="Q87" s="15" t="inlineStr">
        <is>
          <t>성경 본문: 개역한글판</t>
        </is>
      </c>
      <c r="R87" s="17">
        <f>'안내'!$C$6+INT((D87-1)/'안내'!$C$7)</f>
        <v/>
      </c>
      <c r="S87" s="14">
        <f>IF(MOD(D87-1,'안내'!$C$7)=0,'안내'!$C$8,'안내'!$C$10)</f>
        <v/>
      </c>
      <c r="T87" s="14">
        <f>CHOOSE(WEEKDAY(R87,2),"월","화","수","목","금","토","일")</f>
        <v/>
      </c>
      <c r="U87" s="14" t="inlineStr">
        <is>
          <t>미착수</t>
        </is>
      </c>
      <c r="V87" s="14" t="inlineStr">
        <is>
          <t>미착수</t>
        </is>
      </c>
      <c r="W87" s="18" t="n"/>
      <c r="X87" s="18" t="n"/>
      <c r="Y87" s="15" t="n"/>
      <c r="Z87" s="15" t="inlineStr"/>
      <c r="AA87" s="15" t="inlineStr">
        <is>
          <t>Then David said to the Philistine, “You come to me with a sword, with a spear, and with a javelin; but I come to you in the name of Yahweh of Armies, the God of the armies of Israel, whom you have defied.</t>
        </is>
      </c>
    </row>
    <row r="88">
      <c r="A88" s="13" t="n">
        <v>87</v>
      </c>
      <c r="B88" s="13" t="inlineStr">
        <is>
          <t>W0087</t>
        </is>
      </c>
      <c r="C88" s="13" t="inlineStr">
        <is>
          <t>구약</t>
        </is>
      </c>
      <c r="D88" s="13" t="n">
        <v>87</v>
      </c>
      <c r="E88" s="13">
        <f>C88&amp;"말씀 #"&amp;TEXT(D88,"000")</f>
        <v/>
      </c>
      <c r="F88" s="14" t="inlineStr">
        <is>
          <t>사무엘상</t>
        </is>
      </c>
      <c r="G88" s="14" t="inlineStr">
        <is>
          <t>17:47</t>
        </is>
      </c>
      <c r="H88" s="15" t="inlineStr">
        <is>
          <t>(삼상 17:47, 개역한글)</t>
        </is>
      </c>
      <c r="I88" s="14" t="inlineStr">
        <is>
          <t>승리</t>
        </is>
      </c>
      <c r="J88" s="14" t="inlineStr">
        <is>
          <t>바위산·광야</t>
        </is>
      </c>
      <c r="K88" s="16" t="inlineStr">
        <is>
          <t>또 여호와의 구원하심이 칼과 창에 있지 아니함을 이 무리로 알게 하리라 전쟁은 여호와께 속한 것인즉 그가 너희를 우리 손에 붙이시리라</t>
        </is>
      </c>
      <c r="L88" s="14" t="inlineStr">
        <is>
          <t>자동 입력 · 대조 필요</t>
        </is>
      </c>
      <c r="M88" s="14">
        <f>LEN(K88)</f>
        <v/>
      </c>
      <c r="N88" s="14">
        <f>IF(M88=0,"-",ROUND(3+M88/'안내'!$C$12,0))</f>
        <v/>
      </c>
      <c r="O88" s="15">
        <f>IF(K88="","(본문 입력 후 자동) | 삼상 17:47",IF(LEN(K88)&gt;28,LEFT(K88,28)&amp;"…",K88)&amp;" | 삼상 17:47")</f>
        <v/>
      </c>
      <c r="P88" s="15">
        <f>"#"&amp;SUBSTITUTE('안내'!$C$5," ","")&amp;" #성경구절 #말씀 #사무엘상 #승리"</f>
        <v/>
      </c>
      <c r="Q88" s="15" t="inlineStr">
        <is>
          <t>성경 본문: 개역한글판</t>
        </is>
      </c>
      <c r="R88" s="17">
        <f>'안내'!$C$6+INT((D88-1)/'안내'!$C$7)</f>
        <v/>
      </c>
      <c r="S88" s="14">
        <f>IF(MOD(D88-1,'안내'!$C$7)=0,'안내'!$C$8,'안내'!$C$10)</f>
        <v/>
      </c>
      <c r="T88" s="14">
        <f>CHOOSE(WEEKDAY(R88,2),"월","화","수","목","금","토","일")</f>
        <v/>
      </c>
      <c r="U88" s="14" t="inlineStr">
        <is>
          <t>미착수</t>
        </is>
      </c>
      <c r="V88" s="14" t="inlineStr">
        <is>
          <t>미착수</t>
        </is>
      </c>
      <c r="W88" s="18" t="n"/>
      <c r="X88" s="18" t="n"/>
      <c r="Y88" s="15" t="n"/>
      <c r="Z88" s="15" t="inlineStr">
        <is>
          <t>줄바꿈 띄어쓰기 확인</t>
        </is>
      </c>
      <c r="AA88" s="15" t="inlineStr">
        <is>
          <t>and that all this assembly may know that Yahweh doesn’t save with sword and spear; for the battle is Yahweh’s, and he will give you into our hand.”</t>
        </is>
      </c>
    </row>
    <row r="89">
      <c r="A89" s="13" t="n">
        <v>88</v>
      </c>
      <c r="B89" s="13" t="inlineStr">
        <is>
          <t>W0088</t>
        </is>
      </c>
      <c r="C89" s="13" t="inlineStr">
        <is>
          <t>구약</t>
        </is>
      </c>
      <c r="D89" s="13" t="n">
        <v>88</v>
      </c>
      <c r="E89" s="13">
        <f>C89&amp;"말씀 #"&amp;TEXT(D89,"000")</f>
        <v/>
      </c>
      <c r="F89" s="14" t="inlineStr">
        <is>
          <t>사무엘하</t>
        </is>
      </c>
      <c r="G89" s="14" t="inlineStr">
        <is>
          <t>7:22</t>
        </is>
      </c>
      <c r="H89" s="15" t="inlineStr">
        <is>
          <t>(삼하 7:22, 개역한글)</t>
        </is>
      </c>
      <c r="I89" s="14" t="inlineStr">
        <is>
          <t>찬양</t>
        </is>
      </c>
      <c r="J89" s="14" t="inlineStr">
        <is>
          <t>하늘·별</t>
        </is>
      </c>
      <c r="K89" s="16" t="inlineStr">
        <is>
          <t>여호와 하나님이여 이러므로 주는 광대하시니 이는 우리 귀로 들은 대로는 주와 같은 이가 없고 주 외에는 참 신이 없음이니이다</t>
        </is>
      </c>
      <c r="L89" s="14" t="inlineStr">
        <is>
          <t>자동 입력</t>
        </is>
      </c>
      <c r="M89" s="14">
        <f>LEN(K89)</f>
        <v/>
      </c>
      <c r="N89" s="14">
        <f>IF(M89=0,"-",ROUND(3+M89/'안내'!$C$12,0))</f>
        <v/>
      </c>
      <c r="O89" s="15">
        <f>IF(K89="","(본문 입력 후 자동) | 삼하 7:22",IF(LEN(K89)&gt;28,LEFT(K89,28)&amp;"…",K89)&amp;" | 삼하 7:22")</f>
        <v/>
      </c>
      <c r="P89" s="15">
        <f>"#"&amp;SUBSTITUTE('안내'!$C$5," ","")&amp;" #성경구절 #말씀 #사무엘하 #찬양"</f>
        <v/>
      </c>
      <c r="Q89" s="15" t="inlineStr">
        <is>
          <t>성경 본문: 개역한글판</t>
        </is>
      </c>
      <c r="R89" s="17">
        <f>'안내'!$C$6+INT((D89-1)/'안내'!$C$7)</f>
        <v/>
      </c>
      <c r="S89" s="14">
        <f>IF(MOD(D89-1,'안내'!$C$7)=0,'안내'!$C$8,'안내'!$C$10)</f>
        <v/>
      </c>
      <c r="T89" s="14">
        <f>CHOOSE(WEEKDAY(R89,2),"월","화","수","목","금","토","일")</f>
        <v/>
      </c>
      <c r="U89" s="14" t="inlineStr">
        <is>
          <t>미착수</t>
        </is>
      </c>
      <c r="V89" s="14" t="inlineStr">
        <is>
          <t>미착수</t>
        </is>
      </c>
      <c r="W89" s="18" t="n"/>
      <c r="X89" s="18" t="n"/>
      <c r="Y89" s="15" t="n"/>
      <c r="Z89" s="15" t="inlineStr"/>
      <c r="AA89" s="15" t="inlineStr">
        <is>
          <t>Therefore you are great, Yahweh God. For there is no one like you, neither is there any God besides you, according to all that we have heard with our ears.</t>
        </is>
      </c>
    </row>
    <row r="90">
      <c r="A90" s="13" t="n">
        <v>89</v>
      </c>
      <c r="B90" s="13" t="inlineStr">
        <is>
          <t>W0089</t>
        </is>
      </c>
      <c r="C90" s="13" t="inlineStr">
        <is>
          <t>구약</t>
        </is>
      </c>
      <c r="D90" s="13" t="n">
        <v>89</v>
      </c>
      <c r="E90" s="13">
        <f>C90&amp;"말씀 #"&amp;TEXT(D90,"000")</f>
        <v/>
      </c>
      <c r="F90" s="14" t="inlineStr">
        <is>
          <t>사무엘하</t>
        </is>
      </c>
      <c r="G90" s="14" t="inlineStr">
        <is>
          <t>22:2</t>
        </is>
      </c>
      <c r="H90" s="15" t="inlineStr">
        <is>
          <t>(삼하 22:2, 개역한글)</t>
        </is>
      </c>
      <c r="I90" s="14" t="inlineStr">
        <is>
          <t>피난처</t>
        </is>
      </c>
      <c r="J90" s="14" t="inlineStr">
        <is>
          <t>바위산·광야</t>
        </is>
      </c>
      <c r="K90" s="16" t="inlineStr">
        <is>
          <t>가로되 여호와는 나의 반석이시요 나의 요새시요 나를 건지시는 자시요</t>
        </is>
      </c>
      <c r="L90" s="14" t="inlineStr">
        <is>
          <t>자동 입력</t>
        </is>
      </c>
      <c r="M90" s="14">
        <f>LEN(K90)</f>
        <v/>
      </c>
      <c r="N90" s="14">
        <f>IF(M90=0,"-",ROUND(3+M90/'안내'!$C$12,0))</f>
        <v/>
      </c>
      <c r="O90" s="15">
        <f>IF(K90="","(본문 입력 후 자동) | 삼하 22:2",IF(LEN(K90)&gt;28,LEFT(K90,28)&amp;"…",K90)&amp;" | 삼하 22:2")</f>
        <v/>
      </c>
      <c r="P90" s="15">
        <f>"#"&amp;SUBSTITUTE('안내'!$C$5," ","")&amp;" #성경구절 #말씀 #사무엘하 #피난처"</f>
        <v/>
      </c>
      <c r="Q90" s="15" t="inlineStr">
        <is>
          <t>성경 본문: 개역한글판</t>
        </is>
      </c>
      <c r="R90" s="17">
        <f>'안내'!$C$6+INT((D90-1)/'안내'!$C$7)</f>
        <v/>
      </c>
      <c r="S90" s="14">
        <f>IF(MOD(D90-1,'안내'!$C$7)=0,'안내'!$C$8,'안내'!$C$10)</f>
        <v/>
      </c>
      <c r="T90" s="14">
        <f>CHOOSE(WEEKDAY(R90,2),"월","화","수","목","금","토","일")</f>
        <v/>
      </c>
      <c r="U90" s="14" t="inlineStr">
        <is>
          <t>미착수</t>
        </is>
      </c>
      <c r="V90" s="14" t="inlineStr">
        <is>
          <t>미착수</t>
        </is>
      </c>
      <c r="W90" s="18" t="n"/>
      <c r="X90" s="18" t="n"/>
      <c r="Y90" s="15" t="n"/>
      <c r="Z90" s="15" t="inlineStr"/>
      <c r="AA90" s="15" t="inlineStr">
        <is>
          <t>and he said: “Yahweh is my rock, my fortress, and my deliverer, even mine;</t>
        </is>
      </c>
    </row>
    <row r="91">
      <c r="A91" s="13" t="n">
        <v>90</v>
      </c>
      <c r="B91" s="13" t="inlineStr">
        <is>
          <t>W0090</t>
        </is>
      </c>
      <c r="C91" s="13" t="inlineStr">
        <is>
          <t>구약</t>
        </is>
      </c>
      <c r="D91" s="13" t="n">
        <v>90</v>
      </c>
      <c r="E91" s="13">
        <f>C91&amp;"말씀 #"&amp;TEXT(D91,"000")</f>
        <v/>
      </c>
      <c r="F91" s="14" t="inlineStr">
        <is>
          <t>사무엘하</t>
        </is>
      </c>
      <c r="G91" s="14" t="inlineStr">
        <is>
          <t>22:3</t>
        </is>
      </c>
      <c r="H91" s="15" t="inlineStr">
        <is>
          <t>(삼하 22:3, 개역한글)</t>
        </is>
      </c>
      <c r="I91" s="14" t="inlineStr">
        <is>
          <t>피난처</t>
        </is>
      </c>
      <c r="J91" s="14" t="inlineStr">
        <is>
          <t>바위산·광야</t>
        </is>
      </c>
      <c r="K91" s="16" t="inlineStr">
        <is>
          <t>나의 하나님이시요 나의 피할 바위시요 나의 방패시요 나의 구원의 뿔이시요 나의 높은 망대시요 나의 피난처시요 나의 구원자시라 나를 흉악에서 구원하셨도다</t>
        </is>
      </c>
      <c r="L91" s="14" t="inlineStr">
        <is>
          <t>자동 입력</t>
        </is>
      </c>
      <c r="M91" s="14">
        <f>LEN(K91)</f>
        <v/>
      </c>
      <c r="N91" s="14">
        <f>IF(M91=0,"-",ROUND(3+M91/'안내'!$C$12,0))</f>
        <v/>
      </c>
      <c r="O91" s="15">
        <f>IF(K91="","(본문 입력 후 자동) | 삼하 22:3",IF(LEN(K91)&gt;28,LEFT(K91,28)&amp;"…",K91)&amp;" | 삼하 22:3")</f>
        <v/>
      </c>
      <c r="P91" s="15">
        <f>"#"&amp;SUBSTITUTE('안내'!$C$5," ","")&amp;" #성경구절 #말씀 #사무엘하 #피난처"</f>
        <v/>
      </c>
      <c r="Q91" s="15" t="inlineStr">
        <is>
          <t>성경 본문: 개역한글판</t>
        </is>
      </c>
      <c r="R91" s="17">
        <f>'안내'!$C$6+INT((D91-1)/'안내'!$C$7)</f>
        <v/>
      </c>
      <c r="S91" s="14">
        <f>IF(MOD(D91-1,'안내'!$C$7)=0,'안내'!$C$8,'안내'!$C$10)</f>
        <v/>
      </c>
      <c r="T91" s="14">
        <f>CHOOSE(WEEKDAY(R91,2),"월","화","수","목","금","토","일")</f>
        <v/>
      </c>
      <c r="U91" s="14" t="inlineStr">
        <is>
          <t>미착수</t>
        </is>
      </c>
      <c r="V91" s="14" t="inlineStr">
        <is>
          <t>미착수</t>
        </is>
      </c>
      <c r="W91" s="18" t="n"/>
      <c r="X91" s="18" t="n"/>
      <c r="Y91" s="15" t="n"/>
      <c r="Z91" s="15" t="inlineStr"/>
      <c r="AA91" s="15" t="inlineStr">
        <is>
          <t>God is my rock in whom I take refuge; my shield, and the horn of my salva- tion, my high tower, and my refuge. My savior, you save me from violence.</t>
        </is>
      </c>
    </row>
    <row r="92">
      <c r="A92" s="13" t="n">
        <v>91</v>
      </c>
      <c r="B92" s="13" t="inlineStr">
        <is>
          <t>W0091</t>
        </is>
      </c>
      <c r="C92" s="13" t="inlineStr">
        <is>
          <t>구약</t>
        </is>
      </c>
      <c r="D92" s="13" t="n">
        <v>91</v>
      </c>
      <c r="E92" s="13">
        <f>C92&amp;"말씀 #"&amp;TEXT(D92,"000")</f>
        <v/>
      </c>
      <c r="F92" s="14" t="inlineStr">
        <is>
          <t>사무엘하</t>
        </is>
      </c>
      <c r="G92" s="14" t="inlineStr">
        <is>
          <t>22:31</t>
        </is>
      </c>
      <c r="H92" s="15" t="inlineStr">
        <is>
          <t>(삼하 22:31, 개역한글)</t>
        </is>
      </c>
      <c r="I92" s="14" t="inlineStr">
        <is>
          <t>말씀</t>
        </is>
      </c>
      <c r="J92" s="14" t="inlineStr">
        <is>
          <t>들판·나무</t>
        </is>
      </c>
      <c r="K92" s="16" t="inlineStr">
        <is>
          <t>하나님의 도는 완전하고 여호와의 말씀은 정미하니 저는 자기에게 피하는 모든 자에게 방패시로다</t>
        </is>
      </c>
      <c r="L92" s="14" t="inlineStr">
        <is>
          <t>자동 입력</t>
        </is>
      </c>
      <c r="M92" s="14">
        <f>LEN(K92)</f>
        <v/>
      </c>
      <c r="N92" s="14">
        <f>IF(M92=0,"-",ROUND(3+M92/'안내'!$C$12,0))</f>
        <v/>
      </c>
      <c r="O92" s="15">
        <f>IF(K92="","(본문 입력 후 자동) | 삼하 22:31",IF(LEN(K92)&gt;28,LEFT(K92,28)&amp;"…",K92)&amp;" | 삼하 22:31")</f>
        <v/>
      </c>
      <c r="P92" s="15">
        <f>"#"&amp;SUBSTITUTE('안내'!$C$5," ","")&amp;" #성경구절 #말씀 #사무엘하 #말씀"</f>
        <v/>
      </c>
      <c r="Q92" s="15" t="inlineStr">
        <is>
          <t>성경 본문: 개역한글판</t>
        </is>
      </c>
      <c r="R92" s="17">
        <f>'안내'!$C$6+INT((D92-1)/'안내'!$C$7)</f>
        <v/>
      </c>
      <c r="S92" s="14">
        <f>IF(MOD(D92-1,'안내'!$C$7)=0,'안내'!$C$8,'안내'!$C$10)</f>
        <v/>
      </c>
      <c r="T92" s="14">
        <f>CHOOSE(WEEKDAY(R92,2),"월","화","수","목","금","토","일")</f>
        <v/>
      </c>
      <c r="U92" s="14" t="inlineStr">
        <is>
          <t>미착수</t>
        </is>
      </c>
      <c r="V92" s="14" t="inlineStr">
        <is>
          <t>미착수</t>
        </is>
      </c>
      <c r="W92" s="18" t="n"/>
      <c r="X92" s="18" t="n"/>
      <c r="Y92" s="15" t="n"/>
      <c r="Z92" s="15" t="inlineStr"/>
      <c r="AA92" s="15" t="inlineStr">
        <is>
          <t>As for God, his way is perfect. Yahweh’s word is tested. He is a shield to all those who take refuge in him.</t>
        </is>
      </c>
    </row>
    <row r="93">
      <c r="A93" s="13" t="n">
        <v>92</v>
      </c>
      <c r="B93" s="13" t="inlineStr">
        <is>
          <t>W0092</t>
        </is>
      </c>
      <c r="C93" s="13" t="inlineStr">
        <is>
          <t>구약</t>
        </is>
      </c>
      <c r="D93" s="13" t="n">
        <v>92</v>
      </c>
      <c r="E93" s="13">
        <f>C93&amp;"말씀 #"&amp;TEXT(D93,"000")</f>
        <v/>
      </c>
      <c r="F93" s="14" t="inlineStr">
        <is>
          <t>사무엘하</t>
        </is>
      </c>
      <c r="G93" s="14" t="inlineStr">
        <is>
          <t>22:47</t>
        </is>
      </c>
      <c r="H93" s="15" t="inlineStr">
        <is>
          <t>(삼하 22:47, 개역한글)</t>
        </is>
      </c>
      <c r="I93" s="14" t="inlineStr">
        <is>
          <t>찬양</t>
        </is>
      </c>
      <c r="J93" s="14" t="inlineStr">
        <is>
          <t>하늘·별</t>
        </is>
      </c>
      <c r="K93" s="16" t="inlineStr">
        <is>
          <t>여호와는 생존하시니 나의 바위를 찬송하며 내 구원의 바위이신 하나님을 높일지로다</t>
        </is>
      </c>
      <c r="L93" s="14" t="inlineStr">
        <is>
          <t>자동 입력</t>
        </is>
      </c>
      <c r="M93" s="14">
        <f>LEN(K93)</f>
        <v/>
      </c>
      <c r="N93" s="14">
        <f>IF(M93=0,"-",ROUND(3+M93/'안내'!$C$12,0))</f>
        <v/>
      </c>
      <c r="O93" s="15">
        <f>IF(K93="","(본문 입력 후 자동) | 삼하 22:47",IF(LEN(K93)&gt;28,LEFT(K93,28)&amp;"…",K93)&amp;" | 삼하 22:47")</f>
        <v/>
      </c>
      <c r="P93" s="15">
        <f>"#"&amp;SUBSTITUTE('안내'!$C$5," ","")&amp;" #성경구절 #말씀 #사무엘하 #찬양"</f>
        <v/>
      </c>
      <c r="Q93" s="15" t="inlineStr">
        <is>
          <t>성경 본문: 개역한글판</t>
        </is>
      </c>
      <c r="R93" s="17">
        <f>'안내'!$C$6+INT((D93-1)/'안내'!$C$7)</f>
        <v/>
      </c>
      <c r="S93" s="14">
        <f>IF(MOD(D93-1,'안내'!$C$7)=0,'안내'!$C$8,'안내'!$C$10)</f>
        <v/>
      </c>
      <c r="T93" s="14">
        <f>CHOOSE(WEEKDAY(R93,2),"월","화","수","목","금","토","일")</f>
        <v/>
      </c>
      <c r="U93" s="14" t="inlineStr">
        <is>
          <t>미착수</t>
        </is>
      </c>
      <c r="V93" s="14" t="inlineStr">
        <is>
          <t>미착수</t>
        </is>
      </c>
      <c r="W93" s="18" t="n"/>
      <c r="X93" s="18" t="n"/>
      <c r="Y93" s="15" t="n"/>
      <c r="Z93" s="15" t="inlineStr"/>
      <c r="AA93" s="15" t="inlineStr">
        <is>
          <t>Yahweh lives! Blessed be my rock! Exalted be God, the rock of my salvation,</t>
        </is>
      </c>
    </row>
    <row r="94">
      <c r="A94" s="13" t="n">
        <v>93</v>
      </c>
      <c r="B94" s="13" t="inlineStr">
        <is>
          <t>W0093</t>
        </is>
      </c>
      <c r="C94" s="13" t="inlineStr">
        <is>
          <t>구약</t>
        </is>
      </c>
      <c r="D94" s="13" t="n">
        <v>93</v>
      </c>
      <c r="E94" s="13">
        <f>C94&amp;"말씀 #"&amp;TEXT(D94,"000")</f>
        <v/>
      </c>
      <c r="F94" s="14" t="inlineStr">
        <is>
          <t>열왕기상</t>
        </is>
      </c>
      <c r="G94" s="14" t="inlineStr">
        <is>
          <t>3:9</t>
        </is>
      </c>
      <c r="H94" s="15" t="inlineStr">
        <is>
          <t>(왕상 3:9, 개역한글)</t>
        </is>
      </c>
      <c r="I94" s="14" t="inlineStr">
        <is>
          <t>지혜</t>
        </is>
      </c>
      <c r="J94" s="14" t="inlineStr">
        <is>
          <t>들판·나무</t>
        </is>
      </c>
      <c r="K94" s="16" t="inlineStr">
        <is>
          <t>누가 주의 이 많은 백성을 재판할 수 있사오리이까 지혜로운 마음을 종에게 주사 주의 백성을 재판하여 선악을 분별하게 하옵소서</t>
        </is>
      </c>
      <c r="L94" s="14" t="inlineStr">
        <is>
          <t>자동 입력</t>
        </is>
      </c>
      <c r="M94" s="14">
        <f>LEN(K94)</f>
        <v/>
      </c>
      <c r="N94" s="14">
        <f>IF(M94=0,"-",ROUND(3+M94/'안내'!$C$12,0))</f>
        <v/>
      </c>
      <c r="O94" s="15">
        <f>IF(K94="","(본문 입력 후 자동) | 왕상 3:9",IF(LEN(K94)&gt;28,LEFT(K94,28)&amp;"…",K94)&amp;" | 왕상 3:9")</f>
        <v/>
      </c>
      <c r="P94" s="15">
        <f>"#"&amp;SUBSTITUTE('안내'!$C$5," ","")&amp;" #성경구절 #말씀 #열왕기상 #지혜"</f>
        <v/>
      </c>
      <c r="Q94" s="15" t="inlineStr">
        <is>
          <t>성경 본문: 개역한글판</t>
        </is>
      </c>
      <c r="R94" s="17">
        <f>'안내'!$C$6+INT((D94-1)/'안내'!$C$7)</f>
        <v/>
      </c>
      <c r="S94" s="14">
        <f>IF(MOD(D94-1,'안내'!$C$7)=0,'안내'!$C$8,'안내'!$C$10)</f>
        <v/>
      </c>
      <c r="T94" s="14">
        <f>CHOOSE(WEEKDAY(R94,2),"월","화","수","목","금","토","일")</f>
        <v/>
      </c>
      <c r="U94" s="14" t="inlineStr">
        <is>
          <t>미착수</t>
        </is>
      </c>
      <c r="V94" s="14" t="inlineStr">
        <is>
          <t>미착수</t>
        </is>
      </c>
      <c r="W94" s="18" t="n"/>
      <c r="X94" s="18" t="n"/>
      <c r="Y94" s="15" t="n"/>
      <c r="Z94" s="15" t="inlineStr"/>
      <c r="AA94" s="15" t="inlineStr">
        <is>
          <t>Give your servant therefore an understanding heart to judge your people, that I may discern between good and evil; for who is able to judge this great people of yours?”</t>
        </is>
      </c>
    </row>
    <row r="95">
      <c r="A95" s="13" t="n">
        <v>94</v>
      </c>
      <c r="B95" s="13" t="inlineStr">
        <is>
          <t>W0094</t>
        </is>
      </c>
      <c r="C95" s="13" t="inlineStr">
        <is>
          <t>구약</t>
        </is>
      </c>
      <c r="D95" s="13" t="n">
        <v>94</v>
      </c>
      <c r="E95" s="13">
        <f>C95&amp;"말씀 #"&amp;TEXT(D95,"000")</f>
        <v/>
      </c>
      <c r="F95" s="14" t="inlineStr">
        <is>
          <t>열왕기상</t>
        </is>
      </c>
      <c r="G95" s="14" t="inlineStr">
        <is>
          <t>8:27</t>
        </is>
      </c>
      <c r="H95" s="15" t="inlineStr">
        <is>
          <t>(왕상 8:27, 개역한글)</t>
        </is>
      </c>
      <c r="I95" s="14" t="inlineStr">
        <is>
          <t>임재</t>
        </is>
      </c>
      <c r="J95" s="14" t="inlineStr">
        <is>
          <t>하늘·별</t>
        </is>
      </c>
      <c r="K95" s="16" t="inlineStr">
        <is>
          <t>하나님이 참으로 땅에 거하시리이까 하늘과 하늘들의 하늘이라도 주를 용납지 못하겠거든 하물며 내가 건축한 이 전이오리이까</t>
        </is>
      </c>
      <c r="L95" s="14" t="inlineStr">
        <is>
          <t>자동 입력</t>
        </is>
      </c>
      <c r="M95" s="14">
        <f>LEN(K95)</f>
        <v/>
      </c>
      <c r="N95" s="14">
        <f>IF(M95=0,"-",ROUND(3+M95/'안내'!$C$12,0))</f>
        <v/>
      </c>
      <c r="O95" s="15">
        <f>IF(K95="","(본문 입력 후 자동) | 왕상 8:27",IF(LEN(K95)&gt;28,LEFT(K95,28)&amp;"…",K95)&amp;" | 왕상 8:27")</f>
        <v/>
      </c>
      <c r="P95" s="15">
        <f>"#"&amp;SUBSTITUTE('안내'!$C$5," ","")&amp;" #성경구절 #말씀 #열왕기상 #임재"</f>
        <v/>
      </c>
      <c r="Q95" s="15" t="inlineStr">
        <is>
          <t>성경 본문: 개역한글판</t>
        </is>
      </c>
      <c r="R95" s="17">
        <f>'안내'!$C$6+INT((D95-1)/'안내'!$C$7)</f>
        <v/>
      </c>
      <c r="S95" s="14">
        <f>IF(MOD(D95-1,'안내'!$C$7)=0,'안내'!$C$8,'안내'!$C$10)</f>
        <v/>
      </c>
      <c r="T95" s="14">
        <f>CHOOSE(WEEKDAY(R95,2),"월","화","수","목","금","토","일")</f>
        <v/>
      </c>
      <c r="U95" s="14" t="inlineStr">
        <is>
          <t>미착수</t>
        </is>
      </c>
      <c r="V95" s="14" t="inlineStr">
        <is>
          <t>미착수</t>
        </is>
      </c>
      <c r="W95" s="18" t="n"/>
      <c r="X95" s="18" t="n"/>
      <c r="Y95" s="15" t="n"/>
      <c r="Z95" s="15" t="inlineStr"/>
      <c r="AA95" s="15" t="inlineStr">
        <is>
          <t>But will God in very deed dwell on the earth? Behold, heaven and the heaven of heav- ens can’t contain you; how much less this house that I have built!</t>
        </is>
      </c>
    </row>
    <row r="96">
      <c r="A96" s="13" t="n">
        <v>95</v>
      </c>
      <c r="B96" s="13" t="inlineStr">
        <is>
          <t>W0095</t>
        </is>
      </c>
      <c r="C96" s="13" t="inlineStr">
        <is>
          <t>구약</t>
        </is>
      </c>
      <c r="D96" s="13" t="n">
        <v>95</v>
      </c>
      <c r="E96" s="13">
        <f>C96&amp;"말씀 #"&amp;TEXT(D96,"000")</f>
        <v/>
      </c>
      <c r="F96" s="14" t="inlineStr">
        <is>
          <t>열왕기상</t>
        </is>
      </c>
      <c r="G96" s="14" t="inlineStr">
        <is>
          <t>8:61</t>
        </is>
      </c>
      <c r="H96" s="15" t="inlineStr">
        <is>
          <t>(왕상 8:61, 개역한글)</t>
        </is>
      </c>
      <c r="I96" s="14" t="inlineStr">
        <is>
          <t>헌신</t>
        </is>
      </c>
      <c r="J96" s="14" t="inlineStr">
        <is>
          <t>길·등불</t>
        </is>
      </c>
      <c r="K96" s="16" t="inlineStr">
        <is>
          <t>그런즉 너희 마음을 우리 하나님 여호와와 화합하여 완전케 하여 오늘날과 같이 그 법도를 행하며 그 계명을 지킬지어다</t>
        </is>
      </c>
      <c r="L96" s="14" t="inlineStr">
        <is>
          <t>자동 입력</t>
        </is>
      </c>
      <c r="M96" s="14">
        <f>LEN(K96)</f>
        <v/>
      </c>
      <c r="N96" s="14">
        <f>IF(M96=0,"-",ROUND(3+M96/'안내'!$C$12,0))</f>
        <v/>
      </c>
      <c r="O96" s="15">
        <f>IF(K96="","(본문 입력 후 자동) | 왕상 8:61",IF(LEN(K96)&gt;28,LEFT(K96,28)&amp;"…",K96)&amp;" | 왕상 8:61")</f>
        <v/>
      </c>
      <c r="P96" s="15">
        <f>"#"&amp;SUBSTITUTE('안내'!$C$5," ","")&amp;" #성경구절 #말씀 #열왕기상 #헌신"</f>
        <v/>
      </c>
      <c r="Q96" s="15" t="inlineStr">
        <is>
          <t>성경 본문: 개역한글판</t>
        </is>
      </c>
      <c r="R96" s="17">
        <f>'안내'!$C$6+INT((D96-1)/'안내'!$C$7)</f>
        <v/>
      </c>
      <c r="S96" s="14">
        <f>IF(MOD(D96-1,'안내'!$C$7)=0,'안내'!$C$8,'안내'!$C$10)</f>
        <v/>
      </c>
      <c r="T96" s="14">
        <f>CHOOSE(WEEKDAY(R96,2),"월","화","수","목","금","토","일")</f>
        <v/>
      </c>
      <c r="U96" s="14" t="inlineStr">
        <is>
          <t>미착수</t>
        </is>
      </c>
      <c r="V96" s="14" t="inlineStr">
        <is>
          <t>미착수</t>
        </is>
      </c>
      <c r="W96" s="18" t="n"/>
      <c r="X96" s="18" t="n"/>
      <c r="Y96" s="15" t="n"/>
      <c r="Z96" s="15" t="inlineStr"/>
      <c r="AA96" s="15" t="inlineStr">
        <is>
          <t>“Let your heart therefore be perfect with Yahweh our God, to walk in his statutes, and to keep his commandments, as it is today.”</t>
        </is>
      </c>
    </row>
    <row r="97">
      <c r="A97" s="13" t="n">
        <v>96</v>
      </c>
      <c r="B97" s="13" t="inlineStr">
        <is>
          <t>W0096</t>
        </is>
      </c>
      <c r="C97" s="13" t="inlineStr">
        <is>
          <t>구약</t>
        </is>
      </c>
      <c r="D97" s="13" t="n">
        <v>96</v>
      </c>
      <c r="E97" s="13">
        <f>C97&amp;"말씀 #"&amp;TEXT(D97,"000")</f>
        <v/>
      </c>
      <c r="F97" s="14" t="inlineStr">
        <is>
          <t>열왕기상</t>
        </is>
      </c>
      <c r="G97" s="14" t="inlineStr">
        <is>
          <t>18:21</t>
        </is>
      </c>
      <c r="H97" s="15" t="inlineStr">
        <is>
          <t>(왕상 18:21, 개역한글)</t>
        </is>
      </c>
      <c r="I97" s="14" t="inlineStr">
        <is>
          <t>결단</t>
        </is>
      </c>
      <c r="J97" s="14" t="inlineStr">
        <is>
          <t>길·등불</t>
        </is>
      </c>
      <c r="K97" s="16" t="inlineStr">
        <is>
          <t>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t>
        </is>
      </c>
      <c r="L97" s="14" t="inlineStr">
        <is>
          <t>자동 입력</t>
        </is>
      </c>
      <c r="M97" s="14">
        <f>LEN(K97)</f>
        <v/>
      </c>
      <c r="N97" s="14">
        <f>IF(M97=0,"-",ROUND(3+M97/'안내'!$C$12,0))</f>
        <v/>
      </c>
      <c r="O97" s="15">
        <f>IF(K97="","(본문 입력 후 자동) | 왕상 18:21",IF(LEN(K97)&gt;28,LEFT(K97,28)&amp;"…",K97)&amp;" | 왕상 18:21")</f>
        <v/>
      </c>
      <c r="P97" s="15">
        <f>"#"&amp;SUBSTITUTE('안내'!$C$5," ","")&amp;" #성경구절 #말씀 #열왕기상 #결단"</f>
        <v/>
      </c>
      <c r="Q97" s="15" t="inlineStr">
        <is>
          <t>성경 본문: 개역한글판</t>
        </is>
      </c>
      <c r="R97" s="17">
        <f>'안내'!$C$6+INT((D97-1)/'안내'!$C$7)</f>
        <v/>
      </c>
      <c r="S97" s="14">
        <f>IF(MOD(D97-1,'안내'!$C$7)=0,'안내'!$C$8,'안내'!$C$10)</f>
        <v/>
      </c>
      <c r="T97" s="14">
        <f>CHOOSE(WEEKDAY(R97,2),"월","화","수","목","금","토","일")</f>
        <v/>
      </c>
      <c r="U97" s="14" t="inlineStr">
        <is>
          <t>미착수</t>
        </is>
      </c>
      <c r="V97" s="14" t="inlineStr">
        <is>
          <t>미착수</t>
        </is>
      </c>
      <c r="W97" s="18" t="n"/>
      <c r="X97" s="18" t="n"/>
      <c r="Y97" s="15" t="n"/>
      <c r="Z97" s="15" t="inlineStr"/>
      <c r="AA97" s="15" t="inlineStr">
        <is>
          <t>Elijah came near to all the people, and said, “How long will you waver between the two sides? If Yahweh is God, follow him; but if Baal, then follow him.” The people didn’t say a word.</t>
        </is>
      </c>
    </row>
    <row r="98">
      <c r="A98" s="13" t="n">
        <v>97</v>
      </c>
      <c r="B98" s="13" t="inlineStr">
        <is>
          <t>W0097</t>
        </is>
      </c>
      <c r="C98" s="13" t="inlineStr">
        <is>
          <t>구약</t>
        </is>
      </c>
      <c r="D98" s="13" t="n">
        <v>97</v>
      </c>
      <c r="E98" s="13">
        <f>C98&amp;"말씀 #"&amp;TEXT(D98,"000")</f>
        <v/>
      </c>
      <c r="F98" s="14" t="inlineStr">
        <is>
          <t>열왕기상</t>
        </is>
      </c>
      <c r="G98" s="14" t="inlineStr">
        <is>
          <t>18:39</t>
        </is>
      </c>
      <c r="H98" s="15" t="inlineStr">
        <is>
          <t>(왕상 18:39, 개역한글)</t>
        </is>
      </c>
      <c r="I98" s="14" t="inlineStr">
        <is>
          <t>하나님</t>
        </is>
      </c>
      <c r="J98" s="14" t="inlineStr">
        <is>
          <t>하늘·별</t>
        </is>
      </c>
      <c r="K98" s="16" t="inlineStr">
        <is>
          <t>모든 백성이 보고 엎드려 말하되 여호와 그는 하나님이시로다 여호와 그는 하나님이시로다 하니</t>
        </is>
      </c>
      <c r="L98" s="14" t="inlineStr">
        <is>
          <t>자동 입력</t>
        </is>
      </c>
      <c r="M98" s="14">
        <f>LEN(K98)</f>
        <v/>
      </c>
      <c r="N98" s="14">
        <f>IF(M98=0,"-",ROUND(3+M98/'안내'!$C$12,0))</f>
        <v/>
      </c>
      <c r="O98" s="15">
        <f>IF(K98="","(본문 입력 후 자동) | 왕상 18:39",IF(LEN(K98)&gt;28,LEFT(K98,28)&amp;"…",K98)&amp;" | 왕상 18:39")</f>
        <v/>
      </c>
      <c r="P98" s="15">
        <f>"#"&amp;SUBSTITUTE('안내'!$C$5," ","")&amp;" #성경구절 #말씀 #열왕기상 #하나님"</f>
        <v/>
      </c>
      <c r="Q98" s="15" t="inlineStr">
        <is>
          <t>성경 본문: 개역한글판</t>
        </is>
      </c>
      <c r="R98" s="17">
        <f>'안내'!$C$6+INT((D98-1)/'안내'!$C$7)</f>
        <v/>
      </c>
      <c r="S98" s="14">
        <f>IF(MOD(D98-1,'안내'!$C$7)=0,'안내'!$C$8,'안내'!$C$10)</f>
        <v/>
      </c>
      <c r="T98" s="14">
        <f>CHOOSE(WEEKDAY(R98,2),"월","화","수","목","금","토","일")</f>
        <v/>
      </c>
      <c r="U98" s="14" t="inlineStr">
        <is>
          <t>미착수</t>
        </is>
      </c>
      <c r="V98" s="14" t="inlineStr">
        <is>
          <t>미착수</t>
        </is>
      </c>
      <c r="W98" s="18" t="n"/>
      <c r="X98" s="18" t="n"/>
      <c r="Y98" s="15" t="n"/>
      <c r="Z98" s="15" t="inlineStr"/>
      <c r="AA98" s="15" t="inlineStr">
        <is>
          <t>When all the people saw it, they fell on their faces. They said, “Yahweh, he is God! Yahweh, he is God!”</t>
        </is>
      </c>
    </row>
    <row r="99">
      <c r="A99" s="13" t="n">
        <v>98</v>
      </c>
      <c r="B99" s="13" t="inlineStr">
        <is>
          <t>W0098</t>
        </is>
      </c>
      <c r="C99" s="13" t="inlineStr">
        <is>
          <t>구약</t>
        </is>
      </c>
      <c r="D99" s="13" t="n">
        <v>98</v>
      </c>
      <c r="E99" s="13">
        <f>C99&amp;"말씀 #"&amp;TEXT(D99,"000")</f>
        <v/>
      </c>
      <c r="F99" s="14" t="inlineStr">
        <is>
          <t>열왕기상</t>
        </is>
      </c>
      <c r="G99" s="14" t="inlineStr">
        <is>
          <t>19:12</t>
        </is>
      </c>
      <c r="H99" s="15" t="inlineStr">
        <is>
          <t>(왕상 19:12, 개역한글)</t>
        </is>
      </c>
      <c r="I99" s="14" t="inlineStr">
        <is>
          <t>임재</t>
        </is>
      </c>
      <c r="J99" s="14" t="inlineStr">
        <is>
          <t>하늘·별</t>
        </is>
      </c>
      <c r="K99" s="16" t="inlineStr">
        <is>
          <t>또 지진 후에 불이 있으나 불 가운데도 여호와께서 계시지 아니하더니 불 후에 세미한 소리가 있는지라</t>
        </is>
      </c>
      <c r="L99" s="14" t="inlineStr">
        <is>
          <t>자동 입력</t>
        </is>
      </c>
      <c r="M99" s="14">
        <f>LEN(K99)</f>
        <v/>
      </c>
      <c r="N99" s="14">
        <f>IF(M99=0,"-",ROUND(3+M99/'안내'!$C$12,0))</f>
        <v/>
      </c>
      <c r="O99" s="15">
        <f>IF(K99="","(본문 입력 후 자동) | 왕상 19:12",IF(LEN(K99)&gt;28,LEFT(K99,28)&amp;"…",K99)&amp;" | 왕상 19:12")</f>
        <v/>
      </c>
      <c r="P99" s="15">
        <f>"#"&amp;SUBSTITUTE('안내'!$C$5," ","")&amp;" #성경구절 #말씀 #열왕기상 #임재"</f>
        <v/>
      </c>
      <c r="Q99" s="15" t="inlineStr">
        <is>
          <t>성경 본문: 개역한글판</t>
        </is>
      </c>
      <c r="R99" s="17">
        <f>'안내'!$C$6+INT((D99-1)/'안내'!$C$7)</f>
        <v/>
      </c>
      <c r="S99" s="14">
        <f>IF(MOD(D99-1,'안내'!$C$7)=0,'안내'!$C$8,'안내'!$C$10)</f>
        <v/>
      </c>
      <c r="T99" s="14">
        <f>CHOOSE(WEEKDAY(R99,2),"월","화","수","목","금","토","일")</f>
        <v/>
      </c>
      <c r="U99" s="14" t="inlineStr">
        <is>
          <t>미착수</t>
        </is>
      </c>
      <c r="V99" s="14" t="inlineStr">
        <is>
          <t>미착수</t>
        </is>
      </c>
      <c r="W99" s="18" t="n"/>
      <c r="X99" s="18" t="n"/>
      <c r="Y99" s="15" t="n"/>
      <c r="Z99" s="15" t="inlineStr"/>
      <c r="AA99" s="15" t="inlineStr">
        <is>
          <t>After the earthquake a fire passed; but Yahweh was not in the fire. After the fire, there was a still small voice.</t>
        </is>
      </c>
    </row>
    <row r="100">
      <c r="A100" s="13" t="n">
        <v>99</v>
      </c>
      <c r="B100" s="13" t="inlineStr">
        <is>
          <t>W0099</t>
        </is>
      </c>
      <c r="C100" s="13" t="inlineStr">
        <is>
          <t>구약</t>
        </is>
      </c>
      <c r="D100" s="13" t="n">
        <v>99</v>
      </c>
      <c r="E100" s="13">
        <f>C100&amp;"말씀 #"&amp;TEXT(D100,"000")</f>
        <v/>
      </c>
      <c r="F100" s="14" t="inlineStr">
        <is>
          <t>열왕기하</t>
        </is>
      </c>
      <c r="G100" s="14" t="inlineStr">
        <is>
          <t>6:16</t>
        </is>
      </c>
      <c r="H100" s="15" t="inlineStr">
        <is>
          <t>(왕하 6:16, 개역한글)</t>
        </is>
      </c>
      <c r="I100" s="14" t="inlineStr">
        <is>
          <t>보호</t>
        </is>
      </c>
      <c r="J100" s="14" t="inlineStr">
        <is>
          <t>바위산·광야</t>
        </is>
      </c>
      <c r="K100" s="16" t="inlineStr">
        <is>
          <t>대답하되 두려워하지 말라 우리와 함께한 자가 저와 함께한 자보다 많으니라 하고</t>
        </is>
      </c>
      <c r="L100" s="14" t="inlineStr">
        <is>
          <t>자동 입력</t>
        </is>
      </c>
      <c r="M100" s="14">
        <f>LEN(K100)</f>
        <v/>
      </c>
      <c r="N100" s="14">
        <f>IF(M100=0,"-",ROUND(3+M100/'안내'!$C$12,0))</f>
        <v/>
      </c>
      <c r="O100" s="15">
        <f>IF(K100="","(본문 입력 후 자동) | 왕하 6:16",IF(LEN(K100)&gt;28,LEFT(K100,28)&amp;"…",K100)&amp;" | 왕하 6:16")</f>
        <v/>
      </c>
      <c r="P100" s="15">
        <f>"#"&amp;SUBSTITUTE('안내'!$C$5," ","")&amp;" #성경구절 #말씀 #열왕기하 #보호"</f>
        <v/>
      </c>
      <c r="Q100" s="15" t="inlineStr">
        <is>
          <t>성경 본문: 개역한글판</t>
        </is>
      </c>
      <c r="R100" s="17">
        <f>'안내'!$C$6+INT((D100-1)/'안내'!$C$7)</f>
        <v/>
      </c>
      <c r="S100" s="14">
        <f>IF(MOD(D100-1,'안내'!$C$7)=0,'안내'!$C$8,'안내'!$C$10)</f>
        <v/>
      </c>
      <c r="T100" s="14">
        <f>CHOOSE(WEEKDAY(R100,2),"월","화","수","목","금","토","일")</f>
        <v/>
      </c>
      <c r="U100" s="14" t="inlineStr">
        <is>
          <t>미착수</t>
        </is>
      </c>
      <c r="V100" s="14" t="inlineStr">
        <is>
          <t>미착수</t>
        </is>
      </c>
      <c r="W100" s="18" t="n"/>
      <c r="X100" s="18" t="n"/>
      <c r="Y100" s="15" t="n"/>
      <c r="Z100" s="15" t="inlineStr"/>
      <c r="AA100" s="15" t="inlineStr">
        <is>
          <t>He answered, “Don’t be afraid, for those who are with us are more than those who are with them.”</t>
        </is>
      </c>
    </row>
    <row r="101">
      <c r="A101" s="13" t="n">
        <v>100</v>
      </c>
      <c r="B101" s="13" t="inlineStr">
        <is>
          <t>W0100</t>
        </is>
      </c>
      <c r="C101" s="13" t="inlineStr">
        <is>
          <t>구약</t>
        </is>
      </c>
      <c r="D101" s="13" t="n">
        <v>100</v>
      </c>
      <c r="E101" s="13">
        <f>C101&amp;"말씀 #"&amp;TEXT(D101,"000")</f>
        <v/>
      </c>
      <c r="F101" s="14" t="inlineStr">
        <is>
          <t>열왕기하</t>
        </is>
      </c>
      <c r="G101" s="14" t="inlineStr">
        <is>
          <t>6:17</t>
        </is>
      </c>
      <c r="H101" s="15" t="inlineStr">
        <is>
          <t>(왕하 6:17, 개역한글)</t>
        </is>
      </c>
      <c r="I101" s="14" t="inlineStr">
        <is>
          <t>믿음</t>
        </is>
      </c>
      <c r="J101" s="14" t="inlineStr">
        <is>
          <t>바위산·광야</t>
        </is>
      </c>
      <c r="K101" s="16" t="inlineStr">
        <is>
          <t>기도하여 가로되 여호와여 원컨대 저의 눈을 열어서 보게 하옵소서 하니 여호와께서 그 사환의 눈을 여시매 저가 보니 불말과 불병거가 산에 가득하여 엘리사를 둘렀더라</t>
        </is>
      </c>
      <c r="L101" s="14" t="inlineStr">
        <is>
          <t>자동 입력 · 대조 필요</t>
        </is>
      </c>
      <c r="M101" s="14">
        <f>LEN(K101)</f>
        <v/>
      </c>
      <c r="N101" s="14">
        <f>IF(M101=0,"-",ROUND(3+M101/'안내'!$C$12,0))</f>
        <v/>
      </c>
      <c r="O101" s="15">
        <f>IF(K101="","(본문 입력 후 자동) | 왕하 6:17",IF(LEN(K101)&gt;28,LEFT(K101,28)&amp;"…",K101)&amp;" | 왕하 6:17")</f>
        <v/>
      </c>
      <c r="P101" s="15">
        <f>"#"&amp;SUBSTITUTE('안내'!$C$5," ","")&amp;" #성경구절 #말씀 #열왕기하 #믿음"</f>
        <v/>
      </c>
      <c r="Q101" s="15" t="inlineStr">
        <is>
          <t>성경 본문: 개역한글판</t>
        </is>
      </c>
      <c r="R101" s="17">
        <f>'안내'!$C$6+INT((D101-1)/'안내'!$C$7)</f>
        <v/>
      </c>
      <c r="S101" s="14">
        <f>IF(MOD(D101-1,'안내'!$C$7)=0,'안내'!$C$8,'안내'!$C$10)</f>
        <v/>
      </c>
      <c r="T101" s="14">
        <f>CHOOSE(WEEKDAY(R101,2),"월","화","수","목","금","토","일")</f>
        <v/>
      </c>
      <c r="U101" s="14" t="inlineStr">
        <is>
          <t>미착수</t>
        </is>
      </c>
      <c r="V101" s="14" t="inlineStr">
        <is>
          <t>미착수</t>
        </is>
      </c>
      <c r="W101" s="18" t="n"/>
      <c r="X101" s="18" t="n"/>
      <c r="Y101" s="15" t="n"/>
      <c r="Z101" s="15" t="inlineStr">
        <is>
          <t>줄바꿈 띄어쓰기 확인</t>
        </is>
      </c>
      <c r="AA101" s="15" t="inlineStr">
        <is>
          <t>Elisha prayed, and said, “Yahweh, please open his eyes, that he may see.” Yahweh opened the young man’s eyes, and he saw; and behold, the mountain was full of horses and chariots of fire around Elisha.</t>
        </is>
      </c>
    </row>
    <row r="102">
      <c r="A102" s="13" t="n">
        <v>101</v>
      </c>
      <c r="B102" s="13" t="inlineStr">
        <is>
          <t>W0101</t>
        </is>
      </c>
      <c r="C102" s="13" t="inlineStr">
        <is>
          <t>구약</t>
        </is>
      </c>
      <c r="D102" s="13" t="n">
        <v>101</v>
      </c>
      <c r="E102" s="13">
        <f>C102&amp;"말씀 #"&amp;TEXT(D102,"000")</f>
        <v/>
      </c>
      <c r="F102" s="14" t="inlineStr">
        <is>
          <t>열왕기하</t>
        </is>
      </c>
      <c r="G102" s="14" t="inlineStr">
        <is>
          <t>19:15</t>
        </is>
      </c>
      <c r="H102" s="15" t="inlineStr">
        <is>
          <t>(왕하 19:15, 개역한글)</t>
        </is>
      </c>
      <c r="I102" s="14" t="inlineStr">
        <is>
          <t>기도</t>
        </is>
      </c>
      <c r="J102" s="14" t="inlineStr">
        <is>
          <t>제단·십자가</t>
        </is>
      </c>
      <c r="K102" s="16" t="inlineStr">
        <is>
          <t>그 앞에서 기도하여 가로되 그룹들 위에 계신 이스라엘의 하나님 여호와여 주는 천하 만국에 홀로 하나님이시라 주께서 천지를 조성하셨나이다</t>
        </is>
      </c>
      <c r="L102" s="14" t="inlineStr">
        <is>
          <t>자동 입력</t>
        </is>
      </c>
      <c r="M102" s="14">
        <f>LEN(K102)</f>
        <v/>
      </c>
      <c r="N102" s="14">
        <f>IF(M102=0,"-",ROUND(3+M102/'안내'!$C$12,0))</f>
        <v/>
      </c>
      <c r="O102" s="15">
        <f>IF(K102="","(본문 입력 후 자동) | 왕하 19:15",IF(LEN(K102)&gt;28,LEFT(K102,28)&amp;"…",K102)&amp;" | 왕하 19:15")</f>
        <v/>
      </c>
      <c r="P102" s="15">
        <f>"#"&amp;SUBSTITUTE('안내'!$C$5," ","")&amp;" #성경구절 #말씀 #열왕기하 #기도"</f>
        <v/>
      </c>
      <c r="Q102" s="15" t="inlineStr">
        <is>
          <t>성경 본문: 개역한글판</t>
        </is>
      </c>
      <c r="R102" s="17">
        <f>'안내'!$C$6+INT((D102-1)/'안내'!$C$7)</f>
        <v/>
      </c>
      <c r="S102" s="14">
        <f>IF(MOD(D102-1,'안내'!$C$7)=0,'안내'!$C$8,'안내'!$C$10)</f>
        <v/>
      </c>
      <c r="T102" s="14">
        <f>CHOOSE(WEEKDAY(R102,2),"월","화","수","목","금","토","일")</f>
        <v/>
      </c>
      <c r="U102" s="14" t="inlineStr">
        <is>
          <t>미착수</t>
        </is>
      </c>
      <c r="V102" s="14" t="inlineStr">
        <is>
          <t>미착수</t>
        </is>
      </c>
      <c r="W102" s="18" t="n"/>
      <c r="X102" s="18" t="n"/>
      <c r="Y102" s="15" t="n"/>
      <c r="Z102" s="15" t="inlineStr"/>
      <c r="AA102" s="15" t="inlineStr">
        <is>
          <t>Hezekiah prayed before Yahweh, and said, “Yahweh, the God of Israel, who are enthroned above the cherubim, you are the God, even you alone, of all the kingdoms of the earth. You have made heaven and earth.</t>
        </is>
      </c>
    </row>
    <row r="103">
      <c r="A103" s="13" t="n">
        <v>102</v>
      </c>
      <c r="B103" s="13" t="inlineStr">
        <is>
          <t>W0102</t>
        </is>
      </c>
      <c r="C103" s="13" t="inlineStr">
        <is>
          <t>구약</t>
        </is>
      </c>
      <c r="D103" s="13" t="n">
        <v>102</v>
      </c>
      <c r="E103" s="13">
        <f>C103&amp;"말씀 #"&amp;TEXT(D103,"000")</f>
        <v/>
      </c>
      <c r="F103" s="14" t="inlineStr">
        <is>
          <t>열왕기하</t>
        </is>
      </c>
      <c r="G103" s="14" t="inlineStr">
        <is>
          <t>20:5</t>
        </is>
      </c>
      <c r="H103" s="15" t="inlineStr">
        <is>
          <t>(왕하 20:5, 개역한글)</t>
        </is>
      </c>
      <c r="I103" s="14" t="inlineStr">
        <is>
          <t>치료</t>
        </is>
      </c>
      <c r="J103" s="14" t="inlineStr">
        <is>
          <t>잔잔한 물</t>
        </is>
      </c>
      <c r="K103" s="16" t="inlineStr">
        <is>
          <t>너는 돌아가서 내 백성의 주권자 히스기야에게 이르기를 왕의 조상 다윗의 하나님 여호와의 말씀이 내가 네 기도를 들었고 네 눈물을 보았노라 내가 너를 낫게 하리니 네가 삼일 만에 여호와의 전에 올라가겠고</t>
        </is>
      </c>
      <c r="L103" s="14" t="inlineStr">
        <is>
          <t>자동 입력</t>
        </is>
      </c>
      <c r="M103" s="14">
        <f>LEN(K103)</f>
        <v/>
      </c>
      <c r="N103" s="14">
        <f>IF(M103=0,"-",ROUND(3+M103/'안내'!$C$12,0))</f>
        <v/>
      </c>
      <c r="O103" s="15">
        <f>IF(K103="","(본문 입력 후 자동) | 왕하 20:5",IF(LEN(K103)&gt;28,LEFT(K103,28)&amp;"…",K103)&amp;" | 왕하 20:5")</f>
        <v/>
      </c>
      <c r="P103" s="15">
        <f>"#"&amp;SUBSTITUTE('안내'!$C$5," ","")&amp;" #성경구절 #말씀 #열왕기하 #치료"</f>
        <v/>
      </c>
      <c r="Q103" s="15" t="inlineStr">
        <is>
          <t>성경 본문: 개역한글판</t>
        </is>
      </c>
      <c r="R103" s="17">
        <f>'안내'!$C$6+INT((D103-1)/'안내'!$C$7)</f>
        <v/>
      </c>
      <c r="S103" s="14">
        <f>IF(MOD(D103-1,'안내'!$C$7)=0,'안내'!$C$8,'안내'!$C$10)</f>
        <v/>
      </c>
      <c r="T103" s="14">
        <f>CHOOSE(WEEKDAY(R103,2),"월","화","수","목","금","토","일")</f>
        <v/>
      </c>
      <c r="U103" s="14" t="inlineStr">
        <is>
          <t>미착수</t>
        </is>
      </c>
      <c r="V103" s="14" t="inlineStr">
        <is>
          <t>미착수</t>
        </is>
      </c>
      <c r="W103" s="18" t="n"/>
      <c r="X103" s="18" t="n"/>
      <c r="Y103" s="15" t="n"/>
      <c r="Z103" s="15" t="inlineStr"/>
      <c r="AA103" s="15" t="inlineStr">
        <is>
          <t>“Turn back, and tell Hezekiah the prince of my people, ‘Yah- weh, the God of David your father, says, “I have heard your prayer. I have seen your tears. Behold, I will heal you. On the third day, you will go up to Yahweh’s house.</t>
        </is>
      </c>
    </row>
    <row r="104">
      <c r="A104" s="13" t="n">
        <v>103</v>
      </c>
      <c r="B104" s="13" t="inlineStr">
        <is>
          <t>W0103</t>
        </is>
      </c>
      <c r="C104" s="13" t="inlineStr">
        <is>
          <t>구약</t>
        </is>
      </c>
      <c r="D104" s="13" t="n">
        <v>103</v>
      </c>
      <c r="E104" s="13">
        <f>C104&amp;"말씀 #"&amp;TEXT(D104,"000")</f>
        <v/>
      </c>
      <c r="F104" s="14" t="inlineStr">
        <is>
          <t>역대상</t>
        </is>
      </c>
      <c r="G104" s="14" t="inlineStr">
        <is>
          <t>4:10</t>
        </is>
      </c>
      <c r="H104" s="15" t="inlineStr">
        <is>
          <t>(대상 4:10, 개역한글)</t>
        </is>
      </c>
      <c r="I104" s="14" t="inlineStr">
        <is>
          <t>기도</t>
        </is>
      </c>
      <c r="J104" s="14" t="inlineStr">
        <is>
          <t>제단·십자가</t>
        </is>
      </c>
      <c r="K104" s="16" t="inlineStr">
        <is>
          <t>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t>
        </is>
      </c>
      <c r="L104" s="14" t="inlineStr">
        <is>
          <t>자동 입력 · 대조 필요</t>
        </is>
      </c>
      <c r="M104" s="14">
        <f>LEN(K104)</f>
        <v/>
      </c>
      <c r="N104" s="14">
        <f>IF(M104=0,"-",ROUND(3+M104/'안내'!$C$12,0))</f>
        <v/>
      </c>
      <c r="O104" s="15">
        <f>IF(K104="","(본문 입력 후 자동) | 대상 4:10",IF(LEN(K104)&gt;28,LEFT(K104,28)&amp;"…",K104)&amp;" | 대상 4:10")</f>
        <v/>
      </c>
      <c r="P104" s="15">
        <f>"#"&amp;SUBSTITUTE('안내'!$C$5," ","")&amp;" #성경구절 #말씀 #역대상 #기도"</f>
        <v/>
      </c>
      <c r="Q104" s="19" t="inlineStr">
        <is>
          <t>야베스의 기도는 복을 얻는 주문이 아니라, 고통 속에서 하나님께 부르짖은 기도입니다.
성경 본문: 개역한글판</t>
        </is>
      </c>
      <c r="R104" s="17">
        <f>'안내'!$C$6+INT((D104-1)/'안내'!$C$7)</f>
        <v/>
      </c>
      <c r="S104" s="14">
        <f>IF(MOD(D104-1,'안내'!$C$7)=0,'안내'!$C$8,'안내'!$C$10)</f>
        <v/>
      </c>
      <c r="T104" s="14">
        <f>CHOOSE(WEEKDAY(R104,2),"월","화","수","목","금","토","일")</f>
        <v/>
      </c>
      <c r="U104" s="14" t="inlineStr">
        <is>
          <t>미착수</t>
        </is>
      </c>
      <c r="V104" s="14" t="inlineStr">
        <is>
          <t>미착수</t>
        </is>
      </c>
      <c r="W104" s="18" t="n"/>
      <c r="X104" s="18" t="n"/>
      <c r="Y104" s="15" t="n"/>
      <c r="Z104" s="15" t="inlineStr">
        <is>
          <t>줄바꿈 띄어쓰기 확인</t>
        </is>
      </c>
      <c r="AA104" s="15" t="inlineStr">
        <is>
          <t>Jabez called on the God of Israel, say- ing, “Oh that you would bless me indeed, and enlarge my border! May your hand be with me, and may you keep me from evil, that I may not cause pain!” God granted him that which he re- quested.</t>
        </is>
      </c>
    </row>
    <row r="105">
      <c r="A105" s="13" t="n">
        <v>104</v>
      </c>
      <c r="B105" s="13" t="inlineStr">
        <is>
          <t>W0104</t>
        </is>
      </c>
      <c r="C105" s="13" t="inlineStr">
        <is>
          <t>구약</t>
        </is>
      </c>
      <c r="D105" s="13" t="n">
        <v>104</v>
      </c>
      <c r="E105" s="13">
        <f>C105&amp;"말씀 #"&amp;TEXT(D105,"000")</f>
        <v/>
      </c>
      <c r="F105" s="14" t="inlineStr">
        <is>
          <t>역대상</t>
        </is>
      </c>
      <c r="G105" s="14" t="inlineStr">
        <is>
          <t>16:11</t>
        </is>
      </c>
      <c r="H105" s="15" t="inlineStr">
        <is>
          <t>(대상 16:11, 개역한글)</t>
        </is>
      </c>
      <c r="I105" s="14" t="inlineStr">
        <is>
          <t>기도</t>
        </is>
      </c>
      <c r="J105" s="14" t="inlineStr">
        <is>
          <t>제단·십자가</t>
        </is>
      </c>
      <c r="K105" s="16" t="inlineStr">
        <is>
          <t>여호와와 그 능력을 구할지어다 그 얼굴을 항상 구할지어다</t>
        </is>
      </c>
      <c r="L105" s="14" t="inlineStr">
        <is>
          <t>자동 입력</t>
        </is>
      </c>
      <c r="M105" s="14">
        <f>LEN(K105)</f>
        <v/>
      </c>
      <c r="N105" s="14">
        <f>IF(M105=0,"-",ROUND(3+M105/'안내'!$C$12,0))</f>
        <v/>
      </c>
      <c r="O105" s="15">
        <f>IF(K105="","(본문 입력 후 자동) | 대상 16:11",IF(LEN(K105)&gt;28,LEFT(K105,28)&amp;"…",K105)&amp;" | 대상 16:11")</f>
        <v/>
      </c>
      <c r="P105" s="15">
        <f>"#"&amp;SUBSTITUTE('안내'!$C$5," ","")&amp;" #성경구절 #말씀 #역대상 #기도"</f>
        <v/>
      </c>
      <c r="Q105" s="15" t="inlineStr">
        <is>
          <t>성경 본문: 개역한글판</t>
        </is>
      </c>
      <c r="R105" s="17">
        <f>'안내'!$C$6+INT((D105-1)/'안내'!$C$7)</f>
        <v/>
      </c>
      <c r="S105" s="14">
        <f>IF(MOD(D105-1,'안내'!$C$7)=0,'안내'!$C$8,'안내'!$C$10)</f>
        <v/>
      </c>
      <c r="T105" s="14">
        <f>CHOOSE(WEEKDAY(R105,2),"월","화","수","목","금","토","일")</f>
        <v/>
      </c>
      <c r="U105" s="14" t="inlineStr">
        <is>
          <t>미착수</t>
        </is>
      </c>
      <c r="V105" s="14" t="inlineStr">
        <is>
          <t>미착수</t>
        </is>
      </c>
      <c r="W105" s="18" t="n"/>
      <c r="X105" s="18" t="n"/>
      <c r="Y105" s="15" t="n"/>
      <c r="Z105" s="15" t="inlineStr"/>
      <c r="AA105" s="15" t="inlineStr">
        <is>
          <t>Seek Yahweh and his strength. Seek his face forever more.</t>
        </is>
      </c>
    </row>
    <row r="106">
      <c r="A106" s="13" t="n">
        <v>105</v>
      </c>
      <c r="B106" s="13" t="inlineStr">
        <is>
          <t>W0105</t>
        </is>
      </c>
      <c r="C106" s="13" t="inlineStr">
        <is>
          <t>구약</t>
        </is>
      </c>
      <c r="D106" s="13" t="n">
        <v>105</v>
      </c>
      <c r="E106" s="13">
        <f>C106&amp;"말씀 #"&amp;TEXT(D106,"000")</f>
        <v/>
      </c>
      <c r="F106" s="14" t="inlineStr">
        <is>
          <t>역대상</t>
        </is>
      </c>
      <c r="G106" s="14" t="inlineStr">
        <is>
          <t>16:34</t>
        </is>
      </c>
      <c r="H106" s="15" t="inlineStr">
        <is>
          <t>(대상 16:34, 개역한글)</t>
        </is>
      </c>
      <c r="I106" s="14" t="inlineStr">
        <is>
          <t>감사</t>
        </is>
      </c>
      <c r="J106" s="14" t="inlineStr">
        <is>
          <t>들판·나무</t>
        </is>
      </c>
      <c r="K106" s="16" t="inlineStr">
        <is>
          <t>여호와께 감사하라 그는 선하시며 그 인자하심이 영원함이로다</t>
        </is>
      </c>
      <c r="L106" s="14" t="inlineStr">
        <is>
          <t>자동 입력</t>
        </is>
      </c>
      <c r="M106" s="14">
        <f>LEN(K106)</f>
        <v/>
      </c>
      <c r="N106" s="14">
        <f>IF(M106=0,"-",ROUND(3+M106/'안내'!$C$12,0))</f>
        <v/>
      </c>
      <c r="O106" s="15">
        <f>IF(K106="","(본문 입력 후 자동) | 대상 16:34",IF(LEN(K106)&gt;28,LEFT(K106,28)&amp;"…",K106)&amp;" | 대상 16:34")</f>
        <v/>
      </c>
      <c r="P106" s="15">
        <f>"#"&amp;SUBSTITUTE('안내'!$C$5," ","")&amp;" #성경구절 #말씀 #역대상 #감사"</f>
        <v/>
      </c>
      <c r="Q106" s="15" t="inlineStr">
        <is>
          <t>성경 본문: 개역한글판</t>
        </is>
      </c>
      <c r="R106" s="17">
        <f>'안내'!$C$6+INT((D106-1)/'안내'!$C$7)</f>
        <v/>
      </c>
      <c r="S106" s="14">
        <f>IF(MOD(D106-1,'안내'!$C$7)=0,'안내'!$C$8,'안내'!$C$10)</f>
        <v/>
      </c>
      <c r="T106" s="14">
        <f>CHOOSE(WEEKDAY(R106,2),"월","화","수","목","금","토","일")</f>
        <v/>
      </c>
      <c r="U106" s="14" t="inlineStr">
        <is>
          <t>미착수</t>
        </is>
      </c>
      <c r="V106" s="14" t="inlineStr">
        <is>
          <t>미착수</t>
        </is>
      </c>
      <c r="W106" s="18" t="n"/>
      <c r="X106" s="18" t="n"/>
      <c r="Y106" s="15" t="n"/>
      <c r="Z106" s="15" t="inlineStr"/>
      <c r="AA106" s="15" t="inlineStr">
        <is>
          <t>Oh give thanks to Yahweh, for he is good, for his loving kindness endures for- ever.</t>
        </is>
      </c>
    </row>
    <row r="107">
      <c r="A107" s="13" t="n">
        <v>106</v>
      </c>
      <c r="B107" s="13" t="inlineStr">
        <is>
          <t>W0106</t>
        </is>
      </c>
      <c r="C107" s="13" t="inlineStr">
        <is>
          <t>구약</t>
        </is>
      </c>
      <c r="D107" s="13" t="n">
        <v>106</v>
      </c>
      <c r="E107" s="13">
        <f>C107&amp;"말씀 #"&amp;TEXT(D107,"000")</f>
        <v/>
      </c>
      <c r="F107" s="14" t="inlineStr">
        <is>
          <t>역대상</t>
        </is>
      </c>
      <c r="G107" s="14" t="inlineStr">
        <is>
          <t>28:9</t>
        </is>
      </c>
      <c r="H107" s="15" t="inlineStr">
        <is>
          <t>(대상 28:9, 개역한글)</t>
        </is>
      </c>
      <c r="I107" s="14" t="inlineStr">
        <is>
          <t>헌신</t>
        </is>
      </c>
      <c r="J107" s="14" t="inlineStr">
        <is>
          <t>길·등불</t>
        </is>
      </c>
      <c r="K107" s="16" t="inlineStr">
        <is>
          <t>내 아들 솔로몬아 너는 네 아비의 하나님을 알고 온전한 마음과 기쁜 뜻으로 섬길지어다 여호와께서는 뭇 마음을 감찰하사 모든 사상을 아시나니 네가 저를 찾으면 만날 것이요 버리면 저가 너를 영원히 버리시리라</t>
        </is>
      </c>
      <c r="L107" s="14" t="inlineStr">
        <is>
          <t>자동 입력 · 대조 필요</t>
        </is>
      </c>
      <c r="M107" s="14">
        <f>LEN(K107)</f>
        <v/>
      </c>
      <c r="N107" s="14">
        <f>IF(M107=0,"-",ROUND(3+M107/'안내'!$C$12,0))</f>
        <v/>
      </c>
      <c r="O107" s="15">
        <f>IF(K107="","(본문 입력 후 자동) | 대상 28:9",IF(LEN(K107)&gt;28,LEFT(K107,28)&amp;"…",K107)&amp;" | 대상 28:9")</f>
        <v/>
      </c>
      <c r="P107" s="15">
        <f>"#"&amp;SUBSTITUTE('안내'!$C$5," ","")&amp;" #성경구절 #말씀 #역대상 #헌신"</f>
        <v/>
      </c>
      <c r="Q107" s="15" t="inlineStr">
        <is>
          <t>성경 본문: 개역한글판</t>
        </is>
      </c>
      <c r="R107" s="17">
        <f>'안내'!$C$6+INT((D107-1)/'안내'!$C$7)</f>
        <v/>
      </c>
      <c r="S107" s="14">
        <f>IF(MOD(D107-1,'안내'!$C$7)=0,'안내'!$C$8,'안내'!$C$10)</f>
        <v/>
      </c>
      <c r="T107" s="14">
        <f>CHOOSE(WEEKDAY(R107,2),"월","화","수","목","금","토","일")</f>
        <v/>
      </c>
      <c r="U107" s="14" t="inlineStr">
        <is>
          <t>미착수</t>
        </is>
      </c>
      <c r="V107" s="14" t="inlineStr">
        <is>
          <t>미착수</t>
        </is>
      </c>
      <c r="W107" s="18" t="n"/>
      <c r="X107" s="18" t="n"/>
      <c r="Y107" s="15" t="n"/>
      <c r="Z107" s="15" t="inlineStr">
        <is>
          <t>줄바꿈 띄어쓰기 확인</t>
        </is>
      </c>
      <c r="AA107" s="15" t="inlineStr">
        <is>
          <t>You, Solomon my son, know the God of your father, and serve him with a perfect heart and with a willing mind; for Yahweh searches all hearts, and understands all the imaginations of the thoughts. If you seek him, he will be found by you; but if you forsake him, he will cast you off forever.</t>
        </is>
      </c>
    </row>
    <row r="108">
      <c r="A108" s="13" t="n">
        <v>107</v>
      </c>
      <c r="B108" s="13" t="inlineStr">
        <is>
          <t>W0107</t>
        </is>
      </c>
      <c r="C108" s="13" t="inlineStr">
        <is>
          <t>구약</t>
        </is>
      </c>
      <c r="D108" s="13" t="n">
        <v>107</v>
      </c>
      <c r="E108" s="13">
        <f>C108&amp;"말씀 #"&amp;TEXT(D108,"000")</f>
        <v/>
      </c>
      <c r="F108" s="14" t="inlineStr">
        <is>
          <t>역대상</t>
        </is>
      </c>
      <c r="G108" s="14" t="inlineStr">
        <is>
          <t>29:11</t>
        </is>
      </c>
      <c r="H108" s="15" t="inlineStr">
        <is>
          <t>(대상 29:11, 개역한글)</t>
        </is>
      </c>
      <c r="I108" s="14" t="inlineStr">
        <is>
          <t>찬양</t>
        </is>
      </c>
      <c r="J108" s="14" t="inlineStr">
        <is>
          <t>하늘·별</t>
        </is>
      </c>
      <c r="K108" s="16" t="inlineStr">
        <is>
          <t>여호와여 광대하심과 권능과 영광과 이김과 위엄이 다 주께 속하였사오니 천지에 있는 것이 다 주의 것이로소이다 여호와여 주권도 주께 속하였사오니 주는 높으사 만유의 머리심이니이다</t>
        </is>
      </c>
      <c r="L108" s="14" t="inlineStr">
        <is>
          <t>자동 입력</t>
        </is>
      </c>
      <c r="M108" s="14">
        <f>LEN(K108)</f>
        <v/>
      </c>
      <c r="N108" s="14">
        <f>IF(M108=0,"-",ROUND(3+M108/'안내'!$C$12,0))</f>
        <v/>
      </c>
      <c r="O108" s="15">
        <f>IF(K108="","(본문 입력 후 자동) | 대상 29:11",IF(LEN(K108)&gt;28,LEFT(K108,28)&amp;"…",K108)&amp;" | 대상 29:11")</f>
        <v/>
      </c>
      <c r="P108" s="15">
        <f>"#"&amp;SUBSTITUTE('안내'!$C$5," ","")&amp;" #성경구절 #말씀 #역대상 #찬양"</f>
        <v/>
      </c>
      <c r="Q108" s="15" t="inlineStr">
        <is>
          <t>성경 본문: 개역한글판</t>
        </is>
      </c>
      <c r="R108" s="17">
        <f>'안내'!$C$6+INT((D108-1)/'안내'!$C$7)</f>
        <v/>
      </c>
      <c r="S108" s="14">
        <f>IF(MOD(D108-1,'안내'!$C$7)=0,'안내'!$C$8,'안내'!$C$10)</f>
        <v/>
      </c>
      <c r="T108" s="14">
        <f>CHOOSE(WEEKDAY(R108,2),"월","화","수","목","금","토","일")</f>
        <v/>
      </c>
      <c r="U108" s="14" t="inlineStr">
        <is>
          <t>미착수</t>
        </is>
      </c>
      <c r="V108" s="14" t="inlineStr">
        <is>
          <t>미착수</t>
        </is>
      </c>
      <c r="W108" s="18" t="n"/>
      <c r="X108" s="18" t="n"/>
      <c r="Y108" s="15" t="n"/>
      <c r="Z108" s="15" t="inlineStr"/>
      <c r="AA108" s="15" t="inlineStr">
        <is>
          <t>Yours, Yahweh, is the greatness, the power, the glory, the victory, and the majesty! For all that is in the heavens and in the earth is yours. Yours is the kingdom, Yahweh, and you are exalted as head above all.</t>
        </is>
      </c>
    </row>
    <row r="109">
      <c r="A109" s="13" t="n">
        <v>108</v>
      </c>
      <c r="B109" s="13" t="inlineStr">
        <is>
          <t>W0108</t>
        </is>
      </c>
      <c r="C109" s="13" t="inlineStr">
        <is>
          <t>구약</t>
        </is>
      </c>
      <c r="D109" s="13" t="n">
        <v>108</v>
      </c>
      <c r="E109" s="13">
        <f>C109&amp;"말씀 #"&amp;TEXT(D109,"000")</f>
        <v/>
      </c>
      <c r="F109" s="14" t="inlineStr">
        <is>
          <t>역대하</t>
        </is>
      </c>
      <c r="G109" s="14" t="inlineStr">
        <is>
          <t>7:14</t>
        </is>
      </c>
      <c r="H109" s="15" t="inlineStr">
        <is>
          <t>(대하 7:14, 개역한글)</t>
        </is>
      </c>
      <c r="I109" s="14" t="inlineStr">
        <is>
          <t>회개</t>
        </is>
      </c>
      <c r="J109" s="14" t="inlineStr">
        <is>
          <t>제단·십자가</t>
        </is>
      </c>
      <c r="K109" s="16" t="inlineStr">
        <is>
          <t>내 이름으로 일컫는 내 백성이 그 악한 길에서 떠나 스스로 겸비하고 기도하여 내 얼굴을 구하면 내가 하늘에서 듣고 그 죄를 사하고 그 땅을 고칠지라</t>
        </is>
      </c>
      <c r="L109" s="14" t="inlineStr">
        <is>
          <t>자동 입력</t>
        </is>
      </c>
      <c r="M109" s="14">
        <f>LEN(K109)</f>
        <v/>
      </c>
      <c r="N109" s="14">
        <f>IF(M109=0,"-",ROUND(3+M109/'안내'!$C$12,0))</f>
        <v/>
      </c>
      <c r="O109" s="15">
        <f>IF(K109="","(본문 입력 후 자동) | 대하 7:14",IF(LEN(K109)&gt;28,LEFT(K109,28)&amp;"…",K109)&amp;" | 대하 7:14")</f>
        <v/>
      </c>
      <c r="P109" s="15">
        <f>"#"&amp;SUBSTITUTE('안내'!$C$5," ","")&amp;" #성경구절 #말씀 #역대하 #회개"</f>
        <v/>
      </c>
      <c r="Q109" s="15" t="inlineStr">
        <is>
          <t>성경 본문: 개역한글판</t>
        </is>
      </c>
      <c r="R109" s="17">
        <f>'안내'!$C$6+INT((D109-1)/'안내'!$C$7)</f>
        <v/>
      </c>
      <c r="S109" s="14">
        <f>IF(MOD(D109-1,'안내'!$C$7)=0,'안내'!$C$8,'안내'!$C$10)</f>
        <v/>
      </c>
      <c r="T109" s="14">
        <f>CHOOSE(WEEKDAY(R109,2),"월","화","수","목","금","토","일")</f>
        <v/>
      </c>
      <c r="U109" s="14" t="inlineStr">
        <is>
          <t>미착수</t>
        </is>
      </c>
      <c r="V109" s="14" t="inlineStr">
        <is>
          <t>미착수</t>
        </is>
      </c>
      <c r="W109" s="18" t="n"/>
      <c r="X109" s="18" t="n"/>
      <c r="Y109" s="15" t="n"/>
      <c r="Z109" s="15" t="inlineStr"/>
      <c r="AA109" s="15" t="inlineStr">
        <is>
          <t>if my people who are called by my name will humble themselves, pray, seek my face, and turn from their wicked ways, then I will hear from heaven, will forgive their sin, and will heal their land.</t>
        </is>
      </c>
    </row>
    <row r="110">
      <c r="A110" s="13" t="n">
        <v>109</v>
      </c>
      <c r="B110" s="13" t="inlineStr">
        <is>
          <t>W0109</t>
        </is>
      </c>
      <c r="C110" s="13" t="inlineStr">
        <is>
          <t>구약</t>
        </is>
      </c>
      <c r="D110" s="13" t="n">
        <v>109</v>
      </c>
      <c r="E110" s="13">
        <f>C110&amp;"말씀 #"&amp;TEXT(D110,"000")</f>
        <v/>
      </c>
      <c r="F110" s="14" t="inlineStr">
        <is>
          <t>역대하</t>
        </is>
      </c>
      <c r="G110" s="14" t="inlineStr">
        <is>
          <t>15:2</t>
        </is>
      </c>
      <c r="H110" s="15" t="inlineStr">
        <is>
          <t>(대하 15:2, 개역한글)</t>
        </is>
      </c>
      <c r="I110" s="14" t="inlineStr">
        <is>
          <t>동행</t>
        </is>
      </c>
      <c r="J110" s="14" t="inlineStr">
        <is>
          <t>길·등불</t>
        </is>
      </c>
      <c r="K110" s="16" t="inlineStr">
        <is>
          <t>저가 나가서 아사를 맞아 이르되 아사와 및 유다와 베냐민의 무리들아 내 말을 들으라 너희가 여호와와 함께 하면 여호와께서 너희와 함께 하실지라 너희가 만일 저를 찾으면 저가 너희의 만난 바 되시려니와 너희가 만일 저를 버리면 저도 너희를 버리시리라</t>
        </is>
      </c>
      <c r="L110" s="14" t="inlineStr">
        <is>
          <t>자동 입력 · 대조 필요</t>
        </is>
      </c>
      <c r="M110" s="14">
        <f>LEN(K110)</f>
        <v/>
      </c>
      <c r="N110" s="14">
        <f>IF(M110=0,"-",ROUND(3+M110/'안내'!$C$12,0))</f>
        <v/>
      </c>
      <c r="O110" s="15">
        <f>IF(K110="","(본문 입력 후 자동) | 대하 15:2",IF(LEN(K110)&gt;28,LEFT(K110,28)&amp;"…",K110)&amp;" | 대하 15:2")</f>
        <v/>
      </c>
      <c r="P110" s="15">
        <f>"#"&amp;SUBSTITUTE('안내'!$C$5," ","")&amp;" #성경구절 #말씀 #역대하 #동행"</f>
        <v/>
      </c>
      <c r="Q110" s="15" t="inlineStr">
        <is>
          <t>성경 본문: 개역한글판</t>
        </is>
      </c>
      <c r="R110" s="17">
        <f>'안내'!$C$6+INT((D110-1)/'안내'!$C$7)</f>
        <v/>
      </c>
      <c r="S110" s="14">
        <f>IF(MOD(D110-1,'안내'!$C$7)=0,'안내'!$C$8,'안내'!$C$10)</f>
        <v/>
      </c>
      <c r="T110" s="14">
        <f>CHOOSE(WEEKDAY(R110,2),"월","화","수","목","금","토","일")</f>
        <v/>
      </c>
      <c r="U110" s="14" t="inlineStr">
        <is>
          <t>미착수</t>
        </is>
      </c>
      <c r="V110" s="14" t="inlineStr">
        <is>
          <t>미착수</t>
        </is>
      </c>
      <c r="W110" s="18" t="n"/>
      <c r="X110" s="18" t="n"/>
      <c r="Y110" s="15" t="n"/>
      <c r="Z110" s="15" t="inlineStr">
        <is>
          <t>줄바꿈 띄어쓰기 확인</t>
        </is>
      </c>
      <c r="AA110" s="15" t="inlineStr">
        <is>
          <t>He went out to meet Asa, and said to him, “Hear me, Asa, and all Judah and Benjamin! Yahweh is with you while you are with him; and if you seek him, he will be found by you; but if you forsake him, he will forsake you.</t>
        </is>
      </c>
    </row>
    <row r="111">
      <c r="A111" s="13" t="n">
        <v>110</v>
      </c>
      <c r="B111" s="13" t="inlineStr">
        <is>
          <t>W0110</t>
        </is>
      </c>
      <c r="C111" s="13" t="inlineStr">
        <is>
          <t>구약</t>
        </is>
      </c>
      <c r="D111" s="13" t="n">
        <v>110</v>
      </c>
      <c r="E111" s="13">
        <f>C111&amp;"말씀 #"&amp;TEXT(D111,"000")</f>
        <v/>
      </c>
      <c r="F111" s="14" t="inlineStr">
        <is>
          <t>역대하</t>
        </is>
      </c>
      <c r="G111" s="14" t="inlineStr">
        <is>
          <t>20:12</t>
        </is>
      </c>
      <c r="H111" s="15" t="inlineStr">
        <is>
          <t>(대하 20:12, 개역한글)</t>
        </is>
      </c>
      <c r="I111" s="14" t="inlineStr">
        <is>
          <t>기도</t>
        </is>
      </c>
      <c r="J111" s="14" t="inlineStr">
        <is>
          <t>제단·십자가</t>
        </is>
      </c>
      <c r="K111" s="16" t="inlineStr">
        <is>
          <t>우리 하나님이여 저희를 징벌하지 아니하시나이까 우리를 치러 오는 이 큰 무리를 우리가 대적할 능력이 없고 어떻게 할 줄도 알지 못하옵고 오직 주만 바라보나이다 하고</t>
        </is>
      </c>
      <c r="L111" s="14" t="inlineStr">
        <is>
          <t>자동 입력 · 대조 필요</t>
        </is>
      </c>
      <c r="M111" s="14">
        <f>LEN(K111)</f>
        <v/>
      </c>
      <c r="N111" s="14">
        <f>IF(M111=0,"-",ROUND(3+M111/'안내'!$C$12,0))</f>
        <v/>
      </c>
      <c r="O111" s="15">
        <f>IF(K111="","(본문 입력 후 자동) | 대하 20:12",IF(LEN(K111)&gt;28,LEFT(K111,28)&amp;"…",K111)&amp;" | 대하 20:12")</f>
        <v/>
      </c>
      <c r="P111" s="15">
        <f>"#"&amp;SUBSTITUTE('안내'!$C$5," ","")&amp;" #성경구절 #말씀 #역대하 #기도"</f>
        <v/>
      </c>
      <c r="Q111" s="15" t="inlineStr">
        <is>
          <t>성경 본문: 개역한글판</t>
        </is>
      </c>
      <c r="R111" s="17">
        <f>'안내'!$C$6+INT((D111-1)/'안내'!$C$7)</f>
        <v/>
      </c>
      <c r="S111" s="14">
        <f>IF(MOD(D111-1,'안내'!$C$7)=0,'안내'!$C$8,'안내'!$C$10)</f>
        <v/>
      </c>
      <c r="T111" s="14">
        <f>CHOOSE(WEEKDAY(R111,2),"월","화","수","목","금","토","일")</f>
        <v/>
      </c>
      <c r="U111" s="14" t="inlineStr">
        <is>
          <t>미착수</t>
        </is>
      </c>
      <c r="V111" s="14" t="inlineStr">
        <is>
          <t>미착수</t>
        </is>
      </c>
      <c r="W111" s="18" t="n"/>
      <c r="X111" s="18" t="n"/>
      <c r="Y111" s="15" t="n"/>
      <c r="Z111" s="15" t="inlineStr">
        <is>
          <t>줄바꿈 띄어쓰기 확인</t>
        </is>
      </c>
      <c r="AA111" s="15" t="inlineStr">
        <is>
          <t>Our God, will you not judge them? For we have no might against this great company that comes against us. We don’t know what to do, but our eyes are on you.”</t>
        </is>
      </c>
    </row>
    <row r="112">
      <c r="A112" s="13" t="n">
        <v>111</v>
      </c>
      <c r="B112" s="13" t="inlineStr">
        <is>
          <t>W0111</t>
        </is>
      </c>
      <c r="C112" s="13" t="inlineStr">
        <is>
          <t>구약</t>
        </is>
      </c>
      <c r="D112" s="13" t="n">
        <v>111</v>
      </c>
      <c r="E112" s="13">
        <f>C112&amp;"말씀 #"&amp;TEXT(D112,"000")</f>
        <v/>
      </c>
      <c r="F112" s="14" t="inlineStr">
        <is>
          <t>역대하</t>
        </is>
      </c>
      <c r="G112" s="14" t="inlineStr">
        <is>
          <t>20:15</t>
        </is>
      </c>
      <c r="H112" s="15" t="inlineStr">
        <is>
          <t>(대하 20:15, 개역한글)</t>
        </is>
      </c>
      <c r="I112" s="14" t="inlineStr">
        <is>
          <t>능력</t>
        </is>
      </c>
      <c r="J112" s="14" t="inlineStr">
        <is>
          <t>바위산·광야</t>
        </is>
      </c>
      <c r="K112" s="16" t="inlineStr">
        <is>
          <t>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t>
        </is>
      </c>
      <c r="L112" s="14" t="inlineStr">
        <is>
          <t>자동 입력</t>
        </is>
      </c>
      <c r="M112" s="14">
        <f>LEN(K112)</f>
        <v/>
      </c>
      <c r="N112" s="14">
        <f>IF(M112=0,"-",ROUND(3+M112/'안내'!$C$12,0))</f>
        <v/>
      </c>
      <c r="O112" s="15">
        <f>IF(K112="","(본문 입력 후 자동) | 대하 20:15",IF(LEN(K112)&gt;28,LEFT(K112,28)&amp;"…",K112)&amp;" | 대하 20:15")</f>
        <v/>
      </c>
      <c r="P112" s="15">
        <f>"#"&amp;SUBSTITUTE('안내'!$C$5," ","")&amp;" #성경구절 #말씀 #역대하 #능력"</f>
        <v/>
      </c>
      <c r="Q112" s="15" t="inlineStr">
        <is>
          <t>성경 본문: 개역한글판</t>
        </is>
      </c>
      <c r="R112" s="17">
        <f>'안내'!$C$6+INT((D112-1)/'안내'!$C$7)</f>
        <v/>
      </c>
      <c r="S112" s="14">
        <f>IF(MOD(D112-1,'안내'!$C$7)=0,'안내'!$C$8,'안내'!$C$10)</f>
        <v/>
      </c>
      <c r="T112" s="14">
        <f>CHOOSE(WEEKDAY(R112,2),"월","화","수","목","금","토","일")</f>
        <v/>
      </c>
      <c r="U112" s="14" t="inlineStr">
        <is>
          <t>미착수</t>
        </is>
      </c>
      <c r="V112" s="14" t="inlineStr">
        <is>
          <t>미착수</t>
        </is>
      </c>
      <c r="W112" s="18" t="n"/>
      <c r="X112" s="18" t="n"/>
      <c r="Y112" s="15" t="n"/>
      <c r="Z112" s="15" t="inlineStr"/>
      <c r="AA112" s="15" t="inlineStr">
        <is>
          <t>and he said, “Listen, all Judah, and you inhabitants of Jerusalem, and you, King Jehoshaphat. Yahweh says to you, ‘Don’t be afraid, and don’t be dismayed because of this great multitude; for the battle is not yours, but God’s.</t>
        </is>
      </c>
    </row>
    <row r="113">
      <c r="A113" s="13" t="n">
        <v>112</v>
      </c>
      <c r="B113" s="13" t="inlineStr">
        <is>
          <t>W0112</t>
        </is>
      </c>
      <c r="C113" s="13" t="inlineStr">
        <is>
          <t>구약</t>
        </is>
      </c>
      <c r="D113" s="13" t="n">
        <v>112</v>
      </c>
      <c r="E113" s="13">
        <f>C113&amp;"말씀 #"&amp;TEXT(D113,"000")</f>
        <v/>
      </c>
      <c r="F113" s="14" t="inlineStr">
        <is>
          <t>역대하</t>
        </is>
      </c>
      <c r="G113" s="14" t="inlineStr">
        <is>
          <t>20:21</t>
        </is>
      </c>
      <c r="H113" s="15" t="inlineStr">
        <is>
          <t>(대하 20:21, 개역한글)</t>
        </is>
      </c>
      <c r="I113" s="14" t="inlineStr">
        <is>
          <t>찬양</t>
        </is>
      </c>
      <c r="J113" s="14" t="inlineStr">
        <is>
          <t>하늘·별</t>
        </is>
      </c>
      <c r="K113" s="16" t="inlineStr">
        <is>
          <t>백성으로 더불어 의논하고 노래하는 자를 택하여 거룩한 예복을 입히고 군대 앞에서 행하며 여호와를 찬송하여 이르기를 여호와께 감사하세 그 자비하심이 영원하도다 하게 하였더니</t>
        </is>
      </c>
      <c r="L113" s="14" t="inlineStr">
        <is>
          <t>자동 입력</t>
        </is>
      </c>
      <c r="M113" s="14">
        <f>LEN(K113)</f>
        <v/>
      </c>
      <c r="N113" s="14">
        <f>IF(M113=0,"-",ROUND(3+M113/'안내'!$C$12,0))</f>
        <v/>
      </c>
      <c r="O113" s="15">
        <f>IF(K113="","(본문 입력 후 자동) | 대하 20:21",IF(LEN(K113)&gt;28,LEFT(K113,28)&amp;"…",K113)&amp;" | 대하 20:21")</f>
        <v/>
      </c>
      <c r="P113" s="15">
        <f>"#"&amp;SUBSTITUTE('안내'!$C$5," ","")&amp;" #성경구절 #말씀 #역대하 #찬양"</f>
        <v/>
      </c>
      <c r="Q113" s="15" t="inlineStr">
        <is>
          <t>성경 본문: 개역한글판</t>
        </is>
      </c>
      <c r="R113" s="17">
        <f>'안내'!$C$6+INT((D113-1)/'안내'!$C$7)</f>
        <v/>
      </c>
      <c r="S113" s="14">
        <f>IF(MOD(D113-1,'안내'!$C$7)=0,'안내'!$C$8,'안내'!$C$10)</f>
        <v/>
      </c>
      <c r="T113" s="14">
        <f>CHOOSE(WEEKDAY(R113,2),"월","화","수","목","금","토","일")</f>
        <v/>
      </c>
      <c r="U113" s="14" t="inlineStr">
        <is>
          <t>미착수</t>
        </is>
      </c>
      <c r="V113" s="14" t="inlineStr">
        <is>
          <t>미착수</t>
        </is>
      </c>
      <c r="W113" s="18" t="n"/>
      <c r="X113" s="18" t="n"/>
      <c r="Y113" s="15" t="n"/>
      <c r="Z113" s="15" t="inlineStr"/>
      <c r="AA113" s="15" t="inlineStr">
        <is>
          <t>When he had taken counsel with the people, he appointed those who were to sing to Yahweh and give praise in holy array as they go out before the army, and say, “Give thanks to Yahweh, for his loving kindness endures forever.”</t>
        </is>
      </c>
    </row>
    <row r="114">
      <c r="A114" s="13" t="n">
        <v>113</v>
      </c>
      <c r="B114" s="13" t="inlineStr">
        <is>
          <t>W0113</t>
        </is>
      </c>
      <c r="C114" s="13" t="inlineStr">
        <is>
          <t>구약</t>
        </is>
      </c>
      <c r="D114" s="13" t="n">
        <v>113</v>
      </c>
      <c r="E114" s="13">
        <f>C114&amp;"말씀 #"&amp;TEXT(D114,"000")</f>
        <v/>
      </c>
      <c r="F114" s="14" t="inlineStr">
        <is>
          <t>역대하</t>
        </is>
      </c>
      <c r="G114" s="14" t="inlineStr">
        <is>
          <t>32:7</t>
        </is>
      </c>
      <c r="H114" s="15" t="inlineStr">
        <is>
          <t>(대하 32:7, 개역한글)</t>
        </is>
      </c>
      <c r="I114" s="14" t="inlineStr">
        <is>
          <t>담대함</t>
        </is>
      </c>
      <c r="J114" s="14" t="inlineStr">
        <is>
          <t>바위산·광야</t>
        </is>
      </c>
      <c r="K114" s="16" t="inlineStr">
        <is>
          <t>너희는 마음을 강하게 하며 담대히 하고 앗수르 왕과 그 좇는 온 무리로 인하여 두려워 말며 놀라지 말라 우리와 함께 하는 자가 저와 함께 하는 자보다 크니</t>
        </is>
      </c>
      <c r="L114" s="14" t="inlineStr">
        <is>
          <t>자동 입력 · 대조 필요</t>
        </is>
      </c>
      <c r="M114" s="14">
        <f>LEN(K114)</f>
        <v/>
      </c>
      <c r="N114" s="14">
        <f>IF(M114=0,"-",ROUND(3+M114/'안내'!$C$12,0))</f>
        <v/>
      </c>
      <c r="O114" s="15">
        <f>IF(K114="","(본문 입력 후 자동) | 대하 32:7",IF(LEN(K114)&gt;28,LEFT(K114,28)&amp;"…",K114)&amp;" | 대하 32:7")</f>
        <v/>
      </c>
      <c r="P114" s="15">
        <f>"#"&amp;SUBSTITUTE('안내'!$C$5," ","")&amp;" #성경구절 #말씀 #역대하 #담대함"</f>
        <v/>
      </c>
      <c r="Q114" s="15" t="inlineStr">
        <is>
          <t>성경 본문: 개역한글판</t>
        </is>
      </c>
      <c r="R114" s="17">
        <f>'안내'!$C$6+INT((D114-1)/'안내'!$C$7)</f>
        <v/>
      </c>
      <c r="S114" s="14">
        <f>IF(MOD(D114-1,'안내'!$C$7)=0,'안내'!$C$8,'안내'!$C$10)</f>
        <v/>
      </c>
      <c r="T114" s="14">
        <f>CHOOSE(WEEKDAY(R114,2),"월","화","수","목","금","토","일")</f>
        <v/>
      </c>
      <c r="U114" s="14" t="inlineStr">
        <is>
          <t>미착수</t>
        </is>
      </c>
      <c r="V114" s="14" t="inlineStr">
        <is>
          <t>미착수</t>
        </is>
      </c>
      <c r="W114" s="18" t="n"/>
      <c r="X114" s="18" t="n"/>
      <c r="Y114" s="15" t="n"/>
      <c r="Z114" s="15" t="inlineStr">
        <is>
          <t>줄바꿈 띄어쓰기 확인</t>
        </is>
      </c>
      <c r="AA114" s="15" t="inlineStr">
        <is>
          <t>“Be strong and courageous. Don’t be afraid or dismayed because of the king of Assyria, nor for all the multitude who is with him; for there is a greater one with us than with him.</t>
        </is>
      </c>
    </row>
    <row r="115">
      <c r="A115" s="13" t="n">
        <v>114</v>
      </c>
      <c r="B115" s="13" t="inlineStr">
        <is>
          <t>W0114</t>
        </is>
      </c>
      <c r="C115" s="13" t="inlineStr">
        <is>
          <t>구약</t>
        </is>
      </c>
      <c r="D115" s="13" t="n">
        <v>114</v>
      </c>
      <c r="E115" s="13">
        <f>C115&amp;"말씀 #"&amp;TEXT(D115,"000")</f>
        <v/>
      </c>
      <c r="F115" s="14" t="inlineStr">
        <is>
          <t>에스라</t>
        </is>
      </c>
      <c r="G115" s="14" t="inlineStr">
        <is>
          <t>7:10</t>
        </is>
      </c>
      <c r="H115" s="15" t="inlineStr">
        <is>
          <t>(스 7:10, 개역한글)</t>
        </is>
      </c>
      <c r="I115" s="14" t="inlineStr">
        <is>
          <t>말씀</t>
        </is>
      </c>
      <c r="J115" s="14" t="inlineStr">
        <is>
          <t>들판·나무</t>
        </is>
      </c>
      <c r="K115" s="16" t="inlineStr">
        <is>
          <t>에스라가 여호와의 율법을 연구하여 준행하며 율례와 규례를 이스라엘에게 가르치기로 결심하였었더라</t>
        </is>
      </c>
      <c r="L115" s="14" t="inlineStr">
        <is>
          <t>자동 입력</t>
        </is>
      </c>
      <c r="M115" s="14">
        <f>LEN(K115)</f>
        <v/>
      </c>
      <c r="N115" s="14">
        <f>IF(M115=0,"-",ROUND(3+M115/'안내'!$C$12,0))</f>
        <v/>
      </c>
      <c r="O115" s="15">
        <f>IF(K115="","(본문 입력 후 자동) | 스 7:10",IF(LEN(K115)&gt;28,LEFT(K115,28)&amp;"…",K115)&amp;" | 스 7:10")</f>
        <v/>
      </c>
      <c r="P115" s="15">
        <f>"#"&amp;SUBSTITUTE('안내'!$C$5," ","")&amp;" #성경구절 #말씀 #에스라 #말씀"</f>
        <v/>
      </c>
      <c r="Q115" s="15" t="inlineStr">
        <is>
          <t>성경 본문: 개역한글판</t>
        </is>
      </c>
      <c r="R115" s="17">
        <f>'안내'!$C$6+INT((D115-1)/'안내'!$C$7)</f>
        <v/>
      </c>
      <c r="S115" s="14">
        <f>IF(MOD(D115-1,'안내'!$C$7)=0,'안내'!$C$8,'안내'!$C$10)</f>
        <v/>
      </c>
      <c r="T115" s="14">
        <f>CHOOSE(WEEKDAY(R115,2),"월","화","수","목","금","토","일")</f>
        <v/>
      </c>
      <c r="U115" s="14" t="inlineStr">
        <is>
          <t>미착수</t>
        </is>
      </c>
      <c r="V115" s="14" t="inlineStr">
        <is>
          <t>미착수</t>
        </is>
      </c>
      <c r="W115" s="18" t="n"/>
      <c r="X115" s="18" t="n"/>
      <c r="Y115" s="15" t="n"/>
      <c r="Z115" s="15" t="inlineStr"/>
      <c r="AA115" s="15" t="inlineStr">
        <is>
          <t>For Ezra had set his heart to seek Yahweh’s law, and to do it, and to teach statutes and ordinances in Israel.</t>
        </is>
      </c>
    </row>
    <row r="116">
      <c r="A116" s="13" t="n">
        <v>115</v>
      </c>
      <c r="B116" s="13" t="inlineStr">
        <is>
          <t>W0115</t>
        </is>
      </c>
      <c r="C116" s="13" t="inlineStr">
        <is>
          <t>구약</t>
        </is>
      </c>
      <c r="D116" s="13" t="n">
        <v>115</v>
      </c>
      <c r="E116" s="13">
        <f>C116&amp;"말씀 #"&amp;TEXT(D116,"000")</f>
        <v/>
      </c>
      <c r="F116" s="14" t="inlineStr">
        <is>
          <t>에스라</t>
        </is>
      </c>
      <c r="G116" s="14" t="inlineStr">
        <is>
          <t>8:22</t>
        </is>
      </c>
      <c r="H116" s="15" t="inlineStr">
        <is>
          <t>(스 8:22, 개역한글)</t>
        </is>
      </c>
      <c r="I116" s="14" t="inlineStr">
        <is>
          <t>보호</t>
        </is>
      </c>
      <c r="J116" s="14" t="inlineStr">
        <is>
          <t>바위산·광야</t>
        </is>
      </c>
      <c r="K116" s="16" t="inlineStr">
        <is>
          <t>이는 우리가 전에 왕에게 고하기를 우리 하나님의 손은 자기를 찾는 모든 자에게 선을 베푸시고 자기를 배반하는 모든 자에게는 권능과 진노를 베푸신다 하였으므로 길에서 적군을 막고 우리를 도울 보병과 마병을 왕에게 구하기를 부끄러워 하였음이라</t>
        </is>
      </c>
      <c r="L116" s="14" t="inlineStr">
        <is>
          <t>자동 입력 · 대조 필요</t>
        </is>
      </c>
      <c r="M116" s="14">
        <f>LEN(K116)</f>
        <v/>
      </c>
      <c r="N116" s="14">
        <f>IF(M116=0,"-",ROUND(3+M116/'안내'!$C$12,0))</f>
        <v/>
      </c>
      <c r="O116" s="15">
        <f>IF(K116="","(본문 입력 후 자동) | 스 8:22",IF(LEN(K116)&gt;28,LEFT(K116,28)&amp;"…",K116)&amp;" | 스 8:22")</f>
        <v/>
      </c>
      <c r="P116" s="15">
        <f>"#"&amp;SUBSTITUTE('안내'!$C$5," ","")&amp;" #성경구절 #말씀 #에스라 #보호"</f>
        <v/>
      </c>
      <c r="Q116" s="15" t="inlineStr">
        <is>
          <t>성경 본문: 개역한글판</t>
        </is>
      </c>
      <c r="R116" s="17">
        <f>'안내'!$C$6+INT((D116-1)/'안내'!$C$7)</f>
        <v/>
      </c>
      <c r="S116" s="14">
        <f>IF(MOD(D116-1,'안내'!$C$7)=0,'안내'!$C$8,'안내'!$C$10)</f>
        <v/>
      </c>
      <c r="T116" s="14">
        <f>CHOOSE(WEEKDAY(R116,2),"월","화","수","목","금","토","일")</f>
        <v/>
      </c>
      <c r="U116" s="14" t="inlineStr">
        <is>
          <t>미착수</t>
        </is>
      </c>
      <c r="V116" s="14" t="inlineStr">
        <is>
          <t>미착수</t>
        </is>
      </c>
      <c r="W116" s="18" t="n"/>
      <c r="X116" s="18" t="n"/>
      <c r="Y116" s="15" t="n"/>
      <c r="Z116" s="15" t="inlineStr">
        <is>
          <t>줄바꿈 띄어쓰기 확인</t>
        </is>
      </c>
      <c r="AA116" s="15" t="inlineStr">
        <is>
          <t>For I was ashamed to ask of the king a band of sol- diers and horsemen to help us against the enemy on the way, because we had spoken to the king, saying, “The hand of our God is on all those who seek him, for good; but his power and his wrath is against all those who forsake him.”</t>
        </is>
      </c>
    </row>
    <row r="117">
      <c r="A117" s="13" t="n">
        <v>116</v>
      </c>
      <c r="B117" s="13" t="inlineStr">
        <is>
          <t>W0116</t>
        </is>
      </c>
      <c r="C117" s="13" t="inlineStr">
        <is>
          <t>구약</t>
        </is>
      </c>
      <c r="D117" s="13" t="n">
        <v>116</v>
      </c>
      <c r="E117" s="13">
        <f>C117&amp;"말씀 #"&amp;TEXT(D117,"000")</f>
        <v/>
      </c>
      <c r="F117" s="14" t="inlineStr">
        <is>
          <t>느헤미야</t>
        </is>
      </c>
      <c r="G117" s="14" t="inlineStr">
        <is>
          <t>1:11</t>
        </is>
      </c>
      <c r="H117" s="15" t="inlineStr">
        <is>
          <t>(느 1:11, 개역한글)</t>
        </is>
      </c>
      <c r="I117" s="14" t="inlineStr">
        <is>
          <t>기도</t>
        </is>
      </c>
      <c r="J117" s="14" t="inlineStr">
        <is>
          <t>제단·십자가</t>
        </is>
      </c>
      <c r="K117" s="16" t="inlineStr">
        <is>
          <t>주여 구하오니 귀를 기울이사 종의 기도와 주의 이름을 경외하기를 기뻐하는 종들의 기도를 들으시고 오늘날 종으로 형통하여 이 사람 앞에서 은혜를 입게 하옵소서 하였나니 그 때에 내가 왕의 술 관원이 되었었느니라</t>
        </is>
      </c>
      <c r="L117" s="14" t="inlineStr">
        <is>
          <t>자동 입력 · 대조 필요</t>
        </is>
      </c>
      <c r="M117" s="14">
        <f>LEN(K117)</f>
        <v/>
      </c>
      <c r="N117" s="14">
        <f>IF(M117=0,"-",ROUND(3+M117/'안내'!$C$12,0))</f>
        <v/>
      </c>
      <c r="O117" s="15">
        <f>IF(K117="","(본문 입력 후 자동) | 느 1:11",IF(LEN(K117)&gt;28,LEFT(K117,28)&amp;"…",K117)&amp;" | 느 1:11")</f>
        <v/>
      </c>
      <c r="P117" s="15">
        <f>"#"&amp;SUBSTITUTE('안내'!$C$5," ","")&amp;" #성경구절 #말씀 #느헤미야 #기도"</f>
        <v/>
      </c>
      <c r="Q117" s="15" t="inlineStr">
        <is>
          <t>성경 본문: 개역한글판</t>
        </is>
      </c>
      <c r="R117" s="17">
        <f>'안내'!$C$6+INT((D117-1)/'안내'!$C$7)</f>
        <v/>
      </c>
      <c r="S117" s="14">
        <f>IF(MOD(D117-1,'안내'!$C$7)=0,'안내'!$C$8,'안내'!$C$10)</f>
        <v/>
      </c>
      <c r="T117" s="14">
        <f>CHOOSE(WEEKDAY(R117,2),"월","화","수","목","금","토","일")</f>
        <v/>
      </c>
      <c r="U117" s="14" t="inlineStr">
        <is>
          <t>미착수</t>
        </is>
      </c>
      <c r="V117" s="14" t="inlineStr">
        <is>
          <t>미착수</t>
        </is>
      </c>
      <c r="W117" s="18" t="n"/>
      <c r="X117" s="18" t="n"/>
      <c r="Y117" s="15" t="n"/>
      <c r="Z117" s="15" t="inlineStr">
        <is>
          <t>줄바꿈 띄어쓰기 확인</t>
        </is>
      </c>
      <c r="AA117" s="15" t="inlineStr">
        <is>
          <t>Lord, I beg you, let your ear be attentive now to the prayer of your servant, and to the prayer of your servants who delight to fear your name; and please prosper your servant today, and grant him mercy in the sight of this man.” Now I was cup bearer to the king.</t>
        </is>
      </c>
    </row>
    <row r="118">
      <c r="A118" s="13" t="n">
        <v>117</v>
      </c>
      <c r="B118" s="13" t="inlineStr">
        <is>
          <t>W0117</t>
        </is>
      </c>
      <c r="C118" s="13" t="inlineStr">
        <is>
          <t>구약</t>
        </is>
      </c>
      <c r="D118" s="13" t="n">
        <v>117</v>
      </c>
      <c r="E118" s="13">
        <f>C118&amp;"말씀 #"&amp;TEXT(D118,"000")</f>
        <v/>
      </c>
      <c r="F118" s="14" t="inlineStr">
        <is>
          <t>느헤미야</t>
        </is>
      </c>
      <c r="G118" s="14" t="inlineStr">
        <is>
          <t>4:14</t>
        </is>
      </c>
      <c r="H118" s="15" t="inlineStr">
        <is>
          <t>(느 4:14, 개역한글)</t>
        </is>
      </c>
      <c r="I118" s="14" t="inlineStr">
        <is>
          <t>담대함</t>
        </is>
      </c>
      <c r="J118" s="14" t="inlineStr">
        <is>
          <t>바위산·광야</t>
        </is>
      </c>
      <c r="K118" s="16" t="inlineStr">
        <is>
          <t>내가 돌아본 후에 일어나서 귀인들과 민장과 남은 백성에게 고하기를 너희는 저희를 두려워 말고 지극히 크시고 두려우신 주를 기억하고 너희 형제와 자녀와 아내와 집을 위하여 싸우라 하였었느니라</t>
        </is>
      </c>
      <c r="L118" s="14" t="inlineStr">
        <is>
          <t>자동 입력</t>
        </is>
      </c>
      <c r="M118" s="14">
        <f>LEN(K118)</f>
        <v/>
      </c>
      <c r="N118" s="14">
        <f>IF(M118=0,"-",ROUND(3+M118/'안내'!$C$12,0))</f>
        <v/>
      </c>
      <c r="O118" s="15">
        <f>IF(K118="","(본문 입력 후 자동) | 느 4:14",IF(LEN(K118)&gt;28,LEFT(K118,28)&amp;"…",K118)&amp;" | 느 4:14")</f>
        <v/>
      </c>
      <c r="P118" s="15">
        <f>"#"&amp;SUBSTITUTE('안내'!$C$5," ","")&amp;" #성경구절 #말씀 #느헤미야 #담대함"</f>
        <v/>
      </c>
      <c r="Q118" s="15" t="inlineStr">
        <is>
          <t>성경 본문: 개역한글판</t>
        </is>
      </c>
      <c r="R118" s="17">
        <f>'안내'!$C$6+INT((D118-1)/'안내'!$C$7)</f>
        <v/>
      </c>
      <c r="S118" s="14">
        <f>IF(MOD(D118-1,'안내'!$C$7)=0,'안내'!$C$8,'안내'!$C$10)</f>
        <v/>
      </c>
      <c r="T118" s="14">
        <f>CHOOSE(WEEKDAY(R118,2),"월","화","수","목","금","토","일")</f>
        <v/>
      </c>
      <c r="U118" s="14" t="inlineStr">
        <is>
          <t>미착수</t>
        </is>
      </c>
      <c r="V118" s="14" t="inlineStr">
        <is>
          <t>미착수</t>
        </is>
      </c>
      <c r="W118" s="18" t="n"/>
      <c r="X118" s="18" t="n"/>
      <c r="Y118" s="15" t="n"/>
      <c r="Z118" s="15" t="inlineStr"/>
      <c r="AA118" s="15" t="inlineStr">
        <is>
          <t>I looked, and rose up, and said to the nobles, to the rulers, and to the rest of the people, “Don’t be afraid of them! Remember the Lord, who is great and awesome, and fight for your brothers, your sons, your daughters, your wives, and your houses.”</t>
        </is>
      </c>
    </row>
    <row r="119">
      <c r="A119" s="13" t="n">
        <v>118</v>
      </c>
      <c r="B119" s="13" t="inlineStr">
        <is>
          <t>W0118</t>
        </is>
      </c>
      <c r="C119" s="13" t="inlineStr">
        <is>
          <t>구약</t>
        </is>
      </c>
      <c r="D119" s="13" t="n">
        <v>118</v>
      </c>
      <c r="E119" s="13">
        <f>C119&amp;"말씀 #"&amp;TEXT(D119,"000")</f>
        <v/>
      </c>
      <c r="F119" s="14" t="inlineStr">
        <is>
          <t>느헤미야</t>
        </is>
      </c>
      <c r="G119" s="14" t="inlineStr">
        <is>
          <t>8:10</t>
        </is>
      </c>
      <c r="H119" s="15" t="inlineStr">
        <is>
          <t>(느 8:10, 개역한글)</t>
        </is>
      </c>
      <c r="I119" s="14" t="inlineStr">
        <is>
          <t>기쁨</t>
        </is>
      </c>
      <c r="J119" s="14" t="inlineStr">
        <is>
          <t>새벽빛</t>
        </is>
      </c>
      <c r="K119" s="16" t="inlineStr">
        <is>
          <t>느헤미야가 또 이르기를 너희는 가서 살진 것을 먹고 단 것을 마시되 예비치 못한 자에게는 너희가 나누어 주라 이 날은 우리 주의 성일이니 근심하지 말라 여호와를 기뻐하는 것이 너희의 힘이니라 하고</t>
        </is>
      </c>
      <c r="L119" s="14" t="inlineStr">
        <is>
          <t>자동 입력 · 대조 필요</t>
        </is>
      </c>
      <c r="M119" s="14">
        <f>LEN(K119)</f>
        <v/>
      </c>
      <c r="N119" s="14">
        <f>IF(M119=0,"-",ROUND(3+M119/'안내'!$C$12,0))</f>
        <v/>
      </c>
      <c r="O119" s="15">
        <f>IF(K119="","(본문 입력 후 자동) | 느 8:10",IF(LEN(K119)&gt;28,LEFT(K119,28)&amp;"…",K119)&amp;" | 느 8:10")</f>
        <v/>
      </c>
      <c r="P119" s="15">
        <f>"#"&amp;SUBSTITUTE('안내'!$C$5," ","")&amp;" #성경구절 #말씀 #느헤미야 #기쁨"</f>
        <v/>
      </c>
      <c r="Q119" s="15" t="inlineStr">
        <is>
          <t>성경 본문: 개역한글판</t>
        </is>
      </c>
      <c r="R119" s="17">
        <f>'안내'!$C$6+INT((D119-1)/'안내'!$C$7)</f>
        <v/>
      </c>
      <c r="S119" s="14">
        <f>IF(MOD(D119-1,'안내'!$C$7)=0,'안내'!$C$8,'안내'!$C$10)</f>
        <v/>
      </c>
      <c r="T119" s="14">
        <f>CHOOSE(WEEKDAY(R119,2),"월","화","수","목","금","토","일")</f>
        <v/>
      </c>
      <c r="U119" s="14" t="inlineStr">
        <is>
          <t>미착수</t>
        </is>
      </c>
      <c r="V119" s="14" t="inlineStr">
        <is>
          <t>미착수</t>
        </is>
      </c>
      <c r="W119" s="18" t="n"/>
      <c r="X119" s="18" t="n"/>
      <c r="Y119" s="15" t="n"/>
      <c r="Z119" s="15" t="inlineStr">
        <is>
          <t>줄바꿈 띄어쓰기 확인</t>
        </is>
      </c>
      <c r="AA119" s="15" t="inlineStr">
        <is>
          <t>Then he said to them, “Go your way. Eat the fat, drink the sweet, and send portions to him for whom nothing is prepared, for today is holy to our Lord. Don’t be grieved, for the joy of Yahweh is your strength.”</t>
        </is>
      </c>
    </row>
    <row r="120">
      <c r="A120" s="13" t="n">
        <v>119</v>
      </c>
      <c r="B120" s="13" t="inlineStr">
        <is>
          <t>W0119</t>
        </is>
      </c>
      <c r="C120" s="13" t="inlineStr">
        <is>
          <t>구약</t>
        </is>
      </c>
      <c r="D120" s="13" t="n">
        <v>119</v>
      </c>
      <c r="E120" s="13">
        <f>C120&amp;"말씀 #"&amp;TEXT(D120,"000")</f>
        <v/>
      </c>
      <c r="F120" s="14" t="inlineStr">
        <is>
          <t>느헤미야</t>
        </is>
      </c>
      <c r="G120" s="14" t="inlineStr">
        <is>
          <t>9:6</t>
        </is>
      </c>
      <c r="H120" s="15" t="inlineStr">
        <is>
          <t>(느 9:6, 개역한글)</t>
        </is>
      </c>
      <c r="I120" s="14" t="inlineStr">
        <is>
          <t>창조</t>
        </is>
      </c>
      <c r="J120" s="14" t="inlineStr">
        <is>
          <t>하늘·별</t>
        </is>
      </c>
      <c r="K120" s="16" t="inlineStr">
        <is>
          <t>오직 주는 여호와시라 하늘과 하늘들의 하늘과 일월성신과 땅과 땅 위의 만물과 바다와 그 가운데 모든 것을 지으시고 다 보존하시오니 모든 천군이 주께 경배하나이다</t>
        </is>
      </c>
      <c r="L120" s="14" t="inlineStr">
        <is>
          <t>자동 입력 · 대조 필요</t>
        </is>
      </c>
      <c r="M120" s="14">
        <f>LEN(K120)</f>
        <v/>
      </c>
      <c r="N120" s="14">
        <f>IF(M120=0,"-",ROUND(3+M120/'안내'!$C$12,0))</f>
        <v/>
      </c>
      <c r="O120" s="15">
        <f>IF(K120="","(본문 입력 후 자동) | 느 9:6",IF(LEN(K120)&gt;28,LEFT(K120,28)&amp;"…",K120)&amp;" | 느 9:6")</f>
        <v/>
      </c>
      <c r="P120" s="15">
        <f>"#"&amp;SUBSTITUTE('안내'!$C$5," ","")&amp;" #성경구절 #말씀 #느헤미야 #창조"</f>
        <v/>
      </c>
      <c r="Q120" s="15" t="inlineStr">
        <is>
          <t>성경 본문: 개역한글판</t>
        </is>
      </c>
      <c r="R120" s="17">
        <f>'안내'!$C$6+INT((D120-1)/'안내'!$C$7)</f>
        <v/>
      </c>
      <c r="S120" s="14">
        <f>IF(MOD(D120-1,'안내'!$C$7)=0,'안내'!$C$8,'안내'!$C$10)</f>
        <v/>
      </c>
      <c r="T120" s="14">
        <f>CHOOSE(WEEKDAY(R120,2),"월","화","수","목","금","토","일")</f>
        <v/>
      </c>
      <c r="U120" s="14" t="inlineStr">
        <is>
          <t>미착수</t>
        </is>
      </c>
      <c r="V120" s="14" t="inlineStr">
        <is>
          <t>미착수</t>
        </is>
      </c>
      <c r="W120" s="18" t="n"/>
      <c r="X120" s="18" t="n"/>
      <c r="Y120" s="15" t="n"/>
      <c r="Z120" s="15" t="inlineStr">
        <is>
          <t>줄바꿈 띄어쓰기 확인</t>
        </is>
      </c>
      <c r="AA120" s="15" t="inlineStr">
        <is>
          <t>You are Yahweh, even you alone. You have made heaven, the heaven of heavens, with all their army, the earth and all things that are on it, the seas and all that is in them, and you preserve them all. The army of heaven worships you.</t>
        </is>
      </c>
    </row>
    <row r="121">
      <c r="A121" s="13" t="n">
        <v>120</v>
      </c>
      <c r="B121" s="13" t="inlineStr">
        <is>
          <t>W0120</t>
        </is>
      </c>
      <c r="C121" s="13" t="inlineStr">
        <is>
          <t>구약</t>
        </is>
      </c>
      <c r="D121" s="13" t="n">
        <v>120</v>
      </c>
      <c r="E121" s="13">
        <f>C121&amp;"말씀 #"&amp;TEXT(D121,"000")</f>
        <v/>
      </c>
      <c r="F121" s="14" t="inlineStr">
        <is>
          <t>에스더</t>
        </is>
      </c>
      <c r="G121" s="14" t="inlineStr">
        <is>
          <t>4:14</t>
        </is>
      </c>
      <c r="H121" s="15" t="inlineStr">
        <is>
          <t>(에 4:14, 개역한글)</t>
        </is>
      </c>
      <c r="I121" s="14" t="inlineStr">
        <is>
          <t>섭리</t>
        </is>
      </c>
      <c r="J121" s="14" t="inlineStr">
        <is>
          <t>하늘·별</t>
        </is>
      </c>
      <c r="K121" s="16" t="inlineStr">
        <is>
          <t>이 때에 네가 만일 잠잠하여 말이 없으면 유다인은 다른 데로 말미암아 놓임과 구원을 얻으려니와 너와 네 아비 집은 멸망하리라 네가 왕후의 위를 얻은 것이 이 때를 위함이 아닌지 누가 아느냐</t>
        </is>
      </c>
      <c r="L121" s="14" t="inlineStr">
        <is>
          <t>자동 입력</t>
        </is>
      </c>
      <c r="M121" s="14">
        <f>LEN(K121)</f>
        <v/>
      </c>
      <c r="N121" s="14">
        <f>IF(M121=0,"-",ROUND(3+M121/'안내'!$C$12,0))</f>
        <v/>
      </c>
      <c r="O121" s="15">
        <f>IF(K121="","(본문 입력 후 자동) | 에 4:14",IF(LEN(K121)&gt;28,LEFT(K121,28)&amp;"…",K121)&amp;" | 에 4:14")</f>
        <v/>
      </c>
      <c r="P121" s="15">
        <f>"#"&amp;SUBSTITUTE('안내'!$C$5," ","")&amp;" #성경구절 #말씀 #에스더 #섭리"</f>
        <v/>
      </c>
      <c r="Q121" s="15" t="inlineStr">
        <is>
          <t>성경 본문: 개역한글판</t>
        </is>
      </c>
      <c r="R121" s="17">
        <f>'안내'!$C$6+INT((D121-1)/'안내'!$C$7)</f>
        <v/>
      </c>
      <c r="S121" s="14">
        <f>IF(MOD(D121-1,'안내'!$C$7)=0,'안내'!$C$8,'안내'!$C$10)</f>
        <v/>
      </c>
      <c r="T121" s="14">
        <f>CHOOSE(WEEKDAY(R121,2),"월","화","수","목","금","토","일")</f>
        <v/>
      </c>
      <c r="U121" s="14" t="inlineStr">
        <is>
          <t>미착수</t>
        </is>
      </c>
      <c r="V121" s="14" t="inlineStr">
        <is>
          <t>미착수</t>
        </is>
      </c>
      <c r="W121" s="18" t="n"/>
      <c r="X121" s="18" t="n"/>
      <c r="Y121" s="15" t="n"/>
      <c r="Z121" s="15" t="inlineStr"/>
      <c r="AA121" s="15" t="inlineStr">
        <is>
          <t>For if you remain silent now, then relief and deliverance will come to the Jews from another place, but you and your father’s house will perish. Who knows if you haven’t come to the kingdom for such a time as this?”</t>
        </is>
      </c>
    </row>
    <row r="122">
      <c r="A122" s="13" t="n">
        <v>121</v>
      </c>
      <c r="B122" s="13" t="inlineStr">
        <is>
          <t>W0121</t>
        </is>
      </c>
      <c r="C122" s="13" t="inlineStr">
        <is>
          <t>구약</t>
        </is>
      </c>
      <c r="D122" s="13" t="n">
        <v>121</v>
      </c>
      <c r="E122" s="13">
        <f>C122&amp;"말씀 #"&amp;TEXT(D122,"000")</f>
        <v/>
      </c>
      <c r="F122" s="14" t="inlineStr">
        <is>
          <t>에스더</t>
        </is>
      </c>
      <c r="G122" s="14" t="inlineStr">
        <is>
          <t>4:16</t>
        </is>
      </c>
      <c r="H122" s="15" t="inlineStr">
        <is>
          <t>(에 4:16, 개역한글)</t>
        </is>
      </c>
      <c r="I122" s="14" t="inlineStr">
        <is>
          <t>헌신</t>
        </is>
      </c>
      <c r="J122" s="14" t="inlineStr">
        <is>
          <t>길·등불</t>
        </is>
      </c>
      <c r="K122" s="16" t="inlineStr">
        <is>
          <t>당신은 가서 수산에 있는 유다인을 다 모으고 나를 위하여 금식하되 밤낮 삼 일을 먹지도 말고 마시지도 마소서 나도 나의 시녀로 더불어 이렇게 금식한 후에 규례를 어기고 왕에게 나아가리니 죽으면 죽으리이다</t>
        </is>
      </c>
      <c r="L122" s="14" t="inlineStr">
        <is>
          <t>자동 입력</t>
        </is>
      </c>
      <c r="M122" s="14">
        <f>LEN(K122)</f>
        <v/>
      </c>
      <c r="N122" s="14">
        <f>IF(M122=0,"-",ROUND(3+M122/'안내'!$C$12,0))</f>
        <v/>
      </c>
      <c r="O122" s="15">
        <f>IF(K122="","(본문 입력 후 자동) | 에 4:16",IF(LEN(K122)&gt;28,LEFT(K122,28)&amp;"…",K122)&amp;" | 에 4:16")</f>
        <v/>
      </c>
      <c r="P122" s="15">
        <f>"#"&amp;SUBSTITUTE('안내'!$C$5," ","")&amp;" #성경구절 #말씀 #에스더 #헌신"</f>
        <v/>
      </c>
      <c r="Q122" s="15" t="inlineStr">
        <is>
          <t>성경 본문: 개역한글판</t>
        </is>
      </c>
      <c r="R122" s="17">
        <f>'안내'!$C$6+INT((D122-1)/'안내'!$C$7)</f>
        <v/>
      </c>
      <c r="S122" s="14">
        <f>IF(MOD(D122-1,'안내'!$C$7)=0,'안내'!$C$8,'안내'!$C$10)</f>
        <v/>
      </c>
      <c r="T122" s="14">
        <f>CHOOSE(WEEKDAY(R122,2),"월","화","수","목","금","토","일")</f>
        <v/>
      </c>
      <c r="U122" s="14" t="inlineStr">
        <is>
          <t>미착수</t>
        </is>
      </c>
      <c r="V122" s="14" t="inlineStr">
        <is>
          <t>미착수</t>
        </is>
      </c>
      <c r="W122" s="18" t="n"/>
      <c r="X122" s="18" t="n"/>
      <c r="Y122" s="15" t="n"/>
      <c r="Z122" s="15" t="inlineStr"/>
      <c r="AA122" s="15" t="inlineStr">
        <is>
          <t>“Go, gather together all the Jews who are present in Susa, and fast for me, and neither eat nor drink three days, night or day. I and my maidens will also fast the same way. Then I will go in to the king, which is against the law; and if I perish, I perish.”</t>
        </is>
      </c>
    </row>
    <row r="123">
      <c r="A123" s="13" t="n">
        <v>122</v>
      </c>
      <c r="B123" s="13" t="inlineStr">
        <is>
          <t>W0122</t>
        </is>
      </c>
      <c r="C123" s="13" t="inlineStr">
        <is>
          <t>구약</t>
        </is>
      </c>
      <c r="D123" s="13" t="n">
        <v>122</v>
      </c>
      <c r="E123" s="13">
        <f>C123&amp;"말씀 #"&amp;TEXT(D123,"000")</f>
        <v/>
      </c>
      <c r="F123" s="14" t="inlineStr">
        <is>
          <t>욥기</t>
        </is>
      </c>
      <c r="G123" s="14" t="inlineStr">
        <is>
          <t>1:21</t>
        </is>
      </c>
      <c r="H123" s="15" t="inlineStr">
        <is>
          <t>(욥 1:21, 개역한글)</t>
        </is>
      </c>
      <c r="I123" s="14" t="inlineStr">
        <is>
          <t>신뢰</t>
        </is>
      </c>
      <c r="J123" s="14" t="inlineStr">
        <is>
          <t>바위산·광야</t>
        </is>
      </c>
      <c r="K123" s="16" t="inlineStr">
        <is>
          <t>가로되 내가 모태에서 적신이 나왔사온즉 또한 적신이 그리로 돌아가올지라 주신 자도 여호와시요 취하신 자도 여호와시오니 여호와의 이름이 찬송을 받으실지니이다 하고</t>
        </is>
      </c>
      <c r="L123" s="14" t="inlineStr">
        <is>
          <t>자동 입력 · 대조 필요</t>
        </is>
      </c>
      <c r="M123" s="14">
        <f>LEN(K123)</f>
        <v/>
      </c>
      <c r="N123" s="14">
        <f>IF(M123=0,"-",ROUND(3+M123/'안내'!$C$12,0))</f>
        <v/>
      </c>
      <c r="O123" s="15">
        <f>IF(K123="","(본문 입력 후 자동) | 욥 1:21",IF(LEN(K123)&gt;28,LEFT(K123,28)&amp;"…",K123)&amp;" | 욥 1:21")</f>
        <v/>
      </c>
      <c r="P123" s="15">
        <f>"#"&amp;SUBSTITUTE('안내'!$C$5," ","")&amp;" #성경구절 #말씀 #욥기 #신뢰"</f>
        <v/>
      </c>
      <c r="Q123" s="15" t="inlineStr">
        <is>
          <t>성경 본문: 개역한글판</t>
        </is>
      </c>
      <c r="R123" s="17">
        <f>'안내'!$C$6+INT((D123-1)/'안내'!$C$7)</f>
        <v/>
      </c>
      <c r="S123" s="14">
        <f>IF(MOD(D123-1,'안내'!$C$7)=0,'안내'!$C$8,'안내'!$C$10)</f>
        <v/>
      </c>
      <c r="T123" s="14">
        <f>CHOOSE(WEEKDAY(R123,2),"월","화","수","목","금","토","일")</f>
        <v/>
      </c>
      <c r="U123" s="14" t="inlineStr">
        <is>
          <t>미착수</t>
        </is>
      </c>
      <c r="V123" s="14" t="inlineStr">
        <is>
          <t>미착수</t>
        </is>
      </c>
      <c r="W123" s="18" t="n"/>
      <c r="X123" s="18" t="n"/>
      <c r="Y123" s="15" t="n"/>
      <c r="Z123" s="15" t="inlineStr">
        <is>
          <t>줄바꿈 띄어쓰기 확인</t>
        </is>
      </c>
      <c r="AA123" s="15" t="inlineStr">
        <is>
          <t>He said, “Naked I came out of my mother’s womb, and naked will I return there. Yahweh gave, and Yahweh has taken away. Blessed be Yahweh’s name.”</t>
        </is>
      </c>
    </row>
    <row r="124">
      <c r="A124" s="13" t="n">
        <v>123</v>
      </c>
      <c r="B124" s="13" t="inlineStr">
        <is>
          <t>W0123</t>
        </is>
      </c>
      <c r="C124" s="13" t="inlineStr">
        <is>
          <t>구약</t>
        </is>
      </c>
      <c r="D124" s="13" t="n">
        <v>123</v>
      </c>
      <c r="E124" s="13">
        <f>C124&amp;"말씀 #"&amp;TEXT(D124,"000")</f>
        <v/>
      </c>
      <c r="F124" s="14" t="inlineStr">
        <is>
          <t>욥기</t>
        </is>
      </c>
      <c r="G124" s="14" t="inlineStr">
        <is>
          <t>16:19</t>
        </is>
      </c>
      <c r="H124" s="15" t="inlineStr">
        <is>
          <t>(욥 16:19, 개역한글)</t>
        </is>
      </c>
      <c r="I124" s="14" t="inlineStr">
        <is>
          <t>소망</t>
        </is>
      </c>
      <c r="J124" s="14" t="inlineStr">
        <is>
          <t>새벽빛</t>
        </is>
      </c>
      <c r="K124" s="16" t="inlineStr">
        <is>
          <t>지금 나의 증인이 하늘에 계시고 나의 보인이 높은 데 계시니라</t>
        </is>
      </c>
      <c r="L124" s="14" t="inlineStr">
        <is>
          <t>자동 입력</t>
        </is>
      </c>
      <c r="M124" s="14">
        <f>LEN(K124)</f>
        <v/>
      </c>
      <c r="N124" s="14">
        <f>IF(M124=0,"-",ROUND(3+M124/'안내'!$C$12,0))</f>
        <v/>
      </c>
      <c r="O124" s="15">
        <f>IF(K124="","(본문 입력 후 자동) | 욥 16:19",IF(LEN(K124)&gt;28,LEFT(K124,28)&amp;"…",K124)&amp;" | 욥 16:19")</f>
        <v/>
      </c>
      <c r="P124" s="15">
        <f>"#"&amp;SUBSTITUTE('안내'!$C$5," ","")&amp;" #성경구절 #말씀 #욥기 #소망"</f>
        <v/>
      </c>
      <c r="Q124" s="15" t="inlineStr">
        <is>
          <t>성경 본문: 개역한글판</t>
        </is>
      </c>
      <c r="R124" s="17">
        <f>'안내'!$C$6+INT((D124-1)/'안내'!$C$7)</f>
        <v/>
      </c>
      <c r="S124" s="14">
        <f>IF(MOD(D124-1,'안내'!$C$7)=0,'안내'!$C$8,'안내'!$C$10)</f>
        <v/>
      </c>
      <c r="T124" s="14">
        <f>CHOOSE(WEEKDAY(R124,2),"월","화","수","목","금","토","일")</f>
        <v/>
      </c>
      <c r="U124" s="14" t="inlineStr">
        <is>
          <t>미착수</t>
        </is>
      </c>
      <c r="V124" s="14" t="inlineStr">
        <is>
          <t>미착수</t>
        </is>
      </c>
      <c r="W124" s="18" t="n"/>
      <c r="X124" s="18" t="n"/>
      <c r="Y124" s="15" t="n"/>
      <c r="Z124" s="15" t="inlineStr"/>
      <c r="AA124" s="15" t="inlineStr">
        <is>
          <t>Even now, behold, my witness is in heaven. He who vouches for me is on high.</t>
        </is>
      </c>
    </row>
    <row r="125">
      <c r="A125" s="13" t="n">
        <v>124</v>
      </c>
      <c r="B125" s="13" t="inlineStr">
        <is>
          <t>W0124</t>
        </is>
      </c>
      <c r="C125" s="13" t="inlineStr">
        <is>
          <t>구약</t>
        </is>
      </c>
      <c r="D125" s="13" t="n">
        <v>124</v>
      </c>
      <c r="E125" s="13">
        <f>C125&amp;"말씀 #"&amp;TEXT(D125,"000")</f>
        <v/>
      </c>
      <c r="F125" s="14" t="inlineStr">
        <is>
          <t>욥기</t>
        </is>
      </c>
      <c r="G125" s="14" t="inlineStr">
        <is>
          <t>19:25</t>
        </is>
      </c>
      <c r="H125" s="15" t="inlineStr">
        <is>
          <t>(욥 19:25, 개역한글)</t>
        </is>
      </c>
      <c r="I125" s="14" t="inlineStr">
        <is>
          <t>소망</t>
        </is>
      </c>
      <c r="J125" s="14" t="inlineStr">
        <is>
          <t>새벽빛</t>
        </is>
      </c>
      <c r="K125" s="16" t="inlineStr">
        <is>
          <t>내가 알기에는 나의 구속자가 살아 계시니 후일에 그가 땅 위에 서실 것이라</t>
        </is>
      </c>
      <c r="L125" s="14" t="inlineStr">
        <is>
          <t>자동 입력</t>
        </is>
      </c>
      <c r="M125" s="14">
        <f>LEN(K125)</f>
        <v/>
      </c>
      <c r="N125" s="14">
        <f>IF(M125=0,"-",ROUND(3+M125/'안내'!$C$12,0))</f>
        <v/>
      </c>
      <c r="O125" s="15">
        <f>IF(K125="","(본문 입력 후 자동) | 욥 19:25",IF(LEN(K125)&gt;28,LEFT(K125,28)&amp;"…",K125)&amp;" | 욥 19:25")</f>
        <v/>
      </c>
      <c r="P125" s="15">
        <f>"#"&amp;SUBSTITUTE('안내'!$C$5," ","")&amp;" #성경구절 #말씀 #욥기 #소망"</f>
        <v/>
      </c>
      <c r="Q125" s="15" t="inlineStr">
        <is>
          <t>성경 본문: 개역한글판</t>
        </is>
      </c>
      <c r="R125" s="17">
        <f>'안내'!$C$6+INT((D125-1)/'안내'!$C$7)</f>
        <v/>
      </c>
      <c r="S125" s="14">
        <f>IF(MOD(D125-1,'안내'!$C$7)=0,'안내'!$C$8,'안내'!$C$10)</f>
        <v/>
      </c>
      <c r="T125" s="14">
        <f>CHOOSE(WEEKDAY(R125,2),"월","화","수","목","금","토","일")</f>
        <v/>
      </c>
      <c r="U125" s="14" t="inlineStr">
        <is>
          <t>미착수</t>
        </is>
      </c>
      <c r="V125" s="14" t="inlineStr">
        <is>
          <t>미착수</t>
        </is>
      </c>
      <c r="W125" s="18" t="n"/>
      <c r="X125" s="18" t="n"/>
      <c r="Y125" s="15" t="n"/>
      <c r="Z125" s="15" t="inlineStr"/>
      <c r="AA125" s="15" t="inlineStr">
        <is>
          <t>But as for me, I know that my Redeemer lives. In the end, he will stand upon the earth.</t>
        </is>
      </c>
    </row>
    <row r="126">
      <c r="A126" s="13" t="n">
        <v>125</v>
      </c>
      <c r="B126" s="13" t="inlineStr">
        <is>
          <t>W0125</t>
        </is>
      </c>
      <c r="C126" s="13" t="inlineStr">
        <is>
          <t>구약</t>
        </is>
      </c>
      <c r="D126" s="13" t="n">
        <v>125</v>
      </c>
      <c r="E126" s="13">
        <f>C126&amp;"말씀 #"&amp;TEXT(D126,"000")</f>
        <v/>
      </c>
      <c r="F126" s="14" t="inlineStr">
        <is>
          <t>욥기</t>
        </is>
      </c>
      <c r="G126" s="14" t="inlineStr">
        <is>
          <t>23:10</t>
        </is>
      </c>
      <c r="H126" s="15" t="inlineStr">
        <is>
          <t>(욥 23:10, 개역한글)</t>
        </is>
      </c>
      <c r="I126" s="14" t="inlineStr">
        <is>
          <t>연단</t>
        </is>
      </c>
      <c r="J126" s="14" t="inlineStr">
        <is>
          <t>바위산·광야</t>
        </is>
      </c>
      <c r="K126" s="16" t="inlineStr">
        <is>
          <t>나의 가는 길을 오직 그가 아시나니 그가 나를 단련하신 후에는 내가 정금같이 나오리라</t>
        </is>
      </c>
      <c r="L126" s="14" t="inlineStr">
        <is>
          <t>자동 입력</t>
        </is>
      </c>
      <c r="M126" s="14">
        <f>LEN(K126)</f>
        <v/>
      </c>
      <c r="N126" s="14">
        <f>IF(M126=0,"-",ROUND(3+M126/'안내'!$C$12,0))</f>
        <v/>
      </c>
      <c r="O126" s="15">
        <f>IF(K126="","(본문 입력 후 자동) | 욥 23:10",IF(LEN(K126)&gt;28,LEFT(K126,28)&amp;"…",K126)&amp;" | 욥 23:10")</f>
        <v/>
      </c>
      <c r="P126" s="15">
        <f>"#"&amp;SUBSTITUTE('안내'!$C$5," ","")&amp;" #성경구절 #말씀 #욥기 #연단"</f>
        <v/>
      </c>
      <c r="Q126" s="15" t="inlineStr">
        <is>
          <t>성경 본문: 개역한글판</t>
        </is>
      </c>
      <c r="R126" s="17">
        <f>'안내'!$C$6+INT((D126-1)/'안내'!$C$7)</f>
        <v/>
      </c>
      <c r="S126" s="14">
        <f>IF(MOD(D126-1,'안내'!$C$7)=0,'안내'!$C$8,'안내'!$C$10)</f>
        <v/>
      </c>
      <c r="T126" s="14">
        <f>CHOOSE(WEEKDAY(R126,2),"월","화","수","목","금","토","일")</f>
        <v/>
      </c>
      <c r="U126" s="14" t="inlineStr">
        <is>
          <t>미착수</t>
        </is>
      </c>
      <c r="V126" s="14" t="inlineStr">
        <is>
          <t>미착수</t>
        </is>
      </c>
      <c r="W126" s="18" t="n"/>
      <c r="X126" s="18" t="n"/>
      <c r="Y126" s="15" t="n"/>
      <c r="Z126" s="15" t="inlineStr"/>
      <c r="AA126" s="15" t="inlineStr">
        <is>
          <t>But he knows the way that I take. When he has tried me, I will come out like gold.</t>
        </is>
      </c>
    </row>
    <row r="127">
      <c r="A127" s="13" t="n">
        <v>126</v>
      </c>
      <c r="B127" s="13" t="inlineStr">
        <is>
          <t>W0126</t>
        </is>
      </c>
      <c r="C127" s="13" t="inlineStr">
        <is>
          <t>구약</t>
        </is>
      </c>
      <c r="D127" s="13" t="n">
        <v>126</v>
      </c>
      <c r="E127" s="13">
        <f>C127&amp;"말씀 #"&amp;TEXT(D127,"000")</f>
        <v/>
      </c>
      <c r="F127" s="14" t="inlineStr">
        <is>
          <t>욥기</t>
        </is>
      </c>
      <c r="G127" s="14" t="inlineStr">
        <is>
          <t>26:7</t>
        </is>
      </c>
      <c r="H127" s="15" t="inlineStr">
        <is>
          <t>(욥 26:7, 개역한글)</t>
        </is>
      </c>
      <c r="I127" s="14" t="inlineStr">
        <is>
          <t>창조</t>
        </is>
      </c>
      <c r="J127" s="14" t="inlineStr">
        <is>
          <t>하늘·별</t>
        </is>
      </c>
      <c r="K127" s="16" t="inlineStr">
        <is>
          <t>그는 북편 하늘을 허공에 펴시며 땅을 공간에 다시며</t>
        </is>
      </c>
      <c r="L127" s="14" t="inlineStr">
        <is>
          <t>자동 입력</t>
        </is>
      </c>
      <c r="M127" s="14">
        <f>LEN(K127)</f>
        <v/>
      </c>
      <c r="N127" s="14">
        <f>IF(M127=0,"-",ROUND(3+M127/'안내'!$C$12,0))</f>
        <v/>
      </c>
      <c r="O127" s="15">
        <f>IF(K127="","(본문 입력 후 자동) | 욥 26:7",IF(LEN(K127)&gt;28,LEFT(K127,28)&amp;"…",K127)&amp;" | 욥 26:7")</f>
        <v/>
      </c>
      <c r="P127" s="15">
        <f>"#"&amp;SUBSTITUTE('안내'!$C$5," ","")&amp;" #성경구절 #말씀 #욥기 #창조"</f>
        <v/>
      </c>
      <c r="Q127" s="15" t="inlineStr">
        <is>
          <t>성경 본문: 개역한글판</t>
        </is>
      </c>
      <c r="R127" s="17">
        <f>'안내'!$C$6+INT((D127-1)/'안내'!$C$7)</f>
        <v/>
      </c>
      <c r="S127" s="14">
        <f>IF(MOD(D127-1,'안내'!$C$7)=0,'안내'!$C$8,'안내'!$C$10)</f>
        <v/>
      </c>
      <c r="T127" s="14">
        <f>CHOOSE(WEEKDAY(R127,2),"월","화","수","목","금","토","일")</f>
        <v/>
      </c>
      <c r="U127" s="14" t="inlineStr">
        <is>
          <t>미착수</t>
        </is>
      </c>
      <c r="V127" s="14" t="inlineStr">
        <is>
          <t>미착수</t>
        </is>
      </c>
      <c r="W127" s="18" t="n"/>
      <c r="X127" s="18" t="n"/>
      <c r="Y127" s="15" t="n"/>
      <c r="Z127" s="15" t="inlineStr"/>
      <c r="AA127" s="15" t="inlineStr">
        <is>
          <t>He stretches out the north over empty space, and hangs the earth on nothing.</t>
        </is>
      </c>
    </row>
    <row r="128">
      <c r="A128" s="13" t="n">
        <v>127</v>
      </c>
      <c r="B128" s="13" t="inlineStr">
        <is>
          <t>W0127</t>
        </is>
      </c>
      <c r="C128" s="13" t="inlineStr">
        <is>
          <t>구약</t>
        </is>
      </c>
      <c r="D128" s="13" t="n">
        <v>127</v>
      </c>
      <c r="E128" s="13">
        <f>C128&amp;"말씀 #"&amp;TEXT(D128,"000")</f>
        <v/>
      </c>
      <c r="F128" s="14" t="inlineStr">
        <is>
          <t>욥기</t>
        </is>
      </c>
      <c r="G128" s="14" t="inlineStr">
        <is>
          <t>28:28</t>
        </is>
      </c>
      <c r="H128" s="15" t="inlineStr">
        <is>
          <t>(욥 28:28, 개역한글)</t>
        </is>
      </c>
      <c r="I128" s="14" t="inlineStr">
        <is>
          <t>지혜</t>
        </is>
      </c>
      <c r="J128" s="14" t="inlineStr">
        <is>
          <t>들판·나무</t>
        </is>
      </c>
      <c r="K128" s="16" t="inlineStr">
        <is>
          <t>또 사람에게 이르시기를 주를 경외함이 곧 지혜요 악을 떠남이 명철이라 하셨느니라</t>
        </is>
      </c>
      <c r="L128" s="14" t="inlineStr">
        <is>
          <t>자동 입력</t>
        </is>
      </c>
      <c r="M128" s="14">
        <f>LEN(K128)</f>
        <v/>
      </c>
      <c r="N128" s="14">
        <f>IF(M128=0,"-",ROUND(3+M128/'안내'!$C$12,0))</f>
        <v/>
      </c>
      <c r="O128" s="15">
        <f>IF(K128="","(본문 입력 후 자동) | 욥 28:28",IF(LEN(K128)&gt;28,LEFT(K128,28)&amp;"…",K128)&amp;" | 욥 28:28")</f>
        <v/>
      </c>
      <c r="P128" s="15">
        <f>"#"&amp;SUBSTITUTE('안내'!$C$5," ","")&amp;" #성경구절 #말씀 #욥기 #지혜"</f>
        <v/>
      </c>
      <c r="Q128" s="15" t="inlineStr">
        <is>
          <t>성경 본문: 개역한글판</t>
        </is>
      </c>
      <c r="R128" s="17">
        <f>'안내'!$C$6+INT((D128-1)/'안내'!$C$7)</f>
        <v/>
      </c>
      <c r="S128" s="14">
        <f>IF(MOD(D128-1,'안내'!$C$7)=0,'안내'!$C$8,'안내'!$C$10)</f>
        <v/>
      </c>
      <c r="T128" s="14">
        <f>CHOOSE(WEEKDAY(R128,2),"월","화","수","목","금","토","일")</f>
        <v/>
      </c>
      <c r="U128" s="14" t="inlineStr">
        <is>
          <t>미착수</t>
        </is>
      </c>
      <c r="V128" s="14" t="inlineStr">
        <is>
          <t>미착수</t>
        </is>
      </c>
      <c r="W128" s="18" t="n"/>
      <c r="X128" s="18" t="n"/>
      <c r="Y128" s="15" t="n"/>
      <c r="Z128" s="15" t="inlineStr"/>
      <c r="AA128" s="15" t="inlineStr">
        <is>
          <t>To man he said, ‘Behold, the fear of the Lord, that is wisdom. To depart from evil is understand- ing.’ ”</t>
        </is>
      </c>
    </row>
    <row r="129">
      <c r="A129" s="13" t="n">
        <v>128</v>
      </c>
      <c r="B129" s="13" t="inlineStr">
        <is>
          <t>W0128</t>
        </is>
      </c>
      <c r="C129" s="13" t="inlineStr">
        <is>
          <t>구약</t>
        </is>
      </c>
      <c r="D129" s="13" t="n">
        <v>128</v>
      </c>
      <c r="E129" s="13">
        <f>C129&amp;"말씀 #"&amp;TEXT(D129,"000")</f>
        <v/>
      </c>
      <c r="F129" s="14" t="inlineStr">
        <is>
          <t>욥기</t>
        </is>
      </c>
      <c r="G129" s="14" t="inlineStr">
        <is>
          <t>33:4</t>
        </is>
      </c>
      <c r="H129" s="15" t="inlineStr">
        <is>
          <t>(욥 33:4, 개역한글)</t>
        </is>
      </c>
      <c r="I129" s="14" t="inlineStr">
        <is>
          <t>생명</t>
        </is>
      </c>
      <c r="J129" s="14" t="inlineStr">
        <is>
          <t>새벽빛</t>
        </is>
      </c>
      <c r="K129" s="16" t="inlineStr">
        <is>
          <t>하나님의 신이 나를 지으셨고 전능자의 기운이 나를 살리시느니라</t>
        </is>
      </c>
      <c r="L129" s="14" t="inlineStr">
        <is>
          <t>자동 입력</t>
        </is>
      </c>
      <c r="M129" s="14">
        <f>LEN(K129)</f>
        <v/>
      </c>
      <c r="N129" s="14">
        <f>IF(M129=0,"-",ROUND(3+M129/'안내'!$C$12,0))</f>
        <v/>
      </c>
      <c r="O129" s="15">
        <f>IF(K129="","(본문 입력 후 자동) | 욥 33:4",IF(LEN(K129)&gt;28,LEFT(K129,28)&amp;"…",K129)&amp;" | 욥 33:4")</f>
        <v/>
      </c>
      <c r="P129" s="15">
        <f>"#"&amp;SUBSTITUTE('안내'!$C$5," ","")&amp;" #성경구절 #말씀 #욥기 #생명"</f>
        <v/>
      </c>
      <c r="Q129" s="15" t="inlineStr">
        <is>
          <t>성경 본문: 개역한글판</t>
        </is>
      </c>
      <c r="R129" s="17">
        <f>'안내'!$C$6+INT((D129-1)/'안내'!$C$7)</f>
        <v/>
      </c>
      <c r="S129" s="14">
        <f>IF(MOD(D129-1,'안내'!$C$7)=0,'안내'!$C$8,'안내'!$C$10)</f>
        <v/>
      </c>
      <c r="T129" s="14">
        <f>CHOOSE(WEEKDAY(R129,2),"월","화","수","목","금","토","일")</f>
        <v/>
      </c>
      <c r="U129" s="14" t="inlineStr">
        <is>
          <t>미착수</t>
        </is>
      </c>
      <c r="V129" s="14" t="inlineStr">
        <is>
          <t>미착수</t>
        </is>
      </c>
      <c r="W129" s="18" t="n"/>
      <c r="X129" s="18" t="n"/>
      <c r="Y129" s="15" t="n"/>
      <c r="Z129" s="15" t="inlineStr"/>
      <c r="AA129" s="15" t="inlineStr">
        <is>
          <t>The Spirit of God has made me, and the breath of the Almighty gives me life.</t>
        </is>
      </c>
    </row>
    <row r="130">
      <c r="A130" s="13" t="n">
        <v>129</v>
      </c>
      <c r="B130" s="13" t="inlineStr">
        <is>
          <t>W0129</t>
        </is>
      </c>
      <c r="C130" s="13" t="inlineStr">
        <is>
          <t>구약</t>
        </is>
      </c>
      <c r="D130" s="13" t="n">
        <v>129</v>
      </c>
      <c r="E130" s="13">
        <f>C130&amp;"말씀 #"&amp;TEXT(D130,"000")</f>
        <v/>
      </c>
      <c r="F130" s="14" t="inlineStr">
        <is>
          <t>욥기</t>
        </is>
      </c>
      <c r="G130" s="14" t="inlineStr">
        <is>
          <t>36:15</t>
        </is>
      </c>
      <c r="H130" s="15" t="inlineStr">
        <is>
          <t>(욥 36:15, 개역한글)</t>
        </is>
      </c>
      <c r="I130" s="14" t="inlineStr">
        <is>
          <t>연단</t>
        </is>
      </c>
      <c r="J130" s="14" t="inlineStr">
        <is>
          <t>바위산·광야</t>
        </is>
      </c>
      <c r="K130" s="16" t="inlineStr">
        <is>
          <t>하나님은 곤고한 자를 그 곤고할 즈음에 구원하시며 학대당할 즈음에 그 귀를 여시나니</t>
        </is>
      </c>
      <c r="L130" s="14" t="inlineStr">
        <is>
          <t>자동 입력</t>
        </is>
      </c>
      <c r="M130" s="14">
        <f>LEN(K130)</f>
        <v/>
      </c>
      <c r="N130" s="14">
        <f>IF(M130=0,"-",ROUND(3+M130/'안내'!$C$12,0))</f>
        <v/>
      </c>
      <c r="O130" s="15">
        <f>IF(K130="","(본문 입력 후 자동) | 욥 36:15",IF(LEN(K130)&gt;28,LEFT(K130,28)&amp;"…",K130)&amp;" | 욥 36:15")</f>
        <v/>
      </c>
      <c r="P130" s="15">
        <f>"#"&amp;SUBSTITUTE('안내'!$C$5," ","")&amp;" #성경구절 #말씀 #욥기 #연단"</f>
        <v/>
      </c>
      <c r="Q130" s="15" t="inlineStr">
        <is>
          <t>성경 본문: 개역한글판</t>
        </is>
      </c>
      <c r="R130" s="17">
        <f>'안내'!$C$6+INT((D130-1)/'안내'!$C$7)</f>
        <v/>
      </c>
      <c r="S130" s="14">
        <f>IF(MOD(D130-1,'안내'!$C$7)=0,'안내'!$C$8,'안내'!$C$10)</f>
        <v/>
      </c>
      <c r="T130" s="14">
        <f>CHOOSE(WEEKDAY(R130,2),"월","화","수","목","금","토","일")</f>
        <v/>
      </c>
      <c r="U130" s="14" t="inlineStr">
        <is>
          <t>미착수</t>
        </is>
      </c>
      <c r="V130" s="14" t="inlineStr">
        <is>
          <t>미착수</t>
        </is>
      </c>
      <c r="W130" s="18" t="n"/>
      <c r="X130" s="18" t="n"/>
      <c r="Y130" s="15" t="n"/>
      <c r="Z130" s="15" t="inlineStr"/>
      <c r="AA130" s="15" t="inlineStr">
        <is>
          <t>He delivers the afflicted by their afflic- tion, and opens their ear in oppression.</t>
        </is>
      </c>
    </row>
    <row r="131">
      <c r="A131" s="13" t="n">
        <v>130</v>
      </c>
      <c r="B131" s="13" t="inlineStr">
        <is>
          <t>W0130</t>
        </is>
      </c>
      <c r="C131" s="13" t="inlineStr">
        <is>
          <t>구약</t>
        </is>
      </c>
      <c r="D131" s="13" t="n">
        <v>130</v>
      </c>
      <c r="E131" s="13">
        <f>C131&amp;"말씀 #"&amp;TEXT(D131,"000")</f>
        <v/>
      </c>
      <c r="F131" s="14" t="inlineStr">
        <is>
          <t>욥기</t>
        </is>
      </c>
      <c r="G131" s="14" t="inlineStr">
        <is>
          <t>37:14</t>
        </is>
      </c>
      <c r="H131" s="15" t="inlineStr">
        <is>
          <t>(욥 37:14, 개역한글)</t>
        </is>
      </c>
      <c r="I131" s="14" t="inlineStr">
        <is>
          <t>섭리</t>
        </is>
      </c>
      <c r="J131" s="14" t="inlineStr">
        <is>
          <t>하늘·별</t>
        </is>
      </c>
      <c r="K131" s="16" t="inlineStr">
        <is>
          <t>욥이여 이것을 듣고 가만히 서서 하나님의 기묘하신 일을 궁구하라</t>
        </is>
      </c>
      <c r="L131" s="14" t="inlineStr">
        <is>
          <t>자동 입력</t>
        </is>
      </c>
      <c r="M131" s="14">
        <f>LEN(K131)</f>
        <v/>
      </c>
      <c r="N131" s="14">
        <f>IF(M131=0,"-",ROUND(3+M131/'안내'!$C$12,0))</f>
        <v/>
      </c>
      <c r="O131" s="15">
        <f>IF(K131="","(본문 입력 후 자동) | 욥 37:14",IF(LEN(K131)&gt;28,LEFT(K131,28)&amp;"…",K131)&amp;" | 욥 37:14")</f>
        <v/>
      </c>
      <c r="P131" s="15">
        <f>"#"&amp;SUBSTITUTE('안내'!$C$5," ","")&amp;" #성경구절 #말씀 #욥기 #섭리"</f>
        <v/>
      </c>
      <c r="Q131" s="15" t="inlineStr">
        <is>
          <t>성경 본문: 개역한글판</t>
        </is>
      </c>
      <c r="R131" s="17">
        <f>'안내'!$C$6+INT((D131-1)/'안내'!$C$7)</f>
        <v/>
      </c>
      <c r="S131" s="14">
        <f>IF(MOD(D131-1,'안내'!$C$7)=0,'안내'!$C$8,'안내'!$C$10)</f>
        <v/>
      </c>
      <c r="T131" s="14">
        <f>CHOOSE(WEEKDAY(R131,2),"월","화","수","목","금","토","일")</f>
        <v/>
      </c>
      <c r="U131" s="14" t="inlineStr">
        <is>
          <t>미착수</t>
        </is>
      </c>
      <c r="V131" s="14" t="inlineStr">
        <is>
          <t>미착수</t>
        </is>
      </c>
      <c r="W131" s="18" t="n"/>
      <c r="X131" s="18" t="n"/>
      <c r="Y131" s="15" t="n"/>
      <c r="Z131" s="15" t="inlineStr"/>
      <c r="AA131" s="15" t="inlineStr">
        <is>
          <t>“Listen to this, Job. Stand still, and consider the won- drous works of God.</t>
        </is>
      </c>
    </row>
    <row r="132">
      <c r="A132" s="13" t="n">
        <v>131</v>
      </c>
      <c r="B132" s="13" t="inlineStr">
        <is>
          <t>W0131</t>
        </is>
      </c>
      <c r="C132" s="13" t="inlineStr">
        <is>
          <t>구약</t>
        </is>
      </c>
      <c r="D132" s="13" t="n">
        <v>131</v>
      </c>
      <c r="E132" s="13">
        <f>C132&amp;"말씀 #"&amp;TEXT(D132,"000")</f>
        <v/>
      </c>
      <c r="F132" s="14" t="inlineStr">
        <is>
          <t>욥기</t>
        </is>
      </c>
      <c r="G132" s="14" t="inlineStr">
        <is>
          <t>38:4</t>
        </is>
      </c>
      <c r="H132" s="15" t="inlineStr">
        <is>
          <t>(욥 38:4, 개역한글)</t>
        </is>
      </c>
      <c r="I132" s="14" t="inlineStr">
        <is>
          <t>창조</t>
        </is>
      </c>
      <c r="J132" s="14" t="inlineStr">
        <is>
          <t>하늘·별</t>
        </is>
      </c>
      <c r="K132" s="16" t="inlineStr">
        <is>
          <t>내가 땅의 기초를 놓을 때에 네가 어디 있었느냐 네가 깨달아 알았거든 말할지니라</t>
        </is>
      </c>
      <c r="L132" s="14" t="inlineStr">
        <is>
          <t>자동 입력</t>
        </is>
      </c>
      <c r="M132" s="14">
        <f>LEN(K132)</f>
        <v/>
      </c>
      <c r="N132" s="14">
        <f>IF(M132=0,"-",ROUND(3+M132/'안내'!$C$12,0))</f>
        <v/>
      </c>
      <c r="O132" s="15">
        <f>IF(K132="","(본문 입력 후 자동) | 욥 38:4",IF(LEN(K132)&gt;28,LEFT(K132,28)&amp;"…",K132)&amp;" | 욥 38:4")</f>
        <v/>
      </c>
      <c r="P132" s="15">
        <f>"#"&amp;SUBSTITUTE('안내'!$C$5," ","")&amp;" #성경구절 #말씀 #욥기 #창조"</f>
        <v/>
      </c>
      <c r="Q132" s="15" t="inlineStr">
        <is>
          <t>성경 본문: 개역한글판</t>
        </is>
      </c>
      <c r="R132" s="17">
        <f>'안내'!$C$6+INT((D132-1)/'안내'!$C$7)</f>
        <v/>
      </c>
      <c r="S132" s="14">
        <f>IF(MOD(D132-1,'안내'!$C$7)=0,'안내'!$C$8,'안내'!$C$10)</f>
        <v/>
      </c>
      <c r="T132" s="14">
        <f>CHOOSE(WEEKDAY(R132,2),"월","화","수","목","금","토","일")</f>
        <v/>
      </c>
      <c r="U132" s="14" t="inlineStr">
        <is>
          <t>미착수</t>
        </is>
      </c>
      <c r="V132" s="14" t="inlineStr">
        <is>
          <t>미착수</t>
        </is>
      </c>
      <c r="W132" s="18" t="n"/>
      <c r="X132" s="18" t="n"/>
      <c r="Y132" s="15" t="n"/>
      <c r="Z132" s="15" t="inlineStr"/>
      <c r="AA132" s="15" t="inlineStr">
        <is>
          <t>“Where were you when I laid the founda- tions of the earth? Declare, if you have understanding.</t>
        </is>
      </c>
    </row>
    <row r="133">
      <c r="A133" s="13" t="n">
        <v>132</v>
      </c>
      <c r="B133" s="13" t="inlineStr">
        <is>
          <t>W0132</t>
        </is>
      </c>
      <c r="C133" s="13" t="inlineStr">
        <is>
          <t>구약</t>
        </is>
      </c>
      <c r="D133" s="13" t="n">
        <v>132</v>
      </c>
      <c r="E133" s="13">
        <f>C133&amp;"말씀 #"&amp;TEXT(D133,"000")</f>
        <v/>
      </c>
      <c r="F133" s="14" t="inlineStr">
        <is>
          <t>욥기</t>
        </is>
      </c>
      <c r="G133" s="14" t="inlineStr">
        <is>
          <t>42:2</t>
        </is>
      </c>
      <c r="H133" s="15" t="inlineStr">
        <is>
          <t>(욥 42:2, 개역한글)</t>
        </is>
      </c>
      <c r="I133" s="14" t="inlineStr">
        <is>
          <t>능력</t>
        </is>
      </c>
      <c r="J133" s="14" t="inlineStr">
        <is>
          <t>바위산·광야</t>
        </is>
      </c>
      <c r="K133" s="16" t="inlineStr">
        <is>
          <t>주께서는 무소불능하시오며 무슨 경영이든지 못 이루실 것이 없는 줄 아오니</t>
        </is>
      </c>
      <c r="L133" s="14" t="inlineStr">
        <is>
          <t>자동 입력</t>
        </is>
      </c>
      <c r="M133" s="14">
        <f>LEN(K133)</f>
        <v/>
      </c>
      <c r="N133" s="14">
        <f>IF(M133=0,"-",ROUND(3+M133/'안내'!$C$12,0))</f>
        <v/>
      </c>
      <c r="O133" s="15">
        <f>IF(K133="","(본문 입력 후 자동) | 욥 42:2",IF(LEN(K133)&gt;28,LEFT(K133,28)&amp;"…",K133)&amp;" | 욥 42:2")</f>
        <v/>
      </c>
      <c r="P133" s="15">
        <f>"#"&amp;SUBSTITUTE('안내'!$C$5," ","")&amp;" #성경구절 #말씀 #욥기 #능력"</f>
        <v/>
      </c>
      <c r="Q133" s="15" t="inlineStr">
        <is>
          <t>성경 본문: 개역한글판</t>
        </is>
      </c>
      <c r="R133" s="17">
        <f>'안내'!$C$6+INT((D133-1)/'안내'!$C$7)</f>
        <v/>
      </c>
      <c r="S133" s="14">
        <f>IF(MOD(D133-1,'안내'!$C$7)=0,'안내'!$C$8,'안내'!$C$10)</f>
        <v/>
      </c>
      <c r="T133" s="14">
        <f>CHOOSE(WEEKDAY(R133,2),"월","화","수","목","금","토","일")</f>
        <v/>
      </c>
      <c r="U133" s="14" t="inlineStr">
        <is>
          <t>미착수</t>
        </is>
      </c>
      <c r="V133" s="14" t="inlineStr">
        <is>
          <t>미착수</t>
        </is>
      </c>
      <c r="W133" s="18" t="n"/>
      <c r="X133" s="18" t="n"/>
      <c r="Y133" s="15" t="n"/>
      <c r="Z133" s="15" t="inlineStr"/>
      <c r="AA133" s="15" t="inlineStr">
        <is>
          <t>“I know that you can do all things, and that no purpose of yours can be restrained.</t>
        </is>
      </c>
    </row>
    <row r="134">
      <c r="A134" s="13" t="n">
        <v>133</v>
      </c>
      <c r="B134" s="13" t="inlineStr">
        <is>
          <t>W0133</t>
        </is>
      </c>
      <c r="C134" s="13" t="inlineStr">
        <is>
          <t>구약</t>
        </is>
      </c>
      <c r="D134" s="13" t="n">
        <v>133</v>
      </c>
      <c r="E134" s="13">
        <f>C134&amp;"말씀 #"&amp;TEXT(D134,"000")</f>
        <v/>
      </c>
      <c r="F134" s="14" t="inlineStr">
        <is>
          <t>욥기</t>
        </is>
      </c>
      <c r="G134" s="14" t="inlineStr">
        <is>
          <t>42:5</t>
        </is>
      </c>
      <c r="H134" s="15" t="inlineStr">
        <is>
          <t>(욥 42:5, 개역한글)</t>
        </is>
      </c>
      <c r="I134" s="14" t="inlineStr">
        <is>
          <t>믿음</t>
        </is>
      </c>
      <c r="J134" s="14" t="inlineStr">
        <is>
          <t>바위산·광야</t>
        </is>
      </c>
      <c r="K134" s="16" t="inlineStr">
        <is>
          <t>내가 주께 대하여 귀로 듣기만 하였삽더니 이제는 눈으로 주를 뵈옵나이다</t>
        </is>
      </c>
      <c r="L134" s="14" t="inlineStr">
        <is>
          <t>자동 입력</t>
        </is>
      </c>
      <c r="M134" s="14">
        <f>LEN(K134)</f>
        <v/>
      </c>
      <c r="N134" s="14">
        <f>IF(M134=0,"-",ROUND(3+M134/'안내'!$C$12,0))</f>
        <v/>
      </c>
      <c r="O134" s="15">
        <f>IF(K134="","(본문 입력 후 자동) | 욥 42:5",IF(LEN(K134)&gt;28,LEFT(K134,28)&amp;"…",K134)&amp;" | 욥 42:5")</f>
        <v/>
      </c>
      <c r="P134" s="15">
        <f>"#"&amp;SUBSTITUTE('안내'!$C$5," ","")&amp;" #성경구절 #말씀 #욥기 #믿음"</f>
        <v/>
      </c>
      <c r="Q134" s="15" t="inlineStr">
        <is>
          <t>성경 본문: 개역한글판</t>
        </is>
      </c>
      <c r="R134" s="17">
        <f>'안내'!$C$6+INT((D134-1)/'안내'!$C$7)</f>
        <v/>
      </c>
      <c r="S134" s="14">
        <f>IF(MOD(D134-1,'안내'!$C$7)=0,'안내'!$C$8,'안내'!$C$10)</f>
        <v/>
      </c>
      <c r="T134" s="14">
        <f>CHOOSE(WEEKDAY(R134,2),"월","화","수","목","금","토","일")</f>
        <v/>
      </c>
      <c r="U134" s="14" t="inlineStr">
        <is>
          <t>미착수</t>
        </is>
      </c>
      <c r="V134" s="14" t="inlineStr">
        <is>
          <t>미착수</t>
        </is>
      </c>
      <c r="W134" s="18" t="n"/>
      <c r="X134" s="18" t="n"/>
      <c r="Y134" s="15" t="n"/>
      <c r="Z134" s="15" t="inlineStr"/>
      <c r="AA134" s="15" t="inlineStr">
        <is>
          <t>I had heard of you by the hearing of the ear, but now my eye sees you.</t>
        </is>
      </c>
    </row>
    <row r="135">
      <c r="A135" s="13" t="n">
        <v>134</v>
      </c>
      <c r="B135" s="13" t="inlineStr">
        <is>
          <t>W0134</t>
        </is>
      </c>
      <c r="C135" s="13" t="inlineStr">
        <is>
          <t>구약</t>
        </is>
      </c>
      <c r="D135" s="13" t="n">
        <v>134</v>
      </c>
      <c r="E135" s="13">
        <f>C135&amp;"말씀 #"&amp;TEXT(D135,"000")</f>
        <v/>
      </c>
      <c r="F135" s="14" t="inlineStr">
        <is>
          <t>시편</t>
        </is>
      </c>
      <c r="G135" s="14" t="inlineStr">
        <is>
          <t>1:1</t>
        </is>
      </c>
      <c r="H135" s="15" t="inlineStr">
        <is>
          <t>(시 1:1, 개역한글)</t>
        </is>
      </c>
      <c r="I135" s="14" t="inlineStr">
        <is>
          <t>복</t>
        </is>
      </c>
      <c r="J135" s="14" t="inlineStr">
        <is>
          <t>들판·나무</t>
        </is>
      </c>
      <c r="K135" s="16" t="inlineStr">
        <is>
          <t>복 있는 사람은 악인의 꾀를 좇지 아니하며 죄인의 길에 서지 아니하며 오만한 자의 자리에 앉지 아니하고</t>
        </is>
      </c>
      <c r="L135" s="14" t="inlineStr">
        <is>
          <t>자동 입력</t>
        </is>
      </c>
      <c r="M135" s="14">
        <f>LEN(K135)</f>
        <v/>
      </c>
      <c r="N135" s="14">
        <f>IF(M135=0,"-",ROUND(3+M135/'안내'!$C$12,0))</f>
        <v/>
      </c>
      <c r="O135" s="15">
        <f>IF(K135="","(본문 입력 후 자동) | 시 1:1",IF(LEN(K135)&gt;28,LEFT(K135,28)&amp;"…",K135)&amp;" | 시 1:1")</f>
        <v/>
      </c>
      <c r="P135" s="15">
        <f>"#"&amp;SUBSTITUTE('안내'!$C$5," ","")&amp;" #성경구절 #말씀 #시편 #복"</f>
        <v/>
      </c>
      <c r="Q135" s="15" t="inlineStr">
        <is>
          <t>성경 본문: 개역한글판</t>
        </is>
      </c>
      <c r="R135" s="17">
        <f>'안내'!$C$6+INT((D135-1)/'안내'!$C$7)</f>
        <v/>
      </c>
      <c r="S135" s="14">
        <f>IF(MOD(D135-1,'안내'!$C$7)=0,'안내'!$C$8,'안내'!$C$10)</f>
        <v/>
      </c>
      <c r="T135" s="14">
        <f>CHOOSE(WEEKDAY(R135,2),"월","화","수","목","금","토","일")</f>
        <v/>
      </c>
      <c r="U135" s="14" t="inlineStr">
        <is>
          <t>미착수</t>
        </is>
      </c>
      <c r="V135" s="14" t="inlineStr">
        <is>
          <t>미착수</t>
        </is>
      </c>
      <c r="W135" s="18" t="n"/>
      <c r="X135" s="18" t="n"/>
      <c r="Y135" s="15" t="n"/>
      <c r="Z135" s="15" t="inlineStr"/>
      <c r="AA135" s="15" t="inlineStr">
        <is>
          <t>Blessed is the man who doesn’t walk in the counsel of the wicked, nor stand on the path of sinners, nor sit in the seat of scoffers;</t>
        </is>
      </c>
    </row>
    <row r="136">
      <c r="A136" s="13" t="n">
        <v>135</v>
      </c>
      <c r="B136" s="13" t="inlineStr">
        <is>
          <t>W0135</t>
        </is>
      </c>
      <c r="C136" s="13" t="inlineStr">
        <is>
          <t>구약</t>
        </is>
      </c>
      <c r="D136" s="13" t="n">
        <v>135</v>
      </c>
      <c r="E136" s="13">
        <f>C136&amp;"말씀 #"&amp;TEXT(D136,"000")</f>
        <v/>
      </c>
      <c r="F136" s="14" t="inlineStr">
        <is>
          <t>시편</t>
        </is>
      </c>
      <c r="G136" s="14" t="inlineStr">
        <is>
          <t>1:2</t>
        </is>
      </c>
      <c r="H136" s="15" t="inlineStr">
        <is>
          <t>(시 1:2, 개역한글)</t>
        </is>
      </c>
      <c r="I136" s="14" t="inlineStr">
        <is>
          <t>말씀</t>
        </is>
      </c>
      <c r="J136" s="14" t="inlineStr">
        <is>
          <t>들판·나무</t>
        </is>
      </c>
      <c r="K136" s="16" t="inlineStr">
        <is>
          <t>오직 여호와의 율법을 즐거워하여 그 율법을 주야로 묵상하는 자로다</t>
        </is>
      </c>
      <c r="L136" s="14" t="inlineStr">
        <is>
          <t>자동 입력</t>
        </is>
      </c>
      <c r="M136" s="14">
        <f>LEN(K136)</f>
        <v/>
      </c>
      <c r="N136" s="14">
        <f>IF(M136=0,"-",ROUND(3+M136/'안내'!$C$12,0))</f>
        <v/>
      </c>
      <c r="O136" s="15">
        <f>IF(K136="","(본문 입력 후 자동) | 시 1:2",IF(LEN(K136)&gt;28,LEFT(K136,28)&amp;"…",K136)&amp;" | 시 1:2")</f>
        <v/>
      </c>
      <c r="P136" s="15">
        <f>"#"&amp;SUBSTITUTE('안내'!$C$5," ","")&amp;" #성경구절 #말씀 #시편 #말씀"</f>
        <v/>
      </c>
      <c r="Q136" s="15" t="inlineStr">
        <is>
          <t>성경 본문: 개역한글판</t>
        </is>
      </c>
      <c r="R136" s="17">
        <f>'안내'!$C$6+INT((D136-1)/'안내'!$C$7)</f>
        <v/>
      </c>
      <c r="S136" s="14">
        <f>IF(MOD(D136-1,'안내'!$C$7)=0,'안내'!$C$8,'안내'!$C$10)</f>
        <v/>
      </c>
      <c r="T136" s="14">
        <f>CHOOSE(WEEKDAY(R136,2),"월","화","수","목","금","토","일")</f>
        <v/>
      </c>
      <c r="U136" s="14" t="inlineStr">
        <is>
          <t>미착수</t>
        </is>
      </c>
      <c r="V136" s="14" t="inlineStr">
        <is>
          <t>미착수</t>
        </is>
      </c>
      <c r="W136" s="18" t="n"/>
      <c r="X136" s="18" t="n"/>
      <c r="Y136" s="15" t="n"/>
      <c r="Z136" s="15" t="inlineStr"/>
      <c r="AA136" s="15" t="inlineStr">
        <is>
          <t>but his delight is in Yahweh’s law. On his law he meditates day and night.</t>
        </is>
      </c>
    </row>
    <row r="137">
      <c r="A137" s="13" t="n">
        <v>136</v>
      </c>
      <c r="B137" s="13" t="inlineStr">
        <is>
          <t>W0136</t>
        </is>
      </c>
      <c r="C137" s="13" t="inlineStr">
        <is>
          <t>구약</t>
        </is>
      </c>
      <c r="D137" s="13" t="n">
        <v>136</v>
      </c>
      <c r="E137" s="13">
        <f>C137&amp;"말씀 #"&amp;TEXT(D137,"000")</f>
        <v/>
      </c>
      <c r="F137" s="14" t="inlineStr">
        <is>
          <t>시편</t>
        </is>
      </c>
      <c r="G137" s="14" t="inlineStr">
        <is>
          <t>3:3</t>
        </is>
      </c>
      <c r="H137" s="15" t="inlineStr">
        <is>
          <t>(시 3:3, 개역한글)</t>
        </is>
      </c>
      <c r="I137" s="14" t="inlineStr">
        <is>
          <t>보호</t>
        </is>
      </c>
      <c r="J137" s="14" t="inlineStr">
        <is>
          <t>바위산·광야</t>
        </is>
      </c>
      <c r="K137" s="16" t="inlineStr">
        <is>
          <t>여호와여 주는 나의 방패시요 나의 영광이시요 나의 머리를 드시는 자니이다</t>
        </is>
      </c>
      <c r="L137" s="14" t="inlineStr">
        <is>
          <t>자동 입력</t>
        </is>
      </c>
      <c r="M137" s="14">
        <f>LEN(K137)</f>
        <v/>
      </c>
      <c r="N137" s="14">
        <f>IF(M137=0,"-",ROUND(3+M137/'안내'!$C$12,0))</f>
        <v/>
      </c>
      <c r="O137" s="15">
        <f>IF(K137="","(본문 입력 후 자동) | 시 3:3",IF(LEN(K137)&gt;28,LEFT(K137,28)&amp;"…",K137)&amp;" | 시 3:3")</f>
        <v/>
      </c>
      <c r="P137" s="15">
        <f>"#"&amp;SUBSTITUTE('안내'!$C$5," ","")&amp;" #성경구절 #말씀 #시편 #보호"</f>
        <v/>
      </c>
      <c r="Q137" s="15" t="inlineStr">
        <is>
          <t>성경 본문: 개역한글판</t>
        </is>
      </c>
      <c r="R137" s="17">
        <f>'안내'!$C$6+INT((D137-1)/'안내'!$C$7)</f>
        <v/>
      </c>
      <c r="S137" s="14">
        <f>IF(MOD(D137-1,'안내'!$C$7)=0,'안내'!$C$8,'안내'!$C$10)</f>
        <v/>
      </c>
      <c r="T137" s="14">
        <f>CHOOSE(WEEKDAY(R137,2),"월","화","수","목","금","토","일")</f>
        <v/>
      </c>
      <c r="U137" s="14" t="inlineStr">
        <is>
          <t>미착수</t>
        </is>
      </c>
      <c r="V137" s="14" t="inlineStr">
        <is>
          <t>미착수</t>
        </is>
      </c>
      <c r="W137" s="18" t="n"/>
      <c r="X137" s="18" t="n"/>
      <c r="Y137" s="15" t="n"/>
      <c r="Z137" s="15" t="inlineStr"/>
      <c r="AA137" s="15" t="inlineStr">
        <is>
          <t>But you, Yahweh, are a shield around me, my glory, and the one who lifts up my head.</t>
        </is>
      </c>
    </row>
    <row r="138">
      <c r="A138" s="13" t="n">
        <v>137</v>
      </c>
      <c r="B138" s="13" t="inlineStr">
        <is>
          <t>W0137</t>
        </is>
      </c>
      <c r="C138" s="13" t="inlineStr">
        <is>
          <t>구약</t>
        </is>
      </c>
      <c r="D138" s="13" t="n">
        <v>137</v>
      </c>
      <c r="E138" s="13">
        <f>C138&amp;"말씀 #"&amp;TEXT(D138,"000")</f>
        <v/>
      </c>
      <c r="F138" s="14" t="inlineStr">
        <is>
          <t>시편</t>
        </is>
      </c>
      <c r="G138" s="14" t="inlineStr">
        <is>
          <t>4:8</t>
        </is>
      </c>
      <c r="H138" s="15" t="inlineStr">
        <is>
          <t>(시 4:8, 개역한글)</t>
        </is>
      </c>
      <c r="I138" s="14" t="inlineStr">
        <is>
          <t>평안</t>
        </is>
      </c>
      <c r="J138" s="14" t="inlineStr">
        <is>
          <t>잔잔한 물</t>
        </is>
      </c>
      <c r="K138" s="16" t="inlineStr">
        <is>
          <t>내가 평안히 눕고 자기도 하리니 나를 안전히 거하게 하시는 이는 오직 여호와시니이다</t>
        </is>
      </c>
      <c r="L138" s="14" t="inlineStr">
        <is>
          <t>자동 입력</t>
        </is>
      </c>
      <c r="M138" s="14">
        <f>LEN(K138)</f>
        <v/>
      </c>
      <c r="N138" s="14">
        <f>IF(M138=0,"-",ROUND(3+M138/'안내'!$C$12,0))</f>
        <v/>
      </c>
      <c r="O138" s="15">
        <f>IF(K138="","(본문 입력 후 자동) | 시 4:8",IF(LEN(K138)&gt;28,LEFT(K138,28)&amp;"…",K138)&amp;" | 시 4:8")</f>
        <v/>
      </c>
      <c r="P138" s="15">
        <f>"#"&amp;SUBSTITUTE('안내'!$C$5," ","")&amp;" #성경구절 #말씀 #시편 #평안"</f>
        <v/>
      </c>
      <c r="Q138" s="15" t="inlineStr">
        <is>
          <t>성경 본문: 개역한글판</t>
        </is>
      </c>
      <c r="R138" s="17">
        <f>'안내'!$C$6+INT((D138-1)/'안내'!$C$7)</f>
        <v/>
      </c>
      <c r="S138" s="14">
        <f>IF(MOD(D138-1,'안내'!$C$7)=0,'안내'!$C$8,'안내'!$C$10)</f>
        <v/>
      </c>
      <c r="T138" s="14">
        <f>CHOOSE(WEEKDAY(R138,2),"월","화","수","목","금","토","일")</f>
        <v/>
      </c>
      <c r="U138" s="14" t="inlineStr">
        <is>
          <t>미착수</t>
        </is>
      </c>
      <c r="V138" s="14" t="inlineStr">
        <is>
          <t>미착수</t>
        </is>
      </c>
      <c r="W138" s="18" t="n"/>
      <c r="X138" s="18" t="n"/>
      <c r="Y138" s="15" t="n"/>
      <c r="Z138" s="15" t="inlineStr"/>
      <c r="AA138" s="15" t="inlineStr">
        <is>
          <t>In peace I will both lay myself down and sleep, for you alone, Yahweh, make me live in safety.</t>
        </is>
      </c>
    </row>
    <row r="139">
      <c r="A139" s="13" t="n">
        <v>138</v>
      </c>
      <c r="B139" s="13" t="inlineStr">
        <is>
          <t>W0138</t>
        </is>
      </c>
      <c r="C139" s="13" t="inlineStr">
        <is>
          <t>구약</t>
        </is>
      </c>
      <c r="D139" s="13" t="n">
        <v>138</v>
      </c>
      <c r="E139" s="13">
        <f>C139&amp;"말씀 #"&amp;TEXT(D139,"000")</f>
        <v/>
      </c>
      <c r="F139" s="14" t="inlineStr">
        <is>
          <t>시편</t>
        </is>
      </c>
      <c r="G139" s="14" t="inlineStr">
        <is>
          <t>5:3</t>
        </is>
      </c>
      <c r="H139" s="15" t="inlineStr">
        <is>
          <t>(시 5:3, 개역한글)</t>
        </is>
      </c>
      <c r="I139" s="14" t="inlineStr">
        <is>
          <t>기도</t>
        </is>
      </c>
      <c r="J139" s="14" t="inlineStr">
        <is>
          <t>제단·십자가</t>
        </is>
      </c>
      <c r="K139" s="16" t="inlineStr">
        <is>
          <t>여호와여 아침에 주께서 나의 소리를 들으시리니 아침에 내가 주께 기도하고 바라리이다</t>
        </is>
      </c>
      <c r="L139" s="14" t="inlineStr">
        <is>
          <t>자동 입력</t>
        </is>
      </c>
      <c r="M139" s="14">
        <f>LEN(K139)</f>
        <v/>
      </c>
      <c r="N139" s="14">
        <f>IF(M139=0,"-",ROUND(3+M139/'안내'!$C$12,0))</f>
        <v/>
      </c>
      <c r="O139" s="15">
        <f>IF(K139="","(본문 입력 후 자동) | 시 5:3",IF(LEN(K139)&gt;28,LEFT(K139,28)&amp;"…",K139)&amp;" | 시 5:3")</f>
        <v/>
      </c>
      <c r="P139" s="15">
        <f>"#"&amp;SUBSTITUTE('안내'!$C$5," ","")&amp;" #성경구절 #말씀 #시편 #기도"</f>
        <v/>
      </c>
      <c r="Q139" s="15" t="inlineStr">
        <is>
          <t>성경 본문: 개역한글판</t>
        </is>
      </c>
      <c r="R139" s="17">
        <f>'안내'!$C$6+INT((D139-1)/'안내'!$C$7)</f>
        <v/>
      </c>
      <c r="S139" s="14">
        <f>IF(MOD(D139-1,'안내'!$C$7)=0,'안내'!$C$8,'안내'!$C$10)</f>
        <v/>
      </c>
      <c r="T139" s="14">
        <f>CHOOSE(WEEKDAY(R139,2),"월","화","수","목","금","토","일")</f>
        <v/>
      </c>
      <c r="U139" s="14" t="inlineStr">
        <is>
          <t>미착수</t>
        </is>
      </c>
      <c r="V139" s="14" t="inlineStr">
        <is>
          <t>미착수</t>
        </is>
      </c>
      <c r="W139" s="18" t="n"/>
      <c r="X139" s="18" t="n"/>
      <c r="Y139" s="15" t="n"/>
      <c r="Z139" s="15" t="inlineStr"/>
      <c r="AA139" s="15" t="inlineStr">
        <is>
          <t>Yahweh, in the morning you will hear my voice. In the morning I will lay my requests before you, and will watch expec- tantly.</t>
        </is>
      </c>
    </row>
    <row r="140">
      <c r="A140" s="13" t="n">
        <v>139</v>
      </c>
      <c r="B140" s="13" t="inlineStr">
        <is>
          <t>W0139</t>
        </is>
      </c>
      <c r="C140" s="13" t="inlineStr">
        <is>
          <t>구약</t>
        </is>
      </c>
      <c r="D140" s="13" t="n">
        <v>139</v>
      </c>
      <c r="E140" s="13">
        <f>C140&amp;"말씀 #"&amp;TEXT(D140,"000")</f>
        <v/>
      </c>
      <c r="F140" s="14" t="inlineStr">
        <is>
          <t>시편</t>
        </is>
      </c>
      <c r="G140" s="14" t="inlineStr">
        <is>
          <t>8:1</t>
        </is>
      </c>
      <c r="H140" s="15" t="inlineStr">
        <is>
          <t>(시 8:1, 개역한글)</t>
        </is>
      </c>
      <c r="I140" s="14" t="inlineStr">
        <is>
          <t>찬양</t>
        </is>
      </c>
      <c r="J140" s="14" t="inlineStr">
        <is>
          <t>하늘·별</t>
        </is>
      </c>
      <c r="K140" s="16" t="inlineStr">
        <is>
          <t>여호와 우리 주여 주의 이름이 온 땅에 어찌 그리 아름다운지요 주의 영광을 하늘 위에 두셨나이다</t>
        </is>
      </c>
      <c r="L140" s="14" t="inlineStr">
        <is>
          <t>자동 입력</t>
        </is>
      </c>
      <c r="M140" s="14">
        <f>LEN(K140)</f>
        <v/>
      </c>
      <c r="N140" s="14">
        <f>IF(M140=0,"-",ROUND(3+M140/'안내'!$C$12,0))</f>
        <v/>
      </c>
      <c r="O140" s="15">
        <f>IF(K140="","(본문 입력 후 자동) | 시 8:1",IF(LEN(K140)&gt;28,LEFT(K140,28)&amp;"…",K140)&amp;" | 시 8:1")</f>
        <v/>
      </c>
      <c r="P140" s="15">
        <f>"#"&amp;SUBSTITUTE('안내'!$C$5," ","")&amp;" #성경구절 #말씀 #시편 #찬양"</f>
        <v/>
      </c>
      <c r="Q140" s="15" t="inlineStr">
        <is>
          <t>성경 본문: 개역한글판</t>
        </is>
      </c>
      <c r="R140" s="17">
        <f>'안내'!$C$6+INT((D140-1)/'안내'!$C$7)</f>
        <v/>
      </c>
      <c r="S140" s="14">
        <f>IF(MOD(D140-1,'안내'!$C$7)=0,'안내'!$C$8,'안내'!$C$10)</f>
        <v/>
      </c>
      <c r="T140" s="14">
        <f>CHOOSE(WEEKDAY(R140,2),"월","화","수","목","금","토","일")</f>
        <v/>
      </c>
      <c r="U140" s="14" t="inlineStr">
        <is>
          <t>미착수</t>
        </is>
      </c>
      <c r="V140" s="14" t="inlineStr">
        <is>
          <t>미착수</t>
        </is>
      </c>
      <c r="W140" s="18" t="n"/>
      <c r="X140" s="18" t="n"/>
      <c r="Y140" s="15" t="n"/>
      <c r="Z140" s="15" t="inlineStr">
        <is>
          <t>시편 표제 생략</t>
        </is>
      </c>
      <c r="AA140" s="15" t="inlineStr">
        <is>
          <t>For the Chief Musician; on an instrument of Gath. A Psalm by David. Yahweh, our Lord, how majestic is your name in all the earth! You have set your glory above the heavens!</t>
        </is>
      </c>
    </row>
    <row r="141">
      <c r="A141" s="13" t="n">
        <v>140</v>
      </c>
      <c r="B141" s="13" t="inlineStr">
        <is>
          <t>W0140</t>
        </is>
      </c>
      <c r="C141" s="13" t="inlineStr">
        <is>
          <t>구약</t>
        </is>
      </c>
      <c r="D141" s="13" t="n">
        <v>140</v>
      </c>
      <c r="E141" s="13">
        <f>C141&amp;"말씀 #"&amp;TEXT(D141,"000")</f>
        <v/>
      </c>
      <c r="F141" s="14" t="inlineStr">
        <is>
          <t>시편</t>
        </is>
      </c>
      <c r="G141" s="14" t="inlineStr">
        <is>
          <t>8:4</t>
        </is>
      </c>
      <c r="H141" s="15" t="inlineStr">
        <is>
          <t>(시 8:4, 개역한글)</t>
        </is>
      </c>
      <c r="I141" s="14" t="inlineStr">
        <is>
          <t>창조</t>
        </is>
      </c>
      <c r="J141" s="14" t="inlineStr">
        <is>
          <t>하늘·별</t>
        </is>
      </c>
      <c r="K141" s="16" t="inlineStr">
        <is>
          <t>사람이 무엇이관대 주께서 저를 생각하시며 인자가 무엇이관대 주께서 저를 권고하시나이까</t>
        </is>
      </c>
      <c r="L141" s="14" t="inlineStr">
        <is>
          <t>자동 입력</t>
        </is>
      </c>
      <c r="M141" s="14">
        <f>LEN(K141)</f>
        <v/>
      </c>
      <c r="N141" s="14">
        <f>IF(M141=0,"-",ROUND(3+M141/'안내'!$C$12,0))</f>
        <v/>
      </c>
      <c r="O141" s="15">
        <f>IF(K141="","(본문 입력 후 자동) | 시 8:4",IF(LEN(K141)&gt;28,LEFT(K141,28)&amp;"…",K141)&amp;" | 시 8:4")</f>
        <v/>
      </c>
      <c r="P141" s="15">
        <f>"#"&amp;SUBSTITUTE('안내'!$C$5," ","")&amp;" #성경구절 #말씀 #시편 #창조"</f>
        <v/>
      </c>
      <c r="Q141" s="15" t="inlineStr">
        <is>
          <t>성경 본문: 개역한글판</t>
        </is>
      </c>
      <c r="R141" s="17">
        <f>'안내'!$C$6+INT((D141-1)/'안내'!$C$7)</f>
        <v/>
      </c>
      <c r="S141" s="14">
        <f>IF(MOD(D141-1,'안내'!$C$7)=0,'안내'!$C$8,'안내'!$C$10)</f>
        <v/>
      </c>
      <c r="T141" s="14">
        <f>CHOOSE(WEEKDAY(R141,2),"월","화","수","목","금","토","일")</f>
        <v/>
      </c>
      <c r="U141" s="14" t="inlineStr">
        <is>
          <t>미착수</t>
        </is>
      </c>
      <c r="V141" s="14" t="inlineStr">
        <is>
          <t>미착수</t>
        </is>
      </c>
      <c r="W141" s="18" t="n"/>
      <c r="X141" s="18" t="n"/>
      <c r="Y141" s="15" t="n"/>
      <c r="Z141" s="15" t="inlineStr"/>
      <c r="AA141" s="15" t="inlineStr">
        <is>
          <t>what is man, that you think of him? What is the son of man, that you care for him?</t>
        </is>
      </c>
    </row>
    <row r="142">
      <c r="A142" s="13" t="n">
        <v>141</v>
      </c>
      <c r="B142" s="13" t="inlineStr">
        <is>
          <t>W0141</t>
        </is>
      </c>
      <c r="C142" s="13" t="inlineStr">
        <is>
          <t>구약</t>
        </is>
      </c>
      <c r="D142" s="13" t="n">
        <v>141</v>
      </c>
      <c r="E142" s="13">
        <f>C142&amp;"말씀 #"&amp;TEXT(D142,"000")</f>
        <v/>
      </c>
      <c r="F142" s="14" t="inlineStr">
        <is>
          <t>시편</t>
        </is>
      </c>
      <c r="G142" s="14" t="inlineStr">
        <is>
          <t>9:1</t>
        </is>
      </c>
      <c r="H142" s="15" t="inlineStr">
        <is>
          <t>(시 9:1, 개역한글)</t>
        </is>
      </c>
      <c r="I142" s="14" t="inlineStr">
        <is>
          <t>감사</t>
        </is>
      </c>
      <c r="J142" s="14" t="inlineStr">
        <is>
          <t>들판·나무</t>
        </is>
      </c>
      <c r="K142" s="16" t="inlineStr">
        <is>
          <t>내가 전심으로 여호와께 감사하오며 주의 모든 기사를 전하리이다</t>
        </is>
      </c>
      <c r="L142" s="14" t="inlineStr">
        <is>
          <t>자동 입력</t>
        </is>
      </c>
      <c r="M142" s="14">
        <f>LEN(K142)</f>
        <v/>
      </c>
      <c r="N142" s="14">
        <f>IF(M142=0,"-",ROUND(3+M142/'안내'!$C$12,0))</f>
        <v/>
      </c>
      <c r="O142" s="15">
        <f>IF(K142="","(본문 입력 후 자동) | 시 9:1",IF(LEN(K142)&gt;28,LEFT(K142,28)&amp;"…",K142)&amp;" | 시 9:1")</f>
        <v/>
      </c>
      <c r="P142" s="15">
        <f>"#"&amp;SUBSTITUTE('안내'!$C$5," ","")&amp;" #성경구절 #말씀 #시편 #감사"</f>
        <v/>
      </c>
      <c r="Q142" s="15" t="inlineStr">
        <is>
          <t>성경 본문: 개역한글판</t>
        </is>
      </c>
      <c r="R142" s="17">
        <f>'안내'!$C$6+INT((D142-1)/'안내'!$C$7)</f>
        <v/>
      </c>
      <c r="S142" s="14">
        <f>IF(MOD(D142-1,'안내'!$C$7)=0,'안내'!$C$8,'안내'!$C$10)</f>
        <v/>
      </c>
      <c r="T142" s="14">
        <f>CHOOSE(WEEKDAY(R142,2),"월","화","수","목","금","토","일")</f>
        <v/>
      </c>
      <c r="U142" s="14" t="inlineStr">
        <is>
          <t>미착수</t>
        </is>
      </c>
      <c r="V142" s="14" t="inlineStr">
        <is>
          <t>미착수</t>
        </is>
      </c>
      <c r="W142" s="18" t="n"/>
      <c r="X142" s="18" t="n"/>
      <c r="Y142" s="15" t="n"/>
      <c r="Z142" s="15" t="inlineStr">
        <is>
          <t>시편 표제 생략</t>
        </is>
      </c>
      <c r="AA142" s="15" t="inlineStr">
        <is>
          <t>For the Chief Musician. Set to “The Death of the Son.” A Psalm by David. I will give thanks to Yahweh with my whole heart. I will tell of all your marvelous works.</t>
        </is>
      </c>
    </row>
    <row r="143">
      <c r="A143" s="13" t="n">
        <v>142</v>
      </c>
      <c r="B143" s="13" t="inlineStr">
        <is>
          <t>W0142</t>
        </is>
      </c>
      <c r="C143" s="13" t="inlineStr">
        <is>
          <t>구약</t>
        </is>
      </c>
      <c r="D143" s="13" t="n">
        <v>142</v>
      </c>
      <c r="E143" s="13">
        <f>C143&amp;"말씀 #"&amp;TEXT(D143,"000")</f>
        <v/>
      </c>
      <c r="F143" s="14" t="inlineStr">
        <is>
          <t>시편</t>
        </is>
      </c>
      <c r="G143" s="14" t="inlineStr">
        <is>
          <t>16:8</t>
        </is>
      </c>
      <c r="H143" s="15" t="inlineStr">
        <is>
          <t>(시 16:8, 개역한글)</t>
        </is>
      </c>
      <c r="I143" s="14" t="inlineStr">
        <is>
          <t>동행</t>
        </is>
      </c>
      <c r="J143" s="14" t="inlineStr">
        <is>
          <t>길·등불</t>
        </is>
      </c>
      <c r="K143" s="16" t="inlineStr">
        <is>
          <t>내가 여호와를 항상 내 앞에 모심이여 그가 내 우편에 계시므로 내가 요동치 아니하리로다</t>
        </is>
      </c>
      <c r="L143" s="14" t="inlineStr">
        <is>
          <t>자동 입력</t>
        </is>
      </c>
      <c r="M143" s="14">
        <f>LEN(K143)</f>
        <v/>
      </c>
      <c r="N143" s="14">
        <f>IF(M143=0,"-",ROUND(3+M143/'안내'!$C$12,0))</f>
        <v/>
      </c>
      <c r="O143" s="15">
        <f>IF(K143="","(본문 입력 후 자동) | 시 16:8",IF(LEN(K143)&gt;28,LEFT(K143,28)&amp;"…",K143)&amp;" | 시 16:8")</f>
        <v/>
      </c>
      <c r="P143" s="15">
        <f>"#"&amp;SUBSTITUTE('안내'!$C$5," ","")&amp;" #성경구절 #말씀 #시편 #동행"</f>
        <v/>
      </c>
      <c r="Q143" s="15" t="inlineStr">
        <is>
          <t>성경 본문: 개역한글판</t>
        </is>
      </c>
      <c r="R143" s="17">
        <f>'안내'!$C$6+INT((D143-1)/'안내'!$C$7)</f>
        <v/>
      </c>
      <c r="S143" s="14">
        <f>IF(MOD(D143-1,'안내'!$C$7)=0,'안내'!$C$8,'안내'!$C$10)</f>
        <v/>
      </c>
      <c r="T143" s="14">
        <f>CHOOSE(WEEKDAY(R143,2),"월","화","수","목","금","토","일")</f>
        <v/>
      </c>
      <c r="U143" s="14" t="inlineStr">
        <is>
          <t>미착수</t>
        </is>
      </c>
      <c r="V143" s="14" t="inlineStr">
        <is>
          <t>미착수</t>
        </is>
      </c>
      <c r="W143" s="18" t="n"/>
      <c r="X143" s="18" t="n"/>
      <c r="Y143" s="15" t="n"/>
      <c r="Z143" s="15" t="inlineStr"/>
      <c r="AA143" s="15" t="inlineStr">
        <is>
          <t>I have set Yahweh always before me. Because he is at my right hand, I shall not be moved.</t>
        </is>
      </c>
    </row>
    <row r="144">
      <c r="A144" s="13" t="n">
        <v>143</v>
      </c>
      <c r="B144" s="13" t="inlineStr">
        <is>
          <t>W0143</t>
        </is>
      </c>
      <c r="C144" s="13" t="inlineStr">
        <is>
          <t>구약</t>
        </is>
      </c>
      <c r="D144" s="13" t="n">
        <v>143</v>
      </c>
      <c r="E144" s="13">
        <f>C144&amp;"말씀 #"&amp;TEXT(D144,"000")</f>
        <v/>
      </c>
      <c r="F144" s="14" t="inlineStr">
        <is>
          <t>시편</t>
        </is>
      </c>
      <c r="G144" s="14" t="inlineStr">
        <is>
          <t>16:11</t>
        </is>
      </c>
      <c r="H144" s="15" t="inlineStr">
        <is>
          <t>(시 16:11, 개역한글)</t>
        </is>
      </c>
      <c r="I144" s="14" t="inlineStr">
        <is>
          <t>기쁨</t>
        </is>
      </c>
      <c r="J144" s="14" t="inlineStr">
        <is>
          <t>새벽빛</t>
        </is>
      </c>
      <c r="K144" s="16" t="inlineStr">
        <is>
          <t>주께서 생명의 길로 내게 보이시리니 주의 앞에는 기쁨이 충만하고 주의 우편에는 영원한 즐거움이 있나이다</t>
        </is>
      </c>
      <c r="L144" s="14" t="inlineStr">
        <is>
          <t>자동 입력</t>
        </is>
      </c>
      <c r="M144" s="14">
        <f>LEN(K144)</f>
        <v/>
      </c>
      <c r="N144" s="14">
        <f>IF(M144=0,"-",ROUND(3+M144/'안내'!$C$12,0))</f>
        <v/>
      </c>
      <c r="O144" s="15">
        <f>IF(K144="","(본문 입력 후 자동) | 시 16:11",IF(LEN(K144)&gt;28,LEFT(K144,28)&amp;"…",K144)&amp;" | 시 16:11")</f>
        <v/>
      </c>
      <c r="P144" s="15">
        <f>"#"&amp;SUBSTITUTE('안내'!$C$5," ","")&amp;" #성경구절 #말씀 #시편 #기쁨"</f>
        <v/>
      </c>
      <c r="Q144" s="15" t="inlineStr">
        <is>
          <t>성경 본문: 개역한글판</t>
        </is>
      </c>
      <c r="R144" s="17">
        <f>'안내'!$C$6+INT((D144-1)/'안내'!$C$7)</f>
        <v/>
      </c>
      <c r="S144" s="14">
        <f>IF(MOD(D144-1,'안내'!$C$7)=0,'안내'!$C$8,'안내'!$C$10)</f>
        <v/>
      </c>
      <c r="T144" s="14">
        <f>CHOOSE(WEEKDAY(R144,2),"월","화","수","목","금","토","일")</f>
        <v/>
      </c>
      <c r="U144" s="14" t="inlineStr">
        <is>
          <t>미착수</t>
        </is>
      </c>
      <c r="V144" s="14" t="inlineStr">
        <is>
          <t>미착수</t>
        </is>
      </c>
      <c r="W144" s="18" t="n"/>
      <c r="X144" s="18" t="n"/>
      <c r="Y144" s="15" t="n"/>
      <c r="Z144" s="15" t="inlineStr"/>
      <c r="AA144" s="15" t="inlineStr">
        <is>
          <t>You will show me the path of life. In your presence is fullness of joy. In your right hand there are pleasures forever more.</t>
        </is>
      </c>
    </row>
    <row r="145">
      <c r="A145" s="13" t="n">
        <v>144</v>
      </c>
      <c r="B145" s="13" t="inlineStr">
        <is>
          <t>W0144</t>
        </is>
      </c>
      <c r="C145" s="13" t="inlineStr">
        <is>
          <t>구약</t>
        </is>
      </c>
      <c r="D145" s="13" t="n">
        <v>144</v>
      </c>
      <c r="E145" s="13">
        <f>C145&amp;"말씀 #"&amp;TEXT(D145,"000")</f>
        <v/>
      </c>
      <c r="F145" s="14" t="inlineStr">
        <is>
          <t>시편</t>
        </is>
      </c>
      <c r="G145" s="14" t="inlineStr">
        <is>
          <t>18:1</t>
        </is>
      </c>
      <c r="H145" s="15" t="inlineStr">
        <is>
          <t>(시 18:1, 개역한글)</t>
        </is>
      </c>
      <c r="I145" s="14" t="inlineStr">
        <is>
          <t>사랑</t>
        </is>
      </c>
      <c r="J145" s="14" t="inlineStr">
        <is>
          <t>창가·식탁</t>
        </is>
      </c>
      <c r="K145" s="16" t="inlineStr">
        <is>
          <t>나의 힘이 되신 여호와여 내가 주를 사랑하나이다</t>
        </is>
      </c>
      <c r="L145" s="14" t="inlineStr">
        <is>
          <t>자동 입력</t>
        </is>
      </c>
      <c r="M145" s="14">
        <f>LEN(K145)</f>
        <v/>
      </c>
      <c r="N145" s="14">
        <f>IF(M145=0,"-",ROUND(3+M145/'안내'!$C$12,0))</f>
        <v/>
      </c>
      <c r="O145" s="15">
        <f>IF(K145="","(본문 입력 후 자동) | 시 18:1",IF(LEN(K145)&gt;28,LEFT(K145,28)&amp;"…",K145)&amp;" | 시 18:1")</f>
        <v/>
      </c>
      <c r="P145" s="15">
        <f>"#"&amp;SUBSTITUTE('안내'!$C$5," ","")&amp;" #성경구절 #말씀 #시편 #사랑"</f>
        <v/>
      </c>
      <c r="Q145" s="15" t="inlineStr">
        <is>
          <t>성경 본문: 개역한글판</t>
        </is>
      </c>
      <c r="R145" s="17">
        <f>'안내'!$C$6+INT((D145-1)/'안내'!$C$7)</f>
        <v/>
      </c>
      <c r="S145" s="14">
        <f>IF(MOD(D145-1,'안내'!$C$7)=0,'안내'!$C$8,'안내'!$C$10)</f>
        <v/>
      </c>
      <c r="T145" s="14">
        <f>CHOOSE(WEEKDAY(R145,2),"월","화","수","목","금","토","일")</f>
        <v/>
      </c>
      <c r="U145" s="14" t="inlineStr">
        <is>
          <t>미착수</t>
        </is>
      </c>
      <c r="V145" s="14" t="inlineStr">
        <is>
          <t>미착수</t>
        </is>
      </c>
      <c r="W145" s="18" t="n"/>
      <c r="X145" s="18" t="n"/>
      <c r="Y145" s="15" t="n"/>
      <c r="Z145" s="15" t="inlineStr">
        <is>
          <t>시편 표제 생략</t>
        </is>
      </c>
      <c r="AA145" s="15" t="inlineStr">
        <is>
          <t>For the Chief Musician. By David the ser- vant of Yahweh, who spoke to Yahweh the words of this song in the day that Yahweh delivered him from the hand of all his enemies, and from the hand of Saul. He said, I love you, Yahweh, my strength.</t>
        </is>
      </c>
    </row>
    <row r="146">
      <c r="A146" s="13" t="n">
        <v>145</v>
      </c>
      <c r="B146" s="13" t="inlineStr">
        <is>
          <t>W0145</t>
        </is>
      </c>
      <c r="C146" s="13" t="inlineStr">
        <is>
          <t>구약</t>
        </is>
      </c>
      <c r="D146" s="13" t="n">
        <v>145</v>
      </c>
      <c r="E146" s="13">
        <f>C146&amp;"말씀 #"&amp;TEXT(D146,"000")</f>
        <v/>
      </c>
      <c r="F146" s="14" t="inlineStr">
        <is>
          <t>시편</t>
        </is>
      </c>
      <c r="G146" s="14" t="inlineStr">
        <is>
          <t>18:2</t>
        </is>
      </c>
      <c r="H146" s="15" t="inlineStr">
        <is>
          <t>(시 18:2, 개역한글)</t>
        </is>
      </c>
      <c r="I146" s="14" t="inlineStr">
        <is>
          <t>피난처</t>
        </is>
      </c>
      <c r="J146" s="14" t="inlineStr">
        <is>
          <t>바위산·광야</t>
        </is>
      </c>
      <c r="K146" s="16" t="inlineStr">
        <is>
          <t>여호와는 나의 반석이시요 나의 요새시요 나를 건지시는 자시요 나의 하나님이시요 나의 피할 바위시요 나의 방패시요 나의 구원의 뿔이시요 나의 산성이시로다</t>
        </is>
      </c>
      <c r="L146" s="14" t="inlineStr">
        <is>
          <t>자동 입력</t>
        </is>
      </c>
      <c r="M146" s="14">
        <f>LEN(K146)</f>
        <v/>
      </c>
      <c r="N146" s="14">
        <f>IF(M146=0,"-",ROUND(3+M146/'안내'!$C$12,0))</f>
        <v/>
      </c>
      <c r="O146" s="15">
        <f>IF(K146="","(본문 입력 후 자동) | 시 18:2",IF(LEN(K146)&gt;28,LEFT(K146,28)&amp;"…",K146)&amp;" | 시 18:2")</f>
        <v/>
      </c>
      <c r="P146" s="15">
        <f>"#"&amp;SUBSTITUTE('안내'!$C$5," ","")&amp;" #성경구절 #말씀 #시편 #피난처"</f>
        <v/>
      </c>
      <c r="Q146" s="15" t="inlineStr">
        <is>
          <t>성경 본문: 개역한글판</t>
        </is>
      </c>
      <c r="R146" s="17">
        <f>'안내'!$C$6+INT((D146-1)/'안내'!$C$7)</f>
        <v/>
      </c>
      <c r="S146" s="14">
        <f>IF(MOD(D146-1,'안내'!$C$7)=0,'안내'!$C$8,'안내'!$C$10)</f>
        <v/>
      </c>
      <c r="T146" s="14">
        <f>CHOOSE(WEEKDAY(R146,2),"월","화","수","목","금","토","일")</f>
        <v/>
      </c>
      <c r="U146" s="14" t="inlineStr">
        <is>
          <t>미착수</t>
        </is>
      </c>
      <c r="V146" s="14" t="inlineStr">
        <is>
          <t>미착수</t>
        </is>
      </c>
      <c r="W146" s="18" t="n"/>
      <c r="X146" s="18" t="n"/>
      <c r="Y146" s="15" t="n"/>
      <c r="Z146" s="15" t="inlineStr"/>
      <c r="AA146" s="15" t="inlineStr">
        <is>
          <t>Yahweh is my rock, my fortress, and my deliverer; my God, my rock, in whom I take refuge; my shield, and the horn of my salva- tion, my high tower.</t>
        </is>
      </c>
    </row>
    <row r="147">
      <c r="A147" s="13" t="n">
        <v>146</v>
      </c>
      <c r="B147" s="13" t="inlineStr">
        <is>
          <t>W0146</t>
        </is>
      </c>
      <c r="C147" s="13" t="inlineStr">
        <is>
          <t>구약</t>
        </is>
      </c>
      <c r="D147" s="13" t="n">
        <v>146</v>
      </c>
      <c r="E147" s="13">
        <f>C147&amp;"말씀 #"&amp;TEXT(D147,"000")</f>
        <v/>
      </c>
      <c r="F147" s="14" t="inlineStr">
        <is>
          <t>시편</t>
        </is>
      </c>
      <c r="G147" s="14" t="inlineStr">
        <is>
          <t>19:1</t>
        </is>
      </c>
      <c r="H147" s="15" t="inlineStr">
        <is>
          <t>(시 19:1, 개역한글)</t>
        </is>
      </c>
      <c r="I147" s="14" t="inlineStr">
        <is>
          <t>창조</t>
        </is>
      </c>
      <c r="J147" s="14" t="inlineStr">
        <is>
          <t>하늘·별</t>
        </is>
      </c>
      <c r="K147" s="16" t="inlineStr">
        <is>
          <t>하늘이 하나님의 영광을 선포하고 궁창이 그 손으로 하신 일을 나타내는도다</t>
        </is>
      </c>
      <c r="L147" s="14" t="inlineStr">
        <is>
          <t>자동 입력</t>
        </is>
      </c>
      <c r="M147" s="14">
        <f>LEN(K147)</f>
        <v/>
      </c>
      <c r="N147" s="14">
        <f>IF(M147=0,"-",ROUND(3+M147/'안내'!$C$12,0))</f>
        <v/>
      </c>
      <c r="O147" s="15">
        <f>IF(K147="","(본문 입력 후 자동) | 시 19:1",IF(LEN(K147)&gt;28,LEFT(K147,28)&amp;"…",K147)&amp;" | 시 19:1")</f>
        <v/>
      </c>
      <c r="P147" s="15">
        <f>"#"&amp;SUBSTITUTE('안내'!$C$5," ","")&amp;" #성경구절 #말씀 #시편 #창조"</f>
        <v/>
      </c>
      <c r="Q147" s="15" t="inlineStr">
        <is>
          <t>성경 본문: 개역한글판</t>
        </is>
      </c>
      <c r="R147" s="17">
        <f>'안내'!$C$6+INT((D147-1)/'안내'!$C$7)</f>
        <v/>
      </c>
      <c r="S147" s="14">
        <f>IF(MOD(D147-1,'안내'!$C$7)=0,'안내'!$C$8,'안내'!$C$10)</f>
        <v/>
      </c>
      <c r="T147" s="14">
        <f>CHOOSE(WEEKDAY(R147,2),"월","화","수","목","금","토","일")</f>
        <v/>
      </c>
      <c r="U147" s="14" t="inlineStr">
        <is>
          <t>미착수</t>
        </is>
      </c>
      <c r="V147" s="14" t="inlineStr">
        <is>
          <t>미착수</t>
        </is>
      </c>
      <c r="W147" s="18" t="n"/>
      <c r="X147" s="18" t="n"/>
      <c r="Y147" s="15" t="n"/>
      <c r="Z147" s="15" t="inlineStr">
        <is>
          <t>시편 표제 생략</t>
        </is>
      </c>
      <c r="AA147" s="15" t="inlineStr">
        <is>
          <t>For the Chief Musician. A Psalm by David. The heavens declare the glory of God. The expanse shows his handiwork.</t>
        </is>
      </c>
    </row>
    <row r="148">
      <c r="A148" s="13" t="n">
        <v>147</v>
      </c>
      <c r="B148" s="13" t="inlineStr">
        <is>
          <t>W0147</t>
        </is>
      </c>
      <c r="C148" s="13" t="inlineStr">
        <is>
          <t>구약</t>
        </is>
      </c>
      <c r="D148" s="13" t="n">
        <v>147</v>
      </c>
      <c r="E148" s="13">
        <f>C148&amp;"말씀 #"&amp;TEXT(D148,"000")</f>
        <v/>
      </c>
      <c r="F148" s="14" t="inlineStr">
        <is>
          <t>시편</t>
        </is>
      </c>
      <c r="G148" s="14" t="inlineStr">
        <is>
          <t>19:14</t>
        </is>
      </c>
      <c r="H148" s="15" t="inlineStr">
        <is>
          <t>(시 19:14, 개역한글)</t>
        </is>
      </c>
      <c r="I148" s="14" t="inlineStr">
        <is>
          <t>기도</t>
        </is>
      </c>
      <c r="J148" s="14" t="inlineStr">
        <is>
          <t>제단·십자가</t>
        </is>
      </c>
      <c r="K148" s="16" t="inlineStr">
        <is>
          <t>나의 반석이시요 나의 구속자이신 여호와여 내 입의 말과 마음의 묵상이 주의 앞에 열납되기를 원하나이다</t>
        </is>
      </c>
      <c r="L148" s="14" t="inlineStr">
        <is>
          <t>자동 입력</t>
        </is>
      </c>
      <c r="M148" s="14">
        <f>LEN(K148)</f>
        <v/>
      </c>
      <c r="N148" s="14">
        <f>IF(M148=0,"-",ROUND(3+M148/'안내'!$C$12,0))</f>
        <v/>
      </c>
      <c r="O148" s="15">
        <f>IF(K148="","(본문 입력 후 자동) | 시 19:14",IF(LEN(K148)&gt;28,LEFT(K148,28)&amp;"…",K148)&amp;" | 시 19:14")</f>
        <v/>
      </c>
      <c r="P148" s="15">
        <f>"#"&amp;SUBSTITUTE('안내'!$C$5," ","")&amp;" #성경구절 #말씀 #시편 #기도"</f>
        <v/>
      </c>
      <c r="Q148" s="15" t="inlineStr">
        <is>
          <t>성경 본문: 개역한글판</t>
        </is>
      </c>
      <c r="R148" s="17">
        <f>'안내'!$C$6+INT((D148-1)/'안내'!$C$7)</f>
        <v/>
      </c>
      <c r="S148" s="14">
        <f>IF(MOD(D148-1,'안내'!$C$7)=0,'안내'!$C$8,'안내'!$C$10)</f>
        <v/>
      </c>
      <c r="T148" s="14">
        <f>CHOOSE(WEEKDAY(R148,2),"월","화","수","목","금","토","일")</f>
        <v/>
      </c>
      <c r="U148" s="14" t="inlineStr">
        <is>
          <t>미착수</t>
        </is>
      </c>
      <c r="V148" s="14" t="inlineStr">
        <is>
          <t>미착수</t>
        </is>
      </c>
      <c r="W148" s="18" t="n"/>
      <c r="X148" s="18" t="n"/>
      <c r="Y148" s="15" t="n"/>
      <c r="Z148" s="15" t="inlineStr"/>
      <c r="AA148" s="15" t="inlineStr">
        <is>
          <t>Let the words of my mouth and the meditation of my heart be acceptable in your sight, Yahweh, my rock, and my redeemer.</t>
        </is>
      </c>
    </row>
    <row r="149">
      <c r="A149" s="13" t="n">
        <v>148</v>
      </c>
      <c r="B149" s="13" t="inlineStr">
        <is>
          <t>W0148</t>
        </is>
      </c>
      <c r="C149" s="13" t="inlineStr">
        <is>
          <t>구약</t>
        </is>
      </c>
      <c r="D149" s="13" t="n">
        <v>148</v>
      </c>
      <c r="E149" s="13">
        <f>C149&amp;"말씀 #"&amp;TEXT(D149,"000")</f>
        <v/>
      </c>
      <c r="F149" s="14" t="inlineStr">
        <is>
          <t>시편</t>
        </is>
      </c>
      <c r="G149" s="14" t="inlineStr">
        <is>
          <t>23:1</t>
        </is>
      </c>
      <c r="H149" s="15" t="inlineStr">
        <is>
          <t>(시 23:1, 개역한글)</t>
        </is>
      </c>
      <c r="I149" s="14" t="inlineStr">
        <is>
          <t>인도</t>
        </is>
      </c>
      <c r="J149" s="14" t="inlineStr">
        <is>
          <t>길·등불</t>
        </is>
      </c>
      <c r="K149" s="16" t="inlineStr">
        <is>
          <t>여호와는 나의 목자시니 내가 부족함이 없으리로다</t>
        </is>
      </c>
      <c r="L149" s="14" t="inlineStr">
        <is>
          <t>자동 입력</t>
        </is>
      </c>
      <c r="M149" s="14">
        <f>LEN(K149)</f>
        <v/>
      </c>
      <c r="N149" s="14">
        <f>IF(M149=0,"-",ROUND(3+M149/'안내'!$C$12,0))</f>
        <v/>
      </c>
      <c r="O149" s="15">
        <f>IF(K149="","(본문 입력 후 자동) | 시 23:1",IF(LEN(K149)&gt;28,LEFT(K149,28)&amp;"…",K149)&amp;" | 시 23:1")</f>
        <v/>
      </c>
      <c r="P149" s="15">
        <f>"#"&amp;SUBSTITUTE('안내'!$C$5," ","")&amp;" #성경구절 #말씀 #시편 #인도"</f>
        <v/>
      </c>
      <c r="Q149" s="15" t="inlineStr">
        <is>
          <t>성경 본문: 개역한글판</t>
        </is>
      </c>
      <c r="R149" s="17">
        <f>'안내'!$C$6+INT((D149-1)/'안내'!$C$7)</f>
        <v/>
      </c>
      <c r="S149" s="14">
        <f>IF(MOD(D149-1,'안내'!$C$7)=0,'안내'!$C$8,'안내'!$C$10)</f>
        <v/>
      </c>
      <c r="T149" s="14">
        <f>CHOOSE(WEEKDAY(R149,2),"월","화","수","목","금","토","일")</f>
        <v/>
      </c>
      <c r="U149" s="14" t="inlineStr">
        <is>
          <t>미착수</t>
        </is>
      </c>
      <c r="V149" s="14" t="inlineStr">
        <is>
          <t>미착수</t>
        </is>
      </c>
      <c r="W149" s="18" t="n"/>
      <c r="X149" s="18" t="n"/>
      <c r="Y149" s="15" t="n"/>
      <c r="Z149" s="15" t="inlineStr">
        <is>
          <t>시편 표제 생략</t>
        </is>
      </c>
      <c r="AA149" s="15" t="inlineStr">
        <is>
          <t>A Psalm by David. Yahweh is my shepherd; I shall lack nothing.</t>
        </is>
      </c>
    </row>
    <row r="150">
      <c r="A150" s="13" t="n">
        <v>149</v>
      </c>
      <c r="B150" s="13" t="inlineStr">
        <is>
          <t>W0149</t>
        </is>
      </c>
      <c r="C150" s="13" t="inlineStr">
        <is>
          <t>구약</t>
        </is>
      </c>
      <c r="D150" s="13" t="n">
        <v>149</v>
      </c>
      <c r="E150" s="13">
        <f>C150&amp;"말씀 #"&amp;TEXT(D150,"000")</f>
        <v/>
      </c>
      <c r="F150" s="14" t="inlineStr">
        <is>
          <t>시편</t>
        </is>
      </c>
      <c r="G150" s="14" t="inlineStr">
        <is>
          <t>23:4</t>
        </is>
      </c>
      <c r="H150" s="15" t="inlineStr">
        <is>
          <t>(시 23:4, 개역한글)</t>
        </is>
      </c>
      <c r="I150" s="14" t="inlineStr">
        <is>
          <t>위로</t>
        </is>
      </c>
      <c r="J150" s="14" t="inlineStr">
        <is>
          <t>잔잔한 물</t>
        </is>
      </c>
      <c r="K150" s="16" t="inlineStr">
        <is>
          <t>내가 사망의 음침한 골짜기로 다닐지라도 해를 두려워하지 않을 것은 주께서 나와 함께 하심이라 주의 지팡이와 막대기가 나를 안위하시나이다</t>
        </is>
      </c>
      <c r="L150" s="14" t="inlineStr">
        <is>
          <t>자동 입력</t>
        </is>
      </c>
      <c r="M150" s="14">
        <f>LEN(K150)</f>
        <v/>
      </c>
      <c r="N150" s="14">
        <f>IF(M150=0,"-",ROUND(3+M150/'안내'!$C$12,0))</f>
        <v/>
      </c>
      <c r="O150" s="15">
        <f>IF(K150="","(본문 입력 후 자동) | 시 23:4",IF(LEN(K150)&gt;28,LEFT(K150,28)&amp;"…",K150)&amp;" | 시 23:4")</f>
        <v/>
      </c>
      <c r="P150" s="15">
        <f>"#"&amp;SUBSTITUTE('안내'!$C$5," ","")&amp;" #성경구절 #말씀 #시편 #위로"</f>
        <v/>
      </c>
      <c r="Q150" s="15" t="inlineStr">
        <is>
          <t>성경 본문: 개역한글판</t>
        </is>
      </c>
      <c r="R150" s="17">
        <f>'안내'!$C$6+INT((D150-1)/'안내'!$C$7)</f>
        <v/>
      </c>
      <c r="S150" s="14">
        <f>IF(MOD(D150-1,'안내'!$C$7)=0,'안내'!$C$8,'안내'!$C$10)</f>
        <v/>
      </c>
      <c r="T150" s="14">
        <f>CHOOSE(WEEKDAY(R150,2),"월","화","수","목","금","토","일")</f>
        <v/>
      </c>
      <c r="U150" s="14" t="inlineStr">
        <is>
          <t>미착수</t>
        </is>
      </c>
      <c r="V150" s="14" t="inlineStr">
        <is>
          <t>미착수</t>
        </is>
      </c>
      <c r="W150" s="18" t="n"/>
      <c r="X150" s="18" t="n"/>
      <c r="Y150" s="15" t="n"/>
      <c r="Z150" s="15" t="inlineStr"/>
      <c r="AA150" s="15" t="inlineStr">
        <is>
          <t>Even though I walk through the valley of the shadow of death, I will fear no evil, for you are with me. Your rod and your staff, they comfort me.</t>
        </is>
      </c>
    </row>
    <row r="151">
      <c r="A151" s="13" t="n">
        <v>150</v>
      </c>
      <c r="B151" s="13" t="inlineStr">
        <is>
          <t>W0150</t>
        </is>
      </c>
      <c r="C151" s="13" t="inlineStr">
        <is>
          <t>구약</t>
        </is>
      </c>
      <c r="D151" s="13" t="n">
        <v>150</v>
      </c>
      <c r="E151" s="13">
        <f>C151&amp;"말씀 #"&amp;TEXT(D151,"000")</f>
        <v/>
      </c>
      <c r="F151" s="14" t="inlineStr">
        <is>
          <t>시편</t>
        </is>
      </c>
      <c r="G151" s="14" t="inlineStr">
        <is>
          <t>23:6</t>
        </is>
      </c>
      <c r="H151" s="15" t="inlineStr">
        <is>
          <t>(시 23:6, 개역한글)</t>
        </is>
      </c>
      <c r="I151" s="14" t="inlineStr">
        <is>
          <t>은혜</t>
        </is>
      </c>
      <c r="J151" s="14" t="inlineStr">
        <is>
          <t>잔잔한 물</t>
        </is>
      </c>
      <c r="K151" s="16" t="inlineStr">
        <is>
          <t>나의 평생에 선하심과 인자하심이 정녕 나를 따르리니 내가 여호와의 집에 영원히 거하리로다</t>
        </is>
      </c>
      <c r="L151" s="14" t="inlineStr">
        <is>
          <t>자동 입력</t>
        </is>
      </c>
      <c r="M151" s="14">
        <f>LEN(K151)</f>
        <v/>
      </c>
      <c r="N151" s="14">
        <f>IF(M151=0,"-",ROUND(3+M151/'안내'!$C$12,0))</f>
        <v/>
      </c>
      <c r="O151" s="15">
        <f>IF(K151="","(본문 입력 후 자동) | 시 23:6",IF(LEN(K151)&gt;28,LEFT(K151,28)&amp;"…",K151)&amp;" | 시 23:6")</f>
        <v/>
      </c>
      <c r="P151" s="15">
        <f>"#"&amp;SUBSTITUTE('안내'!$C$5," ","")&amp;" #성경구절 #말씀 #시편 #은혜"</f>
        <v/>
      </c>
      <c r="Q151" s="15" t="inlineStr">
        <is>
          <t>성경 본문: 개역한글판</t>
        </is>
      </c>
      <c r="R151" s="17">
        <f>'안내'!$C$6+INT((D151-1)/'안내'!$C$7)</f>
        <v/>
      </c>
      <c r="S151" s="14">
        <f>IF(MOD(D151-1,'안내'!$C$7)=0,'안내'!$C$8,'안내'!$C$10)</f>
        <v/>
      </c>
      <c r="T151" s="14">
        <f>CHOOSE(WEEKDAY(R151,2),"월","화","수","목","금","토","일")</f>
        <v/>
      </c>
      <c r="U151" s="14" t="inlineStr">
        <is>
          <t>미착수</t>
        </is>
      </c>
      <c r="V151" s="14" t="inlineStr">
        <is>
          <t>미착수</t>
        </is>
      </c>
      <c r="W151" s="18" t="n"/>
      <c r="X151" s="18" t="n"/>
      <c r="Y151" s="15" t="n"/>
      <c r="Z151" s="15" t="inlineStr"/>
      <c r="AA151" s="15" t="inlineStr">
        <is>
          <t>Surely goodness and loving kindness shall follow me all the days of my life, and I will dwell in Yahweh’s house forever.</t>
        </is>
      </c>
    </row>
    <row r="152">
      <c r="A152" s="13" t="n">
        <v>151</v>
      </c>
      <c r="B152" s="13" t="inlineStr">
        <is>
          <t>W0151</t>
        </is>
      </c>
      <c r="C152" s="13" t="inlineStr">
        <is>
          <t>구약</t>
        </is>
      </c>
      <c r="D152" s="13" t="n">
        <v>151</v>
      </c>
      <c r="E152" s="13">
        <f>C152&amp;"말씀 #"&amp;TEXT(D152,"000")</f>
        <v/>
      </c>
      <c r="F152" s="14" t="inlineStr">
        <is>
          <t>시편</t>
        </is>
      </c>
      <c r="G152" s="14" t="inlineStr">
        <is>
          <t>25:4</t>
        </is>
      </c>
      <c r="H152" s="15" t="inlineStr">
        <is>
          <t>(시 25:4, 개역한글)</t>
        </is>
      </c>
      <c r="I152" s="14" t="inlineStr">
        <is>
          <t>인도</t>
        </is>
      </c>
      <c r="J152" s="14" t="inlineStr">
        <is>
          <t>길·등불</t>
        </is>
      </c>
      <c r="K152" s="16" t="inlineStr">
        <is>
          <t>여호와여 주의 도를 내게 보이시고 주의 길을 내게 가르치소서</t>
        </is>
      </c>
      <c r="L152" s="14" t="inlineStr">
        <is>
          <t>자동 입력</t>
        </is>
      </c>
      <c r="M152" s="14">
        <f>LEN(K152)</f>
        <v/>
      </c>
      <c r="N152" s="14">
        <f>IF(M152=0,"-",ROUND(3+M152/'안내'!$C$12,0))</f>
        <v/>
      </c>
      <c r="O152" s="15">
        <f>IF(K152="","(본문 입력 후 자동) | 시 25:4",IF(LEN(K152)&gt;28,LEFT(K152,28)&amp;"…",K152)&amp;" | 시 25:4")</f>
        <v/>
      </c>
      <c r="P152" s="15">
        <f>"#"&amp;SUBSTITUTE('안내'!$C$5," ","")&amp;" #성경구절 #말씀 #시편 #인도"</f>
        <v/>
      </c>
      <c r="Q152" s="15" t="inlineStr">
        <is>
          <t>성경 본문: 개역한글판</t>
        </is>
      </c>
      <c r="R152" s="17">
        <f>'안내'!$C$6+INT((D152-1)/'안내'!$C$7)</f>
        <v/>
      </c>
      <c r="S152" s="14">
        <f>IF(MOD(D152-1,'안내'!$C$7)=0,'안내'!$C$8,'안내'!$C$10)</f>
        <v/>
      </c>
      <c r="T152" s="14">
        <f>CHOOSE(WEEKDAY(R152,2),"월","화","수","목","금","토","일")</f>
        <v/>
      </c>
      <c r="U152" s="14" t="inlineStr">
        <is>
          <t>미착수</t>
        </is>
      </c>
      <c r="V152" s="14" t="inlineStr">
        <is>
          <t>미착수</t>
        </is>
      </c>
      <c r="W152" s="18" t="n"/>
      <c r="X152" s="18" t="n"/>
      <c r="Y152" s="15" t="n"/>
      <c r="Z152" s="15" t="inlineStr"/>
      <c r="AA152" s="15" t="inlineStr">
        <is>
          <t>Show me your ways, Yahweh. Teach me your paths.</t>
        </is>
      </c>
    </row>
    <row r="153">
      <c r="A153" s="13" t="n">
        <v>152</v>
      </c>
      <c r="B153" s="13" t="inlineStr">
        <is>
          <t>W0152</t>
        </is>
      </c>
      <c r="C153" s="13" t="inlineStr">
        <is>
          <t>구약</t>
        </is>
      </c>
      <c r="D153" s="13" t="n">
        <v>152</v>
      </c>
      <c r="E153" s="13">
        <f>C153&amp;"말씀 #"&amp;TEXT(D153,"000")</f>
        <v/>
      </c>
      <c r="F153" s="14" t="inlineStr">
        <is>
          <t>시편</t>
        </is>
      </c>
      <c r="G153" s="14" t="inlineStr">
        <is>
          <t>27:1</t>
        </is>
      </c>
      <c r="H153" s="15" t="inlineStr">
        <is>
          <t>(시 27:1, 개역한글)</t>
        </is>
      </c>
      <c r="I153" s="14" t="inlineStr">
        <is>
          <t>담대함</t>
        </is>
      </c>
      <c r="J153" s="14" t="inlineStr">
        <is>
          <t>바위산·광야</t>
        </is>
      </c>
      <c r="K153" s="16" t="inlineStr">
        <is>
          <t>여호와는 나의 빛이요 나의 구원이시니 내가 누구를 두려워하리요 여호와는 내 생명의 능력이시니 내가 누구를 무서워하리요</t>
        </is>
      </c>
      <c r="L153" s="14" t="inlineStr">
        <is>
          <t>자동 입력 · 대조 필요</t>
        </is>
      </c>
      <c r="M153" s="14">
        <f>LEN(K153)</f>
        <v/>
      </c>
      <c r="N153" s="14">
        <f>IF(M153=0,"-",ROUND(3+M153/'안내'!$C$12,0))</f>
        <v/>
      </c>
      <c r="O153" s="15">
        <f>IF(K153="","(본문 입력 후 자동) | 시 27:1",IF(LEN(K153)&gt;28,LEFT(K153,28)&amp;"…",K153)&amp;" | 시 27:1")</f>
        <v/>
      </c>
      <c r="P153" s="15">
        <f>"#"&amp;SUBSTITUTE('안내'!$C$5," ","")&amp;" #성경구절 #말씀 #시편 #담대함"</f>
        <v/>
      </c>
      <c r="Q153" s="15" t="inlineStr">
        <is>
          <t>성경 본문: 개역한글판</t>
        </is>
      </c>
      <c r="R153" s="17">
        <f>'안내'!$C$6+INT((D153-1)/'안내'!$C$7)</f>
        <v/>
      </c>
      <c r="S153" s="14">
        <f>IF(MOD(D153-1,'안내'!$C$7)=0,'안내'!$C$8,'안내'!$C$10)</f>
        <v/>
      </c>
      <c r="T153" s="14">
        <f>CHOOSE(WEEKDAY(R153,2),"월","화","수","목","금","토","일")</f>
        <v/>
      </c>
      <c r="U153" s="14" t="inlineStr">
        <is>
          <t>미착수</t>
        </is>
      </c>
      <c r="V153" s="14" t="inlineStr">
        <is>
          <t>미착수</t>
        </is>
      </c>
      <c r="W153" s="18" t="n"/>
      <c r="X153" s="18" t="n"/>
      <c r="Y153" s="15" t="n"/>
      <c r="Z153" s="15" t="inlineStr">
        <is>
          <t>시편 표제 생략, 줄바꿈 띄어쓰기 확인</t>
        </is>
      </c>
      <c r="AA153" s="15" t="inlineStr">
        <is>
          <t>By David. Yahweh is my light and my salvation. Whom shall I fear? Yahweh is the strength of my life. Of whom shall I be afraid?</t>
        </is>
      </c>
    </row>
    <row r="154">
      <c r="A154" s="13" t="n">
        <v>153</v>
      </c>
      <c r="B154" s="13" t="inlineStr">
        <is>
          <t>W0153</t>
        </is>
      </c>
      <c r="C154" s="13" t="inlineStr">
        <is>
          <t>구약</t>
        </is>
      </c>
      <c r="D154" s="13" t="n">
        <v>153</v>
      </c>
      <c r="E154" s="13">
        <f>C154&amp;"말씀 #"&amp;TEXT(D154,"000")</f>
        <v/>
      </c>
      <c r="F154" s="14" t="inlineStr">
        <is>
          <t>시편</t>
        </is>
      </c>
      <c r="G154" s="14" t="inlineStr">
        <is>
          <t>27:4</t>
        </is>
      </c>
      <c r="H154" s="15" t="inlineStr">
        <is>
          <t>(시 27:4, 개역한글)</t>
        </is>
      </c>
      <c r="I154" s="14" t="inlineStr">
        <is>
          <t>예배</t>
        </is>
      </c>
      <c r="J154" s="14" t="inlineStr">
        <is>
          <t>하늘·별</t>
        </is>
      </c>
      <c r="K154" s="16" t="inlineStr">
        <is>
          <t>내가 여호와께 청하였던 한 가지 일 곧 그것을 구하리니 곧 나로 내 생전에 여호와의 집에 거하여 여호와의 아름다움을 앙망하며 그 전에서 사모하게 하실 것이라</t>
        </is>
      </c>
      <c r="L154" s="14" t="inlineStr">
        <is>
          <t>자동 입력 · 대조 필요</t>
        </is>
      </c>
      <c r="M154" s="14">
        <f>LEN(K154)</f>
        <v/>
      </c>
      <c r="N154" s="14">
        <f>IF(M154=0,"-",ROUND(3+M154/'안내'!$C$12,0))</f>
        <v/>
      </c>
      <c r="O154" s="15">
        <f>IF(K154="","(본문 입력 후 자동) | 시 27:4",IF(LEN(K154)&gt;28,LEFT(K154,28)&amp;"…",K154)&amp;" | 시 27:4")</f>
        <v/>
      </c>
      <c r="P154" s="15">
        <f>"#"&amp;SUBSTITUTE('안내'!$C$5," ","")&amp;" #성경구절 #말씀 #시편 #예배"</f>
        <v/>
      </c>
      <c r="Q154" s="15" t="inlineStr">
        <is>
          <t>성경 본문: 개역한글판</t>
        </is>
      </c>
      <c r="R154" s="17">
        <f>'안내'!$C$6+INT((D154-1)/'안내'!$C$7)</f>
        <v/>
      </c>
      <c r="S154" s="14">
        <f>IF(MOD(D154-1,'안내'!$C$7)=0,'안내'!$C$8,'안내'!$C$10)</f>
        <v/>
      </c>
      <c r="T154" s="14">
        <f>CHOOSE(WEEKDAY(R154,2),"월","화","수","목","금","토","일")</f>
        <v/>
      </c>
      <c r="U154" s="14" t="inlineStr">
        <is>
          <t>미착수</t>
        </is>
      </c>
      <c r="V154" s="14" t="inlineStr">
        <is>
          <t>미착수</t>
        </is>
      </c>
      <c r="W154" s="18" t="n"/>
      <c r="X154" s="18" t="n"/>
      <c r="Y154" s="15" t="n"/>
      <c r="Z154" s="15" t="inlineStr">
        <is>
          <t>줄바꿈 띄어쓰기 확인</t>
        </is>
      </c>
      <c r="AA154" s="15" t="inlineStr">
        <is>
          <t>One thing I have asked of Yahweh, that I will seek after: that I may dwell in Yahweh’s house all the days of my life, to see Yahweh’s beauty, and to inquire in his temple.</t>
        </is>
      </c>
    </row>
    <row r="155">
      <c r="A155" s="13" t="n">
        <v>154</v>
      </c>
      <c r="B155" s="13" t="inlineStr">
        <is>
          <t>W0154</t>
        </is>
      </c>
      <c r="C155" s="13" t="inlineStr">
        <is>
          <t>구약</t>
        </is>
      </c>
      <c r="D155" s="13" t="n">
        <v>154</v>
      </c>
      <c r="E155" s="13">
        <f>C155&amp;"말씀 #"&amp;TEXT(D155,"000")</f>
        <v/>
      </c>
      <c r="F155" s="14" t="inlineStr">
        <is>
          <t>시편</t>
        </is>
      </c>
      <c r="G155" s="14" t="inlineStr">
        <is>
          <t>27:14</t>
        </is>
      </c>
      <c r="H155" s="15" t="inlineStr">
        <is>
          <t>(시 27:14, 개역한글)</t>
        </is>
      </c>
      <c r="I155" s="14" t="inlineStr">
        <is>
          <t>소망</t>
        </is>
      </c>
      <c r="J155" s="14" t="inlineStr">
        <is>
          <t>새벽빛</t>
        </is>
      </c>
      <c r="K155" s="16" t="inlineStr">
        <is>
          <t>너는 여호와를 바랄지어다 강하고 담대하며 여호와를 바랄지어다</t>
        </is>
      </c>
      <c r="L155" s="14" t="inlineStr">
        <is>
          <t>자동 입력</t>
        </is>
      </c>
      <c r="M155" s="14">
        <f>LEN(K155)</f>
        <v/>
      </c>
      <c r="N155" s="14">
        <f>IF(M155=0,"-",ROUND(3+M155/'안내'!$C$12,0))</f>
        <v/>
      </c>
      <c r="O155" s="15">
        <f>IF(K155="","(본문 입력 후 자동) | 시 27:14",IF(LEN(K155)&gt;28,LEFT(K155,28)&amp;"…",K155)&amp;" | 시 27:14")</f>
        <v/>
      </c>
      <c r="P155" s="15">
        <f>"#"&amp;SUBSTITUTE('안내'!$C$5," ","")&amp;" #성경구절 #말씀 #시편 #소망"</f>
        <v/>
      </c>
      <c r="Q155" s="15" t="inlineStr">
        <is>
          <t>성경 본문: 개역한글판</t>
        </is>
      </c>
      <c r="R155" s="17">
        <f>'안내'!$C$6+INT((D155-1)/'안내'!$C$7)</f>
        <v/>
      </c>
      <c r="S155" s="14">
        <f>IF(MOD(D155-1,'안내'!$C$7)=0,'안내'!$C$8,'안내'!$C$10)</f>
        <v/>
      </c>
      <c r="T155" s="14">
        <f>CHOOSE(WEEKDAY(R155,2),"월","화","수","목","금","토","일")</f>
        <v/>
      </c>
      <c r="U155" s="14" t="inlineStr">
        <is>
          <t>미착수</t>
        </is>
      </c>
      <c r="V155" s="14" t="inlineStr">
        <is>
          <t>미착수</t>
        </is>
      </c>
      <c r="W155" s="18" t="n"/>
      <c r="X155" s="18" t="n"/>
      <c r="Y155" s="15" t="n"/>
      <c r="Z155" s="15" t="inlineStr"/>
      <c r="AA155" s="15" t="inlineStr">
        <is>
          <t>Wait for Yahweh. Be strong, and let your heart take courage. Yes, wait for Yahweh.</t>
        </is>
      </c>
    </row>
    <row r="156">
      <c r="A156" s="13" t="n">
        <v>155</v>
      </c>
      <c r="B156" s="13" t="inlineStr">
        <is>
          <t>W0155</t>
        </is>
      </c>
      <c r="C156" s="13" t="inlineStr">
        <is>
          <t>구약</t>
        </is>
      </c>
      <c r="D156" s="13" t="n">
        <v>155</v>
      </c>
      <c r="E156" s="13">
        <f>C156&amp;"말씀 #"&amp;TEXT(D156,"000")</f>
        <v/>
      </c>
      <c r="F156" s="14" t="inlineStr">
        <is>
          <t>시편</t>
        </is>
      </c>
      <c r="G156" s="14" t="inlineStr">
        <is>
          <t>28:7</t>
        </is>
      </c>
      <c r="H156" s="15" t="inlineStr">
        <is>
          <t>(시 28:7, 개역한글)</t>
        </is>
      </c>
      <c r="I156" s="14" t="inlineStr">
        <is>
          <t>신뢰</t>
        </is>
      </c>
      <c r="J156" s="14" t="inlineStr">
        <is>
          <t>바위산·광야</t>
        </is>
      </c>
      <c r="K156" s="16" t="inlineStr">
        <is>
          <t>여호와는 나의 힘과 나의 방패시니 내 마음이 저를 의지하여 도움을 얻었도다 그러므로 내 마음이 크게 기뻐하며 내 노래로 저를 찬송하리로다</t>
        </is>
      </c>
      <c r="L156" s="14" t="inlineStr">
        <is>
          <t>자동 입력</t>
        </is>
      </c>
      <c r="M156" s="14">
        <f>LEN(K156)</f>
        <v/>
      </c>
      <c r="N156" s="14">
        <f>IF(M156=0,"-",ROUND(3+M156/'안내'!$C$12,0))</f>
        <v/>
      </c>
      <c r="O156" s="15">
        <f>IF(K156="","(본문 입력 후 자동) | 시 28:7",IF(LEN(K156)&gt;28,LEFT(K156,28)&amp;"…",K156)&amp;" | 시 28:7")</f>
        <v/>
      </c>
      <c r="P156" s="15">
        <f>"#"&amp;SUBSTITUTE('안내'!$C$5," ","")&amp;" #성경구절 #말씀 #시편 #신뢰"</f>
        <v/>
      </c>
      <c r="Q156" s="15" t="inlineStr">
        <is>
          <t>성경 본문: 개역한글판</t>
        </is>
      </c>
      <c r="R156" s="17">
        <f>'안내'!$C$6+INT((D156-1)/'안내'!$C$7)</f>
        <v/>
      </c>
      <c r="S156" s="14">
        <f>IF(MOD(D156-1,'안내'!$C$7)=0,'안내'!$C$8,'안내'!$C$10)</f>
        <v/>
      </c>
      <c r="T156" s="14">
        <f>CHOOSE(WEEKDAY(R156,2),"월","화","수","목","금","토","일")</f>
        <v/>
      </c>
      <c r="U156" s="14" t="inlineStr">
        <is>
          <t>미착수</t>
        </is>
      </c>
      <c r="V156" s="14" t="inlineStr">
        <is>
          <t>미착수</t>
        </is>
      </c>
      <c r="W156" s="18" t="n"/>
      <c r="X156" s="18" t="n"/>
      <c r="Y156" s="15" t="n"/>
      <c r="Z156" s="15" t="inlineStr"/>
      <c r="AA156" s="15" t="inlineStr">
        <is>
          <t>Yahweh is my strength and my shield. My heart has trusted in him, and I am helped. Therefore my heart greatly rejoices. With my song I will thank him.</t>
        </is>
      </c>
    </row>
    <row r="157">
      <c r="A157" s="13" t="n">
        <v>156</v>
      </c>
      <c r="B157" s="13" t="inlineStr">
        <is>
          <t>W0156</t>
        </is>
      </c>
      <c r="C157" s="13" t="inlineStr">
        <is>
          <t>구약</t>
        </is>
      </c>
      <c r="D157" s="13" t="n">
        <v>156</v>
      </c>
      <c r="E157" s="13">
        <f>C157&amp;"말씀 #"&amp;TEXT(D157,"000")</f>
        <v/>
      </c>
      <c r="F157" s="14" t="inlineStr">
        <is>
          <t>시편</t>
        </is>
      </c>
      <c r="G157" s="14" t="inlineStr">
        <is>
          <t>30:5</t>
        </is>
      </c>
      <c r="H157" s="15" t="inlineStr">
        <is>
          <t>(시 30:5, 개역한글)</t>
        </is>
      </c>
      <c r="I157" s="14" t="inlineStr">
        <is>
          <t>위로</t>
        </is>
      </c>
      <c r="J157" s="14" t="inlineStr">
        <is>
          <t>잔잔한 물</t>
        </is>
      </c>
      <c r="K157" s="16" t="inlineStr">
        <is>
          <t>그 노염은 잠깐이요 그 은총은 평생이로다 저녁에는 울음이 기숙할지라도 아침에는 기쁨이 오리로다</t>
        </is>
      </c>
      <c r="L157" s="14" t="inlineStr">
        <is>
          <t>자동 입력</t>
        </is>
      </c>
      <c r="M157" s="14">
        <f>LEN(K157)</f>
        <v/>
      </c>
      <c r="N157" s="14">
        <f>IF(M157=0,"-",ROUND(3+M157/'안내'!$C$12,0))</f>
        <v/>
      </c>
      <c r="O157" s="15">
        <f>IF(K157="","(본문 입력 후 자동) | 시 30:5",IF(LEN(K157)&gt;28,LEFT(K157,28)&amp;"…",K157)&amp;" | 시 30:5")</f>
        <v/>
      </c>
      <c r="P157" s="15">
        <f>"#"&amp;SUBSTITUTE('안내'!$C$5," ","")&amp;" #성경구절 #말씀 #시편 #위로"</f>
        <v/>
      </c>
      <c r="Q157" s="15" t="inlineStr">
        <is>
          <t>성경 본문: 개역한글판</t>
        </is>
      </c>
      <c r="R157" s="17">
        <f>'안내'!$C$6+INT((D157-1)/'안내'!$C$7)</f>
        <v/>
      </c>
      <c r="S157" s="14">
        <f>IF(MOD(D157-1,'안내'!$C$7)=0,'안내'!$C$8,'안내'!$C$10)</f>
        <v/>
      </c>
      <c r="T157" s="14">
        <f>CHOOSE(WEEKDAY(R157,2),"월","화","수","목","금","토","일")</f>
        <v/>
      </c>
      <c r="U157" s="14" t="inlineStr">
        <is>
          <t>미착수</t>
        </is>
      </c>
      <c r="V157" s="14" t="inlineStr">
        <is>
          <t>미착수</t>
        </is>
      </c>
      <c r="W157" s="18" t="n"/>
      <c r="X157" s="18" t="n"/>
      <c r="Y157" s="15" t="n"/>
      <c r="Z157" s="15" t="inlineStr"/>
      <c r="AA157" s="15" t="inlineStr">
        <is>
          <t>For his anger is but for a moment. His favor is for a lifetime. Weeping may stay for the night, but joy comes in the morning.</t>
        </is>
      </c>
    </row>
    <row r="158">
      <c r="A158" s="13" t="n">
        <v>157</v>
      </c>
      <c r="B158" s="13" t="inlineStr">
        <is>
          <t>W0157</t>
        </is>
      </c>
      <c r="C158" s="13" t="inlineStr">
        <is>
          <t>구약</t>
        </is>
      </c>
      <c r="D158" s="13" t="n">
        <v>157</v>
      </c>
      <c r="E158" s="13">
        <f>C158&amp;"말씀 #"&amp;TEXT(D158,"000")</f>
        <v/>
      </c>
      <c r="F158" s="14" t="inlineStr">
        <is>
          <t>시편</t>
        </is>
      </c>
      <c r="G158" s="14" t="inlineStr">
        <is>
          <t>31:24</t>
        </is>
      </c>
      <c r="H158" s="15" t="inlineStr">
        <is>
          <t>(시 31:24, 개역한글)</t>
        </is>
      </c>
      <c r="I158" s="14" t="inlineStr">
        <is>
          <t>담대함</t>
        </is>
      </c>
      <c r="J158" s="14" t="inlineStr">
        <is>
          <t>바위산·광야</t>
        </is>
      </c>
      <c r="K158" s="16" t="inlineStr">
        <is>
          <t>강하고 담대하라 여호와를 바라는 너희들아</t>
        </is>
      </c>
      <c r="L158" s="14" t="inlineStr">
        <is>
          <t>자동 입력</t>
        </is>
      </c>
      <c r="M158" s="14">
        <f>LEN(K158)</f>
        <v/>
      </c>
      <c r="N158" s="14">
        <f>IF(M158=0,"-",ROUND(3+M158/'안내'!$C$12,0))</f>
        <v/>
      </c>
      <c r="O158" s="15">
        <f>IF(K158="","(본문 입력 후 자동) | 시 31:24",IF(LEN(K158)&gt;28,LEFT(K158,28)&amp;"…",K158)&amp;" | 시 31:24")</f>
        <v/>
      </c>
      <c r="P158" s="15">
        <f>"#"&amp;SUBSTITUTE('안내'!$C$5," ","")&amp;" #성경구절 #말씀 #시편 #담대함"</f>
        <v/>
      </c>
      <c r="Q158" s="15" t="inlineStr">
        <is>
          <t>성경 본문: 개역한글판</t>
        </is>
      </c>
      <c r="R158" s="17">
        <f>'안내'!$C$6+INT((D158-1)/'안내'!$C$7)</f>
        <v/>
      </c>
      <c r="S158" s="14">
        <f>IF(MOD(D158-1,'안내'!$C$7)=0,'안내'!$C$8,'안내'!$C$10)</f>
        <v/>
      </c>
      <c r="T158" s="14">
        <f>CHOOSE(WEEKDAY(R158,2),"월","화","수","목","금","토","일")</f>
        <v/>
      </c>
      <c r="U158" s="14" t="inlineStr">
        <is>
          <t>미착수</t>
        </is>
      </c>
      <c r="V158" s="14" t="inlineStr">
        <is>
          <t>미착수</t>
        </is>
      </c>
      <c r="W158" s="18" t="n"/>
      <c r="X158" s="18" t="n"/>
      <c r="Y158" s="15" t="n"/>
      <c r="Z158" s="15" t="inlineStr"/>
      <c r="AA158" s="15" t="inlineStr">
        <is>
          <t>Be strong, and let your heart take courage, all you who hope in Yahweh.</t>
        </is>
      </c>
    </row>
    <row r="159">
      <c r="A159" s="13" t="n">
        <v>158</v>
      </c>
      <c r="B159" s="13" t="inlineStr">
        <is>
          <t>W0158</t>
        </is>
      </c>
      <c r="C159" s="13" t="inlineStr">
        <is>
          <t>구약</t>
        </is>
      </c>
      <c r="D159" s="13" t="n">
        <v>158</v>
      </c>
      <c r="E159" s="13">
        <f>C159&amp;"말씀 #"&amp;TEXT(D159,"000")</f>
        <v/>
      </c>
      <c r="F159" s="14" t="inlineStr">
        <is>
          <t>시편</t>
        </is>
      </c>
      <c r="G159" s="14" t="inlineStr">
        <is>
          <t>32:8</t>
        </is>
      </c>
      <c r="H159" s="15" t="inlineStr">
        <is>
          <t>(시 32:8, 개역한글)</t>
        </is>
      </c>
      <c r="I159" s="14" t="inlineStr">
        <is>
          <t>인도</t>
        </is>
      </c>
      <c r="J159" s="14" t="inlineStr">
        <is>
          <t>길·등불</t>
        </is>
      </c>
      <c r="K159" s="16" t="inlineStr">
        <is>
          <t>내가 너의 갈 길을 가르쳐 보이고 너를 주목하여 훈계하리로다</t>
        </is>
      </c>
      <c r="L159" s="14" t="inlineStr">
        <is>
          <t>자동 입력</t>
        </is>
      </c>
      <c r="M159" s="14">
        <f>LEN(K159)</f>
        <v/>
      </c>
      <c r="N159" s="14">
        <f>IF(M159=0,"-",ROUND(3+M159/'안내'!$C$12,0))</f>
        <v/>
      </c>
      <c r="O159" s="15">
        <f>IF(K159="","(본문 입력 후 자동) | 시 32:8",IF(LEN(K159)&gt;28,LEFT(K159,28)&amp;"…",K159)&amp;" | 시 32:8")</f>
        <v/>
      </c>
      <c r="P159" s="15">
        <f>"#"&amp;SUBSTITUTE('안내'!$C$5," ","")&amp;" #성경구절 #말씀 #시편 #인도"</f>
        <v/>
      </c>
      <c r="Q159" s="15" t="inlineStr">
        <is>
          <t>성경 본문: 개역한글판</t>
        </is>
      </c>
      <c r="R159" s="17">
        <f>'안내'!$C$6+INT((D159-1)/'안내'!$C$7)</f>
        <v/>
      </c>
      <c r="S159" s="14">
        <f>IF(MOD(D159-1,'안내'!$C$7)=0,'안내'!$C$8,'안내'!$C$10)</f>
        <v/>
      </c>
      <c r="T159" s="14">
        <f>CHOOSE(WEEKDAY(R159,2),"월","화","수","목","금","토","일")</f>
        <v/>
      </c>
      <c r="U159" s="14" t="inlineStr">
        <is>
          <t>미착수</t>
        </is>
      </c>
      <c r="V159" s="14" t="inlineStr">
        <is>
          <t>미착수</t>
        </is>
      </c>
      <c r="W159" s="18" t="n"/>
      <c r="X159" s="18" t="n"/>
      <c r="Y159" s="15" t="n"/>
      <c r="Z159" s="15" t="inlineStr"/>
      <c r="AA159" s="15" t="inlineStr">
        <is>
          <t>I will instruct you and teach you in the way which you shall go. I will counsel you with my eye on you.</t>
        </is>
      </c>
    </row>
    <row r="160">
      <c r="A160" s="13" t="n">
        <v>159</v>
      </c>
      <c r="B160" s="13" t="inlineStr">
        <is>
          <t>W0159</t>
        </is>
      </c>
      <c r="C160" s="13" t="inlineStr">
        <is>
          <t>구약</t>
        </is>
      </c>
      <c r="D160" s="13" t="n">
        <v>159</v>
      </c>
      <c r="E160" s="13">
        <f>C160&amp;"말씀 #"&amp;TEXT(D160,"000")</f>
        <v/>
      </c>
      <c r="F160" s="14" t="inlineStr">
        <is>
          <t>시편</t>
        </is>
      </c>
      <c r="G160" s="14" t="inlineStr">
        <is>
          <t>34:8</t>
        </is>
      </c>
      <c r="H160" s="15" t="inlineStr">
        <is>
          <t>(시 34:8, 개역한글)</t>
        </is>
      </c>
      <c r="I160" s="14" t="inlineStr">
        <is>
          <t>은혜</t>
        </is>
      </c>
      <c r="J160" s="14" t="inlineStr">
        <is>
          <t>잔잔한 물</t>
        </is>
      </c>
      <c r="K160" s="16" t="inlineStr">
        <is>
          <t>너희는 여호와의 선하심을 맛보아 알지어다 그에게 피하는 자는 복이 있도다</t>
        </is>
      </c>
      <c r="L160" s="14" t="inlineStr">
        <is>
          <t>자동 입력</t>
        </is>
      </c>
      <c r="M160" s="14">
        <f>LEN(K160)</f>
        <v/>
      </c>
      <c r="N160" s="14">
        <f>IF(M160=0,"-",ROUND(3+M160/'안내'!$C$12,0))</f>
        <v/>
      </c>
      <c r="O160" s="15">
        <f>IF(K160="","(본문 입력 후 자동) | 시 34:8",IF(LEN(K160)&gt;28,LEFT(K160,28)&amp;"…",K160)&amp;" | 시 34:8")</f>
        <v/>
      </c>
      <c r="P160" s="15">
        <f>"#"&amp;SUBSTITUTE('안내'!$C$5," ","")&amp;" #성경구절 #말씀 #시편 #은혜"</f>
        <v/>
      </c>
      <c r="Q160" s="15" t="inlineStr">
        <is>
          <t>성경 본문: 개역한글판</t>
        </is>
      </c>
      <c r="R160" s="17">
        <f>'안내'!$C$6+INT((D160-1)/'안내'!$C$7)</f>
        <v/>
      </c>
      <c r="S160" s="14">
        <f>IF(MOD(D160-1,'안내'!$C$7)=0,'안내'!$C$8,'안내'!$C$10)</f>
        <v/>
      </c>
      <c r="T160" s="14">
        <f>CHOOSE(WEEKDAY(R160,2),"월","화","수","목","금","토","일")</f>
        <v/>
      </c>
      <c r="U160" s="14" t="inlineStr">
        <is>
          <t>미착수</t>
        </is>
      </c>
      <c r="V160" s="14" t="inlineStr">
        <is>
          <t>미착수</t>
        </is>
      </c>
      <c r="W160" s="18" t="n"/>
      <c r="X160" s="18" t="n"/>
      <c r="Y160" s="15" t="n"/>
      <c r="Z160" s="15" t="inlineStr"/>
      <c r="AA160" s="15" t="inlineStr">
        <is>
          <t>Oh taste and see that Yahweh is good. Blessed is the man who takes refuge in him.</t>
        </is>
      </c>
    </row>
    <row r="161">
      <c r="A161" s="13" t="n">
        <v>160</v>
      </c>
      <c r="B161" s="13" t="inlineStr">
        <is>
          <t>W0160</t>
        </is>
      </c>
      <c r="C161" s="13" t="inlineStr">
        <is>
          <t>구약</t>
        </is>
      </c>
      <c r="D161" s="13" t="n">
        <v>160</v>
      </c>
      <c r="E161" s="13">
        <f>C161&amp;"말씀 #"&amp;TEXT(D161,"000")</f>
        <v/>
      </c>
      <c r="F161" s="14" t="inlineStr">
        <is>
          <t>시편</t>
        </is>
      </c>
      <c r="G161" s="14" t="inlineStr">
        <is>
          <t>34:18</t>
        </is>
      </c>
      <c r="H161" s="15" t="inlineStr">
        <is>
          <t>(시 34:18, 개역한글)</t>
        </is>
      </c>
      <c r="I161" s="14" t="inlineStr">
        <is>
          <t>위로</t>
        </is>
      </c>
      <c r="J161" s="14" t="inlineStr">
        <is>
          <t>잔잔한 물</t>
        </is>
      </c>
      <c r="K161" s="16" t="inlineStr">
        <is>
          <t>여호와는 마음이 상한 자에게 가까이 하시고 중심에 통회하는 자를 구원하시는도다</t>
        </is>
      </c>
      <c r="L161" s="14" t="inlineStr">
        <is>
          <t>자동 입력</t>
        </is>
      </c>
      <c r="M161" s="14">
        <f>LEN(K161)</f>
        <v/>
      </c>
      <c r="N161" s="14">
        <f>IF(M161=0,"-",ROUND(3+M161/'안내'!$C$12,0))</f>
        <v/>
      </c>
      <c r="O161" s="15">
        <f>IF(K161="","(본문 입력 후 자동) | 시 34:18",IF(LEN(K161)&gt;28,LEFT(K161,28)&amp;"…",K161)&amp;" | 시 34:18")</f>
        <v/>
      </c>
      <c r="P161" s="15">
        <f>"#"&amp;SUBSTITUTE('안내'!$C$5," ","")&amp;" #성경구절 #말씀 #시편 #위로"</f>
        <v/>
      </c>
      <c r="Q161" s="15" t="inlineStr">
        <is>
          <t>성경 본문: 개역한글판</t>
        </is>
      </c>
      <c r="R161" s="17">
        <f>'안내'!$C$6+INT((D161-1)/'안내'!$C$7)</f>
        <v/>
      </c>
      <c r="S161" s="14">
        <f>IF(MOD(D161-1,'안내'!$C$7)=0,'안내'!$C$8,'안내'!$C$10)</f>
        <v/>
      </c>
      <c r="T161" s="14">
        <f>CHOOSE(WEEKDAY(R161,2),"월","화","수","목","금","토","일")</f>
        <v/>
      </c>
      <c r="U161" s="14" t="inlineStr">
        <is>
          <t>미착수</t>
        </is>
      </c>
      <c r="V161" s="14" t="inlineStr">
        <is>
          <t>미착수</t>
        </is>
      </c>
      <c r="W161" s="18" t="n"/>
      <c r="X161" s="18" t="n"/>
      <c r="Y161" s="15" t="n"/>
      <c r="Z161" s="15" t="inlineStr"/>
      <c r="AA161" s="15" t="inlineStr">
        <is>
          <t>Yahweh is near to those who have a broken heart, and saves those who have a crushed spirit.</t>
        </is>
      </c>
    </row>
    <row r="162">
      <c r="A162" s="13" t="n">
        <v>161</v>
      </c>
      <c r="B162" s="13" t="inlineStr">
        <is>
          <t>W0161</t>
        </is>
      </c>
      <c r="C162" s="13" t="inlineStr">
        <is>
          <t>구약</t>
        </is>
      </c>
      <c r="D162" s="13" t="n">
        <v>161</v>
      </c>
      <c r="E162" s="13">
        <f>C162&amp;"말씀 #"&amp;TEXT(D162,"000")</f>
        <v/>
      </c>
      <c r="F162" s="14" t="inlineStr">
        <is>
          <t>시편</t>
        </is>
      </c>
      <c r="G162" s="14" t="inlineStr">
        <is>
          <t>37:4</t>
        </is>
      </c>
      <c r="H162" s="15" t="inlineStr">
        <is>
          <t>(시 37:4, 개역한글)</t>
        </is>
      </c>
      <c r="I162" s="14" t="inlineStr">
        <is>
          <t>기쁨</t>
        </is>
      </c>
      <c r="J162" s="14" t="inlineStr">
        <is>
          <t>새벽빛</t>
        </is>
      </c>
      <c r="K162" s="16" t="inlineStr">
        <is>
          <t>또 여호와를 기뻐하라 저가 네 마음의 소원을 이루어 주시리로다</t>
        </is>
      </c>
      <c r="L162" s="14" t="inlineStr">
        <is>
          <t>자동 입력</t>
        </is>
      </c>
      <c r="M162" s="14">
        <f>LEN(K162)</f>
        <v/>
      </c>
      <c r="N162" s="14">
        <f>IF(M162=0,"-",ROUND(3+M162/'안내'!$C$12,0))</f>
        <v/>
      </c>
      <c r="O162" s="15">
        <f>IF(K162="","(본문 입력 후 자동) | 시 37:4",IF(LEN(K162)&gt;28,LEFT(K162,28)&amp;"…",K162)&amp;" | 시 37:4")</f>
        <v/>
      </c>
      <c r="P162" s="15">
        <f>"#"&amp;SUBSTITUTE('안내'!$C$5," ","")&amp;" #성경구절 #말씀 #시편 #기쁨"</f>
        <v/>
      </c>
      <c r="Q162" s="15" t="inlineStr">
        <is>
          <t>성경 본문: 개역한글판</t>
        </is>
      </c>
      <c r="R162" s="17">
        <f>'안내'!$C$6+INT((D162-1)/'안내'!$C$7)</f>
        <v/>
      </c>
      <c r="S162" s="14">
        <f>IF(MOD(D162-1,'안내'!$C$7)=0,'안내'!$C$8,'안내'!$C$10)</f>
        <v/>
      </c>
      <c r="T162" s="14">
        <f>CHOOSE(WEEKDAY(R162,2),"월","화","수","목","금","토","일")</f>
        <v/>
      </c>
      <c r="U162" s="14" t="inlineStr">
        <is>
          <t>미착수</t>
        </is>
      </c>
      <c r="V162" s="14" t="inlineStr">
        <is>
          <t>미착수</t>
        </is>
      </c>
      <c r="W162" s="18" t="n"/>
      <c r="X162" s="18" t="n"/>
      <c r="Y162" s="15" t="n"/>
      <c r="Z162" s="15" t="inlineStr"/>
      <c r="AA162" s="15" t="inlineStr">
        <is>
          <t>Also delight yourself in Yahweh, and he will give you the desires of your heart.</t>
        </is>
      </c>
    </row>
    <row r="163">
      <c r="A163" s="13" t="n">
        <v>162</v>
      </c>
      <c r="B163" s="13" t="inlineStr">
        <is>
          <t>W0162</t>
        </is>
      </c>
      <c r="C163" s="13" t="inlineStr">
        <is>
          <t>구약</t>
        </is>
      </c>
      <c r="D163" s="13" t="n">
        <v>162</v>
      </c>
      <c r="E163" s="13">
        <f>C163&amp;"말씀 #"&amp;TEXT(D163,"000")</f>
        <v/>
      </c>
      <c r="F163" s="14" t="inlineStr">
        <is>
          <t>시편</t>
        </is>
      </c>
      <c r="G163" s="14" t="inlineStr">
        <is>
          <t>37:5</t>
        </is>
      </c>
      <c r="H163" s="15" t="inlineStr">
        <is>
          <t>(시 37:5, 개역한글)</t>
        </is>
      </c>
      <c r="I163" s="14" t="inlineStr">
        <is>
          <t>신뢰</t>
        </is>
      </c>
      <c r="J163" s="14" t="inlineStr">
        <is>
          <t>바위산·광야</t>
        </is>
      </c>
      <c r="K163" s="16" t="inlineStr">
        <is>
          <t>너의 길을 여호와께 맡기라 저를 의지하면 저가 이루시고</t>
        </is>
      </c>
      <c r="L163" s="14" t="inlineStr">
        <is>
          <t>자동 입력</t>
        </is>
      </c>
      <c r="M163" s="14">
        <f>LEN(K163)</f>
        <v/>
      </c>
      <c r="N163" s="14">
        <f>IF(M163=0,"-",ROUND(3+M163/'안내'!$C$12,0))</f>
        <v/>
      </c>
      <c r="O163" s="15">
        <f>IF(K163="","(본문 입력 후 자동) | 시 37:5",IF(LEN(K163)&gt;28,LEFT(K163,28)&amp;"…",K163)&amp;" | 시 37:5")</f>
        <v/>
      </c>
      <c r="P163" s="15">
        <f>"#"&amp;SUBSTITUTE('안내'!$C$5," ","")&amp;" #성경구절 #말씀 #시편 #신뢰"</f>
        <v/>
      </c>
      <c r="Q163" s="15" t="inlineStr">
        <is>
          <t>성경 본문: 개역한글판</t>
        </is>
      </c>
      <c r="R163" s="17">
        <f>'안내'!$C$6+INT((D163-1)/'안내'!$C$7)</f>
        <v/>
      </c>
      <c r="S163" s="14">
        <f>IF(MOD(D163-1,'안내'!$C$7)=0,'안내'!$C$8,'안내'!$C$10)</f>
        <v/>
      </c>
      <c r="T163" s="14">
        <f>CHOOSE(WEEKDAY(R163,2),"월","화","수","목","금","토","일")</f>
        <v/>
      </c>
      <c r="U163" s="14" t="inlineStr">
        <is>
          <t>미착수</t>
        </is>
      </c>
      <c r="V163" s="14" t="inlineStr">
        <is>
          <t>미착수</t>
        </is>
      </c>
      <c r="W163" s="18" t="n"/>
      <c r="X163" s="18" t="n"/>
      <c r="Y163" s="15" t="n"/>
      <c r="Z163" s="15" t="inlineStr"/>
      <c r="AA163" s="15" t="inlineStr">
        <is>
          <t>Commit your way to Yahweh. Trust also in him, and he will do this:</t>
        </is>
      </c>
    </row>
    <row r="164">
      <c r="A164" s="13" t="n">
        <v>163</v>
      </c>
      <c r="B164" s="13" t="inlineStr">
        <is>
          <t>W0163</t>
        </is>
      </c>
      <c r="C164" s="13" t="inlineStr">
        <is>
          <t>구약</t>
        </is>
      </c>
      <c r="D164" s="13" t="n">
        <v>163</v>
      </c>
      <c r="E164" s="13">
        <f>C164&amp;"말씀 #"&amp;TEXT(D164,"000")</f>
        <v/>
      </c>
      <c r="F164" s="14" t="inlineStr">
        <is>
          <t>시편</t>
        </is>
      </c>
      <c r="G164" s="14" t="inlineStr">
        <is>
          <t>40:1</t>
        </is>
      </c>
      <c r="H164" s="15" t="inlineStr">
        <is>
          <t>(시 40:1, 개역한글)</t>
        </is>
      </c>
      <c r="I164" s="14" t="inlineStr">
        <is>
          <t>기도</t>
        </is>
      </c>
      <c r="J164" s="14" t="inlineStr">
        <is>
          <t>제단·십자가</t>
        </is>
      </c>
      <c r="K164" s="16" t="inlineStr">
        <is>
          <t>내가 여호와를 기다리고 기다렸더니 귀를 기울이사 나의 부르짖음을 들으셨도다</t>
        </is>
      </c>
      <c r="L164" s="14" t="inlineStr">
        <is>
          <t>자동 입력</t>
        </is>
      </c>
      <c r="M164" s="14">
        <f>LEN(K164)</f>
        <v/>
      </c>
      <c r="N164" s="14">
        <f>IF(M164=0,"-",ROUND(3+M164/'안내'!$C$12,0))</f>
        <v/>
      </c>
      <c r="O164" s="15">
        <f>IF(K164="","(본문 입력 후 자동) | 시 40:1",IF(LEN(K164)&gt;28,LEFT(K164,28)&amp;"…",K164)&amp;" | 시 40:1")</f>
        <v/>
      </c>
      <c r="P164" s="15">
        <f>"#"&amp;SUBSTITUTE('안내'!$C$5," ","")&amp;" #성경구절 #말씀 #시편 #기도"</f>
        <v/>
      </c>
      <c r="Q164" s="15" t="inlineStr">
        <is>
          <t>성경 본문: 개역한글판</t>
        </is>
      </c>
      <c r="R164" s="17">
        <f>'안내'!$C$6+INT((D164-1)/'안내'!$C$7)</f>
        <v/>
      </c>
      <c r="S164" s="14">
        <f>IF(MOD(D164-1,'안내'!$C$7)=0,'안내'!$C$8,'안내'!$C$10)</f>
        <v/>
      </c>
      <c r="T164" s="14">
        <f>CHOOSE(WEEKDAY(R164,2),"월","화","수","목","금","토","일")</f>
        <v/>
      </c>
      <c r="U164" s="14" t="inlineStr">
        <is>
          <t>미착수</t>
        </is>
      </c>
      <c r="V164" s="14" t="inlineStr">
        <is>
          <t>미착수</t>
        </is>
      </c>
      <c r="W164" s="18" t="n"/>
      <c r="X164" s="18" t="n"/>
      <c r="Y164" s="15" t="n"/>
      <c r="Z164" s="15" t="inlineStr">
        <is>
          <t>시편 표제 생략</t>
        </is>
      </c>
      <c r="AA164" s="15" t="inlineStr">
        <is>
          <t>For the Chief Musician. A Psalm by David. I waited patiently for Yahweh. He turned to me, and heard my cry.</t>
        </is>
      </c>
    </row>
    <row r="165">
      <c r="A165" s="13" t="n">
        <v>164</v>
      </c>
      <c r="B165" s="13" t="inlineStr">
        <is>
          <t>W0164</t>
        </is>
      </c>
      <c r="C165" s="13" t="inlineStr">
        <is>
          <t>구약</t>
        </is>
      </c>
      <c r="D165" s="13" t="n">
        <v>164</v>
      </c>
      <c r="E165" s="13">
        <f>C165&amp;"말씀 #"&amp;TEXT(D165,"000")</f>
        <v/>
      </c>
      <c r="F165" s="14" t="inlineStr">
        <is>
          <t>시편</t>
        </is>
      </c>
      <c r="G165" s="14" t="inlineStr">
        <is>
          <t>42:1</t>
        </is>
      </c>
      <c r="H165" s="15" t="inlineStr">
        <is>
          <t>(시 42:1, 개역한글)</t>
        </is>
      </c>
      <c r="I165" s="14" t="inlineStr">
        <is>
          <t>예배</t>
        </is>
      </c>
      <c r="J165" s="14" t="inlineStr">
        <is>
          <t>하늘·별</t>
        </is>
      </c>
      <c r="K165" s="16" t="inlineStr">
        <is>
          <t>하나님이여 사슴이 시냇물을 찾기에 갈급함같이 내 영혼이 주를 찾기에 갈급하니이다</t>
        </is>
      </c>
      <c r="L165" s="14" t="inlineStr">
        <is>
          <t>자동 입력 · 대조 필요</t>
        </is>
      </c>
      <c r="M165" s="14">
        <f>LEN(K165)</f>
        <v/>
      </c>
      <c r="N165" s="14">
        <f>IF(M165=0,"-",ROUND(3+M165/'안내'!$C$12,0))</f>
        <v/>
      </c>
      <c r="O165" s="15">
        <f>IF(K165="","(본문 입력 후 자동) | 시 42:1",IF(LEN(K165)&gt;28,LEFT(K165,28)&amp;"…",K165)&amp;" | 시 42:1")</f>
        <v/>
      </c>
      <c r="P165" s="15">
        <f>"#"&amp;SUBSTITUTE('안내'!$C$5," ","")&amp;" #성경구절 #말씀 #시편 #예배"</f>
        <v/>
      </c>
      <c r="Q165" s="15" t="inlineStr">
        <is>
          <t>성경 본문: 개역한글판</t>
        </is>
      </c>
      <c r="R165" s="17">
        <f>'안내'!$C$6+INT((D165-1)/'안내'!$C$7)</f>
        <v/>
      </c>
      <c r="S165" s="14">
        <f>IF(MOD(D165-1,'안내'!$C$7)=0,'안내'!$C$8,'안내'!$C$10)</f>
        <v/>
      </c>
      <c r="T165" s="14">
        <f>CHOOSE(WEEKDAY(R165,2),"월","화","수","목","금","토","일")</f>
        <v/>
      </c>
      <c r="U165" s="14" t="inlineStr">
        <is>
          <t>미착수</t>
        </is>
      </c>
      <c r="V165" s="14" t="inlineStr">
        <is>
          <t>미착수</t>
        </is>
      </c>
      <c r="W165" s="18" t="n"/>
      <c r="X165" s="18" t="n"/>
      <c r="Y165" s="15" t="n"/>
      <c r="Z165" s="15" t="inlineStr">
        <is>
          <t>시편 표제 생략, 줄바꿈 띄어쓰기 확인</t>
        </is>
      </c>
      <c r="AA165" s="15" t="inlineStr">
        <is>
          <t>For the Chief Musician. A contemplation by the sons of Korah. As the deer pants for the water brooks, so my soul pants after you, God.</t>
        </is>
      </c>
    </row>
    <row r="166">
      <c r="A166" s="13" t="n">
        <v>165</v>
      </c>
      <c r="B166" s="13" t="inlineStr">
        <is>
          <t>W0165</t>
        </is>
      </c>
      <c r="C166" s="13" t="inlineStr">
        <is>
          <t>구약</t>
        </is>
      </c>
      <c r="D166" s="13" t="n">
        <v>165</v>
      </c>
      <c r="E166" s="13">
        <f>C166&amp;"말씀 #"&amp;TEXT(D166,"000")</f>
        <v/>
      </c>
      <c r="F166" s="14" t="inlineStr">
        <is>
          <t>시편</t>
        </is>
      </c>
      <c r="G166" s="14" t="inlineStr">
        <is>
          <t>42:11</t>
        </is>
      </c>
      <c r="H166" s="15" t="inlineStr">
        <is>
          <t>(시 42:11, 개역한글)</t>
        </is>
      </c>
      <c r="I166" s="14" t="inlineStr">
        <is>
          <t>소망</t>
        </is>
      </c>
      <c r="J166" s="14" t="inlineStr">
        <is>
          <t>새벽빛</t>
        </is>
      </c>
      <c r="K166" s="16" t="inlineStr">
        <is>
          <t>내 영혼아 네가 어찌하여 낙망하며 어찌하여 내 속에서 불안하여 하는고 너는 하나님을 바라라 나는 내 얼굴을 도우시는 내 하나님을 오히려 찬송하리로다</t>
        </is>
      </c>
      <c r="L166" s="14" t="inlineStr">
        <is>
          <t>자동 입력</t>
        </is>
      </c>
      <c r="M166" s="14">
        <f>LEN(K166)</f>
        <v/>
      </c>
      <c r="N166" s="14">
        <f>IF(M166=0,"-",ROUND(3+M166/'안내'!$C$12,0))</f>
        <v/>
      </c>
      <c r="O166" s="15">
        <f>IF(K166="","(본문 입력 후 자동) | 시 42:11",IF(LEN(K166)&gt;28,LEFT(K166,28)&amp;"…",K166)&amp;" | 시 42:11")</f>
        <v/>
      </c>
      <c r="P166" s="15">
        <f>"#"&amp;SUBSTITUTE('안내'!$C$5," ","")&amp;" #성경구절 #말씀 #시편 #소망"</f>
        <v/>
      </c>
      <c r="Q166" s="15" t="inlineStr">
        <is>
          <t>성경 본문: 개역한글판</t>
        </is>
      </c>
      <c r="R166" s="17">
        <f>'안내'!$C$6+INT((D166-1)/'안내'!$C$7)</f>
        <v/>
      </c>
      <c r="S166" s="14">
        <f>IF(MOD(D166-1,'안내'!$C$7)=0,'안내'!$C$8,'안내'!$C$10)</f>
        <v/>
      </c>
      <c r="T166" s="14">
        <f>CHOOSE(WEEKDAY(R166,2),"월","화","수","목","금","토","일")</f>
        <v/>
      </c>
      <c r="U166" s="14" t="inlineStr">
        <is>
          <t>미착수</t>
        </is>
      </c>
      <c r="V166" s="14" t="inlineStr">
        <is>
          <t>미착수</t>
        </is>
      </c>
      <c r="W166" s="18" t="n"/>
      <c r="X166" s="18" t="n"/>
      <c r="Y166" s="15" t="n"/>
      <c r="Z166" s="15" t="inlineStr"/>
      <c r="AA166" s="15" t="inlineStr">
        <is>
          <t>Why are you in despair, my soul? Why are you disturbed within me? Hope in God! For I shall still praise him, the saving help of my countenance, and my God.</t>
        </is>
      </c>
    </row>
    <row r="167">
      <c r="A167" s="13" t="n">
        <v>166</v>
      </c>
      <c r="B167" s="13" t="inlineStr">
        <is>
          <t>W0166</t>
        </is>
      </c>
      <c r="C167" s="13" t="inlineStr">
        <is>
          <t>구약</t>
        </is>
      </c>
      <c r="D167" s="13" t="n">
        <v>166</v>
      </c>
      <c r="E167" s="13">
        <f>C167&amp;"말씀 #"&amp;TEXT(D167,"000")</f>
        <v/>
      </c>
      <c r="F167" s="14" t="inlineStr">
        <is>
          <t>시편</t>
        </is>
      </c>
      <c r="G167" s="14" t="inlineStr">
        <is>
          <t>46:1</t>
        </is>
      </c>
      <c r="H167" s="15" t="inlineStr">
        <is>
          <t>(시 46:1, 개역한글)</t>
        </is>
      </c>
      <c r="I167" s="14" t="inlineStr">
        <is>
          <t>피난처</t>
        </is>
      </c>
      <c r="J167" s="14" t="inlineStr">
        <is>
          <t>바위산·광야</t>
        </is>
      </c>
      <c r="K167" s="16" t="inlineStr">
        <is>
          <t>하나님은 우리의 피난처시요 힘이시니 환난 중에 만날 큰 도움이시라</t>
        </is>
      </c>
      <c r="L167" s="14" t="inlineStr">
        <is>
          <t>자동 입력 · 대조 필요</t>
        </is>
      </c>
      <c r="M167" s="14">
        <f>LEN(K167)</f>
        <v/>
      </c>
      <c r="N167" s="14">
        <f>IF(M167=0,"-",ROUND(3+M167/'안내'!$C$12,0))</f>
        <v/>
      </c>
      <c r="O167" s="15">
        <f>IF(K167="","(본문 입력 후 자동) | 시 46:1",IF(LEN(K167)&gt;28,LEFT(K167,28)&amp;"…",K167)&amp;" | 시 46:1")</f>
        <v/>
      </c>
      <c r="P167" s="15">
        <f>"#"&amp;SUBSTITUTE('안내'!$C$5," ","")&amp;" #성경구절 #말씀 #시편 #피난처"</f>
        <v/>
      </c>
      <c r="Q167" s="15" t="inlineStr">
        <is>
          <t>성경 본문: 개역한글판</t>
        </is>
      </c>
      <c r="R167" s="17">
        <f>'안내'!$C$6+INT((D167-1)/'안내'!$C$7)</f>
        <v/>
      </c>
      <c r="S167" s="14">
        <f>IF(MOD(D167-1,'안내'!$C$7)=0,'안내'!$C$8,'안내'!$C$10)</f>
        <v/>
      </c>
      <c r="T167" s="14">
        <f>CHOOSE(WEEKDAY(R167,2),"월","화","수","목","금","토","일")</f>
        <v/>
      </c>
      <c r="U167" s="14" t="inlineStr">
        <is>
          <t>미착수</t>
        </is>
      </c>
      <c r="V167" s="14" t="inlineStr">
        <is>
          <t>미착수</t>
        </is>
      </c>
      <c r="W167" s="18" t="n"/>
      <c r="X167" s="18" t="n"/>
      <c r="Y167" s="15" t="n"/>
      <c r="Z167" s="15" t="inlineStr">
        <is>
          <t>시편 표제 생략, 줄바꿈 띄어쓰기 확인</t>
        </is>
      </c>
      <c r="AA167" s="15" t="inlineStr">
        <is>
          <t>For the Chief Musician. By the sons of Korah. According to Alamoth. God is our refuge and strength, a very present help in trouble.</t>
        </is>
      </c>
    </row>
    <row r="168">
      <c r="A168" s="13" t="n">
        <v>167</v>
      </c>
      <c r="B168" s="13" t="inlineStr">
        <is>
          <t>W0167</t>
        </is>
      </c>
      <c r="C168" s="13" t="inlineStr">
        <is>
          <t>구약</t>
        </is>
      </c>
      <c r="D168" s="13" t="n">
        <v>167</v>
      </c>
      <c r="E168" s="13">
        <f>C168&amp;"말씀 #"&amp;TEXT(D168,"000")</f>
        <v/>
      </c>
      <c r="F168" s="14" t="inlineStr">
        <is>
          <t>시편</t>
        </is>
      </c>
      <c r="G168" s="14" t="inlineStr">
        <is>
          <t>46:10</t>
        </is>
      </c>
      <c r="H168" s="15" t="inlineStr">
        <is>
          <t>(시 46:10, 개역한글)</t>
        </is>
      </c>
      <c r="I168" s="14" t="inlineStr">
        <is>
          <t>평안</t>
        </is>
      </c>
      <c r="J168" s="14" t="inlineStr">
        <is>
          <t>잔잔한 물</t>
        </is>
      </c>
      <c r="K168" s="16" t="inlineStr">
        <is>
          <t>이르시기를 너희는 가만히 있어 내가 하나님 됨을 알지어다 내가 열방과 세계 중에서 높임을 받으리라 하시도다</t>
        </is>
      </c>
      <c r="L168" s="14" t="inlineStr">
        <is>
          <t>자동 입력</t>
        </is>
      </c>
      <c r="M168" s="14">
        <f>LEN(K168)</f>
        <v/>
      </c>
      <c r="N168" s="14">
        <f>IF(M168=0,"-",ROUND(3+M168/'안내'!$C$12,0))</f>
        <v/>
      </c>
      <c r="O168" s="15">
        <f>IF(K168="","(본문 입력 후 자동) | 시 46:10",IF(LEN(K168)&gt;28,LEFT(K168,28)&amp;"…",K168)&amp;" | 시 46:10")</f>
        <v/>
      </c>
      <c r="P168" s="15">
        <f>"#"&amp;SUBSTITUTE('안내'!$C$5," ","")&amp;" #성경구절 #말씀 #시편 #평안"</f>
        <v/>
      </c>
      <c r="Q168" s="15" t="inlineStr">
        <is>
          <t>성경 본문: 개역한글판</t>
        </is>
      </c>
      <c r="R168" s="17">
        <f>'안내'!$C$6+INT((D168-1)/'안내'!$C$7)</f>
        <v/>
      </c>
      <c r="S168" s="14">
        <f>IF(MOD(D168-1,'안내'!$C$7)=0,'안내'!$C$8,'안내'!$C$10)</f>
        <v/>
      </c>
      <c r="T168" s="14">
        <f>CHOOSE(WEEKDAY(R168,2),"월","화","수","목","금","토","일")</f>
        <v/>
      </c>
      <c r="U168" s="14" t="inlineStr">
        <is>
          <t>미착수</t>
        </is>
      </c>
      <c r="V168" s="14" t="inlineStr">
        <is>
          <t>미착수</t>
        </is>
      </c>
      <c r="W168" s="18" t="n"/>
      <c r="X168" s="18" t="n"/>
      <c r="Y168" s="15" t="n"/>
      <c r="Z168" s="15" t="inlineStr"/>
      <c r="AA168" s="15" t="inlineStr">
        <is>
          <t>“Be still, and know that I am God. I will be exalted among the nations. I will be exalted in the earth.”</t>
        </is>
      </c>
    </row>
    <row r="169">
      <c r="A169" s="13" t="n">
        <v>168</v>
      </c>
      <c r="B169" s="13" t="inlineStr">
        <is>
          <t>W0168</t>
        </is>
      </c>
      <c r="C169" s="13" t="inlineStr">
        <is>
          <t>구약</t>
        </is>
      </c>
      <c r="D169" s="13" t="n">
        <v>168</v>
      </c>
      <c r="E169" s="13">
        <f>C169&amp;"말씀 #"&amp;TEXT(D169,"000")</f>
        <v/>
      </c>
      <c r="F169" s="14" t="inlineStr">
        <is>
          <t>시편</t>
        </is>
      </c>
      <c r="G169" s="14" t="inlineStr">
        <is>
          <t>51:10</t>
        </is>
      </c>
      <c r="H169" s="15" t="inlineStr">
        <is>
          <t>(시 51:10, 개역한글)</t>
        </is>
      </c>
      <c r="I169" s="14" t="inlineStr">
        <is>
          <t>회개</t>
        </is>
      </c>
      <c r="J169" s="14" t="inlineStr">
        <is>
          <t>제단·십자가</t>
        </is>
      </c>
      <c r="K169" s="16" t="inlineStr">
        <is>
          <t>하나님이여 내 속에 정한 마음을 창조하시고 내 안에 정직한 영을 새롭게 하소서</t>
        </is>
      </c>
      <c r="L169" s="14" t="inlineStr">
        <is>
          <t>자동 입력</t>
        </is>
      </c>
      <c r="M169" s="14">
        <f>LEN(K169)</f>
        <v/>
      </c>
      <c r="N169" s="14">
        <f>IF(M169=0,"-",ROUND(3+M169/'안내'!$C$12,0))</f>
        <v/>
      </c>
      <c r="O169" s="15">
        <f>IF(K169="","(본문 입력 후 자동) | 시 51:10",IF(LEN(K169)&gt;28,LEFT(K169,28)&amp;"…",K169)&amp;" | 시 51:10")</f>
        <v/>
      </c>
      <c r="P169" s="15">
        <f>"#"&amp;SUBSTITUTE('안내'!$C$5," ","")&amp;" #성경구절 #말씀 #시편 #회개"</f>
        <v/>
      </c>
      <c r="Q169" s="15" t="inlineStr">
        <is>
          <t>성경 본문: 개역한글판</t>
        </is>
      </c>
      <c r="R169" s="17">
        <f>'안내'!$C$6+INT((D169-1)/'안내'!$C$7)</f>
        <v/>
      </c>
      <c r="S169" s="14">
        <f>IF(MOD(D169-1,'안내'!$C$7)=0,'안내'!$C$8,'안내'!$C$10)</f>
        <v/>
      </c>
      <c r="T169" s="14">
        <f>CHOOSE(WEEKDAY(R169,2),"월","화","수","목","금","토","일")</f>
        <v/>
      </c>
      <c r="U169" s="14" t="inlineStr">
        <is>
          <t>미착수</t>
        </is>
      </c>
      <c r="V169" s="14" t="inlineStr">
        <is>
          <t>미착수</t>
        </is>
      </c>
      <c r="W169" s="18" t="n"/>
      <c r="X169" s="18" t="n"/>
      <c r="Y169" s="15" t="n"/>
      <c r="Z169" s="15" t="inlineStr"/>
      <c r="AA169" s="15" t="inlineStr">
        <is>
          <t>Create in me a clean heart, O God. Renew a right spirit within me.</t>
        </is>
      </c>
    </row>
    <row r="170">
      <c r="A170" s="13" t="n">
        <v>169</v>
      </c>
      <c r="B170" s="13" t="inlineStr">
        <is>
          <t>W0169</t>
        </is>
      </c>
      <c r="C170" s="13" t="inlineStr">
        <is>
          <t>구약</t>
        </is>
      </c>
      <c r="D170" s="13" t="n">
        <v>169</v>
      </c>
      <c r="E170" s="13">
        <f>C170&amp;"말씀 #"&amp;TEXT(D170,"000")</f>
        <v/>
      </c>
      <c r="F170" s="14" t="inlineStr">
        <is>
          <t>시편</t>
        </is>
      </c>
      <c r="G170" s="14" t="inlineStr">
        <is>
          <t>51:17</t>
        </is>
      </c>
      <c r="H170" s="15" t="inlineStr">
        <is>
          <t>(시 51:17, 개역한글)</t>
        </is>
      </c>
      <c r="I170" s="14" t="inlineStr">
        <is>
          <t>회개</t>
        </is>
      </c>
      <c r="J170" s="14" t="inlineStr">
        <is>
          <t>제단·십자가</t>
        </is>
      </c>
      <c r="K170" s="16" t="inlineStr">
        <is>
          <t>하나님의 구하시는 제사는 상한 심령이라 하나님이여 상하고 통회하는 마음을 주께서 멸시치 아니하시리이다</t>
        </is>
      </c>
      <c r="L170" s="14" t="inlineStr">
        <is>
          <t>자동 입력</t>
        </is>
      </c>
      <c r="M170" s="14">
        <f>LEN(K170)</f>
        <v/>
      </c>
      <c r="N170" s="14">
        <f>IF(M170=0,"-",ROUND(3+M170/'안내'!$C$12,0))</f>
        <v/>
      </c>
      <c r="O170" s="15">
        <f>IF(K170="","(본문 입력 후 자동) | 시 51:17",IF(LEN(K170)&gt;28,LEFT(K170,28)&amp;"…",K170)&amp;" | 시 51:17")</f>
        <v/>
      </c>
      <c r="P170" s="15">
        <f>"#"&amp;SUBSTITUTE('안내'!$C$5," ","")&amp;" #성경구절 #말씀 #시편 #회개"</f>
        <v/>
      </c>
      <c r="Q170" s="15" t="inlineStr">
        <is>
          <t>성경 본문: 개역한글판</t>
        </is>
      </c>
      <c r="R170" s="17">
        <f>'안내'!$C$6+INT((D170-1)/'안내'!$C$7)</f>
        <v/>
      </c>
      <c r="S170" s="14">
        <f>IF(MOD(D170-1,'안내'!$C$7)=0,'안내'!$C$8,'안내'!$C$10)</f>
        <v/>
      </c>
      <c r="T170" s="14">
        <f>CHOOSE(WEEKDAY(R170,2),"월","화","수","목","금","토","일")</f>
        <v/>
      </c>
      <c r="U170" s="14" t="inlineStr">
        <is>
          <t>미착수</t>
        </is>
      </c>
      <c r="V170" s="14" t="inlineStr">
        <is>
          <t>미착수</t>
        </is>
      </c>
      <c r="W170" s="18" t="n"/>
      <c r="X170" s="18" t="n"/>
      <c r="Y170" s="15" t="n"/>
      <c r="Z170" s="15" t="inlineStr"/>
      <c r="AA170" s="15" t="inlineStr">
        <is>
          <t>The sacrifices of God are a broken spirit. O God, you will not despise a broken and contrite heart.</t>
        </is>
      </c>
    </row>
    <row r="171">
      <c r="A171" s="13" t="n">
        <v>170</v>
      </c>
      <c r="B171" s="13" t="inlineStr">
        <is>
          <t>W0170</t>
        </is>
      </c>
      <c r="C171" s="13" t="inlineStr">
        <is>
          <t>구약</t>
        </is>
      </c>
      <c r="D171" s="13" t="n">
        <v>170</v>
      </c>
      <c r="E171" s="13">
        <f>C171&amp;"말씀 #"&amp;TEXT(D171,"000")</f>
        <v/>
      </c>
      <c r="F171" s="14" t="inlineStr">
        <is>
          <t>시편</t>
        </is>
      </c>
      <c r="G171" s="14" t="inlineStr">
        <is>
          <t>55:22</t>
        </is>
      </c>
      <c r="H171" s="15" t="inlineStr">
        <is>
          <t>(시 55:22, 개역한글)</t>
        </is>
      </c>
      <c r="I171" s="14" t="inlineStr">
        <is>
          <t>신뢰</t>
        </is>
      </c>
      <c r="J171" s="14" t="inlineStr">
        <is>
          <t>바위산·광야</t>
        </is>
      </c>
      <c r="K171" s="16" t="inlineStr">
        <is>
          <t>네 짐을 여호와께 맡겨 버리라 너를 붙드시고 의인의 요동함을 영영히 허락지 아니하시리로다</t>
        </is>
      </c>
      <c r="L171" s="14" t="inlineStr">
        <is>
          <t>자동 입력</t>
        </is>
      </c>
      <c r="M171" s="14">
        <f>LEN(K171)</f>
        <v/>
      </c>
      <c r="N171" s="14">
        <f>IF(M171=0,"-",ROUND(3+M171/'안내'!$C$12,0))</f>
        <v/>
      </c>
      <c r="O171" s="15">
        <f>IF(K171="","(본문 입력 후 자동) | 시 55:22",IF(LEN(K171)&gt;28,LEFT(K171,28)&amp;"…",K171)&amp;" | 시 55:22")</f>
        <v/>
      </c>
      <c r="P171" s="15">
        <f>"#"&amp;SUBSTITUTE('안내'!$C$5," ","")&amp;" #성경구절 #말씀 #시편 #신뢰"</f>
        <v/>
      </c>
      <c r="Q171" s="15" t="inlineStr">
        <is>
          <t>성경 본문: 개역한글판</t>
        </is>
      </c>
      <c r="R171" s="17">
        <f>'안내'!$C$6+INT((D171-1)/'안내'!$C$7)</f>
        <v/>
      </c>
      <c r="S171" s="14">
        <f>IF(MOD(D171-1,'안내'!$C$7)=0,'안내'!$C$8,'안내'!$C$10)</f>
        <v/>
      </c>
      <c r="T171" s="14">
        <f>CHOOSE(WEEKDAY(R171,2),"월","화","수","목","금","토","일")</f>
        <v/>
      </c>
      <c r="U171" s="14" t="inlineStr">
        <is>
          <t>미착수</t>
        </is>
      </c>
      <c r="V171" s="14" t="inlineStr">
        <is>
          <t>미착수</t>
        </is>
      </c>
      <c r="W171" s="18" t="n"/>
      <c r="X171" s="18" t="n"/>
      <c r="Y171" s="15" t="n"/>
      <c r="Z171" s="15" t="inlineStr"/>
      <c r="AA171" s="15" t="inlineStr">
        <is>
          <t>Cast your burden on Yahweh and he will sustain you. He will never allow the righteous to be moved.</t>
        </is>
      </c>
    </row>
    <row r="172">
      <c r="A172" s="13" t="n">
        <v>171</v>
      </c>
      <c r="B172" s="13" t="inlineStr">
        <is>
          <t>W0171</t>
        </is>
      </c>
      <c r="C172" s="13" t="inlineStr">
        <is>
          <t>구약</t>
        </is>
      </c>
      <c r="D172" s="13" t="n">
        <v>171</v>
      </c>
      <c r="E172" s="13">
        <f>C172&amp;"말씀 #"&amp;TEXT(D172,"000")</f>
        <v/>
      </c>
      <c r="F172" s="14" t="inlineStr">
        <is>
          <t>시편</t>
        </is>
      </c>
      <c r="G172" s="14" t="inlineStr">
        <is>
          <t>56:3</t>
        </is>
      </c>
      <c r="H172" s="15" t="inlineStr">
        <is>
          <t>(시 56:3, 개역한글)</t>
        </is>
      </c>
      <c r="I172" s="14" t="inlineStr">
        <is>
          <t>신뢰</t>
        </is>
      </c>
      <c r="J172" s="14" t="inlineStr">
        <is>
          <t>바위산·광야</t>
        </is>
      </c>
      <c r="K172" s="16" t="inlineStr">
        <is>
          <t>내가 두려워하는 날에는 주를 의지하리이다</t>
        </is>
      </c>
      <c r="L172" s="14" t="inlineStr">
        <is>
          <t>자동 입력</t>
        </is>
      </c>
      <c r="M172" s="14">
        <f>LEN(K172)</f>
        <v/>
      </c>
      <c r="N172" s="14">
        <f>IF(M172=0,"-",ROUND(3+M172/'안내'!$C$12,0))</f>
        <v/>
      </c>
      <c r="O172" s="15">
        <f>IF(K172="","(본문 입력 후 자동) | 시 56:3",IF(LEN(K172)&gt;28,LEFT(K172,28)&amp;"…",K172)&amp;" | 시 56:3")</f>
        <v/>
      </c>
      <c r="P172" s="15">
        <f>"#"&amp;SUBSTITUTE('안내'!$C$5," ","")&amp;" #성경구절 #말씀 #시편 #신뢰"</f>
        <v/>
      </c>
      <c r="Q172" s="15" t="inlineStr">
        <is>
          <t>성경 본문: 개역한글판</t>
        </is>
      </c>
      <c r="R172" s="17">
        <f>'안내'!$C$6+INT((D172-1)/'안내'!$C$7)</f>
        <v/>
      </c>
      <c r="S172" s="14">
        <f>IF(MOD(D172-1,'안내'!$C$7)=0,'안내'!$C$8,'안내'!$C$10)</f>
        <v/>
      </c>
      <c r="T172" s="14">
        <f>CHOOSE(WEEKDAY(R172,2),"월","화","수","목","금","토","일")</f>
        <v/>
      </c>
      <c r="U172" s="14" t="inlineStr">
        <is>
          <t>미착수</t>
        </is>
      </c>
      <c r="V172" s="14" t="inlineStr">
        <is>
          <t>미착수</t>
        </is>
      </c>
      <c r="W172" s="18" t="n"/>
      <c r="X172" s="18" t="n"/>
      <c r="Y172" s="15" t="n"/>
      <c r="Z172" s="15" t="inlineStr"/>
      <c r="AA172" s="15" t="inlineStr">
        <is>
          <t>When I am afraid, I will put my trust in you.</t>
        </is>
      </c>
    </row>
    <row r="173">
      <c r="A173" s="13" t="n">
        <v>172</v>
      </c>
      <c r="B173" s="13" t="inlineStr">
        <is>
          <t>W0172</t>
        </is>
      </c>
      <c r="C173" s="13" t="inlineStr">
        <is>
          <t>구약</t>
        </is>
      </c>
      <c r="D173" s="13" t="n">
        <v>172</v>
      </c>
      <c r="E173" s="13">
        <f>C173&amp;"말씀 #"&amp;TEXT(D173,"000")</f>
        <v/>
      </c>
      <c r="F173" s="14" t="inlineStr">
        <is>
          <t>시편</t>
        </is>
      </c>
      <c r="G173" s="14" t="inlineStr">
        <is>
          <t>62:1</t>
        </is>
      </c>
      <c r="H173" s="15" t="inlineStr">
        <is>
          <t>(시 62:1, 개역한글)</t>
        </is>
      </c>
      <c r="I173" s="14" t="inlineStr">
        <is>
          <t>평안</t>
        </is>
      </c>
      <c r="J173" s="14" t="inlineStr">
        <is>
          <t>잔잔한 물</t>
        </is>
      </c>
      <c r="K173" s="16" t="inlineStr">
        <is>
          <t>나의 영혼이 잠잠히 하나님만 바람이여 나의 구원이 그에게서 나는도다</t>
        </is>
      </c>
      <c r="L173" s="14" t="inlineStr">
        <is>
          <t>자동 입력</t>
        </is>
      </c>
      <c r="M173" s="14">
        <f>LEN(K173)</f>
        <v/>
      </c>
      <c r="N173" s="14">
        <f>IF(M173=0,"-",ROUND(3+M173/'안내'!$C$12,0))</f>
        <v/>
      </c>
      <c r="O173" s="15">
        <f>IF(K173="","(본문 입력 후 자동) | 시 62:1",IF(LEN(K173)&gt;28,LEFT(K173,28)&amp;"…",K173)&amp;" | 시 62:1")</f>
        <v/>
      </c>
      <c r="P173" s="15">
        <f>"#"&amp;SUBSTITUTE('안내'!$C$5," ","")&amp;" #성경구절 #말씀 #시편 #평안"</f>
        <v/>
      </c>
      <c r="Q173" s="15" t="inlineStr">
        <is>
          <t>성경 본문: 개역한글판</t>
        </is>
      </c>
      <c r="R173" s="17">
        <f>'안내'!$C$6+INT((D173-1)/'안내'!$C$7)</f>
        <v/>
      </c>
      <c r="S173" s="14">
        <f>IF(MOD(D173-1,'안내'!$C$7)=0,'안내'!$C$8,'안내'!$C$10)</f>
        <v/>
      </c>
      <c r="T173" s="14">
        <f>CHOOSE(WEEKDAY(R173,2),"월","화","수","목","금","토","일")</f>
        <v/>
      </c>
      <c r="U173" s="14" t="inlineStr">
        <is>
          <t>미착수</t>
        </is>
      </c>
      <c r="V173" s="14" t="inlineStr">
        <is>
          <t>미착수</t>
        </is>
      </c>
      <c r="W173" s="18" t="n"/>
      <c r="X173" s="18" t="n"/>
      <c r="Y173" s="15" t="n"/>
      <c r="Z173" s="15" t="inlineStr">
        <is>
          <t>시편 표제 생략</t>
        </is>
      </c>
      <c r="AA173" s="15" t="inlineStr">
        <is>
          <t>For the Chief Musician. To Jeduthun. A Psalm by David. My soul rests in God alone. My salvation is from him.</t>
        </is>
      </c>
    </row>
    <row r="174">
      <c r="A174" s="13" t="n">
        <v>173</v>
      </c>
      <c r="B174" s="13" t="inlineStr">
        <is>
          <t>W0173</t>
        </is>
      </c>
      <c r="C174" s="13" t="inlineStr">
        <is>
          <t>구약</t>
        </is>
      </c>
      <c r="D174" s="13" t="n">
        <v>173</v>
      </c>
      <c r="E174" s="13">
        <f>C174&amp;"말씀 #"&amp;TEXT(D174,"000")</f>
        <v/>
      </c>
      <c r="F174" s="14" t="inlineStr">
        <is>
          <t>시편</t>
        </is>
      </c>
      <c r="G174" s="14" t="inlineStr">
        <is>
          <t>63:1</t>
        </is>
      </c>
      <c r="H174" s="15" t="inlineStr">
        <is>
          <t>(시 63:1, 개역한글)</t>
        </is>
      </c>
      <c r="I174" s="14" t="inlineStr">
        <is>
          <t>예배</t>
        </is>
      </c>
      <c r="J174" s="14" t="inlineStr">
        <is>
          <t>하늘·별</t>
        </is>
      </c>
      <c r="K174" s="16" t="inlineStr">
        <is>
          <t>하나님이여 주는 나의 하나님이시라 내가 간절히 주를 찾되 물이 없어 마르고 곤핍한 땅에서 내 영혼이 주를 갈망하며 내 육체가 주를 앙모하나이다</t>
        </is>
      </c>
      <c r="L174" s="14" t="inlineStr">
        <is>
          <t>자동 입력 · 대조 필요</t>
        </is>
      </c>
      <c r="M174" s="14">
        <f>LEN(K174)</f>
        <v/>
      </c>
      <c r="N174" s="14">
        <f>IF(M174=0,"-",ROUND(3+M174/'안내'!$C$12,0))</f>
        <v/>
      </c>
      <c r="O174" s="15">
        <f>IF(K174="","(본문 입력 후 자동) | 시 63:1",IF(LEN(K174)&gt;28,LEFT(K174,28)&amp;"…",K174)&amp;" | 시 63:1")</f>
        <v/>
      </c>
      <c r="P174" s="15">
        <f>"#"&amp;SUBSTITUTE('안내'!$C$5," ","")&amp;" #성경구절 #말씀 #시편 #예배"</f>
        <v/>
      </c>
      <c r="Q174" s="15" t="inlineStr">
        <is>
          <t>성경 본문: 개역한글판</t>
        </is>
      </c>
      <c r="R174" s="17">
        <f>'안내'!$C$6+INT((D174-1)/'안내'!$C$7)</f>
        <v/>
      </c>
      <c r="S174" s="14">
        <f>IF(MOD(D174-1,'안내'!$C$7)=0,'안내'!$C$8,'안내'!$C$10)</f>
        <v/>
      </c>
      <c r="T174" s="14">
        <f>CHOOSE(WEEKDAY(R174,2),"월","화","수","목","금","토","일")</f>
        <v/>
      </c>
      <c r="U174" s="14" t="inlineStr">
        <is>
          <t>미착수</t>
        </is>
      </c>
      <c r="V174" s="14" t="inlineStr">
        <is>
          <t>미착수</t>
        </is>
      </c>
      <c r="W174" s="18" t="n"/>
      <c r="X174" s="18" t="n"/>
      <c r="Y174" s="15" t="n"/>
      <c r="Z174" s="15" t="inlineStr">
        <is>
          <t>시편 표제 생략, 줄바꿈 띄어쓰기 확인</t>
        </is>
      </c>
      <c r="AA174" s="15" t="inlineStr">
        <is>
          <t>A Psalm by David, when he was in the desert of Judah. God, you are my God. I will earnestly seek you. My soul thirsts for you. My flesh longs for you, in a dry and weary land, where there is no water.</t>
        </is>
      </c>
    </row>
    <row r="175">
      <c r="A175" s="13" t="n">
        <v>174</v>
      </c>
      <c r="B175" s="13" t="inlineStr">
        <is>
          <t>W0174</t>
        </is>
      </c>
      <c r="C175" s="13" t="inlineStr">
        <is>
          <t>구약</t>
        </is>
      </c>
      <c r="D175" s="13" t="n">
        <v>174</v>
      </c>
      <c r="E175" s="13">
        <f>C175&amp;"말씀 #"&amp;TEXT(D175,"000")</f>
        <v/>
      </c>
      <c r="F175" s="14" t="inlineStr">
        <is>
          <t>시편</t>
        </is>
      </c>
      <c r="G175" s="14" t="inlineStr">
        <is>
          <t>63:3</t>
        </is>
      </c>
      <c r="H175" s="15" t="inlineStr">
        <is>
          <t>(시 63:3, 개역한글)</t>
        </is>
      </c>
      <c r="I175" s="14" t="inlineStr">
        <is>
          <t>찬양</t>
        </is>
      </c>
      <c r="J175" s="14" t="inlineStr">
        <is>
          <t>하늘·별</t>
        </is>
      </c>
      <c r="K175" s="16" t="inlineStr">
        <is>
          <t>주의 인자가 생명보다 나으므로 내 입술이 주를 찬양할 것이라</t>
        </is>
      </c>
      <c r="L175" s="14" t="inlineStr">
        <is>
          <t>자동 입력</t>
        </is>
      </c>
      <c r="M175" s="14">
        <f>LEN(K175)</f>
        <v/>
      </c>
      <c r="N175" s="14">
        <f>IF(M175=0,"-",ROUND(3+M175/'안내'!$C$12,0))</f>
        <v/>
      </c>
      <c r="O175" s="15">
        <f>IF(K175="","(본문 입력 후 자동) | 시 63:3",IF(LEN(K175)&gt;28,LEFT(K175,28)&amp;"…",K175)&amp;" | 시 63:3")</f>
        <v/>
      </c>
      <c r="P175" s="15">
        <f>"#"&amp;SUBSTITUTE('안내'!$C$5," ","")&amp;" #성경구절 #말씀 #시편 #찬양"</f>
        <v/>
      </c>
      <c r="Q175" s="15" t="inlineStr">
        <is>
          <t>성경 본문: 개역한글판</t>
        </is>
      </c>
      <c r="R175" s="17">
        <f>'안내'!$C$6+INT((D175-1)/'안내'!$C$7)</f>
        <v/>
      </c>
      <c r="S175" s="14">
        <f>IF(MOD(D175-1,'안내'!$C$7)=0,'안내'!$C$8,'안내'!$C$10)</f>
        <v/>
      </c>
      <c r="T175" s="14">
        <f>CHOOSE(WEEKDAY(R175,2),"월","화","수","목","금","토","일")</f>
        <v/>
      </c>
      <c r="U175" s="14" t="inlineStr">
        <is>
          <t>미착수</t>
        </is>
      </c>
      <c r="V175" s="14" t="inlineStr">
        <is>
          <t>미착수</t>
        </is>
      </c>
      <c r="W175" s="18" t="n"/>
      <c r="X175" s="18" t="n"/>
      <c r="Y175" s="15" t="n"/>
      <c r="Z175" s="15" t="inlineStr"/>
      <c r="AA175" s="15" t="inlineStr">
        <is>
          <t>Because your loving kindness is better than life, my lips shall praise you.</t>
        </is>
      </c>
    </row>
    <row r="176">
      <c r="A176" s="13" t="n">
        <v>175</v>
      </c>
      <c r="B176" s="13" t="inlineStr">
        <is>
          <t>W0175</t>
        </is>
      </c>
      <c r="C176" s="13" t="inlineStr">
        <is>
          <t>구약</t>
        </is>
      </c>
      <c r="D176" s="13" t="n">
        <v>175</v>
      </c>
      <c r="E176" s="13">
        <f>C176&amp;"말씀 #"&amp;TEXT(D176,"000")</f>
        <v/>
      </c>
      <c r="F176" s="14" t="inlineStr">
        <is>
          <t>시편</t>
        </is>
      </c>
      <c r="G176" s="14" t="inlineStr">
        <is>
          <t>68:19</t>
        </is>
      </c>
      <c r="H176" s="15" t="inlineStr">
        <is>
          <t>(시 68:19, 개역한글)</t>
        </is>
      </c>
      <c r="I176" s="14" t="inlineStr">
        <is>
          <t>은혜</t>
        </is>
      </c>
      <c r="J176" s="14" t="inlineStr">
        <is>
          <t>잔잔한 물</t>
        </is>
      </c>
      <c r="K176" s="16" t="inlineStr">
        <is>
          <t>날마다 우리 짐을 지시는 주 곧 우리의 구원이신 하나님을 찬송할지로다</t>
        </is>
      </c>
      <c r="L176" s="14" t="inlineStr">
        <is>
          <t>자동 입력</t>
        </is>
      </c>
      <c r="M176" s="14">
        <f>LEN(K176)</f>
        <v/>
      </c>
      <c r="N176" s="14">
        <f>IF(M176=0,"-",ROUND(3+M176/'안내'!$C$12,0))</f>
        <v/>
      </c>
      <c r="O176" s="15">
        <f>IF(K176="","(본문 입력 후 자동) | 시 68:19",IF(LEN(K176)&gt;28,LEFT(K176,28)&amp;"…",K176)&amp;" | 시 68:19")</f>
        <v/>
      </c>
      <c r="P176" s="15">
        <f>"#"&amp;SUBSTITUTE('안내'!$C$5," ","")&amp;" #성경구절 #말씀 #시편 #은혜"</f>
        <v/>
      </c>
      <c r="Q176" s="15" t="inlineStr">
        <is>
          <t>성경 본문: 개역한글판</t>
        </is>
      </c>
      <c r="R176" s="17">
        <f>'안내'!$C$6+INT((D176-1)/'안내'!$C$7)</f>
        <v/>
      </c>
      <c r="S176" s="14">
        <f>IF(MOD(D176-1,'안내'!$C$7)=0,'안내'!$C$8,'안내'!$C$10)</f>
        <v/>
      </c>
      <c r="T176" s="14">
        <f>CHOOSE(WEEKDAY(R176,2),"월","화","수","목","금","토","일")</f>
        <v/>
      </c>
      <c r="U176" s="14" t="inlineStr">
        <is>
          <t>미착수</t>
        </is>
      </c>
      <c r="V176" s="14" t="inlineStr">
        <is>
          <t>미착수</t>
        </is>
      </c>
      <c r="W176" s="18" t="n"/>
      <c r="X176" s="18" t="n"/>
      <c r="Y176" s="15" t="n"/>
      <c r="Z176" s="15" t="inlineStr"/>
      <c r="AA176" s="15" t="inlineStr">
        <is>
          <t>Blessed be the Lord, who daily bears our burdens, even the God who is our salvation. Selah.</t>
        </is>
      </c>
    </row>
    <row r="177">
      <c r="A177" s="13" t="n">
        <v>176</v>
      </c>
      <c r="B177" s="13" t="inlineStr">
        <is>
          <t>W0176</t>
        </is>
      </c>
      <c r="C177" s="13" t="inlineStr">
        <is>
          <t>구약</t>
        </is>
      </c>
      <c r="D177" s="13" t="n">
        <v>176</v>
      </c>
      <c r="E177" s="13">
        <f>C177&amp;"말씀 #"&amp;TEXT(D177,"000")</f>
        <v/>
      </c>
      <c r="F177" s="14" t="inlineStr">
        <is>
          <t>시편</t>
        </is>
      </c>
      <c r="G177" s="14" t="inlineStr">
        <is>
          <t>73:26</t>
        </is>
      </c>
      <c r="H177" s="15" t="inlineStr">
        <is>
          <t>(시 73:26, 개역한글)</t>
        </is>
      </c>
      <c r="I177" s="14" t="inlineStr">
        <is>
          <t>신뢰</t>
        </is>
      </c>
      <c r="J177" s="14" t="inlineStr">
        <is>
          <t>바위산·광야</t>
        </is>
      </c>
      <c r="K177" s="16" t="inlineStr">
        <is>
          <t>내 육체와 마음은 쇠잔하나 하나님은 내 마음의 반석이시요 영원한 분깃이시라</t>
        </is>
      </c>
      <c r="L177" s="14" t="inlineStr">
        <is>
          <t>자동 입력</t>
        </is>
      </c>
      <c r="M177" s="14">
        <f>LEN(K177)</f>
        <v/>
      </c>
      <c r="N177" s="14">
        <f>IF(M177=0,"-",ROUND(3+M177/'안내'!$C$12,0))</f>
        <v/>
      </c>
      <c r="O177" s="15">
        <f>IF(K177="","(본문 입력 후 자동) | 시 73:26",IF(LEN(K177)&gt;28,LEFT(K177,28)&amp;"…",K177)&amp;" | 시 73:26")</f>
        <v/>
      </c>
      <c r="P177" s="15">
        <f>"#"&amp;SUBSTITUTE('안내'!$C$5," ","")&amp;" #성경구절 #말씀 #시편 #신뢰"</f>
        <v/>
      </c>
      <c r="Q177" s="15" t="inlineStr">
        <is>
          <t>성경 본문: 개역한글판</t>
        </is>
      </c>
      <c r="R177" s="17">
        <f>'안내'!$C$6+INT((D177-1)/'안내'!$C$7)</f>
        <v/>
      </c>
      <c r="S177" s="14">
        <f>IF(MOD(D177-1,'안내'!$C$7)=0,'안내'!$C$8,'안내'!$C$10)</f>
        <v/>
      </c>
      <c r="T177" s="14">
        <f>CHOOSE(WEEKDAY(R177,2),"월","화","수","목","금","토","일")</f>
        <v/>
      </c>
      <c r="U177" s="14" t="inlineStr">
        <is>
          <t>미착수</t>
        </is>
      </c>
      <c r="V177" s="14" t="inlineStr">
        <is>
          <t>미착수</t>
        </is>
      </c>
      <c r="W177" s="18" t="n"/>
      <c r="X177" s="18" t="n"/>
      <c r="Y177" s="15" t="n"/>
      <c r="Z177" s="15" t="inlineStr"/>
      <c r="AA177" s="15" t="inlineStr">
        <is>
          <t>My flesh and my heart fails, but God is the strength of my heart and my portion forever.</t>
        </is>
      </c>
    </row>
    <row r="178">
      <c r="A178" s="13" t="n">
        <v>177</v>
      </c>
      <c r="B178" s="13" t="inlineStr">
        <is>
          <t>W0177</t>
        </is>
      </c>
      <c r="C178" s="13" t="inlineStr">
        <is>
          <t>구약</t>
        </is>
      </c>
      <c r="D178" s="13" t="n">
        <v>177</v>
      </c>
      <c r="E178" s="13">
        <f>C178&amp;"말씀 #"&amp;TEXT(D178,"000")</f>
        <v/>
      </c>
      <c r="F178" s="14" t="inlineStr">
        <is>
          <t>시편</t>
        </is>
      </c>
      <c r="G178" s="14" t="inlineStr">
        <is>
          <t>84:10</t>
        </is>
      </c>
      <c r="H178" s="15" t="inlineStr">
        <is>
          <t>(시 84:10, 개역한글)</t>
        </is>
      </c>
      <c r="I178" s="14" t="inlineStr">
        <is>
          <t>예배</t>
        </is>
      </c>
      <c r="J178" s="14" t="inlineStr">
        <is>
          <t>하늘·별</t>
        </is>
      </c>
      <c r="K178" s="16" t="inlineStr">
        <is>
          <t>주의 궁정에서 한 날이 다른 곳에서 천 날보다 나은즉 악인의 장막에 거함보다 내 하나님 문지기로 있는 것이 좋사오니</t>
        </is>
      </c>
      <c r="L178" s="14" t="inlineStr">
        <is>
          <t>자동 입력</t>
        </is>
      </c>
      <c r="M178" s="14">
        <f>LEN(K178)</f>
        <v/>
      </c>
      <c r="N178" s="14">
        <f>IF(M178=0,"-",ROUND(3+M178/'안내'!$C$12,0))</f>
        <v/>
      </c>
      <c r="O178" s="15">
        <f>IF(K178="","(본문 입력 후 자동) | 시 84:10",IF(LEN(K178)&gt;28,LEFT(K178,28)&amp;"…",K178)&amp;" | 시 84:10")</f>
        <v/>
      </c>
      <c r="P178" s="15">
        <f>"#"&amp;SUBSTITUTE('안내'!$C$5," ","")&amp;" #성경구절 #말씀 #시편 #예배"</f>
        <v/>
      </c>
      <c r="Q178" s="15" t="inlineStr">
        <is>
          <t>성경 본문: 개역한글판</t>
        </is>
      </c>
      <c r="R178" s="17">
        <f>'안내'!$C$6+INT((D178-1)/'안내'!$C$7)</f>
        <v/>
      </c>
      <c r="S178" s="14">
        <f>IF(MOD(D178-1,'안내'!$C$7)=0,'안내'!$C$8,'안내'!$C$10)</f>
        <v/>
      </c>
      <c r="T178" s="14">
        <f>CHOOSE(WEEKDAY(R178,2),"월","화","수","목","금","토","일")</f>
        <v/>
      </c>
      <c r="U178" s="14" t="inlineStr">
        <is>
          <t>미착수</t>
        </is>
      </c>
      <c r="V178" s="14" t="inlineStr">
        <is>
          <t>미착수</t>
        </is>
      </c>
      <c r="W178" s="18" t="n"/>
      <c r="X178" s="18" t="n"/>
      <c r="Y178" s="15" t="n"/>
      <c r="Z178" s="15" t="inlineStr"/>
      <c r="AA178" s="15" t="inlineStr">
        <is>
          <t>For a day in your courts is better than a thousand. I would rather be a doorkeeper in the house of my God, than to dwell in the tents of wicked- ness.</t>
        </is>
      </c>
    </row>
    <row r="179">
      <c r="A179" s="13" t="n">
        <v>178</v>
      </c>
      <c r="B179" s="13" t="inlineStr">
        <is>
          <t>W0178</t>
        </is>
      </c>
      <c r="C179" s="13" t="inlineStr">
        <is>
          <t>구약</t>
        </is>
      </c>
      <c r="D179" s="13" t="n">
        <v>178</v>
      </c>
      <c r="E179" s="13">
        <f>C179&amp;"말씀 #"&amp;TEXT(D179,"000")</f>
        <v/>
      </c>
      <c r="F179" s="14" t="inlineStr">
        <is>
          <t>시편</t>
        </is>
      </c>
      <c r="G179" s="14" t="inlineStr">
        <is>
          <t>90:12</t>
        </is>
      </c>
      <c r="H179" s="15" t="inlineStr">
        <is>
          <t>(시 90:12, 개역한글)</t>
        </is>
      </c>
      <c r="I179" s="14" t="inlineStr">
        <is>
          <t>지혜</t>
        </is>
      </c>
      <c r="J179" s="14" t="inlineStr">
        <is>
          <t>들판·나무</t>
        </is>
      </c>
      <c r="K179" s="16" t="inlineStr">
        <is>
          <t>우리에게 우리 날 계수함을 가르치사 지혜의 마음을 얻게 하소서</t>
        </is>
      </c>
      <c r="L179" s="14" t="inlineStr">
        <is>
          <t>자동 입력</t>
        </is>
      </c>
      <c r="M179" s="14">
        <f>LEN(K179)</f>
        <v/>
      </c>
      <c r="N179" s="14">
        <f>IF(M179=0,"-",ROUND(3+M179/'안내'!$C$12,0))</f>
        <v/>
      </c>
      <c r="O179" s="15">
        <f>IF(K179="","(본문 입력 후 자동) | 시 90:12",IF(LEN(K179)&gt;28,LEFT(K179,28)&amp;"…",K179)&amp;" | 시 90:12")</f>
        <v/>
      </c>
      <c r="P179" s="15">
        <f>"#"&amp;SUBSTITUTE('안내'!$C$5," ","")&amp;" #성경구절 #말씀 #시편 #지혜"</f>
        <v/>
      </c>
      <c r="Q179" s="15" t="inlineStr">
        <is>
          <t>성경 본문: 개역한글판</t>
        </is>
      </c>
      <c r="R179" s="17">
        <f>'안내'!$C$6+INT((D179-1)/'안내'!$C$7)</f>
        <v/>
      </c>
      <c r="S179" s="14">
        <f>IF(MOD(D179-1,'안내'!$C$7)=0,'안내'!$C$8,'안내'!$C$10)</f>
        <v/>
      </c>
      <c r="T179" s="14">
        <f>CHOOSE(WEEKDAY(R179,2),"월","화","수","목","금","토","일")</f>
        <v/>
      </c>
      <c r="U179" s="14" t="inlineStr">
        <is>
          <t>미착수</t>
        </is>
      </c>
      <c r="V179" s="14" t="inlineStr">
        <is>
          <t>미착수</t>
        </is>
      </c>
      <c r="W179" s="18" t="n"/>
      <c r="X179" s="18" t="n"/>
      <c r="Y179" s="15" t="n"/>
      <c r="Z179" s="15" t="inlineStr"/>
      <c r="AA179" s="15" t="inlineStr">
        <is>
          <t>So teach us to count our days, that we may gain a heart of wisdom.</t>
        </is>
      </c>
    </row>
    <row r="180">
      <c r="A180" s="13" t="n">
        <v>179</v>
      </c>
      <c r="B180" s="13" t="inlineStr">
        <is>
          <t>W0179</t>
        </is>
      </c>
      <c r="C180" s="13" t="inlineStr">
        <is>
          <t>구약</t>
        </is>
      </c>
      <c r="D180" s="13" t="n">
        <v>179</v>
      </c>
      <c r="E180" s="13">
        <f>C180&amp;"말씀 #"&amp;TEXT(D180,"000")</f>
        <v/>
      </c>
      <c r="F180" s="14" t="inlineStr">
        <is>
          <t>시편</t>
        </is>
      </c>
      <c r="G180" s="14" t="inlineStr">
        <is>
          <t>91:1</t>
        </is>
      </c>
      <c r="H180" s="15" t="inlineStr">
        <is>
          <t>(시 91:1, 개역한글)</t>
        </is>
      </c>
      <c r="I180" s="14" t="inlineStr">
        <is>
          <t>보호</t>
        </is>
      </c>
      <c r="J180" s="14" t="inlineStr">
        <is>
          <t>바위산·광야</t>
        </is>
      </c>
      <c r="K180" s="16" t="inlineStr">
        <is>
          <t>지존자의 은밀한 곳에 거하는 자는 전능하신 자의 그늘 아래 거하리로다</t>
        </is>
      </c>
      <c r="L180" s="14" t="inlineStr">
        <is>
          <t>자동 입력</t>
        </is>
      </c>
      <c r="M180" s="14">
        <f>LEN(K180)</f>
        <v/>
      </c>
      <c r="N180" s="14">
        <f>IF(M180=0,"-",ROUND(3+M180/'안내'!$C$12,0))</f>
        <v/>
      </c>
      <c r="O180" s="15">
        <f>IF(K180="","(본문 입력 후 자동) | 시 91:1",IF(LEN(K180)&gt;28,LEFT(K180,28)&amp;"…",K180)&amp;" | 시 91:1")</f>
        <v/>
      </c>
      <c r="P180" s="15">
        <f>"#"&amp;SUBSTITUTE('안내'!$C$5," ","")&amp;" #성경구절 #말씀 #시편 #보호"</f>
        <v/>
      </c>
      <c r="Q180" s="15" t="inlineStr">
        <is>
          <t>성경 본문: 개역한글판</t>
        </is>
      </c>
      <c r="R180" s="17">
        <f>'안내'!$C$6+INT((D180-1)/'안내'!$C$7)</f>
        <v/>
      </c>
      <c r="S180" s="14">
        <f>IF(MOD(D180-1,'안내'!$C$7)=0,'안내'!$C$8,'안내'!$C$10)</f>
        <v/>
      </c>
      <c r="T180" s="14">
        <f>CHOOSE(WEEKDAY(R180,2),"월","화","수","목","금","토","일")</f>
        <v/>
      </c>
      <c r="U180" s="14" t="inlineStr">
        <is>
          <t>미착수</t>
        </is>
      </c>
      <c r="V180" s="14" t="inlineStr">
        <is>
          <t>미착수</t>
        </is>
      </c>
      <c r="W180" s="18" t="n"/>
      <c r="X180" s="18" t="n"/>
      <c r="Y180" s="15" t="n"/>
      <c r="Z180" s="15" t="inlineStr"/>
      <c r="AA180" s="15" t="inlineStr">
        <is>
          <t>He who dwells in the secret place of the Most High will rest in the shadow of the Almighty.</t>
        </is>
      </c>
    </row>
    <row r="181">
      <c r="A181" s="13" t="n">
        <v>180</v>
      </c>
      <c r="B181" s="13" t="inlineStr">
        <is>
          <t>W0180</t>
        </is>
      </c>
      <c r="C181" s="13" t="inlineStr">
        <is>
          <t>구약</t>
        </is>
      </c>
      <c r="D181" s="13" t="n">
        <v>180</v>
      </c>
      <c r="E181" s="13">
        <f>C181&amp;"말씀 #"&amp;TEXT(D181,"000")</f>
        <v/>
      </c>
      <c r="F181" s="14" t="inlineStr">
        <is>
          <t>시편</t>
        </is>
      </c>
      <c r="G181" s="14" t="inlineStr">
        <is>
          <t>91:11</t>
        </is>
      </c>
      <c r="H181" s="15" t="inlineStr">
        <is>
          <t>(시 91:11, 개역한글)</t>
        </is>
      </c>
      <c r="I181" s="14" t="inlineStr">
        <is>
          <t>보호</t>
        </is>
      </c>
      <c r="J181" s="14" t="inlineStr">
        <is>
          <t>바위산·광야</t>
        </is>
      </c>
      <c r="K181" s="16" t="inlineStr">
        <is>
          <t>저가 너를 위하여 그 사자들을 명하사 네 모든 길에 너를 지키게 하심이라</t>
        </is>
      </c>
      <c r="L181" s="14" t="inlineStr">
        <is>
          <t>자동 입력</t>
        </is>
      </c>
      <c r="M181" s="14">
        <f>LEN(K181)</f>
        <v/>
      </c>
      <c r="N181" s="14">
        <f>IF(M181=0,"-",ROUND(3+M181/'안내'!$C$12,0))</f>
        <v/>
      </c>
      <c r="O181" s="15">
        <f>IF(K181="","(본문 입력 후 자동) | 시 91:11",IF(LEN(K181)&gt;28,LEFT(K181,28)&amp;"…",K181)&amp;" | 시 91:11")</f>
        <v/>
      </c>
      <c r="P181" s="15">
        <f>"#"&amp;SUBSTITUTE('안내'!$C$5," ","")&amp;" #성경구절 #말씀 #시편 #보호"</f>
        <v/>
      </c>
      <c r="Q181" s="19" t="inlineStr">
        <is>
          <t>이 구절은 하나님의 보호를 약속하지만, 일부러 위험을 시험하라는 뜻은 아닙니다(마 4:6-7).
성경 본문: 개역한글판</t>
        </is>
      </c>
      <c r="R181" s="17">
        <f>'안내'!$C$6+INT((D181-1)/'안내'!$C$7)</f>
        <v/>
      </c>
      <c r="S181" s="14">
        <f>IF(MOD(D181-1,'안내'!$C$7)=0,'안내'!$C$8,'안내'!$C$10)</f>
        <v/>
      </c>
      <c r="T181" s="14">
        <f>CHOOSE(WEEKDAY(R181,2),"월","화","수","목","금","토","일")</f>
        <v/>
      </c>
      <c r="U181" s="14" t="inlineStr">
        <is>
          <t>미착수</t>
        </is>
      </c>
      <c r="V181" s="14" t="inlineStr">
        <is>
          <t>미착수</t>
        </is>
      </c>
      <c r="W181" s="18" t="n"/>
      <c r="X181" s="18" t="n"/>
      <c r="Y181" s="15" t="n"/>
      <c r="Z181" s="15" t="inlineStr"/>
      <c r="AA181" s="15" t="inlineStr">
        <is>
          <t>For he will put his angels in charge of you, to guard you in all your ways.</t>
        </is>
      </c>
    </row>
    <row r="182">
      <c r="A182" s="13" t="n">
        <v>181</v>
      </c>
      <c r="B182" s="13" t="inlineStr">
        <is>
          <t>W0181</t>
        </is>
      </c>
      <c r="C182" s="13" t="inlineStr">
        <is>
          <t>구약</t>
        </is>
      </c>
      <c r="D182" s="13" t="n">
        <v>181</v>
      </c>
      <c r="E182" s="13">
        <f>C182&amp;"말씀 #"&amp;TEXT(D182,"000")</f>
        <v/>
      </c>
      <c r="F182" s="14" t="inlineStr">
        <is>
          <t>시편</t>
        </is>
      </c>
      <c r="G182" s="14" t="inlineStr">
        <is>
          <t>95:6</t>
        </is>
      </c>
      <c r="H182" s="15" t="inlineStr">
        <is>
          <t>(시 95:6, 개역한글)</t>
        </is>
      </c>
      <c r="I182" s="14" t="inlineStr">
        <is>
          <t>예배</t>
        </is>
      </c>
      <c r="J182" s="14" t="inlineStr">
        <is>
          <t>하늘·별</t>
        </is>
      </c>
      <c r="K182" s="16" t="inlineStr">
        <is>
          <t>오라 우리가 굽혀 경배하며 우리를 지으신 여호와 앞에 무릎을 꿇자</t>
        </is>
      </c>
      <c r="L182" s="14" t="inlineStr">
        <is>
          <t>자동 입력</t>
        </is>
      </c>
      <c r="M182" s="14">
        <f>LEN(K182)</f>
        <v/>
      </c>
      <c r="N182" s="14">
        <f>IF(M182=0,"-",ROUND(3+M182/'안내'!$C$12,0))</f>
        <v/>
      </c>
      <c r="O182" s="15">
        <f>IF(K182="","(본문 입력 후 자동) | 시 95:6",IF(LEN(K182)&gt;28,LEFT(K182,28)&amp;"…",K182)&amp;" | 시 95:6")</f>
        <v/>
      </c>
      <c r="P182" s="15">
        <f>"#"&amp;SUBSTITUTE('안내'!$C$5," ","")&amp;" #성경구절 #말씀 #시편 #예배"</f>
        <v/>
      </c>
      <c r="Q182" s="15" t="inlineStr">
        <is>
          <t>성경 본문: 개역한글판</t>
        </is>
      </c>
      <c r="R182" s="17">
        <f>'안내'!$C$6+INT((D182-1)/'안내'!$C$7)</f>
        <v/>
      </c>
      <c r="S182" s="14">
        <f>IF(MOD(D182-1,'안내'!$C$7)=0,'안내'!$C$8,'안내'!$C$10)</f>
        <v/>
      </c>
      <c r="T182" s="14">
        <f>CHOOSE(WEEKDAY(R182,2),"월","화","수","목","금","토","일")</f>
        <v/>
      </c>
      <c r="U182" s="14" t="inlineStr">
        <is>
          <t>미착수</t>
        </is>
      </c>
      <c r="V182" s="14" t="inlineStr">
        <is>
          <t>미착수</t>
        </is>
      </c>
      <c r="W182" s="18" t="n"/>
      <c r="X182" s="18" t="n"/>
      <c r="Y182" s="15" t="n"/>
      <c r="Z182" s="15" t="inlineStr"/>
      <c r="AA182" s="15" t="inlineStr">
        <is>
          <t>Oh come, let’s worship and bow down. Let’s kneel before Yahweh, our Maker,</t>
        </is>
      </c>
    </row>
    <row r="183">
      <c r="A183" s="13" t="n">
        <v>182</v>
      </c>
      <c r="B183" s="13" t="inlineStr">
        <is>
          <t>W0182</t>
        </is>
      </c>
      <c r="C183" s="13" t="inlineStr">
        <is>
          <t>구약</t>
        </is>
      </c>
      <c r="D183" s="13" t="n">
        <v>182</v>
      </c>
      <c r="E183" s="13">
        <f>C183&amp;"말씀 #"&amp;TEXT(D183,"000")</f>
        <v/>
      </c>
      <c r="F183" s="14" t="inlineStr">
        <is>
          <t>시편</t>
        </is>
      </c>
      <c r="G183" s="14" t="inlineStr">
        <is>
          <t>96:1</t>
        </is>
      </c>
      <c r="H183" s="15" t="inlineStr">
        <is>
          <t>(시 96:1, 개역한글)</t>
        </is>
      </c>
      <c r="I183" s="14" t="inlineStr">
        <is>
          <t>찬양</t>
        </is>
      </c>
      <c r="J183" s="14" t="inlineStr">
        <is>
          <t>하늘·별</t>
        </is>
      </c>
      <c r="K183" s="16" t="inlineStr">
        <is>
          <t>새 노래로 여호와께 노래하라 온 땅이여 여호와께 노래할지어다</t>
        </is>
      </c>
      <c r="L183" s="14" t="inlineStr">
        <is>
          <t>자동 입력</t>
        </is>
      </c>
      <c r="M183" s="14">
        <f>LEN(K183)</f>
        <v/>
      </c>
      <c r="N183" s="14">
        <f>IF(M183=0,"-",ROUND(3+M183/'안내'!$C$12,0))</f>
        <v/>
      </c>
      <c r="O183" s="15">
        <f>IF(K183="","(본문 입력 후 자동) | 시 96:1",IF(LEN(K183)&gt;28,LEFT(K183,28)&amp;"…",K183)&amp;" | 시 96:1")</f>
        <v/>
      </c>
      <c r="P183" s="15">
        <f>"#"&amp;SUBSTITUTE('안내'!$C$5," ","")&amp;" #성경구절 #말씀 #시편 #찬양"</f>
        <v/>
      </c>
      <c r="Q183" s="15" t="inlineStr">
        <is>
          <t>성경 본문: 개역한글판</t>
        </is>
      </c>
      <c r="R183" s="17">
        <f>'안내'!$C$6+INT((D183-1)/'안내'!$C$7)</f>
        <v/>
      </c>
      <c r="S183" s="14">
        <f>IF(MOD(D183-1,'안내'!$C$7)=0,'안내'!$C$8,'안내'!$C$10)</f>
        <v/>
      </c>
      <c r="T183" s="14">
        <f>CHOOSE(WEEKDAY(R183,2),"월","화","수","목","금","토","일")</f>
        <v/>
      </c>
      <c r="U183" s="14" t="inlineStr">
        <is>
          <t>미착수</t>
        </is>
      </c>
      <c r="V183" s="14" t="inlineStr">
        <is>
          <t>미착수</t>
        </is>
      </c>
      <c r="W183" s="18" t="n"/>
      <c r="X183" s="18" t="n"/>
      <c r="Y183" s="15" t="n"/>
      <c r="Z183" s="15" t="inlineStr"/>
      <c r="AA183" s="15" t="inlineStr">
        <is>
          <t>Sing to Yahweh a new song! Sing to Yahweh, all the earth.</t>
        </is>
      </c>
    </row>
    <row r="184">
      <c r="A184" s="13" t="n">
        <v>183</v>
      </c>
      <c r="B184" s="13" t="inlineStr">
        <is>
          <t>W0183</t>
        </is>
      </c>
      <c r="C184" s="13" t="inlineStr">
        <is>
          <t>구약</t>
        </is>
      </c>
      <c r="D184" s="13" t="n">
        <v>183</v>
      </c>
      <c r="E184" s="13">
        <f>C184&amp;"말씀 #"&amp;TEXT(D184,"000")</f>
        <v/>
      </c>
      <c r="F184" s="14" t="inlineStr">
        <is>
          <t>시편</t>
        </is>
      </c>
      <c r="G184" s="14" t="inlineStr">
        <is>
          <t>100:4</t>
        </is>
      </c>
      <c r="H184" s="15" t="inlineStr">
        <is>
          <t>(시 100:4, 개역한글)</t>
        </is>
      </c>
      <c r="I184" s="14" t="inlineStr">
        <is>
          <t>감사</t>
        </is>
      </c>
      <c r="J184" s="14" t="inlineStr">
        <is>
          <t>들판·나무</t>
        </is>
      </c>
      <c r="K184" s="16" t="inlineStr">
        <is>
          <t>감사함으로 그 문에 들어가며 찬송함으로 그 궁정에 들어가서 그에게 감사하며 그 이름을 송축할지어다</t>
        </is>
      </c>
      <c r="L184" s="14" t="inlineStr">
        <is>
          <t>자동 입력</t>
        </is>
      </c>
      <c r="M184" s="14">
        <f>LEN(K184)</f>
        <v/>
      </c>
      <c r="N184" s="14">
        <f>IF(M184=0,"-",ROUND(3+M184/'안내'!$C$12,0))</f>
        <v/>
      </c>
      <c r="O184" s="15">
        <f>IF(K184="","(본문 입력 후 자동) | 시 100:4",IF(LEN(K184)&gt;28,LEFT(K184,28)&amp;"…",K184)&amp;" | 시 100:4")</f>
        <v/>
      </c>
      <c r="P184" s="15">
        <f>"#"&amp;SUBSTITUTE('안내'!$C$5," ","")&amp;" #성경구절 #말씀 #시편 #감사"</f>
        <v/>
      </c>
      <c r="Q184" s="15" t="inlineStr">
        <is>
          <t>성경 본문: 개역한글판</t>
        </is>
      </c>
      <c r="R184" s="17">
        <f>'안내'!$C$6+INT((D184-1)/'안내'!$C$7)</f>
        <v/>
      </c>
      <c r="S184" s="14">
        <f>IF(MOD(D184-1,'안내'!$C$7)=0,'안내'!$C$8,'안내'!$C$10)</f>
        <v/>
      </c>
      <c r="T184" s="14">
        <f>CHOOSE(WEEKDAY(R184,2),"월","화","수","목","금","토","일")</f>
        <v/>
      </c>
      <c r="U184" s="14" t="inlineStr">
        <is>
          <t>미착수</t>
        </is>
      </c>
      <c r="V184" s="14" t="inlineStr">
        <is>
          <t>미착수</t>
        </is>
      </c>
      <c r="W184" s="18" t="n"/>
      <c r="X184" s="18" t="n"/>
      <c r="Y184" s="15" t="n"/>
      <c r="Z184" s="15" t="inlineStr"/>
      <c r="AA184" s="15" t="inlineStr">
        <is>
          <t>Enter into his gates with thanksgiving, and into his courts with praise. Give thanks to him, and bless his name.</t>
        </is>
      </c>
    </row>
    <row r="185">
      <c r="A185" s="13" t="n">
        <v>184</v>
      </c>
      <c r="B185" s="13" t="inlineStr">
        <is>
          <t>W0184</t>
        </is>
      </c>
      <c r="C185" s="13" t="inlineStr">
        <is>
          <t>구약</t>
        </is>
      </c>
      <c r="D185" s="13" t="n">
        <v>184</v>
      </c>
      <c r="E185" s="13">
        <f>C185&amp;"말씀 #"&amp;TEXT(D185,"000")</f>
        <v/>
      </c>
      <c r="F185" s="14" t="inlineStr">
        <is>
          <t>시편</t>
        </is>
      </c>
      <c r="G185" s="14" t="inlineStr">
        <is>
          <t>100:5</t>
        </is>
      </c>
      <c r="H185" s="15" t="inlineStr">
        <is>
          <t>(시 100:5, 개역한글)</t>
        </is>
      </c>
      <c r="I185" s="14" t="inlineStr">
        <is>
          <t>신실하심</t>
        </is>
      </c>
      <c r="J185" s="14" t="inlineStr">
        <is>
          <t>바위산·광야</t>
        </is>
      </c>
      <c r="K185" s="16" t="inlineStr">
        <is>
          <t>대저 여호와는 선하시니 그 인자하심이 영원하고 그 성실하심이 대대에 미치리로다</t>
        </is>
      </c>
      <c r="L185" s="14" t="inlineStr">
        <is>
          <t>자동 입력</t>
        </is>
      </c>
      <c r="M185" s="14">
        <f>LEN(K185)</f>
        <v/>
      </c>
      <c r="N185" s="14">
        <f>IF(M185=0,"-",ROUND(3+M185/'안내'!$C$12,0))</f>
        <v/>
      </c>
      <c r="O185" s="15">
        <f>IF(K185="","(본문 입력 후 자동) | 시 100:5",IF(LEN(K185)&gt;28,LEFT(K185,28)&amp;"…",K185)&amp;" | 시 100:5")</f>
        <v/>
      </c>
      <c r="P185" s="15">
        <f>"#"&amp;SUBSTITUTE('안내'!$C$5," ","")&amp;" #성경구절 #말씀 #시편 #신실하심"</f>
        <v/>
      </c>
      <c r="Q185" s="15" t="inlineStr">
        <is>
          <t>성경 본문: 개역한글판</t>
        </is>
      </c>
      <c r="R185" s="17">
        <f>'안내'!$C$6+INT((D185-1)/'안내'!$C$7)</f>
        <v/>
      </c>
      <c r="S185" s="14">
        <f>IF(MOD(D185-1,'안내'!$C$7)=0,'안내'!$C$8,'안내'!$C$10)</f>
        <v/>
      </c>
      <c r="T185" s="14">
        <f>CHOOSE(WEEKDAY(R185,2),"월","화","수","목","금","토","일")</f>
        <v/>
      </c>
      <c r="U185" s="14" t="inlineStr">
        <is>
          <t>미착수</t>
        </is>
      </c>
      <c r="V185" s="14" t="inlineStr">
        <is>
          <t>미착수</t>
        </is>
      </c>
      <c r="W185" s="18" t="n"/>
      <c r="X185" s="18" t="n"/>
      <c r="Y185" s="15" t="n"/>
      <c r="Z185" s="15" t="inlineStr"/>
      <c r="AA185" s="15" t="inlineStr">
        <is>
          <t>For Yahweh is good. His loving kindness endures forever, his faithfulness to all generations.</t>
        </is>
      </c>
    </row>
    <row r="186">
      <c r="A186" s="13" t="n">
        <v>185</v>
      </c>
      <c r="B186" s="13" t="inlineStr">
        <is>
          <t>W0185</t>
        </is>
      </c>
      <c r="C186" s="13" t="inlineStr">
        <is>
          <t>구약</t>
        </is>
      </c>
      <c r="D186" s="13" t="n">
        <v>185</v>
      </c>
      <c r="E186" s="13">
        <f>C186&amp;"말씀 #"&amp;TEXT(D186,"000")</f>
        <v/>
      </c>
      <c r="F186" s="14" t="inlineStr">
        <is>
          <t>시편</t>
        </is>
      </c>
      <c r="G186" s="14" t="inlineStr">
        <is>
          <t>103:2</t>
        </is>
      </c>
      <c r="H186" s="15" t="inlineStr">
        <is>
          <t>(시 103:2, 개역한글)</t>
        </is>
      </c>
      <c r="I186" s="14" t="inlineStr">
        <is>
          <t>감사</t>
        </is>
      </c>
      <c r="J186" s="14" t="inlineStr">
        <is>
          <t>들판·나무</t>
        </is>
      </c>
      <c r="K186" s="16" t="inlineStr">
        <is>
          <t>내 영혼아 여호와를 송축하며 그 모든 은택을 잊지 말지어다</t>
        </is>
      </c>
      <c r="L186" s="14" t="inlineStr">
        <is>
          <t>자동 입력</t>
        </is>
      </c>
      <c r="M186" s="14">
        <f>LEN(K186)</f>
        <v/>
      </c>
      <c r="N186" s="14">
        <f>IF(M186=0,"-",ROUND(3+M186/'안내'!$C$12,0))</f>
        <v/>
      </c>
      <c r="O186" s="15">
        <f>IF(K186="","(본문 입력 후 자동) | 시 103:2",IF(LEN(K186)&gt;28,LEFT(K186,28)&amp;"…",K186)&amp;" | 시 103:2")</f>
        <v/>
      </c>
      <c r="P186" s="15">
        <f>"#"&amp;SUBSTITUTE('안내'!$C$5," ","")&amp;" #성경구절 #말씀 #시편 #감사"</f>
        <v/>
      </c>
      <c r="Q186" s="15" t="inlineStr">
        <is>
          <t>성경 본문: 개역한글판</t>
        </is>
      </c>
      <c r="R186" s="17">
        <f>'안내'!$C$6+INT((D186-1)/'안내'!$C$7)</f>
        <v/>
      </c>
      <c r="S186" s="14">
        <f>IF(MOD(D186-1,'안내'!$C$7)=0,'안내'!$C$8,'안내'!$C$10)</f>
        <v/>
      </c>
      <c r="T186" s="14">
        <f>CHOOSE(WEEKDAY(R186,2),"월","화","수","목","금","토","일")</f>
        <v/>
      </c>
      <c r="U186" s="14" t="inlineStr">
        <is>
          <t>미착수</t>
        </is>
      </c>
      <c r="V186" s="14" t="inlineStr">
        <is>
          <t>미착수</t>
        </is>
      </c>
      <c r="W186" s="18" t="n"/>
      <c r="X186" s="18" t="n"/>
      <c r="Y186" s="15" t="n"/>
      <c r="Z186" s="15" t="inlineStr"/>
      <c r="AA186" s="15" t="inlineStr">
        <is>
          <t>Praise Yahweh, my soul, and don’t forget all his benefits,</t>
        </is>
      </c>
    </row>
    <row r="187">
      <c r="A187" s="13" t="n">
        <v>186</v>
      </c>
      <c r="B187" s="13" t="inlineStr">
        <is>
          <t>W0186</t>
        </is>
      </c>
      <c r="C187" s="13" t="inlineStr">
        <is>
          <t>구약</t>
        </is>
      </c>
      <c r="D187" s="13" t="n">
        <v>186</v>
      </c>
      <c r="E187" s="13">
        <f>C187&amp;"말씀 #"&amp;TEXT(D187,"000")</f>
        <v/>
      </c>
      <c r="F187" s="14" t="inlineStr">
        <is>
          <t>시편</t>
        </is>
      </c>
      <c r="G187" s="14" t="inlineStr">
        <is>
          <t>103:12</t>
        </is>
      </c>
      <c r="H187" s="15" t="inlineStr">
        <is>
          <t>(시 103:12, 개역한글)</t>
        </is>
      </c>
      <c r="I187" s="14" t="inlineStr">
        <is>
          <t>용서</t>
        </is>
      </c>
      <c r="J187" s="14" t="inlineStr">
        <is>
          <t>잔잔한 물</t>
        </is>
      </c>
      <c r="K187" s="16" t="inlineStr">
        <is>
          <t>동이 서에서 먼 것같이 우리 죄과를 우리에게서 멀리 옮기셨으며</t>
        </is>
      </c>
      <c r="L187" s="14" t="inlineStr">
        <is>
          <t>자동 입력</t>
        </is>
      </c>
      <c r="M187" s="14">
        <f>LEN(K187)</f>
        <v/>
      </c>
      <c r="N187" s="14">
        <f>IF(M187=0,"-",ROUND(3+M187/'안내'!$C$12,0))</f>
        <v/>
      </c>
      <c r="O187" s="15">
        <f>IF(K187="","(본문 입력 후 자동) | 시 103:12",IF(LEN(K187)&gt;28,LEFT(K187,28)&amp;"…",K187)&amp;" | 시 103:12")</f>
        <v/>
      </c>
      <c r="P187" s="15">
        <f>"#"&amp;SUBSTITUTE('안내'!$C$5," ","")&amp;" #성경구절 #말씀 #시편 #용서"</f>
        <v/>
      </c>
      <c r="Q187" s="15" t="inlineStr">
        <is>
          <t>성경 본문: 개역한글판</t>
        </is>
      </c>
      <c r="R187" s="17">
        <f>'안내'!$C$6+INT((D187-1)/'안내'!$C$7)</f>
        <v/>
      </c>
      <c r="S187" s="14">
        <f>IF(MOD(D187-1,'안내'!$C$7)=0,'안내'!$C$8,'안내'!$C$10)</f>
        <v/>
      </c>
      <c r="T187" s="14">
        <f>CHOOSE(WEEKDAY(R187,2),"월","화","수","목","금","토","일")</f>
        <v/>
      </c>
      <c r="U187" s="14" t="inlineStr">
        <is>
          <t>미착수</t>
        </is>
      </c>
      <c r="V187" s="14" t="inlineStr">
        <is>
          <t>미착수</t>
        </is>
      </c>
      <c r="W187" s="18" t="n"/>
      <c r="X187" s="18" t="n"/>
      <c r="Y187" s="15" t="n"/>
      <c r="Z187" s="15" t="inlineStr"/>
      <c r="AA187" s="15" t="inlineStr">
        <is>
          <t>As far as the east is from the west, so far has he removed our transgres- sions from us.</t>
        </is>
      </c>
    </row>
    <row r="188">
      <c r="A188" s="13" t="n">
        <v>187</v>
      </c>
      <c r="B188" s="13" t="inlineStr">
        <is>
          <t>W0187</t>
        </is>
      </c>
      <c r="C188" s="13" t="inlineStr">
        <is>
          <t>구약</t>
        </is>
      </c>
      <c r="D188" s="13" t="n">
        <v>187</v>
      </c>
      <c r="E188" s="13">
        <f>C188&amp;"말씀 #"&amp;TEXT(D188,"000")</f>
        <v/>
      </c>
      <c r="F188" s="14" t="inlineStr">
        <is>
          <t>시편</t>
        </is>
      </c>
      <c r="G188" s="14" t="inlineStr">
        <is>
          <t>107:1</t>
        </is>
      </c>
      <c r="H188" s="15" t="inlineStr">
        <is>
          <t>(시 107:1, 개역한글)</t>
        </is>
      </c>
      <c r="I188" s="14" t="inlineStr">
        <is>
          <t>감사</t>
        </is>
      </c>
      <c r="J188" s="14" t="inlineStr">
        <is>
          <t>들판·나무</t>
        </is>
      </c>
      <c r="K188" s="16" t="inlineStr">
        <is>
          <t>여호와께 감사하라 그는 선하시며 그 인자하심이 영원함이로다</t>
        </is>
      </c>
      <c r="L188" s="14" t="inlineStr">
        <is>
          <t>자동 입력</t>
        </is>
      </c>
      <c r="M188" s="14">
        <f>LEN(K188)</f>
        <v/>
      </c>
      <c r="N188" s="14">
        <f>IF(M188=0,"-",ROUND(3+M188/'안내'!$C$12,0))</f>
        <v/>
      </c>
      <c r="O188" s="15">
        <f>IF(K188="","(본문 입력 후 자동) | 시 107:1",IF(LEN(K188)&gt;28,LEFT(K188,28)&amp;"…",K188)&amp;" | 시 107:1")</f>
        <v/>
      </c>
      <c r="P188" s="15">
        <f>"#"&amp;SUBSTITUTE('안내'!$C$5," ","")&amp;" #성경구절 #말씀 #시편 #감사"</f>
        <v/>
      </c>
      <c r="Q188" s="15" t="inlineStr">
        <is>
          <t>성경 본문: 개역한글판</t>
        </is>
      </c>
      <c r="R188" s="17">
        <f>'안내'!$C$6+INT((D188-1)/'안내'!$C$7)</f>
        <v/>
      </c>
      <c r="S188" s="14">
        <f>IF(MOD(D188-1,'안내'!$C$7)=0,'안내'!$C$8,'안내'!$C$10)</f>
        <v/>
      </c>
      <c r="T188" s="14">
        <f>CHOOSE(WEEKDAY(R188,2),"월","화","수","목","금","토","일")</f>
        <v/>
      </c>
      <c r="U188" s="14" t="inlineStr">
        <is>
          <t>미착수</t>
        </is>
      </c>
      <c r="V188" s="14" t="inlineStr">
        <is>
          <t>미착수</t>
        </is>
      </c>
      <c r="W188" s="18" t="n"/>
      <c r="X188" s="18" t="n"/>
      <c r="Y188" s="15" t="n"/>
      <c r="Z188" s="15" t="inlineStr"/>
      <c r="AA188" s="15" t="inlineStr">
        <is>
          <t>Give thanks to Yahweh, for he is good, for his loving kindness endures for- ever.</t>
        </is>
      </c>
    </row>
    <row r="189">
      <c r="A189" s="13" t="n">
        <v>188</v>
      </c>
      <c r="B189" s="13" t="inlineStr">
        <is>
          <t>W0188</t>
        </is>
      </c>
      <c r="C189" s="13" t="inlineStr">
        <is>
          <t>구약</t>
        </is>
      </c>
      <c r="D189" s="13" t="n">
        <v>188</v>
      </c>
      <c r="E189" s="13">
        <f>C189&amp;"말씀 #"&amp;TEXT(D189,"000")</f>
        <v/>
      </c>
      <c r="F189" s="14" t="inlineStr">
        <is>
          <t>시편</t>
        </is>
      </c>
      <c r="G189" s="14" t="inlineStr">
        <is>
          <t>116:1</t>
        </is>
      </c>
      <c r="H189" s="15" t="inlineStr">
        <is>
          <t>(시 116:1, 개역한글)</t>
        </is>
      </c>
      <c r="I189" s="14" t="inlineStr">
        <is>
          <t>기도</t>
        </is>
      </c>
      <c r="J189" s="14" t="inlineStr">
        <is>
          <t>제단·십자가</t>
        </is>
      </c>
      <c r="K189" s="16" t="inlineStr">
        <is>
          <t>여호와께서 내 음성과 내 간구를 들으시므로 내가 저를 사랑하는도다</t>
        </is>
      </c>
      <c r="L189" s="14" t="inlineStr">
        <is>
          <t>자동 입력</t>
        </is>
      </c>
      <c r="M189" s="14">
        <f>LEN(K189)</f>
        <v/>
      </c>
      <c r="N189" s="14">
        <f>IF(M189=0,"-",ROUND(3+M189/'안내'!$C$12,0))</f>
        <v/>
      </c>
      <c r="O189" s="15">
        <f>IF(K189="","(본문 입력 후 자동) | 시 116:1",IF(LEN(K189)&gt;28,LEFT(K189,28)&amp;"…",K189)&amp;" | 시 116:1")</f>
        <v/>
      </c>
      <c r="P189" s="15">
        <f>"#"&amp;SUBSTITUTE('안내'!$C$5," ","")&amp;" #성경구절 #말씀 #시편 #기도"</f>
        <v/>
      </c>
      <c r="Q189" s="15" t="inlineStr">
        <is>
          <t>성경 본문: 개역한글판</t>
        </is>
      </c>
      <c r="R189" s="17">
        <f>'안내'!$C$6+INT((D189-1)/'안내'!$C$7)</f>
        <v/>
      </c>
      <c r="S189" s="14">
        <f>IF(MOD(D189-1,'안내'!$C$7)=0,'안내'!$C$8,'안내'!$C$10)</f>
        <v/>
      </c>
      <c r="T189" s="14">
        <f>CHOOSE(WEEKDAY(R189,2),"월","화","수","목","금","토","일")</f>
        <v/>
      </c>
      <c r="U189" s="14" t="inlineStr">
        <is>
          <t>미착수</t>
        </is>
      </c>
      <c r="V189" s="14" t="inlineStr">
        <is>
          <t>미착수</t>
        </is>
      </c>
      <c r="W189" s="18" t="n"/>
      <c r="X189" s="18" t="n"/>
      <c r="Y189" s="15" t="n"/>
      <c r="Z189" s="15" t="inlineStr"/>
      <c r="AA189" s="15" t="inlineStr">
        <is>
          <t>I love Yahweh, because he listens to my voice, and my cries for mercy.</t>
        </is>
      </c>
    </row>
    <row r="190">
      <c r="A190" s="13" t="n">
        <v>189</v>
      </c>
      <c r="B190" s="13" t="inlineStr">
        <is>
          <t>W0189</t>
        </is>
      </c>
      <c r="C190" s="13" t="inlineStr">
        <is>
          <t>구약</t>
        </is>
      </c>
      <c r="D190" s="13" t="n">
        <v>189</v>
      </c>
      <c r="E190" s="13">
        <f>C190&amp;"말씀 #"&amp;TEXT(D190,"000")</f>
        <v/>
      </c>
      <c r="F190" s="14" t="inlineStr">
        <is>
          <t>시편</t>
        </is>
      </c>
      <c r="G190" s="14" t="inlineStr">
        <is>
          <t>118:24</t>
        </is>
      </c>
      <c r="H190" s="15" t="inlineStr">
        <is>
          <t>(시 118:24, 개역한글)</t>
        </is>
      </c>
      <c r="I190" s="14" t="inlineStr">
        <is>
          <t>기쁨</t>
        </is>
      </c>
      <c r="J190" s="14" t="inlineStr">
        <is>
          <t>새벽빛</t>
        </is>
      </c>
      <c r="K190" s="16" t="inlineStr">
        <is>
          <t>이 날은 여호와의 정하신 것이라 이 날에 우리가 즐거워하고 기뻐하리로다</t>
        </is>
      </c>
      <c r="L190" s="14" t="inlineStr">
        <is>
          <t>자동 입력</t>
        </is>
      </c>
      <c r="M190" s="14">
        <f>LEN(K190)</f>
        <v/>
      </c>
      <c r="N190" s="14">
        <f>IF(M190=0,"-",ROUND(3+M190/'안내'!$C$12,0))</f>
        <v/>
      </c>
      <c r="O190" s="15">
        <f>IF(K190="","(본문 입력 후 자동) | 시 118:24",IF(LEN(K190)&gt;28,LEFT(K190,28)&amp;"…",K190)&amp;" | 시 118:24")</f>
        <v/>
      </c>
      <c r="P190" s="15">
        <f>"#"&amp;SUBSTITUTE('안내'!$C$5," ","")&amp;" #성경구절 #말씀 #시편 #기쁨"</f>
        <v/>
      </c>
      <c r="Q190" s="15" t="inlineStr">
        <is>
          <t>성경 본문: 개역한글판</t>
        </is>
      </c>
      <c r="R190" s="17">
        <f>'안내'!$C$6+INT((D190-1)/'안내'!$C$7)</f>
        <v/>
      </c>
      <c r="S190" s="14">
        <f>IF(MOD(D190-1,'안내'!$C$7)=0,'안내'!$C$8,'안내'!$C$10)</f>
        <v/>
      </c>
      <c r="T190" s="14">
        <f>CHOOSE(WEEKDAY(R190,2),"월","화","수","목","금","토","일")</f>
        <v/>
      </c>
      <c r="U190" s="14" t="inlineStr">
        <is>
          <t>미착수</t>
        </is>
      </c>
      <c r="V190" s="14" t="inlineStr">
        <is>
          <t>미착수</t>
        </is>
      </c>
      <c r="W190" s="18" t="n"/>
      <c r="X190" s="18" t="n"/>
      <c r="Y190" s="15" t="n"/>
      <c r="Z190" s="15" t="inlineStr"/>
      <c r="AA190" s="15" t="inlineStr">
        <is>
          <t>This is the day that Yahweh has made. We will rejoice and be glad in it!</t>
        </is>
      </c>
    </row>
    <row r="191">
      <c r="A191" s="13" t="n">
        <v>190</v>
      </c>
      <c r="B191" s="13" t="inlineStr">
        <is>
          <t>W0190</t>
        </is>
      </c>
      <c r="C191" s="13" t="inlineStr">
        <is>
          <t>구약</t>
        </is>
      </c>
      <c r="D191" s="13" t="n">
        <v>190</v>
      </c>
      <c r="E191" s="13">
        <f>C191&amp;"말씀 #"&amp;TEXT(D191,"000")</f>
        <v/>
      </c>
      <c r="F191" s="14" t="inlineStr">
        <is>
          <t>시편</t>
        </is>
      </c>
      <c r="G191" s="14" t="inlineStr">
        <is>
          <t>119:9</t>
        </is>
      </c>
      <c r="H191" s="15" t="inlineStr">
        <is>
          <t>(시 119:9, 개역한글)</t>
        </is>
      </c>
      <c r="I191" s="14" t="inlineStr">
        <is>
          <t>말씀</t>
        </is>
      </c>
      <c r="J191" s="14" t="inlineStr">
        <is>
          <t>들판·나무</t>
        </is>
      </c>
      <c r="K191" s="16" t="inlineStr">
        <is>
          <t>청년이 무엇으로 그 행실을 깨끗케 하리이까 주의 말씀을 따라 삼갈 것이니이다</t>
        </is>
      </c>
      <c r="L191" s="14" t="inlineStr">
        <is>
          <t>자동 입력</t>
        </is>
      </c>
      <c r="M191" s="14">
        <f>LEN(K191)</f>
        <v/>
      </c>
      <c r="N191" s="14">
        <f>IF(M191=0,"-",ROUND(3+M191/'안내'!$C$12,0))</f>
        <v/>
      </c>
      <c r="O191" s="15">
        <f>IF(K191="","(본문 입력 후 자동) | 시 119:9",IF(LEN(K191)&gt;28,LEFT(K191,28)&amp;"…",K191)&amp;" | 시 119:9")</f>
        <v/>
      </c>
      <c r="P191" s="15">
        <f>"#"&amp;SUBSTITUTE('안내'!$C$5," ","")&amp;" #성경구절 #말씀 #시편 #말씀"</f>
        <v/>
      </c>
      <c r="Q191" s="15" t="inlineStr">
        <is>
          <t>성경 본문: 개역한글판</t>
        </is>
      </c>
      <c r="R191" s="17">
        <f>'안내'!$C$6+INT((D191-1)/'안내'!$C$7)</f>
        <v/>
      </c>
      <c r="S191" s="14">
        <f>IF(MOD(D191-1,'안내'!$C$7)=0,'안내'!$C$8,'안내'!$C$10)</f>
        <v/>
      </c>
      <c r="T191" s="14">
        <f>CHOOSE(WEEKDAY(R191,2),"월","화","수","목","금","토","일")</f>
        <v/>
      </c>
      <c r="U191" s="14" t="inlineStr">
        <is>
          <t>미착수</t>
        </is>
      </c>
      <c r="V191" s="14" t="inlineStr">
        <is>
          <t>미착수</t>
        </is>
      </c>
      <c r="W191" s="18" t="n"/>
      <c r="X191" s="18" t="n"/>
      <c r="Y191" s="15" t="n"/>
      <c r="Z191" s="15" t="inlineStr"/>
      <c r="AA191" s="15" t="inlineStr">
        <is>
          <t>How can a young man keep his way pure? By living according to your word.</t>
        </is>
      </c>
    </row>
    <row r="192">
      <c r="A192" s="13" t="n">
        <v>191</v>
      </c>
      <c r="B192" s="13" t="inlineStr">
        <is>
          <t>W0191</t>
        </is>
      </c>
      <c r="C192" s="13" t="inlineStr">
        <is>
          <t>구약</t>
        </is>
      </c>
      <c r="D192" s="13" t="n">
        <v>191</v>
      </c>
      <c r="E192" s="13">
        <f>C192&amp;"말씀 #"&amp;TEXT(D192,"000")</f>
        <v/>
      </c>
      <c r="F192" s="14" t="inlineStr">
        <is>
          <t>시편</t>
        </is>
      </c>
      <c r="G192" s="14" t="inlineStr">
        <is>
          <t>119:11</t>
        </is>
      </c>
      <c r="H192" s="15" t="inlineStr">
        <is>
          <t>(시 119:11, 개역한글)</t>
        </is>
      </c>
      <c r="I192" s="14" t="inlineStr">
        <is>
          <t>말씀</t>
        </is>
      </c>
      <c r="J192" s="14" t="inlineStr">
        <is>
          <t>들판·나무</t>
        </is>
      </c>
      <c r="K192" s="16" t="inlineStr">
        <is>
          <t>내가 주께 범죄치 아니하려 하여 주의 말씀을 내 마음에 두었나이다</t>
        </is>
      </c>
      <c r="L192" s="14" t="inlineStr">
        <is>
          <t>자동 입력</t>
        </is>
      </c>
      <c r="M192" s="14">
        <f>LEN(K192)</f>
        <v/>
      </c>
      <c r="N192" s="14">
        <f>IF(M192=0,"-",ROUND(3+M192/'안내'!$C$12,0))</f>
        <v/>
      </c>
      <c r="O192" s="15">
        <f>IF(K192="","(본문 입력 후 자동) | 시 119:11",IF(LEN(K192)&gt;28,LEFT(K192,28)&amp;"…",K192)&amp;" | 시 119:11")</f>
        <v/>
      </c>
      <c r="P192" s="15">
        <f>"#"&amp;SUBSTITUTE('안내'!$C$5," ","")&amp;" #성경구절 #말씀 #시편 #말씀"</f>
        <v/>
      </c>
      <c r="Q192" s="15" t="inlineStr">
        <is>
          <t>성경 본문: 개역한글판</t>
        </is>
      </c>
      <c r="R192" s="17">
        <f>'안내'!$C$6+INT((D192-1)/'안내'!$C$7)</f>
        <v/>
      </c>
      <c r="S192" s="14">
        <f>IF(MOD(D192-1,'안내'!$C$7)=0,'안내'!$C$8,'안내'!$C$10)</f>
        <v/>
      </c>
      <c r="T192" s="14">
        <f>CHOOSE(WEEKDAY(R192,2),"월","화","수","목","금","토","일")</f>
        <v/>
      </c>
      <c r="U192" s="14" t="inlineStr">
        <is>
          <t>미착수</t>
        </is>
      </c>
      <c r="V192" s="14" t="inlineStr">
        <is>
          <t>미착수</t>
        </is>
      </c>
      <c r="W192" s="18" t="n"/>
      <c r="X192" s="18" t="n"/>
      <c r="Y192" s="15" t="n"/>
      <c r="Z192" s="15" t="inlineStr"/>
      <c r="AA192" s="15" t="inlineStr">
        <is>
          <t>I have hidden your word in my heart, that I might not sin against you.</t>
        </is>
      </c>
    </row>
    <row r="193">
      <c r="A193" s="13" t="n">
        <v>192</v>
      </c>
      <c r="B193" s="13" t="inlineStr">
        <is>
          <t>W0192</t>
        </is>
      </c>
      <c r="C193" s="13" t="inlineStr">
        <is>
          <t>구약</t>
        </is>
      </c>
      <c r="D193" s="13" t="n">
        <v>192</v>
      </c>
      <c r="E193" s="13">
        <f>C193&amp;"말씀 #"&amp;TEXT(D193,"000")</f>
        <v/>
      </c>
      <c r="F193" s="14" t="inlineStr">
        <is>
          <t>시편</t>
        </is>
      </c>
      <c r="G193" s="14" t="inlineStr">
        <is>
          <t>119:105</t>
        </is>
      </c>
      <c r="H193" s="15" t="inlineStr">
        <is>
          <t>(시 119:105, 개역한글)</t>
        </is>
      </c>
      <c r="I193" s="14" t="inlineStr">
        <is>
          <t>말씀</t>
        </is>
      </c>
      <c r="J193" s="14" t="inlineStr">
        <is>
          <t>들판·나무</t>
        </is>
      </c>
      <c r="K193" s="16" t="inlineStr">
        <is>
          <t>주의 말씀은 내 발에 등이요 내 길에 빛이니이다</t>
        </is>
      </c>
      <c r="L193" s="14" t="inlineStr">
        <is>
          <t>자동 입력</t>
        </is>
      </c>
      <c r="M193" s="14">
        <f>LEN(K193)</f>
        <v/>
      </c>
      <c r="N193" s="14">
        <f>IF(M193=0,"-",ROUND(3+M193/'안내'!$C$12,0))</f>
        <v/>
      </c>
      <c r="O193" s="15">
        <f>IF(K193="","(본문 입력 후 자동) | 시 119:105",IF(LEN(K193)&gt;28,LEFT(K193,28)&amp;"…",K193)&amp;" | 시 119:105")</f>
        <v/>
      </c>
      <c r="P193" s="15">
        <f>"#"&amp;SUBSTITUTE('안내'!$C$5," ","")&amp;" #성경구절 #말씀 #시편 #말씀"</f>
        <v/>
      </c>
      <c r="Q193" s="15" t="inlineStr">
        <is>
          <t>성경 본문: 개역한글판</t>
        </is>
      </c>
      <c r="R193" s="17">
        <f>'안내'!$C$6+INT((D193-1)/'안내'!$C$7)</f>
        <v/>
      </c>
      <c r="S193" s="14">
        <f>IF(MOD(D193-1,'안내'!$C$7)=0,'안내'!$C$8,'안내'!$C$10)</f>
        <v/>
      </c>
      <c r="T193" s="14">
        <f>CHOOSE(WEEKDAY(R193,2),"월","화","수","목","금","토","일")</f>
        <v/>
      </c>
      <c r="U193" s="14" t="inlineStr">
        <is>
          <t>미착수</t>
        </is>
      </c>
      <c r="V193" s="14" t="inlineStr">
        <is>
          <t>미착수</t>
        </is>
      </c>
      <c r="W193" s="18" t="n"/>
      <c r="X193" s="18" t="n"/>
      <c r="Y193" s="15" t="n"/>
      <c r="Z193" s="15" t="inlineStr"/>
      <c r="AA193" s="15" t="inlineStr">
        <is>
          <t>Your word is a lamp to my feet, and a light for my path.</t>
        </is>
      </c>
    </row>
    <row r="194">
      <c r="A194" s="13" t="n">
        <v>193</v>
      </c>
      <c r="B194" s="13" t="inlineStr">
        <is>
          <t>W0193</t>
        </is>
      </c>
      <c r="C194" s="13" t="inlineStr">
        <is>
          <t>구약</t>
        </is>
      </c>
      <c r="D194" s="13" t="n">
        <v>193</v>
      </c>
      <c r="E194" s="13">
        <f>C194&amp;"말씀 #"&amp;TEXT(D194,"000")</f>
        <v/>
      </c>
      <c r="F194" s="14" t="inlineStr">
        <is>
          <t>시편</t>
        </is>
      </c>
      <c r="G194" s="14" t="inlineStr">
        <is>
          <t>121:1</t>
        </is>
      </c>
      <c r="H194" s="15" t="inlineStr">
        <is>
          <t>(시 121:1, 개역한글)</t>
        </is>
      </c>
      <c r="I194" s="14" t="inlineStr">
        <is>
          <t>소망</t>
        </is>
      </c>
      <c r="J194" s="14" t="inlineStr">
        <is>
          <t>새벽빛</t>
        </is>
      </c>
      <c r="K194" s="16" t="inlineStr">
        <is>
          <t>내가 산을 향하여 눈을 들리라 나의 도움이 어디서 올꼬</t>
        </is>
      </c>
      <c r="L194" s="14" t="inlineStr">
        <is>
          <t>자동 입력</t>
        </is>
      </c>
      <c r="M194" s="14">
        <f>LEN(K194)</f>
        <v/>
      </c>
      <c r="N194" s="14">
        <f>IF(M194=0,"-",ROUND(3+M194/'안내'!$C$12,0))</f>
        <v/>
      </c>
      <c r="O194" s="15">
        <f>IF(K194="","(본문 입력 후 자동) | 시 121:1",IF(LEN(K194)&gt;28,LEFT(K194,28)&amp;"…",K194)&amp;" | 시 121:1")</f>
        <v/>
      </c>
      <c r="P194" s="15">
        <f>"#"&amp;SUBSTITUTE('안내'!$C$5," ","")&amp;" #성경구절 #말씀 #시편 #소망"</f>
        <v/>
      </c>
      <c r="Q194" s="15" t="inlineStr">
        <is>
          <t>성경 본문: 개역한글판</t>
        </is>
      </c>
      <c r="R194" s="17">
        <f>'안내'!$C$6+INT((D194-1)/'안내'!$C$7)</f>
        <v/>
      </c>
      <c r="S194" s="14">
        <f>IF(MOD(D194-1,'안내'!$C$7)=0,'안내'!$C$8,'안내'!$C$10)</f>
        <v/>
      </c>
      <c r="T194" s="14">
        <f>CHOOSE(WEEKDAY(R194,2),"월","화","수","목","금","토","일")</f>
        <v/>
      </c>
      <c r="U194" s="14" t="inlineStr">
        <is>
          <t>미착수</t>
        </is>
      </c>
      <c r="V194" s="14" t="inlineStr">
        <is>
          <t>미착수</t>
        </is>
      </c>
      <c r="W194" s="18" t="n"/>
      <c r="X194" s="18" t="n"/>
      <c r="Y194" s="15" t="n"/>
      <c r="Z194" s="15" t="inlineStr">
        <is>
          <t>시편 표제 생략</t>
        </is>
      </c>
      <c r="AA194" s="15" t="inlineStr">
        <is>
          <t>A Song of Ascents. I will lift up my eyes to the hills. Where does my help come from?</t>
        </is>
      </c>
    </row>
    <row r="195">
      <c r="A195" s="13" t="n">
        <v>194</v>
      </c>
      <c r="B195" s="13" t="inlineStr">
        <is>
          <t>W0194</t>
        </is>
      </c>
      <c r="C195" s="13" t="inlineStr">
        <is>
          <t>구약</t>
        </is>
      </c>
      <c r="D195" s="13" t="n">
        <v>194</v>
      </c>
      <c r="E195" s="13">
        <f>C195&amp;"말씀 #"&amp;TEXT(D195,"000")</f>
        <v/>
      </c>
      <c r="F195" s="14" t="inlineStr">
        <is>
          <t>시편</t>
        </is>
      </c>
      <c r="G195" s="14" t="inlineStr">
        <is>
          <t>121:2</t>
        </is>
      </c>
      <c r="H195" s="15" t="inlineStr">
        <is>
          <t>(시 121:2, 개역한글)</t>
        </is>
      </c>
      <c r="I195" s="14" t="inlineStr">
        <is>
          <t>보호</t>
        </is>
      </c>
      <c r="J195" s="14" t="inlineStr">
        <is>
          <t>바위산·광야</t>
        </is>
      </c>
      <c r="K195" s="16" t="inlineStr">
        <is>
          <t>나의 도움이 천지를 지으신 여호와에게서로다</t>
        </is>
      </c>
      <c r="L195" s="14" t="inlineStr">
        <is>
          <t>자동 입력</t>
        </is>
      </c>
      <c r="M195" s="14">
        <f>LEN(K195)</f>
        <v/>
      </c>
      <c r="N195" s="14">
        <f>IF(M195=0,"-",ROUND(3+M195/'안내'!$C$12,0))</f>
        <v/>
      </c>
      <c r="O195" s="15">
        <f>IF(K195="","(본문 입력 후 자동) | 시 121:2",IF(LEN(K195)&gt;28,LEFT(K195,28)&amp;"…",K195)&amp;" | 시 121:2")</f>
        <v/>
      </c>
      <c r="P195" s="15">
        <f>"#"&amp;SUBSTITUTE('안내'!$C$5," ","")&amp;" #성경구절 #말씀 #시편 #보호"</f>
        <v/>
      </c>
      <c r="Q195" s="15" t="inlineStr">
        <is>
          <t>성경 본문: 개역한글판</t>
        </is>
      </c>
      <c r="R195" s="17">
        <f>'안내'!$C$6+INT((D195-1)/'안내'!$C$7)</f>
        <v/>
      </c>
      <c r="S195" s="14">
        <f>IF(MOD(D195-1,'안내'!$C$7)=0,'안내'!$C$8,'안내'!$C$10)</f>
        <v/>
      </c>
      <c r="T195" s="14">
        <f>CHOOSE(WEEKDAY(R195,2),"월","화","수","목","금","토","일")</f>
        <v/>
      </c>
      <c r="U195" s="14" t="inlineStr">
        <is>
          <t>미착수</t>
        </is>
      </c>
      <c r="V195" s="14" t="inlineStr">
        <is>
          <t>미착수</t>
        </is>
      </c>
      <c r="W195" s="18" t="n"/>
      <c r="X195" s="18" t="n"/>
      <c r="Y195" s="15" t="n"/>
      <c r="Z195" s="15" t="inlineStr"/>
      <c r="AA195" s="15" t="inlineStr">
        <is>
          <t>My help comes from Yahweh, who made heaven and earth.</t>
        </is>
      </c>
    </row>
    <row r="196">
      <c r="A196" s="13" t="n">
        <v>195</v>
      </c>
      <c r="B196" s="13" t="inlineStr">
        <is>
          <t>W0195</t>
        </is>
      </c>
      <c r="C196" s="13" t="inlineStr">
        <is>
          <t>구약</t>
        </is>
      </c>
      <c r="D196" s="13" t="n">
        <v>195</v>
      </c>
      <c r="E196" s="13">
        <f>C196&amp;"말씀 #"&amp;TEXT(D196,"000")</f>
        <v/>
      </c>
      <c r="F196" s="14" t="inlineStr">
        <is>
          <t>시편</t>
        </is>
      </c>
      <c r="G196" s="14" t="inlineStr">
        <is>
          <t>126:5</t>
        </is>
      </c>
      <c r="H196" s="15" t="inlineStr">
        <is>
          <t>(시 126:5, 개역한글)</t>
        </is>
      </c>
      <c r="I196" s="14" t="inlineStr">
        <is>
          <t>소망</t>
        </is>
      </c>
      <c r="J196" s="14" t="inlineStr">
        <is>
          <t>새벽빛</t>
        </is>
      </c>
      <c r="K196" s="16" t="inlineStr">
        <is>
          <t>눈물을 흘리며 씨를 뿌리는 자는 기쁨으로 거두리로다</t>
        </is>
      </c>
      <c r="L196" s="14" t="inlineStr">
        <is>
          <t>자동 입력</t>
        </is>
      </c>
      <c r="M196" s="14">
        <f>LEN(K196)</f>
        <v/>
      </c>
      <c r="N196" s="14">
        <f>IF(M196=0,"-",ROUND(3+M196/'안내'!$C$12,0))</f>
        <v/>
      </c>
      <c r="O196" s="15">
        <f>IF(K196="","(본문 입력 후 자동) | 시 126:5",IF(LEN(K196)&gt;28,LEFT(K196,28)&amp;"…",K196)&amp;" | 시 126:5")</f>
        <v/>
      </c>
      <c r="P196" s="15">
        <f>"#"&amp;SUBSTITUTE('안내'!$C$5," ","")&amp;" #성경구절 #말씀 #시편 #소망"</f>
        <v/>
      </c>
      <c r="Q196" s="15" t="inlineStr">
        <is>
          <t>성경 본문: 개역한글판</t>
        </is>
      </c>
      <c r="R196" s="17">
        <f>'안내'!$C$6+INT((D196-1)/'안내'!$C$7)</f>
        <v/>
      </c>
      <c r="S196" s="14">
        <f>IF(MOD(D196-1,'안내'!$C$7)=0,'안내'!$C$8,'안내'!$C$10)</f>
        <v/>
      </c>
      <c r="T196" s="14">
        <f>CHOOSE(WEEKDAY(R196,2),"월","화","수","목","금","토","일")</f>
        <v/>
      </c>
      <c r="U196" s="14" t="inlineStr">
        <is>
          <t>미착수</t>
        </is>
      </c>
      <c r="V196" s="14" t="inlineStr">
        <is>
          <t>미착수</t>
        </is>
      </c>
      <c r="W196" s="18" t="n"/>
      <c r="X196" s="18" t="n"/>
      <c r="Y196" s="15" t="n"/>
      <c r="Z196" s="15" t="inlineStr"/>
      <c r="AA196" s="15" t="inlineStr">
        <is>
          <t>Those who sow in tears will reap in joy.</t>
        </is>
      </c>
    </row>
    <row r="197">
      <c r="A197" s="13" t="n">
        <v>196</v>
      </c>
      <c r="B197" s="13" t="inlineStr">
        <is>
          <t>W0196</t>
        </is>
      </c>
      <c r="C197" s="13" t="inlineStr">
        <is>
          <t>구약</t>
        </is>
      </c>
      <c r="D197" s="13" t="n">
        <v>196</v>
      </c>
      <c r="E197" s="13">
        <f>C197&amp;"말씀 #"&amp;TEXT(D197,"000")</f>
        <v/>
      </c>
      <c r="F197" s="14" t="inlineStr">
        <is>
          <t>시편</t>
        </is>
      </c>
      <c r="G197" s="14" t="inlineStr">
        <is>
          <t>127:1</t>
        </is>
      </c>
      <c r="H197" s="15" t="inlineStr">
        <is>
          <t>(시 127:1, 개역한글)</t>
        </is>
      </c>
      <c r="I197" s="14" t="inlineStr">
        <is>
          <t>가정</t>
        </is>
      </c>
      <c r="J197" s="14" t="inlineStr">
        <is>
          <t>창가·식탁</t>
        </is>
      </c>
      <c r="K197" s="16" t="inlineStr">
        <is>
          <t>여호와께서 집을 세우지 아니하시면 세우는 자의 수고가 헛되며 여호와께서 성을 지키지 아니하시면 파수꾼의 경성함이 허사로다</t>
        </is>
      </c>
      <c r="L197" s="14" t="inlineStr">
        <is>
          <t>자동 입력</t>
        </is>
      </c>
      <c r="M197" s="14">
        <f>LEN(K197)</f>
        <v/>
      </c>
      <c r="N197" s="14">
        <f>IF(M197=0,"-",ROUND(3+M197/'안내'!$C$12,0))</f>
        <v/>
      </c>
      <c r="O197" s="15">
        <f>IF(K197="","(본문 입력 후 자동) | 시 127:1",IF(LEN(K197)&gt;28,LEFT(K197,28)&amp;"…",K197)&amp;" | 시 127:1")</f>
        <v/>
      </c>
      <c r="P197" s="15">
        <f>"#"&amp;SUBSTITUTE('안내'!$C$5," ","")&amp;" #성경구절 #말씀 #시편 #가정"</f>
        <v/>
      </c>
      <c r="Q197" s="15" t="inlineStr">
        <is>
          <t>성경 본문: 개역한글판</t>
        </is>
      </c>
      <c r="R197" s="17">
        <f>'안내'!$C$6+INT((D197-1)/'안내'!$C$7)</f>
        <v/>
      </c>
      <c r="S197" s="14">
        <f>IF(MOD(D197-1,'안내'!$C$7)=0,'안내'!$C$8,'안내'!$C$10)</f>
        <v/>
      </c>
      <c r="T197" s="14">
        <f>CHOOSE(WEEKDAY(R197,2),"월","화","수","목","금","토","일")</f>
        <v/>
      </c>
      <c r="U197" s="14" t="inlineStr">
        <is>
          <t>미착수</t>
        </is>
      </c>
      <c r="V197" s="14" t="inlineStr">
        <is>
          <t>미착수</t>
        </is>
      </c>
      <c r="W197" s="18" t="n"/>
      <c r="X197" s="18" t="n"/>
      <c r="Y197" s="15" t="n"/>
      <c r="Z197" s="15" t="inlineStr">
        <is>
          <t>시편 표제 생략</t>
        </is>
      </c>
      <c r="AA197" s="15" t="inlineStr">
        <is>
          <t>A Song of Ascents. By Solomon. Unless Yahweh builds the house, they who build it labor in vain. Unless Yahweh watches over the city, the watchman guards it in vain.</t>
        </is>
      </c>
    </row>
    <row r="198">
      <c r="A198" s="13" t="n">
        <v>197</v>
      </c>
      <c r="B198" s="13" t="inlineStr">
        <is>
          <t>W0197</t>
        </is>
      </c>
      <c r="C198" s="13" t="inlineStr">
        <is>
          <t>구약</t>
        </is>
      </c>
      <c r="D198" s="13" t="n">
        <v>197</v>
      </c>
      <c r="E198" s="13">
        <f>C198&amp;"말씀 #"&amp;TEXT(D198,"000")</f>
        <v/>
      </c>
      <c r="F198" s="14" t="inlineStr">
        <is>
          <t>시편</t>
        </is>
      </c>
      <c r="G198" s="14" t="inlineStr">
        <is>
          <t>133:1</t>
        </is>
      </c>
      <c r="H198" s="15" t="inlineStr">
        <is>
          <t>(시 133:1, 개역한글)</t>
        </is>
      </c>
      <c r="I198" s="14" t="inlineStr">
        <is>
          <t>연합</t>
        </is>
      </c>
      <c r="J198" s="14" t="inlineStr">
        <is>
          <t>창가·식탁</t>
        </is>
      </c>
      <c r="K198" s="16" t="inlineStr">
        <is>
          <t>형제가 연합하여 동거함이 어찌 그리 선하고 아름다운고</t>
        </is>
      </c>
      <c r="L198" s="14" t="inlineStr">
        <is>
          <t>자동 입력</t>
        </is>
      </c>
      <c r="M198" s="14">
        <f>LEN(K198)</f>
        <v/>
      </c>
      <c r="N198" s="14">
        <f>IF(M198=0,"-",ROUND(3+M198/'안내'!$C$12,0))</f>
        <v/>
      </c>
      <c r="O198" s="15">
        <f>IF(K198="","(본문 입력 후 자동) | 시 133:1",IF(LEN(K198)&gt;28,LEFT(K198,28)&amp;"…",K198)&amp;" | 시 133:1")</f>
        <v/>
      </c>
      <c r="P198" s="15">
        <f>"#"&amp;SUBSTITUTE('안내'!$C$5," ","")&amp;" #성경구절 #말씀 #시편 #연합"</f>
        <v/>
      </c>
      <c r="Q198" s="15" t="inlineStr">
        <is>
          <t>성경 본문: 개역한글판</t>
        </is>
      </c>
      <c r="R198" s="17">
        <f>'안내'!$C$6+INT((D198-1)/'안내'!$C$7)</f>
        <v/>
      </c>
      <c r="S198" s="14">
        <f>IF(MOD(D198-1,'안내'!$C$7)=0,'안내'!$C$8,'안내'!$C$10)</f>
        <v/>
      </c>
      <c r="T198" s="14">
        <f>CHOOSE(WEEKDAY(R198,2),"월","화","수","목","금","토","일")</f>
        <v/>
      </c>
      <c r="U198" s="14" t="inlineStr">
        <is>
          <t>미착수</t>
        </is>
      </c>
      <c r="V198" s="14" t="inlineStr">
        <is>
          <t>미착수</t>
        </is>
      </c>
      <c r="W198" s="18" t="n"/>
      <c r="X198" s="18" t="n"/>
      <c r="Y198" s="15" t="n"/>
      <c r="Z198" s="15" t="inlineStr">
        <is>
          <t>시편 표제 생략</t>
        </is>
      </c>
      <c r="AA198" s="15" t="inlineStr">
        <is>
          <t>A Song of Ascents. By David. See how good and how pleasant it is for brothers to live together in unity!</t>
        </is>
      </c>
    </row>
    <row r="199">
      <c r="A199" s="13" t="n">
        <v>198</v>
      </c>
      <c r="B199" s="13" t="inlineStr">
        <is>
          <t>W0198</t>
        </is>
      </c>
      <c r="C199" s="13" t="inlineStr">
        <is>
          <t>구약</t>
        </is>
      </c>
      <c r="D199" s="13" t="n">
        <v>198</v>
      </c>
      <c r="E199" s="13">
        <f>C199&amp;"말씀 #"&amp;TEXT(D199,"000")</f>
        <v/>
      </c>
      <c r="F199" s="14" t="inlineStr">
        <is>
          <t>시편</t>
        </is>
      </c>
      <c r="G199" s="14" t="inlineStr">
        <is>
          <t>139:14</t>
        </is>
      </c>
      <c r="H199" s="15" t="inlineStr">
        <is>
          <t>(시 139:14, 개역한글)</t>
        </is>
      </c>
      <c r="I199" s="14" t="inlineStr">
        <is>
          <t>창조</t>
        </is>
      </c>
      <c r="J199" s="14" t="inlineStr">
        <is>
          <t>하늘·별</t>
        </is>
      </c>
      <c r="K199" s="16" t="inlineStr">
        <is>
          <t>내가 주께 감사하옴은 나를 지으심이 신묘막측하심이라 주의 행사가 기이함을 내 영혼이 잘 아나이다</t>
        </is>
      </c>
      <c r="L199" s="14" t="inlineStr">
        <is>
          <t>자동 입력</t>
        </is>
      </c>
      <c r="M199" s="14">
        <f>LEN(K199)</f>
        <v/>
      </c>
      <c r="N199" s="14">
        <f>IF(M199=0,"-",ROUND(3+M199/'안내'!$C$12,0))</f>
        <v/>
      </c>
      <c r="O199" s="15">
        <f>IF(K199="","(본문 입력 후 자동) | 시 139:14",IF(LEN(K199)&gt;28,LEFT(K199,28)&amp;"…",K199)&amp;" | 시 139:14")</f>
        <v/>
      </c>
      <c r="P199" s="15">
        <f>"#"&amp;SUBSTITUTE('안내'!$C$5," ","")&amp;" #성경구절 #말씀 #시편 #창조"</f>
        <v/>
      </c>
      <c r="Q199" s="15" t="inlineStr">
        <is>
          <t>성경 본문: 개역한글판</t>
        </is>
      </c>
      <c r="R199" s="17">
        <f>'안내'!$C$6+INT((D199-1)/'안내'!$C$7)</f>
        <v/>
      </c>
      <c r="S199" s="14">
        <f>IF(MOD(D199-1,'안내'!$C$7)=0,'안내'!$C$8,'안내'!$C$10)</f>
        <v/>
      </c>
      <c r="T199" s="14">
        <f>CHOOSE(WEEKDAY(R199,2),"월","화","수","목","금","토","일")</f>
        <v/>
      </c>
      <c r="U199" s="14" t="inlineStr">
        <is>
          <t>미착수</t>
        </is>
      </c>
      <c r="V199" s="14" t="inlineStr">
        <is>
          <t>미착수</t>
        </is>
      </c>
      <c r="W199" s="18" t="n"/>
      <c r="X199" s="18" t="n"/>
      <c r="Y199" s="15" t="n"/>
      <c r="Z199" s="15" t="inlineStr"/>
      <c r="AA199" s="15" t="inlineStr">
        <is>
          <t>I will give thanks to you, for I am fearfully and wonderfully made. Your works are wonderful. My soul knows that very well.</t>
        </is>
      </c>
    </row>
    <row r="200">
      <c r="A200" s="13" t="n">
        <v>199</v>
      </c>
      <c r="B200" s="13" t="inlineStr">
        <is>
          <t>W0199</t>
        </is>
      </c>
      <c r="C200" s="13" t="inlineStr">
        <is>
          <t>구약</t>
        </is>
      </c>
      <c r="D200" s="13" t="n">
        <v>199</v>
      </c>
      <c r="E200" s="13">
        <f>C200&amp;"말씀 #"&amp;TEXT(D200,"000")</f>
        <v/>
      </c>
      <c r="F200" s="14" t="inlineStr">
        <is>
          <t>시편</t>
        </is>
      </c>
      <c r="G200" s="14" t="inlineStr">
        <is>
          <t>139:23</t>
        </is>
      </c>
      <c r="H200" s="15" t="inlineStr">
        <is>
          <t>(시 139:23, 개역한글)</t>
        </is>
      </c>
      <c r="I200" s="14" t="inlineStr">
        <is>
          <t>기도</t>
        </is>
      </c>
      <c r="J200" s="14" t="inlineStr">
        <is>
          <t>제단·십자가</t>
        </is>
      </c>
      <c r="K200" s="16" t="inlineStr">
        <is>
          <t>하나님이여 나를 살피사 내 마음을 아시며 나를 시험하사 내 뜻을 아옵소서</t>
        </is>
      </c>
      <c r="L200" s="14" t="inlineStr">
        <is>
          <t>자동 입력</t>
        </is>
      </c>
      <c r="M200" s="14">
        <f>LEN(K200)</f>
        <v/>
      </c>
      <c r="N200" s="14">
        <f>IF(M200=0,"-",ROUND(3+M200/'안내'!$C$12,0))</f>
        <v/>
      </c>
      <c r="O200" s="15">
        <f>IF(K200="","(본문 입력 후 자동) | 시 139:23",IF(LEN(K200)&gt;28,LEFT(K200,28)&amp;"…",K200)&amp;" | 시 139:23")</f>
        <v/>
      </c>
      <c r="P200" s="15">
        <f>"#"&amp;SUBSTITUTE('안내'!$C$5," ","")&amp;" #성경구절 #말씀 #시편 #기도"</f>
        <v/>
      </c>
      <c r="Q200" s="15" t="inlineStr">
        <is>
          <t>성경 본문: 개역한글판</t>
        </is>
      </c>
      <c r="R200" s="17">
        <f>'안내'!$C$6+INT((D200-1)/'안내'!$C$7)</f>
        <v/>
      </c>
      <c r="S200" s="14">
        <f>IF(MOD(D200-1,'안내'!$C$7)=0,'안내'!$C$8,'안내'!$C$10)</f>
        <v/>
      </c>
      <c r="T200" s="14">
        <f>CHOOSE(WEEKDAY(R200,2),"월","화","수","목","금","토","일")</f>
        <v/>
      </c>
      <c r="U200" s="14" t="inlineStr">
        <is>
          <t>미착수</t>
        </is>
      </c>
      <c r="V200" s="14" t="inlineStr">
        <is>
          <t>미착수</t>
        </is>
      </c>
      <c r="W200" s="18" t="n"/>
      <c r="X200" s="18" t="n"/>
      <c r="Y200" s="15" t="n"/>
      <c r="Z200" s="15" t="inlineStr"/>
      <c r="AA200" s="15" t="inlineStr">
        <is>
          <t>Search me, God, and know my heart. Try me, and know my thoughts.</t>
        </is>
      </c>
    </row>
    <row r="201">
      <c r="A201" s="13" t="n">
        <v>200</v>
      </c>
      <c r="B201" s="13" t="inlineStr">
        <is>
          <t>W0200</t>
        </is>
      </c>
      <c r="C201" s="13" t="inlineStr">
        <is>
          <t>구약</t>
        </is>
      </c>
      <c r="D201" s="13" t="n">
        <v>200</v>
      </c>
      <c r="E201" s="13">
        <f>C201&amp;"말씀 #"&amp;TEXT(D201,"000")</f>
        <v/>
      </c>
      <c r="F201" s="14" t="inlineStr">
        <is>
          <t>시편</t>
        </is>
      </c>
      <c r="G201" s="14" t="inlineStr">
        <is>
          <t>143:8</t>
        </is>
      </c>
      <c r="H201" s="15" t="inlineStr">
        <is>
          <t>(시 143:8, 개역한글)</t>
        </is>
      </c>
      <c r="I201" s="14" t="inlineStr">
        <is>
          <t>인도</t>
        </is>
      </c>
      <c r="J201" s="14" t="inlineStr">
        <is>
          <t>길·등불</t>
        </is>
      </c>
      <c r="K201" s="16" t="inlineStr">
        <is>
          <t>아침에 나로 주의 인자한 말씀을 듣게 하소서 내가 주를 의뢰함이니이다 나의 다닐 길을 알게 하소서 내가 내 영혼을 주께 받듦이니이다</t>
        </is>
      </c>
      <c r="L201" s="14" t="inlineStr">
        <is>
          <t>자동 입력</t>
        </is>
      </c>
      <c r="M201" s="14">
        <f>LEN(K201)</f>
        <v/>
      </c>
      <c r="N201" s="14">
        <f>IF(M201=0,"-",ROUND(3+M201/'안내'!$C$12,0))</f>
        <v/>
      </c>
      <c r="O201" s="15">
        <f>IF(K201="","(본문 입력 후 자동) | 시 143:8",IF(LEN(K201)&gt;28,LEFT(K201,28)&amp;"…",K201)&amp;" | 시 143:8")</f>
        <v/>
      </c>
      <c r="P201" s="15">
        <f>"#"&amp;SUBSTITUTE('안내'!$C$5," ","")&amp;" #성경구절 #말씀 #시편 #인도"</f>
        <v/>
      </c>
      <c r="Q201" s="15" t="inlineStr">
        <is>
          <t>성경 본문: 개역한글판</t>
        </is>
      </c>
      <c r="R201" s="17">
        <f>'안내'!$C$6+INT((D201-1)/'안내'!$C$7)</f>
        <v/>
      </c>
      <c r="S201" s="14">
        <f>IF(MOD(D201-1,'안내'!$C$7)=0,'안내'!$C$8,'안내'!$C$10)</f>
        <v/>
      </c>
      <c r="T201" s="14">
        <f>CHOOSE(WEEKDAY(R201,2),"월","화","수","목","금","토","일")</f>
        <v/>
      </c>
      <c r="U201" s="14" t="inlineStr">
        <is>
          <t>미착수</t>
        </is>
      </c>
      <c r="V201" s="14" t="inlineStr">
        <is>
          <t>미착수</t>
        </is>
      </c>
      <c r="W201" s="18" t="n"/>
      <c r="X201" s="18" t="n"/>
      <c r="Y201" s="15" t="n"/>
      <c r="Z201" s="15" t="inlineStr"/>
      <c r="AA201" s="15" t="inlineStr">
        <is>
          <t>Cause me to hear your loving kindness in the morning, for I trust in you. Cause me to know the way in which I should walk, for I lift up my soul to you.</t>
        </is>
      </c>
    </row>
    <row r="202">
      <c r="A202" s="13" t="n">
        <v>201</v>
      </c>
      <c r="B202" s="13" t="inlineStr">
        <is>
          <t>W0201</t>
        </is>
      </c>
      <c r="C202" s="13" t="inlineStr">
        <is>
          <t>구약</t>
        </is>
      </c>
      <c r="D202" s="13" t="n">
        <v>201</v>
      </c>
      <c r="E202" s="13">
        <f>C202&amp;"말씀 #"&amp;TEXT(D202,"000")</f>
        <v/>
      </c>
      <c r="F202" s="14" t="inlineStr">
        <is>
          <t>시편</t>
        </is>
      </c>
      <c r="G202" s="14" t="inlineStr">
        <is>
          <t>145:18</t>
        </is>
      </c>
      <c r="H202" s="15" t="inlineStr">
        <is>
          <t>(시 145:18, 개역한글)</t>
        </is>
      </c>
      <c r="I202" s="14" t="inlineStr">
        <is>
          <t>기도</t>
        </is>
      </c>
      <c r="J202" s="14" t="inlineStr">
        <is>
          <t>제단·십자가</t>
        </is>
      </c>
      <c r="K202" s="16" t="inlineStr">
        <is>
          <t>여호와께서는 자기에게 간구하는 모든 자 곧 진실하게 간구하는 모든 자에게 가까이 하시는도다</t>
        </is>
      </c>
      <c r="L202" s="14" t="inlineStr">
        <is>
          <t>자동 입력</t>
        </is>
      </c>
      <c r="M202" s="14">
        <f>LEN(K202)</f>
        <v/>
      </c>
      <c r="N202" s="14">
        <f>IF(M202=0,"-",ROUND(3+M202/'안내'!$C$12,0))</f>
        <v/>
      </c>
      <c r="O202" s="15">
        <f>IF(K202="","(본문 입력 후 자동) | 시 145:18",IF(LEN(K202)&gt;28,LEFT(K202,28)&amp;"…",K202)&amp;" | 시 145:18")</f>
        <v/>
      </c>
      <c r="P202" s="15">
        <f>"#"&amp;SUBSTITUTE('안내'!$C$5," ","")&amp;" #성경구절 #말씀 #시편 #기도"</f>
        <v/>
      </c>
      <c r="Q202" s="15" t="inlineStr">
        <is>
          <t>성경 본문: 개역한글판</t>
        </is>
      </c>
      <c r="R202" s="17">
        <f>'안내'!$C$6+INT((D202-1)/'안내'!$C$7)</f>
        <v/>
      </c>
      <c r="S202" s="14">
        <f>IF(MOD(D202-1,'안내'!$C$7)=0,'안내'!$C$8,'안내'!$C$10)</f>
        <v/>
      </c>
      <c r="T202" s="14">
        <f>CHOOSE(WEEKDAY(R202,2),"월","화","수","목","금","토","일")</f>
        <v/>
      </c>
      <c r="U202" s="14" t="inlineStr">
        <is>
          <t>미착수</t>
        </is>
      </c>
      <c r="V202" s="14" t="inlineStr">
        <is>
          <t>미착수</t>
        </is>
      </c>
      <c r="W202" s="18" t="n"/>
      <c r="X202" s="18" t="n"/>
      <c r="Y202" s="15" t="n"/>
      <c r="Z202" s="15" t="inlineStr"/>
      <c r="AA202" s="15" t="inlineStr">
        <is>
          <t>Yahweh is near to all those who call on him, to all who call on him in truth.</t>
        </is>
      </c>
    </row>
    <row r="203">
      <c r="A203" s="13" t="n">
        <v>202</v>
      </c>
      <c r="B203" s="13" t="inlineStr">
        <is>
          <t>W0202</t>
        </is>
      </c>
      <c r="C203" s="13" t="inlineStr">
        <is>
          <t>구약</t>
        </is>
      </c>
      <c r="D203" s="13" t="n">
        <v>202</v>
      </c>
      <c r="E203" s="13">
        <f>C203&amp;"말씀 #"&amp;TEXT(D203,"000")</f>
        <v/>
      </c>
      <c r="F203" s="14" t="inlineStr">
        <is>
          <t>시편</t>
        </is>
      </c>
      <c r="G203" s="14" t="inlineStr">
        <is>
          <t>147:3</t>
        </is>
      </c>
      <c r="H203" s="15" t="inlineStr">
        <is>
          <t>(시 147:3, 개역한글)</t>
        </is>
      </c>
      <c r="I203" s="14" t="inlineStr">
        <is>
          <t>위로</t>
        </is>
      </c>
      <c r="J203" s="14" t="inlineStr">
        <is>
          <t>잔잔한 물</t>
        </is>
      </c>
      <c r="K203" s="16" t="inlineStr">
        <is>
          <t>상심한 자를 고치시며 저희 상처를 싸매시는도다</t>
        </is>
      </c>
      <c r="L203" s="14" t="inlineStr">
        <is>
          <t>자동 입력</t>
        </is>
      </c>
      <c r="M203" s="14">
        <f>LEN(K203)</f>
        <v/>
      </c>
      <c r="N203" s="14">
        <f>IF(M203=0,"-",ROUND(3+M203/'안내'!$C$12,0))</f>
        <v/>
      </c>
      <c r="O203" s="15">
        <f>IF(K203="","(본문 입력 후 자동) | 시 147:3",IF(LEN(K203)&gt;28,LEFT(K203,28)&amp;"…",K203)&amp;" | 시 147:3")</f>
        <v/>
      </c>
      <c r="P203" s="15">
        <f>"#"&amp;SUBSTITUTE('안내'!$C$5," ","")&amp;" #성경구절 #말씀 #시편 #위로"</f>
        <v/>
      </c>
      <c r="Q203" s="15" t="inlineStr">
        <is>
          <t>성경 본문: 개역한글판</t>
        </is>
      </c>
      <c r="R203" s="17">
        <f>'안내'!$C$6+INT((D203-1)/'안내'!$C$7)</f>
        <v/>
      </c>
      <c r="S203" s="14">
        <f>IF(MOD(D203-1,'안내'!$C$7)=0,'안내'!$C$8,'안내'!$C$10)</f>
        <v/>
      </c>
      <c r="T203" s="14">
        <f>CHOOSE(WEEKDAY(R203,2),"월","화","수","목","금","토","일")</f>
        <v/>
      </c>
      <c r="U203" s="14" t="inlineStr">
        <is>
          <t>미착수</t>
        </is>
      </c>
      <c r="V203" s="14" t="inlineStr">
        <is>
          <t>미착수</t>
        </is>
      </c>
      <c r="W203" s="18" t="n"/>
      <c r="X203" s="18" t="n"/>
      <c r="Y203" s="15" t="n"/>
      <c r="Z203" s="15" t="inlineStr"/>
      <c r="AA203" s="15" t="inlineStr">
        <is>
          <t>He heals the broken in heart, and binds up their wounds.</t>
        </is>
      </c>
    </row>
    <row r="204">
      <c r="A204" s="13" t="n">
        <v>203</v>
      </c>
      <c r="B204" s="13" t="inlineStr">
        <is>
          <t>W0203</t>
        </is>
      </c>
      <c r="C204" s="13" t="inlineStr">
        <is>
          <t>구약</t>
        </is>
      </c>
      <c r="D204" s="13" t="n">
        <v>203</v>
      </c>
      <c r="E204" s="13">
        <f>C204&amp;"말씀 #"&amp;TEXT(D204,"000")</f>
        <v/>
      </c>
      <c r="F204" s="14" t="inlineStr">
        <is>
          <t>시편</t>
        </is>
      </c>
      <c r="G204" s="14" t="inlineStr">
        <is>
          <t>150:6</t>
        </is>
      </c>
      <c r="H204" s="15" t="inlineStr">
        <is>
          <t>(시 150:6, 개역한글)</t>
        </is>
      </c>
      <c r="I204" s="14" t="inlineStr">
        <is>
          <t>찬양</t>
        </is>
      </c>
      <c r="J204" s="14" t="inlineStr">
        <is>
          <t>하늘·별</t>
        </is>
      </c>
      <c r="K204" s="16" t="inlineStr">
        <is>
          <t>호흡이 있는 자마다 여호와를 찬양할지어다 할렐루야</t>
        </is>
      </c>
      <c r="L204" s="14" t="inlineStr">
        <is>
          <t>자동 입력</t>
        </is>
      </c>
      <c r="M204" s="14">
        <f>LEN(K204)</f>
        <v/>
      </c>
      <c r="N204" s="14">
        <f>IF(M204=0,"-",ROUND(3+M204/'안내'!$C$12,0))</f>
        <v/>
      </c>
      <c r="O204" s="15">
        <f>IF(K204="","(본문 입력 후 자동) | 시 150:6",IF(LEN(K204)&gt;28,LEFT(K204,28)&amp;"…",K204)&amp;" | 시 150:6")</f>
        <v/>
      </c>
      <c r="P204" s="15">
        <f>"#"&amp;SUBSTITUTE('안내'!$C$5," ","")&amp;" #성경구절 #말씀 #시편 #찬양"</f>
        <v/>
      </c>
      <c r="Q204" s="15" t="inlineStr">
        <is>
          <t>성경 본문: 개역한글판</t>
        </is>
      </c>
      <c r="R204" s="17">
        <f>'안내'!$C$6+INT((D204-1)/'안내'!$C$7)</f>
        <v/>
      </c>
      <c r="S204" s="14">
        <f>IF(MOD(D204-1,'안내'!$C$7)=0,'안내'!$C$8,'안내'!$C$10)</f>
        <v/>
      </c>
      <c r="T204" s="14">
        <f>CHOOSE(WEEKDAY(R204,2),"월","화","수","목","금","토","일")</f>
        <v/>
      </c>
      <c r="U204" s="14" t="inlineStr">
        <is>
          <t>미착수</t>
        </is>
      </c>
      <c r="V204" s="14" t="inlineStr">
        <is>
          <t>미착수</t>
        </is>
      </c>
      <c r="W204" s="18" t="n"/>
      <c r="X204" s="18" t="n"/>
      <c r="Y204" s="15" t="n"/>
      <c r="Z204" s="15" t="inlineStr"/>
      <c r="AA204" s="15" t="inlineStr">
        <is>
          <t>Let everything that has breath praise Yah! Praise Yah!</t>
        </is>
      </c>
    </row>
    <row r="205">
      <c r="A205" s="13" t="n">
        <v>204</v>
      </c>
      <c r="B205" s="13" t="inlineStr">
        <is>
          <t>W0204</t>
        </is>
      </c>
      <c r="C205" s="13" t="inlineStr">
        <is>
          <t>구약</t>
        </is>
      </c>
      <c r="D205" s="13" t="n">
        <v>204</v>
      </c>
      <c r="E205" s="13">
        <f>C205&amp;"말씀 #"&amp;TEXT(D205,"000")</f>
        <v/>
      </c>
      <c r="F205" s="14" t="inlineStr">
        <is>
          <t>잠언</t>
        </is>
      </c>
      <c r="G205" s="14" t="inlineStr">
        <is>
          <t>1:7</t>
        </is>
      </c>
      <c r="H205" s="15" t="inlineStr">
        <is>
          <t>(잠 1:7, 개역한글)</t>
        </is>
      </c>
      <c r="I205" s="14" t="inlineStr">
        <is>
          <t>지혜</t>
        </is>
      </c>
      <c r="J205" s="14" t="inlineStr">
        <is>
          <t>들판·나무</t>
        </is>
      </c>
      <c r="K205" s="16" t="inlineStr">
        <is>
          <t>여호와를 경외하는 것이 지식의 근본이어늘 미련한 자는 지혜와 훈계를 멸시하느니라</t>
        </is>
      </c>
      <c r="L205" s="14" t="inlineStr">
        <is>
          <t>자동 입력</t>
        </is>
      </c>
      <c r="M205" s="14">
        <f>LEN(K205)</f>
        <v/>
      </c>
      <c r="N205" s="14">
        <f>IF(M205=0,"-",ROUND(3+M205/'안내'!$C$12,0))</f>
        <v/>
      </c>
      <c r="O205" s="15">
        <f>IF(K205="","(본문 입력 후 자동) | 잠 1:7",IF(LEN(K205)&gt;28,LEFT(K205,28)&amp;"…",K205)&amp;" | 잠 1:7")</f>
        <v/>
      </c>
      <c r="P205" s="15">
        <f>"#"&amp;SUBSTITUTE('안내'!$C$5," ","")&amp;" #성경구절 #말씀 #잠언 #지혜"</f>
        <v/>
      </c>
      <c r="Q205" s="15" t="inlineStr">
        <is>
          <t>성경 본문: 개역한글판</t>
        </is>
      </c>
      <c r="R205" s="17">
        <f>'안내'!$C$6+INT((D205-1)/'안내'!$C$7)</f>
        <v/>
      </c>
      <c r="S205" s="14">
        <f>IF(MOD(D205-1,'안내'!$C$7)=0,'안내'!$C$8,'안내'!$C$10)</f>
        <v/>
      </c>
      <c r="T205" s="14">
        <f>CHOOSE(WEEKDAY(R205,2),"월","화","수","목","금","토","일")</f>
        <v/>
      </c>
      <c r="U205" s="14" t="inlineStr">
        <is>
          <t>미착수</t>
        </is>
      </c>
      <c r="V205" s="14" t="inlineStr">
        <is>
          <t>미착수</t>
        </is>
      </c>
      <c r="W205" s="18" t="n"/>
      <c r="X205" s="18" t="n"/>
      <c r="Y205" s="15" t="n"/>
      <c r="Z205" s="15" t="inlineStr"/>
      <c r="AA205" s="15" t="inlineStr">
        <is>
          <t>The fear of Yahweh is the beginning of knowledge, but the foolish despise wisdom and instruction.</t>
        </is>
      </c>
    </row>
    <row r="206">
      <c r="A206" s="13" t="n">
        <v>205</v>
      </c>
      <c r="B206" s="13" t="inlineStr">
        <is>
          <t>W0205</t>
        </is>
      </c>
      <c r="C206" s="13" t="inlineStr">
        <is>
          <t>구약</t>
        </is>
      </c>
      <c r="D206" s="13" t="n">
        <v>205</v>
      </c>
      <c r="E206" s="13">
        <f>C206&amp;"말씀 #"&amp;TEXT(D206,"000")</f>
        <v/>
      </c>
      <c r="F206" s="14" t="inlineStr">
        <is>
          <t>잠언</t>
        </is>
      </c>
      <c r="G206" s="14" t="inlineStr">
        <is>
          <t>3:5</t>
        </is>
      </c>
      <c r="H206" s="15" t="inlineStr">
        <is>
          <t>(잠 3:5, 개역한글)</t>
        </is>
      </c>
      <c r="I206" s="14" t="inlineStr">
        <is>
          <t>신뢰</t>
        </is>
      </c>
      <c r="J206" s="14" t="inlineStr">
        <is>
          <t>바위산·광야</t>
        </is>
      </c>
      <c r="K206" s="16" t="inlineStr">
        <is>
          <t>너는 마음을 다하여 여호와를 의뢰하고 네 명철을 의지하지 말라</t>
        </is>
      </c>
      <c r="L206" s="14" t="inlineStr">
        <is>
          <t>자동 입력</t>
        </is>
      </c>
      <c r="M206" s="14">
        <f>LEN(K206)</f>
        <v/>
      </c>
      <c r="N206" s="14">
        <f>IF(M206=0,"-",ROUND(3+M206/'안내'!$C$12,0))</f>
        <v/>
      </c>
      <c r="O206" s="15">
        <f>IF(K206="","(본문 입력 후 자동) | 잠 3:5",IF(LEN(K206)&gt;28,LEFT(K206,28)&amp;"…",K206)&amp;" | 잠 3:5")</f>
        <v/>
      </c>
      <c r="P206" s="15">
        <f>"#"&amp;SUBSTITUTE('안내'!$C$5," ","")&amp;" #성경구절 #말씀 #잠언 #신뢰"</f>
        <v/>
      </c>
      <c r="Q206" s="15" t="inlineStr">
        <is>
          <t>성경 본문: 개역한글판</t>
        </is>
      </c>
      <c r="R206" s="17">
        <f>'안내'!$C$6+INT((D206-1)/'안내'!$C$7)</f>
        <v/>
      </c>
      <c r="S206" s="14">
        <f>IF(MOD(D206-1,'안내'!$C$7)=0,'안내'!$C$8,'안내'!$C$10)</f>
        <v/>
      </c>
      <c r="T206" s="14">
        <f>CHOOSE(WEEKDAY(R206,2),"월","화","수","목","금","토","일")</f>
        <v/>
      </c>
      <c r="U206" s="14" t="inlineStr">
        <is>
          <t>미착수</t>
        </is>
      </c>
      <c r="V206" s="14" t="inlineStr">
        <is>
          <t>미착수</t>
        </is>
      </c>
      <c r="W206" s="18" t="n"/>
      <c r="X206" s="18" t="n"/>
      <c r="Y206" s="15" t="n"/>
      <c r="Z206" s="15" t="inlineStr"/>
      <c r="AA206" s="15" t="inlineStr">
        <is>
          <t>Trust in Yahweh with all your heart, and don’t lean on your own under- standing.</t>
        </is>
      </c>
    </row>
    <row r="207">
      <c r="A207" s="13" t="n">
        <v>206</v>
      </c>
      <c r="B207" s="13" t="inlineStr">
        <is>
          <t>W0206</t>
        </is>
      </c>
      <c r="C207" s="13" t="inlineStr">
        <is>
          <t>구약</t>
        </is>
      </c>
      <c r="D207" s="13" t="n">
        <v>206</v>
      </c>
      <c r="E207" s="13">
        <f>C207&amp;"말씀 #"&amp;TEXT(D207,"000")</f>
        <v/>
      </c>
      <c r="F207" s="14" t="inlineStr">
        <is>
          <t>잠언</t>
        </is>
      </c>
      <c r="G207" s="14" t="inlineStr">
        <is>
          <t>3:6</t>
        </is>
      </c>
      <c r="H207" s="15" t="inlineStr">
        <is>
          <t>(잠 3:6, 개역한글)</t>
        </is>
      </c>
      <c r="I207" s="14" t="inlineStr">
        <is>
          <t>인도</t>
        </is>
      </c>
      <c r="J207" s="14" t="inlineStr">
        <is>
          <t>길·등불</t>
        </is>
      </c>
      <c r="K207" s="16" t="inlineStr">
        <is>
          <t>너는 범사에 그를 인정하라 그리하면 네 길을 지도하시리라</t>
        </is>
      </c>
      <c r="L207" s="14" t="inlineStr">
        <is>
          <t>자동 입력</t>
        </is>
      </c>
      <c r="M207" s="14">
        <f>LEN(K207)</f>
        <v/>
      </c>
      <c r="N207" s="14">
        <f>IF(M207=0,"-",ROUND(3+M207/'안내'!$C$12,0))</f>
        <v/>
      </c>
      <c r="O207" s="15">
        <f>IF(K207="","(본문 입력 후 자동) | 잠 3:6",IF(LEN(K207)&gt;28,LEFT(K207,28)&amp;"…",K207)&amp;" | 잠 3:6")</f>
        <v/>
      </c>
      <c r="P207" s="15">
        <f>"#"&amp;SUBSTITUTE('안내'!$C$5," ","")&amp;" #성경구절 #말씀 #잠언 #인도"</f>
        <v/>
      </c>
      <c r="Q207" s="15" t="inlineStr">
        <is>
          <t>성경 본문: 개역한글판</t>
        </is>
      </c>
      <c r="R207" s="17">
        <f>'안내'!$C$6+INT((D207-1)/'안내'!$C$7)</f>
        <v/>
      </c>
      <c r="S207" s="14">
        <f>IF(MOD(D207-1,'안내'!$C$7)=0,'안내'!$C$8,'안내'!$C$10)</f>
        <v/>
      </c>
      <c r="T207" s="14">
        <f>CHOOSE(WEEKDAY(R207,2),"월","화","수","목","금","토","일")</f>
        <v/>
      </c>
      <c r="U207" s="14" t="inlineStr">
        <is>
          <t>미착수</t>
        </is>
      </c>
      <c r="V207" s="14" t="inlineStr">
        <is>
          <t>미착수</t>
        </is>
      </c>
      <c r="W207" s="18" t="n"/>
      <c r="X207" s="18" t="n"/>
      <c r="Y207" s="15" t="n"/>
      <c r="Z207" s="15" t="inlineStr"/>
      <c r="AA207" s="15" t="inlineStr">
        <is>
          <t>In all your ways acknowledge him, and he will make your paths straight.</t>
        </is>
      </c>
    </row>
    <row r="208">
      <c r="A208" s="13" t="n">
        <v>207</v>
      </c>
      <c r="B208" s="13" t="inlineStr">
        <is>
          <t>W0207</t>
        </is>
      </c>
      <c r="C208" s="13" t="inlineStr">
        <is>
          <t>구약</t>
        </is>
      </c>
      <c r="D208" s="13" t="n">
        <v>207</v>
      </c>
      <c r="E208" s="13">
        <f>C208&amp;"말씀 #"&amp;TEXT(D208,"000")</f>
        <v/>
      </c>
      <c r="F208" s="14" t="inlineStr">
        <is>
          <t>잠언</t>
        </is>
      </c>
      <c r="G208" s="14" t="inlineStr">
        <is>
          <t>3:11</t>
        </is>
      </c>
      <c r="H208" s="15" t="inlineStr">
        <is>
          <t>(잠 3:11, 개역한글)</t>
        </is>
      </c>
      <c r="I208" s="14" t="inlineStr">
        <is>
          <t>연단</t>
        </is>
      </c>
      <c r="J208" s="14" t="inlineStr">
        <is>
          <t>바위산·광야</t>
        </is>
      </c>
      <c r="K208" s="16" t="inlineStr">
        <is>
          <t>내 아들아 여호와의 징계를 경히 여기지 말라 그 꾸지람을 싫어하지 말라</t>
        </is>
      </c>
      <c r="L208" s="14" t="inlineStr">
        <is>
          <t>자동 입력</t>
        </is>
      </c>
      <c r="M208" s="14">
        <f>LEN(K208)</f>
        <v/>
      </c>
      <c r="N208" s="14">
        <f>IF(M208=0,"-",ROUND(3+M208/'안내'!$C$12,0))</f>
        <v/>
      </c>
      <c r="O208" s="15">
        <f>IF(K208="","(본문 입력 후 자동) | 잠 3:11",IF(LEN(K208)&gt;28,LEFT(K208,28)&amp;"…",K208)&amp;" | 잠 3:11")</f>
        <v/>
      </c>
      <c r="P208" s="15">
        <f>"#"&amp;SUBSTITUTE('안내'!$C$5," ","")&amp;" #성경구절 #말씀 #잠언 #연단"</f>
        <v/>
      </c>
      <c r="Q208" s="15" t="inlineStr">
        <is>
          <t>성경 본문: 개역한글판</t>
        </is>
      </c>
      <c r="R208" s="17">
        <f>'안내'!$C$6+INT((D208-1)/'안내'!$C$7)</f>
        <v/>
      </c>
      <c r="S208" s="14">
        <f>IF(MOD(D208-1,'안내'!$C$7)=0,'안내'!$C$8,'안내'!$C$10)</f>
        <v/>
      </c>
      <c r="T208" s="14">
        <f>CHOOSE(WEEKDAY(R208,2),"월","화","수","목","금","토","일")</f>
        <v/>
      </c>
      <c r="U208" s="14" t="inlineStr">
        <is>
          <t>미착수</t>
        </is>
      </c>
      <c r="V208" s="14" t="inlineStr">
        <is>
          <t>미착수</t>
        </is>
      </c>
      <c r="W208" s="18" t="n"/>
      <c r="X208" s="18" t="n"/>
      <c r="Y208" s="15" t="n"/>
      <c r="Z208" s="15" t="inlineStr"/>
      <c r="AA208" s="15" t="inlineStr">
        <is>
          <t>My son, don’t despise Yahweh’s disci- pline, neither be weary of his correction;</t>
        </is>
      </c>
    </row>
    <row r="209">
      <c r="A209" s="13" t="n">
        <v>208</v>
      </c>
      <c r="B209" s="13" t="inlineStr">
        <is>
          <t>W0208</t>
        </is>
      </c>
      <c r="C209" s="13" t="inlineStr">
        <is>
          <t>구약</t>
        </is>
      </c>
      <c r="D209" s="13" t="n">
        <v>208</v>
      </c>
      <c r="E209" s="13">
        <f>C209&amp;"말씀 #"&amp;TEXT(D209,"000")</f>
        <v/>
      </c>
      <c r="F209" s="14" t="inlineStr">
        <is>
          <t>잠언</t>
        </is>
      </c>
      <c r="G209" s="14" t="inlineStr">
        <is>
          <t>4:23</t>
        </is>
      </c>
      <c r="H209" s="15" t="inlineStr">
        <is>
          <t>(잠 4:23, 개역한글)</t>
        </is>
      </c>
      <c r="I209" s="14" t="inlineStr">
        <is>
          <t>마음</t>
        </is>
      </c>
      <c r="J209" s="14" t="inlineStr">
        <is>
          <t>창가·식탁</t>
        </is>
      </c>
      <c r="K209" s="16" t="inlineStr">
        <is>
          <t>무릇 지킬 만한 것보다 더욱 네 마음을 지키라 생명의 근원이 이에서 남이니라</t>
        </is>
      </c>
      <c r="L209" s="14" t="inlineStr">
        <is>
          <t>자동 입력</t>
        </is>
      </c>
      <c r="M209" s="14">
        <f>LEN(K209)</f>
        <v/>
      </c>
      <c r="N209" s="14">
        <f>IF(M209=0,"-",ROUND(3+M209/'안내'!$C$12,0))</f>
        <v/>
      </c>
      <c r="O209" s="15">
        <f>IF(K209="","(본문 입력 후 자동) | 잠 4:23",IF(LEN(K209)&gt;28,LEFT(K209,28)&amp;"…",K209)&amp;" | 잠 4:23")</f>
        <v/>
      </c>
      <c r="P209" s="15">
        <f>"#"&amp;SUBSTITUTE('안내'!$C$5," ","")&amp;" #성경구절 #말씀 #잠언 #마음"</f>
        <v/>
      </c>
      <c r="Q209" s="15" t="inlineStr">
        <is>
          <t>성경 본문: 개역한글판</t>
        </is>
      </c>
      <c r="R209" s="17">
        <f>'안내'!$C$6+INT((D209-1)/'안내'!$C$7)</f>
        <v/>
      </c>
      <c r="S209" s="14">
        <f>IF(MOD(D209-1,'안내'!$C$7)=0,'안내'!$C$8,'안내'!$C$10)</f>
        <v/>
      </c>
      <c r="T209" s="14">
        <f>CHOOSE(WEEKDAY(R209,2),"월","화","수","목","금","토","일")</f>
        <v/>
      </c>
      <c r="U209" s="14" t="inlineStr">
        <is>
          <t>미착수</t>
        </is>
      </c>
      <c r="V209" s="14" t="inlineStr">
        <is>
          <t>미착수</t>
        </is>
      </c>
      <c r="W209" s="18" t="n"/>
      <c r="X209" s="18" t="n"/>
      <c r="Y209" s="15" t="n"/>
      <c r="Z209" s="15" t="inlineStr"/>
      <c r="AA209" s="15" t="inlineStr">
        <is>
          <t>Keep your heart with all diligence, for out of it is the wellspring of life.</t>
        </is>
      </c>
    </row>
    <row r="210">
      <c r="A210" s="13" t="n">
        <v>209</v>
      </c>
      <c r="B210" s="13" t="inlineStr">
        <is>
          <t>W0209</t>
        </is>
      </c>
      <c r="C210" s="13" t="inlineStr">
        <is>
          <t>구약</t>
        </is>
      </c>
      <c r="D210" s="13" t="n">
        <v>209</v>
      </c>
      <c r="E210" s="13">
        <f>C210&amp;"말씀 #"&amp;TEXT(D210,"000")</f>
        <v/>
      </c>
      <c r="F210" s="14" t="inlineStr">
        <is>
          <t>잠언</t>
        </is>
      </c>
      <c r="G210" s="14" t="inlineStr">
        <is>
          <t>6:6</t>
        </is>
      </c>
      <c r="H210" s="15" t="inlineStr">
        <is>
          <t>(잠 6:6, 개역한글)</t>
        </is>
      </c>
      <c r="I210" s="14" t="inlineStr">
        <is>
          <t>지혜</t>
        </is>
      </c>
      <c r="J210" s="14" t="inlineStr">
        <is>
          <t>들판·나무</t>
        </is>
      </c>
      <c r="K210" s="16" t="inlineStr">
        <is>
          <t>게으른 자여 개미에게로 가서 그 하는 것을 보고 지혜를 얻으라</t>
        </is>
      </c>
      <c r="L210" s="14" t="inlineStr">
        <is>
          <t>자동 입력</t>
        </is>
      </c>
      <c r="M210" s="14">
        <f>LEN(K210)</f>
        <v/>
      </c>
      <c r="N210" s="14">
        <f>IF(M210=0,"-",ROUND(3+M210/'안내'!$C$12,0))</f>
        <v/>
      </c>
      <c r="O210" s="15">
        <f>IF(K210="","(본문 입력 후 자동) | 잠 6:6",IF(LEN(K210)&gt;28,LEFT(K210,28)&amp;"…",K210)&amp;" | 잠 6:6")</f>
        <v/>
      </c>
      <c r="P210" s="15">
        <f>"#"&amp;SUBSTITUTE('안내'!$C$5," ","")&amp;" #성경구절 #말씀 #잠언 #지혜"</f>
        <v/>
      </c>
      <c r="Q210" s="15" t="inlineStr">
        <is>
          <t>성경 본문: 개역한글판</t>
        </is>
      </c>
      <c r="R210" s="17">
        <f>'안내'!$C$6+INT((D210-1)/'안내'!$C$7)</f>
        <v/>
      </c>
      <c r="S210" s="14">
        <f>IF(MOD(D210-1,'안내'!$C$7)=0,'안내'!$C$8,'안내'!$C$10)</f>
        <v/>
      </c>
      <c r="T210" s="14">
        <f>CHOOSE(WEEKDAY(R210,2),"월","화","수","목","금","토","일")</f>
        <v/>
      </c>
      <c r="U210" s="14" t="inlineStr">
        <is>
          <t>미착수</t>
        </is>
      </c>
      <c r="V210" s="14" t="inlineStr">
        <is>
          <t>미착수</t>
        </is>
      </c>
      <c r="W210" s="18" t="n"/>
      <c r="X210" s="18" t="n"/>
      <c r="Y210" s="15" t="n"/>
      <c r="Z210" s="15" t="inlineStr"/>
      <c r="AA210" s="15" t="inlineStr">
        <is>
          <t>Go to the ant, you sluggard. Consider her ways, and be wise;</t>
        </is>
      </c>
    </row>
    <row r="211">
      <c r="A211" s="13" t="n">
        <v>210</v>
      </c>
      <c r="B211" s="13" t="inlineStr">
        <is>
          <t>W0210</t>
        </is>
      </c>
      <c r="C211" s="13" t="inlineStr">
        <is>
          <t>구약</t>
        </is>
      </c>
      <c r="D211" s="13" t="n">
        <v>210</v>
      </c>
      <c r="E211" s="13">
        <f>C211&amp;"말씀 #"&amp;TEXT(D211,"000")</f>
        <v/>
      </c>
      <c r="F211" s="14" t="inlineStr">
        <is>
          <t>잠언</t>
        </is>
      </c>
      <c r="G211" s="14" t="inlineStr">
        <is>
          <t>8:17</t>
        </is>
      </c>
      <c r="H211" s="15" t="inlineStr">
        <is>
          <t>(잠 8:17, 개역한글)</t>
        </is>
      </c>
      <c r="I211" s="14" t="inlineStr">
        <is>
          <t>지혜</t>
        </is>
      </c>
      <c r="J211" s="14" t="inlineStr">
        <is>
          <t>들판·나무</t>
        </is>
      </c>
      <c r="K211" s="16" t="inlineStr">
        <is>
          <t>나를 사랑하는 자들이 나의 사랑을 입으며 나를 간절히 찾는 자가 나를 만날 것이니라</t>
        </is>
      </c>
      <c r="L211" s="14" t="inlineStr">
        <is>
          <t>자동 입력</t>
        </is>
      </c>
      <c r="M211" s="14">
        <f>LEN(K211)</f>
        <v/>
      </c>
      <c r="N211" s="14">
        <f>IF(M211=0,"-",ROUND(3+M211/'안내'!$C$12,0))</f>
        <v/>
      </c>
      <c r="O211" s="15">
        <f>IF(K211="","(본문 입력 후 자동) | 잠 8:17",IF(LEN(K211)&gt;28,LEFT(K211,28)&amp;"…",K211)&amp;" | 잠 8:17")</f>
        <v/>
      </c>
      <c r="P211" s="15">
        <f>"#"&amp;SUBSTITUTE('안내'!$C$5," ","")&amp;" #성경구절 #말씀 #잠언 #지혜"</f>
        <v/>
      </c>
      <c r="Q211" s="15" t="inlineStr">
        <is>
          <t>성경 본문: 개역한글판</t>
        </is>
      </c>
      <c r="R211" s="17">
        <f>'안내'!$C$6+INT((D211-1)/'안내'!$C$7)</f>
        <v/>
      </c>
      <c r="S211" s="14">
        <f>IF(MOD(D211-1,'안내'!$C$7)=0,'안내'!$C$8,'안내'!$C$10)</f>
        <v/>
      </c>
      <c r="T211" s="14">
        <f>CHOOSE(WEEKDAY(R211,2),"월","화","수","목","금","토","일")</f>
        <v/>
      </c>
      <c r="U211" s="14" t="inlineStr">
        <is>
          <t>미착수</t>
        </is>
      </c>
      <c r="V211" s="14" t="inlineStr">
        <is>
          <t>미착수</t>
        </is>
      </c>
      <c r="W211" s="18" t="n"/>
      <c r="X211" s="18" t="n"/>
      <c r="Y211" s="15" t="n"/>
      <c r="Z211" s="15" t="inlineStr"/>
      <c r="AA211" s="15" t="inlineStr">
        <is>
          <t>I love those who love me. Those who seek me diligently will find me.</t>
        </is>
      </c>
    </row>
    <row r="212">
      <c r="A212" s="13" t="n">
        <v>211</v>
      </c>
      <c r="B212" s="13" t="inlineStr">
        <is>
          <t>W0211</t>
        </is>
      </c>
      <c r="C212" s="13" t="inlineStr">
        <is>
          <t>구약</t>
        </is>
      </c>
      <c r="D212" s="13" t="n">
        <v>211</v>
      </c>
      <c r="E212" s="13">
        <f>C212&amp;"말씀 #"&amp;TEXT(D212,"000")</f>
        <v/>
      </c>
      <c r="F212" s="14" t="inlineStr">
        <is>
          <t>잠언</t>
        </is>
      </c>
      <c r="G212" s="14" t="inlineStr">
        <is>
          <t>9:10</t>
        </is>
      </c>
      <c r="H212" s="15" t="inlineStr">
        <is>
          <t>(잠 9:10, 개역한글)</t>
        </is>
      </c>
      <c r="I212" s="14" t="inlineStr">
        <is>
          <t>지혜</t>
        </is>
      </c>
      <c r="J212" s="14" t="inlineStr">
        <is>
          <t>들판·나무</t>
        </is>
      </c>
      <c r="K212" s="16" t="inlineStr">
        <is>
          <t>여호와를 경외하는 것이 지혜의 근본이요 거룩하신 자를 아는 것이 명철이니라</t>
        </is>
      </c>
      <c r="L212" s="14" t="inlineStr">
        <is>
          <t>자동 입력</t>
        </is>
      </c>
      <c r="M212" s="14">
        <f>LEN(K212)</f>
        <v/>
      </c>
      <c r="N212" s="14">
        <f>IF(M212=0,"-",ROUND(3+M212/'안내'!$C$12,0))</f>
        <v/>
      </c>
      <c r="O212" s="15">
        <f>IF(K212="","(본문 입력 후 자동) | 잠 9:10",IF(LEN(K212)&gt;28,LEFT(K212,28)&amp;"…",K212)&amp;" | 잠 9:10")</f>
        <v/>
      </c>
      <c r="P212" s="15">
        <f>"#"&amp;SUBSTITUTE('안내'!$C$5," ","")&amp;" #성경구절 #말씀 #잠언 #지혜"</f>
        <v/>
      </c>
      <c r="Q212" s="15" t="inlineStr">
        <is>
          <t>성경 본문: 개역한글판</t>
        </is>
      </c>
      <c r="R212" s="17">
        <f>'안내'!$C$6+INT((D212-1)/'안내'!$C$7)</f>
        <v/>
      </c>
      <c r="S212" s="14">
        <f>IF(MOD(D212-1,'안내'!$C$7)=0,'안내'!$C$8,'안내'!$C$10)</f>
        <v/>
      </c>
      <c r="T212" s="14">
        <f>CHOOSE(WEEKDAY(R212,2),"월","화","수","목","금","토","일")</f>
        <v/>
      </c>
      <c r="U212" s="14" t="inlineStr">
        <is>
          <t>미착수</t>
        </is>
      </c>
      <c r="V212" s="14" t="inlineStr">
        <is>
          <t>미착수</t>
        </is>
      </c>
      <c r="W212" s="18" t="n"/>
      <c r="X212" s="18" t="n"/>
      <c r="Y212" s="15" t="n"/>
      <c r="Z212" s="15" t="inlineStr"/>
      <c r="AA212" s="15" t="inlineStr">
        <is>
          <t>The fear of Yahweh is the beginning of wisdom. The knowledge of the Holy One is understanding.</t>
        </is>
      </c>
    </row>
    <row r="213">
      <c r="A213" s="13" t="n">
        <v>212</v>
      </c>
      <c r="B213" s="13" t="inlineStr">
        <is>
          <t>W0212</t>
        </is>
      </c>
      <c r="C213" s="13" t="inlineStr">
        <is>
          <t>구약</t>
        </is>
      </c>
      <c r="D213" s="13" t="n">
        <v>212</v>
      </c>
      <c r="E213" s="13">
        <f>C213&amp;"말씀 #"&amp;TEXT(D213,"000")</f>
        <v/>
      </c>
      <c r="F213" s="14" t="inlineStr">
        <is>
          <t>잠언</t>
        </is>
      </c>
      <c r="G213" s="14" t="inlineStr">
        <is>
          <t>10:12</t>
        </is>
      </c>
      <c r="H213" s="15" t="inlineStr">
        <is>
          <t>(잠 10:12, 개역한글)</t>
        </is>
      </c>
      <c r="I213" s="14" t="inlineStr">
        <is>
          <t>사랑</t>
        </is>
      </c>
      <c r="J213" s="14" t="inlineStr">
        <is>
          <t>창가·식탁</t>
        </is>
      </c>
      <c r="K213" s="16" t="inlineStr">
        <is>
          <t>미움은 다툼을 일으켜도 사랑은 모든 허물을 가리우느니라</t>
        </is>
      </c>
      <c r="L213" s="14" t="inlineStr">
        <is>
          <t>자동 입력</t>
        </is>
      </c>
      <c r="M213" s="14">
        <f>LEN(K213)</f>
        <v/>
      </c>
      <c r="N213" s="14">
        <f>IF(M213=0,"-",ROUND(3+M213/'안내'!$C$12,0))</f>
        <v/>
      </c>
      <c r="O213" s="15">
        <f>IF(K213="","(본문 입력 후 자동) | 잠 10:12",IF(LEN(K213)&gt;28,LEFT(K213,28)&amp;"…",K213)&amp;" | 잠 10:12")</f>
        <v/>
      </c>
      <c r="P213" s="15">
        <f>"#"&amp;SUBSTITUTE('안내'!$C$5," ","")&amp;" #성경구절 #말씀 #잠언 #사랑"</f>
        <v/>
      </c>
      <c r="Q213" s="15" t="inlineStr">
        <is>
          <t>성경 본문: 개역한글판</t>
        </is>
      </c>
      <c r="R213" s="17">
        <f>'안내'!$C$6+INT((D213-1)/'안내'!$C$7)</f>
        <v/>
      </c>
      <c r="S213" s="14">
        <f>IF(MOD(D213-1,'안내'!$C$7)=0,'안내'!$C$8,'안내'!$C$10)</f>
        <v/>
      </c>
      <c r="T213" s="14">
        <f>CHOOSE(WEEKDAY(R213,2),"월","화","수","목","금","토","일")</f>
        <v/>
      </c>
      <c r="U213" s="14" t="inlineStr">
        <is>
          <t>미착수</t>
        </is>
      </c>
      <c r="V213" s="14" t="inlineStr">
        <is>
          <t>미착수</t>
        </is>
      </c>
      <c r="W213" s="18" t="n"/>
      <c r="X213" s="18" t="n"/>
      <c r="Y213" s="15" t="n"/>
      <c r="Z213" s="15" t="inlineStr"/>
      <c r="AA213" s="15" t="inlineStr">
        <is>
          <t>Hatred stirs up strife, but love covers all wrongs.</t>
        </is>
      </c>
    </row>
    <row r="214">
      <c r="A214" s="13" t="n">
        <v>213</v>
      </c>
      <c r="B214" s="13" t="inlineStr">
        <is>
          <t>W0213</t>
        </is>
      </c>
      <c r="C214" s="13" t="inlineStr">
        <is>
          <t>구약</t>
        </is>
      </c>
      <c r="D214" s="13" t="n">
        <v>213</v>
      </c>
      <c r="E214" s="13">
        <f>C214&amp;"말씀 #"&amp;TEXT(D214,"000")</f>
        <v/>
      </c>
      <c r="F214" s="14" t="inlineStr">
        <is>
          <t>잠언</t>
        </is>
      </c>
      <c r="G214" s="14" t="inlineStr">
        <is>
          <t>11:2</t>
        </is>
      </c>
      <c r="H214" s="15" t="inlineStr">
        <is>
          <t>(잠 11:2, 개역한글)</t>
        </is>
      </c>
      <c r="I214" s="14" t="inlineStr">
        <is>
          <t>겸손</t>
        </is>
      </c>
      <c r="J214" s="14" t="inlineStr">
        <is>
          <t>창가·식탁</t>
        </is>
      </c>
      <c r="K214" s="16" t="inlineStr">
        <is>
          <t>교만이 오면 욕도 오거니와 겸손한 자에게는 지혜가 있느니라</t>
        </is>
      </c>
      <c r="L214" s="14" t="inlineStr">
        <is>
          <t>자동 입력</t>
        </is>
      </c>
      <c r="M214" s="14">
        <f>LEN(K214)</f>
        <v/>
      </c>
      <c r="N214" s="14">
        <f>IF(M214=0,"-",ROUND(3+M214/'안내'!$C$12,0))</f>
        <v/>
      </c>
      <c r="O214" s="15">
        <f>IF(K214="","(본문 입력 후 자동) | 잠 11:2",IF(LEN(K214)&gt;28,LEFT(K214,28)&amp;"…",K214)&amp;" | 잠 11:2")</f>
        <v/>
      </c>
      <c r="P214" s="15">
        <f>"#"&amp;SUBSTITUTE('안내'!$C$5," ","")&amp;" #성경구절 #말씀 #잠언 #겸손"</f>
        <v/>
      </c>
      <c r="Q214" s="15" t="inlineStr">
        <is>
          <t>성경 본문: 개역한글판</t>
        </is>
      </c>
      <c r="R214" s="17">
        <f>'안내'!$C$6+INT((D214-1)/'안내'!$C$7)</f>
        <v/>
      </c>
      <c r="S214" s="14">
        <f>IF(MOD(D214-1,'안내'!$C$7)=0,'안내'!$C$8,'안내'!$C$10)</f>
        <v/>
      </c>
      <c r="T214" s="14">
        <f>CHOOSE(WEEKDAY(R214,2),"월","화","수","목","금","토","일")</f>
        <v/>
      </c>
      <c r="U214" s="14" t="inlineStr">
        <is>
          <t>미착수</t>
        </is>
      </c>
      <c r="V214" s="14" t="inlineStr">
        <is>
          <t>미착수</t>
        </is>
      </c>
      <c r="W214" s="18" t="n"/>
      <c r="X214" s="18" t="n"/>
      <c r="Y214" s="15" t="n"/>
      <c r="Z214" s="15" t="inlineStr"/>
      <c r="AA214" s="15" t="inlineStr">
        <is>
          <t>When pride comes, then comes shame, but with humility comes wisdom.</t>
        </is>
      </c>
    </row>
    <row r="215">
      <c r="A215" s="13" t="n">
        <v>214</v>
      </c>
      <c r="B215" s="13" t="inlineStr">
        <is>
          <t>W0214</t>
        </is>
      </c>
      <c r="C215" s="13" t="inlineStr">
        <is>
          <t>구약</t>
        </is>
      </c>
      <c r="D215" s="13" t="n">
        <v>214</v>
      </c>
      <c r="E215" s="13">
        <f>C215&amp;"말씀 #"&amp;TEXT(D215,"000")</f>
        <v/>
      </c>
      <c r="F215" s="14" t="inlineStr">
        <is>
          <t>잠언</t>
        </is>
      </c>
      <c r="G215" s="14" t="inlineStr">
        <is>
          <t>12:25</t>
        </is>
      </c>
      <c r="H215" s="15" t="inlineStr">
        <is>
          <t>(잠 12:25, 개역한글)</t>
        </is>
      </c>
      <c r="I215" s="14" t="inlineStr">
        <is>
          <t>위로</t>
        </is>
      </c>
      <c r="J215" s="14" t="inlineStr">
        <is>
          <t>잔잔한 물</t>
        </is>
      </c>
      <c r="K215" s="16" t="inlineStr">
        <is>
          <t>근심이 사람의 마음에 있으면 그것으로 번뇌케 하나 선한 말은 그것을 즐겁게 하느니라</t>
        </is>
      </c>
      <c r="L215" s="14" t="inlineStr">
        <is>
          <t>자동 입력</t>
        </is>
      </c>
      <c r="M215" s="14">
        <f>LEN(K215)</f>
        <v/>
      </c>
      <c r="N215" s="14">
        <f>IF(M215=0,"-",ROUND(3+M215/'안내'!$C$12,0))</f>
        <v/>
      </c>
      <c r="O215" s="15">
        <f>IF(K215="","(본문 입력 후 자동) | 잠 12:25",IF(LEN(K215)&gt;28,LEFT(K215,28)&amp;"…",K215)&amp;" | 잠 12:25")</f>
        <v/>
      </c>
      <c r="P215" s="15">
        <f>"#"&amp;SUBSTITUTE('안내'!$C$5," ","")&amp;" #성경구절 #말씀 #잠언 #위로"</f>
        <v/>
      </c>
      <c r="Q215" s="15" t="inlineStr">
        <is>
          <t>성경 본문: 개역한글판</t>
        </is>
      </c>
      <c r="R215" s="17">
        <f>'안내'!$C$6+INT((D215-1)/'안내'!$C$7)</f>
        <v/>
      </c>
      <c r="S215" s="14">
        <f>IF(MOD(D215-1,'안내'!$C$7)=0,'안내'!$C$8,'안내'!$C$10)</f>
        <v/>
      </c>
      <c r="T215" s="14">
        <f>CHOOSE(WEEKDAY(R215,2),"월","화","수","목","금","토","일")</f>
        <v/>
      </c>
      <c r="U215" s="14" t="inlineStr">
        <is>
          <t>미착수</t>
        </is>
      </c>
      <c r="V215" s="14" t="inlineStr">
        <is>
          <t>미착수</t>
        </is>
      </c>
      <c r="W215" s="18" t="n"/>
      <c r="X215" s="18" t="n"/>
      <c r="Y215" s="15" t="n"/>
      <c r="Z215" s="15" t="inlineStr"/>
      <c r="AA215" s="15" t="inlineStr">
        <is>
          <t>Anxiety in a man’s heart weighs it down, but a kind word makes it glad.</t>
        </is>
      </c>
    </row>
    <row r="216">
      <c r="A216" s="13" t="n">
        <v>215</v>
      </c>
      <c r="B216" s="13" t="inlineStr">
        <is>
          <t>W0215</t>
        </is>
      </c>
      <c r="C216" s="13" t="inlineStr">
        <is>
          <t>구약</t>
        </is>
      </c>
      <c r="D216" s="13" t="n">
        <v>215</v>
      </c>
      <c r="E216" s="13">
        <f>C216&amp;"말씀 #"&amp;TEXT(D216,"000")</f>
        <v/>
      </c>
      <c r="F216" s="14" t="inlineStr">
        <is>
          <t>잠언</t>
        </is>
      </c>
      <c r="G216" s="14" t="inlineStr">
        <is>
          <t>13:20</t>
        </is>
      </c>
      <c r="H216" s="15" t="inlineStr">
        <is>
          <t>(잠 13:20, 개역한글)</t>
        </is>
      </c>
      <c r="I216" s="14" t="inlineStr">
        <is>
          <t>지혜</t>
        </is>
      </c>
      <c r="J216" s="14" t="inlineStr">
        <is>
          <t>들판·나무</t>
        </is>
      </c>
      <c r="K216" s="16" t="inlineStr">
        <is>
          <t>지혜로운 자와 동행하면 지혜를 얻고 미련한 자와 사귀면 해를 받느니라</t>
        </is>
      </c>
      <c r="L216" s="14" t="inlineStr">
        <is>
          <t>자동 입력</t>
        </is>
      </c>
      <c r="M216" s="14">
        <f>LEN(K216)</f>
        <v/>
      </c>
      <c r="N216" s="14">
        <f>IF(M216=0,"-",ROUND(3+M216/'안내'!$C$12,0))</f>
        <v/>
      </c>
      <c r="O216" s="15">
        <f>IF(K216="","(본문 입력 후 자동) | 잠 13:20",IF(LEN(K216)&gt;28,LEFT(K216,28)&amp;"…",K216)&amp;" | 잠 13:20")</f>
        <v/>
      </c>
      <c r="P216" s="15">
        <f>"#"&amp;SUBSTITUTE('안내'!$C$5," ","")&amp;" #성경구절 #말씀 #잠언 #지혜"</f>
        <v/>
      </c>
      <c r="Q216" s="15" t="inlineStr">
        <is>
          <t>성경 본문: 개역한글판</t>
        </is>
      </c>
      <c r="R216" s="17">
        <f>'안내'!$C$6+INT((D216-1)/'안내'!$C$7)</f>
        <v/>
      </c>
      <c r="S216" s="14">
        <f>IF(MOD(D216-1,'안내'!$C$7)=0,'안내'!$C$8,'안내'!$C$10)</f>
        <v/>
      </c>
      <c r="T216" s="14">
        <f>CHOOSE(WEEKDAY(R216,2),"월","화","수","목","금","토","일")</f>
        <v/>
      </c>
      <c r="U216" s="14" t="inlineStr">
        <is>
          <t>미착수</t>
        </is>
      </c>
      <c r="V216" s="14" t="inlineStr">
        <is>
          <t>미착수</t>
        </is>
      </c>
      <c r="W216" s="18" t="n"/>
      <c r="X216" s="18" t="n"/>
      <c r="Y216" s="15" t="n"/>
      <c r="Z216" s="15" t="inlineStr"/>
      <c r="AA216" s="15" t="inlineStr">
        <is>
          <t>One who walks with wise men grows wise, but a companion of fools suffers harm.</t>
        </is>
      </c>
    </row>
    <row r="217">
      <c r="A217" s="13" t="n">
        <v>216</v>
      </c>
      <c r="B217" s="13" t="inlineStr">
        <is>
          <t>W0216</t>
        </is>
      </c>
      <c r="C217" s="13" t="inlineStr">
        <is>
          <t>구약</t>
        </is>
      </c>
      <c r="D217" s="13" t="n">
        <v>216</v>
      </c>
      <c r="E217" s="13">
        <f>C217&amp;"말씀 #"&amp;TEXT(D217,"000")</f>
        <v/>
      </c>
      <c r="F217" s="14" t="inlineStr">
        <is>
          <t>잠언</t>
        </is>
      </c>
      <c r="G217" s="14" t="inlineStr">
        <is>
          <t>14:12</t>
        </is>
      </c>
      <c r="H217" s="15" t="inlineStr">
        <is>
          <t>(잠 14:12, 개역한글)</t>
        </is>
      </c>
      <c r="I217" s="14" t="inlineStr">
        <is>
          <t>지혜</t>
        </is>
      </c>
      <c r="J217" s="14" t="inlineStr">
        <is>
          <t>들판·나무</t>
        </is>
      </c>
      <c r="K217" s="16" t="inlineStr">
        <is>
          <t>어떤 길은 사람의 보기에 바르나 필경은 사망의 길이니라</t>
        </is>
      </c>
      <c r="L217" s="14" t="inlineStr">
        <is>
          <t>자동 입력</t>
        </is>
      </c>
      <c r="M217" s="14">
        <f>LEN(K217)</f>
        <v/>
      </c>
      <c r="N217" s="14">
        <f>IF(M217=0,"-",ROUND(3+M217/'안내'!$C$12,0))</f>
        <v/>
      </c>
      <c r="O217" s="15">
        <f>IF(K217="","(본문 입력 후 자동) | 잠 14:12",IF(LEN(K217)&gt;28,LEFT(K217,28)&amp;"…",K217)&amp;" | 잠 14:12")</f>
        <v/>
      </c>
      <c r="P217" s="15">
        <f>"#"&amp;SUBSTITUTE('안내'!$C$5," ","")&amp;" #성경구절 #말씀 #잠언 #지혜"</f>
        <v/>
      </c>
      <c r="Q217" s="15" t="inlineStr">
        <is>
          <t>성경 본문: 개역한글판</t>
        </is>
      </c>
      <c r="R217" s="17">
        <f>'안내'!$C$6+INT((D217-1)/'안내'!$C$7)</f>
        <v/>
      </c>
      <c r="S217" s="14">
        <f>IF(MOD(D217-1,'안내'!$C$7)=0,'안내'!$C$8,'안내'!$C$10)</f>
        <v/>
      </c>
      <c r="T217" s="14">
        <f>CHOOSE(WEEKDAY(R217,2),"월","화","수","목","금","토","일")</f>
        <v/>
      </c>
      <c r="U217" s="14" t="inlineStr">
        <is>
          <t>미착수</t>
        </is>
      </c>
      <c r="V217" s="14" t="inlineStr">
        <is>
          <t>미착수</t>
        </is>
      </c>
      <c r="W217" s="18" t="n"/>
      <c r="X217" s="18" t="n"/>
      <c r="Y217" s="15" t="n"/>
      <c r="Z217" s="15" t="inlineStr"/>
      <c r="AA217" s="15" t="inlineStr">
        <is>
          <t>There is a way which seems right to a man, but in the end it leads to death.</t>
        </is>
      </c>
    </row>
    <row r="218">
      <c r="A218" s="13" t="n">
        <v>217</v>
      </c>
      <c r="B218" s="13" t="inlineStr">
        <is>
          <t>W0217</t>
        </is>
      </c>
      <c r="C218" s="13" t="inlineStr">
        <is>
          <t>구약</t>
        </is>
      </c>
      <c r="D218" s="13" t="n">
        <v>217</v>
      </c>
      <c r="E218" s="13">
        <f>C218&amp;"말씀 #"&amp;TEXT(D218,"000")</f>
        <v/>
      </c>
      <c r="F218" s="14" t="inlineStr">
        <is>
          <t>잠언</t>
        </is>
      </c>
      <c r="G218" s="14" t="inlineStr">
        <is>
          <t>15:1</t>
        </is>
      </c>
      <c r="H218" s="15" t="inlineStr">
        <is>
          <t>(잠 15:1, 개역한글)</t>
        </is>
      </c>
      <c r="I218" s="14" t="inlineStr">
        <is>
          <t>말</t>
        </is>
      </c>
      <c r="J218" s="14" t="inlineStr">
        <is>
          <t>창가·식탁</t>
        </is>
      </c>
      <c r="K218" s="16" t="inlineStr">
        <is>
          <t>유순한 대답은 분노를 쉬게 하여도 과격한 말은 노를 격동하느니라</t>
        </is>
      </c>
      <c r="L218" s="14" t="inlineStr">
        <is>
          <t>자동 입력</t>
        </is>
      </c>
      <c r="M218" s="14">
        <f>LEN(K218)</f>
        <v/>
      </c>
      <c r="N218" s="14">
        <f>IF(M218=0,"-",ROUND(3+M218/'안내'!$C$12,0))</f>
        <v/>
      </c>
      <c r="O218" s="15">
        <f>IF(K218="","(본문 입력 후 자동) | 잠 15:1",IF(LEN(K218)&gt;28,LEFT(K218,28)&amp;"…",K218)&amp;" | 잠 15:1")</f>
        <v/>
      </c>
      <c r="P218" s="15">
        <f>"#"&amp;SUBSTITUTE('안내'!$C$5," ","")&amp;" #성경구절 #말씀 #잠언 #말"</f>
        <v/>
      </c>
      <c r="Q218" s="15" t="inlineStr">
        <is>
          <t>성경 본문: 개역한글판</t>
        </is>
      </c>
      <c r="R218" s="17">
        <f>'안내'!$C$6+INT((D218-1)/'안내'!$C$7)</f>
        <v/>
      </c>
      <c r="S218" s="14">
        <f>IF(MOD(D218-1,'안내'!$C$7)=0,'안내'!$C$8,'안내'!$C$10)</f>
        <v/>
      </c>
      <c r="T218" s="14">
        <f>CHOOSE(WEEKDAY(R218,2),"월","화","수","목","금","토","일")</f>
        <v/>
      </c>
      <c r="U218" s="14" t="inlineStr">
        <is>
          <t>미착수</t>
        </is>
      </c>
      <c r="V218" s="14" t="inlineStr">
        <is>
          <t>미착수</t>
        </is>
      </c>
      <c r="W218" s="18" t="n"/>
      <c r="X218" s="18" t="n"/>
      <c r="Y218" s="15" t="n"/>
      <c r="Z218" s="15" t="inlineStr"/>
      <c r="AA218" s="15" t="inlineStr">
        <is>
          <t>A gentle answer turns away wrath, but a harsh word stirs up anger.</t>
        </is>
      </c>
    </row>
    <row r="219">
      <c r="A219" s="13" t="n">
        <v>218</v>
      </c>
      <c r="B219" s="13" t="inlineStr">
        <is>
          <t>W0218</t>
        </is>
      </c>
      <c r="C219" s="13" t="inlineStr">
        <is>
          <t>구약</t>
        </is>
      </c>
      <c r="D219" s="13" t="n">
        <v>218</v>
      </c>
      <c r="E219" s="13">
        <f>C219&amp;"말씀 #"&amp;TEXT(D219,"000")</f>
        <v/>
      </c>
      <c r="F219" s="14" t="inlineStr">
        <is>
          <t>잠언</t>
        </is>
      </c>
      <c r="G219" s="14" t="inlineStr">
        <is>
          <t>15:3</t>
        </is>
      </c>
      <c r="H219" s="15" t="inlineStr">
        <is>
          <t>(잠 15:3, 개역한글)</t>
        </is>
      </c>
      <c r="I219" s="14" t="inlineStr">
        <is>
          <t>하나님</t>
        </is>
      </c>
      <c r="J219" s="14" t="inlineStr">
        <is>
          <t>하늘·별</t>
        </is>
      </c>
      <c r="K219" s="16" t="inlineStr">
        <is>
          <t>여호와의 눈은 어디서든지 악인과 선인을 감찰하시느니라</t>
        </is>
      </c>
      <c r="L219" s="14" t="inlineStr">
        <is>
          <t>자동 입력</t>
        </is>
      </c>
      <c r="M219" s="14">
        <f>LEN(K219)</f>
        <v/>
      </c>
      <c r="N219" s="14">
        <f>IF(M219=0,"-",ROUND(3+M219/'안내'!$C$12,0))</f>
        <v/>
      </c>
      <c r="O219" s="15">
        <f>IF(K219="","(본문 입력 후 자동) | 잠 15:3",IF(LEN(K219)&gt;28,LEFT(K219,28)&amp;"…",K219)&amp;" | 잠 15:3")</f>
        <v/>
      </c>
      <c r="P219" s="15">
        <f>"#"&amp;SUBSTITUTE('안내'!$C$5," ","")&amp;" #성경구절 #말씀 #잠언 #하나님"</f>
        <v/>
      </c>
      <c r="Q219" s="15" t="inlineStr">
        <is>
          <t>성경 본문: 개역한글판</t>
        </is>
      </c>
      <c r="R219" s="17">
        <f>'안내'!$C$6+INT((D219-1)/'안내'!$C$7)</f>
        <v/>
      </c>
      <c r="S219" s="14">
        <f>IF(MOD(D219-1,'안내'!$C$7)=0,'안내'!$C$8,'안내'!$C$10)</f>
        <v/>
      </c>
      <c r="T219" s="14">
        <f>CHOOSE(WEEKDAY(R219,2),"월","화","수","목","금","토","일")</f>
        <v/>
      </c>
      <c r="U219" s="14" t="inlineStr">
        <is>
          <t>미착수</t>
        </is>
      </c>
      <c r="V219" s="14" t="inlineStr">
        <is>
          <t>미착수</t>
        </is>
      </c>
      <c r="W219" s="18" t="n"/>
      <c r="X219" s="18" t="n"/>
      <c r="Y219" s="15" t="n"/>
      <c r="Z219" s="15" t="inlineStr"/>
      <c r="AA219" s="15" t="inlineStr">
        <is>
          <t>Yahweh’s eyes are everywhere, keeping watch on the evil and the good.</t>
        </is>
      </c>
    </row>
    <row r="220">
      <c r="A220" s="13" t="n">
        <v>219</v>
      </c>
      <c r="B220" s="13" t="inlineStr">
        <is>
          <t>W0219</t>
        </is>
      </c>
      <c r="C220" s="13" t="inlineStr">
        <is>
          <t>구약</t>
        </is>
      </c>
      <c r="D220" s="13" t="n">
        <v>219</v>
      </c>
      <c r="E220" s="13">
        <f>C220&amp;"말씀 #"&amp;TEXT(D220,"000")</f>
        <v/>
      </c>
      <c r="F220" s="14" t="inlineStr">
        <is>
          <t>잠언</t>
        </is>
      </c>
      <c r="G220" s="14" t="inlineStr">
        <is>
          <t>16:3</t>
        </is>
      </c>
      <c r="H220" s="15" t="inlineStr">
        <is>
          <t>(잠 16:3, 개역한글)</t>
        </is>
      </c>
      <c r="I220" s="14" t="inlineStr">
        <is>
          <t>신뢰</t>
        </is>
      </c>
      <c r="J220" s="14" t="inlineStr">
        <is>
          <t>바위산·광야</t>
        </is>
      </c>
      <c r="K220" s="16" t="inlineStr">
        <is>
          <t>너의 행사를 여호와께 맡기라 그리하면 너의 경영하는 것이 이루리라</t>
        </is>
      </c>
      <c r="L220" s="14" t="inlineStr">
        <is>
          <t>자동 입력</t>
        </is>
      </c>
      <c r="M220" s="14">
        <f>LEN(K220)</f>
        <v/>
      </c>
      <c r="N220" s="14">
        <f>IF(M220=0,"-",ROUND(3+M220/'안내'!$C$12,0))</f>
        <v/>
      </c>
      <c r="O220" s="15">
        <f>IF(K220="","(본문 입력 후 자동) | 잠 16:3",IF(LEN(K220)&gt;28,LEFT(K220,28)&amp;"…",K220)&amp;" | 잠 16:3")</f>
        <v/>
      </c>
      <c r="P220" s="15">
        <f>"#"&amp;SUBSTITUTE('안내'!$C$5," ","")&amp;" #성경구절 #말씀 #잠언 #신뢰"</f>
        <v/>
      </c>
      <c r="Q220" s="15" t="inlineStr">
        <is>
          <t>성경 본문: 개역한글판</t>
        </is>
      </c>
      <c r="R220" s="17">
        <f>'안내'!$C$6+INT((D220-1)/'안내'!$C$7)</f>
        <v/>
      </c>
      <c r="S220" s="14">
        <f>IF(MOD(D220-1,'안내'!$C$7)=0,'안내'!$C$8,'안내'!$C$10)</f>
        <v/>
      </c>
      <c r="T220" s="14">
        <f>CHOOSE(WEEKDAY(R220,2),"월","화","수","목","금","토","일")</f>
        <v/>
      </c>
      <c r="U220" s="14" t="inlineStr">
        <is>
          <t>미착수</t>
        </is>
      </c>
      <c r="V220" s="14" t="inlineStr">
        <is>
          <t>미착수</t>
        </is>
      </c>
      <c r="W220" s="18" t="n"/>
      <c r="X220" s="18" t="n"/>
      <c r="Y220" s="15" t="n"/>
      <c r="Z220" s="15" t="inlineStr"/>
      <c r="AA220" s="15" t="inlineStr">
        <is>
          <t>Commit your deeds to Yahweh, and your plans shall succeed.</t>
        </is>
      </c>
    </row>
    <row r="221">
      <c r="A221" s="13" t="n">
        <v>220</v>
      </c>
      <c r="B221" s="13" t="inlineStr">
        <is>
          <t>W0220</t>
        </is>
      </c>
      <c r="C221" s="13" t="inlineStr">
        <is>
          <t>구약</t>
        </is>
      </c>
      <c r="D221" s="13" t="n">
        <v>220</v>
      </c>
      <c r="E221" s="13">
        <f>C221&amp;"말씀 #"&amp;TEXT(D221,"000")</f>
        <v/>
      </c>
      <c r="F221" s="14" t="inlineStr">
        <is>
          <t>잠언</t>
        </is>
      </c>
      <c r="G221" s="14" t="inlineStr">
        <is>
          <t>16:9</t>
        </is>
      </c>
      <c r="H221" s="15" t="inlineStr">
        <is>
          <t>(잠 16:9, 개역한글)</t>
        </is>
      </c>
      <c r="I221" s="14" t="inlineStr">
        <is>
          <t>인도</t>
        </is>
      </c>
      <c r="J221" s="14" t="inlineStr">
        <is>
          <t>길·등불</t>
        </is>
      </c>
      <c r="K221" s="16" t="inlineStr">
        <is>
          <t>사람이 마음으로 자기의 길을 계획할지라도 그 걸음을 인도하는 자는 여호와시니라</t>
        </is>
      </c>
      <c r="L221" s="14" t="inlineStr">
        <is>
          <t>자동 입력</t>
        </is>
      </c>
      <c r="M221" s="14">
        <f>LEN(K221)</f>
        <v/>
      </c>
      <c r="N221" s="14">
        <f>IF(M221=0,"-",ROUND(3+M221/'안내'!$C$12,0))</f>
        <v/>
      </c>
      <c r="O221" s="15">
        <f>IF(K221="","(본문 입력 후 자동) | 잠 16:9",IF(LEN(K221)&gt;28,LEFT(K221,28)&amp;"…",K221)&amp;" | 잠 16:9")</f>
        <v/>
      </c>
      <c r="P221" s="15">
        <f>"#"&amp;SUBSTITUTE('안내'!$C$5," ","")&amp;" #성경구절 #말씀 #잠언 #인도"</f>
        <v/>
      </c>
      <c r="Q221" s="15" t="inlineStr">
        <is>
          <t>성경 본문: 개역한글판</t>
        </is>
      </c>
      <c r="R221" s="17">
        <f>'안내'!$C$6+INT((D221-1)/'안내'!$C$7)</f>
        <v/>
      </c>
      <c r="S221" s="14">
        <f>IF(MOD(D221-1,'안내'!$C$7)=0,'안내'!$C$8,'안내'!$C$10)</f>
        <v/>
      </c>
      <c r="T221" s="14">
        <f>CHOOSE(WEEKDAY(R221,2),"월","화","수","목","금","토","일")</f>
        <v/>
      </c>
      <c r="U221" s="14" t="inlineStr">
        <is>
          <t>미착수</t>
        </is>
      </c>
      <c r="V221" s="14" t="inlineStr">
        <is>
          <t>미착수</t>
        </is>
      </c>
      <c r="W221" s="18" t="n"/>
      <c r="X221" s="18" t="n"/>
      <c r="Y221" s="15" t="n"/>
      <c r="Z221" s="15" t="inlineStr"/>
      <c r="AA221" s="15" t="inlineStr">
        <is>
          <t>A man’s heart plans his course, but Yahweh directs his steps.</t>
        </is>
      </c>
    </row>
    <row r="222">
      <c r="A222" s="13" t="n">
        <v>221</v>
      </c>
      <c r="B222" s="13" t="inlineStr">
        <is>
          <t>W0221</t>
        </is>
      </c>
      <c r="C222" s="13" t="inlineStr">
        <is>
          <t>구약</t>
        </is>
      </c>
      <c r="D222" s="13" t="n">
        <v>221</v>
      </c>
      <c r="E222" s="13">
        <f>C222&amp;"말씀 #"&amp;TEXT(D222,"000")</f>
        <v/>
      </c>
      <c r="F222" s="14" t="inlineStr">
        <is>
          <t>잠언</t>
        </is>
      </c>
      <c r="G222" s="14" t="inlineStr">
        <is>
          <t>16:18</t>
        </is>
      </c>
      <c r="H222" s="15" t="inlineStr">
        <is>
          <t>(잠 16:18, 개역한글)</t>
        </is>
      </c>
      <c r="I222" s="14" t="inlineStr">
        <is>
          <t>겸손</t>
        </is>
      </c>
      <c r="J222" s="14" t="inlineStr">
        <is>
          <t>창가·식탁</t>
        </is>
      </c>
      <c r="K222" s="16" t="inlineStr">
        <is>
          <t>교만은 패망의 선봉이요 거만한 마음은 넘어짐의 앞잡이니라</t>
        </is>
      </c>
      <c r="L222" s="14" t="inlineStr">
        <is>
          <t>자동 입력</t>
        </is>
      </c>
      <c r="M222" s="14">
        <f>LEN(K222)</f>
        <v/>
      </c>
      <c r="N222" s="14">
        <f>IF(M222=0,"-",ROUND(3+M222/'안내'!$C$12,0))</f>
        <v/>
      </c>
      <c r="O222" s="15">
        <f>IF(K222="","(본문 입력 후 자동) | 잠 16:18",IF(LEN(K222)&gt;28,LEFT(K222,28)&amp;"…",K222)&amp;" | 잠 16:18")</f>
        <v/>
      </c>
      <c r="P222" s="15">
        <f>"#"&amp;SUBSTITUTE('안내'!$C$5," ","")&amp;" #성경구절 #말씀 #잠언 #겸손"</f>
        <v/>
      </c>
      <c r="Q222" s="15" t="inlineStr">
        <is>
          <t>성경 본문: 개역한글판</t>
        </is>
      </c>
      <c r="R222" s="17">
        <f>'안내'!$C$6+INT((D222-1)/'안내'!$C$7)</f>
        <v/>
      </c>
      <c r="S222" s="14">
        <f>IF(MOD(D222-1,'안내'!$C$7)=0,'안내'!$C$8,'안내'!$C$10)</f>
        <v/>
      </c>
      <c r="T222" s="14">
        <f>CHOOSE(WEEKDAY(R222,2),"월","화","수","목","금","토","일")</f>
        <v/>
      </c>
      <c r="U222" s="14" t="inlineStr">
        <is>
          <t>미착수</t>
        </is>
      </c>
      <c r="V222" s="14" t="inlineStr">
        <is>
          <t>미착수</t>
        </is>
      </c>
      <c r="W222" s="18" t="n"/>
      <c r="X222" s="18" t="n"/>
      <c r="Y222" s="15" t="n"/>
      <c r="Z222" s="15" t="inlineStr"/>
      <c r="AA222" s="15" t="inlineStr">
        <is>
          <t>Pride goes before destruction, and an arrogant spirit before a fall.</t>
        </is>
      </c>
    </row>
    <row r="223">
      <c r="A223" s="13" t="n">
        <v>222</v>
      </c>
      <c r="B223" s="13" t="inlineStr">
        <is>
          <t>W0222</t>
        </is>
      </c>
      <c r="C223" s="13" t="inlineStr">
        <is>
          <t>구약</t>
        </is>
      </c>
      <c r="D223" s="13" t="n">
        <v>222</v>
      </c>
      <c r="E223" s="13">
        <f>C223&amp;"말씀 #"&amp;TEXT(D223,"000")</f>
        <v/>
      </c>
      <c r="F223" s="14" t="inlineStr">
        <is>
          <t>잠언</t>
        </is>
      </c>
      <c r="G223" s="14" t="inlineStr">
        <is>
          <t>16:32</t>
        </is>
      </c>
      <c r="H223" s="15" t="inlineStr">
        <is>
          <t>(잠 16:32, 개역한글)</t>
        </is>
      </c>
      <c r="I223" s="14" t="inlineStr">
        <is>
          <t>지혜</t>
        </is>
      </c>
      <c r="J223" s="14" t="inlineStr">
        <is>
          <t>들판·나무</t>
        </is>
      </c>
      <c r="K223" s="16" t="inlineStr">
        <is>
          <t>노하기를 더디하는 자는 용사보다 낫고 자기의 마음을 다스리는 자는 성을 빼앗는 자보다 나으니라</t>
        </is>
      </c>
      <c r="L223" s="14" t="inlineStr">
        <is>
          <t>자동 입력</t>
        </is>
      </c>
      <c r="M223" s="14">
        <f>LEN(K223)</f>
        <v/>
      </c>
      <c r="N223" s="14">
        <f>IF(M223=0,"-",ROUND(3+M223/'안내'!$C$12,0))</f>
        <v/>
      </c>
      <c r="O223" s="15">
        <f>IF(K223="","(본문 입력 후 자동) | 잠 16:32",IF(LEN(K223)&gt;28,LEFT(K223,28)&amp;"…",K223)&amp;" | 잠 16:32")</f>
        <v/>
      </c>
      <c r="P223" s="15">
        <f>"#"&amp;SUBSTITUTE('안내'!$C$5," ","")&amp;" #성경구절 #말씀 #잠언 #지혜"</f>
        <v/>
      </c>
      <c r="Q223" s="15" t="inlineStr">
        <is>
          <t>성경 본문: 개역한글판</t>
        </is>
      </c>
      <c r="R223" s="17">
        <f>'안내'!$C$6+INT((D223-1)/'안내'!$C$7)</f>
        <v/>
      </c>
      <c r="S223" s="14">
        <f>IF(MOD(D223-1,'안내'!$C$7)=0,'안내'!$C$8,'안내'!$C$10)</f>
        <v/>
      </c>
      <c r="T223" s="14">
        <f>CHOOSE(WEEKDAY(R223,2),"월","화","수","목","금","토","일")</f>
        <v/>
      </c>
      <c r="U223" s="14" t="inlineStr">
        <is>
          <t>미착수</t>
        </is>
      </c>
      <c r="V223" s="14" t="inlineStr">
        <is>
          <t>미착수</t>
        </is>
      </c>
      <c r="W223" s="18" t="n"/>
      <c r="X223" s="18" t="n"/>
      <c r="Y223" s="15" t="n"/>
      <c r="Z223" s="15" t="inlineStr"/>
      <c r="AA223" s="15" t="inlineStr">
        <is>
          <t>One who is slow to anger is better than the mighty; one who rules his spirit, than he who takes a city.</t>
        </is>
      </c>
    </row>
    <row r="224">
      <c r="A224" s="13" t="n">
        <v>223</v>
      </c>
      <c r="B224" s="13" t="inlineStr">
        <is>
          <t>W0223</t>
        </is>
      </c>
      <c r="C224" s="13" t="inlineStr">
        <is>
          <t>구약</t>
        </is>
      </c>
      <c r="D224" s="13" t="n">
        <v>223</v>
      </c>
      <c r="E224" s="13">
        <f>C224&amp;"말씀 #"&amp;TEXT(D224,"000")</f>
        <v/>
      </c>
      <c r="F224" s="14" t="inlineStr">
        <is>
          <t>잠언</t>
        </is>
      </c>
      <c r="G224" s="14" t="inlineStr">
        <is>
          <t>17:17</t>
        </is>
      </c>
      <c r="H224" s="15" t="inlineStr">
        <is>
          <t>(잠 17:17, 개역한글)</t>
        </is>
      </c>
      <c r="I224" s="14" t="inlineStr">
        <is>
          <t>사랑</t>
        </is>
      </c>
      <c r="J224" s="14" t="inlineStr">
        <is>
          <t>창가·식탁</t>
        </is>
      </c>
      <c r="K224" s="16" t="inlineStr">
        <is>
          <t>친구는 사랑이 끊이지 아니하고 형제는 위급한 때까지 위하여 났느니라</t>
        </is>
      </c>
      <c r="L224" s="14" t="inlineStr">
        <is>
          <t>자동 입력</t>
        </is>
      </c>
      <c r="M224" s="14">
        <f>LEN(K224)</f>
        <v/>
      </c>
      <c r="N224" s="14">
        <f>IF(M224=0,"-",ROUND(3+M224/'안내'!$C$12,0))</f>
        <v/>
      </c>
      <c r="O224" s="15">
        <f>IF(K224="","(본문 입력 후 자동) | 잠 17:17",IF(LEN(K224)&gt;28,LEFT(K224,28)&amp;"…",K224)&amp;" | 잠 17:17")</f>
        <v/>
      </c>
      <c r="P224" s="15">
        <f>"#"&amp;SUBSTITUTE('안내'!$C$5," ","")&amp;" #성경구절 #말씀 #잠언 #사랑"</f>
        <v/>
      </c>
      <c r="Q224" s="15" t="inlineStr">
        <is>
          <t>성경 본문: 개역한글판</t>
        </is>
      </c>
      <c r="R224" s="17">
        <f>'안내'!$C$6+INT((D224-1)/'안내'!$C$7)</f>
        <v/>
      </c>
      <c r="S224" s="14">
        <f>IF(MOD(D224-1,'안내'!$C$7)=0,'안내'!$C$8,'안내'!$C$10)</f>
        <v/>
      </c>
      <c r="T224" s="14">
        <f>CHOOSE(WEEKDAY(R224,2),"월","화","수","목","금","토","일")</f>
        <v/>
      </c>
      <c r="U224" s="14" t="inlineStr">
        <is>
          <t>미착수</t>
        </is>
      </c>
      <c r="V224" s="14" t="inlineStr">
        <is>
          <t>미착수</t>
        </is>
      </c>
      <c r="W224" s="18" t="n"/>
      <c r="X224" s="18" t="n"/>
      <c r="Y224" s="15" t="n"/>
      <c r="Z224" s="15" t="inlineStr"/>
      <c r="AA224" s="15" t="inlineStr">
        <is>
          <t>A friend loves at all times; and a brother is born for adversity.</t>
        </is>
      </c>
    </row>
    <row r="225">
      <c r="A225" s="13" t="n">
        <v>224</v>
      </c>
      <c r="B225" s="13" t="inlineStr">
        <is>
          <t>W0224</t>
        </is>
      </c>
      <c r="C225" s="13" t="inlineStr">
        <is>
          <t>구약</t>
        </is>
      </c>
      <c r="D225" s="13" t="n">
        <v>224</v>
      </c>
      <c r="E225" s="13">
        <f>C225&amp;"말씀 #"&amp;TEXT(D225,"000")</f>
        <v/>
      </c>
      <c r="F225" s="14" t="inlineStr">
        <is>
          <t>잠언</t>
        </is>
      </c>
      <c r="G225" s="14" t="inlineStr">
        <is>
          <t>17:22</t>
        </is>
      </c>
      <c r="H225" s="15" t="inlineStr">
        <is>
          <t>(잠 17:22, 개역한글)</t>
        </is>
      </c>
      <c r="I225" s="14" t="inlineStr">
        <is>
          <t>기쁨</t>
        </is>
      </c>
      <c r="J225" s="14" t="inlineStr">
        <is>
          <t>새벽빛</t>
        </is>
      </c>
      <c r="K225" s="16" t="inlineStr">
        <is>
          <t>마음의 즐거움은 양약이라도 심령의 근심은 뼈로 마르게 하느니라</t>
        </is>
      </c>
      <c r="L225" s="14" t="inlineStr">
        <is>
          <t>자동 입력</t>
        </is>
      </c>
      <c r="M225" s="14">
        <f>LEN(K225)</f>
        <v/>
      </c>
      <c r="N225" s="14">
        <f>IF(M225=0,"-",ROUND(3+M225/'안내'!$C$12,0))</f>
        <v/>
      </c>
      <c r="O225" s="15">
        <f>IF(K225="","(본문 입력 후 자동) | 잠 17:22",IF(LEN(K225)&gt;28,LEFT(K225,28)&amp;"…",K225)&amp;" | 잠 17:22")</f>
        <v/>
      </c>
      <c r="P225" s="15">
        <f>"#"&amp;SUBSTITUTE('안내'!$C$5," ","")&amp;" #성경구절 #말씀 #잠언 #기쁨"</f>
        <v/>
      </c>
      <c r="Q225" s="15" t="inlineStr">
        <is>
          <t>성경 본문: 개역한글판</t>
        </is>
      </c>
      <c r="R225" s="17">
        <f>'안내'!$C$6+INT((D225-1)/'안내'!$C$7)</f>
        <v/>
      </c>
      <c r="S225" s="14">
        <f>IF(MOD(D225-1,'안내'!$C$7)=0,'안내'!$C$8,'안내'!$C$10)</f>
        <v/>
      </c>
      <c r="T225" s="14">
        <f>CHOOSE(WEEKDAY(R225,2),"월","화","수","목","금","토","일")</f>
        <v/>
      </c>
      <c r="U225" s="14" t="inlineStr">
        <is>
          <t>미착수</t>
        </is>
      </c>
      <c r="V225" s="14" t="inlineStr">
        <is>
          <t>미착수</t>
        </is>
      </c>
      <c r="W225" s="18" t="n"/>
      <c r="X225" s="18" t="n"/>
      <c r="Y225" s="15" t="n"/>
      <c r="Z225" s="15" t="inlineStr"/>
      <c r="AA225" s="15" t="inlineStr">
        <is>
          <t>A cheerful heart makes good medicine, but a crushed spirit dries up the bones.</t>
        </is>
      </c>
    </row>
    <row r="226">
      <c r="A226" s="13" t="n">
        <v>225</v>
      </c>
      <c r="B226" s="13" t="inlineStr">
        <is>
          <t>W0225</t>
        </is>
      </c>
      <c r="C226" s="13" t="inlineStr">
        <is>
          <t>구약</t>
        </is>
      </c>
      <c r="D226" s="13" t="n">
        <v>225</v>
      </c>
      <c r="E226" s="13">
        <f>C226&amp;"말씀 #"&amp;TEXT(D226,"000")</f>
        <v/>
      </c>
      <c r="F226" s="14" t="inlineStr">
        <is>
          <t>잠언</t>
        </is>
      </c>
      <c r="G226" s="14" t="inlineStr">
        <is>
          <t>18:10</t>
        </is>
      </c>
      <c r="H226" s="15" t="inlineStr">
        <is>
          <t>(잠 18:10, 개역한글)</t>
        </is>
      </c>
      <c r="I226" s="14" t="inlineStr">
        <is>
          <t>피난처</t>
        </is>
      </c>
      <c r="J226" s="14" t="inlineStr">
        <is>
          <t>바위산·광야</t>
        </is>
      </c>
      <c r="K226" s="16" t="inlineStr">
        <is>
          <t>여호와의 이름은 견고한 망대라 의인은 그리로 달려가서 안전함을 얻느니라</t>
        </is>
      </c>
      <c r="L226" s="14" t="inlineStr">
        <is>
          <t>자동 입력</t>
        </is>
      </c>
      <c r="M226" s="14">
        <f>LEN(K226)</f>
        <v/>
      </c>
      <c r="N226" s="14">
        <f>IF(M226=0,"-",ROUND(3+M226/'안내'!$C$12,0))</f>
        <v/>
      </c>
      <c r="O226" s="15">
        <f>IF(K226="","(본문 입력 후 자동) | 잠 18:10",IF(LEN(K226)&gt;28,LEFT(K226,28)&amp;"…",K226)&amp;" | 잠 18:10")</f>
        <v/>
      </c>
      <c r="P226" s="15">
        <f>"#"&amp;SUBSTITUTE('안내'!$C$5," ","")&amp;" #성경구절 #말씀 #잠언 #피난처"</f>
        <v/>
      </c>
      <c r="Q226" s="15" t="inlineStr">
        <is>
          <t>성경 본문: 개역한글판</t>
        </is>
      </c>
      <c r="R226" s="17">
        <f>'안내'!$C$6+INT((D226-1)/'안내'!$C$7)</f>
        <v/>
      </c>
      <c r="S226" s="14">
        <f>IF(MOD(D226-1,'안내'!$C$7)=0,'안내'!$C$8,'안내'!$C$10)</f>
        <v/>
      </c>
      <c r="T226" s="14">
        <f>CHOOSE(WEEKDAY(R226,2),"월","화","수","목","금","토","일")</f>
        <v/>
      </c>
      <c r="U226" s="14" t="inlineStr">
        <is>
          <t>미착수</t>
        </is>
      </c>
      <c r="V226" s="14" t="inlineStr">
        <is>
          <t>미착수</t>
        </is>
      </c>
      <c r="W226" s="18" t="n"/>
      <c r="X226" s="18" t="n"/>
      <c r="Y226" s="15" t="n"/>
      <c r="Z226" s="15" t="inlineStr"/>
      <c r="AA226" s="15" t="inlineStr">
        <is>
          <t>Yahweh’s name is a strong tower: the righteous run to him, and are safe.</t>
        </is>
      </c>
    </row>
    <row r="227">
      <c r="A227" s="13" t="n">
        <v>226</v>
      </c>
      <c r="B227" s="13" t="inlineStr">
        <is>
          <t>W0226</t>
        </is>
      </c>
      <c r="C227" s="13" t="inlineStr">
        <is>
          <t>구약</t>
        </is>
      </c>
      <c r="D227" s="13" t="n">
        <v>226</v>
      </c>
      <c r="E227" s="13">
        <f>C227&amp;"말씀 #"&amp;TEXT(D227,"000")</f>
        <v/>
      </c>
      <c r="F227" s="14" t="inlineStr">
        <is>
          <t>잠언</t>
        </is>
      </c>
      <c r="G227" s="14" t="inlineStr">
        <is>
          <t>18:21</t>
        </is>
      </c>
      <c r="H227" s="15" t="inlineStr">
        <is>
          <t>(잠 18:21, 개역한글)</t>
        </is>
      </c>
      <c r="I227" s="14" t="inlineStr">
        <is>
          <t>말</t>
        </is>
      </c>
      <c r="J227" s="14" t="inlineStr">
        <is>
          <t>창가·식탁</t>
        </is>
      </c>
      <c r="K227" s="16" t="inlineStr">
        <is>
          <t>죽고 사는 것이 혀의 권세에 달렸나니 혀를 쓰기 좋아하는 자는 그 열매를 먹으리라</t>
        </is>
      </c>
      <c r="L227" s="14" t="inlineStr">
        <is>
          <t>자동 입력</t>
        </is>
      </c>
      <c r="M227" s="14">
        <f>LEN(K227)</f>
        <v/>
      </c>
      <c r="N227" s="14">
        <f>IF(M227=0,"-",ROUND(3+M227/'안내'!$C$12,0))</f>
        <v/>
      </c>
      <c r="O227" s="15">
        <f>IF(K227="","(본문 입력 후 자동) | 잠 18:21",IF(LEN(K227)&gt;28,LEFT(K227,28)&amp;"…",K227)&amp;" | 잠 18:21")</f>
        <v/>
      </c>
      <c r="P227" s="15">
        <f>"#"&amp;SUBSTITUTE('안내'!$C$5," ","")&amp;" #성경구절 #말씀 #잠언 #말"</f>
        <v/>
      </c>
      <c r="Q227" s="15" t="inlineStr">
        <is>
          <t>성경 본문: 개역한글판</t>
        </is>
      </c>
      <c r="R227" s="17">
        <f>'안내'!$C$6+INT((D227-1)/'안내'!$C$7)</f>
        <v/>
      </c>
      <c r="S227" s="14">
        <f>IF(MOD(D227-1,'안내'!$C$7)=0,'안내'!$C$8,'안내'!$C$10)</f>
        <v/>
      </c>
      <c r="T227" s="14">
        <f>CHOOSE(WEEKDAY(R227,2),"월","화","수","목","금","토","일")</f>
        <v/>
      </c>
      <c r="U227" s="14" t="inlineStr">
        <is>
          <t>미착수</t>
        </is>
      </c>
      <c r="V227" s="14" t="inlineStr">
        <is>
          <t>미착수</t>
        </is>
      </c>
      <c r="W227" s="18" t="n"/>
      <c r="X227" s="18" t="n"/>
      <c r="Y227" s="15" t="n"/>
      <c r="Z227" s="15" t="inlineStr"/>
      <c r="AA227" s="15" t="inlineStr">
        <is>
          <t>Death and life are in the power of the tongue; those who love it will eat its fruit.</t>
        </is>
      </c>
    </row>
    <row r="228">
      <c r="A228" s="13" t="n">
        <v>227</v>
      </c>
      <c r="B228" s="13" t="inlineStr">
        <is>
          <t>W0227</t>
        </is>
      </c>
      <c r="C228" s="13" t="inlineStr">
        <is>
          <t>구약</t>
        </is>
      </c>
      <c r="D228" s="13" t="n">
        <v>227</v>
      </c>
      <c r="E228" s="13">
        <f>C228&amp;"말씀 #"&amp;TEXT(D228,"000")</f>
        <v/>
      </c>
      <c r="F228" s="14" t="inlineStr">
        <is>
          <t>잠언</t>
        </is>
      </c>
      <c r="G228" s="14" t="inlineStr">
        <is>
          <t>18:24</t>
        </is>
      </c>
      <c r="H228" s="15" t="inlineStr">
        <is>
          <t>(잠 18:24, 개역한글)</t>
        </is>
      </c>
      <c r="I228" s="14" t="inlineStr">
        <is>
          <t>사랑</t>
        </is>
      </c>
      <c r="J228" s="14" t="inlineStr">
        <is>
          <t>창가·식탁</t>
        </is>
      </c>
      <c r="K228" s="16" t="inlineStr">
        <is>
          <t>많은 친구를 얻는 자는 해를 당하게 되거니와 어떤 친구는 형제보다 친밀하니라</t>
        </is>
      </c>
      <c r="L228" s="14" t="inlineStr">
        <is>
          <t>자동 입력</t>
        </is>
      </c>
      <c r="M228" s="14">
        <f>LEN(K228)</f>
        <v/>
      </c>
      <c r="N228" s="14">
        <f>IF(M228=0,"-",ROUND(3+M228/'안내'!$C$12,0))</f>
        <v/>
      </c>
      <c r="O228" s="15">
        <f>IF(K228="","(본문 입력 후 자동) | 잠 18:24",IF(LEN(K228)&gt;28,LEFT(K228,28)&amp;"…",K228)&amp;" | 잠 18:24")</f>
        <v/>
      </c>
      <c r="P228" s="15">
        <f>"#"&amp;SUBSTITUTE('안내'!$C$5," ","")&amp;" #성경구절 #말씀 #잠언 #사랑"</f>
        <v/>
      </c>
      <c r="Q228" s="15" t="inlineStr">
        <is>
          <t>성경 본문: 개역한글판</t>
        </is>
      </c>
      <c r="R228" s="17">
        <f>'안내'!$C$6+INT((D228-1)/'안내'!$C$7)</f>
        <v/>
      </c>
      <c r="S228" s="14">
        <f>IF(MOD(D228-1,'안내'!$C$7)=0,'안내'!$C$8,'안내'!$C$10)</f>
        <v/>
      </c>
      <c r="T228" s="14">
        <f>CHOOSE(WEEKDAY(R228,2),"월","화","수","목","금","토","일")</f>
        <v/>
      </c>
      <c r="U228" s="14" t="inlineStr">
        <is>
          <t>미착수</t>
        </is>
      </c>
      <c r="V228" s="14" t="inlineStr">
        <is>
          <t>미착수</t>
        </is>
      </c>
      <c r="W228" s="18" t="n"/>
      <c r="X228" s="18" t="n"/>
      <c r="Y228" s="15" t="n"/>
      <c r="Z228" s="15" t="inlineStr"/>
      <c r="AA228" s="15" t="inlineStr">
        <is>
          <t>A man of many companions may be ruined, but there is a friend who sticks closer than a brother.</t>
        </is>
      </c>
    </row>
    <row r="229">
      <c r="A229" s="13" t="n">
        <v>228</v>
      </c>
      <c r="B229" s="13" t="inlineStr">
        <is>
          <t>W0228</t>
        </is>
      </c>
      <c r="C229" s="13" t="inlineStr">
        <is>
          <t>구약</t>
        </is>
      </c>
      <c r="D229" s="13" t="n">
        <v>228</v>
      </c>
      <c r="E229" s="13">
        <f>C229&amp;"말씀 #"&amp;TEXT(D229,"000")</f>
        <v/>
      </c>
      <c r="F229" s="14" t="inlineStr">
        <is>
          <t>잠언</t>
        </is>
      </c>
      <c r="G229" s="14" t="inlineStr">
        <is>
          <t>19:21</t>
        </is>
      </c>
      <c r="H229" s="15" t="inlineStr">
        <is>
          <t>(잠 19:21, 개역한글)</t>
        </is>
      </c>
      <c r="I229" s="14" t="inlineStr">
        <is>
          <t>섭리</t>
        </is>
      </c>
      <c r="J229" s="14" t="inlineStr">
        <is>
          <t>하늘·별</t>
        </is>
      </c>
      <c r="K229" s="16" t="inlineStr">
        <is>
          <t>사람의 마음에는 많은 계획이 있어도 오직 여호와의 뜻이 완전히 서리라</t>
        </is>
      </c>
      <c r="L229" s="14" t="inlineStr">
        <is>
          <t>자동 입력</t>
        </is>
      </c>
      <c r="M229" s="14">
        <f>LEN(K229)</f>
        <v/>
      </c>
      <c r="N229" s="14">
        <f>IF(M229=0,"-",ROUND(3+M229/'안내'!$C$12,0))</f>
        <v/>
      </c>
      <c r="O229" s="15">
        <f>IF(K229="","(본문 입력 후 자동) | 잠 19:21",IF(LEN(K229)&gt;28,LEFT(K229,28)&amp;"…",K229)&amp;" | 잠 19:21")</f>
        <v/>
      </c>
      <c r="P229" s="15">
        <f>"#"&amp;SUBSTITUTE('안내'!$C$5," ","")&amp;" #성경구절 #말씀 #잠언 #섭리"</f>
        <v/>
      </c>
      <c r="Q229" s="15" t="inlineStr">
        <is>
          <t>성경 본문: 개역한글판</t>
        </is>
      </c>
      <c r="R229" s="17">
        <f>'안내'!$C$6+INT((D229-1)/'안내'!$C$7)</f>
        <v/>
      </c>
      <c r="S229" s="14">
        <f>IF(MOD(D229-1,'안내'!$C$7)=0,'안내'!$C$8,'안내'!$C$10)</f>
        <v/>
      </c>
      <c r="T229" s="14">
        <f>CHOOSE(WEEKDAY(R229,2),"월","화","수","목","금","토","일")</f>
        <v/>
      </c>
      <c r="U229" s="14" t="inlineStr">
        <is>
          <t>미착수</t>
        </is>
      </c>
      <c r="V229" s="14" t="inlineStr">
        <is>
          <t>미착수</t>
        </is>
      </c>
      <c r="W229" s="18" t="n"/>
      <c r="X229" s="18" t="n"/>
      <c r="Y229" s="15" t="n"/>
      <c r="Z229" s="15" t="inlineStr"/>
      <c r="AA229" s="15" t="inlineStr">
        <is>
          <t>There are many plans in a man’s heart, but Yahweh’s counsel will prevail.</t>
        </is>
      </c>
    </row>
    <row r="230">
      <c r="A230" s="13" t="n">
        <v>229</v>
      </c>
      <c r="B230" s="13" t="inlineStr">
        <is>
          <t>W0229</t>
        </is>
      </c>
      <c r="C230" s="13" t="inlineStr">
        <is>
          <t>구약</t>
        </is>
      </c>
      <c r="D230" s="13" t="n">
        <v>229</v>
      </c>
      <c r="E230" s="13">
        <f>C230&amp;"말씀 #"&amp;TEXT(D230,"000")</f>
        <v/>
      </c>
      <c r="F230" s="14" t="inlineStr">
        <is>
          <t>잠언</t>
        </is>
      </c>
      <c r="G230" s="14" t="inlineStr">
        <is>
          <t>21:1</t>
        </is>
      </c>
      <c r="H230" s="15" t="inlineStr">
        <is>
          <t>(잠 21:1, 개역한글)</t>
        </is>
      </c>
      <c r="I230" s="14" t="inlineStr">
        <is>
          <t>섭리</t>
        </is>
      </c>
      <c r="J230" s="14" t="inlineStr">
        <is>
          <t>하늘·별</t>
        </is>
      </c>
      <c r="K230" s="16" t="inlineStr">
        <is>
          <t>왕의 마음이 여호와의 손에 있음이 마치 보의 물과 같아서 그가 임의로 인도하시느니라</t>
        </is>
      </c>
      <c r="L230" s="14" t="inlineStr">
        <is>
          <t>자동 입력</t>
        </is>
      </c>
      <c r="M230" s="14">
        <f>LEN(K230)</f>
        <v/>
      </c>
      <c r="N230" s="14">
        <f>IF(M230=0,"-",ROUND(3+M230/'안내'!$C$12,0))</f>
        <v/>
      </c>
      <c r="O230" s="15">
        <f>IF(K230="","(본문 입력 후 자동) | 잠 21:1",IF(LEN(K230)&gt;28,LEFT(K230,28)&amp;"…",K230)&amp;" | 잠 21:1")</f>
        <v/>
      </c>
      <c r="P230" s="15">
        <f>"#"&amp;SUBSTITUTE('안내'!$C$5," ","")&amp;" #성경구절 #말씀 #잠언 #섭리"</f>
        <v/>
      </c>
      <c r="Q230" s="15" t="inlineStr">
        <is>
          <t>성경 본문: 개역한글판</t>
        </is>
      </c>
      <c r="R230" s="17">
        <f>'안내'!$C$6+INT((D230-1)/'안내'!$C$7)</f>
        <v/>
      </c>
      <c r="S230" s="14">
        <f>IF(MOD(D230-1,'안내'!$C$7)=0,'안내'!$C$8,'안내'!$C$10)</f>
        <v/>
      </c>
      <c r="T230" s="14">
        <f>CHOOSE(WEEKDAY(R230,2),"월","화","수","목","금","토","일")</f>
        <v/>
      </c>
      <c r="U230" s="14" t="inlineStr">
        <is>
          <t>미착수</t>
        </is>
      </c>
      <c r="V230" s="14" t="inlineStr">
        <is>
          <t>미착수</t>
        </is>
      </c>
      <c r="W230" s="18" t="n"/>
      <c r="X230" s="18" t="n"/>
      <c r="Y230" s="15" t="n"/>
      <c r="Z230" s="15" t="inlineStr"/>
      <c r="AA230" s="15" t="inlineStr">
        <is>
          <t>The king’s heart is in Yahweh’s hand like the watercourses. He turns it wherever he desires.</t>
        </is>
      </c>
    </row>
    <row r="231">
      <c r="A231" s="13" t="n">
        <v>230</v>
      </c>
      <c r="B231" s="13" t="inlineStr">
        <is>
          <t>W0230</t>
        </is>
      </c>
      <c r="C231" s="13" t="inlineStr">
        <is>
          <t>구약</t>
        </is>
      </c>
      <c r="D231" s="13" t="n">
        <v>230</v>
      </c>
      <c r="E231" s="13">
        <f>C231&amp;"말씀 #"&amp;TEXT(D231,"000")</f>
        <v/>
      </c>
      <c r="F231" s="14" t="inlineStr">
        <is>
          <t>잠언</t>
        </is>
      </c>
      <c r="G231" s="14" t="inlineStr">
        <is>
          <t>22:1</t>
        </is>
      </c>
      <c r="H231" s="15" t="inlineStr">
        <is>
          <t>(잠 22:1, 개역한글)</t>
        </is>
      </c>
      <c r="I231" s="14" t="inlineStr">
        <is>
          <t>지혜</t>
        </is>
      </c>
      <c r="J231" s="14" t="inlineStr">
        <is>
          <t>들판·나무</t>
        </is>
      </c>
      <c r="K231" s="16" t="inlineStr">
        <is>
          <t>많은 재물보다 명예를 택할 것이요 은이나 금보다 은총을 더욱 택할 것이니라</t>
        </is>
      </c>
      <c r="L231" s="14" t="inlineStr">
        <is>
          <t>자동 입력</t>
        </is>
      </c>
      <c r="M231" s="14">
        <f>LEN(K231)</f>
        <v/>
      </c>
      <c r="N231" s="14">
        <f>IF(M231=0,"-",ROUND(3+M231/'안내'!$C$12,0))</f>
        <v/>
      </c>
      <c r="O231" s="15">
        <f>IF(K231="","(본문 입력 후 자동) | 잠 22:1",IF(LEN(K231)&gt;28,LEFT(K231,28)&amp;"…",K231)&amp;" | 잠 22:1")</f>
        <v/>
      </c>
      <c r="P231" s="15">
        <f>"#"&amp;SUBSTITUTE('안내'!$C$5," ","")&amp;" #성경구절 #말씀 #잠언 #지혜"</f>
        <v/>
      </c>
      <c r="Q231" s="15" t="inlineStr">
        <is>
          <t>성경 본문: 개역한글판</t>
        </is>
      </c>
      <c r="R231" s="17">
        <f>'안내'!$C$6+INT((D231-1)/'안내'!$C$7)</f>
        <v/>
      </c>
      <c r="S231" s="14">
        <f>IF(MOD(D231-1,'안내'!$C$7)=0,'안내'!$C$8,'안내'!$C$10)</f>
        <v/>
      </c>
      <c r="T231" s="14">
        <f>CHOOSE(WEEKDAY(R231,2),"월","화","수","목","금","토","일")</f>
        <v/>
      </c>
      <c r="U231" s="14" t="inlineStr">
        <is>
          <t>미착수</t>
        </is>
      </c>
      <c r="V231" s="14" t="inlineStr">
        <is>
          <t>미착수</t>
        </is>
      </c>
      <c r="W231" s="18" t="n"/>
      <c r="X231" s="18" t="n"/>
      <c r="Y231" s="15" t="n"/>
      <c r="Z231" s="15" t="inlineStr"/>
      <c r="AA231" s="15" t="inlineStr">
        <is>
          <t>A good name is more desirable than great riches, and loving favor is better than silver and gold.</t>
        </is>
      </c>
    </row>
    <row r="232">
      <c r="A232" s="13" t="n">
        <v>231</v>
      </c>
      <c r="B232" s="13" t="inlineStr">
        <is>
          <t>W0231</t>
        </is>
      </c>
      <c r="C232" s="13" t="inlineStr">
        <is>
          <t>구약</t>
        </is>
      </c>
      <c r="D232" s="13" t="n">
        <v>231</v>
      </c>
      <c r="E232" s="13">
        <f>C232&amp;"말씀 #"&amp;TEXT(D232,"000")</f>
        <v/>
      </c>
      <c r="F232" s="14" t="inlineStr">
        <is>
          <t>잠언</t>
        </is>
      </c>
      <c r="G232" s="14" t="inlineStr">
        <is>
          <t>22:6</t>
        </is>
      </c>
      <c r="H232" s="15" t="inlineStr">
        <is>
          <t>(잠 22:6, 개역한글)</t>
        </is>
      </c>
      <c r="I232" s="14" t="inlineStr">
        <is>
          <t>가정</t>
        </is>
      </c>
      <c r="J232" s="14" t="inlineStr">
        <is>
          <t>창가·식탁</t>
        </is>
      </c>
      <c r="K232" s="16" t="inlineStr">
        <is>
          <t>마땅히 행할 길을 아이에게 가르치라 그리하면 늙어도 그것을 떠나지 아니하리라</t>
        </is>
      </c>
      <c r="L232" s="14" t="inlineStr">
        <is>
          <t>자동 입력</t>
        </is>
      </c>
      <c r="M232" s="14">
        <f>LEN(K232)</f>
        <v/>
      </c>
      <c r="N232" s="14">
        <f>IF(M232=0,"-",ROUND(3+M232/'안내'!$C$12,0))</f>
        <v/>
      </c>
      <c r="O232" s="15">
        <f>IF(K232="","(본문 입력 후 자동) | 잠 22:6",IF(LEN(K232)&gt;28,LEFT(K232,28)&amp;"…",K232)&amp;" | 잠 22:6")</f>
        <v/>
      </c>
      <c r="P232" s="15">
        <f>"#"&amp;SUBSTITUTE('안내'!$C$5," ","")&amp;" #성경구절 #말씀 #잠언 #가정"</f>
        <v/>
      </c>
      <c r="Q232" s="15" t="inlineStr">
        <is>
          <t>성경 본문: 개역한글판</t>
        </is>
      </c>
      <c r="R232" s="17">
        <f>'안내'!$C$6+INT((D232-1)/'안내'!$C$7)</f>
        <v/>
      </c>
      <c r="S232" s="14">
        <f>IF(MOD(D232-1,'안내'!$C$7)=0,'안내'!$C$8,'안내'!$C$10)</f>
        <v/>
      </c>
      <c r="T232" s="14">
        <f>CHOOSE(WEEKDAY(R232,2),"월","화","수","목","금","토","일")</f>
        <v/>
      </c>
      <c r="U232" s="14" t="inlineStr">
        <is>
          <t>미착수</t>
        </is>
      </c>
      <c r="V232" s="14" t="inlineStr">
        <is>
          <t>미착수</t>
        </is>
      </c>
      <c r="W232" s="18" t="n"/>
      <c r="X232" s="18" t="n"/>
      <c r="Y232" s="15" t="n"/>
      <c r="Z232" s="15" t="inlineStr"/>
      <c r="AA232" s="15" t="inlineStr">
        <is>
          <t>Train up a child in the way he should go, and when he is old he will not depart from it.</t>
        </is>
      </c>
    </row>
    <row r="233">
      <c r="A233" s="13" t="n">
        <v>232</v>
      </c>
      <c r="B233" s="13" t="inlineStr">
        <is>
          <t>W0232</t>
        </is>
      </c>
      <c r="C233" s="13" t="inlineStr">
        <is>
          <t>구약</t>
        </is>
      </c>
      <c r="D233" s="13" t="n">
        <v>232</v>
      </c>
      <c r="E233" s="13">
        <f>C233&amp;"말씀 #"&amp;TEXT(D233,"000")</f>
        <v/>
      </c>
      <c r="F233" s="14" t="inlineStr">
        <is>
          <t>잠언</t>
        </is>
      </c>
      <c r="G233" s="14" t="inlineStr">
        <is>
          <t>24:16</t>
        </is>
      </c>
      <c r="H233" s="15" t="inlineStr">
        <is>
          <t>(잠 24:16, 개역한글)</t>
        </is>
      </c>
      <c r="I233" s="14" t="inlineStr">
        <is>
          <t>소망</t>
        </is>
      </c>
      <c r="J233" s="14" t="inlineStr">
        <is>
          <t>새벽빛</t>
        </is>
      </c>
      <c r="K233" s="16" t="inlineStr">
        <is>
          <t>대저 의인은 일곱 번 넘어질지라도 다시 일어나려니와 악인은 재앙으로 인하여 엎드러지느니라</t>
        </is>
      </c>
      <c r="L233" s="14" t="inlineStr">
        <is>
          <t>자동 입력</t>
        </is>
      </c>
      <c r="M233" s="14">
        <f>LEN(K233)</f>
        <v/>
      </c>
      <c r="N233" s="14">
        <f>IF(M233=0,"-",ROUND(3+M233/'안내'!$C$12,0))</f>
        <v/>
      </c>
      <c r="O233" s="15">
        <f>IF(K233="","(본문 입력 후 자동) | 잠 24:16",IF(LEN(K233)&gt;28,LEFT(K233,28)&amp;"…",K233)&amp;" | 잠 24:16")</f>
        <v/>
      </c>
      <c r="P233" s="15">
        <f>"#"&amp;SUBSTITUTE('안내'!$C$5," ","")&amp;" #성경구절 #말씀 #잠언 #소망"</f>
        <v/>
      </c>
      <c r="Q233" s="15" t="inlineStr">
        <is>
          <t>성경 본문: 개역한글판</t>
        </is>
      </c>
      <c r="R233" s="17">
        <f>'안내'!$C$6+INT((D233-1)/'안내'!$C$7)</f>
        <v/>
      </c>
      <c r="S233" s="14">
        <f>IF(MOD(D233-1,'안내'!$C$7)=0,'안내'!$C$8,'안내'!$C$10)</f>
        <v/>
      </c>
      <c r="T233" s="14">
        <f>CHOOSE(WEEKDAY(R233,2),"월","화","수","목","금","토","일")</f>
        <v/>
      </c>
      <c r="U233" s="14" t="inlineStr">
        <is>
          <t>미착수</t>
        </is>
      </c>
      <c r="V233" s="14" t="inlineStr">
        <is>
          <t>미착수</t>
        </is>
      </c>
      <c r="W233" s="18" t="n"/>
      <c r="X233" s="18" t="n"/>
      <c r="Y233" s="15" t="n"/>
      <c r="Z233" s="15" t="inlineStr"/>
      <c r="AA233" s="15" t="inlineStr">
        <is>
          <t>for a righteous man falls seven times and rises up again, but the wicked are overthrown by calamity.</t>
        </is>
      </c>
    </row>
    <row r="234">
      <c r="A234" s="13" t="n">
        <v>233</v>
      </c>
      <c r="B234" s="13" t="inlineStr">
        <is>
          <t>W0233</t>
        </is>
      </c>
      <c r="C234" s="13" t="inlineStr">
        <is>
          <t>구약</t>
        </is>
      </c>
      <c r="D234" s="13" t="n">
        <v>233</v>
      </c>
      <c r="E234" s="13">
        <f>C234&amp;"말씀 #"&amp;TEXT(D234,"000")</f>
        <v/>
      </c>
      <c r="F234" s="14" t="inlineStr">
        <is>
          <t>잠언</t>
        </is>
      </c>
      <c r="G234" s="14" t="inlineStr">
        <is>
          <t>25:11</t>
        </is>
      </c>
      <c r="H234" s="15" t="inlineStr">
        <is>
          <t>(잠 25:11, 개역한글)</t>
        </is>
      </c>
      <c r="I234" s="14" t="inlineStr">
        <is>
          <t>말</t>
        </is>
      </c>
      <c r="J234" s="14" t="inlineStr">
        <is>
          <t>창가·식탁</t>
        </is>
      </c>
      <c r="K234" s="16" t="inlineStr">
        <is>
          <t>경우에 합당한 말은 아로새긴 은쟁반에 금사과니라</t>
        </is>
      </c>
      <c r="L234" s="14" t="inlineStr">
        <is>
          <t>자동 입력</t>
        </is>
      </c>
      <c r="M234" s="14">
        <f>LEN(K234)</f>
        <v/>
      </c>
      <c r="N234" s="14">
        <f>IF(M234=0,"-",ROUND(3+M234/'안내'!$C$12,0))</f>
        <v/>
      </c>
      <c r="O234" s="15">
        <f>IF(K234="","(본문 입력 후 자동) | 잠 25:11",IF(LEN(K234)&gt;28,LEFT(K234,28)&amp;"…",K234)&amp;" | 잠 25:11")</f>
        <v/>
      </c>
      <c r="P234" s="15">
        <f>"#"&amp;SUBSTITUTE('안내'!$C$5," ","")&amp;" #성경구절 #말씀 #잠언 #말"</f>
        <v/>
      </c>
      <c r="Q234" s="15" t="inlineStr">
        <is>
          <t>성경 본문: 개역한글판</t>
        </is>
      </c>
      <c r="R234" s="17">
        <f>'안내'!$C$6+INT((D234-1)/'안내'!$C$7)</f>
        <v/>
      </c>
      <c r="S234" s="14">
        <f>IF(MOD(D234-1,'안내'!$C$7)=0,'안내'!$C$8,'안내'!$C$10)</f>
        <v/>
      </c>
      <c r="T234" s="14">
        <f>CHOOSE(WEEKDAY(R234,2),"월","화","수","목","금","토","일")</f>
        <v/>
      </c>
      <c r="U234" s="14" t="inlineStr">
        <is>
          <t>미착수</t>
        </is>
      </c>
      <c r="V234" s="14" t="inlineStr">
        <is>
          <t>미착수</t>
        </is>
      </c>
      <c r="W234" s="18" t="n"/>
      <c r="X234" s="18" t="n"/>
      <c r="Y234" s="15" t="n"/>
      <c r="Z234" s="15" t="inlineStr"/>
      <c r="AA234" s="15" t="inlineStr">
        <is>
          <t>A word fitly spoken is like apples of gold in settings of silver.</t>
        </is>
      </c>
    </row>
    <row r="235">
      <c r="A235" s="13" t="n">
        <v>234</v>
      </c>
      <c r="B235" s="13" t="inlineStr">
        <is>
          <t>W0234</t>
        </is>
      </c>
      <c r="C235" s="13" t="inlineStr">
        <is>
          <t>구약</t>
        </is>
      </c>
      <c r="D235" s="13" t="n">
        <v>234</v>
      </c>
      <c r="E235" s="13">
        <f>C235&amp;"말씀 #"&amp;TEXT(D235,"000")</f>
        <v/>
      </c>
      <c r="F235" s="14" t="inlineStr">
        <is>
          <t>잠언</t>
        </is>
      </c>
      <c r="G235" s="14" t="inlineStr">
        <is>
          <t>25:21</t>
        </is>
      </c>
      <c r="H235" s="15" t="inlineStr">
        <is>
          <t>(잠 25:21, 개역한글)</t>
        </is>
      </c>
      <c r="I235" s="14" t="inlineStr">
        <is>
          <t>사랑</t>
        </is>
      </c>
      <c r="J235" s="14" t="inlineStr">
        <is>
          <t>창가·식탁</t>
        </is>
      </c>
      <c r="K235" s="16" t="inlineStr">
        <is>
          <t>네 원수가 배고파하거든 식물을 먹이고 목말라하거든 물을 마시우라</t>
        </is>
      </c>
      <c r="L235" s="14" t="inlineStr">
        <is>
          <t>자동 입력</t>
        </is>
      </c>
      <c r="M235" s="14">
        <f>LEN(K235)</f>
        <v/>
      </c>
      <c r="N235" s="14">
        <f>IF(M235=0,"-",ROUND(3+M235/'안내'!$C$12,0))</f>
        <v/>
      </c>
      <c r="O235" s="15">
        <f>IF(K235="","(본문 입력 후 자동) | 잠 25:21",IF(LEN(K235)&gt;28,LEFT(K235,28)&amp;"…",K235)&amp;" | 잠 25:21")</f>
        <v/>
      </c>
      <c r="P235" s="15">
        <f>"#"&amp;SUBSTITUTE('안내'!$C$5," ","")&amp;" #성경구절 #말씀 #잠언 #사랑"</f>
        <v/>
      </c>
      <c r="Q235" s="15" t="inlineStr">
        <is>
          <t>성경 본문: 개역한글판</t>
        </is>
      </c>
      <c r="R235" s="17">
        <f>'안내'!$C$6+INT((D235-1)/'안내'!$C$7)</f>
        <v/>
      </c>
      <c r="S235" s="14">
        <f>IF(MOD(D235-1,'안내'!$C$7)=0,'안내'!$C$8,'안내'!$C$10)</f>
        <v/>
      </c>
      <c r="T235" s="14">
        <f>CHOOSE(WEEKDAY(R235,2),"월","화","수","목","금","토","일")</f>
        <v/>
      </c>
      <c r="U235" s="14" t="inlineStr">
        <is>
          <t>미착수</t>
        </is>
      </c>
      <c r="V235" s="14" t="inlineStr">
        <is>
          <t>미착수</t>
        </is>
      </c>
      <c r="W235" s="18" t="n"/>
      <c r="X235" s="18" t="n"/>
      <c r="Y235" s="15" t="n"/>
      <c r="Z235" s="15" t="inlineStr"/>
      <c r="AA235" s="15" t="inlineStr">
        <is>
          <t>If your enemy is hungry, give him food to eat. If he is thirsty, give him water to drink;</t>
        </is>
      </c>
    </row>
    <row r="236">
      <c r="A236" s="13" t="n">
        <v>235</v>
      </c>
      <c r="B236" s="13" t="inlineStr">
        <is>
          <t>W0235</t>
        </is>
      </c>
      <c r="C236" s="13" t="inlineStr">
        <is>
          <t>구약</t>
        </is>
      </c>
      <c r="D236" s="13" t="n">
        <v>235</v>
      </c>
      <c r="E236" s="13">
        <f>C236&amp;"말씀 #"&amp;TEXT(D236,"000")</f>
        <v/>
      </c>
      <c r="F236" s="14" t="inlineStr">
        <is>
          <t>잠언</t>
        </is>
      </c>
      <c r="G236" s="14" t="inlineStr">
        <is>
          <t>27:1</t>
        </is>
      </c>
      <c r="H236" s="15" t="inlineStr">
        <is>
          <t>(잠 27:1, 개역한글)</t>
        </is>
      </c>
      <c r="I236" s="14" t="inlineStr">
        <is>
          <t>겸손</t>
        </is>
      </c>
      <c r="J236" s="14" t="inlineStr">
        <is>
          <t>창가·식탁</t>
        </is>
      </c>
      <c r="K236" s="16" t="inlineStr">
        <is>
          <t>너는 내일 일을 자랑하지 말라 하루 동안에 무슨 일이 날는지 네가 알 수 없음이니라</t>
        </is>
      </c>
      <c r="L236" s="14" t="inlineStr">
        <is>
          <t>자동 입력</t>
        </is>
      </c>
      <c r="M236" s="14">
        <f>LEN(K236)</f>
        <v/>
      </c>
      <c r="N236" s="14">
        <f>IF(M236=0,"-",ROUND(3+M236/'안내'!$C$12,0))</f>
        <v/>
      </c>
      <c r="O236" s="15">
        <f>IF(K236="","(본문 입력 후 자동) | 잠 27:1",IF(LEN(K236)&gt;28,LEFT(K236,28)&amp;"…",K236)&amp;" | 잠 27:1")</f>
        <v/>
      </c>
      <c r="P236" s="15">
        <f>"#"&amp;SUBSTITUTE('안내'!$C$5," ","")&amp;" #성경구절 #말씀 #잠언 #겸손"</f>
        <v/>
      </c>
      <c r="Q236" s="15" t="inlineStr">
        <is>
          <t>성경 본문: 개역한글판</t>
        </is>
      </c>
      <c r="R236" s="17">
        <f>'안내'!$C$6+INT((D236-1)/'안내'!$C$7)</f>
        <v/>
      </c>
      <c r="S236" s="14">
        <f>IF(MOD(D236-1,'안내'!$C$7)=0,'안내'!$C$8,'안내'!$C$10)</f>
        <v/>
      </c>
      <c r="T236" s="14">
        <f>CHOOSE(WEEKDAY(R236,2),"월","화","수","목","금","토","일")</f>
        <v/>
      </c>
      <c r="U236" s="14" t="inlineStr">
        <is>
          <t>미착수</t>
        </is>
      </c>
      <c r="V236" s="14" t="inlineStr">
        <is>
          <t>미착수</t>
        </is>
      </c>
      <c r="W236" s="18" t="n"/>
      <c r="X236" s="18" t="n"/>
      <c r="Y236" s="15" t="n"/>
      <c r="Z236" s="15" t="inlineStr"/>
      <c r="AA236" s="15" t="inlineStr">
        <is>
          <t>Don’t boast about tomorrow; for you don’t know what a day may bring.</t>
        </is>
      </c>
    </row>
    <row r="237">
      <c r="A237" s="13" t="n">
        <v>236</v>
      </c>
      <c r="B237" s="13" t="inlineStr">
        <is>
          <t>W0236</t>
        </is>
      </c>
      <c r="C237" s="13" t="inlineStr">
        <is>
          <t>구약</t>
        </is>
      </c>
      <c r="D237" s="13" t="n">
        <v>236</v>
      </c>
      <c r="E237" s="13">
        <f>C237&amp;"말씀 #"&amp;TEXT(D237,"000")</f>
        <v/>
      </c>
      <c r="F237" s="14" t="inlineStr">
        <is>
          <t>잠언</t>
        </is>
      </c>
      <c r="G237" s="14" t="inlineStr">
        <is>
          <t>27:17</t>
        </is>
      </c>
      <c r="H237" s="15" t="inlineStr">
        <is>
          <t>(잠 27:17, 개역한글)</t>
        </is>
      </c>
      <c r="I237" s="14" t="inlineStr">
        <is>
          <t>연합</t>
        </is>
      </c>
      <c r="J237" s="14" t="inlineStr">
        <is>
          <t>창가·식탁</t>
        </is>
      </c>
      <c r="K237" s="16" t="inlineStr">
        <is>
          <t>철이 철을 날카롭게 하는 것같이 사람이 그 친구의 얼굴을 빛나게 하느니라</t>
        </is>
      </c>
      <c r="L237" s="14" t="inlineStr">
        <is>
          <t>자동 입력</t>
        </is>
      </c>
      <c r="M237" s="14">
        <f>LEN(K237)</f>
        <v/>
      </c>
      <c r="N237" s="14">
        <f>IF(M237=0,"-",ROUND(3+M237/'안내'!$C$12,0))</f>
        <v/>
      </c>
      <c r="O237" s="15">
        <f>IF(K237="","(본문 입력 후 자동) | 잠 27:17",IF(LEN(K237)&gt;28,LEFT(K237,28)&amp;"…",K237)&amp;" | 잠 27:17")</f>
        <v/>
      </c>
      <c r="P237" s="15">
        <f>"#"&amp;SUBSTITUTE('안내'!$C$5," ","")&amp;" #성경구절 #말씀 #잠언 #연합"</f>
        <v/>
      </c>
      <c r="Q237" s="15" t="inlineStr">
        <is>
          <t>성경 본문: 개역한글판</t>
        </is>
      </c>
      <c r="R237" s="17">
        <f>'안내'!$C$6+INT((D237-1)/'안내'!$C$7)</f>
        <v/>
      </c>
      <c r="S237" s="14">
        <f>IF(MOD(D237-1,'안내'!$C$7)=0,'안내'!$C$8,'안내'!$C$10)</f>
        <v/>
      </c>
      <c r="T237" s="14">
        <f>CHOOSE(WEEKDAY(R237,2),"월","화","수","목","금","토","일")</f>
        <v/>
      </c>
      <c r="U237" s="14" t="inlineStr">
        <is>
          <t>미착수</t>
        </is>
      </c>
      <c r="V237" s="14" t="inlineStr">
        <is>
          <t>미착수</t>
        </is>
      </c>
      <c r="W237" s="18" t="n"/>
      <c r="X237" s="18" t="n"/>
      <c r="Y237" s="15" t="n"/>
      <c r="Z237" s="15" t="inlineStr"/>
      <c r="AA237" s="15" t="inlineStr">
        <is>
          <t>Iron sharpens iron; so a man sharpens his friend’s coun- tenance.</t>
        </is>
      </c>
    </row>
    <row r="238">
      <c r="A238" s="13" t="n">
        <v>237</v>
      </c>
      <c r="B238" s="13" t="inlineStr">
        <is>
          <t>W0237</t>
        </is>
      </c>
      <c r="C238" s="13" t="inlineStr">
        <is>
          <t>구약</t>
        </is>
      </c>
      <c r="D238" s="13" t="n">
        <v>237</v>
      </c>
      <c r="E238" s="13">
        <f>C238&amp;"말씀 #"&amp;TEXT(D238,"000")</f>
        <v/>
      </c>
      <c r="F238" s="14" t="inlineStr">
        <is>
          <t>잠언</t>
        </is>
      </c>
      <c r="G238" s="14" t="inlineStr">
        <is>
          <t>28:13</t>
        </is>
      </c>
      <c r="H238" s="15" t="inlineStr">
        <is>
          <t>(잠 28:13, 개역한글)</t>
        </is>
      </c>
      <c r="I238" s="14" t="inlineStr">
        <is>
          <t>회개</t>
        </is>
      </c>
      <c r="J238" s="14" t="inlineStr">
        <is>
          <t>제단·십자가</t>
        </is>
      </c>
      <c r="K238" s="16" t="inlineStr">
        <is>
          <t>자기의 죄를 숨기는 자는 형통치 못하나 죄를 자복하고 버리는 자는 불쌍히 여김을 받으리라</t>
        </is>
      </c>
      <c r="L238" s="14" t="inlineStr">
        <is>
          <t>자동 입력</t>
        </is>
      </c>
      <c r="M238" s="14">
        <f>LEN(K238)</f>
        <v/>
      </c>
      <c r="N238" s="14">
        <f>IF(M238=0,"-",ROUND(3+M238/'안내'!$C$12,0))</f>
        <v/>
      </c>
      <c r="O238" s="15">
        <f>IF(K238="","(본문 입력 후 자동) | 잠 28:13",IF(LEN(K238)&gt;28,LEFT(K238,28)&amp;"…",K238)&amp;" | 잠 28:13")</f>
        <v/>
      </c>
      <c r="P238" s="15">
        <f>"#"&amp;SUBSTITUTE('안내'!$C$5," ","")&amp;" #성경구절 #말씀 #잠언 #회개"</f>
        <v/>
      </c>
      <c r="Q238" s="15" t="inlineStr">
        <is>
          <t>성경 본문: 개역한글판</t>
        </is>
      </c>
      <c r="R238" s="17">
        <f>'안내'!$C$6+INT((D238-1)/'안내'!$C$7)</f>
        <v/>
      </c>
      <c r="S238" s="14">
        <f>IF(MOD(D238-1,'안내'!$C$7)=0,'안내'!$C$8,'안내'!$C$10)</f>
        <v/>
      </c>
      <c r="T238" s="14">
        <f>CHOOSE(WEEKDAY(R238,2),"월","화","수","목","금","토","일")</f>
        <v/>
      </c>
      <c r="U238" s="14" t="inlineStr">
        <is>
          <t>미착수</t>
        </is>
      </c>
      <c r="V238" s="14" t="inlineStr">
        <is>
          <t>미착수</t>
        </is>
      </c>
      <c r="W238" s="18" t="n"/>
      <c r="X238" s="18" t="n"/>
      <c r="Y238" s="15" t="n"/>
      <c r="Z238" s="15" t="inlineStr"/>
      <c r="AA238" s="15" t="inlineStr">
        <is>
          <t>He who conceals his sins doesn’t prosper, but whoever confesses and renounces them finds mercy.</t>
        </is>
      </c>
    </row>
    <row r="239">
      <c r="A239" s="13" t="n">
        <v>238</v>
      </c>
      <c r="B239" s="13" t="inlineStr">
        <is>
          <t>W0238</t>
        </is>
      </c>
      <c r="C239" s="13" t="inlineStr">
        <is>
          <t>구약</t>
        </is>
      </c>
      <c r="D239" s="13" t="n">
        <v>238</v>
      </c>
      <c r="E239" s="13">
        <f>C239&amp;"말씀 #"&amp;TEXT(D239,"000")</f>
        <v/>
      </c>
      <c r="F239" s="14" t="inlineStr">
        <is>
          <t>잠언</t>
        </is>
      </c>
      <c r="G239" s="14" t="inlineStr">
        <is>
          <t>29:18</t>
        </is>
      </c>
      <c r="H239" s="15" t="inlineStr">
        <is>
          <t>(잠 29:18, 개역한글)</t>
        </is>
      </c>
      <c r="I239" s="14" t="inlineStr">
        <is>
          <t>말씀</t>
        </is>
      </c>
      <c r="J239" s="14" t="inlineStr">
        <is>
          <t>들판·나무</t>
        </is>
      </c>
      <c r="K239" s="16" t="inlineStr">
        <is>
          <t>묵시가 없으면 백성이 방자히 행하거니와 율법을 지키는 자는 복이 있느니라</t>
        </is>
      </c>
      <c r="L239" s="14" t="inlineStr">
        <is>
          <t>자동 입력</t>
        </is>
      </c>
      <c r="M239" s="14">
        <f>LEN(K239)</f>
        <v/>
      </c>
      <c r="N239" s="14">
        <f>IF(M239=0,"-",ROUND(3+M239/'안내'!$C$12,0))</f>
        <v/>
      </c>
      <c r="O239" s="15">
        <f>IF(K239="","(본문 입력 후 자동) | 잠 29:18",IF(LEN(K239)&gt;28,LEFT(K239,28)&amp;"…",K239)&amp;" | 잠 29:18")</f>
        <v/>
      </c>
      <c r="P239" s="15">
        <f>"#"&amp;SUBSTITUTE('안내'!$C$5," ","")&amp;" #성경구절 #말씀 #잠언 #말씀"</f>
        <v/>
      </c>
      <c r="Q239" s="19" t="inlineStr">
        <is>
          <t>'묵시'는 하나님의 말씀을 뜻합니다. 개인의 목표나 꿈에 관한 구절로 쓰지 않습니다.
성경 본문: 개역한글판</t>
        </is>
      </c>
      <c r="R239" s="17">
        <f>'안내'!$C$6+INT((D239-1)/'안내'!$C$7)</f>
        <v/>
      </c>
      <c r="S239" s="14">
        <f>IF(MOD(D239-1,'안내'!$C$7)=0,'안내'!$C$8,'안내'!$C$10)</f>
        <v/>
      </c>
      <c r="T239" s="14">
        <f>CHOOSE(WEEKDAY(R239,2),"월","화","수","목","금","토","일")</f>
        <v/>
      </c>
      <c r="U239" s="14" t="inlineStr">
        <is>
          <t>미착수</t>
        </is>
      </c>
      <c r="V239" s="14" t="inlineStr">
        <is>
          <t>미착수</t>
        </is>
      </c>
      <c r="W239" s="18" t="n"/>
      <c r="X239" s="18" t="n"/>
      <c r="Y239" s="15" t="n"/>
      <c r="Z239" s="15" t="inlineStr"/>
      <c r="AA239" s="15" t="inlineStr">
        <is>
          <t>Where there is no revelation, the people cast off restraint; but one who keeps the law is blessed.</t>
        </is>
      </c>
    </row>
    <row r="240">
      <c r="A240" s="13" t="n">
        <v>239</v>
      </c>
      <c r="B240" s="13" t="inlineStr">
        <is>
          <t>W0239</t>
        </is>
      </c>
      <c r="C240" s="13" t="inlineStr">
        <is>
          <t>구약</t>
        </is>
      </c>
      <c r="D240" s="13" t="n">
        <v>239</v>
      </c>
      <c r="E240" s="13">
        <f>C240&amp;"말씀 #"&amp;TEXT(D240,"000")</f>
        <v/>
      </c>
      <c r="F240" s="14" t="inlineStr">
        <is>
          <t>잠언</t>
        </is>
      </c>
      <c r="G240" s="14" t="inlineStr">
        <is>
          <t>29:25</t>
        </is>
      </c>
      <c r="H240" s="15" t="inlineStr">
        <is>
          <t>(잠 29:25, 개역한글)</t>
        </is>
      </c>
      <c r="I240" s="14" t="inlineStr">
        <is>
          <t>신뢰</t>
        </is>
      </c>
      <c r="J240" s="14" t="inlineStr">
        <is>
          <t>바위산·광야</t>
        </is>
      </c>
      <c r="K240" s="16" t="inlineStr">
        <is>
          <t>사람을 두려워하면 올무에 걸리게 되거니와 여호와를 의지하는 자는 안전하리라</t>
        </is>
      </c>
      <c r="L240" s="14" t="inlineStr">
        <is>
          <t>자동 입력</t>
        </is>
      </c>
      <c r="M240" s="14">
        <f>LEN(K240)</f>
        <v/>
      </c>
      <c r="N240" s="14">
        <f>IF(M240=0,"-",ROUND(3+M240/'안내'!$C$12,0))</f>
        <v/>
      </c>
      <c r="O240" s="15">
        <f>IF(K240="","(본문 입력 후 자동) | 잠 29:25",IF(LEN(K240)&gt;28,LEFT(K240,28)&amp;"…",K240)&amp;" | 잠 29:25")</f>
        <v/>
      </c>
      <c r="P240" s="15">
        <f>"#"&amp;SUBSTITUTE('안내'!$C$5," ","")&amp;" #성경구절 #말씀 #잠언 #신뢰"</f>
        <v/>
      </c>
      <c r="Q240" s="15" t="inlineStr">
        <is>
          <t>성경 본문: 개역한글판</t>
        </is>
      </c>
      <c r="R240" s="17">
        <f>'안내'!$C$6+INT((D240-1)/'안내'!$C$7)</f>
        <v/>
      </c>
      <c r="S240" s="14">
        <f>IF(MOD(D240-1,'안내'!$C$7)=0,'안내'!$C$8,'안내'!$C$10)</f>
        <v/>
      </c>
      <c r="T240" s="14">
        <f>CHOOSE(WEEKDAY(R240,2),"월","화","수","목","금","토","일")</f>
        <v/>
      </c>
      <c r="U240" s="14" t="inlineStr">
        <is>
          <t>미착수</t>
        </is>
      </c>
      <c r="V240" s="14" t="inlineStr">
        <is>
          <t>미착수</t>
        </is>
      </c>
      <c r="W240" s="18" t="n"/>
      <c r="X240" s="18" t="n"/>
      <c r="Y240" s="15" t="n"/>
      <c r="Z240" s="15" t="inlineStr"/>
      <c r="AA240" s="15" t="inlineStr">
        <is>
          <t>The fear of man proves to be a snare, but whoever puts his trust in Yahweh is kept safe.</t>
        </is>
      </c>
    </row>
    <row r="241">
      <c r="A241" s="13" t="n">
        <v>240</v>
      </c>
      <c r="B241" s="13" t="inlineStr">
        <is>
          <t>W0240</t>
        </is>
      </c>
      <c r="C241" s="13" t="inlineStr">
        <is>
          <t>구약</t>
        </is>
      </c>
      <c r="D241" s="13" t="n">
        <v>240</v>
      </c>
      <c r="E241" s="13">
        <f>C241&amp;"말씀 #"&amp;TEXT(D241,"000")</f>
        <v/>
      </c>
      <c r="F241" s="14" t="inlineStr">
        <is>
          <t>잠언</t>
        </is>
      </c>
      <c r="G241" s="14" t="inlineStr">
        <is>
          <t>30:5</t>
        </is>
      </c>
      <c r="H241" s="15" t="inlineStr">
        <is>
          <t>(잠 30:5, 개역한글)</t>
        </is>
      </c>
      <c r="I241" s="14" t="inlineStr">
        <is>
          <t>말씀</t>
        </is>
      </c>
      <c r="J241" s="14" t="inlineStr">
        <is>
          <t>들판·나무</t>
        </is>
      </c>
      <c r="K241" s="16" t="inlineStr">
        <is>
          <t>하나님의 말씀은 다 순전하며 하나님은 그를 의지하는 자의 방패시니라</t>
        </is>
      </c>
      <c r="L241" s="14" t="inlineStr">
        <is>
          <t>자동 입력</t>
        </is>
      </c>
      <c r="M241" s="14">
        <f>LEN(K241)</f>
        <v/>
      </c>
      <c r="N241" s="14">
        <f>IF(M241=0,"-",ROUND(3+M241/'안내'!$C$12,0))</f>
        <v/>
      </c>
      <c r="O241" s="15">
        <f>IF(K241="","(본문 입력 후 자동) | 잠 30:5",IF(LEN(K241)&gt;28,LEFT(K241,28)&amp;"…",K241)&amp;" | 잠 30:5")</f>
        <v/>
      </c>
      <c r="P241" s="15">
        <f>"#"&amp;SUBSTITUTE('안내'!$C$5," ","")&amp;" #성경구절 #말씀 #잠언 #말씀"</f>
        <v/>
      </c>
      <c r="Q241" s="15" t="inlineStr">
        <is>
          <t>성경 본문: 개역한글판</t>
        </is>
      </c>
      <c r="R241" s="17">
        <f>'안내'!$C$6+INT((D241-1)/'안내'!$C$7)</f>
        <v/>
      </c>
      <c r="S241" s="14">
        <f>IF(MOD(D241-1,'안내'!$C$7)=0,'안내'!$C$8,'안내'!$C$10)</f>
        <v/>
      </c>
      <c r="T241" s="14">
        <f>CHOOSE(WEEKDAY(R241,2),"월","화","수","목","금","토","일")</f>
        <v/>
      </c>
      <c r="U241" s="14" t="inlineStr">
        <is>
          <t>미착수</t>
        </is>
      </c>
      <c r="V241" s="14" t="inlineStr">
        <is>
          <t>미착수</t>
        </is>
      </c>
      <c r="W241" s="18" t="n"/>
      <c r="X241" s="18" t="n"/>
      <c r="Y241" s="15" t="n"/>
      <c r="Z241" s="15" t="inlineStr"/>
      <c r="AA241" s="15" t="inlineStr">
        <is>
          <t>“Every word of God is flawless. He is a shield to those who take refuge in him.</t>
        </is>
      </c>
    </row>
    <row r="242">
      <c r="A242" s="13" t="n">
        <v>241</v>
      </c>
      <c r="B242" s="13" t="inlineStr">
        <is>
          <t>W0241</t>
        </is>
      </c>
      <c r="C242" s="13" t="inlineStr">
        <is>
          <t>구약</t>
        </is>
      </c>
      <c r="D242" s="13" t="n">
        <v>241</v>
      </c>
      <c r="E242" s="13">
        <f>C242&amp;"말씀 #"&amp;TEXT(D242,"000")</f>
        <v/>
      </c>
      <c r="F242" s="14" t="inlineStr">
        <is>
          <t>잠언</t>
        </is>
      </c>
      <c r="G242" s="14" t="inlineStr">
        <is>
          <t>31:30</t>
        </is>
      </c>
      <c r="H242" s="15" t="inlineStr">
        <is>
          <t>(잠 31:30, 개역한글)</t>
        </is>
      </c>
      <c r="I242" s="14" t="inlineStr">
        <is>
          <t>경외</t>
        </is>
      </c>
      <c r="J242" s="14" t="inlineStr">
        <is>
          <t>하늘·별</t>
        </is>
      </c>
      <c r="K242" s="16" t="inlineStr">
        <is>
          <t>고운 것도 거짓되고 아름다운 것도 헛되나 오직 여호와를 경외하는 여자는 칭찬을 받을 것이라</t>
        </is>
      </c>
      <c r="L242" s="14" t="inlineStr">
        <is>
          <t>자동 입력</t>
        </is>
      </c>
      <c r="M242" s="14">
        <f>LEN(K242)</f>
        <v/>
      </c>
      <c r="N242" s="14">
        <f>IF(M242=0,"-",ROUND(3+M242/'안내'!$C$12,0))</f>
        <v/>
      </c>
      <c r="O242" s="15">
        <f>IF(K242="","(본문 입력 후 자동) | 잠 31:30",IF(LEN(K242)&gt;28,LEFT(K242,28)&amp;"…",K242)&amp;" | 잠 31:30")</f>
        <v/>
      </c>
      <c r="P242" s="15">
        <f>"#"&amp;SUBSTITUTE('안내'!$C$5," ","")&amp;" #성경구절 #말씀 #잠언 #경외"</f>
        <v/>
      </c>
      <c r="Q242" s="15" t="inlineStr">
        <is>
          <t>성경 본문: 개역한글판</t>
        </is>
      </c>
      <c r="R242" s="17">
        <f>'안내'!$C$6+INT((D242-1)/'안내'!$C$7)</f>
        <v/>
      </c>
      <c r="S242" s="14">
        <f>IF(MOD(D242-1,'안내'!$C$7)=0,'안내'!$C$8,'안내'!$C$10)</f>
        <v/>
      </c>
      <c r="T242" s="14">
        <f>CHOOSE(WEEKDAY(R242,2),"월","화","수","목","금","토","일")</f>
        <v/>
      </c>
      <c r="U242" s="14" t="inlineStr">
        <is>
          <t>미착수</t>
        </is>
      </c>
      <c r="V242" s="14" t="inlineStr">
        <is>
          <t>미착수</t>
        </is>
      </c>
      <c r="W242" s="18" t="n"/>
      <c r="X242" s="18" t="n"/>
      <c r="Y242" s="15" t="n"/>
      <c r="Z242" s="15" t="inlineStr"/>
      <c r="AA242" s="15" t="inlineStr">
        <is>
          <t>Charm is deceitful, and beauty is vain; but a woman who fears Yahweh, she shall be praised.</t>
        </is>
      </c>
    </row>
    <row r="243">
      <c r="A243" s="13" t="n">
        <v>242</v>
      </c>
      <c r="B243" s="13" t="inlineStr">
        <is>
          <t>W0242</t>
        </is>
      </c>
      <c r="C243" s="13" t="inlineStr">
        <is>
          <t>구약</t>
        </is>
      </c>
      <c r="D243" s="13" t="n">
        <v>242</v>
      </c>
      <c r="E243" s="13">
        <f>C243&amp;"말씀 #"&amp;TEXT(D243,"000")</f>
        <v/>
      </c>
      <c r="F243" s="14" t="inlineStr">
        <is>
          <t>전도서</t>
        </is>
      </c>
      <c r="G243" s="14" t="inlineStr">
        <is>
          <t>3:1</t>
        </is>
      </c>
      <c r="H243" s="15" t="inlineStr">
        <is>
          <t>(전 3:1, 개역한글)</t>
        </is>
      </c>
      <c r="I243" s="14" t="inlineStr">
        <is>
          <t>섭리</t>
        </is>
      </c>
      <c r="J243" s="14" t="inlineStr">
        <is>
          <t>하늘·별</t>
        </is>
      </c>
      <c r="K243" s="16" t="inlineStr">
        <is>
          <t>천하에 범사가 기한이 있고 모든 목적이 이룰 때가 있나니</t>
        </is>
      </c>
      <c r="L243" s="14" t="inlineStr">
        <is>
          <t>자동 입력</t>
        </is>
      </c>
      <c r="M243" s="14">
        <f>LEN(K243)</f>
        <v/>
      </c>
      <c r="N243" s="14">
        <f>IF(M243=0,"-",ROUND(3+M243/'안내'!$C$12,0))</f>
        <v/>
      </c>
      <c r="O243" s="15">
        <f>IF(K243="","(본문 입력 후 자동) | 전 3:1",IF(LEN(K243)&gt;28,LEFT(K243,28)&amp;"…",K243)&amp;" | 전 3:1")</f>
        <v/>
      </c>
      <c r="P243" s="15">
        <f>"#"&amp;SUBSTITUTE('안내'!$C$5," ","")&amp;" #성경구절 #말씀 #전도서 #섭리"</f>
        <v/>
      </c>
      <c r="Q243" s="15" t="inlineStr">
        <is>
          <t>성경 본문: 개역한글판</t>
        </is>
      </c>
      <c r="R243" s="17">
        <f>'안내'!$C$6+INT((D243-1)/'안내'!$C$7)</f>
        <v/>
      </c>
      <c r="S243" s="14">
        <f>IF(MOD(D243-1,'안내'!$C$7)=0,'안내'!$C$8,'안내'!$C$10)</f>
        <v/>
      </c>
      <c r="T243" s="14">
        <f>CHOOSE(WEEKDAY(R243,2),"월","화","수","목","금","토","일")</f>
        <v/>
      </c>
      <c r="U243" s="14" t="inlineStr">
        <is>
          <t>미착수</t>
        </is>
      </c>
      <c r="V243" s="14" t="inlineStr">
        <is>
          <t>미착수</t>
        </is>
      </c>
      <c r="W243" s="18" t="n"/>
      <c r="X243" s="18" t="n"/>
      <c r="Y243" s="15" t="n"/>
      <c r="Z243" s="15" t="inlineStr"/>
      <c r="AA243" s="15" t="inlineStr">
        <is>
          <t>For everything there is a season, and a time for every purpose under heaven:</t>
        </is>
      </c>
    </row>
    <row r="244">
      <c r="A244" s="13" t="n">
        <v>243</v>
      </c>
      <c r="B244" s="13" t="inlineStr">
        <is>
          <t>W0243</t>
        </is>
      </c>
      <c r="C244" s="13" t="inlineStr">
        <is>
          <t>구약</t>
        </is>
      </c>
      <c r="D244" s="13" t="n">
        <v>243</v>
      </c>
      <c r="E244" s="13">
        <f>C244&amp;"말씀 #"&amp;TEXT(D244,"000")</f>
        <v/>
      </c>
      <c r="F244" s="14" t="inlineStr">
        <is>
          <t>전도서</t>
        </is>
      </c>
      <c r="G244" s="14" t="inlineStr">
        <is>
          <t>3:11</t>
        </is>
      </c>
      <c r="H244" s="15" t="inlineStr">
        <is>
          <t>(전 3:11, 개역한글)</t>
        </is>
      </c>
      <c r="I244" s="14" t="inlineStr">
        <is>
          <t>섭리</t>
        </is>
      </c>
      <c r="J244" s="14" t="inlineStr">
        <is>
          <t>하늘·별</t>
        </is>
      </c>
      <c r="K244" s="16" t="inlineStr">
        <is>
          <t>하나님이 모든 것을 지으시되 때를 따라 아름답게 하셨고 또 사람에게 영원을 사모하는 마음을 주셨느니라 그러나 하나님의 하시는 일의 시종을 사람으로 측량할 수 없게 하셨도다</t>
        </is>
      </c>
      <c r="L244" s="14" t="inlineStr">
        <is>
          <t>자동 입력 · 대조 필요</t>
        </is>
      </c>
      <c r="M244" s="14">
        <f>LEN(K244)</f>
        <v/>
      </c>
      <c r="N244" s="14">
        <f>IF(M244=0,"-",ROUND(3+M244/'안내'!$C$12,0))</f>
        <v/>
      </c>
      <c r="O244" s="15">
        <f>IF(K244="","(본문 입력 후 자동) | 전 3:11",IF(LEN(K244)&gt;28,LEFT(K244,28)&amp;"…",K244)&amp;" | 전 3:11")</f>
        <v/>
      </c>
      <c r="P244" s="15">
        <f>"#"&amp;SUBSTITUTE('안내'!$C$5," ","")&amp;" #성경구절 #말씀 #전도서 #섭리"</f>
        <v/>
      </c>
      <c r="Q244" s="15" t="inlineStr">
        <is>
          <t>성경 본문: 개역한글판</t>
        </is>
      </c>
      <c r="R244" s="17">
        <f>'안내'!$C$6+INT((D244-1)/'안내'!$C$7)</f>
        <v/>
      </c>
      <c r="S244" s="14">
        <f>IF(MOD(D244-1,'안내'!$C$7)=0,'안내'!$C$8,'안내'!$C$10)</f>
        <v/>
      </c>
      <c r="T244" s="14">
        <f>CHOOSE(WEEKDAY(R244,2),"월","화","수","목","금","토","일")</f>
        <v/>
      </c>
      <c r="U244" s="14" t="inlineStr">
        <is>
          <t>미착수</t>
        </is>
      </c>
      <c r="V244" s="14" t="inlineStr">
        <is>
          <t>미착수</t>
        </is>
      </c>
      <c r="W244" s="18" t="n"/>
      <c r="X244" s="18" t="n"/>
      <c r="Y244" s="15" t="n"/>
      <c r="Z244" s="15" t="inlineStr">
        <is>
          <t>줄바꿈 띄어쓰기 확인</t>
        </is>
      </c>
      <c r="AA244" s="15" t="inlineStr">
        <is>
          <t>He has made everything beautiful in its time. He has also set eternity in their hearts, yet so that man can’t find out the work that God has done from the beginning even to the end.</t>
        </is>
      </c>
    </row>
    <row r="245">
      <c r="A245" s="13" t="n">
        <v>244</v>
      </c>
      <c r="B245" s="13" t="inlineStr">
        <is>
          <t>W0244</t>
        </is>
      </c>
      <c r="C245" s="13" t="inlineStr">
        <is>
          <t>구약</t>
        </is>
      </c>
      <c r="D245" s="13" t="n">
        <v>244</v>
      </c>
      <c r="E245" s="13">
        <f>C245&amp;"말씀 #"&amp;TEXT(D245,"000")</f>
        <v/>
      </c>
      <c r="F245" s="14" t="inlineStr">
        <is>
          <t>전도서</t>
        </is>
      </c>
      <c r="G245" s="14" t="inlineStr">
        <is>
          <t>4:9</t>
        </is>
      </c>
      <c r="H245" s="15" t="inlineStr">
        <is>
          <t>(전 4:9, 개역한글)</t>
        </is>
      </c>
      <c r="I245" s="14" t="inlineStr">
        <is>
          <t>연합</t>
        </is>
      </c>
      <c r="J245" s="14" t="inlineStr">
        <is>
          <t>창가·식탁</t>
        </is>
      </c>
      <c r="K245" s="16" t="inlineStr">
        <is>
          <t>두 사람이 한 사람보다 나음은 저희가 수고함으로 좋은 상을 얻을 것임이라</t>
        </is>
      </c>
      <c r="L245" s="14" t="inlineStr">
        <is>
          <t>자동 입력</t>
        </is>
      </c>
      <c r="M245" s="14">
        <f>LEN(K245)</f>
        <v/>
      </c>
      <c r="N245" s="14">
        <f>IF(M245=0,"-",ROUND(3+M245/'안내'!$C$12,0))</f>
        <v/>
      </c>
      <c r="O245" s="15">
        <f>IF(K245="","(본문 입력 후 자동) | 전 4:9",IF(LEN(K245)&gt;28,LEFT(K245,28)&amp;"…",K245)&amp;" | 전 4:9")</f>
        <v/>
      </c>
      <c r="P245" s="15">
        <f>"#"&amp;SUBSTITUTE('안내'!$C$5," ","")&amp;" #성경구절 #말씀 #전도서 #연합"</f>
        <v/>
      </c>
      <c r="Q245" s="15" t="inlineStr">
        <is>
          <t>성경 본문: 개역한글판</t>
        </is>
      </c>
      <c r="R245" s="17">
        <f>'안내'!$C$6+INT((D245-1)/'안내'!$C$7)</f>
        <v/>
      </c>
      <c r="S245" s="14">
        <f>IF(MOD(D245-1,'안내'!$C$7)=0,'안내'!$C$8,'안내'!$C$10)</f>
        <v/>
      </c>
      <c r="T245" s="14">
        <f>CHOOSE(WEEKDAY(R245,2),"월","화","수","목","금","토","일")</f>
        <v/>
      </c>
      <c r="U245" s="14" t="inlineStr">
        <is>
          <t>미착수</t>
        </is>
      </c>
      <c r="V245" s="14" t="inlineStr">
        <is>
          <t>미착수</t>
        </is>
      </c>
      <c r="W245" s="18" t="n"/>
      <c r="X245" s="18" t="n"/>
      <c r="Y245" s="15" t="n"/>
      <c r="Z245" s="15" t="inlineStr"/>
      <c r="AA245" s="15" t="inlineStr">
        <is>
          <t>Two are better than one, because they have a good reward for their labor.</t>
        </is>
      </c>
    </row>
    <row r="246">
      <c r="A246" s="13" t="n">
        <v>245</v>
      </c>
      <c r="B246" s="13" t="inlineStr">
        <is>
          <t>W0245</t>
        </is>
      </c>
      <c r="C246" s="13" t="inlineStr">
        <is>
          <t>구약</t>
        </is>
      </c>
      <c r="D246" s="13" t="n">
        <v>245</v>
      </c>
      <c r="E246" s="13">
        <f>C246&amp;"말씀 #"&amp;TEXT(D246,"000")</f>
        <v/>
      </c>
      <c r="F246" s="14" t="inlineStr">
        <is>
          <t>전도서</t>
        </is>
      </c>
      <c r="G246" s="14" t="inlineStr">
        <is>
          <t>4:12</t>
        </is>
      </c>
      <c r="H246" s="15" t="inlineStr">
        <is>
          <t>(전 4:12, 개역한글)</t>
        </is>
      </c>
      <c r="I246" s="14" t="inlineStr">
        <is>
          <t>연합</t>
        </is>
      </c>
      <c r="J246" s="14" t="inlineStr">
        <is>
          <t>창가·식탁</t>
        </is>
      </c>
      <c r="K246" s="16" t="inlineStr">
        <is>
          <t>한 사람이면 패하겠거니와 두 사람이면 능히 당하나니 삼겹줄은 쉽게 끊어지지 아니하느니라</t>
        </is>
      </c>
      <c r="L246" s="14" t="inlineStr">
        <is>
          <t>자동 입력</t>
        </is>
      </c>
      <c r="M246" s="14">
        <f>LEN(K246)</f>
        <v/>
      </c>
      <c r="N246" s="14">
        <f>IF(M246=0,"-",ROUND(3+M246/'안내'!$C$12,0))</f>
        <v/>
      </c>
      <c r="O246" s="15">
        <f>IF(K246="","(본문 입력 후 자동) | 전 4:12",IF(LEN(K246)&gt;28,LEFT(K246,28)&amp;"…",K246)&amp;" | 전 4:12")</f>
        <v/>
      </c>
      <c r="P246" s="15">
        <f>"#"&amp;SUBSTITUTE('안내'!$C$5," ","")&amp;" #성경구절 #말씀 #전도서 #연합"</f>
        <v/>
      </c>
      <c r="Q246" s="15" t="inlineStr">
        <is>
          <t>성경 본문: 개역한글판</t>
        </is>
      </c>
      <c r="R246" s="17">
        <f>'안내'!$C$6+INT((D246-1)/'안내'!$C$7)</f>
        <v/>
      </c>
      <c r="S246" s="14">
        <f>IF(MOD(D246-1,'안내'!$C$7)=0,'안내'!$C$8,'안내'!$C$10)</f>
        <v/>
      </c>
      <c r="T246" s="14">
        <f>CHOOSE(WEEKDAY(R246,2),"월","화","수","목","금","토","일")</f>
        <v/>
      </c>
      <c r="U246" s="14" t="inlineStr">
        <is>
          <t>미착수</t>
        </is>
      </c>
      <c r="V246" s="14" t="inlineStr">
        <is>
          <t>미착수</t>
        </is>
      </c>
      <c r="W246" s="18" t="n"/>
      <c r="X246" s="18" t="n"/>
      <c r="Y246" s="15" t="n"/>
      <c r="Z246" s="15" t="inlineStr"/>
      <c r="AA246" s="15" t="inlineStr">
        <is>
          <t>If a man prevails against one who is alone, two shall withstand him; and a threefold cord is not quickly broken.</t>
        </is>
      </c>
    </row>
    <row r="247">
      <c r="A247" s="13" t="n">
        <v>246</v>
      </c>
      <c r="B247" s="13" t="inlineStr">
        <is>
          <t>W0246</t>
        </is>
      </c>
      <c r="C247" s="13" t="inlineStr">
        <is>
          <t>구약</t>
        </is>
      </c>
      <c r="D247" s="13" t="n">
        <v>246</v>
      </c>
      <c r="E247" s="13">
        <f>C247&amp;"말씀 #"&amp;TEXT(D247,"000")</f>
        <v/>
      </c>
      <c r="F247" s="14" t="inlineStr">
        <is>
          <t>전도서</t>
        </is>
      </c>
      <c r="G247" s="14" t="inlineStr">
        <is>
          <t>5:2</t>
        </is>
      </c>
      <c r="H247" s="15" t="inlineStr">
        <is>
          <t>(전 5:2, 개역한글)</t>
        </is>
      </c>
      <c r="I247" s="14" t="inlineStr">
        <is>
          <t>예배</t>
        </is>
      </c>
      <c r="J247" s="14" t="inlineStr">
        <is>
          <t>하늘·별</t>
        </is>
      </c>
      <c r="K247" s="16" t="inlineStr">
        <is>
          <t>너는 하나님 앞에서 함부로 입을 열지 말며 급한 마음으로 말을 내지 말라 하나님은 하늘에 계시고 너는 땅에 있음이니라 그런즉 마땅히 말을 적게 할 것이라</t>
        </is>
      </c>
      <c r="L247" s="14" t="inlineStr">
        <is>
          <t>자동 입력</t>
        </is>
      </c>
      <c r="M247" s="14">
        <f>LEN(K247)</f>
        <v/>
      </c>
      <c r="N247" s="14">
        <f>IF(M247=0,"-",ROUND(3+M247/'안내'!$C$12,0))</f>
        <v/>
      </c>
      <c r="O247" s="15">
        <f>IF(K247="","(본문 입력 후 자동) | 전 5:2",IF(LEN(K247)&gt;28,LEFT(K247,28)&amp;"…",K247)&amp;" | 전 5:2")</f>
        <v/>
      </c>
      <c r="P247" s="15">
        <f>"#"&amp;SUBSTITUTE('안내'!$C$5," ","")&amp;" #성경구절 #말씀 #전도서 #예배"</f>
        <v/>
      </c>
      <c r="Q247" s="15" t="inlineStr">
        <is>
          <t>성경 본문: 개역한글판</t>
        </is>
      </c>
      <c r="R247" s="17">
        <f>'안내'!$C$6+INT((D247-1)/'안내'!$C$7)</f>
        <v/>
      </c>
      <c r="S247" s="14">
        <f>IF(MOD(D247-1,'안내'!$C$7)=0,'안내'!$C$8,'안내'!$C$10)</f>
        <v/>
      </c>
      <c r="T247" s="14">
        <f>CHOOSE(WEEKDAY(R247,2),"월","화","수","목","금","토","일")</f>
        <v/>
      </c>
      <c r="U247" s="14" t="inlineStr">
        <is>
          <t>미착수</t>
        </is>
      </c>
      <c r="V247" s="14" t="inlineStr">
        <is>
          <t>미착수</t>
        </is>
      </c>
      <c r="W247" s="18" t="n"/>
      <c r="X247" s="18" t="n"/>
      <c r="Y247" s="15" t="n"/>
      <c r="Z247" s="15" t="inlineStr"/>
      <c r="AA247" s="15" t="inlineStr">
        <is>
          <t>Don’t be rash with your mouth, and don’t let your heart be hasty to utter anything before God; for God is in heaven, and you on earth. Therefore let your words be few.</t>
        </is>
      </c>
    </row>
    <row r="248">
      <c r="A248" s="13" t="n">
        <v>247</v>
      </c>
      <c r="B248" s="13" t="inlineStr">
        <is>
          <t>W0247</t>
        </is>
      </c>
      <c r="C248" s="13" t="inlineStr">
        <is>
          <t>구약</t>
        </is>
      </c>
      <c r="D248" s="13" t="n">
        <v>247</v>
      </c>
      <c r="E248" s="13">
        <f>C248&amp;"말씀 #"&amp;TEXT(D248,"000")</f>
        <v/>
      </c>
      <c r="F248" s="14" t="inlineStr">
        <is>
          <t>전도서</t>
        </is>
      </c>
      <c r="G248" s="14" t="inlineStr">
        <is>
          <t>7:14</t>
        </is>
      </c>
      <c r="H248" s="15" t="inlineStr">
        <is>
          <t>(전 7:14, 개역한글)</t>
        </is>
      </c>
      <c r="I248" s="14" t="inlineStr">
        <is>
          <t>섭리</t>
        </is>
      </c>
      <c r="J248" s="14" t="inlineStr">
        <is>
          <t>하늘·별</t>
        </is>
      </c>
      <c r="K248" s="16" t="inlineStr">
        <is>
          <t>형통한 날에는 기뻐하고 곤고한 날에는 생각하라 하나님이 이 두 가지를 병행하게 하사 사람으로 그 장래 일을 능히 헤아려 알지 못하게 하셨느니라</t>
        </is>
      </c>
      <c r="L248" s="14" t="inlineStr">
        <is>
          <t>자동 입력</t>
        </is>
      </c>
      <c r="M248" s="14">
        <f>LEN(K248)</f>
        <v/>
      </c>
      <c r="N248" s="14">
        <f>IF(M248=0,"-",ROUND(3+M248/'안내'!$C$12,0))</f>
        <v/>
      </c>
      <c r="O248" s="15">
        <f>IF(K248="","(본문 입력 후 자동) | 전 7:14",IF(LEN(K248)&gt;28,LEFT(K248,28)&amp;"…",K248)&amp;" | 전 7:14")</f>
        <v/>
      </c>
      <c r="P248" s="15">
        <f>"#"&amp;SUBSTITUTE('안내'!$C$5," ","")&amp;" #성경구절 #말씀 #전도서 #섭리"</f>
        <v/>
      </c>
      <c r="Q248" s="15" t="inlineStr">
        <is>
          <t>성경 본문: 개역한글판</t>
        </is>
      </c>
      <c r="R248" s="17">
        <f>'안내'!$C$6+INT((D248-1)/'안내'!$C$7)</f>
        <v/>
      </c>
      <c r="S248" s="14">
        <f>IF(MOD(D248-1,'안내'!$C$7)=0,'안내'!$C$8,'안내'!$C$10)</f>
        <v/>
      </c>
      <c r="T248" s="14">
        <f>CHOOSE(WEEKDAY(R248,2),"월","화","수","목","금","토","일")</f>
        <v/>
      </c>
      <c r="U248" s="14" t="inlineStr">
        <is>
          <t>미착수</t>
        </is>
      </c>
      <c r="V248" s="14" t="inlineStr">
        <is>
          <t>미착수</t>
        </is>
      </c>
      <c r="W248" s="18" t="n"/>
      <c r="X248" s="18" t="n"/>
      <c r="Y248" s="15" t="n"/>
      <c r="Z248" s="15" t="inlineStr"/>
      <c r="AA248" s="15" t="inlineStr">
        <is>
          <t>In the day of prosperity be joyful, and in the day of adversity consider; yes, God has made the one side by side with the other, to the end that man should not find out anything after him.</t>
        </is>
      </c>
    </row>
    <row r="249">
      <c r="A249" s="13" t="n">
        <v>248</v>
      </c>
      <c r="B249" s="13" t="inlineStr">
        <is>
          <t>W0248</t>
        </is>
      </c>
      <c r="C249" s="13" t="inlineStr">
        <is>
          <t>구약</t>
        </is>
      </c>
      <c r="D249" s="13" t="n">
        <v>248</v>
      </c>
      <c r="E249" s="13">
        <f>C249&amp;"말씀 #"&amp;TEXT(D249,"000")</f>
        <v/>
      </c>
      <c r="F249" s="14" t="inlineStr">
        <is>
          <t>전도서</t>
        </is>
      </c>
      <c r="G249" s="14" t="inlineStr">
        <is>
          <t>12:1</t>
        </is>
      </c>
      <c r="H249" s="15" t="inlineStr">
        <is>
          <t>(전 12:1, 개역한글)</t>
        </is>
      </c>
      <c r="I249" s="14" t="inlineStr">
        <is>
          <t>경외</t>
        </is>
      </c>
      <c r="J249" s="14" t="inlineStr">
        <is>
          <t>하늘·별</t>
        </is>
      </c>
      <c r="K249" s="16" t="inlineStr">
        <is>
          <t>너는 청년의 때 곧 곤고한 날이 이르기 전, 나는 아무 낙이 없다고 할 해가 가깝기 전에 너의 창조자를 기억하라</t>
        </is>
      </c>
      <c r="L249" s="14" t="inlineStr">
        <is>
          <t>자동 입력</t>
        </is>
      </c>
      <c r="M249" s="14">
        <f>LEN(K249)</f>
        <v/>
      </c>
      <c r="N249" s="14">
        <f>IF(M249=0,"-",ROUND(3+M249/'안내'!$C$12,0))</f>
        <v/>
      </c>
      <c r="O249" s="15">
        <f>IF(K249="","(본문 입력 후 자동) | 전 12:1",IF(LEN(K249)&gt;28,LEFT(K249,28)&amp;"…",K249)&amp;" | 전 12:1")</f>
        <v/>
      </c>
      <c r="P249" s="15">
        <f>"#"&amp;SUBSTITUTE('안내'!$C$5," ","")&amp;" #성경구절 #말씀 #전도서 #경외"</f>
        <v/>
      </c>
      <c r="Q249" s="15" t="inlineStr">
        <is>
          <t>성경 본문: 개역한글판</t>
        </is>
      </c>
      <c r="R249" s="17">
        <f>'안내'!$C$6+INT((D249-1)/'안내'!$C$7)</f>
        <v/>
      </c>
      <c r="S249" s="14">
        <f>IF(MOD(D249-1,'안내'!$C$7)=0,'안내'!$C$8,'안내'!$C$10)</f>
        <v/>
      </c>
      <c r="T249" s="14">
        <f>CHOOSE(WEEKDAY(R249,2),"월","화","수","목","금","토","일")</f>
        <v/>
      </c>
      <c r="U249" s="14" t="inlineStr">
        <is>
          <t>미착수</t>
        </is>
      </c>
      <c r="V249" s="14" t="inlineStr">
        <is>
          <t>미착수</t>
        </is>
      </c>
      <c r="W249" s="18" t="n"/>
      <c r="X249" s="18" t="n"/>
      <c r="Y249" s="15" t="n"/>
      <c r="Z249" s="15" t="inlineStr"/>
      <c r="AA249" s="15" t="inlineStr">
        <is>
          <t>Remember also your Creator in the days of your youth, before the evil days come, and the years draw near, when you will say, “I have no pleasure in them;”</t>
        </is>
      </c>
    </row>
    <row r="250">
      <c r="A250" s="13" t="n">
        <v>249</v>
      </c>
      <c r="B250" s="13" t="inlineStr">
        <is>
          <t>W0249</t>
        </is>
      </c>
      <c r="C250" s="13" t="inlineStr">
        <is>
          <t>구약</t>
        </is>
      </c>
      <c r="D250" s="13" t="n">
        <v>249</v>
      </c>
      <c r="E250" s="13">
        <f>C250&amp;"말씀 #"&amp;TEXT(D250,"000")</f>
        <v/>
      </c>
      <c r="F250" s="14" t="inlineStr">
        <is>
          <t>전도서</t>
        </is>
      </c>
      <c r="G250" s="14" t="inlineStr">
        <is>
          <t>12:13</t>
        </is>
      </c>
      <c r="H250" s="15" t="inlineStr">
        <is>
          <t>(전 12:13, 개역한글)</t>
        </is>
      </c>
      <c r="I250" s="14" t="inlineStr">
        <is>
          <t>경외</t>
        </is>
      </c>
      <c r="J250" s="14" t="inlineStr">
        <is>
          <t>하늘·별</t>
        </is>
      </c>
      <c r="K250" s="16" t="inlineStr">
        <is>
          <t>일의 결국을 다 들었으니 하나님을 경외하고 그 명령을 지킬지어다 이것이 사람의 본분이니라</t>
        </is>
      </c>
      <c r="L250" s="14" t="inlineStr">
        <is>
          <t>자동 입력</t>
        </is>
      </c>
      <c r="M250" s="14">
        <f>LEN(K250)</f>
        <v/>
      </c>
      <c r="N250" s="14">
        <f>IF(M250=0,"-",ROUND(3+M250/'안내'!$C$12,0))</f>
        <v/>
      </c>
      <c r="O250" s="15">
        <f>IF(K250="","(본문 입력 후 자동) | 전 12:13",IF(LEN(K250)&gt;28,LEFT(K250,28)&amp;"…",K250)&amp;" | 전 12:13")</f>
        <v/>
      </c>
      <c r="P250" s="15">
        <f>"#"&amp;SUBSTITUTE('안내'!$C$5," ","")&amp;" #성경구절 #말씀 #전도서 #경외"</f>
        <v/>
      </c>
      <c r="Q250" s="15" t="inlineStr">
        <is>
          <t>성경 본문: 개역한글판</t>
        </is>
      </c>
      <c r="R250" s="17">
        <f>'안내'!$C$6+INT((D250-1)/'안내'!$C$7)</f>
        <v/>
      </c>
      <c r="S250" s="14">
        <f>IF(MOD(D250-1,'안내'!$C$7)=0,'안내'!$C$8,'안내'!$C$10)</f>
        <v/>
      </c>
      <c r="T250" s="14">
        <f>CHOOSE(WEEKDAY(R250,2),"월","화","수","목","금","토","일")</f>
        <v/>
      </c>
      <c r="U250" s="14" t="inlineStr">
        <is>
          <t>미착수</t>
        </is>
      </c>
      <c r="V250" s="14" t="inlineStr">
        <is>
          <t>미착수</t>
        </is>
      </c>
      <c r="W250" s="18" t="n"/>
      <c r="X250" s="18" t="n"/>
      <c r="Y250" s="15" t="n"/>
      <c r="Z250" s="15" t="inlineStr"/>
      <c r="AA250" s="15" t="inlineStr">
        <is>
          <t>This is the end of the matter. All has been heard. Fear God and keep his commandments; for this is the whole duty of man.</t>
        </is>
      </c>
    </row>
    <row r="251">
      <c r="A251" s="13" t="n">
        <v>250</v>
      </c>
      <c r="B251" s="13" t="inlineStr">
        <is>
          <t>W0250</t>
        </is>
      </c>
      <c r="C251" s="13" t="inlineStr">
        <is>
          <t>구약</t>
        </is>
      </c>
      <c r="D251" s="13" t="n">
        <v>250</v>
      </c>
      <c r="E251" s="13">
        <f>C251&amp;"말씀 #"&amp;TEXT(D251,"000")</f>
        <v/>
      </c>
      <c r="F251" s="14" t="inlineStr">
        <is>
          <t>아가</t>
        </is>
      </c>
      <c r="G251" s="14" t="inlineStr">
        <is>
          <t>2:4</t>
        </is>
      </c>
      <c r="H251" s="15" t="inlineStr">
        <is>
          <t>(아 2:4, 개역한글)</t>
        </is>
      </c>
      <c r="I251" s="14" t="inlineStr">
        <is>
          <t>사랑</t>
        </is>
      </c>
      <c r="J251" s="14" t="inlineStr">
        <is>
          <t>창가·식탁</t>
        </is>
      </c>
      <c r="K251" s="16" t="inlineStr">
        <is>
          <t>그가 나를 인도하여 잔치집에 들어갔으니 그 사랑이 내 위에 기로구나</t>
        </is>
      </c>
      <c r="L251" s="14" t="inlineStr">
        <is>
          <t>자동 입력</t>
        </is>
      </c>
      <c r="M251" s="14">
        <f>LEN(K251)</f>
        <v/>
      </c>
      <c r="N251" s="14">
        <f>IF(M251=0,"-",ROUND(3+M251/'안내'!$C$12,0))</f>
        <v/>
      </c>
      <c r="O251" s="15">
        <f>IF(K251="","(본문 입력 후 자동) | 아 2:4",IF(LEN(K251)&gt;28,LEFT(K251,28)&amp;"…",K251)&amp;" | 아 2:4")</f>
        <v/>
      </c>
      <c r="P251" s="15">
        <f>"#"&amp;SUBSTITUTE('안내'!$C$5," ","")&amp;" #성경구절 #말씀 #아가 #사랑"</f>
        <v/>
      </c>
      <c r="Q251" s="15" t="inlineStr">
        <is>
          <t>성경 본문: 개역한글판</t>
        </is>
      </c>
      <c r="R251" s="17">
        <f>'안내'!$C$6+INT((D251-1)/'안내'!$C$7)</f>
        <v/>
      </c>
      <c r="S251" s="14">
        <f>IF(MOD(D251-1,'안내'!$C$7)=0,'안내'!$C$8,'안내'!$C$10)</f>
        <v/>
      </c>
      <c r="T251" s="14">
        <f>CHOOSE(WEEKDAY(R251,2),"월","화","수","목","금","토","일")</f>
        <v/>
      </c>
      <c r="U251" s="14" t="inlineStr">
        <is>
          <t>미착수</t>
        </is>
      </c>
      <c r="V251" s="14" t="inlineStr">
        <is>
          <t>미착수</t>
        </is>
      </c>
      <c r="W251" s="18" t="n"/>
      <c r="X251" s="18" t="n"/>
      <c r="Y251" s="15" t="n"/>
      <c r="Z251" s="15" t="inlineStr"/>
      <c r="AA251" s="15" t="inlineStr">
        <is>
          <t>He brought me to the banquet hall. His banner over me is love.</t>
        </is>
      </c>
    </row>
    <row r="252">
      <c r="A252" s="13" t="n">
        <v>251</v>
      </c>
      <c r="B252" s="13" t="inlineStr">
        <is>
          <t>W0251</t>
        </is>
      </c>
      <c r="C252" s="13" t="inlineStr">
        <is>
          <t>구약</t>
        </is>
      </c>
      <c r="D252" s="13" t="n">
        <v>251</v>
      </c>
      <c r="E252" s="13">
        <f>C252&amp;"말씀 #"&amp;TEXT(D252,"000")</f>
        <v/>
      </c>
      <c r="F252" s="14" t="inlineStr">
        <is>
          <t>아가</t>
        </is>
      </c>
      <c r="G252" s="14" t="inlineStr">
        <is>
          <t>8:6</t>
        </is>
      </c>
      <c r="H252" s="15" t="inlineStr">
        <is>
          <t>(아 8:6, 개역한글)</t>
        </is>
      </c>
      <c r="I252" s="14" t="inlineStr">
        <is>
          <t>사랑</t>
        </is>
      </c>
      <c r="J252" s="14" t="inlineStr">
        <is>
          <t>창가·식탁</t>
        </is>
      </c>
      <c r="K252" s="16" t="inlineStr">
        <is>
          <t>너는 나를 인같이 마음에 품고 도장같이 팔에 두라 사랑은 죽음같이 강하고 투기는 음부같이 잔혹하며 불같이 일어나니 그 기세가 여호와의 불과 같으니라</t>
        </is>
      </c>
      <c r="L252" s="14" t="inlineStr">
        <is>
          <t>자동 입력</t>
        </is>
      </c>
      <c r="M252" s="14">
        <f>LEN(K252)</f>
        <v/>
      </c>
      <c r="N252" s="14">
        <f>IF(M252=0,"-",ROUND(3+M252/'안내'!$C$12,0))</f>
        <v/>
      </c>
      <c r="O252" s="15">
        <f>IF(K252="","(본문 입력 후 자동) | 아 8:6",IF(LEN(K252)&gt;28,LEFT(K252,28)&amp;"…",K252)&amp;" | 아 8:6")</f>
        <v/>
      </c>
      <c r="P252" s="15">
        <f>"#"&amp;SUBSTITUTE('안내'!$C$5," ","")&amp;" #성경구절 #말씀 #아가 #사랑"</f>
        <v/>
      </c>
      <c r="Q252" s="15" t="inlineStr">
        <is>
          <t>성경 본문: 개역한글판</t>
        </is>
      </c>
      <c r="R252" s="17">
        <f>'안내'!$C$6+INT((D252-1)/'안내'!$C$7)</f>
        <v/>
      </c>
      <c r="S252" s="14">
        <f>IF(MOD(D252-1,'안내'!$C$7)=0,'안내'!$C$8,'안내'!$C$10)</f>
        <v/>
      </c>
      <c r="T252" s="14">
        <f>CHOOSE(WEEKDAY(R252,2),"월","화","수","목","금","토","일")</f>
        <v/>
      </c>
      <c r="U252" s="14" t="inlineStr">
        <is>
          <t>미착수</t>
        </is>
      </c>
      <c r="V252" s="14" t="inlineStr">
        <is>
          <t>미착수</t>
        </is>
      </c>
      <c r="W252" s="18" t="n"/>
      <c r="X252" s="18" t="n"/>
      <c r="Y252" s="15" t="n"/>
      <c r="Z252" s="15" t="inlineStr"/>
      <c r="AA252" s="15" t="inlineStr">
        <is>
          <t>Set me as a seal on your heart, as a seal on your arm; for love is strong as death. Jealousy is as cruel as Sheol. Its flashes are flashes of fire, a very flame of Yahweh.</t>
        </is>
      </c>
    </row>
    <row r="253">
      <c r="A253" s="13" t="n">
        <v>252</v>
      </c>
      <c r="B253" s="13" t="inlineStr">
        <is>
          <t>W0252</t>
        </is>
      </c>
      <c r="C253" s="13" t="inlineStr">
        <is>
          <t>구약</t>
        </is>
      </c>
      <c r="D253" s="13" t="n">
        <v>252</v>
      </c>
      <c r="E253" s="13">
        <f>C253&amp;"말씀 #"&amp;TEXT(D253,"000")</f>
        <v/>
      </c>
      <c r="F253" s="14" t="inlineStr">
        <is>
          <t>아가</t>
        </is>
      </c>
      <c r="G253" s="14" t="inlineStr">
        <is>
          <t>8:7</t>
        </is>
      </c>
      <c r="H253" s="15" t="inlineStr">
        <is>
          <t>(아 8:7, 개역한글)</t>
        </is>
      </c>
      <c r="I253" s="14" t="inlineStr">
        <is>
          <t>사랑</t>
        </is>
      </c>
      <c r="J253" s="14" t="inlineStr">
        <is>
          <t>창가·식탁</t>
        </is>
      </c>
      <c r="K253" s="16" t="inlineStr">
        <is>
          <t>이 사랑은 많은 물이 꺼치지 못하겠고 홍수라도 엄몰하지 못하나니 사람이 그 온 가산을 다 주고 사랑과 바꾸려 할지라도 오히려 멸시를 받으리라</t>
        </is>
      </c>
      <c r="L253" s="14" t="inlineStr">
        <is>
          <t>자동 입력 · 대조 필요</t>
        </is>
      </c>
      <c r="M253" s="14">
        <f>LEN(K253)</f>
        <v/>
      </c>
      <c r="N253" s="14">
        <f>IF(M253=0,"-",ROUND(3+M253/'안내'!$C$12,0))</f>
        <v/>
      </c>
      <c r="O253" s="15">
        <f>IF(K253="","(본문 입력 후 자동) | 아 8:7",IF(LEN(K253)&gt;28,LEFT(K253,28)&amp;"…",K253)&amp;" | 아 8:7")</f>
        <v/>
      </c>
      <c r="P253" s="15">
        <f>"#"&amp;SUBSTITUTE('안내'!$C$5," ","")&amp;" #성경구절 #말씀 #아가 #사랑"</f>
        <v/>
      </c>
      <c r="Q253" s="15" t="inlineStr">
        <is>
          <t>성경 본문: 개역한글판</t>
        </is>
      </c>
      <c r="R253" s="17">
        <f>'안내'!$C$6+INT((D253-1)/'안내'!$C$7)</f>
        <v/>
      </c>
      <c r="S253" s="14">
        <f>IF(MOD(D253-1,'안내'!$C$7)=0,'안내'!$C$8,'안내'!$C$10)</f>
        <v/>
      </c>
      <c r="T253" s="14">
        <f>CHOOSE(WEEKDAY(R253,2),"월","화","수","목","금","토","일")</f>
        <v/>
      </c>
      <c r="U253" s="14" t="inlineStr">
        <is>
          <t>미착수</t>
        </is>
      </c>
      <c r="V253" s="14" t="inlineStr">
        <is>
          <t>미착수</t>
        </is>
      </c>
      <c r="W253" s="18" t="n"/>
      <c r="X253" s="18" t="n"/>
      <c r="Y253" s="15" t="n"/>
      <c r="Z253" s="15" t="inlineStr">
        <is>
          <t>줄바꿈 띄어쓰기 확인</t>
        </is>
      </c>
      <c r="AA253" s="15" t="inlineStr">
        <is>
          <t>Many waters can’t quench love, neither can floods drown it. If a man would give all the wealth of his house for love, he would be utterly scorned. Brothers</t>
        </is>
      </c>
    </row>
    <row r="254">
      <c r="A254" s="13" t="n">
        <v>253</v>
      </c>
      <c r="B254" s="13" t="inlineStr">
        <is>
          <t>W0253</t>
        </is>
      </c>
      <c r="C254" s="13" t="inlineStr">
        <is>
          <t>구약</t>
        </is>
      </c>
      <c r="D254" s="13" t="n">
        <v>253</v>
      </c>
      <c r="E254" s="13">
        <f>C254&amp;"말씀 #"&amp;TEXT(D254,"000")</f>
        <v/>
      </c>
      <c r="F254" s="14" t="inlineStr">
        <is>
          <t>이사야</t>
        </is>
      </c>
      <c r="G254" s="14" t="inlineStr">
        <is>
          <t>1:18</t>
        </is>
      </c>
      <c r="H254" s="15" t="inlineStr">
        <is>
          <t>(사 1:18, 개역한글)</t>
        </is>
      </c>
      <c r="I254" s="14" t="inlineStr">
        <is>
          <t>용서</t>
        </is>
      </c>
      <c r="J254" s="14" t="inlineStr">
        <is>
          <t>잔잔한 물</t>
        </is>
      </c>
      <c r="K254" s="16" t="inlineStr">
        <is>
          <t>여호와께서 말씀하시되 오라 우리가 서로 변론하자 너희 죄가 주홍 같을지라도 눈과 같이 희어질 것이요 진 홍같이 붉을지라도 양털같이 되리라</t>
        </is>
      </c>
      <c r="L254" s="14" t="inlineStr">
        <is>
          <t>자동 입력 · 대조 필요</t>
        </is>
      </c>
      <c r="M254" s="14">
        <f>LEN(K254)</f>
        <v/>
      </c>
      <c r="N254" s="14">
        <f>IF(M254=0,"-",ROUND(3+M254/'안내'!$C$12,0))</f>
        <v/>
      </c>
      <c r="O254" s="15">
        <f>IF(K254="","(본문 입력 후 자동) | 사 1:18",IF(LEN(K254)&gt;28,LEFT(K254,28)&amp;"…",K254)&amp;" | 사 1:18")</f>
        <v/>
      </c>
      <c r="P254" s="15">
        <f>"#"&amp;SUBSTITUTE('안내'!$C$5," ","")&amp;" #성경구절 #말씀 #이사야 #용서"</f>
        <v/>
      </c>
      <c r="Q254" s="15" t="inlineStr">
        <is>
          <t>성경 본문: 개역한글판</t>
        </is>
      </c>
      <c r="R254" s="17">
        <f>'안내'!$C$6+INT((D254-1)/'안내'!$C$7)</f>
        <v/>
      </c>
      <c r="S254" s="14">
        <f>IF(MOD(D254-1,'안내'!$C$7)=0,'안내'!$C$8,'안내'!$C$10)</f>
        <v/>
      </c>
      <c r="T254" s="14">
        <f>CHOOSE(WEEKDAY(R254,2),"월","화","수","목","금","토","일")</f>
        <v/>
      </c>
      <c r="U254" s="14" t="inlineStr">
        <is>
          <t>미착수</t>
        </is>
      </c>
      <c r="V254" s="14" t="inlineStr">
        <is>
          <t>미착수</t>
        </is>
      </c>
      <c r="W254" s="18" t="n"/>
      <c r="X254" s="18" t="n"/>
      <c r="Y254" s="15" t="n"/>
      <c r="Z254" s="15" t="inlineStr">
        <is>
          <t>줄바꿈 띄어쓰기 확인</t>
        </is>
      </c>
      <c r="AA254" s="15" t="inlineStr">
        <is>
          <t>“Come now, and let’s reason together,” says Yahweh: “Though your sins are as scarlet, they shall be as white as snow. Though they are red like crimson, they shall be as wool.</t>
        </is>
      </c>
    </row>
    <row r="255">
      <c r="A255" s="13" t="n">
        <v>254</v>
      </c>
      <c r="B255" s="13" t="inlineStr">
        <is>
          <t>W0254</t>
        </is>
      </c>
      <c r="C255" s="13" t="inlineStr">
        <is>
          <t>구약</t>
        </is>
      </c>
      <c r="D255" s="13" t="n">
        <v>254</v>
      </c>
      <c r="E255" s="13">
        <f>C255&amp;"말씀 #"&amp;TEXT(D255,"000")</f>
        <v/>
      </c>
      <c r="F255" s="14" t="inlineStr">
        <is>
          <t>이사야</t>
        </is>
      </c>
      <c r="G255" s="14" t="inlineStr">
        <is>
          <t>6:3</t>
        </is>
      </c>
      <c r="H255" s="15" t="inlineStr">
        <is>
          <t>(사 6:3, 개역한글)</t>
        </is>
      </c>
      <c r="I255" s="14" t="inlineStr">
        <is>
          <t>거룩</t>
        </is>
      </c>
      <c r="J255" s="14" t="inlineStr">
        <is>
          <t>하늘·별</t>
        </is>
      </c>
      <c r="K255" s="16" t="inlineStr">
        <is>
          <t>서로 창화하여 가로되 거룩하다 거룩하다 거룩하다 만군의 여호와여 그 영광이 온 땅에 충만하도다</t>
        </is>
      </c>
      <c r="L255" s="14" t="inlineStr">
        <is>
          <t>자동 입력</t>
        </is>
      </c>
      <c r="M255" s="14">
        <f>LEN(K255)</f>
        <v/>
      </c>
      <c r="N255" s="14">
        <f>IF(M255=0,"-",ROUND(3+M255/'안내'!$C$12,0))</f>
        <v/>
      </c>
      <c r="O255" s="15">
        <f>IF(K255="","(본문 입력 후 자동) | 사 6:3",IF(LEN(K255)&gt;28,LEFT(K255,28)&amp;"…",K255)&amp;" | 사 6:3")</f>
        <v/>
      </c>
      <c r="P255" s="15">
        <f>"#"&amp;SUBSTITUTE('안내'!$C$5," ","")&amp;" #성경구절 #말씀 #이사야 #거룩"</f>
        <v/>
      </c>
      <c r="Q255" s="15" t="inlineStr">
        <is>
          <t>성경 본문: 개역한글판</t>
        </is>
      </c>
      <c r="R255" s="17">
        <f>'안내'!$C$6+INT((D255-1)/'안내'!$C$7)</f>
        <v/>
      </c>
      <c r="S255" s="14">
        <f>IF(MOD(D255-1,'안내'!$C$7)=0,'안내'!$C$8,'안내'!$C$10)</f>
        <v/>
      </c>
      <c r="T255" s="14">
        <f>CHOOSE(WEEKDAY(R255,2),"월","화","수","목","금","토","일")</f>
        <v/>
      </c>
      <c r="U255" s="14" t="inlineStr">
        <is>
          <t>미착수</t>
        </is>
      </c>
      <c r="V255" s="14" t="inlineStr">
        <is>
          <t>미착수</t>
        </is>
      </c>
      <c r="W255" s="18" t="n"/>
      <c r="X255" s="18" t="n"/>
      <c r="Y255" s="15" t="n"/>
      <c r="Z255" s="15" t="inlineStr"/>
      <c r="AA255" s="15" t="inlineStr">
        <is>
          <t>One called to another, and said, “Holy, holy, holy, is Yahweh of Armies! The whole earth is full of his glory!”</t>
        </is>
      </c>
    </row>
    <row r="256">
      <c r="A256" s="13" t="n">
        <v>255</v>
      </c>
      <c r="B256" s="13" t="inlineStr">
        <is>
          <t>W0255</t>
        </is>
      </c>
      <c r="C256" s="13" t="inlineStr">
        <is>
          <t>구약</t>
        </is>
      </c>
      <c r="D256" s="13" t="n">
        <v>255</v>
      </c>
      <c r="E256" s="13">
        <f>C256&amp;"말씀 #"&amp;TEXT(D256,"000")</f>
        <v/>
      </c>
      <c r="F256" s="14" t="inlineStr">
        <is>
          <t>이사야</t>
        </is>
      </c>
      <c r="G256" s="14" t="inlineStr">
        <is>
          <t>6:8</t>
        </is>
      </c>
      <c r="H256" s="15" t="inlineStr">
        <is>
          <t>(사 6:8, 개역한글)</t>
        </is>
      </c>
      <c r="I256" s="14" t="inlineStr">
        <is>
          <t>헌신</t>
        </is>
      </c>
      <c r="J256" s="14" t="inlineStr">
        <is>
          <t>길·등불</t>
        </is>
      </c>
      <c r="K256" s="16" t="inlineStr">
        <is>
          <t>내가 또 주의 목소리를 들은즉 이르시되 내가 누구를 보내며 누가 우리를 위하여 갈꼬 그 때에 내가 가로되 내가 여기 있나이다 나를 보내소서</t>
        </is>
      </c>
      <c r="L256" s="14" t="inlineStr">
        <is>
          <t>자동 입력</t>
        </is>
      </c>
      <c r="M256" s="14">
        <f>LEN(K256)</f>
        <v/>
      </c>
      <c r="N256" s="14">
        <f>IF(M256=0,"-",ROUND(3+M256/'안내'!$C$12,0))</f>
        <v/>
      </c>
      <c r="O256" s="15">
        <f>IF(K256="","(본문 입력 후 자동) | 사 6:8",IF(LEN(K256)&gt;28,LEFT(K256,28)&amp;"…",K256)&amp;" | 사 6:8")</f>
        <v/>
      </c>
      <c r="P256" s="15">
        <f>"#"&amp;SUBSTITUTE('안내'!$C$5," ","")&amp;" #성경구절 #말씀 #이사야 #헌신"</f>
        <v/>
      </c>
      <c r="Q256" s="15" t="inlineStr">
        <is>
          <t>성경 본문: 개역한글판</t>
        </is>
      </c>
      <c r="R256" s="17">
        <f>'안내'!$C$6+INT((D256-1)/'안내'!$C$7)</f>
        <v/>
      </c>
      <c r="S256" s="14">
        <f>IF(MOD(D256-1,'안내'!$C$7)=0,'안내'!$C$8,'안내'!$C$10)</f>
        <v/>
      </c>
      <c r="T256" s="14">
        <f>CHOOSE(WEEKDAY(R256,2),"월","화","수","목","금","토","일")</f>
        <v/>
      </c>
      <c r="U256" s="14" t="inlineStr">
        <is>
          <t>미착수</t>
        </is>
      </c>
      <c r="V256" s="14" t="inlineStr">
        <is>
          <t>미착수</t>
        </is>
      </c>
      <c r="W256" s="18" t="n"/>
      <c r="X256" s="18" t="n"/>
      <c r="Y256" s="15" t="n"/>
      <c r="Z256" s="15" t="inlineStr"/>
      <c r="AA256" s="15" t="inlineStr">
        <is>
          <t>I heard the Lord’s voice, saying, “Whom shall I send, and who will go for us?” Then I said, “Here I am. Send me!”</t>
        </is>
      </c>
    </row>
    <row r="257">
      <c r="A257" s="13" t="n">
        <v>256</v>
      </c>
      <c r="B257" s="13" t="inlineStr">
        <is>
          <t>W0256</t>
        </is>
      </c>
      <c r="C257" s="13" t="inlineStr">
        <is>
          <t>구약</t>
        </is>
      </c>
      <c r="D257" s="13" t="n">
        <v>256</v>
      </c>
      <c r="E257" s="13">
        <f>C257&amp;"말씀 #"&amp;TEXT(D257,"000")</f>
        <v/>
      </c>
      <c r="F257" s="14" t="inlineStr">
        <is>
          <t>이사야</t>
        </is>
      </c>
      <c r="G257" s="14" t="inlineStr">
        <is>
          <t>7:14</t>
        </is>
      </c>
      <c r="H257" s="15" t="inlineStr">
        <is>
          <t>(사 7:14, 개역한글)</t>
        </is>
      </c>
      <c r="I257" s="14" t="inlineStr">
        <is>
          <t>구원</t>
        </is>
      </c>
      <c r="J257" s="14" t="inlineStr">
        <is>
          <t>제단·십자가</t>
        </is>
      </c>
      <c r="K257" s="16" t="inlineStr">
        <is>
          <t>그러므로 주께서 친히 징조로 너희에게 주실 것이라 보라 처녀가 잉태하여 아들을 낳을 것이요 그 이름을 임마누엘이라 하리라</t>
        </is>
      </c>
      <c r="L257" s="14" t="inlineStr">
        <is>
          <t>자동 입력 · 대조 필요</t>
        </is>
      </c>
      <c r="M257" s="14">
        <f>LEN(K257)</f>
        <v/>
      </c>
      <c r="N257" s="14">
        <f>IF(M257=0,"-",ROUND(3+M257/'안내'!$C$12,0))</f>
        <v/>
      </c>
      <c r="O257" s="15">
        <f>IF(K257="","(본문 입력 후 자동) | 사 7:14",IF(LEN(K257)&gt;28,LEFT(K257,28)&amp;"…",K257)&amp;" | 사 7:14")</f>
        <v/>
      </c>
      <c r="P257" s="15">
        <f>"#"&amp;SUBSTITUTE('안내'!$C$5," ","")&amp;" #성경구절 #말씀 #이사야 #구원"</f>
        <v/>
      </c>
      <c r="Q257" s="19" t="inlineStr">
        <is>
          <t>처녀가 아들을 낳을 것이라는 예언은 예수 그리스도의 탄생으로 이루어졌습니다(마 1:23).
성경 본문: 개역한글판</t>
        </is>
      </c>
      <c r="R257" s="17">
        <f>'안내'!$C$6+INT((D257-1)/'안내'!$C$7)</f>
        <v/>
      </c>
      <c r="S257" s="14">
        <f>IF(MOD(D257-1,'안내'!$C$7)=0,'안내'!$C$8,'안내'!$C$10)</f>
        <v/>
      </c>
      <c r="T257" s="14">
        <f>CHOOSE(WEEKDAY(R257,2),"월","화","수","목","금","토","일")</f>
        <v/>
      </c>
      <c r="U257" s="14" t="inlineStr">
        <is>
          <t>미착수</t>
        </is>
      </c>
      <c r="V257" s="14" t="inlineStr">
        <is>
          <t>미착수</t>
        </is>
      </c>
      <c r="W257" s="18" t="n"/>
      <c r="X257" s="18" t="n"/>
      <c r="Y257" s="15" t="n"/>
      <c r="Z257" s="15" t="inlineStr">
        <is>
          <t>줄바꿈 띄어쓰기 확인</t>
        </is>
      </c>
      <c r="AA257" s="15" t="inlineStr">
        <is>
          <t>Therefore the Lord himself will give you a sign. Behold, the virgin will conceive, and bear a son, and shall call his name Immanuel.</t>
        </is>
      </c>
    </row>
    <row r="258">
      <c r="A258" s="13" t="n">
        <v>257</v>
      </c>
      <c r="B258" s="13" t="inlineStr">
        <is>
          <t>W0257</t>
        </is>
      </c>
      <c r="C258" s="13" t="inlineStr">
        <is>
          <t>구약</t>
        </is>
      </c>
      <c r="D258" s="13" t="n">
        <v>257</v>
      </c>
      <c r="E258" s="13">
        <f>C258&amp;"말씀 #"&amp;TEXT(D258,"000")</f>
        <v/>
      </c>
      <c r="F258" s="14" t="inlineStr">
        <is>
          <t>이사야</t>
        </is>
      </c>
      <c r="G258" s="14" t="inlineStr">
        <is>
          <t>9:6</t>
        </is>
      </c>
      <c r="H258" s="15" t="inlineStr">
        <is>
          <t>(사 9:6, 개역한글)</t>
        </is>
      </c>
      <c r="I258" s="14" t="inlineStr">
        <is>
          <t>구원</t>
        </is>
      </c>
      <c r="J258" s="14" t="inlineStr">
        <is>
          <t>제단·십자가</t>
        </is>
      </c>
      <c r="K258" s="16" t="inlineStr">
        <is>
          <t>이는 한 아기가 우리에게 났고 한 아들을 우리에게 주신 바 되었는데 그 어깨에는 정사를 메었고 그 이름은 기묘자라, 모사라, 전능하신 하나님이라, 영존하시는 아버지라, 평강의 왕이라 할 것임이라</t>
        </is>
      </c>
      <c r="L258" s="14" t="inlineStr">
        <is>
          <t>자동 입력 · 대조 필요</t>
        </is>
      </c>
      <c r="M258" s="14">
        <f>LEN(K258)</f>
        <v/>
      </c>
      <c r="N258" s="14">
        <f>IF(M258=0,"-",ROUND(3+M258/'안내'!$C$12,0))</f>
        <v/>
      </c>
      <c r="O258" s="15">
        <f>IF(K258="","(본문 입력 후 자동) | 사 9:6",IF(LEN(K258)&gt;28,LEFT(K258,28)&amp;"…",K258)&amp;" | 사 9:6")</f>
        <v/>
      </c>
      <c r="P258" s="15">
        <f>"#"&amp;SUBSTITUTE('안내'!$C$5," ","")&amp;" #성경구절 #말씀 #이사야 #구원"</f>
        <v/>
      </c>
      <c r="Q258" s="15" t="inlineStr">
        <is>
          <t>성경 본문: 개역한글판</t>
        </is>
      </c>
      <c r="R258" s="17">
        <f>'안내'!$C$6+INT((D258-1)/'안내'!$C$7)</f>
        <v/>
      </c>
      <c r="S258" s="14">
        <f>IF(MOD(D258-1,'안내'!$C$7)=0,'안내'!$C$8,'안내'!$C$10)</f>
        <v/>
      </c>
      <c r="T258" s="14">
        <f>CHOOSE(WEEKDAY(R258,2),"월","화","수","목","금","토","일")</f>
        <v/>
      </c>
      <c r="U258" s="14" t="inlineStr">
        <is>
          <t>미착수</t>
        </is>
      </c>
      <c r="V258" s="14" t="inlineStr">
        <is>
          <t>미착수</t>
        </is>
      </c>
      <c r="W258" s="18" t="n"/>
      <c r="X258" s="18" t="n"/>
      <c r="Y258" s="15" t="n"/>
      <c r="Z258" s="15" t="inlineStr">
        <is>
          <t>줄바꿈 띄어쓰기 확인</t>
        </is>
      </c>
      <c r="AA258" s="15" t="inlineStr">
        <is>
          <t>For a child is born to us. A son is given to us; and the government will be on his shoulders. His name will be called Wonderful Counselor, Mighty God, Everlasting Father, Prince of Peace.</t>
        </is>
      </c>
    </row>
    <row r="259">
      <c r="A259" s="13" t="n">
        <v>258</v>
      </c>
      <c r="B259" s="13" t="inlineStr">
        <is>
          <t>W0258</t>
        </is>
      </c>
      <c r="C259" s="13" t="inlineStr">
        <is>
          <t>구약</t>
        </is>
      </c>
      <c r="D259" s="13" t="n">
        <v>258</v>
      </c>
      <c r="E259" s="13">
        <f>C259&amp;"말씀 #"&amp;TEXT(D259,"000")</f>
        <v/>
      </c>
      <c r="F259" s="14" t="inlineStr">
        <is>
          <t>이사야</t>
        </is>
      </c>
      <c r="G259" s="14" t="inlineStr">
        <is>
          <t>12:2</t>
        </is>
      </c>
      <c r="H259" s="15" t="inlineStr">
        <is>
          <t>(사 12:2, 개역한글)</t>
        </is>
      </c>
      <c r="I259" s="14" t="inlineStr">
        <is>
          <t>구원</t>
        </is>
      </c>
      <c r="J259" s="14" t="inlineStr">
        <is>
          <t>제단·십자가</t>
        </is>
      </c>
      <c r="K259" s="16" t="inlineStr">
        <is>
          <t>보라 하나님은 나의 구원이시라 내가 의뢰하고 두려움이 없으리니 주 여호와는 나의 힘이시며 나의 노래시며 나의 구원이심이라</t>
        </is>
      </c>
      <c r="L259" s="14" t="inlineStr">
        <is>
          <t>자동 입력 · 대조 필요</t>
        </is>
      </c>
      <c r="M259" s="14">
        <f>LEN(K259)</f>
        <v/>
      </c>
      <c r="N259" s="14">
        <f>IF(M259=0,"-",ROUND(3+M259/'안내'!$C$12,0))</f>
        <v/>
      </c>
      <c r="O259" s="15">
        <f>IF(K259="","(본문 입력 후 자동) | 사 12:2",IF(LEN(K259)&gt;28,LEFT(K259,28)&amp;"…",K259)&amp;" | 사 12:2")</f>
        <v/>
      </c>
      <c r="P259" s="15">
        <f>"#"&amp;SUBSTITUTE('안내'!$C$5," ","")&amp;" #성경구절 #말씀 #이사야 #구원"</f>
        <v/>
      </c>
      <c r="Q259" s="15" t="inlineStr">
        <is>
          <t>성경 본문: 개역한글판</t>
        </is>
      </c>
      <c r="R259" s="17">
        <f>'안내'!$C$6+INT((D259-1)/'안내'!$C$7)</f>
        <v/>
      </c>
      <c r="S259" s="14">
        <f>IF(MOD(D259-1,'안내'!$C$7)=0,'안내'!$C$8,'안내'!$C$10)</f>
        <v/>
      </c>
      <c r="T259" s="14">
        <f>CHOOSE(WEEKDAY(R259,2),"월","화","수","목","금","토","일")</f>
        <v/>
      </c>
      <c r="U259" s="14" t="inlineStr">
        <is>
          <t>미착수</t>
        </is>
      </c>
      <c r="V259" s="14" t="inlineStr">
        <is>
          <t>미착수</t>
        </is>
      </c>
      <c r="W259" s="18" t="n"/>
      <c r="X259" s="18" t="n"/>
      <c r="Y259" s="15" t="n"/>
      <c r="Z259" s="15" t="inlineStr">
        <is>
          <t>줄바꿈 띄어쓰기 확인</t>
        </is>
      </c>
      <c r="AA259" s="15" t="inlineStr">
        <is>
          <t>Behold, God is my salvation. I will trust, and will not be afraid; for Yah, Yahweh, is my strength and song; and he has become my salvation.”</t>
        </is>
      </c>
    </row>
    <row r="260">
      <c r="A260" s="13" t="n">
        <v>259</v>
      </c>
      <c r="B260" s="13" t="inlineStr">
        <is>
          <t>W0259</t>
        </is>
      </c>
      <c r="C260" s="13" t="inlineStr">
        <is>
          <t>구약</t>
        </is>
      </c>
      <c r="D260" s="13" t="n">
        <v>259</v>
      </c>
      <c r="E260" s="13">
        <f>C260&amp;"말씀 #"&amp;TEXT(D260,"000")</f>
        <v/>
      </c>
      <c r="F260" s="14" t="inlineStr">
        <is>
          <t>이사야</t>
        </is>
      </c>
      <c r="G260" s="14" t="inlineStr">
        <is>
          <t>25:8</t>
        </is>
      </c>
      <c r="H260" s="15" t="inlineStr">
        <is>
          <t>(사 25:8, 개역한글)</t>
        </is>
      </c>
      <c r="I260" s="14" t="inlineStr">
        <is>
          <t>소망</t>
        </is>
      </c>
      <c r="J260" s="14" t="inlineStr">
        <is>
          <t>새벽빛</t>
        </is>
      </c>
      <c r="K260" s="16" t="inlineStr">
        <is>
          <t>사망을 영원히 멸하실 것이라 주 여호와께서 모든 얼굴에서 눈물을 씻기시며 그 백성의 수치를 온 천하에서 제하시리라 여호와께서 이같이 말씀하셨느니라</t>
        </is>
      </c>
      <c r="L260" s="14" t="inlineStr">
        <is>
          <t>자동 입력 · 대조 필요</t>
        </is>
      </c>
      <c r="M260" s="14">
        <f>LEN(K260)</f>
        <v/>
      </c>
      <c r="N260" s="14">
        <f>IF(M260=0,"-",ROUND(3+M260/'안내'!$C$12,0))</f>
        <v/>
      </c>
      <c r="O260" s="15">
        <f>IF(K260="","(본문 입력 후 자동) | 사 25:8",IF(LEN(K260)&gt;28,LEFT(K260,28)&amp;"…",K260)&amp;" | 사 25:8")</f>
        <v/>
      </c>
      <c r="P260" s="15">
        <f>"#"&amp;SUBSTITUTE('안내'!$C$5," ","")&amp;" #성경구절 #말씀 #이사야 #소망"</f>
        <v/>
      </c>
      <c r="Q260" s="15" t="inlineStr">
        <is>
          <t>성경 본문: 개역한글판</t>
        </is>
      </c>
      <c r="R260" s="17">
        <f>'안내'!$C$6+INT((D260-1)/'안내'!$C$7)</f>
        <v/>
      </c>
      <c r="S260" s="14">
        <f>IF(MOD(D260-1,'안내'!$C$7)=0,'안내'!$C$8,'안내'!$C$10)</f>
        <v/>
      </c>
      <c r="T260" s="14">
        <f>CHOOSE(WEEKDAY(R260,2),"월","화","수","목","금","토","일")</f>
        <v/>
      </c>
      <c r="U260" s="14" t="inlineStr">
        <is>
          <t>미착수</t>
        </is>
      </c>
      <c r="V260" s="14" t="inlineStr">
        <is>
          <t>미착수</t>
        </is>
      </c>
      <c r="W260" s="18" t="n"/>
      <c r="X260" s="18" t="n"/>
      <c r="Y260" s="15" t="n"/>
      <c r="Z260" s="15" t="inlineStr">
        <is>
          <t>줄바꿈 띄어쓰기 확인</t>
        </is>
      </c>
      <c r="AA260" s="15" t="inlineStr">
        <is>
          <t>He has swallowed up death forever! The Lord Yahweh will wipe away tears from off all faces. He will take the reproach of his people away from off all the earth, for Yahweh has spoken it.</t>
        </is>
      </c>
    </row>
    <row r="261">
      <c r="A261" s="13" t="n">
        <v>260</v>
      </c>
      <c r="B261" s="13" t="inlineStr">
        <is>
          <t>W0260</t>
        </is>
      </c>
      <c r="C261" s="13" t="inlineStr">
        <is>
          <t>구약</t>
        </is>
      </c>
      <c r="D261" s="13" t="n">
        <v>260</v>
      </c>
      <c r="E261" s="13">
        <f>C261&amp;"말씀 #"&amp;TEXT(D261,"000")</f>
        <v/>
      </c>
      <c r="F261" s="14" t="inlineStr">
        <is>
          <t>이사야</t>
        </is>
      </c>
      <c r="G261" s="14" t="inlineStr">
        <is>
          <t>26:3</t>
        </is>
      </c>
      <c r="H261" s="15" t="inlineStr">
        <is>
          <t>(사 26:3, 개역한글)</t>
        </is>
      </c>
      <c r="I261" s="14" t="inlineStr">
        <is>
          <t>평안</t>
        </is>
      </c>
      <c r="J261" s="14" t="inlineStr">
        <is>
          <t>잔잔한 물</t>
        </is>
      </c>
      <c r="K261" s="16" t="inlineStr">
        <is>
          <t>주께서 심지가 견고한 자를 평강에 평강으로 지키시리니 이는 그가 주를 의뢰함이니이다</t>
        </is>
      </c>
      <c r="L261" s="14" t="inlineStr">
        <is>
          <t>자동 입력</t>
        </is>
      </c>
      <c r="M261" s="14">
        <f>LEN(K261)</f>
        <v/>
      </c>
      <c r="N261" s="14">
        <f>IF(M261=0,"-",ROUND(3+M261/'안내'!$C$12,0))</f>
        <v/>
      </c>
      <c r="O261" s="15">
        <f>IF(K261="","(본문 입력 후 자동) | 사 26:3",IF(LEN(K261)&gt;28,LEFT(K261,28)&amp;"…",K261)&amp;" | 사 26:3")</f>
        <v/>
      </c>
      <c r="P261" s="15">
        <f>"#"&amp;SUBSTITUTE('안내'!$C$5," ","")&amp;" #성경구절 #말씀 #이사야 #평안"</f>
        <v/>
      </c>
      <c r="Q261" s="15" t="inlineStr">
        <is>
          <t>성경 본문: 개역한글판</t>
        </is>
      </c>
      <c r="R261" s="17">
        <f>'안내'!$C$6+INT((D261-1)/'안내'!$C$7)</f>
        <v/>
      </c>
      <c r="S261" s="14">
        <f>IF(MOD(D261-1,'안내'!$C$7)=0,'안내'!$C$8,'안내'!$C$10)</f>
        <v/>
      </c>
      <c r="T261" s="14">
        <f>CHOOSE(WEEKDAY(R261,2),"월","화","수","목","금","토","일")</f>
        <v/>
      </c>
      <c r="U261" s="14" t="inlineStr">
        <is>
          <t>미착수</t>
        </is>
      </c>
      <c r="V261" s="14" t="inlineStr">
        <is>
          <t>미착수</t>
        </is>
      </c>
      <c r="W261" s="18" t="n"/>
      <c r="X261" s="18" t="n"/>
      <c r="Y261" s="15" t="n"/>
      <c r="Z261" s="15" t="inlineStr"/>
      <c r="AA261" s="15" t="inlineStr">
        <is>
          <t>You will keep whoever’s mind is steadfast in perfect peace, because he trusts in you.</t>
        </is>
      </c>
    </row>
    <row r="262">
      <c r="A262" s="13" t="n">
        <v>261</v>
      </c>
      <c r="B262" s="13" t="inlineStr">
        <is>
          <t>W0261</t>
        </is>
      </c>
      <c r="C262" s="13" t="inlineStr">
        <is>
          <t>구약</t>
        </is>
      </c>
      <c r="D262" s="13" t="n">
        <v>261</v>
      </c>
      <c r="E262" s="13">
        <f>C262&amp;"말씀 #"&amp;TEXT(D262,"000")</f>
        <v/>
      </c>
      <c r="F262" s="14" t="inlineStr">
        <is>
          <t>이사야</t>
        </is>
      </c>
      <c r="G262" s="14" t="inlineStr">
        <is>
          <t>26:4</t>
        </is>
      </c>
      <c r="H262" s="15" t="inlineStr">
        <is>
          <t>(사 26:4, 개역한글)</t>
        </is>
      </c>
      <c r="I262" s="14" t="inlineStr">
        <is>
          <t>신뢰</t>
        </is>
      </c>
      <c r="J262" s="14" t="inlineStr">
        <is>
          <t>바위산·광야</t>
        </is>
      </c>
      <c r="K262" s="16" t="inlineStr">
        <is>
          <t>너희는 여호와를 영원히 의뢰하라 주 여호와는 영원한 반석이심이로다</t>
        </is>
      </c>
      <c r="L262" s="14" t="inlineStr">
        <is>
          <t>자동 입력</t>
        </is>
      </c>
      <c r="M262" s="14">
        <f>LEN(K262)</f>
        <v/>
      </c>
      <c r="N262" s="14">
        <f>IF(M262=0,"-",ROUND(3+M262/'안내'!$C$12,0))</f>
        <v/>
      </c>
      <c r="O262" s="15">
        <f>IF(K262="","(본문 입력 후 자동) | 사 26:4",IF(LEN(K262)&gt;28,LEFT(K262,28)&amp;"…",K262)&amp;" | 사 26:4")</f>
        <v/>
      </c>
      <c r="P262" s="15">
        <f>"#"&amp;SUBSTITUTE('안내'!$C$5," ","")&amp;" #성경구절 #말씀 #이사야 #신뢰"</f>
        <v/>
      </c>
      <c r="Q262" s="15" t="inlineStr">
        <is>
          <t>성경 본문: 개역한글판</t>
        </is>
      </c>
      <c r="R262" s="17">
        <f>'안내'!$C$6+INT((D262-1)/'안내'!$C$7)</f>
        <v/>
      </c>
      <c r="S262" s="14">
        <f>IF(MOD(D262-1,'안내'!$C$7)=0,'안내'!$C$8,'안내'!$C$10)</f>
        <v/>
      </c>
      <c r="T262" s="14">
        <f>CHOOSE(WEEKDAY(R262,2),"월","화","수","목","금","토","일")</f>
        <v/>
      </c>
      <c r="U262" s="14" t="inlineStr">
        <is>
          <t>미착수</t>
        </is>
      </c>
      <c r="V262" s="14" t="inlineStr">
        <is>
          <t>미착수</t>
        </is>
      </c>
      <c r="W262" s="18" t="n"/>
      <c r="X262" s="18" t="n"/>
      <c r="Y262" s="15" t="n"/>
      <c r="Z262" s="15" t="inlineStr"/>
      <c r="AA262" s="15" t="inlineStr">
        <is>
          <t>Trust in Yahweh forever; for in Yah, Yahweh, is an everlasting Rock.</t>
        </is>
      </c>
    </row>
    <row r="263">
      <c r="A263" s="13" t="n">
        <v>262</v>
      </c>
      <c r="B263" s="13" t="inlineStr">
        <is>
          <t>W0262</t>
        </is>
      </c>
      <c r="C263" s="13" t="inlineStr">
        <is>
          <t>구약</t>
        </is>
      </c>
      <c r="D263" s="13" t="n">
        <v>262</v>
      </c>
      <c r="E263" s="13">
        <f>C263&amp;"말씀 #"&amp;TEXT(D263,"000")</f>
        <v/>
      </c>
      <c r="F263" s="14" t="inlineStr">
        <is>
          <t>이사야</t>
        </is>
      </c>
      <c r="G263" s="14" t="inlineStr">
        <is>
          <t>30:15</t>
        </is>
      </c>
      <c r="H263" s="15" t="inlineStr">
        <is>
          <t>(사 30:15, 개역한글)</t>
        </is>
      </c>
      <c r="I263" s="14" t="inlineStr">
        <is>
          <t>신뢰</t>
        </is>
      </c>
      <c r="J263" s="14" t="inlineStr">
        <is>
          <t>바위산·광야</t>
        </is>
      </c>
      <c r="K263" s="16" t="inlineStr">
        <is>
          <t>주 여호와 이스라엘의 거룩하신 자가 말씀하시되 너희가 돌이켜 안연히 처하여야 구원을 얻을 것이요 잠잠하고 신뢰하여야 힘을 얻을 것이어늘 너희가 원치 아니하고</t>
        </is>
      </c>
      <c r="L263" s="14" t="inlineStr">
        <is>
          <t>자동 입력</t>
        </is>
      </c>
      <c r="M263" s="14">
        <f>LEN(K263)</f>
        <v/>
      </c>
      <c r="N263" s="14">
        <f>IF(M263=0,"-",ROUND(3+M263/'안내'!$C$12,0))</f>
        <v/>
      </c>
      <c r="O263" s="15">
        <f>IF(K263="","(본문 입력 후 자동) | 사 30:15",IF(LEN(K263)&gt;28,LEFT(K263,28)&amp;"…",K263)&amp;" | 사 30:15")</f>
        <v/>
      </c>
      <c r="P263" s="15">
        <f>"#"&amp;SUBSTITUTE('안내'!$C$5," ","")&amp;" #성경구절 #말씀 #이사야 #신뢰"</f>
        <v/>
      </c>
      <c r="Q263" s="15" t="inlineStr">
        <is>
          <t>성경 본문: 개역한글판</t>
        </is>
      </c>
      <c r="R263" s="17">
        <f>'안내'!$C$6+INT((D263-1)/'안내'!$C$7)</f>
        <v/>
      </c>
      <c r="S263" s="14">
        <f>IF(MOD(D263-1,'안내'!$C$7)=0,'안내'!$C$8,'안내'!$C$10)</f>
        <v/>
      </c>
      <c r="T263" s="14">
        <f>CHOOSE(WEEKDAY(R263,2),"월","화","수","목","금","토","일")</f>
        <v/>
      </c>
      <c r="U263" s="14" t="inlineStr">
        <is>
          <t>미착수</t>
        </is>
      </c>
      <c r="V263" s="14" t="inlineStr">
        <is>
          <t>미착수</t>
        </is>
      </c>
      <c r="W263" s="18" t="n"/>
      <c r="X263" s="18" t="n"/>
      <c r="Y263" s="15" t="n"/>
      <c r="Z263" s="15" t="inlineStr"/>
      <c r="AA263" s="15" t="inlineStr">
        <is>
          <t>For thus said the Lord Yahweh, the Holy One of Israel, “You will be saved in returning and rest. Your strength will be in quietness and in confidence.” You refused,</t>
        </is>
      </c>
    </row>
    <row r="264">
      <c r="A264" s="13" t="n">
        <v>263</v>
      </c>
      <c r="B264" s="13" t="inlineStr">
        <is>
          <t>W0263</t>
        </is>
      </c>
      <c r="C264" s="13" t="inlineStr">
        <is>
          <t>구약</t>
        </is>
      </c>
      <c r="D264" s="13" t="n">
        <v>263</v>
      </c>
      <c r="E264" s="13">
        <f>C264&amp;"말씀 #"&amp;TEXT(D264,"000")</f>
        <v/>
      </c>
      <c r="F264" s="14" t="inlineStr">
        <is>
          <t>이사야</t>
        </is>
      </c>
      <c r="G264" s="14" t="inlineStr">
        <is>
          <t>30:21</t>
        </is>
      </c>
      <c r="H264" s="15" t="inlineStr">
        <is>
          <t>(사 30:21, 개역한글)</t>
        </is>
      </c>
      <c r="I264" s="14" t="inlineStr">
        <is>
          <t>인도</t>
        </is>
      </c>
      <c r="J264" s="14" t="inlineStr">
        <is>
          <t>길·등불</t>
        </is>
      </c>
      <c r="K264" s="16" t="inlineStr">
        <is>
          <t>너희가 우편으로 치우치든지 좌편으로 치우치든지 네 뒤에서 말소리가 네 귀에 들려 이르기를 이것이 정로니 너희는 이리로 행하라 할 것이며</t>
        </is>
      </c>
      <c r="L264" s="14" t="inlineStr">
        <is>
          <t>자동 입력 · 대조 필요</t>
        </is>
      </c>
      <c r="M264" s="14">
        <f>LEN(K264)</f>
        <v/>
      </c>
      <c r="N264" s="14">
        <f>IF(M264=0,"-",ROUND(3+M264/'안내'!$C$12,0))</f>
        <v/>
      </c>
      <c r="O264" s="15">
        <f>IF(K264="","(본문 입력 후 자동) | 사 30:21",IF(LEN(K264)&gt;28,LEFT(K264,28)&amp;"…",K264)&amp;" | 사 30:21")</f>
        <v/>
      </c>
      <c r="P264" s="15">
        <f>"#"&amp;SUBSTITUTE('안내'!$C$5," ","")&amp;" #성경구절 #말씀 #이사야 #인도"</f>
        <v/>
      </c>
      <c r="Q264" s="15" t="inlineStr">
        <is>
          <t>성경 본문: 개역한글판</t>
        </is>
      </c>
      <c r="R264" s="17">
        <f>'안내'!$C$6+INT((D264-1)/'안내'!$C$7)</f>
        <v/>
      </c>
      <c r="S264" s="14">
        <f>IF(MOD(D264-1,'안내'!$C$7)=0,'안내'!$C$8,'안내'!$C$10)</f>
        <v/>
      </c>
      <c r="T264" s="14">
        <f>CHOOSE(WEEKDAY(R264,2),"월","화","수","목","금","토","일")</f>
        <v/>
      </c>
      <c r="U264" s="14" t="inlineStr">
        <is>
          <t>미착수</t>
        </is>
      </c>
      <c r="V264" s="14" t="inlineStr">
        <is>
          <t>미착수</t>
        </is>
      </c>
      <c r="W264" s="18" t="n"/>
      <c r="X264" s="18" t="n"/>
      <c r="Y264" s="15" t="n"/>
      <c r="Z264" s="15" t="inlineStr">
        <is>
          <t>줄바꿈 띄어쓰기 확인</t>
        </is>
      </c>
      <c r="AA264" s="15" t="inlineStr">
        <is>
          <t>and when you turn to the right hand, and when you turn to the left, your ears will hear a voice behind you, saying, “This is the way. Walk in it.”</t>
        </is>
      </c>
    </row>
    <row r="265">
      <c r="A265" s="13" t="n">
        <v>264</v>
      </c>
      <c r="B265" s="13" t="inlineStr">
        <is>
          <t>W0264</t>
        </is>
      </c>
      <c r="C265" s="13" t="inlineStr">
        <is>
          <t>구약</t>
        </is>
      </c>
      <c r="D265" s="13" t="n">
        <v>264</v>
      </c>
      <c r="E265" s="13">
        <f>C265&amp;"말씀 #"&amp;TEXT(D265,"000")</f>
        <v/>
      </c>
      <c r="F265" s="14" t="inlineStr">
        <is>
          <t>이사야</t>
        </is>
      </c>
      <c r="G265" s="14" t="inlineStr">
        <is>
          <t>35:4</t>
        </is>
      </c>
      <c r="H265" s="15" t="inlineStr">
        <is>
          <t>(사 35:4, 개역한글)</t>
        </is>
      </c>
      <c r="I265" s="14" t="inlineStr">
        <is>
          <t>담대함</t>
        </is>
      </c>
      <c r="J265" s="14" t="inlineStr">
        <is>
          <t>바위산·광야</t>
        </is>
      </c>
      <c r="K265" s="16" t="inlineStr">
        <is>
          <t>겁내는 자에게 이르기를 너는 굳세게 하라, 두려워 말라, 보라 너희 하나님이 오사 보수하시며 보복하여 주실 것이라 그가 오사 너희를 구하시리라 하라</t>
        </is>
      </c>
      <c r="L265" s="14" t="inlineStr">
        <is>
          <t>자동 입력</t>
        </is>
      </c>
      <c r="M265" s="14">
        <f>LEN(K265)</f>
        <v/>
      </c>
      <c r="N265" s="14">
        <f>IF(M265=0,"-",ROUND(3+M265/'안내'!$C$12,0))</f>
        <v/>
      </c>
      <c r="O265" s="15">
        <f>IF(K265="","(본문 입력 후 자동) | 사 35:4",IF(LEN(K265)&gt;28,LEFT(K265,28)&amp;"…",K265)&amp;" | 사 35:4")</f>
        <v/>
      </c>
      <c r="P265" s="15">
        <f>"#"&amp;SUBSTITUTE('안내'!$C$5," ","")&amp;" #성경구절 #말씀 #이사야 #담대함"</f>
        <v/>
      </c>
      <c r="Q265" s="15" t="inlineStr">
        <is>
          <t>성경 본문: 개역한글판</t>
        </is>
      </c>
      <c r="R265" s="17">
        <f>'안내'!$C$6+INT((D265-1)/'안내'!$C$7)</f>
        <v/>
      </c>
      <c r="S265" s="14">
        <f>IF(MOD(D265-1,'안내'!$C$7)=0,'안내'!$C$8,'안내'!$C$10)</f>
        <v/>
      </c>
      <c r="T265" s="14">
        <f>CHOOSE(WEEKDAY(R265,2),"월","화","수","목","금","토","일")</f>
        <v/>
      </c>
      <c r="U265" s="14" t="inlineStr">
        <is>
          <t>미착수</t>
        </is>
      </c>
      <c r="V265" s="14" t="inlineStr">
        <is>
          <t>미착수</t>
        </is>
      </c>
      <c r="W265" s="18" t="n"/>
      <c r="X265" s="18" t="n"/>
      <c r="Y265" s="15" t="n"/>
      <c r="Z265" s="15" t="inlineStr"/>
      <c r="AA265" s="15" t="inlineStr">
        <is>
          <t>Tell those who have a fearful heart, “Be strong! Don’t be afraid! Behold, your God will come with vengeance, God’s retribution. He will come and save you.</t>
        </is>
      </c>
    </row>
    <row r="266">
      <c r="A266" s="13" t="n">
        <v>265</v>
      </c>
      <c r="B266" s="13" t="inlineStr">
        <is>
          <t>W0265</t>
        </is>
      </c>
      <c r="C266" s="13" t="inlineStr">
        <is>
          <t>구약</t>
        </is>
      </c>
      <c r="D266" s="13" t="n">
        <v>265</v>
      </c>
      <c r="E266" s="13">
        <f>C266&amp;"말씀 #"&amp;TEXT(D266,"000")</f>
        <v/>
      </c>
      <c r="F266" s="14" t="inlineStr">
        <is>
          <t>이사야</t>
        </is>
      </c>
      <c r="G266" s="14" t="inlineStr">
        <is>
          <t>40:8</t>
        </is>
      </c>
      <c r="H266" s="15" t="inlineStr">
        <is>
          <t>(사 40:8, 개역한글)</t>
        </is>
      </c>
      <c r="I266" s="14" t="inlineStr">
        <is>
          <t>말씀</t>
        </is>
      </c>
      <c r="J266" s="14" t="inlineStr">
        <is>
          <t>들판·나무</t>
        </is>
      </c>
      <c r="K266" s="16" t="inlineStr">
        <is>
          <t>풀은 마르고 꽃은 시드나 우리 하나님의 말씀은 영영히 서리라 하라</t>
        </is>
      </c>
      <c r="L266" s="14" t="inlineStr">
        <is>
          <t>자동 입력</t>
        </is>
      </c>
      <c r="M266" s="14">
        <f>LEN(K266)</f>
        <v/>
      </c>
      <c r="N266" s="14">
        <f>IF(M266=0,"-",ROUND(3+M266/'안내'!$C$12,0))</f>
        <v/>
      </c>
      <c r="O266" s="15">
        <f>IF(K266="","(본문 입력 후 자동) | 사 40:8",IF(LEN(K266)&gt;28,LEFT(K266,28)&amp;"…",K266)&amp;" | 사 40:8")</f>
        <v/>
      </c>
      <c r="P266" s="15">
        <f>"#"&amp;SUBSTITUTE('안내'!$C$5," ","")&amp;" #성경구절 #말씀 #이사야 #말씀"</f>
        <v/>
      </c>
      <c r="Q266" s="15" t="inlineStr">
        <is>
          <t>성경 본문: 개역한글판</t>
        </is>
      </c>
      <c r="R266" s="17">
        <f>'안내'!$C$6+INT((D266-1)/'안내'!$C$7)</f>
        <v/>
      </c>
      <c r="S266" s="14">
        <f>IF(MOD(D266-1,'안내'!$C$7)=0,'안내'!$C$8,'안내'!$C$10)</f>
        <v/>
      </c>
      <c r="T266" s="14">
        <f>CHOOSE(WEEKDAY(R266,2),"월","화","수","목","금","토","일")</f>
        <v/>
      </c>
      <c r="U266" s="14" t="inlineStr">
        <is>
          <t>미착수</t>
        </is>
      </c>
      <c r="V266" s="14" t="inlineStr">
        <is>
          <t>미착수</t>
        </is>
      </c>
      <c r="W266" s="18" t="n"/>
      <c r="X266" s="18" t="n"/>
      <c r="Y266" s="15" t="n"/>
      <c r="Z266" s="15" t="inlineStr"/>
      <c r="AA266" s="15" t="inlineStr">
        <is>
          <t>The grass withers, the flower fades; but the word of our God stands for- ever.”</t>
        </is>
      </c>
    </row>
    <row r="267">
      <c r="A267" s="13" t="n">
        <v>266</v>
      </c>
      <c r="B267" s="13" t="inlineStr">
        <is>
          <t>W0266</t>
        </is>
      </c>
      <c r="C267" s="13" t="inlineStr">
        <is>
          <t>구약</t>
        </is>
      </c>
      <c r="D267" s="13" t="n">
        <v>266</v>
      </c>
      <c r="E267" s="13">
        <f>C267&amp;"말씀 #"&amp;TEXT(D267,"000")</f>
        <v/>
      </c>
      <c r="F267" s="14" t="inlineStr">
        <is>
          <t>이사야</t>
        </is>
      </c>
      <c r="G267" s="14" t="inlineStr">
        <is>
          <t>40:11</t>
        </is>
      </c>
      <c r="H267" s="15" t="inlineStr">
        <is>
          <t>(사 40:11, 개역한글)</t>
        </is>
      </c>
      <c r="I267" s="14" t="inlineStr">
        <is>
          <t>위로</t>
        </is>
      </c>
      <c r="J267" s="14" t="inlineStr">
        <is>
          <t>잔잔한 물</t>
        </is>
      </c>
      <c r="K267" s="16" t="inlineStr">
        <is>
          <t>그는 목자같이 양 무리를 먹이시며 어린 양을 그 팔로 모아 품에 안으시며 젖 먹이는 암컷들은 온순히 인도하시리로다</t>
        </is>
      </c>
      <c r="L267" s="14" t="inlineStr">
        <is>
          <t>자동 입력</t>
        </is>
      </c>
      <c r="M267" s="14">
        <f>LEN(K267)</f>
        <v/>
      </c>
      <c r="N267" s="14">
        <f>IF(M267=0,"-",ROUND(3+M267/'안내'!$C$12,0))</f>
        <v/>
      </c>
      <c r="O267" s="15">
        <f>IF(K267="","(본문 입력 후 자동) | 사 40:11",IF(LEN(K267)&gt;28,LEFT(K267,28)&amp;"…",K267)&amp;" | 사 40:11")</f>
        <v/>
      </c>
      <c r="P267" s="15">
        <f>"#"&amp;SUBSTITUTE('안내'!$C$5," ","")&amp;" #성경구절 #말씀 #이사야 #위로"</f>
        <v/>
      </c>
      <c r="Q267" s="15" t="inlineStr">
        <is>
          <t>성경 본문: 개역한글판</t>
        </is>
      </c>
      <c r="R267" s="17">
        <f>'안내'!$C$6+INT((D267-1)/'안내'!$C$7)</f>
        <v/>
      </c>
      <c r="S267" s="14">
        <f>IF(MOD(D267-1,'안내'!$C$7)=0,'안내'!$C$8,'안내'!$C$10)</f>
        <v/>
      </c>
      <c r="T267" s="14">
        <f>CHOOSE(WEEKDAY(R267,2),"월","화","수","목","금","토","일")</f>
        <v/>
      </c>
      <c r="U267" s="14" t="inlineStr">
        <is>
          <t>미착수</t>
        </is>
      </c>
      <c r="V267" s="14" t="inlineStr">
        <is>
          <t>미착수</t>
        </is>
      </c>
      <c r="W267" s="18" t="n"/>
      <c r="X267" s="18" t="n"/>
      <c r="Y267" s="15" t="n"/>
      <c r="Z267" s="15" t="inlineStr"/>
      <c r="AA267" s="15" t="inlineStr">
        <is>
          <t>He will feed his flock like a shepherd. He will gather the lambs in his arm, and carry them in his bosom. He will gently lead those who have their young.</t>
        </is>
      </c>
    </row>
    <row r="268">
      <c r="A268" s="13" t="n">
        <v>267</v>
      </c>
      <c r="B268" s="13" t="inlineStr">
        <is>
          <t>W0267</t>
        </is>
      </c>
      <c r="C268" s="13" t="inlineStr">
        <is>
          <t>구약</t>
        </is>
      </c>
      <c r="D268" s="13" t="n">
        <v>267</v>
      </c>
      <c r="E268" s="13">
        <f>C268&amp;"말씀 #"&amp;TEXT(D268,"000")</f>
        <v/>
      </c>
      <c r="F268" s="14" t="inlineStr">
        <is>
          <t>이사야</t>
        </is>
      </c>
      <c r="G268" s="14" t="inlineStr">
        <is>
          <t>40:29</t>
        </is>
      </c>
      <c r="H268" s="15" t="inlineStr">
        <is>
          <t>(사 40:29, 개역한글)</t>
        </is>
      </c>
      <c r="I268" s="14" t="inlineStr">
        <is>
          <t>능력</t>
        </is>
      </c>
      <c r="J268" s="14" t="inlineStr">
        <is>
          <t>바위산·광야</t>
        </is>
      </c>
      <c r="K268" s="16" t="inlineStr">
        <is>
          <t>피곤한 자에게는 능력을 주시며 무능한 자에게는 힘을 더하시나니</t>
        </is>
      </c>
      <c r="L268" s="14" t="inlineStr">
        <is>
          <t>자동 입력</t>
        </is>
      </c>
      <c r="M268" s="14">
        <f>LEN(K268)</f>
        <v/>
      </c>
      <c r="N268" s="14">
        <f>IF(M268=0,"-",ROUND(3+M268/'안내'!$C$12,0))</f>
        <v/>
      </c>
      <c r="O268" s="15">
        <f>IF(K268="","(본문 입력 후 자동) | 사 40:29",IF(LEN(K268)&gt;28,LEFT(K268,28)&amp;"…",K268)&amp;" | 사 40:29")</f>
        <v/>
      </c>
      <c r="P268" s="15">
        <f>"#"&amp;SUBSTITUTE('안내'!$C$5," ","")&amp;" #성경구절 #말씀 #이사야 #능력"</f>
        <v/>
      </c>
      <c r="Q268" s="15" t="inlineStr">
        <is>
          <t>성경 본문: 개역한글판</t>
        </is>
      </c>
      <c r="R268" s="17">
        <f>'안내'!$C$6+INT((D268-1)/'안내'!$C$7)</f>
        <v/>
      </c>
      <c r="S268" s="14">
        <f>IF(MOD(D268-1,'안내'!$C$7)=0,'안내'!$C$8,'안내'!$C$10)</f>
        <v/>
      </c>
      <c r="T268" s="14">
        <f>CHOOSE(WEEKDAY(R268,2),"월","화","수","목","금","토","일")</f>
        <v/>
      </c>
      <c r="U268" s="14" t="inlineStr">
        <is>
          <t>미착수</t>
        </is>
      </c>
      <c r="V268" s="14" t="inlineStr">
        <is>
          <t>미착수</t>
        </is>
      </c>
      <c r="W268" s="18" t="n"/>
      <c r="X268" s="18" t="n"/>
      <c r="Y268" s="15" t="n"/>
      <c r="Z268" s="15" t="inlineStr"/>
      <c r="AA268" s="15" t="inlineStr">
        <is>
          <t>He gives power to the weak. He increases the strength of him who has no might.</t>
        </is>
      </c>
    </row>
    <row r="269">
      <c r="A269" s="13" t="n">
        <v>268</v>
      </c>
      <c r="B269" s="13" t="inlineStr">
        <is>
          <t>W0268</t>
        </is>
      </c>
      <c r="C269" s="13" t="inlineStr">
        <is>
          <t>구약</t>
        </is>
      </c>
      <c r="D269" s="13" t="n">
        <v>268</v>
      </c>
      <c r="E269" s="13">
        <f>C269&amp;"말씀 #"&amp;TEXT(D269,"000")</f>
        <v/>
      </c>
      <c r="F269" s="14" t="inlineStr">
        <is>
          <t>이사야</t>
        </is>
      </c>
      <c r="G269" s="14" t="inlineStr">
        <is>
          <t>40:31</t>
        </is>
      </c>
      <c r="H269" s="15" t="inlineStr">
        <is>
          <t>(사 40:31, 개역한글)</t>
        </is>
      </c>
      <c r="I269" s="14" t="inlineStr">
        <is>
          <t>소망</t>
        </is>
      </c>
      <c r="J269" s="14" t="inlineStr">
        <is>
          <t>새벽빛</t>
        </is>
      </c>
      <c r="K269" s="16" t="inlineStr">
        <is>
          <t>오직 여호와를 앙망하는 자는 새 힘을 얻으리니 독수리의 날개 치며 올라감 같을 것이요 달음박질하여도 곤비치 아니하겠고 걸어가도 피곤치 아니하리로다</t>
        </is>
      </c>
      <c r="L269" s="14" t="inlineStr">
        <is>
          <t>자동 입력 · 대조 필요</t>
        </is>
      </c>
      <c r="M269" s="14">
        <f>LEN(K269)</f>
        <v/>
      </c>
      <c r="N269" s="14">
        <f>IF(M269=0,"-",ROUND(3+M269/'안내'!$C$12,0))</f>
        <v/>
      </c>
      <c r="O269" s="15">
        <f>IF(K269="","(본문 입력 후 자동) | 사 40:31",IF(LEN(K269)&gt;28,LEFT(K269,28)&amp;"…",K269)&amp;" | 사 40:31")</f>
        <v/>
      </c>
      <c r="P269" s="15">
        <f>"#"&amp;SUBSTITUTE('안내'!$C$5," ","")&amp;" #성경구절 #말씀 #이사야 #소망"</f>
        <v/>
      </c>
      <c r="Q269" s="15" t="inlineStr">
        <is>
          <t>성경 본문: 개역한글판</t>
        </is>
      </c>
      <c r="R269" s="17">
        <f>'안내'!$C$6+INT((D269-1)/'안내'!$C$7)</f>
        <v/>
      </c>
      <c r="S269" s="14">
        <f>IF(MOD(D269-1,'안내'!$C$7)=0,'안내'!$C$8,'안내'!$C$10)</f>
        <v/>
      </c>
      <c r="T269" s="14">
        <f>CHOOSE(WEEKDAY(R269,2),"월","화","수","목","금","토","일")</f>
        <v/>
      </c>
      <c r="U269" s="14" t="inlineStr">
        <is>
          <t>미착수</t>
        </is>
      </c>
      <c r="V269" s="14" t="inlineStr">
        <is>
          <t>미착수</t>
        </is>
      </c>
      <c r="W269" s="18" t="n"/>
      <c r="X269" s="18" t="n"/>
      <c r="Y269" s="15" t="n"/>
      <c r="Z269" s="15" t="inlineStr">
        <is>
          <t>줄바꿈 띄어쓰기 확인</t>
        </is>
      </c>
      <c r="AA269" s="15" t="inlineStr">
        <is>
          <t>but those who wait for Yahweh will renew their strength. They will mount up with wings like eagles. They will run, and not be weary. They will walk, and not faint.</t>
        </is>
      </c>
    </row>
    <row r="270">
      <c r="A270" s="13" t="n">
        <v>269</v>
      </c>
      <c r="B270" s="13" t="inlineStr">
        <is>
          <t>W0269</t>
        </is>
      </c>
      <c r="C270" s="13" t="inlineStr">
        <is>
          <t>구약</t>
        </is>
      </c>
      <c r="D270" s="13" t="n">
        <v>269</v>
      </c>
      <c r="E270" s="13">
        <f>C270&amp;"말씀 #"&amp;TEXT(D270,"000")</f>
        <v/>
      </c>
      <c r="F270" s="14" t="inlineStr">
        <is>
          <t>이사야</t>
        </is>
      </c>
      <c r="G270" s="14" t="inlineStr">
        <is>
          <t>41:10</t>
        </is>
      </c>
      <c r="H270" s="15" t="inlineStr">
        <is>
          <t>(사 41:10, 개역한글)</t>
        </is>
      </c>
      <c r="I270" s="14" t="inlineStr">
        <is>
          <t>담대함</t>
        </is>
      </c>
      <c r="J270" s="14" t="inlineStr">
        <is>
          <t>바위산·광야</t>
        </is>
      </c>
      <c r="K270" s="16" t="inlineStr">
        <is>
          <t>두려워 말라 내가 너와 함께 함이니라 놀라지 말라 나는 네 하나님이 됨이니라 내가 너를 굳세게 하리라 참으로 너를 도와 주리라 참으로 나의 의로운 오른손으로 너를 붙들리라</t>
        </is>
      </c>
      <c r="L270" s="14" t="inlineStr">
        <is>
          <t>자동 입력 · 대조 필요</t>
        </is>
      </c>
      <c r="M270" s="14">
        <f>LEN(K270)</f>
        <v/>
      </c>
      <c r="N270" s="14">
        <f>IF(M270=0,"-",ROUND(3+M270/'안내'!$C$12,0))</f>
        <v/>
      </c>
      <c r="O270" s="15">
        <f>IF(K270="","(본문 입력 후 자동) | 사 41:10",IF(LEN(K270)&gt;28,LEFT(K270,28)&amp;"…",K270)&amp;" | 사 41:10")</f>
        <v/>
      </c>
      <c r="P270" s="15">
        <f>"#"&amp;SUBSTITUTE('안내'!$C$5," ","")&amp;" #성경구절 #말씀 #이사야 #담대함"</f>
        <v/>
      </c>
      <c r="Q270" s="15" t="inlineStr">
        <is>
          <t>성경 본문: 개역한글판</t>
        </is>
      </c>
      <c r="R270" s="17">
        <f>'안내'!$C$6+INT((D270-1)/'안내'!$C$7)</f>
        <v/>
      </c>
      <c r="S270" s="14">
        <f>IF(MOD(D270-1,'안내'!$C$7)=0,'안내'!$C$8,'안내'!$C$10)</f>
        <v/>
      </c>
      <c r="T270" s="14">
        <f>CHOOSE(WEEKDAY(R270,2),"월","화","수","목","금","토","일")</f>
        <v/>
      </c>
      <c r="U270" s="14" t="inlineStr">
        <is>
          <t>미착수</t>
        </is>
      </c>
      <c r="V270" s="14" t="inlineStr">
        <is>
          <t>미착수</t>
        </is>
      </c>
      <c r="W270" s="18" t="n"/>
      <c r="X270" s="18" t="n"/>
      <c r="Y270" s="15" t="n"/>
      <c r="Z270" s="15" t="inlineStr">
        <is>
          <t>줄바꿈 띄어쓰기 확인</t>
        </is>
      </c>
      <c r="AA270" s="15" t="inlineStr">
        <is>
          <t>Don’t you be afraid, for I am with you. Don’t be dismayed, for I am your God. I will strengthen you. Yes, I will help you. Yes, I will uphold you with the right hand of my righteousness.</t>
        </is>
      </c>
    </row>
    <row r="271">
      <c r="A271" s="13" t="n">
        <v>270</v>
      </c>
      <c r="B271" s="13" t="inlineStr">
        <is>
          <t>W0270</t>
        </is>
      </c>
      <c r="C271" s="13" t="inlineStr">
        <is>
          <t>구약</t>
        </is>
      </c>
      <c r="D271" s="13" t="n">
        <v>270</v>
      </c>
      <c r="E271" s="13">
        <f>C271&amp;"말씀 #"&amp;TEXT(D271,"000")</f>
        <v/>
      </c>
      <c r="F271" s="14" t="inlineStr">
        <is>
          <t>이사야</t>
        </is>
      </c>
      <c r="G271" s="14" t="inlineStr">
        <is>
          <t>41:13</t>
        </is>
      </c>
      <c r="H271" s="15" t="inlineStr">
        <is>
          <t>(사 41:13, 개역한글)</t>
        </is>
      </c>
      <c r="I271" s="14" t="inlineStr">
        <is>
          <t>동행</t>
        </is>
      </c>
      <c r="J271" s="14" t="inlineStr">
        <is>
          <t>길·등불</t>
        </is>
      </c>
      <c r="K271" s="16" t="inlineStr">
        <is>
          <t>이는 나 여호와 너의 하나님이 네 오른손을 붙들고 네게 이르기를 두려워 말라 내가 너를 도우리라 할 것임이니라</t>
        </is>
      </c>
      <c r="L271" s="14" t="inlineStr">
        <is>
          <t>자동 입력</t>
        </is>
      </c>
      <c r="M271" s="14">
        <f>LEN(K271)</f>
        <v/>
      </c>
      <c r="N271" s="14">
        <f>IF(M271=0,"-",ROUND(3+M271/'안내'!$C$12,0))</f>
        <v/>
      </c>
      <c r="O271" s="15">
        <f>IF(K271="","(본문 입력 후 자동) | 사 41:13",IF(LEN(K271)&gt;28,LEFT(K271,28)&amp;"…",K271)&amp;" | 사 41:13")</f>
        <v/>
      </c>
      <c r="P271" s="15">
        <f>"#"&amp;SUBSTITUTE('안내'!$C$5," ","")&amp;" #성경구절 #말씀 #이사야 #동행"</f>
        <v/>
      </c>
      <c r="Q271" s="15" t="inlineStr">
        <is>
          <t>성경 본문: 개역한글판</t>
        </is>
      </c>
      <c r="R271" s="17">
        <f>'안내'!$C$6+INT((D271-1)/'안내'!$C$7)</f>
        <v/>
      </c>
      <c r="S271" s="14">
        <f>IF(MOD(D271-1,'안내'!$C$7)=0,'안내'!$C$8,'안내'!$C$10)</f>
        <v/>
      </c>
      <c r="T271" s="14">
        <f>CHOOSE(WEEKDAY(R271,2),"월","화","수","목","금","토","일")</f>
        <v/>
      </c>
      <c r="U271" s="14" t="inlineStr">
        <is>
          <t>미착수</t>
        </is>
      </c>
      <c r="V271" s="14" t="inlineStr">
        <is>
          <t>미착수</t>
        </is>
      </c>
      <c r="W271" s="18" t="n"/>
      <c r="X271" s="18" t="n"/>
      <c r="Y271" s="15" t="n"/>
      <c r="Z271" s="15" t="inlineStr"/>
      <c r="AA271" s="15" t="inlineStr">
        <is>
          <t>For I, Yahweh your God, will hold your right hand, saying to you, ‘Don’t be afraid. I will help you.’</t>
        </is>
      </c>
    </row>
    <row r="272">
      <c r="A272" s="13" t="n">
        <v>271</v>
      </c>
      <c r="B272" s="13" t="inlineStr">
        <is>
          <t>W0271</t>
        </is>
      </c>
      <c r="C272" s="13" t="inlineStr">
        <is>
          <t>구약</t>
        </is>
      </c>
      <c r="D272" s="13" t="n">
        <v>271</v>
      </c>
      <c r="E272" s="13">
        <f>C272&amp;"말씀 #"&amp;TEXT(D272,"000")</f>
        <v/>
      </c>
      <c r="F272" s="14" t="inlineStr">
        <is>
          <t>이사야</t>
        </is>
      </c>
      <c r="G272" s="14" t="inlineStr">
        <is>
          <t>42:3</t>
        </is>
      </c>
      <c r="H272" s="15" t="inlineStr">
        <is>
          <t>(사 42:3, 개역한글)</t>
        </is>
      </c>
      <c r="I272" s="14" t="inlineStr">
        <is>
          <t>위로</t>
        </is>
      </c>
      <c r="J272" s="14" t="inlineStr">
        <is>
          <t>잔잔한 물</t>
        </is>
      </c>
      <c r="K272" s="16" t="inlineStr">
        <is>
          <t>상한 갈대를 꺾지 아니하며 꺼져가는 등불을 끄지 아니하고 진리로 공의를 베풀 것이며</t>
        </is>
      </c>
      <c r="L272" s="14" t="inlineStr">
        <is>
          <t>자동 입력</t>
        </is>
      </c>
      <c r="M272" s="14">
        <f>LEN(K272)</f>
        <v/>
      </c>
      <c r="N272" s="14">
        <f>IF(M272=0,"-",ROUND(3+M272/'안내'!$C$12,0))</f>
        <v/>
      </c>
      <c r="O272" s="15">
        <f>IF(K272="","(본문 입력 후 자동) | 사 42:3",IF(LEN(K272)&gt;28,LEFT(K272,28)&amp;"…",K272)&amp;" | 사 42:3")</f>
        <v/>
      </c>
      <c r="P272" s="15">
        <f>"#"&amp;SUBSTITUTE('안내'!$C$5," ","")&amp;" #성경구절 #말씀 #이사야 #위로"</f>
        <v/>
      </c>
      <c r="Q272" s="15" t="inlineStr">
        <is>
          <t>성경 본문: 개역한글판</t>
        </is>
      </c>
      <c r="R272" s="17">
        <f>'안내'!$C$6+INT((D272-1)/'안내'!$C$7)</f>
        <v/>
      </c>
      <c r="S272" s="14">
        <f>IF(MOD(D272-1,'안내'!$C$7)=0,'안내'!$C$8,'안내'!$C$10)</f>
        <v/>
      </c>
      <c r="T272" s="14">
        <f>CHOOSE(WEEKDAY(R272,2),"월","화","수","목","금","토","일")</f>
        <v/>
      </c>
      <c r="U272" s="14" t="inlineStr">
        <is>
          <t>미착수</t>
        </is>
      </c>
      <c r="V272" s="14" t="inlineStr">
        <is>
          <t>미착수</t>
        </is>
      </c>
      <c r="W272" s="18" t="n"/>
      <c r="X272" s="18" t="n"/>
      <c r="Y272" s="15" t="n"/>
      <c r="Z272" s="15" t="inlineStr"/>
      <c r="AA272" s="15" t="inlineStr">
        <is>
          <t>He won’t break a bruised reed. He won’t quench a dimly burning wick. He will faithfully bring justice.</t>
        </is>
      </c>
    </row>
    <row r="273">
      <c r="A273" s="13" t="n">
        <v>272</v>
      </c>
      <c r="B273" s="13" t="inlineStr">
        <is>
          <t>W0272</t>
        </is>
      </c>
      <c r="C273" s="13" t="inlineStr">
        <is>
          <t>구약</t>
        </is>
      </c>
      <c r="D273" s="13" t="n">
        <v>272</v>
      </c>
      <c r="E273" s="13">
        <f>C273&amp;"말씀 #"&amp;TEXT(D273,"000")</f>
        <v/>
      </c>
      <c r="F273" s="14" t="inlineStr">
        <is>
          <t>이사야</t>
        </is>
      </c>
      <c r="G273" s="14" t="inlineStr">
        <is>
          <t>43:1</t>
        </is>
      </c>
      <c r="H273" s="15" t="inlineStr">
        <is>
          <t>(사 43:1, 개역한글)</t>
        </is>
      </c>
      <c r="I273" s="14" t="inlineStr">
        <is>
          <t>은혜</t>
        </is>
      </c>
      <c r="J273" s="14" t="inlineStr">
        <is>
          <t>잔잔한 물</t>
        </is>
      </c>
      <c r="K273" s="16" t="inlineStr">
        <is>
          <t>야곱아 너를 창조하신 여호와께서 이제 말씀하시느니라 이스라엘아 너를 조성하신 자가 이제 말씀하시느니라 너는 두려워 말라 내가 너를 구속하였고 내가 너를 지명하여 불렀나니 너는 내 것이라</t>
        </is>
      </c>
      <c r="L273" s="14" t="inlineStr">
        <is>
          <t>자동 입력</t>
        </is>
      </c>
      <c r="M273" s="14">
        <f>LEN(K273)</f>
        <v/>
      </c>
      <c r="N273" s="14">
        <f>IF(M273=0,"-",ROUND(3+M273/'안내'!$C$12,0))</f>
        <v/>
      </c>
      <c r="O273" s="15">
        <f>IF(K273="","(본문 입력 후 자동) | 사 43:1",IF(LEN(K273)&gt;28,LEFT(K273,28)&amp;"…",K273)&amp;" | 사 43:1")</f>
        <v/>
      </c>
      <c r="P273" s="15">
        <f>"#"&amp;SUBSTITUTE('안내'!$C$5," ","")&amp;" #성경구절 #말씀 #이사야 #은혜"</f>
        <v/>
      </c>
      <c r="Q273" s="15" t="inlineStr">
        <is>
          <t>성경 본문: 개역한글판</t>
        </is>
      </c>
      <c r="R273" s="17">
        <f>'안내'!$C$6+INT((D273-1)/'안내'!$C$7)</f>
        <v/>
      </c>
      <c r="S273" s="14">
        <f>IF(MOD(D273-1,'안내'!$C$7)=0,'안내'!$C$8,'안내'!$C$10)</f>
        <v/>
      </c>
      <c r="T273" s="14">
        <f>CHOOSE(WEEKDAY(R273,2),"월","화","수","목","금","토","일")</f>
        <v/>
      </c>
      <c r="U273" s="14" t="inlineStr">
        <is>
          <t>미착수</t>
        </is>
      </c>
      <c r="V273" s="14" t="inlineStr">
        <is>
          <t>미착수</t>
        </is>
      </c>
      <c r="W273" s="18" t="n"/>
      <c r="X273" s="18" t="n"/>
      <c r="Y273" s="15" t="n"/>
      <c r="Z273" s="15" t="inlineStr"/>
      <c r="AA273" s="15" t="inlineStr">
        <is>
          <t>But now Yahweh who created you, Jacob, and he who formed you, Israel, says: “Don’t be afraid, for I have redeemed you. I have called you by your name. You are mine.</t>
        </is>
      </c>
    </row>
    <row r="274">
      <c r="A274" s="13" t="n">
        <v>273</v>
      </c>
      <c r="B274" s="13" t="inlineStr">
        <is>
          <t>W0273</t>
        </is>
      </c>
      <c r="C274" s="13" t="inlineStr">
        <is>
          <t>구약</t>
        </is>
      </c>
      <c r="D274" s="13" t="n">
        <v>273</v>
      </c>
      <c r="E274" s="13">
        <f>C274&amp;"말씀 #"&amp;TEXT(D274,"000")</f>
        <v/>
      </c>
      <c r="F274" s="14" t="inlineStr">
        <is>
          <t>이사야</t>
        </is>
      </c>
      <c r="G274" s="14" t="inlineStr">
        <is>
          <t>43:2</t>
        </is>
      </c>
      <c r="H274" s="15" t="inlineStr">
        <is>
          <t>(사 43:2, 개역한글)</t>
        </is>
      </c>
      <c r="I274" s="14" t="inlineStr">
        <is>
          <t>보호</t>
        </is>
      </c>
      <c r="J274" s="14" t="inlineStr">
        <is>
          <t>바위산·광야</t>
        </is>
      </c>
      <c r="K274" s="16" t="inlineStr">
        <is>
          <t>네가 물 가운데로 지날 때에 내가 함께할 것이라 강을 건널 때에 물이 너를 침몰치 못할 것이며 네가 불 가운데로 행할 때에 타지도 아니할 것이요 불꽃이 너를 사르지도 못하리니</t>
        </is>
      </c>
      <c r="L274" s="14" t="inlineStr">
        <is>
          <t>자동 입력</t>
        </is>
      </c>
      <c r="M274" s="14">
        <f>LEN(K274)</f>
        <v/>
      </c>
      <c r="N274" s="14">
        <f>IF(M274=0,"-",ROUND(3+M274/'안내'!$C$12,0))</f>
        <v/>
      </c>
      <c r="O274" s="15">
        <f>IF(K274="","(본문 입력 후 자동) | 사 43:2",IF(LEN(K274)&gt;28,LEFT(K274,28)&amp;"…",K274)&amp;" | 사 43:2")</f>
        <v/>
      </c>
      <c r="P274" s="15">
        <f>"#"&amp;SUBSTITUTE('안내'!$C$5," ","")&amp;" #성경구절 #말씀 #이사야 #보호"</f>
        <v/>
      </c>
      <c r="Q274" s="15" t="inlineStr">
        <is>
          <t>성경 본문: 개역한글판</t>
        </is>
      </c>
      <c r="R274" s="17">
        <f>'안내'!$C$6+INT((D274-1)/'안내'!$C$7)</f>
        <v/>
      </c>
      <c r="S274" s="14">
        <f>IF(MOD(D274-1,'안내'!$C$7)=0,'안내'!$C$8,'안내'!$C$10)</f>
        <v/>
      </c>
      <c r="T274" s="14">
        <f>CHOOSE(WEEKDAY(R274,2),"월","화","수","목","금","토","일")</f>
        <v/>
      </c>
      <c r="U274" s="14" t="inlineStr">
        <is>
          <t>미착수</t>
        </is>
      </c>
      <c r="V274" s="14" t="inlineStr">
        <is>
          <t>미착수</t>
        </is>
      </c>
      <c r="W274" s="18" t="n"/>
      <c r="X274" s="18" t="n"/>
      <c r="Y274" s="15" t="n"/>
      <c r="Z274" s="15" t="inlineStr"/>
      <c r="AA274" s="15" t="inlineStr">
        <is>
          <t>When you pass through the waters, I will be with you, and through the rivers, they will not overflow you. When you walk through the fire, you will not be burned, and flame will not scorch you.</t>
        </is>
      </c>
    </row>
    <row r="275">
      <c r="A275" s="13" t="n">
        <v>274</v>
      </c>
      <c r="B275" s="13" t="inlineStr">
        <is>
          <t>W0274</t>
        </is>
      </c>
      <c r="C275" s="13" t="inlineStr">
        <is>
          <t>구약</t>
        </is>
      </c>
      <c r="D275" s="13" t="n">
        <v>274</v>
      </c>
      <c r="E275" s="13">
        <f>C275&amp;"말씀 #"&amp;TEXT(D275,"000")</f>
        <v/>
      </c>
      <c r="F275" s="14" t="inlineStr">
        <is>
          <t>이사야</t>
        </is>
      </c>
      <c r="G275" s="14" t="inlineStr">
        <is>
          <t>43:19</t>
        </is>
      </c>
      <c r="H275" s="15" t="inlineStr">
        <is>
          <t>(사 43:19, 개역한글)</t>
        </is>
      </c>
      <c r="I275" s="14" t="inlineStr">
        <is>
          <t>소망</t>
        </is>
      </c>
      <c r="J275" s="14" t="inlineStr">
        <is>
          <t>새벽빛</t>
        </is>
      </c>
      <c r="K275" s="16" t="inlineStr">
        <is>
          <t>보라 내가 새 일을 행하리니 이제 나타낼 것이라 너희가 그것을 알지 못하겠느냐 정녕히 내가 광야에 길과 사막에 강을 내리니</t>
        </is>
      </c>
      <c r="L275" s="14" t="inlineStr">
        <is>
          <t>자동 입력 · 대조 필요</t>
        </is>
      </c>
      <c r="M275" s="14">
        <f>LEN(K275)</f>
        <v/>
      </c>
      <c r="N275" s="14">
        <f>IF(M275=0,"-",ROUND(3+M275/'안내'!$C$12,0))</f>
        <v/>
      </c>
      <c r="O275" s="15">
        <f>IF(K275="","(본문 입력 후 자동) | 사 43:19",IF(LEN(K275)&gt;28,LEFT(K275,28)&amp;"…",K275)&amp;" | 사 43:19")</f>
        <v/>
      </c>
      <c r="P275" s="15">
        <f>"#"&amp;SUBSTITUTE('안내'!$C$5," ","")&amp;" #성경구절 #말씀 #이사야 #소망"</f>
        <v/>
      </c>
      <c r="Q275" s="15" t="inlineStr">
        <is>
          <t>성경 본문: 개역한글판</t>
        </is>
      </c>
      <c r="R275" s="17">
        <f>'안내'!$C$6+INT((D275-1)/'안내'!$C$7)</f>
        <v/>
      </c>
      <c r="S275" s="14">
        <f>IF(MOD(D275-1,'안내'!$C$7)=0,'안내'!$C$8,'안내'!$C$10)</f>
        <v/>
      </c>
      <c r="T275" s="14">
        <f>CHOOSE(WEEKDAY(R275,2),"월","화","수","목","금","토","일")</f>
        <v/>
      </c>
      <c r="U275" s="14" t="inlineStr">
        <is>
          <t>미착수</t>
        </is>
      </c>
      <c r="V275" s="14" t="inlineStr">
        <is>
          <t>미착수</t>
        </is>
      </c>
      <c r="W275" s="18" t="n"/>
      <c r="X275" s="18" t="n"/>
      <c r="Y275" s="15" t="n"/>
      <c r="Z275" s="15" t="inlineStr">
        <is>
          <t>줄바꿈 띄어쓰기 확인</t>
        </is>
      </c>
      <c r="AA275" s="15" t="inlineStr">
        <is>
          <t>Behold, I will do a new thing. It springs out now. Don’t you know it? I will even make a way in the wilderness, and rivers in the desert.</t>
        </is>
      </c>
    </row>
    <row r="276">
      <c r="A276" s="13" t="n">
        <v>275</v>
      </c>
      <c r="B276" s="13" t="inlineStr">
        <is>
          <t>W0275</t>
        </is>
      </c>
      <c r="C276" s="13" t="inlineStr">
        <is>
          <t>구약</t>
        </is>
      </c>
      <c r="D276" s="13" t="n">
        <v>275</v>
      </c>
      <c r="E276" s="13">
        <f>C276&amp;"말씀 #"&amp;TEXT(D276,"000")</f>
        <v/>
      </c>
      <c r="F276" s="14" t="inlineStr">
        <is>
          <t>이사야</t>
        </is>
      </c>
      <c r="G276" s="14" t="inlineStr">
        <is>
          <t>44:22</t>
        </is>
      </c>
      <c r="H276" s="15" t="inlineStr">
        <is>
          <t>(사 44:22, 개역한글)</t>
        </is>
      </c>
      <c r="I276" s="14" t="inlineStr">
        <is>
          <t>용서</t>
        </is>
      </c>
      <c r="J276" s="14" t="inlineStr">
        <is>
          <t>잔잔한 물</t>
        </is>
      </c>
      <c r="K276" s="16" t="inlineStr">
        <is>
          <t>내가 네 허물을 빽빽한 구름의 사라짐같이, 네 죄를 안개의 사라짐같이 도말하였으니 너는 내게로 돌아오라 내가 너를 구속하였음이니라</t>
        </is>
      </c>
      <c r="L276" s="14" t="inlineStr">
        <is>
          <t>자동 입력</t>
        </is>
      </c>
      <c r="M276" s="14">
        <f>LEN(K276)</f>
        <v/>
      </c>
      <c r="N276" s="14">
        <f>IF(M276=0,"-",ROUND(3+M276/'안내'!$C$12,0))</f>
        <v/>
      </c>
      <c r="O276" s="15">
        <f>IF(K276="","(본문 입력 후 자동) | 사 44:22",IF(LEN(K276)&gt;28,LEFT(K276,28)&amp;"…",K276)&amp;" | 사 44:22")</f>
        <v/>
      </c>
      <c r="P276" s="15">
        <f>"#"&amp;SUBSTITUTE('안내'!$C$5," ","")&amp;" #성경구절 #말씀 #이사야 #용서"</f>
        <v/>
      </c>
      <c r="Q276" s="15" t="inlineStr">
        <is>
          <t>성경 본문: 개역한글판</t>
        </is>
      </c>
      <c r="R276" s="17">
        <f>'안내'!$C$6+INT((D276-1)/'안내'!$C$7)</f>
        <v/>
      </c>
      <c r="S276" s="14">
        <f>IF(MOD(D276-1,'안내'!$C$7)=0,'안내'!$C$8,'안내'!$C$10)</f>
        <v/>
      </c>
      <c r="T276" s="14">
        <f>CHOOSE(WEEKDAY(R276,2),"월","화","수","목","금","토","일")</f>
        <v/>
      </c>
      <c r="U276" s="14" t="inlineStr">
        <is>
          <t>미착수</t>
        </is>
      </c>
      <c r="V276" s="14" t="inlineStr">
        <is>
          <t>미착수</t>
        </is>
      </c>
      <c r="W276" s="18" t="n"/>
      <c r="X276" s="18" t="n"/>
      <c r="Y276" s="15" t="n"/>
      <c r="Z276" s="15" t="inlineStr"/>
      <c r="AA276" s="15" t="inlineStr">
        <is>
          <t>I have blotted out, as a thick cloud, your transgressions, and, as a cloud, your sins. Return to me, for I have redeemed you.</t>
        </is>
      </c>
    </row>
    <row r="277">
      <c r="A277" s="13" t="n">
        <v>276</v>
      </c>
      <c r="B277" s="13" t="inlineStr">
        <is>
          <t>W0276</t>
        </is>
      </c>
      <c r="C277" s="13" t="inlineStr">
        <is>
          <t>구약</t>
        </is>
      </c>
      <c r="D277" s="13" t="n">
        <v>276</v>
      </c>
      <c r="E277" s="13">
        <f>C277&amp;"말씀 #"&amp;TEXT(D277,"000")</f>
        <v/>
      </c>
      <c r="F277" s="14" t="inlineStr">
        <is>
          <t>이사야</t>
        </is>
      </c>
      <c r="G277" s="14" t="inlineStr">
        <is>
          <t>45:22</t>
        </is>
      </c>
      <c r="H277" s="15" t="inlineStr">
        <is>
          <t>(사 45:22, 개역한글)</t>
        </is>
      </c>
      <c r="I277" s="14" t="inlineStr">
        <is>
          <t>구원</t>
        </is>
      </c>
      <c r="J277" s="14" t="inlineStr">
        <is>
          <t>제단·십자가</t>
        </is>
      </c>
      <c r="K277" s="16" t="inlineStr">
        <is>
          <t>땅 끝의 모든 백성아 나를 앙망하라 그리하면 구원을 얻으리라 나는 하나님이라 다른 이가 없음이니라</t>
        </is>
      </c>
      <c r="L277" s="14" t="inlineStr">
        <is>
          <t>자동 입력</t>
        </is>
      </c>
      <c r="M277" s="14">
        <f>LEN(K277)</f>
        <v/>
      </c>
      <c r="N277" s="14">
        <f>IF(M277=0,"-",ROUND(3+M277/'안내'!$C$12,0))</f>
        <v/>
      </c>
      <c r="O277" s="15">
        <f>IF(K277="","(본문 입력 후 자동) | 사 45:22",IF(LEN(K277)&gt;28,LEFT(K277,28)&amp;"…",K277)&amp;" | 사 45:22")</f>
        <v/>
      </c>
      <c r="P277" s="15">
        <f>"#"&amp;SUBSTITUTE('안내'!$C$5," ","")&amp;" #성경구절 #말씀 #이사야 #구원"</f>
        <v/>
      </c>
      <c r="Q277" s="15" t="inlineStr">
        <is>
          <t>성경 본문: 개역한글판</t>
        </is>
      </c>
      <c r="R277" s="17">
        <f>'안내'!$C$6+INT((D277-1)/'안내'!$C$7)</f>
        <v/>
      </c>
      <c r="S277" s="14">
        <f>IF(MOD(D277-1,'안내'!$C$7)=0,'안내'!$C$8,'안내'!$C$10)</f>
        <v/>
      </c>
      <c r="T277" s="14">
        <f>CHOOSE(WEEKDAY(R277,2),"월","화","수","목","금","토","일")</f>
        <v/>
      </c>
      <c r="U277" s="14" t="inlineStr">
        <is>
          <t>미착수</t>
        </is>
      </c>
      <c r="V277" s="14" t="inlineStr">
        <is>
          <t>미착수</t>
        </is>
      </c>
      <c r="W277" s="18" t="n"/>
      <c r="X277" s="18" t="n"/>
      <c r="Y277" s="15" t="n"/>
      <c r="Z277" s="15" t="inlineStr"/>
      <c r="AA277" s="15" t="inlineStr">
        <is>
          <t>“Look to me, and be saved, all the ends of the earth; for I am God, and there is no other.</t>
        </is>
      </c>
    </row>
    <row r="278">
      <c r="A278" s="13" t="n">
        <v>277</v>
      </c>
      <c r="B278" s="13" t="inlineStr">
        <is>
          <t>W0277</t>
        </is>
      </c>
      <c r="C278" s="13" t="inlineStr">
        <is>
          <t>구약</t>
        </is>
      </c>
      <c r="D278" s="13" t="n">
        <v>277</v>
      </c>
      <c r="E278" s="13">
        <f>C278&amp;"말씀 #"&amp;TEXT(D278,"000")</f>
        <v/>
      </c>
      <c r="F278" s="14" t="inlineStr">
        <is>
          <t>이사야</t>
        </is>
      </c>
      <c r="G278" s="14" t="inlineStr">
        <is>
          <t>46:4</t>
        </is>
      </c>
      <c r="H278" s="15" t="inlineStr">
        <is>
          <t>(사 46:4, 개역한글)</t>
        </is>
      </c>
      <c r="I278" s="14" t="inlineStr">
        <is>
          <t>보호</t>
        </is>
      </c>
      <c r="J278" s="14" t="inlineStr">
        <is>
          <t>바위산·광야</t>
        </is>
      </c>
      <c r="K278" s="16" t="inlineStr">
        <is>
          <t>너희가 노년에 이르기까지 내가 그리하겠고 백발이 되기까지 내가 너희를 품을 것이라 내가 지었은즉 안을 것이요 품을 것이요 구하여 내리라</t>
        </is>
      </c>
      <c r="L278" s="14" t="inlineStr">
        <is>
          <t>자동 입력 · 대조 필요</t>
        </is>
      </c>
      <c r="M278" s="14">
        <f>LEN(K278)</f>
        <v/>
      </c>
      <c r="N278" s="14">
        <f>IF(M278=0,"-",ROUND(3+M278/'안내'!$C$12,0))</f>
        <v/>
      </c>
      <c r="O278" s="15">
        <f>IF(K278="","(본문 입력 후 자동) | 사 46:4",IF(LEN(K278)&gt;28,LEFT(K278,28)&amp;"…",K278)&amp;" | 사 46:4")</f>
        <v/>
      </c>
      <c r="P278" s="15">
        <f>"#"&amp;SUBSTITUTE('안내'!$C$5," ","")&amp;" #성경구절 #말씀 #이사야 #보호"</f>
        <v/>
      </c>
      <c r="Q278" s="15" t="inlineStr">
        <is>
          <t>성경 본문: 개역한글판</t>
        </is>
      </c>
      <c r="R278" s="17">
        <f>'안내'!$C$6+INT((D278-1)/'안내'!$C$7)</f>
        <v/>
      </c>
      <c r="S278" s="14">
        <f>IF(MOD(D278-1,'안내'!$C$7)=0,'안내'!$C$8,'안내'!$C$10)</f>
        <v/>
      </c>
      <c r="T278" s="14">
        <f>CHOOSE(WEEKDAY(R278,2),"월","화","수","목","금","토","일")</f>
        <v/>
      </c>
      <c r="U278" s="14" t="inlineStr">
        <is>
          <t>미착수</t>
        </is>
      </c>
      <c r="V278" s="14" t="inlineStr">
        <is>
          <t>미착수</t>
        </is>
      </c>
      <c r="W278" s="18" t="n"/>
      <c r="X278" s="18" t="n"/>
      <c r="Y278" s="15" t="n"/>
      <c r="Z278" s="15" t="inlineStr">
        <is>
          <t>줄바꿈 띄어쓰기 확인</t>
        </is>
      </c>
      <c r="AA278" s="15" t="inlineStr">
        <is>
          <t>Even to old age I am he, and even to gray hairs I will carry you. I have made, and I will bear. Yes, I will carry, and will deliver.</t>
        </is>
      </c>
    </row>
    <row r="279">
      <c r="A279" s="13" t="n">
        <v>278</v>
      </c>
      <c r="B279" s="13" t="inlineStr">
        <is>
          <t>W0278</t>
        </is>
      </c>
      <c r="C279" s="13" t="inlineStr">
        <is>
          <t>구약</t>
        </is>
      </c>
      <c r="D279" s="13" t="n">
        <v>278</v>
      </c>
      <c r="E279" s="13">
        <f>C279&amp;"말씀 #"&amp;TEXT(D279,"000")</f>
        <v/>
      </c>
      <c r="F279" s="14" t="inlineStr">
        <is>
          <t>이사야</t>
        </is>
      </c>
      <c r="G279" s="14" t="inlineStr">
        <is>
          <t>49:15</t>
        </is>
      </c>
      <c r="H279" s="15" t="inlineStr">
        <is>
          <t>(사 49:15, 개역한글)</t>
        </is>
      </c>
      <c r="I279" s="14" t="inlineStr">
        <is>
          <t>사랑</t>
        </is>
      </c>
      <c r="J279" s="14" t="inlineStr">
        <is>
          <t>창가·식탁</t>
        </is>
      </c>
      <c r="K279" s="16" t="inlineStr">
        <is>
          <t>여인이 어찌 그 젖 먹는 자식을 잊겠으며 자기 태에서 난 아들을 긍휼히 여기지 않겠느냐 그들은 혹시 잊을지라도 나는 너를 잊지 아니할 것이라</t>
        </is>
      </c>
      <c r="L279" s="14" t="inlineStr">
        <is>
          <t>자동 입력 · 대조 필요</t>
        </is>
      </c>
      <c r="M279" s="14">
        <f>LEN(K279)</f>
        <v/>
      </c>
      <c r="N279" s="14">
        <f>IF(M279=0,"-",ROUND(3+M279/'안내'!$C$12,0))</f>
        <v/>
      </c>
      <c r="O279" s="15">
        <f>IF(K279="","(본문 입력 후 자동) | 사 49:15",IF(LEN(K279)&gt;28,LEFT(K279,28)&amp;"…",K279)&amp;" | 사 49:15")</f>
        <v/>
      </c>
      <c r="P279" s="15">
        <f>"#"&amp;SUBSTITUTE('안내'!$C$5," ","")&amp;" #성경구절 #말씀 #이사야 #사랑"</f>
        <v/>
      </c>
      <c r="Q279" s="15" t="inlineStr">
        <is>
          <t>성경 본문: 개역한글판</t>
        </is>
      </c>
      <c r="R279" s="17">
        <f>'안내'!$C$6+INT((D279-1)/'안내'!$C$7)</f>
        <v/>
      </c>
      <c r="S279" s="14">
        <f>IF(MOD(D279-1,'안내'!$C$7)=0,'안내'!$C$8,'안내'!$C$10)</f>
        <v/>
      </c>
      <c r="T279" s="14">
        <f>CHOOSE(WEEKDAY(R279,2),"월","화","수","목","금","토","일")</f>
        <v/>
      </c>
      <c r="U279" s="14" t="inlineStr">
        <is>
          <t>미착수</t>
        </is>
      </c>
      <c r="V279" s="14" t="inlineStr">
        <is>
          <t>미착수</t>
        </is>
      </c>
      <c r="W279" s="18" t="n"/>
      <c r="X279" s="18" t="n"/>
      <c r="Y279" s="15" t="n"/>
      <c r="Z279" s="15" t="inlineStr">
        <is>
          <t>줄바꿈 띄어쓰기 확인</t>
        </is>
      </c>
      <c r="AA279" s="15" t="inlineStr">
        <is>
          <t>“Can a woman forget her nursing child, that she should not have compassion on the son of her womb? Yes, these may forget, yet I will not forget you!</t>
        </is>
      </c>
    </row>
    <row r="280">
      <c r="A280" s="13" t="n">
        <v>279</v>
      </c>
      <c r="B280" s="13" t="inlineStr">
        <is>
          <t>W0279</t>
        </is>
      </c>
      <c r="C280" s="13" t="inlineStr">
        <is>
          <t>구약</t>
        </is>
      </c>
      <c r="D280" s="13" t="n">
        <v>279</v>
      </c>
      <c r="E280" s="13">
        <f>C280&amp;"말씀 #"&amp;TEXT(D280,"000")</f>
        <v/>
      </c>
      <c r="F280" s="14" t="inlineStr">
        <is>
          <t>이사야</t>
        </is>
      </c>
      <c r="G280" s="14" t="inlineStr">
        <is>
          <t>49:16</t>
        </is>
      </c>
      <c r="H280" s="15" t="inlineStr">
        <is>
          <t>(사 49:16, 개역한글)</t>
        </is>
      </c>
      <c r="I280" s="14" t="inlineStr">
        <is>
          <t>사랑</t>
        </is>
      </c>
      <c r="J280" s="14" t="inlineStr">
        <is>
          <t>창가·식탁</t>
        </is>
      </c>
      <c r="K280" s="16" t="inlineStr">
        <is>
          <t>내가 너를 내 손바닥에 새겼고 너의 성벽이 항상 내 앞에 있나니</t>
        </is>
      </c>
      <c r="L280" s="14" t="inlineStr">
        <is>
          <t>자동 입력</t>
        </is>
      </c>
      <c r="M280" s="14">
        <f>LEN(K280)</f>
        <v/>
      </c>
      <c r="N280" s="14">
        <f>IF(M280=0,"-",ROUND(3+M280/'안내'!$C$12,0))</f>
        <v/>
      </c>
      <c r="O280" s="15">
        <f>IF(K280="","(본문 입력 후 자동) | 사 49:16",IF(LEN(K280)&gt;28,LEFT(K280,28)&amp;"…",K280)&amp;" | 사 49:16")</f>
        <v/>
      </c>
      <c r="P280" s="15">
        <f>"#"&amp;SUBSTITUTE('안내'!$C$5," ","")&amp;" #성경구절 #말씀 #이사야 #사랑"</f>
        <v/>
      </c>
      <c r="Q280" s="15" t="inlineStr">
        <is>
          <t>성경 본문: 개역한글판</t>
        </is>
      </c>
      <c r="R280" s="17">
        <f>'안내'!$C$6+INT((D280-1)/'안내'!$C$7)</f>
        <v/>
      </c>
      <c r="S280" s="14">
        <f>IF(MOD(D280-1,'안내'!$C$7)=0,'안내'!$C$8,'안내'!$C$10)</f>
        <v/>
      </c>
      <c r="T280" s="14">
        <f>CHOOSE(WEEKDAY(R280,2),"월","화","수","목","금","토","일")</f>
        <v/>
      </c>
      <c r="U280" s="14" t="inlineStr">
        <is>
          <t>미착수</t>
        </is>
      </c>
      <c r="V280" s="14" t="inlineStr">
        <is>
          <t>미착수</t>
        </is>
      </c>
      <c r="W280" s="18" t="n"/>
      <c r="X280" s="18" t="n"/>
      <c r="Y280" s="15" t="n"/>
      <c r="Z280" s="15" t="inlineStr"/>
      <c r="AA280" s="15" t="inlineStr">
        <is>
          <t>Behold, I have engraved you on the palms of my hands. Your walls are continually before me.</t>
        </is>
      </c>
    </row>
    <row r="281">
      <c r="A281" s="13" t="n">
        <v>280</v>
      </c>
      <c r="B281" s="13" t="inlineStr">
        <is>
          <t>W0280</t>
        </is>
      </c>
      <c r="C281" s="13" t="inlineStr">
        <is>
          <t>구약</t>
        </is>
      </c>
      <c r="D281" s="13" t="n">
        <v>280</v>
      </c>
      <c r="E281" s="13">
        <f>C281&amp;"말씀 #"&amp;TEXT(D281,"000")</f>
        <v/>
      </c>
      <c r="F281" s="14" t="inlineStr">
        <is>
          <t>이사야</t>
        </is>
      </c>
      <c r="G281" s="14" t="inlineStr">
        <is>
          <t>52:7</t>
        </is>
      </c>
      <c r="H281" s="15" t="inlineStr">
        <is>
          <t>(사 52:7, 개역한글)</t>
        </is>
      </c>
      <c r="I281" s="14" t="inlineStr">
        <is>
          <t>복음</t>
        </is>
      </c>
      <c r="J281" s="14" t="inlineStr">
        <is>
          <t>제단·십자가</t>
        </is>
      </c>
      <c r="K281" s="16" t="inlineStr">
        <is>
          <t>좋은 소식을 가져오며 평화를 공포하며 복된 좋은 소식을 가져오며 구원을 공포하며 시온을 향하여 이르기를 네 하나님이 통치하신다 하는 자의 산을 넘는 발이 어찌 그리 아름다운고</t>
        </is>
      </c>
      <c r="L281" s="14" t="inlineStr">
        <is>
          <t>자동 입력</t>
        </is>
      </c>
      <c r="M281" s="14">
        <f>LEN(K281)</f>
        <v/>
      </c>
      <c r="N281" s="14">
        <f>IF(M281=0,"-",ROUND(3+M281/'안내'!$C$12,0))</f>
        <v/>
      </c>
      <c r="O281" s="15">
        <f>IF(K281="","(본문 입력 후 자동) | 사 52:7",IF(LEN(K281)&gt;28,LEFT(K281,28)&amp;"…",K281)&amp;" | 사 52:7")</f>
        <v/>
      </c>
      <c r="P281" s="15">
        <f>"#"&amp;SUBSTITUTE('안내'!$C$5," ","")&amp;" #성경구절 #말씀 #이사야 #복음"</f>
        <v/>
      </c>
      <c r="Q281" s="15" t="inlineStr">
        <is>
          <t>성경 본문: 개역한글판</t>
        </is>
      </c>
      <c r="R281" s="17">
        <f>'안내'!$C$6+INT((D281-1)/'안내'!$C$7)</f>
        <v/>
      </c>
      <c r="S281" s="14">
        <f>IF(MOD(D281-1,'안내'!$C$7)=0,'안내'!$C$8,'안내'!$C$10)</f>
        <v/>
      </c>
      <c r="T281" s="14">
        <f>CHOOSE(WEEKDAY(R281,2),"월","화","수","목","금","토","일")</f>
        <v/>
      </c>
      <c r="U281" s="14" t="inlineStr">
        <is>
          <t>미착수</t>
        </is>
      </c>
      <c r="V281" s="14" t="inlineStr">
        <is>
          <t>미착수</t>
        </is>
      </c>
      <c r="W281" s="18" t="n"/>
      <c r="X281" s="18" t="n"/>
      <c r="Y281" s="15" t="n"/>
      <c r="Z281" s="15" t="inlineStr"/>
      <c r="AA281" s="15" t="inlineStr">
        <is>
          <t>How beautiful on the mountains are the feet of him who brings good news, who publishes peace, who brings good news, who proclaims salvation, who says to Zion, “Your God reigns!”</t>
        </is>
      </c>
    </row>
    <row r="282">
      <c r="A282" s="13" t="n">
        <v>281</v>
      </c>
      <c r="B282" s="13" t="inlineStr">
        <is>
          <t>W0281</t>
        </is>
      </c>
      <c r="C282" s="13" t="inlineStr">
        <is>
          <t>구약</t>
        </is>
      </c>
      <c r="D282" s="13" t="n">
        <v>281</v>
      </c>
      <c r="E282" s="13">
        <f>C282&amp;"말씀 #"&amp;TEXT(D282,"000")</f>
        <v/>
      </c>
      <c r="F282" s="14" t="inlineStr">
        <is>
          <t>이사야</t>
        </is>
      </c>
      <c r="G282" s="14" t="inlineStr">
        <is>
          <t>53:5</t>
        </is>
      </c>
      <c r="H282" s="15" t="inlineStr">
        <is>
          <t>(사 53:5, 개역한글)</t>
        </is>
      </c>
      <c r="I282" s="14" t="inlineStr">
        <is>
          <t>구원</t>
        </is>
      </c>
      <c r="J282" s="14" t="inlineStr">
        <is>
          <t>제단·십자가</t>
        </is>
      </c>
      <c r="K282" s="16" t="inlineStr">
        <is>
          <t>그가 찔림은 우리의 허물을 인함이요 그가 상함은 우리의 죄악을 인함이라 그가 징계를 받음으로 우리가 평화를 누리고 그가 채찍에 맞음으로 우리가 나음을 입었도다</t>
        </is>
      </c>
      <c r="L282" s="14" t="inlineStr">
        <is>
          <t>자동 입력</t>
        </is>
      </c>
      <c r="M282" s="14">
        <f>LEN(K282)</f>
        <v/>
      </c>
      <c r="N282" s="14">
        <f>IF(M282=0,"-",ROUND(3+M282/'안내'!$C$12,0))</f>
        <v/>
      </c>
      <c r="O282" s="15">
        <f>IF(K282="","(본문 입력 후 자동) | 사 53:5",IF(LEN(K282)&gt;28,LEFT(K282,28)&amp;"…",K282)&amp;" | 사 53:5")</f>
        <v/>
      </c>
      <c r="P282" s="15">
        <f>"#"&amp;SUBSTITUTE('안내'!$C$5," ","")&amp;" #성경구절 #말씀 #이사야 #구원"</f>
        <v/>
      </c>
      <c r="Q282" s="19" t="inlineStr">
        <is>
          <t>그리스도께서 우리 죄를 대신 지고 고난받으셨다는 예언입니다.
성경 본문: 개역한글판</t>
        </is>
      </c>
      <c r="R282" s="17">
        <f>'안내'!$C$6+INT((D282-1)/'안내'!$C$7)</f>
        <v/>
      </c>
      <c r="S282" s="14">
        <f>IF(MOD(D282-1,'안내'!$C$7)=0,'안내'!$C$8,'안내'!$C$10)</f>
        <v/>
      </c>
      <c r="T282" s="14">
        <f>CHOOSE(WEEKDAY(R282,2),"월","화","수","목","금","토","일")</f>
        <v/>
      </c>
      <c r="U282" s="14" t="inlineStr">
        <is>
          <t>미착수</t>
        </is>
      </c>
      <c r="V282" s="14" t="inlineStr">
        <is>
          <t>미착수</t>
        </is>
      </c>
      <c r="W282" s="18" t="n"/>
      <c r="X282" s="18" t="n"/>
      <c r="Y282" s="15" t="n"/>
      <c r="Z282" s="15" t="inlineStr"/>
      <c r="AA282" s="15" t="inlineStr">
        <is>
          <t>But he was pierced for our transgressions. He was crushed for our iniquities. The punishment that brought our peace was on him; and by his wounds we are healed.</t>
        </is>
      </c>
    </row>
    <row r="283">
      <c r="A283" s="13" t="n">
        <v>282</v>
      </c>
      <c r="B283" s="13" t="inlineStr">
        <is>
          <t>W0282</t>
        </is>
      </c>
      <c r="C283" s="13" t="inlineStr">
        <is>
          <t>구약</t>
        </is>
      </c>
      <c r="D283" s="13" t="n">
        <v>282</v>
      </c>
      <c r="E283" s="13">
        <f>C283&amp;"말씀 #"&amp;TEXT(D283,"000")</f>
        <v/>
      </c>
      <c r="F283" s="14" t="inlineStr">
        <is>
          <t>이사야</t>
        </is>
      </c>
      <c r="G283" s="14" t="inlineStr">
        <is>
          <t>53:6</t>
        </is>
      </c>
      <c r="H283" s="15" t="inlineStr">
        <is>
          <t>(사 53:6, 개역한글)</t>
        </is>
      </c>
      <c r="I283" s="14" t="inlineStr">
        <is>
          <t>구원</t>
        </is>
      </c>
      <c r="J283" s="14" t="inlineStr">
        <is>
          <t>제단·십자가</t>
        </is>
      </c>
      <c r="K283" s="16" t="inlineStr">
        <is>
          <t>우리는 다 양 같아서 그릇 행하며 각기 제 길로 갔거늘 여호와께서는 우리 무리의 죄악을 그에게 담당시키셨도다</t>
        </is>
      </c>
      <c r="L283" s="14" t="inlineStr">
        <is>
          <t>자동 입력 · 대조 필요</t>
        </is>
      </c>
      <c r="M283" s="14">
        <f>LEN(K283)</f>
        <v/>
      </c>
      <c r="N283" s="14">
        <f>IF(M283=0,"-",ROUND(3+M283/'안내'!$C$12,0))</f>
        <v/>
      </c>
      <c r="O283" s="15">
        <f>IF(K283="","(본문 입력 후 자동) | 사 53:6",IF(LEN(K283)&gt;28,LEFT(K283,28)&amp;"…",K283)&amp;" | 사 53:6")</f>
        <v/>
      </c>
      <c r="P283" s="15">
        <f>"#"&amp;SUBSTITUTE('안내'!$C$5," ","")&amp;" #성경구절 #말씀 #이사야 #구원"</f>
        <v/>
      </c>
      <c r="Q283" s="15" t="inlineStr">
        <is>
          <t>성경 본문: 개역한글판</t>
        </is>
      </c>
      <c r="R283" s="17">
        <f>'안내'!$C$6+INT((D283-1)/'안내'!$C$7)</f>
        <v/>
      </c>
      <c r="S283" s="14">
        <f>IF(MOD(D283-1,'안내'!$C$7)=0,'안내'!$C$8,'안내'!$C$10)</f>
        <v/>
      </c>
      <c r="T283" s="14">
        <f>CHOOSE(WEEKDAY(R283,2),"월","화","수","목","금","토","일")</f>
        <v/>
      </c>
      <c r="U283" s="14" t="inlineStr">
        <is>
          <t>미착수</t>
        </is>
      </c>
      <c r="V283" s="14" t="inlineStr">
        <is>
          <t>미착수</t>
        </is>
      </c>
      <c r="W283" s="18" t="n"/>
      <c r="X283" s="18" t="n"/>
      <c r="Y283" s="15" t="n"/>
      <c r="Z283" s="15" t="inlineStr">
        <is>
          <t>줄바꿈 띄어쓰기 확인</t>
        </is>
      </c>
      <c r="AA283" s="15" t="inlineStr">
        <is>
          <t>All we like sheep have gone astray. Everyone has turned to his own way; and Yahweh has laid on him the iniq- uity of us all.</t>
        </is>
      </c>
    </row>
    <row r="284">
      <c r="A284" s="13" t="n">
        <v>283</v>
      </c>
      <c r="B284" s="13" t="inlineStr">
        <is>
          <t>W0283</t>
        </is>
      </c>
      <c r="C284" s="13" t="inlineStr">
        <is>
          <t>구약</t>
        </is>
      </c>
      <c r="D284" s="13" t="n">
        <v>283</v>
      </c>
      <c r="E284" s="13">
        <f>C284&amp;"말씀 #"&amp;TEXT(D284,"000")</f>
        <v/>
      </c>
      <c r="F284" s="14" t="inlineStr">
        <is>
          <t>이사야</t>
        </is>
      </c>
      <c r="G284" s="14" t="inlineStr">
        <is>
          <t>55:1</t>
        </is>
      </c>
      <c r="H284" s="15" t="inlineStr">
        <is>
          <t>(사 55:1, 개역한글)</t>
        </is>
      </c>
      <c r="I284" s="14" t="inlineStr">
        <is>
          <t>은혜</t>
        </is>
      </c>
      <c r="J284" s="14" t="inlineStr">
        <is>
          <t>잔잔한 물</t>
        </is>
      </c>
      <c r="K284" s="16" t="inlineStr">
        <is>
          <t>너희 목마른 자들아 물로 나아오라 돈 없는 자도 오라 너희는 와서 사 먹되 돈 없이 값없이 와서 포도주와 젖을 사라</t>
        </is>
      </c>
      <c r="L284" s="14" t="inlineStr">
        <is>
          <t>자동 입력 · 대조 필요</t>
        </is>
      </c>
      <c r="M284" s="14">
        <f>LEN(K284)</f>
        <v/>
      </c>
      <c r="N284" s="14">
        <f>IF(M284=0,"-",ROUND(3+M284/'안내'!$C$12,0))</f>
        <v/>
      </c>
      <c r="O284" s="15">
        <f>IF(K284="","(본문 입력 후 자동) | 사 55:1",IF(LEN(K284)&gt;28,LEFT(K284,28)&amp;"…",K284)&amp;" | 사 55:1")</f>
        <v/>
      </c>
      <c r="P284" s="15">
        <f>"#"&amp;SUBSTITUTE('안내'!$C$5," ","")&amp;" #성경구절 #말씀 #이사야 #은혜"</f>
        <v/>
      </c>
      <c r="Q284" s="15" t="inlineStr">
        <is>
          <t>성경 본문: 개역한글판</t>
        </is>
      </c>
      <c r="R284" s="17">
        <f>'안내'!$C$6+INT((D284-1)/'안내'!$C$7)</f>
        <v/>
      </c>
      <c r="S284" s="14">
        <f>IF(MOD(D284-1,'안내'!$C$7)=0,'안내'!$C$8,'안내'!$C$10)</f>
        <v/>
      </c>
      <c r="T284" s="14">
        <f>CHOOSE(WEEKDAY(R284,2),"월","화","수","목","금","토","일")</f>
        <v/>
      </c>
      <c r="U284" s="14" t="inlineStr">
        <is>
          <t>미착수</t>
        </is>
      </c>
      <c r="V284" s="14" t="inlineStr">
        <is>
          <t>미착수</t>
        </is>
      </c>
      <c r="W284" s="18" t="n"/>
      <c r="X284" s="18" t="n"/>
      <c r="Y284" s="15" t="n"/>
      <c r="Z284" s="15" t="inlineStr">
        <is>
          <t>줄바꿈 띄어쓰기 확인</t>
        </is>
      </c>
      <c r="AA284" s="15" t="inlineStr">
        <is>
          <t>“Hey! Come, everyone who thirsts, to the waters! Come, he who has no money, buy, and eat! Yes, come, buy wine and milk without money and without price.</t>
        </is>
      </c>
    </row>
    <row r="285">
      <c r="A285" s="13" t="n">
        <v>284</v>
      </c>
      <c r="B285" s="13" t="inlineStr">
        <is>
          <t>W0284</t>
        </is>
      </c>
      <c r="C285" s="13" t="inlineStr">
        <is>
          <t>구약</t>
        </is>
      </c>
      <c r="D285" s="13" t="n">
        <v>284</v>
      </c>
      <c r="E285" s="13">
        <f>C285&amp;"말씀 #"&amp;TEXT(D285,"000")</f>
        <v/>
      </c>
      <c r="F285" s="14" t="inlineStr">
        <is>
          <t>이사야</t>
        </is>
      </c>
      <c r="G285" s="14" t="inlineStr">
        <is>
          <t>55:6</t>
        </is>
      </c>
      <c r="H285" s="15" t="inlineStr">
        <is>
          <t>(사 55:6, 개역한글)</t>
        </is>
      </c>
      <c r="I285" s="14" t="inlineStr">
        <is>
          <t>회개</t>
        </is>
      </c>
      <c r="J285" s="14" t="inlineStr">
        <is>
          <t>제단·십자가</t>
        </is>
      </c>
      <c r="K285" s="16" t="inlineStr">
        <is>
          <t>너희는 여호와를 만날 만한 때에 찾으라 가까이 계실 때에 그를 부르라</t>
        </is>
      </c>
      <c r="L285" s="14" t="inlineStr">
        <is>
          <t>자동 입력</t>
        </is>
      </c>
      <c r="M285" s="14">
        <f>LEN(K285)</f>
        <v/>
      </c>
      <c r="N285" s="14">
        <f>IF(M285=0,"-",ROUND(3+M285/'안내'!$C$12,0))</f>
        <v/>
      </c>
      <c r="O285" s="15">
        <f>IF(K285="","(본문 입력 후 자동) | 사 55:6",IF(LEN(K285)&gt;28,LEFT(K285,28)&amp;"…",K285)&amp;" | 사 55:6")</f>
        <v/>
      </c>
      <c r="P285" s="15">
        <f>"#"&amp;SUBSTITUTE('안내'!$C$5," ","")&amp;" #성경구절 #말씀 #이사야 #회개"</f>
        <v/>
      </c>
      <c r="Q285" s="15" t="inlineStr">
        <is>
          <t>성경 본문: 개역한글판</t>
        </is>
      </c>
      <c r="R285" s="17">
        <f>'안내'!$C$6+INT((D285-1)/'안내'!$C$7)</f>
        <v/>
      </c>
      <c r="S285" s="14">
        <f>IF(MOD(D285-1,'안내'!$C$7)=0,'안내'!$C$8,'안내'!$C$10)</f>
        <v/>
      </c>
      <c r="T285" s="14">
        <f>CHOOSE(WEEKDAY(R285,2),"월","화","수","목","금","토","일")</f>
        <v/>
      </c>
      <c r="U285" s="14" t="inlineStr">
        <is>
          <t>미착수</t>
        </is>
      </c>
      <c r="V285" s="14" t="inlineStr">
        <is>
          <t>미착수</t>
        </is>
      </c>
      <c r="W285" s="18" t="n"/>
      <c r="X285" s="18" t="n"/>
      <c r="Y285" s="15" t="n"/>
      <c r="Z285" s="15" t="inlineStr"/>
      <c r="AA285" s="15" t="inlineStr">
        <is>
          <t>Seek Yahweh while he may be found. Call on him while he is near.</t>
        </is>
      </c>
    </row>
    <row r="286">
      <c r="A286" s="13" t="n">
        <v>285</v>
      </c>
      <c r="B286" s="13" t="inlineStr">
        <is>
          <t>W0285</t>
        </is>
      </c>
      <c r="C286" s="13" t="inlineStr">
        <is>
          <t>구약</t>
        </is>
      </c>
      <c r="D286" s="13" t="n">
        <v>285</v>
      </c>
      <c r="E286" s="13">
        <f>C286&amp;"말씀 #"&amp;TEXT(D286,"000")</f>
        <v/>
      </c>
      <c r="F286" s="14" t="inlineStr">
        <is>
          <t>이사야</t>
        </is>
      </c>
      <c r="G286" s="14" t="inlineStr">
        <is>
          <t>55:8</t>
        </is>
      </c>
      <c r="H286" s="15" t="inlineStr">
        <is>
          <t>(사 55:8, 개역한글)</t>
        </is>
      </c>
      <c r="I286" s="14" t="inlineStr">
        <is>
          <t>섭리</t>
        </is>
      </c>
      <c r="J286" s="14" t="inlineStr">
        <is>
          <t>하늘·별</t>
        </is>
      </c>
      <c r="K286" s="16" t="inlineStr">
        <is>
          <t>여호와의 말씀에 내 생각은 너희 생각과 다르며 내 길은 너희 길과 달라서</t>
        </is>
      </c>
      <c r="L286" s="14" t="inlineStr">
        <is>
          <t>자동 입력</t>
        </is>
      </c>
      <c r="M286" s="14">
        <f>LEN(K286)</f>
        <v/>
      </c>
      <c r="N286" s="14">
        <f>IF(M286=0,"-",ROUND(3+M286/'안내'!$C$12,0))</f>
        <v/>
      </c>
      <c r="O286" s="15">
        <f>IF(K286="","(본문 입력 후 자동) | 사 55:8",IF(LEN(K286)&gt;28,LEFT(K286,28)&amp;"…",K286)&amp;" | 사 55:8")</f>
        <v/>
      </c>
      <c r="P286" s="15">
        <f>"#"&amp;SUBSTITUTE('안내'!$C$5," ","")&amp;" #성경구절 #말씀 #이사야 #섭리"</f>
        <v/>
      </c>
      <c r="Q286" s="15" t="inlineStr">
        <is>
          <t>성경 본문: 개역한글판</t>
        </is>
      </c>
      <c r="R286" s="17">
        <f>'안내'!$C$6+INT((D286-1)/'안내'!$C$7)</f>
        <v/>
      </c>
      <c r="S286" s="14">
        <f>IF(MOD(D286-1,'안내'!$C$7)=0,'안내'!$C$8,'안내'!$C$10)</f>
        <v/>
      </c>
      <c r="T286" s="14">
        <f>CHOOSE(WEEKDAY(R286,2),"월","화","수","목","금","토","일")</f>
        <v/>
      </c>
      <c r="U286" s="14" t="inlineStr">
        <is>
          <t>미착수</t>
        </is>
      </c>
      <c r="V286" s="14" t="inlineStr">
        <is>
          <t>미착수</t>
        </is>
      </c>
      <c r="W286" s="18" t="n"/>
      <c r="X286" s="18" t="n"/>
      <c r="Y286" s="15" t="n"/>
      <c r="Z286" s="15" t="inlineStr"/>
      <c r="AA286" s="15" t="inlineStr">
        <is>
          <t>“For my thoughts are not your thoughts, and your ways are not my ways,” says Yahweh.</t>
        </is>
      </c>
    </row>
    <row r="287">
      <c r="A287" s="13" t="n">
        <v>286</v>
      </c>
      <c r="B287" s="13" t="inlineStr">
        <is>
          <t>W0286</t>
        </is>
      </c>
      <c r="C287" s="13" t="inlineStr">
        <is>
          <t>구약</t>
        </is>
      </c>
      <c r="D287" s="13" t="n">
        <v>286</v>
      </c>
      <c r="E287" s="13">
        <f>C287&amp;"말씀 #"&amp;TEXT(D287,"000")</f>
        <v/>
      </c>
      <c r="F287" s="14" t="inlineStr">
        <is>
          <t>이사야</t>
        </is>
      </c>
      <c r="G287" s="14" t="inlineStr">
        <is>
          <t>55:11</t>
        </is>
      </c>
      <c r="H287" s="15" t="inlineStr">
        <is>
          <t>(사 55:11, 개역한글)</t>
        </is>
      </c>
      <c r="I287" s="14" t="inlineStr">
        <is>
          <t>말씀</t>
        </is>
      </c>
      <c r="J287" s="14" t="inlineStr">
        <is>
          <t>들판·나무</t>
        </is>
      </c>
      <c r="K287" s="16" t="inlineStr">
        <is>
          <t>내 입에서 나가는 말도 헛되이 내게로 돌아오지 아니하고 나의 뜻을 이루며 나의 명하여 보낸 일에 형통하리라</t>
        </is>
      </c>
      <c r="L287" s="14" t="inlineStr">
        <is>
          <t>자동 입력</t>
        </is>
      </c>
      <c r="M287" s="14">
        <f>LEN(K287)</f>
        <v/>
      </c>
      <c r="N287" s="14">
        <f>IF(M287=0,"-",ROUND(3+M287/'안내'!$C$12,0))</f>
        <v/>
      </c>
      <c r="O287" s="15">
        <f>IF(K287="","(본문 입력 후 자동) | 사 55:11",IF(LEN(K287)&gt;28,LEFT(K287,28)&amp;"…",K287)&amp;" | 사 55:11")</f>
        <v/>
      </c>
      <c r="P287" s="15">
        <f>"#"&amp;SUBSTITUTE('안내'!$C$5," ","")&amp;" #성경구절 #말씀 #이사야 #말씀"</f>
        <v/>
      </c>
      <c r="Q287" s="15" t="inlineStr">
        <is>
          <t>성경 본문: 개역한글판</t>
        </is>
      </c>
      <c r="R287" s="17">
        <f>'안내'!$C$6+INT((D287-1)/'안내'!$C$7)</f>
        <v/>
      </c>
      <c r="S287" s="14">
        <f>IF(MOD(D287-1,'안내'!$C$7)=0,'안내'!$C$8,'안내'!$C$10)</f>
        <v/>
      </c>
      <c r="T287" s="14">
        <f>CHOOSE(WEEKDAY(R287,2),"월","화","수","목","금","토","일")</f>
        <v/>
      </c>
      <c r="U287" s="14" t="inlineStr">
        <is>
          <t>미착수</t>
        </is>
      </c>
      <c r="V287" s="14" t="inlineStr">
        <is>
          <t>미착수</t>
        </is>
      </c>
      <c r="W287" s="18" t="n"/>
      <c r="X287" s="18" t="n"/>
      <c r="Y287" s="15" t="n"/>
      <c r="Z287" s="15" t="inlineStr"/>
      <c r="AA287" s="15" t="inlineStr">
        <is>
          <t>so is my word that goes out of my mouth: it will not return to me void, but it will accomplish that which I please, and it will prosper in the thing I sent it to do.</t>
        </is>
      </c>
    </row>
    <row r="288">
      <c r="A288" s="13" t="n">
        <v>287</v>
      </c>
      <c r="B288" s="13" t="inlineStr">
        <is>
          <t>W0287</t>
        </is>
      </c>
      <c r="C288" s="13" t="inlineStr">
        <is>
          <t>구약</t>
        </is>
      </c>
      <c r="D288" s="13" t="n">
        <v>287</v>
      </c>
      <c r="E288" s="13">
        <f>C288&amp;"말씀 #"&amp;TEXT(D288,"000")</f>
        <v/>
      </c>
      <c r="F288" s="14" t="inlineStr">
        <is>
          <t>이사야</t>
        </is>
      </c>
      <c r="G288" s="14" t="inlineStr">
        <is>
          <t>58:11</t>
        </is>
      </c>
      <c r="H288" s="15" t="inlineStr">
        <is>
          <t>(사 58:11, 개역한글)</t>
        </is>
      </c>
      <c r="I288" s="14" t="inlineStr">
        <is>
          <t>인도</t>
        </is>
      </c>
      <c r="J288" s="14" t="inlineStr">
        <is>
          <t>길·등불</t>
        </is>
      </c>
      <c r="K288" s="16" t="inlineStr">
        <is>
          <t>나 여호와가 너를 항상 인도하여 마른 곳에서도 네 영혼을 만족케 하며 네 뼈를 견고케 하리니 너는 물 댄 동산 같겠고 물이 끊어지지 아니하는 샘 같을 것이라</t>
        </is>
      </c>
      <c r="L288" s="14" t="inlineStr">
        <is>
          <t>자동 입력 · 대조 필요</t>
        </is>
      </c>
      <c r="M288" s="14">
        <f>LEN(K288)</f>
        <v/>
      </c>
      <c r="N288" s="14">
        <f>IF(M288=0,"-",ROUND(3+M288/'안내'!$C$12,0))</f>
        <v/>
      </c>
      <c r="O288" s="15">
        <f>IF(K288="","(본문 입력 후 자동) | 사 58:11",IF(LEN(K288)&gt;28,LEFT(K288,28)&amp;"…",K288)&amp;" | 사 58:11")</f>
        <v/>
      </c>
      <c r="P288" s="15">
        <f>"#"&amp;SUBSTITUTE('안내'!$C$5," ","")&amp;" #성경구절 #말씀 #이사야 #인도"</f>
        <v/>
      </c>
      <c r="Q288" s="15" t="inlineStr">
        <is>
          <t>성경 본문: 개역한글판</t>
        </is>
      </c>
      <c r="R288" s="17">
        <f>'안내'!$C$6+INT((D288-1)/'안내'!$C$7)</f>
        <v/>
      </c>
      <c r="S288" s="14">
        <f>IF(MOD(D288-1,'안내'!$C$7)=0,'안내'!$C$8,'안내'!$C$10)</f>
        <v/>
      </c>
      <c r="T288" s="14">
        <f>CHOOSE(WEEKDAY(R288,2),"월","화","수","목","금","토","일")</f>
        <v/>
      </c>
      <c r="U288" s="14" t="inlineStr">
        <is>
          <t>미착수</t>
        </is>
      </c>
      <c r="V288" s="14" t="inlineStr">
        <is>
          <t>미착수</t>
        </is>
      </c>
      <c r="W288" s="18" t="n"/>
      <c r="X288" s="18" t="n"/>
      <c r="Y288" s="15" t="n"/>
      <c r="Z288" s="15" t="inlineStr">
        <is>
          <t>줄바꿈 띄어쓰기 확인</t>
        </is>
      </c>
      <c r="AA288" s="15" t="inlineStr">
        <is>
          <t>and Yahweh will guide you continually, satisfy your soul in dry places, and make your bones strong. You will be like a watered garden, and like a spring of water whose waters don’t fail.</t>
        </is>
      </c>
    </row>
    <row r="289">
      <c r="A289" s="13" t="n">
        <v>288</v>
      </c>
      <c r="B289" s="13" t="inlineStr">
        <is>
          <t>W0288</t>
        </is>
      </c>
      <c r="C289" s="13" t="inlineStr">
        <is>
          <t>구약</t>
        </is>
      </c>
      <c r="D289" s="13" t="n">
        <v>288</v>
      </c>
      <c r="E289" s="13">
        <f>C289&amp;"말씀 #"&amp;TEXT(D289,"000")</f>
        <v/>
      </c>
      <c r="F289" s="14" t="inlineStr">
        <is>
          <t>이사야</t>
        </is>
      </c>
      <c r="G289" s="14" t="inlineStr">
        <is>
          <t>60:1</t>
        </is>
      </c>
      <c r="H289" s="15" t="inlineStr">
        <is>
          <t>(사 60:1, 개역한글)</t>
        </is>
      </c>
      <c r="I289" s="14" t="inlineStr">
        <is>
          <t>소망</t>
        </is>
      </c>
      <c r="J289" s="14" t="inlineStr">
        <is>
          <t>새벽빛</t>
        </is>
      </c>
      <c r="K289" s="16" t="inlineStr">
        <is>
          <t>일어나라 빛을 발하라 이는 네 빛이 이르렀고 여호와의 영광이 네 위에 임하였음이니라</t>
        </is>
      </c>
      <c r="L289" s="14" t="inlineStr">
        <is>
          <t>자동 입력</t>
        </is>
      </c>
      <c r="M289" s="14">
        <f>LEN(K289)</f>
        <v/>
      </c>
      <c r="N289" s="14">
        <f>IF(M289=0,"-",ROUND(3+M289/'안내'!$C$12,0))</f>
        <v/>
      </c>
      <c r="O289" s="15">
        <f>IF(K289="","(본문 입력 후 자동) | 사 60:1",IF(LEN(K289)&gt;28,LEFT(K289,28)&amp;"…",K289)&amp;" | 사 60:1")</f>
        <v/>
      </c>
      <c r="P289" s="15">
        <f>"#"&amp;SUBSTITUTE('안내'!$C$5," ","")&amp;" #성경구절 #말씀 #이사야 #소망"</f>
        <v/>
      </c>
      <c r="Q289" s="15" t="inlineStr">
        <is>
          <t>성경 본문: 개역한글판</t>
        </is>
      </c>
      <c r="R289" s="17">
        <f>'안내'!$C$6+INT((D289-1)/'안내'!$C$7)</f>
        <v/>
      </c>
      <c r="S289" s="14">
        <f>IF(MOD(D289-1,'안내'!$C$7)=0,'안내'!$C$8,'안내'!$C$10)</f>
        <v/>
      </c>
      <c r="T289" s="14">
        <f>CHOOSE(WEEKDAY(R289,2),"월","화","수","목","금","토","일")</f>
        <v/>
      </c>
      <c r="U289" s="14" t="inlineStr">
        <is>
          <t>미착수</t>
        </is>
      </c>
      <c r="V289" s="14" t="inlineStr">
        <is>
          <t>미착수</t>
        </is>
      </c>
      <c r="W289" s="18" t="n"/>
      <c r="X289" s="18" t="n"/>
      <c r="Y289" s="15" t="n"/>
      <c r="Z289" s="15" t="inlineStr"/>
      <c r="AA289" s="15" t="inlineStr">
        <is>
          <t>“Arise, shine; for your light has come, and Yahweh’s glory has risen on you!</t>
        </is>
      </c>
    </row>
    <row r="290">
      <c r="A290" s="13" t="n">
        <v>289</v>
      </c>
      <c r="B290" s="13" t="inlineStr">
        <is>
          <t>W0289</t>
        </is>
      </c>
      <c r="C290" s="13" t="inlineStr">
        <is>
          <t>구약</t>
        </is>
      </c>
      <c r="D290" s="13" t="n">
        <v>289</v>
      </c>
      <c r="E290" s="13">
        <f>C290&amp;"말씀 #"&amp;TEXT(D290,"000")</f>
        <v/>
      </c>
      <c r="F290" s="14" t="inlineStr">
        <is>
          <t>이사야</t>
        </is>
      </c>
      <c r="G290" s="14" t="inlineStr">
        <is>
          <t>61:1</t>
        </is>
      </c>
      <c r="H290" s="15" t="inlineStr">
        <is>
          <t>(사 61:1, 개역한글)</t>
        </is>
      </c>
      <c r="I290" s="14" t="inlineStr">
        <is>
          <t>복음</t>
        </is>
      </c>
      <c r="J290" s="14" t="inlineStr">
        <is>
          <t>제단·십자가</t>
        </is>
      </c>
      <c r="K290" s="16" t="inlineStr">
        <is>
          <t>주 여호와의 신이 내게 임하셨으니 이는 여호와께서 내게 기름을 부으사 가난한 자에게 아름다운 소식을 전하게 하려 하심이라 나를 보내사 마음이 상한 자를 고치며 포로된 자에게 자유를, 갇힌 자에게 놓임을 전파하며</t>
        </is>
      </c>
      <c r="L290" s="14" t="inlineStr">
        <is>
          <t>자동 입력</t>
        </is>
      </c>
      <c r="M290" s="14">
        <f>LEN(K290)</f>
        <v/>
      </c>
      <c r="N290" s="14">
        <f>IF(M290=0,"-",ROUND(3+M290/'안내'!$C$12,0))</f>
        <v/>
      </c>
      <c r="O290" s="15">
        <f>IF(K290="","(본문 입력 후 자동) | 사 61:1",IF(LEN(K290)&gt;28,LEFT(K290,28)&amp;"…",K290)&amp;" | 사 61:1")</f>
        <v/>
      </c>
      <c r="P290" s="15">
        <f>"#"&amp;SUBSTITUTE('안내'!$C$5," ","")&amp;" #성경구절 #말씀 #이사야 #복음"</f>
        <v/>
      </c>
      <c r="Q290" s="15" t="inlineStr">
        <is>
          <t>성경 본문: 개역한글판</t>
        </is>
      </c>
      <c r="R290" s="17">
        <f>'안내'!$C$6+INT((D290-1)/'안내'!$C$7)</f>
        <v/>
      </c>
      <c r="S290" s="14">
        <f>IF(MOD(D290-1,'안내'!$C$7)=0,'안내'!$C$8,'안내'!$C$10)</f>
        <v/>
      </c>
      <c r="T290" s="14">
        <f>CHOOSE(WEEKDAY(R290,2),"월","화","수","목","금","토","일")</f>
        <v/>
      </c>
      <c r="U290" s="14" t="inlineStr">
        <is>
          <t>미착수</t>
        </is>
      </c>
      <c r="V290" s="14" t="inlineStr">
        <is>
          <t>미착수</t>
        </is>
      </c>
      <c r="W290" s="18" t="n"/>
      <c r="X290" s="18" t="n"/>
      <c r="Y290" s="15" t="n"/>
      <c r="Z290" s="15" t="inlineStr"/>
      <c r="AA290" s="15" t="inlineStr">
        <is>
          <t>The Lord Yahweh’s Spirit is on me, because Yahweh has anointed me to preach good news to the humble. He has sent me to bind up the broken hearted, to proclaim liberty to the captives and release to those who are bound,</t>
        </is>
      </c>
    </row>
    <row r="291">
      <c r="A291" s="13" t="n">
        <v>290</v>
      </c>
      <c r="B291" s="13" t="inlineStr">
        <is>
          <t>W0290</t>
        </is>
      </c>
      <c r="C291" s="13" t="inlineStr">
        <is>
          <t>구약</t>
        </is>
      </c>
      <c r="D291" s="13" t="n">
        <v>290</v>
      </c>
      <c r="E291" s="13">
        <f>C291&amp;"말씀 #"&amp;TEXT(D291,"000")</f>
        <v/>
      </c>
      <c r="F291" s="14" t="inlineStr">
        <is>
          <t>이사야</t>
        </is>
      </c>
      <c r="G291" s="14" t="inlineStr">
        <is>
          <t>64:8</t>
        </is>
      </c>
      <c r="H291" s="15" t="inlineStr">
        <is>
          <t>(사 64:8, 개역한글)</t>
        </is>
      </c>
      <c r="I291" s="14" t="inlineStr">
        <is>
          <t>은혜</t>
        </is>
      </c>
      <c r="J291" s="14" t="inlineStr">
        <is>
          <t>잔잔한 물</t>
        </is>
      </c>
      <c r="K291" s="16" t="inlineStr">
        <is>
          <t>그러나 여호와여 주는 우리 아버지시니이다 우리는 진흙이요 주는 토기장이시니 우리는 다 주의 손으로 지으신 것이라</t>
        </is>
      </c>
      <c r="L291" s="14" t="inlineStr">
        <is>
          <t>자동 입력</t>
        </is>
      </c>
      <c r="M291" s="14">
        <f>LEN(K291)</f>
        <v/>
      </c>
      <c r="N291" s="14">
        <f>IF(M291=0,"-",ROUND(3+M291/'안내'!$C$12,0))</f>
        <v/>
      </c>
      <c r="O291" s="15">
        <f>IF(K291="","(본문 입력 후 자동) | 사 64:8",IF(LEN(K291)&gt;28,LEFT(K291,28)&amp;"…",K291)&amp;" | 사 64:8")</f>
        <v/>
      </c>
      <c r="P291" s="15">
        <f>"#"&amp;SUBSTITUTE('안내'!$C$5," ","")&amp;" #성경구절 #말씀 #이사야 #은혜"</f>
        <v/>
      </c>
      <c r="Q291" s="15" t="inlineStr">
        <is>
          <t>성경 본문: 개역한글판</t>
        </is>
      </c>
      <c r="R291" s="17">
        <f>'안내'!$C$6+INT((D291-1)/'안내'!$C$7)</f>
        <v/>
      </c>
      <c r="S291" s="14">
        <f>IF(MOD(D291-1,'안내'!$C$7)=0,'안내'!$C$8,'안내'!$C$10)</f>
        <v/>
      </c>
      <c r="T291" s="14">
        <f>CHOOSE(WEEKDAY(R291,2),"월","화","수","목","금","토","일")</f>
        <v/>
      </c>
      <c r="U291" s="14" t="inlineStr">
        <is>
          <t>미착수</t>
        </is>
      </c>
      <c r="V291" s="14" t="inlineStr">
        <is>
          <t>미착수</t>
        </is>
      </c>
      <c r="W291" s="18" t="n"/>
      <c r="X291" s="18" t="n"/>
      <c r="Y291" s="15" t="n"/>
      <c r="Z291" s="15" t="inlineStr"/>
      <c r="AA291" s="15" t="inlineStr">
        <is>
          <t>But now, Yahweh, you are our Father. We are the clay and you our potter. We all are the work of your hand.</t>
        </is>
      </c>
    </row>
    <row r="292">
      <c r="A292" s="13" t="n">
        <v>291</v>
      </c>
      <c r="B292" s="13" t="inlineStr">
        <is>
          <t>W0291</t>
        </is>
      </c>
      <c r="C292" s="13" t="inlineStr">
        <is>
          <t>구약</t>
        </is>
      </c>
      <c r="D292" s="13" t="n">
        <v>291</v>
      </c>
      <c r="E292" s="13">
        <f>C292&amp;"말씀 #"&amp;TEXT(D292,"000")</f>
        <v/>
      </c>
      <c r="F292" s="14" t="inlineStr">
        <is>
          <t>이사야</t>
        </is>
      </c>
      <c r="G292" s="14" t="inlineStr">
        <is>
          <t>65:24</t>
        </is>
      </c>
      <c r="H292" s="15" t="inlineStr">
        <is>
          <t>(사 65:24, 개역한글)</t>
        </is>
      </c>
      <c r="I292" s="14" t="inlineStr">
        <is>
          <t>기도</t>
        </is>
      </c>
      <c r="J292" s="14" t="inlineStr">
        <is>
          <t>제단·십자가</t>
        </is>
      </c>
      <c r="K292" s="16" t="inlineStr">
        <is>
          <t>그들이 부르기 전에 내가 응답하겠고 그들이 말을 마치기 전에 내가 들을 것이며</t>
        </is>
      </c>
      <c r="L292" s="14" t="inlineStr">
        <is>
          <t>자동 입력</t>
        </is>
      </c>
      <c r="M292" s="14">
        <f>LEN(K292)</f>
        <v/>
      </c>
      <c r="N292" s="14">
        <f>IF(M292=0,"-",ROUND(3+M292/'안내'!$C$12,0))</f>
        <v/>
      </c>
      <c r="O292" s="15">
        <f>IF(K292="","(본문 입력 후 자동) | 사 65:24",IF(LEN(K292)&gt;28,LEFT(K292,28)&amp;"…",K292)&amp;" | 사 65:24")</f>
        <v/>
      </c>
      <c r="P292" s="15">
        <f>"#"&amp;SUBSTITUTE('안내'!$C$5," ","")&amp;" #성경구절 #말씀 #이사야 #기도"</f>
        <v/>
      </c>
      <c r="Q292" s="15" t="inlineStr">
        <is>
          <t>성경 본문: 개역한글판</t>
        </is>
      </c>
      <c r="R292" s="17">
        <f>'안내'!$C$6+INT((D292-1)/'안내'!$C$7)</f>
        <v/>
      </c>
      <c r="S292" s="14">
        <f>IF(MOD(D292-1,'안내'!$C$7)=0,'안내'!$C$8,'안내'!$C$10)</f>
        <v/>
      </c>
      <c r="T292" s="14">
        <f>CHOOSE(WEEKDAY(R292,2),"월","화","수","목","금","토","일")</f>
        <v/>
      </c>
      <c r="U292" s="14" t="inlineStr">
        <is>
          <t>미착수</t>
        </is>
      </c>
      <c r="V292" s="14" t="inlineStr">
        <is>
          <t>미착수</t>
        </is>
      </c>
      <c r="W292" s="18" t="n"/>
      <c r="X292" s="18" t="n"/>
      <c r="Y292" s="15" t="n"/>
      <c r="Z292" s="15" t="inlineStr"/>
      <c r="AA292" s="15" t="inlineStr">
        <is>
          <t>It will happen that before they call, I will answer; and while they are yet speaking, I will hear.</t>
        </is>
      </c>
    </row>
    <row r="293">
      <c r="A293" s="13" t="n">
        <v>292</v>
      </c>
      <c r="B293" s="13" t="inlineStr">
        <is>
          <t>W0292</t>
        </is>
      </c>
      <c r="C293" s="13" t="inlineStr">
        <is>
          <t>구약</t>
        </is>
      </c>
      <c r="D293" s="13" t="n">
        <v>292</v>
      </c>
      <c r="E293" s="13">
        <f>C293&amp;"말씀 #"&amp;TEXT(D293,"000")</f>
        <v/>
      </c>
      <c r="F293" s="14" t="inlineStr">
        <is>
          <t>이사야</t>
        </is>
      </c>
      <c r="G293" s="14" t="inlineStr">
        <is>
          <t>66:13</t>
        </is>
      </c>
      <c r="H293" s="15" t="inlineStr">
        <is>
          <t>(사 66:13, 개역한글)</t>
        </is>
      </c>
      <c r="I293" s="14" t="inlineStr">
        <is>
          <t>위로</t>
        </is>
      </c>
      <c r="J293" s="14" t="inlineStr">
        <is>
          <t>잔잔한 물</t>
        </is>
      </c>
      <c r="K293" s="16" t="inlineStr">
        <is>
          <t>어미가 자식을 위로함같이 내가 너희를 위로할 것인즉 너희가 예루살렘에서 위로를 받으리니</t>
        </is>
      </c>
      <c r="L293" s="14" t="inlineStr">
        <is>
          <t>자동 입력</t>
        </is>
      </c>
      <c r="M293" s="14">
        <f>LEN(K293)</f>
        <v/>
      </c>
      <c r="N293" s="14">
        <f>IF(M293=0,"-",ROUND(3+M293/'안내'!$C$12,0))</f>
        <v/>
      </c>
      <c r="O293" s="15">
        <f>IF(K293="","(본문 입력 후 자동) | 사 66:13",IF(LEN(K293)&gt;28,LEFT(K293,28)&amp;"…",K293)&amp;" | 사 66:13")</f>
        <v/>
      </c>
      <c r="P293" s="15">
        <f>"#"&amp;SUBSTITUTE('안내'!$C$5," ","")&amp;" #성경구절 #말씀 #이사야 #위로"</f>
        <v/>
      </c>
      <c r="Q293" s="15" t="inlineStr">
        <is>
          <t>성경 본문: 개역한글판</t>
        </is>
      </c>
      <c r="R293" s="17">
        <f>'안내'!$C$6+INT((D293-1)/'안내'!$C$7)</f>
        <v/>
      </c>
      <c r="S293" s="14">
        <f>IF(MOD(D293-1,'안내'!$C$7)=0,'안내'!$C$8,'안내'!$C$10)</f>
        <v/>
      </c>
      <c r="T293" s="14">
        <f>CHOOSE(WEEKDAY(R293,2),"월","화","수","목","금","토","일")</f>
        <v/>
      </c>
      <c r="U293" s="14" t="inlineStr">
        <is>
          <t>미착수</t>
        </is>
      </c>
      <c r="V293" s="14" t="inlineStr">
        <is>
          <t>미착수</t>
        </is>
      </c>
      <c r="W293" s="18" t="n"/>
      <c r="X293" s="18" t="n"/>
      <c r="Y293" s="15" t="n"/>
      <c r="Z293" s="15" t="inlineStr"/>
      <c r="AA293" s="15" t="inlineStr">
        <is>
          <t>As one whom his mother comforts, so I will comfort you. You will be comforted in Jerusalem.”</t>
        </is>
      </c>
    </row>
    <row r="294">
      <c r="A294" s="13" t="n">
        <v>293</v>
      </c>
      <c r="B294" s="13" t="inlineStr">
        <is>
          <t>W0293</t>
        </is>
      </c>
      <c r="C294" s="13" t="inlineStr">
        <is>
          <t>구약</t>
        </is>
      </c>
      <c r="D294" s="13" t="n">
        <v>293</v>
      </c>
      <c r="E294" s="13">
        <f>C294&amp;"말씀 #"&amp;TEXT(D294,"000")</f>
        <v/>
      </c>
      <c r="F294" s="14" t="inlineStr">
        <is>
          <t>예레미야</t>
        </is>
      </c>
      <c r="G294" s="14" t="inlineStr">
        <is>
          <t>1:5</t>
        </is>
      </c>
      <c r="H294" s="15" t="inlineStr">
        <is>
          <t>(렘 1:5, 개역한글)</t>
        </is>
      </c>
      <c r="I294" s="14" t="inlineStr">
        <is>
          <t>부르심</t>
        </is>
      </c>
      <c r="J294" s="14" t="inlineStr">
        <is>
          <t>길·등불</t>
        </is>
      </c>
      <c r="K294" s="16" t="inlineStr">
        <is>
          <t>내가 너를 복중에 짓기 전에 너를 알았고 네가 태에서 나오기 전에 너를 구별하였고 너를 열방의 선지자로 세웠노라 하시기로</t>
        </is>
      </c>
      <c r="L294" s="14" t="inlineStr">
        <is>
          <t>자동 입력 · 대조 필요</t>
        </is>
      </c>
      <c r="M294" s="14">
        <f>LEN(K294)</f>
        <v/>
      </c>
      <c r="N294" s="14">
        <f>IF(M294=0,"-",ROUND(3+M294/'안내'!$C$12,0))</f>
        <v/>
      </c>
      <c r="O294" s="15">
        <f>IF(K294="","(본문 입력 후 자동) | 렘 1:5",IF(LEN(K294)&gt;28,LEFT(K294,28)&amp;"…",K294)&amp;" | 렘 1:5")</f>
        <v/>
      </c>
      <c r="P294" s="15">
        <f>"#"&amp;SUBSTITUTE('안내'!$C$5," ","")&amp;" #성경구절 #말씀 #예레미야 #부르심"</f>
        <v/>
      </c>
      <c r="Q294" s="15" t="inlineStr">
        <is>
          <t>성경 본문: 개역한글판</t>
        </is>
      </c>
      <c r="R294" s="17">
        <f>'안내'!$C$6+INT((D294-1)/'안내'!$C$7)</f>
        <v/>
      </c>
      <c r="S294" s="14">
        <f>IF(MOD(D294-1,'안내'!$C$7)=0,'안내'!$C$8,'안내'!$C$10)</f>
        <v/>
      </c>
      <c r="T294" s="14">
        <f>CHOOSE(WEEKDAY(R294,2),"월","화","수","목","금","토","일")</f>
        <v/>
      </c>
      <c r="U294" s="14" t="inlineStr">
        <is>
          <t>미착수</t>
        </is>
      </c>
      <c r="V294" s="14" t="inlineStr">
        <is>
          <t>미착수</t>
        </is>
      </c>
      <c r="W294" s="18" t="n"/>
      <c r="X294" s="18" t="n"/>
      <c r="Y294" s="15" t="n"/>
      <c r="Z294" s="15" t="inlineStr">
        <is>
          <t>줄바꿈 띄어쓰기 확인</t>
        </is>
      </c>
      <c r="AA294" s="15" t="inlineStr">
        <is>
          <t>“Before I formed you in the womb, I knew you. Before you were born, I sanctified you. I have appointed you a prophet to the nations.”</t>
        </is>
      </c>
    </row>
    <row r="295">
      <c r="A295" s="13" t="n">
        <v>294</v>
      </c>
      <c r="B295" s="13" t="inlineStr">
        <is>
          <t>W0294</t>
        </is>
      </c>
      <c r="C295" s="13" t="inlineStr">
        <is>
          <t>구약</t>
        </is>
      </c>
      <c r="D295" s="13" t="n">
        <v>294</v>
      </c>
      <c r="E295" s="13">
        <f>C295&amp;"말씀 #"&amp;TEXT(D295,"000")</f>
        <v/>
      </c>
      <c r="F295" s="14" t="inlineStr">
        <is>
          <t>예레미야</t>
        </is>
      </c>
      <c r="G295" s="14" t="inlineStr">
        <is>
          <t>1:8</t>
        </is>
      </c>
      <c r="H295" s="15" t="inlineStr">
        <is>
          <t>(렘 1:8, 개역한글)</t>
        </is>
      </c>
      <c r="I295" s="14" t="inlineStr">
        <is>
          <t>담대함</t>
        </is>
      </c>
      <c r="J295" s="14" t="inlineStr">
        <is>
          <t>바위산·광야</t>
        </is>
      </c>
      <c r="K295" s="16" t="inlineStr">
        <is>
          <t>너는 그들을 인하여 두려워 말라 내가 너와 함께 하여 너를 구원하리라 나 여호와의 말이니라 하시고</t>
        </is>
      </c>
      <c r="L295" s="14" t="inlineStr">
        <is>
          <t>자동 입력</t>
        </is>
      </c>
      <c r="M295" s="14">
        <f>LEN(K295)</f>
        <v/>
      </c>
      <c r="N295" s="14">
        <f>IF(M295=0,"-",ROUND(3+M295/'안내'!$C$12,0))</f>
        <v/>
      </c>
      <c r="O295" s="15">
        <f>IF(K295="","(본문 입력 후 자동) | 렘 1:8",IF(LEN(K295)&gt;28,LEFT(K295,28)&amp;"…",K295)&amp;" | 렘 1:8")</f>
        <v/>
      </c>
      <c r="P295" s="15">
        <f>"#"&amp;SUBSTITUTE('안내'!$C$5," ","")&amp;" #성경구절 #말씀 #예레미야 #담대함"</f>
        <v/>
      </c>
      <c r="Q295" s="15" t="inlineStr">
        <is>
          <t>성경 본문: 개역한글판</t>
        </is>
      </c>
      <c r="R295" s="17">
        <f>'안내'!$C$6+INT((D295-1)/'안내'!$C$7)</f>
        <v/>
      </c>
      <c r="S295" s="14">
        <f>IF(MOD(D295-1,'안내'!$C$7)=0,'안내'!$C$8,'안내'!$C$10)</f>
        <v/>
      </c>
      <c r="T295" s="14">
        <f>CHOOSE(WEEKDAY(R295,2),"월","화","수","목","금","토","일")</f>
        <v/>
      </c>
      <c r="U295" s="14" t="inlineStr">
        <is>
          <t>미착수</t>
        </is>
      </c>
      <c r="V295" s="14" t="inlineStr">
        <is>
          <t>미착수</t>
        </is>
      </c>
      <c r="W295" s="18" t="n"/>
      <c r="X295" s="18" t="n"/>
      <c r="Y295" s="15" t="n"/>
      <c r="Z295" s="15" t="inlineStr"/>
      <c r="AA295" s="15" t="inlineStr">
        <is>
          <t>Don’t be afraid because of them, for I am with you to rescue you,” says Yahweh.</t>
        </is>
      </c>
    </row>
    <row r="296">
      <c r="A296" s="13" t="n">
        <v>295</v>
      </c>
      <c r="B296" s="13" t="inlineStr">
        <is>
          <t>W0295</t>
        </is>
      </c>
      <c r="C296" s="13" t="inlineStr">
        <is>
          <t>구약</t>
        </is>
      </c>
      <c r="D296" s="13" t="n">
        <v>295</v>
      </c>
      <c r="E296" s="13">
        <f>C296&amp;"말씀 #"&amp;TEXT(D296,"000")</f>
        <v/>
      </c>
      <c r="F296" s="14" t="inlineStr">
        <is>
          <t>예레미야</t>
        </is>
      </c>
      <c r="G296" s="14" t="inlineStr">
        <is>
          <t>2:13</t>
        </is>
      </c>
      <c r="H296" s="15" t="inlineStr">
        <is>
          <t>(렘 2:13, 개역한글)</t>
        </is>
      </c>
      <c r="I296" s="14" t="inlineStr">
        <is>
          <t>회개</t>
        </is>
      </c>
      <c r="J296" s="14" t="inlineStr">
        <is>
          <t>제단·십자가</t>
        </is>
      </c>
      <c r="K296" s="16" t="inlineStr">
        <is>
          <t>내 백성이 두 가지 악을 행하였나니 곧 생수의 근원되는 나를 버린 것과 스스로 웅덩이를 판 것인데 그것은 물을 저축지 못할 터진 웅덩이니라</t>
        </is>
      </c>
      <c r="L296" s="14" t="inlineStr">
        <is>
          <t>자동 입력 · 대조 필요</t>
        </is>
      </c>
      <c r="M296" s="14">
        <f>LEN(K296)</f>
        <v/>
      </c>
      <c r="N296" s="14">
        <f>IF(M296=0,"-",ROUND(3+M296/'안내'!$C$12,0))</f>
        <v/>
      </c>
      <c r="O296" s="15">
        <f>IF(K296="","(본문 입력 후 자동) | 렘 2:13",IF(LEN(K296)&gt;28,LEFT(K296,28)&amp;"…",K296)&amp;" | 렘 2:13")</f>
        <v/>
      </c>
      <c r="P296" s="15">
        <f>"#"&amp;SUBSTITUTE('안내'!$C$5," ","")&amp;" #성경구절 #말씀 #예레미야 #회개"</f>
        <v/>
      </c>
      <c r="Q296" s="15" t="inlineStr">
        <is>
          <t>성경 본문: 개역한글판</t>
        </is>
      </c>
      <c r="R296" s="17">
        <f>'안내'!$C$6+INT((D296-1)/'안내'!$C$7)</f>
        <v/>
      </c>
      <c r="S296" s="14">
        <f>IF(MOD(D296-1,'안내'!$C$7)=0,'안내'!$C$8,'안내'!$C$10)</f>
        <v/>
      </c>
      <c r="T296" s="14">
        <f>CHOOSE(WEEKDAY(R296,2),"월","화","수","목","금","토","일")</f>
        <v/>
      </c>
      <c r="U296" s="14" t="inlineStr">
        <is>
          <t>미착수</t>
        </is>
      </c>
      <c r="V296" s="14" t="inlineStr">
        <is>
          <t>미착수</t>
        </is>
      </c>
      <c r="W296" s="18" t="n"/>
      <c r="X296" s="18" t="n"/>
      <c r="Y296" s="15" t="n"/>
      <c r="Z296" s="15" t="inlineStr">
        <is>
          <t>줄바꿈 띄어쓰기 확인</t>
        </is>
      </c>
      <c r="AA296" s="15" t="inlineStr">
        <is>
          <t>“For my people have committed two evils: they have forsaken me, the spring of living waters, and cut out cisterns for themselves: broken cisterns that can’t hold wa- ter.</t>
        </is>
      </c>
    </row>
    <row r="297">
      <c r="A297" s="13" t="n">
        <v>296</v>
      </c>
      <c r="B297" s="13" t="inlineStr">
        <is>
          <t>W0296</t>
        </is>
      </c>
      <c r="C297" s="13" t="inlineStr">
        <is>
          <t>구약</t>
        </is>
      </c>
      <c r="D297" s="13" t="n">
        <v>296</v>
      </c>
      <c r="E297" s="13">
        <f>C297&amp;"말씀 #"&amp;TEXT(D297,"000")</f>
        <v/>
      </c>
      <c r="F297" s="14" t="inlineStr">
        <is>
          <t>예레미야</t>
        </is>
      </c>
      <c r="G297" s="14" t="inlineStr">
        <is>
          <t>9:24</t>
        </is>
      </c>
      <c r="H297" s="15" t="inlineStr">
        <is>
          <t>(렘 9:24, 개역한글)</t>
        </is>
      </c>
      <c r="I297" s="14" t="inlineStr">
        <is>
          <t>하나님</t>
        </is>
      </c>
      <c r="J297" s="14" t="inlineStr">
        <is>
          <t>하늘·별</t>
        </is>
      </c>
      <c r="K297" s="16" t="inlineStr">
        <is>
          <t>자랑하는 자는 이것으로 자랑할지니 곧 명철하여 나를 아는 것과 나 여호와는 인애와 공평과 정직을 땅에 행하는 자인 줄 깨닫는 것이라 나는 이 일을 기뻐하노라 여호와의 말이니라</t>
        </is>
      </c>
      <c r="L297" s="14" t="inlineStr">
        <is>
          <t>자동 입력 · 대조 필요</t>
        </is>
      </c>
      <c r="M297" s="14">
        <f>LEN(K297)</f>
        <v/>
      </c>
      <c r="N297" s="14">
        <f>IF(M297=0,"-",ROUND(3+M297/'안내'!$C$12,0))</f>
        <v/>
      </c>
      <c r="O297" s="15">
        <f>IF(K297="","(본문 입력 후 자동) | 렘 9:24",IF(LEN(K297)&gt;28,LEFT(K297,28)&amp;"…",K297)&amp;" | 렘 9:24")</f>
        <v/>
      </c>
      <c r="P297" s="15">
        <f>"#"&amp;SUBSTITUTE('안내'!$C$5," ","")&amp;" #성경구절 #말씀 #예레미야 #하나님"</f>
        <v/>
      </c>
      <c r="Q297" s="15" t="inlineStr">
        <is>
          <t>성경 본문: 개역한글판</t>
        </is>
      </c>
      <c r="R297" s="17">
        <f>'안내'!$C$6+INT((D297-1)/'안내'!$C$7)</f>
        <v/>
      </c>
      <c r="S297" s="14">
        <f>IF(MOD(D297-1,'안내'!$C$7)=0,'안내'!$C$8,'안내'!$C$10)</f>
        <v/>
      </c>
      <c r="T297" s="14">
        <f>CHOOSE(WEEKDAY(R297,2),"월","화","수","목","금","토","일")</f>
        <v/>
      </c>
      <c r="U297" s="14" t="inlineStr">
        <is>
          <t>미착수</t>
        </is>
      </c>
      <c r="V297" s="14" t="inlineStr">
        <is>
          <t>미착수</t>
        </is>
      </c>
      <c r="W297" s="18" t="n"/>
      <c r="X297" s="18" t="n"/>
      <c r="Y297" s="15" t="n"/>
      <c r="Z297" s="15" t="inlineStr">
        <is>
          <t>줄바꿈 띄어쓰기 확인</t>
        </is>
      </c>
      <c r="AA297" s="15" t="inlineStr">
        <is>
          <t>But let him who glories glory in this, that he has understanding, and knows me, that I am Yahweh who exercises loving kindness, justice, and righteous- ness in the earth, for I delight in these things,” says Yahweh.</t>
        </is>
      </c>
    </row>
    <row r="298">
      <c r="A298" s="13" t="n">
        <v>297</v>
      </c>
      <c r="B298" s="13" t="inlineStr">
        <is>
          <t>W0297</t>
        </is>
      </c>
      <c r="C298" s="13" t="inlineStr">
        <is>
          <t>구약</t>
        </is>
      </c>
      <c r="D298" s="13" t="n">
        <v>297</v>
      </c>
      <c r="E298" s="13">
        <f>C298&amp;"말씀 #"&amp;TEXT(D298,"000")</f>
        <v/>
      </c>
      <c r="F298" s="14" t="inlineStr">
        <is>
          <t>예레미야</t>
        </is>
      </c>
      <c r="G298" s="14" t="inlineStr">
        <is>
          <t>10:23</t>
        </is>
      </c>
      <c r="H298" s="15" t="inlineStr">
        <is>
          <t>(렘 10:23, 개역한글)</t>
        </is>
      </c>
      <c r="I298" s="14" t="inlineStr">
        <is>
          <t>인도</t>
        </is>
      </c>
      <c r="J298" s="14" t="inlineStr">
        <is>
          <t>길·등불</t>
        </is>
      </c>
      <c r="K298" s="16" t="inlineStr">
        <is>
          <t>여호와여 내가 알거니와 인생의 길이 자기에게 있지 아니하니 걸음을 지도함이 걷는 자에게 있지 아니하니이다</t>
        </is>
      </c>
      <c r="L298" s="14" t="inlineStr">
        <is>
          <t>자동 입력</t>
        </is>
      </c>
      <c r="M298" s="14">
        <f>LEN(K298)</f>
        <v/>
      </c>
      <c r="N298" s="14">
        <f>IF(M298=0,"-",ROUND(3+M298/'안내'!$C$12,0))</f>
        <v/>
      </c>
      <c r="O298" s="15">
        <f>IF(K298="","(본문 입력 후 자동) | 렘 10:23",IF(LEN(K298)&gt;28,LEFT(K298,28)&amp;"…",K298)&amp;" | 렘 10:23")</f>
        <v/>
      </c>
      <c r="P298" s="15">
        <f>"#"&amp;SUBSTITUTE('안내'!$C$5," ","")&amp;" #성경구절 #말씀 #예레미야 #인도"</f>
        <v/>
      </c>
      <c r="Q298" s="15" t="inlineStr">
        <is>
          <t>성경 본문: 개역한글판</t>
        </is>
      </c>
      <c r="R298" s="17">
        <f>'안내'!$C$6+INT((D298-1)/'안내'!$C$7)</f>
        <v/>
      </c>
      <c r="S298" s="14">
        <f>IF(MOD(D298-1,'안내'!$C$7)=0,'안내'!$C$8,'안내'!$C$10)</f>
        <v/>
      </c>
      <c r="T298" s="14">
        <f>CHOOSE(WEEKDAY(R298,2),"월","화","수","목","금","토","일")</f>
        <v/>
      </c>
      <c r="U298" s="14" t="inlineStr">
        <is>
          <t>미착수</t>
        </is>
      </c>
      <c r="V298" s="14" t="inlineStr">
        <is>
          <t>미착수</t>
        </is>
      </c>
      <c r="W298" s="18" t="n"/>
      <c r="X298" s="18" t="n"/>
      <c r="Y298" s="15" t="n"/>
      <c r="Z298" s="15" t="inlineStr"/>
      <c r="AA298" s="15" t="inlineStr">
        <is>
          <t>Yahweh, I know that the way of man is not in himself. It is not in man who walks to direct his steps.</t>
        </is>
      </c>
    </row>
    <row r="299">
      <c r="A299" s="13" t="n">
        <v>298</v>
      </c>
      <c r="B299" s="13" t="inlineStr">
        <is>
          <t>W0298</t>
        </is>
      </c>
      <c r="C299" s="13" t="inlineStr">
        <is>
          <t>구약</t>
        </is>
      </c>
      <c r="D299" s="13" t="n">
        <v>298</v>
      </c>
      <c r="E299" s="13">
        <f>C299&amp;"말씀 #"&amp;TEXT(D299,"000")</f>
        <v/>
      </c>
      <c r="F299" s="14" t="inlineStr">
        <is>
          <t>예레미야</t>
        </is>
      </c>
      <c r="G299" s="14" t="inlineStr">
        <is>
          <t>15:16</t>
        </is>
      </c>
      <c r="H299" s="15" t="inlineStr">
        <is>
          <t>(렘 15:16, 개역한글)</t>
        </is>
      </c>
      <c r="I299" s="14" t="inlineStr">
        <is>
          <t>말씀</t>
        </is>
      </c>
      <c r="J299" s="14" t="inlineStr">
        <is>
          <t>들판·나무</t>
        </is>
      </c>
      <c r="K299" s="16" t="inlineStr">
        <is>
          <t>만군의 하나님 여호와시여 나는 주의 이름으로 일컬음을 받는 자라 내가 주의 말씀을 얻어 먹었사오니 주의 말씀은 내게 기쁨과 내 마음의 즐거움이오나</t>
        </is>
      </c>
      <c r="L299" s="14" t="inlineStr">
        <is>
          <t>자동 입력</t>
        </is>
      </c>
      <c r="M299" s="14">
        <f>LEN(K299)</f>
        <v/>
      </c>
      <c r="N299" s="14">
        <f>IF(M299=0,"-",ROUND(3+M299/'안내'!$C$12,0))</f>
        <v/>
      </c>
      <c r="O299" s="15">
        <f>IF(K299="","(본문 입력 후 자동) | 렘 15:16",IF(LEN(K299)&gt;28,LEFT(K299,28)&amp;"…",K299)&amp;" | 렘 15:16")</f>
        <v/>
      </c>
      <c r="P299" s="15">
        <f>"#"&amp;SUBSTITUTE('안내'!$C$5," ","")&amp;" #성경구절 #말씀 #예레미야 #말씀"</f>
        <v/>
      </c>
      <c r="Q299" s="15" t="inlineStr">
        <is>
          <t>성경 본문: 개역한글판</t>
        </is>
      </c>
      <c r="R299" s="17">
        <f>'안내'!$C$6+INT((D299-1)/'안내'!$C$7)</f>
        <v/>
      </c>
      <c r="S299" s="14">
        <f>IF(MOD(D299-1,'안내'!$C$7)=0,'안내'!$C$8,'안내'!$C$10)</f>
        <v/>
      </c>
      <c r="T299" s="14">
        <f>CHOOSE(WEEKDAY(R299,2),"월","화","수","목","금","토","일")</f>
        <v/>
      </c>
      <c r="U299" s="14" t="inlineStr">
        <is>
          <t>미착수</t>
        </is>
      </c>
      <c r="V299" s="14" t="inlineStr">
        <is>
          <t>미착수</t>
        </is>
      </c>
      <c r="W299" s="18" t="n"/>
      <c r="X299" s="18" t="n"/>
      <c r="Y299" s="15" t="n"/>
      <c r="Z299" s="15" t="inlineStr"/>
      <c r="AA299" s="15" t="inlineStr">
        <is>
          <t>Your words were found, and I ate them. Your words were to me a joy and the rejoic- ing of my heart, for I am called by your name, Yahweh, God of Armies.</t>
        </is>
      </c>
    </row>
    <row r="300">
      <c r="A300" s="13" t="n">
        <v>299</v>
      </c>
      <c r="B300" s="13" t="inlineStr">
        <is>
          <t>W0299</t>
        </is>
      </c>
      <c r="C300" s="13" t="inlineStr">
        <is>
          <t>구약</t>
        </is>
      </c>
      <c r="D300" s="13" t="n">
        <v>299</v>
      </c>
      <c r="E300" s="13">
        <f>C300&amp;"말씀 #"&amp;TEXT(D300,"000")</f>
        <v/>
      </c>
      <c r="F300" s="14" t="inlineStr">
        <is>
          <t>예레미야</t>
        </is>
      </c>
      <c r="G300" s="14" t="inlineStr">
        <is>
          <t>17:7</t>
        </is>
      </c>
      <c r="H300" s="15" t="inlineStr">
        <is>
          <t>(렘 17:7, 개역한글)</t>
        </is>
      </c>
      <c r="I300" s="14" t="inlineStr">
        <is>
          <t>신뢰</t>
        </is>
      </c>
      <c r="J300" s="14" t="inlineStr">
        <is>
          <t>바위산·광야</t>
        </is>
      </c>
      <c r="K300" s="16" t="inlineStr">
        <is>
          <t>그러나 무릇 여호와를 의지하며 여호와를 의뢰하는 그 사람은 복을 받을 것이라</t>
        </is>
      </c>
      <c r="L300" s="14" t="inlineStr">
        <is>
          <t>자동 입력</t>
        </is>
      </c>
      <c r="M300" s="14">
        <f>LEN(K300)</f>
        <v/>
      </c>
      <c r="N300" s="14">
        <f>IF(M300=0,"-",ROUND(3+M300/'안내'!$C$12,0))</f>
        <v/>
      </c>
      <c r="O300" s="15">
        <f>IF(K300="","(본문 입력 후 자동) | 렘 17:7",IF(LEN(K300)&gt;28,LEFT(K300,28)&amp;"…",K300)&amp;" | 렘 17:7")</f>
        <v/>
      </c>
      <c r="P300" s="15">
        <f>"#"&amp;SUBSTITUTE('안내'!$C$5," ","")&amp;" #성경구절 #말씀 #예레미야 #신뢰"</f>
        <v/>
      </c>
      <c r="Q300" s="15" t="inlineStr">
        <is>
          <t>성경 본문: 개역한글판</t>
        </is>
      </c>
      <c r="R300" s="17">
        <f>'안내'!$C$6+INT((D300-1)/'안내'!$C$7)</f>
        <v/>
      </c>
      <c r="S300" s="14">
        <f>IF(MOD(D300-1,'안내'!$C$7)=0,'안내'!$C$8,'안내'!$C$10)</f>
        <v/>
      </c>
      <c r="T300" s="14">
        <f>CHOOSE(WEEKDAY(R300,2),"월","화","수","목","금","토","일")</f>
        <v/>
      </c>
      <c r="U300" s="14" t="inlineStr">
        <is>
          <t>미착수</t>
        </is>
      </c>
      <c r="V300" s="14" t="inlineStr">
        <is>
          <t>미착수</t>
        </is>
      </c>
      <c r="W300" s="18" t="n"/>
      <c r="X300" s="18" t="n"/>
      <c r="Y300" s="15" t="n"/>
      <c r="Z300" s="15" t="inlineStr"/>
      <c r="AA300" s="15" t="inlineStr">
        <is>
          <t>“Blessed is the man who trusts in Yahweh, and whose confidence is in Yahweh.</t>
        </is>
      </c>
    </row>
    <row r="301">
      <c r="A301" s="13" t="n">
        <v>300</v>
      </c>
      <c r="B301" s="13" t="inlineStr">
        <is>
          <t>W0300</t>
        </is>
      </c>
      <c r="C301" s="13" t="inlineStr">
        <is>
          <t>구약</t>
        </is>
      </c>
      <c r="D301" s="13" t="n">
        <v>300</v>
      </c>
      <c r="E301" s="13">
        <f>C301&amp;"말씀 #"&amp;TEXT(D301,"000")</f>
        <v/>
      </c>
      <c r="F301" s="14" t="inlineStr">
        <is>
          <t>예레미야</t>
        </is>
      </c>
      <c r="G301" s="14" t="inlineStr">
        <is>
          <t>17:9</t>
        </is>
      </c>
      <c r="H301" s="15" t="inlineStr">
        <is>
          <t>(렘 17:9, 개역한글)</t>
        </is>
      </c>
      <c r="I301" s="14" t="inlineStr">
        <is>
          <t>마음</t>
        </is>
      </c>
      <c r="J301" s="14" t="inlineStr">
        <is>
          <t>창가·식탁</t>
        </is>
      </c>
      <c r="K301" s="16" t="inlineStr">
        <is>
          <t>만물보다 거짓되고 심히 부패한 것은 마음이라 누가 능히 이를 알리요마는</t>
        </is>
      </c>
      <c r="L301" s="14" t="inlineStr">
        <is>
          <t>자동 입력</t>
        </is>
      </c>
      <c r="M301" s="14">
        <f>LEN(K301)</f>
        <v/>
      </c>
      <c r="N301" s="14">
        <f>IF(M301=0,"-",ROUND(3+M301/'안내'!$C$12,0))</f>
        <v/>
      </c>
      <c r="O301" s="15">
        <f>IF(K301="","(본문 입력 후 자동) | 렘 17:9",IF(LEN(K301)&gt;28,LEFT(K301,28)&amp;"…",K301)&amp;" | 렘 17:9")</f>
        <v/>
      </c>
      <c r="P301" s="15">
        <f>"#"&amp;SUBSTITUTE('안내'!$C$5," ","")&amp;" #성경구절 #말씀 #예레미야 #마음"</f>
        <v/>
      </c>
      <c r="Q301" s="15" t="inlineStr">
        <is>
          <t>성경 본문: 개역한글판</t>
        </is>
      </c>
      <c r="R301" s="17">
        <f>'안내'!$C$6+INT((D301-1)/'안내'!$C$7)</f>
        <v/>
      </c>
      <c r="S301" s="14">
        <f>IF(MOD(D301-1,'안내'!$C$7)=0,'안내'!$C$8,'안내'!$C$10)</f>
        <v/>
      </c>
      <c r="T301" s="14">
        <f>CHOOSE(WEEKDAY(R301,2),"월","화","수","목","금","토","일")</f>
        <v/>
      </c>
      <c r="U301" s="14" t="inlineStr">
        <is>
          <t>미착수</t>
        </is>
      </c>
      <c r="V301" s="14" t="inlineStr">
        <is>
          <t>미착수</t>
        </is>
      </c>
      <c r="W301" s="18" t="n"/>
      <c r="X301" s="18" t="n"/>
      <c r="Y301" s="15" t="n"/>
      <c r="Z301" s="15" t="inlineStr"/>
      <c r="AA301" s="15" t="inlineStr">
        <is>
          <t>The heart is deceitful above all things and it is exceedingly corrupt. Who can know it?</t>
        </is>
      </c>
    </row>
    <row r="302">
      <c r="A302" s="13" t="n">
        <v>301</v>
      </c>
      <c r="B302" s="13" t="inlineStr">
        <is>
          <t>W0301</t>
        </is>
      </c>
      <c r="C302" s="13" t="inlineStr">
        <is>
          <t>구약</t>
        </is>
      </c>
      <c r="D302" s="13" t="n">
        <v>301</v>
      </c>
      <c r="E302" s="13">
        <f>C302&amp;"말씀 #"&amp;TEXT(D302,"000")</f>
        <v/>
      </c>
      <c r="F302" s="14" t="inlineStr">
        <is>
          <t>예레미야</t>
        </is>
      </c>
      <c r="G302" s="14" t="inlineStr">
        <is>
          <t>17:14</t>
        </is>
      </c>
      <c r="H302" s="15" t="inlineStr">
        <is>
          <t>(렘 17:14, 개역한글)</t>
        </is>
      </c>
      <c r="I302" s="14" t="inlineStr">
        <is>
          <t>치료</t>
        </is>
      </c>
      <c r="J302" s="14" t="inlineStr">
        <is>
          <t>잔잔한 물</t>
        </is>
      </c>
      <c r="K302" s="16" t="inlineStr">
        <is>
          <t>여호와여 주는 나의 찬송이시오니 나를 고치소서 그리하시면 내가 낫겠나이다 나를 구원하소서 그리하시면 내가 구원을 얻으리이다</t>
        </is>
      </c>
      <c r="L302" s="14" t="inlineStr">
        <is>
          <t>자동 입력</t>
        </is>
      </c>
      <c r="M302" s="14">
        <f>LEN(K302)</f>
        <v/>
      </c>
      <c r="N302" s="14">
        <f>IF(M302=0,"-",ROUND(3+M302/'안내'!$C$12,0))</f>
        <v/>
      </c>
      <c r="O302" s="15">
        <f>IF(K302="","(본문 입력 후 자동) | 렘 17:14",IF(LEN(K302)&gt;28,LEFT(K302,28)&amp;"…",K302)&amp;" | 렘 17:14")</f>
        <v/>
      </c>
      <c r="P302" s="15">
        <f>"#"&amp;SUBSTITUTE('안내'!$C$5," ","")&amp;" #성경구절 #말씀 #예레미야 #치료"</f>
        <v/>
      </c>
      <c r="Q302" s="15" t="inlineStr">
        <is>
          <t>성경 본문: 개역한글판</t>
        </is>
      </c>
      <c r="R302" s="17">
        <f>'안내'!$C$6+INT((D302-1)/'안내'!$C$7)</f>
        <v/>
      </c>
      <c r="S302" s="14">
        <f>IF(MOD(D302-1,'안내'!$C$7)=0,'안내'!$C$8,'안내'!$C$10)</f>
        <v/>
      </c>
      <c r="T302" s="14">
        <f>CHOOSE(WEEKDAY(R302,2),"월","화","수","목","금","토","일")</f>
        <v/>
      </c>
      <c r="U302" s="14" t="inlineStr">
        <is>
          <t>미착수</t>
        </is>
      </c>
      <c r="V302" s="14" t="inlineStr">
        <is>
          <t>미착수</t>
        </is>
      </c>
      <c r="W302" s="18" t="n"/>
      <c r="X302" s="18" t="n"/>
      <c r="Y302" s="15" t="n"/>
      <c r="Z302" s="15" t="inlineStr"/>
      <c r="AA302" s="15" t="inlineStr">
        <is>
          <t>Heal me, O Yahweh, and I will be healed. Save me, and I will be saved; for you are my praise.</t>
        </is>
      </c>
    </row>
    <row r="303">
      <c r="A303" s="13" t="n">
        <v>302</v>
      </c>
      <c r="B303" s="13" t="inlineStr">
        <is>
          <t>W0302</t>
        </is>
      </c>
      <c r="C303" s="13" t="inlineStr">
        <is>
          <t>구약</t>
        </is>
      </c>
      <c r="D303" s="13" t="n">
        <v>302</v>
      </c>
      <c r="E303" s="13">
        <f>C303&amp;"말씀 #"&amp;TEXT(D303,"000")</f>
        <v/>
      </c>
      <c r="F303" s="14" t="inlineStr">
        <is>
          <t>예레미야</t>
        </is>
      </c>
      <c r="G303" s="14" t="inlineStr">
        <is>
          <t>18:6</t>
        </is>
      </c>
      <c r="H303" s="15" t="inlineStr">
        <is>
          <t>(렘 18:6, 개역한글)</t>
        </is>
      </c>
      <c r="I303" s="14" t="inlineStr">
        <is>
          <t>은혜</t>
        </is>
      </c>
      <c r="J303" s="14" t="inlineStr">
        <is>
          <t>잔잔한 물</t>
        </is>
      </c>
      <c r="K303" s="16" t="inlineStr">
        <is>
          <t>나 여호와가 이르노라 이스라엘 족속아 이 토기장이의 하는 것같이 내가 능히 너희에게 행하지 못하겠느냐 이스라엘 족속아 진흙이 토기장이의 손에 있음같이 너희가 내 손에 있느니라</t>
        </is>
      </c>
      <c r="L303" s="14" t="inlineStr">
        <is>
          <t>자동 입력 · 대조 필요</t>
        </is>
      </c>
      <c r="M303" s="14">
        <f>LEN(K303)</f>
        <v/>
      </c>
      <c r="N303" s="14">
        <f>IF(M303=0,"-",ROUND(3+M303/'안내'!$C$12,0))</f>
        <v/>
      </c>
      <c r="O303" s="15">
        <f>IF(K303="","(본문 입력 후 자동) | 렘 18:6",IF(LEN(K303)&gt;28,LEFT(K303,28)&amp;"…",K303)&amp;" | 렘 18:6")</f>
        <v/>
      </c>
      <c r="P303" s="15">
        <f>"#"&amp;SUBSTITUTE('안내'!$C$5," ","")&amp;" #성경구절 #말씀 #예레미야 #은혜"</f>
        <v/>
      </c>
      <c r="Q303" s="15" t="inlineStr">
        <is>
          <t>성경 본문: 개역한글판</t>
        </is>
      </c>
      <c r="R303" s="17">
        <f>'안내'!$C$6+INT((D303-1)/'안내'!$C$7)</f>
        <v/>
      </c>
      <c r="S303" s="14">
        <f>IF(MOD(D303-1,'안내'!$C$7)=0,'안내'!$C$8,'안내'!$C$10)</f>
        <v/>
      </c>
      <c r="T303" s="14">
        <f>CHOOSE(WEEKDAY(R303,2),"월","화","수","목","금","토","일")</f>
        <v/>
      </c>
      <c r="U303" s="14" t="inlineStr">
        <is>
          <t>미착수</t>
        </is>
      </c>
      <c r="V303" s="14" t="inlineStr">
        <is>
          <t>미착수</t>
        </is>
      </c>
      <c r="W303" s="18" t="n"/>
      <c r="X303" s="18" t="n"/>
      <c r="Y303" s="15" t="n"/>
      <c r="Z303" s="15" t="inlineStr">
        <is>
          <t>줄바꿈 띄어쓰기 확인</t>
        </is>
      </c>
      <c r="AA303" s="15" t="inlineStr">
        <is>
          <t>“House of Israel, can’t I do with you as this potter?” says Yahweh. “Behold, as the clay in the potter’s hand, so are you in my hand, house of Israel.</t>
        </is>
      </c>
    </row>
    <row r="304">
      <c r="A304" s="13" t="n">
        <v>303</v>
      </c>
      <c r="B304" s="13" t="inlineStr">
        <is>
          <t>W0303</t>
        </is>
      </c>
      <c r="C304" s="13" t="inlineStr">
        <is>
          <t>구약</t>
        </is>
      </c>
      <c r="D304" s="13" t="n">
        <v>303</v>
      </c>
      <c r="E304" s="13">
        <f>C304&amp;"말씀 #"&amp;TEXT(D304,"000")</f>
        <v/>
      </c>
      <c r="F304" s="14" t="inlineStr">
        <is>
          <t>예레미야</t>
        </is>
      </c>
      <c r="G304" s="14" t="inlineStr">
        <is>
          <t>20:9</t>
        </is>
      </c>
      <c r="H304" s="15" t="inlineStr">
        <is>
          <t>(렘 20:9, 개역한글)</t>
        </is>
      </c>
      <c r="I304" s="14" t="inlineStr">
        <is>
          <t>말씀</t>
        </is>
      </c>
      <c r="J304" s="14" t="inlineStr">
        <is>
          <t>들판·나무</t>
        </is>
      </c>
      <c r="K304" s="16" t="inlineStr">
        <is>
          <t>내가 다시는 여호와를 선포하지 아니하며 그 이름으로 말하지 아니하리라 하면 나의 중심이 불붙는 것 같아서 골수에 사무치니 답답하여 견딜 수 없나이다</t>
        </is>
      </c>
      <c r="L304" s="14" t="inlineStr">
        <is>
          <t>자동 입력</t>
        </is>
      </c>
      <c r="M304" s="14">
        <f>LEN(K304)</f>
        <v/>
      </c>
      <c r="N304" s="14">
        <f>IF(M304=0,"-",ROUND(3+M304/'안내'!$C$12,0))</f>
        <v/>
      </c>
      <c r="O304" s="15">
        <f>IF(K304="","(본문 입력 후 자동) | 렘 20:9",IF(LEN(K304)&gt;28,LEFT(K304,28)&amp;"…",K304)&amp;" | 렘 20:9")</f>
        <v/>
      </c>
      <c r="P304" s="15">
        <f>"#"&amp;SUBSTITUTE('안내'!$C$5," ","")&amp;" #성경구절 #말씀 #예레미야 #말씀"</f>
        <v/>
      </c>
      <c r="Q304" s="15" t="inlineStr">
        <is>
          <t>성경 본문: 개역한글판</t>
        </is>
      </c>
      <c r="R304" s="17">
        <f>'안내'!$C$6+INT((D304-1)/'안내'!$C$7)</f>
        <v/>
      </c>
      <c r="S304" s="14">
        <f>IF(MOD(D304-1,'안내'!$C$7)=0,'안내'!$C$8,'안내'!$C$10)</f>
        <v/>
      </c>
      <c r="T304" s="14">
        <f>CHOOSE(WEEKDAY(R304,2),"월","화","수","목","금","토","일")</f>
        <v/>
      </c>
      <c r="U304" s="14" t="inlineStr">
        <is>
          <t>미착수</t>
        </is>
      </c>
      <c r="V304" s="14" t="inlineStr">
        <is>
          <t>미착수</t>
        </is>
      </c>
      <c r="W304" s="18" t="n"/>
      <c r="X304" s="18" t="n"/>
      <c r="Y304" s="15" t="n"/>
      <c r="Z304" s="15" t="inlineStr"/>
      <c r="AA304" s="15" t="inlineStr">
        <is>
          <t>If I say that I will not make mention of him, or speak any more in his name, then there is in my heart as it were a burning fire shut up in my bones. I am weary with holding it in. I can’t.</t>
        </is>
      </c>
    </row>
    <row r="305">
      <c r="A305" s="13" t="n">
        <v>304</v>
      </c>
      <c r="B305" s="13" t="inlineStr">
        <is>
          <t>W0304</t>
        </is>
      </c>
      <c r="C305" s="13" t="inlineStr">
        <is>
          <t>구약</t>
        </is>
      </c>
      <c r="D305" s="13" t="n">
        <v>304</v>
      </c>
      <c r="E305" s="13">
        <f>C305&amp;"말씀 #"&amp;TEXT(D305,"000")</f>
        <v/>
      </c>
      <c r="F305" s="14" t="inlineStr">
        <is>
          <t>예레미야</t>
        </is>
      </c>
      <c r="G305" s="14" t="inlineStr">
        <is>
          <t>23:24</t>
        </is>
      </c>
      <c r="H305" s="15" t="inlineStr">
        <is>
          <t>(렘 23:24, 개역한글)</t>
        </is>
      </c>
      <c r="I305" s="14" t="inlineStr">
        <is>
          <t>임재</t>
        </is>
      </c>
      <c r="J305" s="14" t="inlineStr">
        <is>
          <t>하늘·별</t>
        </is>
      </c>
      <c r="K305" s="16" t="inlineStr">
        <is>
          <t>나 여호와가 말하노라 사람이 내게 보이지 아니하려고 누가 자기를 은밀한 곳에 숨길 수 있겠느냐 나 여호와가 말하노라 나는 천지에 충만하지 아니하냐</t>
        </is>
      </c>
      <c r="L305" s="14" t="inlineStr">
        <is>
          <t>자동 입력</t>
        </is>
      </c>
      <c r="M305" s="14">
        <f>LEN(K305)</f>
        <v/>
      </c>
      <c r="N305" s="14">
        <f>IF(M305=0,"-",ROUND(3+M305/'안내'!$C$12,0))</f>
        <v/>
      </c>
      <c r="O305" s="15">
        <f>IF(K305="","(본문 입력 후 자동) | 렘 23:24",IF(LEN(K305)&gt;28,LEFT(K305,28)&amp;"…",K305)&amp;" | 렘 23:24")</f>
        <v/>
      </c>
      <c r="P305" s="15">
        <f>"#"&amp;SUBSTITUTE('안내'!$C$5," ","")&amp;" #성경구절 #말씀 #예레미야 #임재"</f>
        <v/>
      </c>
      <c r="Q305" s="15" t="inlineStr">
        <is>
          <t>성경 본문: 개역한글판</t>
        </is>
      </c>
      <c r="R305" s="17">
        <f>'안내'!$C$6+INT((D305-1)/'안내'!$C$7)</f>
        <v/>
      </c>
      <c r="S305" s="14">
        <f>IF(MOD(D305-1,'안내'!$C$7)=0,'안내'!$C$8,'안내'!$C$10)</f>
        <v/>
      </c>
      <c r="T305" s="14">
        <f>CHOOSE(WEEKDAY(R305,2),"월","화","수","목","금","토","일")</f>
        <v/>
      </c>
      <c r="U305" s="14" t="inlineStr">
        <is>
          <t>미착수</t>
        </is>
      </c>
      <c r="V305" s="14" t="inlineStr">
        <is>
          <t>미착수</t>
        </is>
      </c>
      <c r="W305" s="18" t="n"/>
      <c r="X305" s="18" t="n"/>
      <c r="Y305" s="15" t="n"/>
      <c r="Z305" s="15" t="inlineStr"/>
      <c r="AA305" s="15" t="inlineStr">
        <is>
          <t>Can anyone hide himself in secret places so that I can’t see him?” says Yahweh. “Don’t I fill heaven and earth?” says Yahweh.</t>
        </is>
      </c>
    </row>
    <row r="306">
      <c r="A306" s="13" t="n">
        <v>305</v>
      </c>
      <c r="B306" s="13" t="inlineStr">
        <is>
          <t>W0305</t>
        </is>
      </c>
      <c r="C306" s="13" t="inlineStr">
        <is>
          <t>구약</t>
        </is>
      </c>
      <c r="D306" s="13" t="n">
        <v>305</v>
      </c>
      <c r="E306" s="13">
        <f>C306&amp;"말씀 #"&amp;TEXT(D306,"000")</f>
        <v/>
      </c>
      <c r="F306" s="14" t="inlineStr">
        <is>
          <t>예레미야</t>
        </is>
      </c>
      <c r="G306" s="14" t="inlineStr">
        <is>
          <t>29:11</t>
        </is>
      </c>
      <c r="H306" s="15" t="inlineStr">
        <is>
          <t>(렘 29:11, 개역한글)</t>
        </is>
      </c>
      <c r="I306" s="14" t="inlineStr">
        <is>
          <t>소망</t>
        </is>
      </c>
      <c r="J306" s="14" t="inlineStr">
        <is>
          <t>새벽빛</t>
        </is>
      </c>
      <c r="K306" s="16" t="inlineStr">
        <is>
          <t>나 여호와가 말하노라 너희를 향한 나의 생각은 내가 아나니 재앙이 아니라 곧 평안이요 너희 장래에 소망을 주려 하는 생각이라</t>
        </is>
      </c>
      <c r="L306" s="14" t="inlineStr">
        <is>
          <t>자동 입력</t>
        </is>
      </c>
      <c r="M306" s="14">
        <f>LEN(K306)</f>
        <v/>
      </c>
      <c r="N306" s="14">
        <f>IF(M306=0,"-",ROUND(3+M306/'안내'!$C$12,0))</f>
        <v/>
      </c>
      <c r="O306" s="15">
        <f>IF(K306="","(본문 입력 후 자동) | 렘 29:11",IF(LEN(K306)&gt;28,LEFT(K306,28)&amp;"…",K306)&amp;" | 렘 29:11")</f>
        <v/>
      </c>
      <c r="P306" s="15">
        <f>"#"&amp;SUBSTITUTE('안내'!$C$5," ","")&amp;" #성경구절 #말씀 #예레미야 #소망"</f>
        <v/>
      </c>
      <c r="Q306" s="19" t="inlineStr">
        <is>
          <t>포로로 끌려간 백성에게 70년 뒤 회복을 약속하신 말씀입니다. 개인의 성공을 보장하는 구절로 쓰지 않습니다.
성경 본문: 개역한글판</t>
        </is>
      </c>
      <c r="R306" s="17">
        <f>'안내'!$C$6+INT((D306-1)/'안내'!$C$7)</f>
        <v/>
      </c>
      <c r="S306" s="14">
        <f>IF(MOD(D306-1,'안내'!$C$7)=0,'안내'!$C$8,'안내'!$C$10)</f>
        <v/>
      </c>
      <c r="T306" s="14">
        <f>CHOOSE(WEEKDAY(R306,2),"월","화","수","목","금","토","일")</f>
        <v/>
      </c>
      <c r="U306" s="14" t="inlineStr">
        <is>
          <t>미착수</t>
        </is>
      </c>
      <c r="V306" s="14" t="inlineStr">
        <is>
          <t>미착수</t>
        </is>
      </c>
      <c r="W306" s="18" t="n"/>
      <c r="X306" s="18" t="n"/>
      <c r="Y306" s="15" t="n"/>
      <c r="Z306" s="15" t="inlineStr"/>
      <c r="AA306" s="15" t="inlineStr">
        <is>
          <t>For I know the thoughts that I think toward you,” says Yahweh, “thoughts of peace, and not of evil, to give you hope and a future.</t>
        </is>
      </c>
    </row>
    <row r="307">
      <c r="A307" s="13" t="n">
        <v>306</v>
      </c>
      <c r="B307" s="13" t="inlineStr">
        <is>
          <t>W0306</t>
        </is>
      </c>
      <c r="C307" s="13" t="inlineStr">
        <is>
          <t>구약</t>
        </is>
      </c>
      <c r="D307" s="13" t="n">
        <v>306</v>
      </c>
      <c r="E307" s="13">
        <f>C307&amp;"말씀 #"&amp;TEXT(D307,"000")</f>
        <v/>
      </c>
      <c r="F307" s="14" t="inlineStr">
        <is>
          <t>예레미야</t>
        </is>
      </c>
      <c r="G307" s="14" t="inlineStr">
        <is>
          <t>29:13</t>
        </is>
      </c>
      <c r="H307" s="15" t="inlineStr">
        <is>
          <t>(렘 29:13, 개역한글)</t>
        </is>
      </c>
      <c r="I307" s="14" t="inlineStr">
        <is>
          <t>기도</t>
        </is>
      </c>
      <c r="J307" s="14" t="inlineStr">
        <is>
          <t>제단·십자가</t>
        </is>
      </c>
      <c r="K307" s="16" t="inlineStr">
        <is>
          <t>너희가 전심으로 나를 찾고 찾으면 나를 만나리라</t>
        </is>
      </c>
      <c r="L307" s="14" t="inlineStr">
        <is>
          <t>자동 입력</t>
        </is>
      </c>
      <c r="M307" s="14">
        <f>LEN(K307)</f>
        <v/>
      </c>
      <c r="N307" s="14">
        <f>IF(M307=0,"-",ROUND(3+M307/'안내'!$C$12,0))</f>
        <v/>
      </c>
      <c r="O307" s="15">
        <f>IF(K307="","(본문 입력 후 자동) | 렘 29:13",IF(LEN(K307)&gt;28,LEFT(K307,28)&amp;"…",K307)&amp;" | 렘 29:13")</f>
        <v/>
      </c>
      <c r="P307" s="15">
        <f>"#"&amp;SUBSTITUTE('안내'!$C$5," ","")&amp;" #성경구절 #말씀 #예레미야 #기도"</f>
        <v/>
      </c>
      <c r="Q307" s="15" t="inlineStr">
        <is>
          <t>성경 본문: 개역한글판</t>
        </is>
      </c>
      <c r="R307" s="17">
        <f>'안내'!$C$6+INT((D307-1)/'안내'!$C$7)</f>
        <v/>
      </c>
      <c r="S307" s="14">
        <f>IF(MOD(D307-1,'안내'!$C$7)=0,'안내'!$C$8,'안내'!$C$10)</f>
        <v/>
      </c>
      <c r="T307" s="14">
        <f>CHOOSE(WEEKDAY(R307,2),"월","화","수","목","금","토","일")</f>
        <v/>
      </c>
      <c r="U307" s="14" t="inlineStr">
        <is>
          <t>미착수</t>
        </is>
      </c>
      <c r="V307" s="14" t="inlineStr">
        <is>
          <t>미착수</t>
        </is>
      </c>
      <c r="W307" s="18" t="n"/>
      <c r="X307" s="18" t="n"/>
      <c r="Y307" s="15" t="n"/>
      <c r="Z307" s="15" t="inlineStr"/>
      <c r="AA307" s="15" t="inlineStr">
        <is>
          <t>You shall seek me and find me, when you search for me with all your heart.</t>
        </is>
      </c>
    </row>
    <row r="308">
      <c r="A308" s="13" t="n">
        <v>307</v>
      </c>
      <c r="B308" s="13" t="inlineStr">
        <is>
          <t>W0307</t>
        </is>
      </c>
      <c r="C308" s="13" t="inlineStr">
        <is>
          <t>구약</t>
        </is>
      </c>
      <c r="D308" s="13" t="n">
        <v>307</v>
      </c>
      <c r="E308" s="13">
        <f>C308&amp;"말씀 #"&amp;TEXT(D308,"000")</f>
        <v/>
      </c>
      <c r="F308" s="14" t="inlineStr">
        <is>
          <t>예레미야</t>
        </is>
      </c>
      <c r="G308" s="14" t="inlineStr">
        <is>
          <t>31:3</t>
        </is>
      </c>
      <c r="H308" s="15" t="inlineStr">
        <is>
          <t>(렘 31:3, 개역한글)</t>
        </is>
      </c>
      <c r="I308" s="14" t="inlineStr">
        <is>
          <t>사랑</t>
        </is>
      </c>
      <c r="J308" s="14" t="inlineStr">
        <is>
          <t>창가·식탁</t>
        </is>
      </c>
      <c r="K308" s="16" t="inlineStr">
        <is>
          <t>나 여호와가 옛적에 이스라엘에게 나타나 이르기를 내가 무궁한 사랑으로 너를 사랑하는 고로 인자함으로 너를 인도하였다 하였노라</t>
        </is>
      </c>
      <c r="L308" s="14" t="inlineStr">
        <is>
          <t>자동 입력 · 대조 필요</t>
        </is>
      </c>
      <c r="M308" s="14">
        <f>LEN(K308)</f>
        <v/>
      </c>
      <c r="N308" s="14">
        <f>IF(M308=0,"-",ROUND(3+M308/'안내'!$C$12,0))</f>
        <v/>
      </c>
      <c r="O308" s="15">
        <f>IF(K308="","(본문 입력 후 자동) | 렘 31:3",IF(LEN(K308)&gt;28,LEFT(K308,28)&amp;"…",K308)&amp;" | 렘 31:3")</f>
        <v/>
      </c>
      <c r="P308" s="15">
        <f>"#"&amp;SUBSTITUTE('안내'!$C$5," ","")&amp;" #성경구절 #말씀 #예레미야 #사랑"</f>
        <v/>
      </c>
      <c r="Q308" s="15" t="inlineStr">
        <is>
          <t>성경 본문: 개역한글판</t>
        </is>
      </c>
      <c r="R308" s="17">
        <f>'안내'!$C$6+INT((D308-1)/'안내'!$C$7)</f>
        <v/>
      </c>
      <c r="S308" s="14">
        <f>IF(MOD(D308-1,'안내'!$C$7)=0,'안내'!$C$8,'안내'!$C$10)</f>
        <v/>
      </c>
      <c r="T308" s="14">
        <f>CHOOSE(WEEKDAY(R308,2),"월","화","수","목","금","토","일")</f>
        <v/>
      </c>
      <c r="U308" s="14" t="inlineStr">
        <is>
          <t>미착수</t>
        </is>
      </c>
      <c r="V308" s="14" t="inlineStr">
        <is>
          <t>미착수</t>
        </is>
      </c>
      <c r="W308" s="18" t="n"/>
      <c r="X308" s="18" t="n"/>
      <c r="Y308" s="15" t="n"/>
      <c r="Z308" s="15" t="inlineStr">
        <is>
          <t>줄바꿈 띄어쓰기 확인</t>
        </is>
      </c>
      <c r="AA308" s="15" t="inlineStr">
        <is>
          <t>Yahweh appeared of old to me, saying, “Yes, I have loved you with an everlasting love. Therefore I have drawn you with lov- ing kindness.</t>
        </is>
      </c>
    </row>
    <row r="309">
      <c r="A309" s="13" t="n">
        <v>308</v>
      </c>
      <c r="B309" s="13" t="inlineStr">
        <is>
          <t>W0308</t>
        </is>
      </c>
      <c r="C309" s="13" t="inlineStr">
        <is>
          <t>구약</t>
        </is>
      </c>
      <c r="D309" s="13" t="n">
        <v>308</v>
      </c>
      <c r="E309" s="13">
        <f>C309&amp;"말씀 #"&amp;TEXT(D309,"000")</f>
        <v/>
      </c>
      <c r="F309" s="14" t="inlineStr">
        <is>
          <t>예레미야</t>
        </is>
      </c>
      <c r="G309" s="14" t="inlineStr">
        <is>
          <t>31:33</t>
        </is>
      </c>
      <c r="H309" s="15" t="inlineStr">
        <is>
          <t>(렘 31:33, 개역한글)</t>
        </is>
      </c>
      <c r="I309" s="14" t="inlineStr">
        <is>
          <t>언약</t>
        </is>
      </c>
      <c r="J309" s="14" t="inlineStr">
        <is>
          <t>제단·십자가</t>
        </is>
      </c>
      <c r="K309" s="16" t="inlineStr">
        <is>
          <t>나 여호와가 말하노라 그러나 그 날 후에 내가 이스라엘 집에 세울 언약은 이러하니 곧 내가 나의 법을 그들의 속에 두며 그 마음에 기록하여 나는 그들의 하나님이 되고 그들은 내 백성이 될 것이라</t>
        </is>
      </c>
      <c r="L309" s="14" t="inlineStr">
        <is>
          <t>자동 입력</t>
        </is>
      </c>
      <c r="M309" s="14">
        <f>LEN(K309)</f>
        <v/>
      </c>
      <c r="N309" s="14">
        <f>IF(M309=0,"-",ROUND(3+M309/'안내'!$C$12,0))</f>
        <v/>
      </c>
      <c r="O309" s="15">
        <f>IF(K309="","(본문 입력 후 자동) | 렘 31:33",IF(LEN(K309)&gt;28,LEFT(K309,28)&amp;"…",K309)&amp;" | 렘 31:33")</f>
        <v/>
      </c>
      <c r="P309" s="15">
        <f>"#"&amp;SUBSTITUTE('안내'!$C$5," ","")&amp;" #성경구절 #말씀 #예레미야 #언약"</f>
        <v/>
      </c>
      <c r="Q309" s="15" t="inlineStr">
        <is>
          <t>성경 본문: 개역한글판</t>
        </is>
      </c>
      <c r="R309" s="17">
        <f>'안내'!$C$6+INT((D309-1)/'안내'!$C$7)</f>
        <v/>
      </c>
      <c r="S309" s="14">
        <f>IF(MOD(D309-1,'안내'!$C$7)=0,'안내'!$C$8,'안내'!$C$10)</f>
        <v/>
      </c>
      <c r="T309" s="14">
        <f>CHOOSE(WEEKDAY(R309,2),"월","화","수","목","금","토","일")</f>
        <v/>
      </c>
      <c r="U309" s="14" t="inlineStr">
        <is>
          <t>미착수</t>
        </is>
      </c>
      <c r="V309" s="14" t="inlineStr">
        <is>
          <t>미착수</t>
        </is>
      </c>
      <c r="W309" s="18" t="n"/>
      <c r="X309" s="18" t="n"/>
      <c r="Y309" s="15" t="n"/>
      <c r="Z309" s="15" t="inlineStr"/>
      <c r="AA309" s="15" t="inlineStr">
        <is>
          <t>“But this is the covenant that I will make with the house of Israel after those days,” says Yahweh: “I will put my law in their inward parts, and I will write it in their heart. I will be their God, and they shall be my people.</t>
        </is>
      </c>
    </row>
    <row r="310">
      <c r="A310" s="13" t="n">
        <v>309</v>
      </c>
      <c r="B310" s="13" t="inlineStr">
        <is>
          <t>W0309</t>
        </is>
      </c>
      <c r="C310" s="13" t="inlineStr">
        <is>
          <t>구약</t>
        </is>
      </c>
      <c r="D310" s="13" t="n">
        <v>309</v>
      </c>
      <c r="E310" s="13">
        <f>C310&amp;"말씀 #"&amp;TEXT(D310,"000")</f>
        <v/>
      </c>
      <c r="F310" s="14" t="inlineStr">
        <is>
          <t>예레미야</t>
        </is>
      </c>
      <c r="G310" s="14" t="inlineStr">
        <is>
          <t>32:17</t>
        </is>
      </c>
      <c r="H310" s="15" t="inlineStr">
        <is>
          <t>(렘 32:17, 개역한글)</t>
        </is>
      </c>
      <c r="I310" s="14" t="inlineStr">
        <is>
          <t>능력</t>
        </is>
      </c>
      <c r="J310" s="14" t="inlineStr">
        <is>
          <t>바위산·광야</t>
        </is>
      </c>
      <c r="K310" s="16" t="inlineStr">
        <is>
          <t>슬프도소이다 주 여호와여 주께서 큰 능과 드신 팔로 천지를 지으셨사오니 주에게는 능치 못한 일이 없으시니이다</t>
        </is>
      </c>
      <c r="L310" s="14" t="inlineStr">
        <is>
          <t>자동 입력 · 대조 필요</t>
        </is>
      </c>
      <c r="M310" s="14">
        <f>LEN(K310)</f>
        <v/>
      </c>
      <c r="N310" s="14">
        <f>IF(M310=0,"-",ROUND(3+M310/'안내'!$C$12,0))</f>
        <v/>
      </c>
      <c r="O310" s="15">
        <f>IF(K310="","(본문 입력 후 자동) | 렘 32:17",IF(LEN(K310)&gt;28,LEFT(K310,28)&amp;"…",K310)&amp;" | 렘 32:17")</f>
        <v/>
      </c>
      <c r="P310" s="15">
        <f>"#"&amp;SUBSTITUTE('안내'!$C$5," ","")&amp;" #성경구절 #말씀 #예레미야 #능력"</f>
        <v/>
      </c>
      <c r="Q310" s="15" t="inlineStr">
        <is>
          <t>성경 본문: 개역한글판</t>
        </is>
      </c>
      <c r="R310" s="17">
        <f>'안내'!$C$6+INT((D310-1)/'안내'!$C$7)</f>
        <v/>
      </c>
      <c r="S310" s="14">
        <f>IF(MOD(D310-1,'안내'!$C$7)=0,'안내'!$C$8,'안내'!$C$10)</f>
        <v/>
      </c>
      <c r="T310" s="14">
        <f>CHOOSE(WEEKDAY(R310,2),"월","화","수","목","금","토","일")</f>
        <v/>
      </c>
      <c r="U310" s="14" t="inlineStr">
        <is>
          <t>미착수</t>
        </is>
      </c>
      <c r="V310" s="14" t="inlineStr">
        <is>
          <t>미착수</t>
        </is>
      </c>
      <c r="W310" s="18" t="n"/>
      <c r="X310" s="18" t="n"/>
      <c r="Y310" s="15" t="n"/>
      <c r="Z310" s="15" t="inlineStr">
        <is>
          <t>줄바꿈 띄어쓰기 확인</t>
        </is>
      </c>
      <c r="AA310" s="15" t="inlineStr">
        <is>
          <t>“Ah Lord Yahweh! Behold, you have made the heavens and the earth by your great power and by your outstretched arm. There is nothing too hard for you.</t>
        </is>
      </c>
    </row>
    <row r="311">
      <c r="A311" s="13" t="n">
        <v>310</v>
      </c>
      <c r="B311" s="13" t="inlineStr">
        <is>
          <t>W0310</t>
        </is>
      </c>
      <c r="C311" s="13" t="inlineStr">
        <is>
          <t>구약</t>
        </is>
      </c>
      <c r="D311" s="13" t="n">
        <v>310</v>
      </c>
      <c r="E311" s="13">
        <f>C311&amp;"말씀 #"&amp;TEXT(D311,"000")</f>
        <v/>
      </c>
      <c r="F311" s="14" t="inlineStr">
        <is>
          <t>예레미야</t>
        </is>
      </c>
      <c r="G311" s="14" t="inlineStr">
        <is>
          <t>33:3</t>
        </is>
      </c>
      <c r="H311" s="15" t="inlineStr">
        <is>
          <t>(렘 33:3, 개역한글)</t>
        </is>
      </c>
      <c r="I311" s="14" t="inlineStr">
        <is>
          <t>기도</t>
        </is>
      </c>
      <c r="J311" s="14" t="inlineStr">
        <is>
          <t>제단·십자가</t>
        </is>
      </c>
      <c r="K311" s="16" t="inlineStr">
        <is>
          <t>너는 내게 부르짖으라 내가 네게 응답하겠고 네가 알지 못하는 크고 비밀한 일을 네게 보이리라</t>
        </is>
      </c>
      <c r="L311" s="14" t="inlineStr">
        <is>
          <t>자동 입력</t>
        </is>
      </c>
      <c r="M311" s="14">
        <f>LEN(K311)</f>
        <v/>
      </c>
      <c r="N311" s="14">
        <f>IF(M311=0,"-",ROUND(3+M311/'안내'!$C$12,0))</f>
        <v/>
      </c>
      <c r="O311" s="15">
        <f>IF(K311="","(본문 입력 후 자동) | 렘 33:3",IF(LEN(K311)&gt;28,LEFT(K311,28)&amp;"…",K311)&amp;" | 렘 33:3")</f>
        <v/>
      </c>
      <c r="P311" s="15">
        <f>"#"&amp;SUBSTITUTE('안내'!$C$5," ","")&amp;" #성경구절 #말씀 #예레미야 #기도"</f>
        <v/>
      </c>
      <c r="Q311" s="15" t="inlineStr">
        <is>
          <t>성경 본문: 개역한글판</t>
        </is>
      </c>
      <c r="R311" s="17">
        <f>'안내'!$C$6+INT((D311-1)/'안내'!$C$7)</f>
        <v/>
      </c>
      <c r="S311" s="14">
        <f>IF(MOD(D311-1,'안내'!$C$7)=0,'안내'!$C$8,'안내'!$C$10)</f>
        <v/>
      </c>
      <c r="T311" s="14">
        <f>CHOOSE(WEEKDAY(R311,2),"월","화","수","목","금","토","일")</f>
        <v/>
      </c>
      <c r="U311" s="14" t="inlineStr">
        <is>
          <t>미착수</t>
        </is>
      </c>
      <c r="V311" s="14" t="inlineStr">
        <is>
          <t>미착수</t>
        </is>
      </c>
      <c r="W311" s="18" t="n"/>
      <c r="X311" s="18" t="n"/>
      <c r="Y311" s="15" t="n"/>
      <c r="Z311" s="15" t="inlineStr"/>
      <c r="AA311" s="15" t="inlineStr">
        <is>
          <t>‘Call to me, and I will answer you, and will show you great and difficult things, which you don’t know.’</t>
        </is>
      </c>
    </row>
    <row r="312">
      <c r="A312" s="13" t="n">
        <v>311</v>
      </c>
      <c r="B312" s="13" t="inlineStr">
        <is>
          <t>W0311</t>
        </is>
      </c>
      <c r="C312" s="13" t="inlineStr">
        <is>
          <t>구약</t>
        </is>
      </c>
      <c r="D312" s="13" t="n">
        <v>311</v>
      </c>
      <c r="E312" s="13">
        <f>C312&amp;"말씀 #"&amp;TEXT(D312,"000")</f>
        <v/>
      </c>
      <c r="F312" s="14" t="inlineStr">
        <is>
          <t>예레미야애가</t>
        </is>
      </c>
      <c r="G312" s="14" t="inlineStr">
        <is>
          <t>3:22</t>
        </is>
      </c>
      <c r="H312" s="15" t="inlineStr">
        <is>
          <t>(애 3:22, 개역한글)</t>
        </is>
      </c>
      <c r="I312" s="14" t="inlineStr">
        <is>
          <t>은혜</t>
        </is>
      </c>
      <c r="J312" s="14" t="inlineStr">
        <is>
          <t>잔잔한 물</t>
        </is>
      </c>
      <c r="K312" s="16" t="inlineStr">
        <is>
          <t>여호와의 자비와 긍휼이 무궁하시므로 우리가 진멸되지 아니함이니이다</t>
        </is>
      </c>
      <c r="L312" s="14" t="inlineStr">
        <is>
          <t>자동 입력</t>
        </is>
      </c>
      <c r="M312" s="14">
        <f>LEN(K312)</f>
        <v/>
      </c>
      <c r="N312" s="14">
        <f>IF(M312=0,"-",ROUND(3+M312/'안내'!$C$12,0))</f>
        <v/>
      </c>
      <c r="O312" s="15">
        <f>IF(K312="","(본문 입력 후 자동) | 애 3:22",IF(LEN(K312)&gt;28,LEFT(K312,28)&amp;"…",K312)&amp;" | 애 3:22")</f>
        <v/>
      </c>
      <c r="P312" s="15">
        <f>"#"&amp;SUBSTITUTE('안내'!$C$5," ","")&amp;" #성경구절 #말씀 #예레미야애가 #은혜"</f>
        <v/>
      </c>
      <c r="Q312" s="15" t="inlineStr">
        <is>
          <t>성경 본문: 개역한글판</t>
        </is>
      </c>
      <c r="R312" s="17">
        <f>'안내'!$C$6+INT((D312-1)/'안내'!$C$7)</f>
        <v/>
      </c>
      <c r="S312" s="14">
        <f>IF(MOD(D312-1,'안내'!$C$7)=0,'안내'!$C$8,'안내'!$C$10)</f>
        <v/>
      </c>
      <c r="T312" s="14">
        <f>CHOOSE(WEEKDAY(R312,2),"월","화","수","목","금","토","일")</f>
        <v/>
      </c>
      <c r="U312" s="14" t="inlineStr">
        <is>
          <t>미착수</t>
        </is>
      </c>
      <c r="V312" s="14" t="inlineStr">
        <is>
          <t>미착수</t>
        </is>
      </c>
      <c r="W312" s="18" t="n"/>
      <c r="X312" s="18" t="n"/>
      <c r="Y312" s="15" t="n"/>
      <c r="Z312" s="15" t="inlineStr"/>
      <c r="AA312" s="15" t="inlineStr">
        <is>
          <t>It is because of Yahweh’s loving kind- nesses that we are not consumed, because his mercies don’t fail.</t>
        </is>
      </c>
    </row>
    <row r="313">
      <c r="A313" s="13" t="n">
        <v>312</v>
      </c>
      <c r="B313" s="13" t="inlineStr">
        <is>
          <t>W0312</t>
        </is>
      </c>
      <c r="C313" s="13" t="inlineStr">
        <is>
          <t>구약</t>
        </is>
      </c>
      <c r="D313" s="13" t="n">
        <v>312</v>
      </c>
      <c r="E313" s="13">
        <f>C313&amp;"말씀 #"&amp;TEXT(D313,"000")</f>
        <v/>
      </c>
      <c r="F313" s="14" t="inlineStr">
        <is>
          <t>예레미야애가</t>
        </is>
      </c>
      <c r="G313" s="14" t="inlineStr">
        <is>
          <t>3:23</t>
        </is>
      </c>
      <c r="H313" s="15" t="inlineStr">
        <is>
          <t>(애 3:23, 개역한글)</t>
        </is>
      </c>
      <c r="I313" s="14" t="inlineStr">
        <is>
          <t>신실하심</t>
        </is>
      </c>
      <c r="J313" s="14" t="inlineStr">
        <is>
          <t>바위산·광야</t>
        </is>
      </c>
      <c r="K313" s="16" t="inlineStr">
        <is>
          <t>이것이 아침마다 새로우니 주의 성실이 크도소이다</t>
        </is>
      </c>
      <c r="L313" s="14" t="inlineStr">
        <is>
          <t>자동 입력</t>
        </is>
      </c>
      <c r="M313" s="14">
        <f>LEN(K313)</f>
        <v/>
      </c>
      <c r="N313" s="14">
        <f>IF(M313=0,"-",ROUND(3+M313/'안내'!$C$12,0))</f>
        <v/>
      </c>
      <c r="O313" s="15">
        <f>IF(K313="","(본문 입력 후 자동) | 애 3:23",IF(LEN(K313)&gt;28,LEFT(K313,28)&amp;"…",K313)&amp;" | 애 3:23")</f>
        <v/>
      </c>
      <c r="P313" s="15">
        <f>"#"&amp;SUBSTITUTE('안내'!$C$5," ","")&amp;" #성경구절 #말씀 #예레미야애가 #신실하심"</f>
        <v/>
      </c>
      <c r="Q313" s="15" t="inlineStr">
        <is>
          <t>성경 본문: 개역한글판</t>
        </is>
      </c>
      <c r="R313" s="17">
        <f>'안내'!$C$6+INT((D313-1)/'안내'!$C$7)</f>
        <v/>
      </c>
      <c r="S313" s="14">
        <f>IF(MOD(D313-1,'안내'!$C$7)=0,'안내'!$C$8,'안내'!$C$10)</f>
        <v/>
      </c>
      <c r="T313" s="14">
        <f>CHOOSE(WEEKDAY(R313,2),"월","화","수","목","금","토","일")</f>
        <v/>
      </c>
      <c r="U313" s="14" t="inlineStr">
        <is>
          <t>미착수</t>
        </is>
      </c>
      <c r="V313" s="14" t="inlineStr">
        <is>
          <t>미착수</t>
        </is>
      </c>
      <c r="W313" s="18" t="n"/>
      <c r="X313" s="18" t="n"/>
      <c r="Y313" s="15" t="n"/>
      <c r="Z313" s="15" t="inlineStr"/>
      <c r="AA313" s="15" t="inlineStr">
        <is>
          <t>They are new every morning. Great is your faithfulness.</t>
        </is>
      </c>
    </row>
    <row r="314">
      <c r="A314" s="13" t="n">
        <v>313</v>
      </c>
      <c r="B314" s="13" t="inlineStr">
        <is>
          <t>W0313</t>
        </is>
      </c>
      <c r="C314" s="13" t="inlineStr">
        <is>
          <t>구약</t>
        </is>
      </c>
      <c r="D314" s="13" t="n">
        <v>313</v>
      </c>
      <c r="E314" s="13">
        <f>C314&amp;"말씀 #"&amp;TEXT(D314,"000")</f>
        <v/>
      </c>
      <c r="F314" s="14" t="inlineStr">
        <is>
          <t>예레미야애가</t>
        </is>
      </c>
      <c r="G314" s="14" t="inlineStr">
        <is>
          <t>3:25</t>
        </is>
      </c>
      <c r="H314" s="15" t="inlineStr">
        <is>
          <t>(애 3:25, 개역한글)</t>
        </is>
      </c>
      <c r="I314" s="14" t="inlineStr">
        <is>
          <t>소망</t>
        </is>
      </c>
      <c r="J314" s="14" t="inlineStr">
        <is>
          <t>새벽빛</t>
        </is>
      </c>
      <c r="K314" s="16" t="inlineStr">
        <is>
          <t>무릇 기다리는 자에게나 구하는 영혼에게 여호와께서 선을 베푸시는도다</t>
        </is>
      </c>
      <c r="L314" s="14" t="inlineStr">
        <is>
          <t>자동 입력</t>
        </is>
      </c>
      <c r="M314" s="14">
        <f>LEN(K314)</f>
        <v/>
      </c>
      <c r="N314" s="14">
        <f>IF(M314=0,"-",ROUND(3+M314/'안내'!$C$12,0))</f>
        <v/>
      </c>
      <c r="O314" s="15">
        <f>IF(K314="","(본문 입력 후 자동) | 애 3:25",IF(LEN(K314)&gt;28,LEFT(K314,28)&amp;"…",K314)&amp;" | 애 3:25")</f>
        <v/>
      </c>
      <c r="P314" s="15">
        <f>"#"&amp;SUBSTITUTE('안내'!$C$5," ","")&amp;" #성경구절 #말씀 #예레미야애가 #소망"</f>
        <v/>
      </c>
      <c r="Q314" s="15" t="inlineStr">
        <is>
          <t>성경 본문: 개역한글판</t>
        </is>
      </c>
      <c r="R314" s="17">
        <f>'안내'!$C$6+INT((D314-1)/'안내'!$C$7)</f>
        <v/>
      </c>
      <c r="S314" s="14">
        <f>IF(MOD(D314-1,'안내'!$C$7)=0,'안내'!$C$8,'안내'!$C$10)</f>
        <v/>
      </c>
      <c r="T314" s="14">
        <f>CHOOSE(WEEKDAY(R314,2),"월","화","수","목","금","토","일")</f>
        <v/>
      </c>
      <c r="U314" s="14" t="inlineStr">
        <is>
          <t>미착수</t>
        </is>
      </c>
      <c r="V314" s="14" t="inlineStr">
        <is>
          <t>미착수</t>
        </is>
      </c>
      <c r="W314" s="18" t="n"/>
      <c r="X314" s="18" t="n"/>
      <c r="Y314" s="15" t="n"/>
      <c r="Z314" s="15" t="inlineStr"/>
      <c r="AA314" s="15" t="inlineStr">
        <is>
          <t>Yahweh is good to those who wait for him, to the soul who seeks him.</t>
        </is>
      </c>
    </row>
    <row r="315">
      <c r="A315" s="13" t="n">
        <v>314</v>
      </c>
      <c r="B315" s="13" t="inlineStr">
        <is>
          <t>W0314</t>
        </is>
      </c>
      <c r="C315" s="13" t="inlineStr">
        <is>
          <t>구약</t>
        </is>
      </c>
      <c r="D315" s="13" t="n">
        <v>314</v>
      </c>
      <c r="E315" s="13">
        <f>C315&amp;"말씀 #"&amp;TEXT(D315,"000")</f>
        <v/>
      </c>
      <c r="F315" s="14" t="inlineStr">
        <is>
          <t>예레미야애가</t>
        </is>
      </c>
      <c r="G315" s="14" t="inlineStr">
        <is>
          <t>3:40</t>
        </is>
      </c>
      <c r="H315" s="15" t="inlineStr">
        <is>
          <t>(애 3:40, 개역한글)</t>
        </is>
      </c>
      <c r="I315" s="14" t="inlineStr">
        <is>
          <t>회개</t>
        </is>
      </c>
      <c r="J315" s="14" t="inlineStr">
        <is>
          <t>제단·십자가</t>
        </is>
      </c>
      <c r="K315" s="16" t="inlineStr">
        <is>
          <t>우리가 스스로 행위를 조사하고 여호와께로 돌아가자</t>
        </is>
      </c>
      <c r="L315" s="14" t="inlineStr">
        <is>
          <t>자동 입력</t>
        </is>
      </c>
      <c r="M315" s="14">
        <f>LEN(K315)</f>
        <v/>
      </c>
      <c r="N315" s="14">
        <f>IF(M315=0,"-",ROUND(3+M315/'안내'!$C$12,0))</f>
        <v/>
      </c>
      <c r="O315" s="15">
        <f>IF(K315="","(본문 입력 후 자동) | 애 3:40",IF(LEN(K315)&gt;28,LEFT(K315,28)&amp;"…",K315)&amp;" | 애 3:40")</f>
        <v/>
      </c>
      <c r="P315" s="15">
        <f>"#"&amp;SUBSTITUTE('안내'!$C$5," ","")&amp;" #성경구절 #말씀 #예레미야애가 #회개"</f>
        <v/>
      </c>
      <c r="Q315" s="15" t="inlineStr">
        <is>
          <t>성경 본문: 개역한글판</t>
        </is>
      </c>
      <c r="R315" s="17">
        <f>'안내'!$C$6+INT((D315-1)/'안내'!$C$7)</f>
        <v/>
      </c>
      <c r="S315" s="14">
        <f>IF(MOD(D315-1,'안내'!$C$7)=0,'안내'!$C$8,'안내'!$C$10)</f>
        <v/>
      </c>
      <c r="T315" s="14">
        <f>CHOOSE(WEEKDAY(R315,2),"월","화","수","목","금","토","일")</f>
        <v/>
      </c>
      <c r="U315" s="14" t="inlineStr">
        <is>
          <t>미착수</t>
        </is>
      </c>
      <c r="V315" s="14" t="inlineStr">
        <is>
          <t>미착수</t>
        </is>
      </c>
      <c r="W315" s="18" t="n"/>
      <c r="X315" s="18" t="n"/>
      <c r="Y315" s="15" t="n"/>
      <c r="Z315" s="15" t="inlineStr"/>
      <c r="AA315" s="15" t="inlineStr">
        <is>
          <t>Let us search and try our ways, and turn again to Yahweh.</t>
        </is>
      </c>
    </row>
    <row r="316">
      <c r="A316" s="13" t="n">
        <v>315</v>
      </c>
      <c r="B316" s="13" t="inlineStr">
        <is>
          <t>W0315</t>
        </is>
      </c>
      <c r="C316" s="13" t="inlineStr">
        <is>
          <t>구약</t>
        </is>
      </c>
      <c r="D316" s="13" t="n">
        <v>315</v>
      </c>
      <c r="E316" s="13">
        <f>C316&amp;"말씀 #"&amp;TEXT(D316,"000")</f>
        <v/>
      </c>
      <c r="F316" s="14" t="inlineStr">
        <is>
          <t>에스겔</t>
        </is>
      </c>
      <c r="G316" s="14" t="inlineStr">
        <is>
          <t>11:19</t>
        </is>
      </c>
      <c r="H316" s="15" t="inlineStr">
        <is>
          <t>(겔 11:19, 개역한글)</t>
        </is>
      </c>
      <c r="I316" s="14" t="inlineStr">
        <is>
          <t>새 마음</t>
        </is>
      </c>
      <c r="J316" s="14" t="inlineStr">
        <is>
          <t>새벽빛</t>
        </is>
      </c>
      <c r="K316" s="16" t="inlineStr">
        <is>
          <t>내가 그들에게 일치한 마음을 주고 그 속에 새 신을 주며 그 몸에서 굳은 마음을 제하고 부드러운 마음을 주어서</t>
        </is>
      </c>
      <c r="L316" s="14" t="inlineStr">
        <is>
          <t>자동 입력 · 대조 필요</t>
        </is>
      </c>
      <c r="M316" s="14">
        <f>LEN(K316)</f>
        <v/>
      </c>
      <c r="N316" s="14">
        <f>IF(M316=0,"-",ROUND(3+M316/'안내'!$C$12,0))</f>
        <v/>
      </c>
      <c r="O316" s="15">
        <f>IF(K316="","(본문 입력 후 자동) | 겔 11:19",IF(LEN(K316)&gt;28,LEFT(K316,28)&amp;"…",K316)&amp;" | 겔 11:19")</f>
        <v/>
      </c>
      <c r="P316" s="15">
        <f>"#"&amp;SUBSTITUTE('안내'!$C$5," ","")&amp;" #성경구절 #말씀 #에스겔 #새마음"</f>
        <v/>
      </c>
      <c r="Q316" s="15" t="inlineStr">
        <is>
          <t>성경 본문: 개역한글판</t>
        </is>
      </c>
      <c r="R316" s="17">
        <f>'안내'!$C$6+INT((D316-1)/'안내'!$C$7)</f>
        <v/>
      </c>
      <c r="S316" s="14">
        <f>IF(MOD(D316-1,'안내'!$C$7)=0,'안내'!$C$8,'안내'!$C$10)</f>
        <v/>
      </c>
      <c r="T316" s="14">
        <f>CHOOSE(WEEKDAY(R316,2),"월","화","수","목","금","토","일")</f>
        <v/>
      </c>
      <c r="U316" s="14" t="inlineStr">
        <is>
          <t>미착수</t>
        </is>
      </c>
      <c r="V316" s="14" t="inlineStr">
        <is>
          <t>미착수</t>
        </is>
      </c>
      <c r="W316" s="18" t="n"/>
      <c r="X316" s="18" t="n"/>
      <c r="Y316" s="15" t="n"/>
      <c r="Z316" s="15" t="inlineStr">
        <is>
          <t>줄바꿈 띄어쓰기 확인</t>
        </is>
      </c>
      <c r="AA316" s="15" t="inlineStr">
        <is>
          <t>I will give them one heart, and I will put a new spirit within them. I will take the stony heart out of their flesh, and will give them a heart of flesh,</t>
        </is>
      </c>
    </row>
    <row r="317">
      <c r="A317" s="13" t="n">
        <v>316</v>
      </c>
      <c r="B317" s="13" t="inlineStr">
        <is>
          <t>W0316</t>
        </is>
      </c>
      <c r="C317" s="13" t="inlineStr">
        <is>
          <t>구약</t>
        </is>
      </c>
      <c r="D317" s="13" t="n">
        <v>316</v>
      </c>
      <c r="E317" s="13">
        <f>C317&amp;"말씀 #"&amp;TEXT(D317,"000")</f>
        <v/>
      </c>
      <c r="F317" s="14" t="inlineStr">
        <is>
          <t>에스겔</t>
        </is>
      </c>
      <c r="G317" s="14" t="inlineStr">
        <is>
          <t>18:32</t>
        </is>
      </c>
      <c r="H317" s="15" t="inlineStr">
        <is>
          <t>(겔 18:32, 개역한글)</t>
        </is>
      </c>
      <c r="I317" s="14" t="inlineStr">
        <is>
          <t>회개</t>
        </is>
      </c>
      <c r="J317" s="14" t="inlineStr">
        <is>
          <t>제단·십자가</t>
        </is>
      </c>
      <c r="K317" s="16" t="inlineStr">
        <is>
          <t>나 주 여호와가 말하노라 죽는 자의 죽는 것은 내가 기뻐하지 아니하노니 너희는 스스로 돌이키고 살지니라</t>
        </is>
      </c>
      <c r="L317" s="14" t="inlineStr">
        <is>
          <t>자동 입력 · 대조 필요</t>
        </is>
      </c>
      <c r="M317" s="14">
        <f>LEN(K317)</f>
        <v/>
      </c>
      <c r="N317" s="14">
        <f>IF(M317=0,"-",ROUND(3+M317/'안내'!$C$12,0))</f>
        <v/>
      </c>
      <c r="O317" s="15">
        <f>IF(K317="","(본문 입력 후 자동) | 겔 18:32",IF(LEN(K317)&gt;28,LEFT(K317,28)&amp;"…",K317)&amp;" | 겔 18:32")</f>
        <v/>
      </c>
      <c r="P317" s="15">
        <f>"#"&amp;SUBSTITUTE('안내'!$C$5," ","")&amp;" #성경구절 #말씀 #에스겔 #회개"</f>
        <v/>
      </c>
      <c r="Q317" s="15" t="inlineStr">
        <is>
          <t>성경 본문: 개역한글판</t>
        </is>
      </c>
      <c r="R317" s="17">
        <f>'안내'!$C$6+INT((D317-1)/'안내'!$C$7)</f>
        <v/>
      </c>
      <c r="S317" s="14">
        <f>IF(MOD(D317-1,'안내'!$C$7)=0,'안내'!$C$8,'안내'!$C$10)</f>
        <v/>
      </c>
      <c r="T317" s="14">
        <f>CHOOSE(WEEKDAY(R317,2),"월","화","수","목","금","토","일")</f>
        <v/>
      </c>
      <c r="U317" s="14" t="inlineStr">
        <is>
          <t>미착수</t>
        </is>
      </c>
      <c r="V317" s="14" t="inlineStr">
        <is>
          <t>미착수</t>
        </is>
      </c>
      <c r="W317" s="18" t="n"/>
      <c r="X317" s="18" t="n"/>
      <c r="Y317" s="15" t="n"/>
      <c r="Z317" s="15" t="inlineStr">
        <is>
          <t>줄바꿈 띄어쓰기 확인</t>
        </is>
      </c>
      <c r="AA317" s="15" t="inlineStr">
        <is>
          <t>For I have no pleasure in the death of him who dies,” says the Lord Yahweh. “Therefore turn yourselves, and live!</t>
        </is>
      </c>
    </row>
    <row r="318">
      <c r="A318" s="13" t="n">
        <v>317</v>
      </c>
      <c r="B318" s="13" t="inlineStr">
        <is>
          <t>W0317</t>
        </is>
      </c>
      <c r="C318" s="13" t="inlineStr">
        <is>
          <t>구약</t>
        </is>
      </c>
      <c r="D318" s="13" t="n">
        <v>317</v>
      </c>
      <c r="E318" s="13">
        <f>C318&amp;"말씀 #"&amp;TEXT(D318,"000")</f>
        <v/>
      </c>
      <c r="F318" s="14" t="inlineStr">
        <is>
          <t>에스겔</t>
        </is>
      </c>
      <c r="G318" s="14" t="inlineStr">
        <is>
          <t>22:30</t>
        </is>
      </c>
      <c r="H318" s="15" t="inlineStr">
        <is>
          <t>(겔 22:30, 개역한글)</t>
        </is>
      </c>
      <c r="I318" s="14" t="inlineStr">
        <is>
          <t>헌신</t>
        </is>
      </c>
      <c r="J318" s="14" t="inlineStr">
        <is>
          <t>길·등불</t>
        </is>
      </c>
      <c r="K318" s="16" t="inlineStr">
        <is>
          <t>이 땅을 위하여 성을 쌓으며 성 무너진 데를 막아 서서 나로 멸하지 못하게 할 사람을 내가 그 가운데서 찾다가 얻지 못한 고로</t>
        </is>
      </c>
      <c r="L318" s="14" t="inlineStr">
        <is>
          <t>자동 입력 · 대조 필요</t>
        </is>
      </c>
      <c r="M318" s="14">
        <f>LEN(K318)</f>
        <v/>
      </c>
      <c r="N318" s="14">
        <f>IF(M318=0,"-",ROUND(3+M318/'안내'!$C$12,0))</f>
        <v/>
      </c>
      <c r="O318" s="15">
        <f>IF(K318="","(본문 입력 후 자동) | 겔 22:30",IF(LEN(K318)&gt;28,LEFT(K318,28)&amp;"…",K318)&amp;" | 겔 22:30")</f>
        <v/>
      </c>
      <c r="P318" s="15">
        <f>"#"&amp;SUBSTITUTE('안내'!$C$5," ","")&amp;" #성경구절 #말씀 #에스겔 #헌신"</f>
        <v/>
      </c>
      <c r="Q318" s="15" t="inlineStr">
        <is>
          <t>성경 본문: 개역한글판</t>
        </is>
      </c>
      <c r="R318" s="17">
        <f>'안내'!$C$6+INT((D318-1)/'안내'!$C$7)</f>
        <v/>
      </c>
      <c r="S318" s="14">
        <f>IF(MOD(D318-1,'안내'!$C$7)=0,'안내'!$C$8,'안내'!$C$10)</f>
        <v/>
      </c>
      <c r="T318" s="14">
        <f>CHOOSE(WEEKDAY(R318,2),"월","화","수","목","금","토","일")</f>
        <v/>
      </c>
      <c r="U318" s="14" t="inlineStr">
        <is>
          <t>미착수</t>
        </is>
      </c>
      <c r="V318" s="14" t="inlineStr">
        <is>
          <t>미착수</t>
        </is>
      </c>
      <c r="W318" s="18" t="n"/>
      <c r="X318" s="18" t="n"/>
      <c r="Y318" s="15" t="n"/>
      <c r="Z318" s="15" t="inlineStr">
        <is>
          <t>줄바꿈 띄어쓰기 확인</t>
        </is>
      </c>
      <c r="AA318" s="15" t="inlineStr">
        <is>
          <t>“I sought for a man among them who would build up the wall and stand in the gap before me for the land, that I would not destroy it; but I found no one.</t>
        </is>
      </c>
    </row>
    <row r="319">
      <c r="A319" s="13" t="n">
        <v>318</v>
      </c>
      <c r="B319" s="13" t="inlineStr">
        <is>
          <t>W0318</t>
        </is>
      </c>
      <c r="C319" s="13" t="inlineStr">
        <is>
          <t>구약</t>
        </is>
      </c>
      <c r="D319" s="13" t="n">
        <v>318</v>
      </c>
      <c r="E319" s="13">
        <f>C319&amp;"말씀 #"&amp;TEXT(D319,"000")</f>
        <v/>
      </c>
      <c r="F319" s="14" t="inlineStr">
        <is>
          <t>에스겔</t>
        </is>
      </c>
      <c r="G319" s="14" t="inlineStr">
        <is>
          <t>33:11</t>
        </is>
      </c>
      <c r="H319" s="15" t="inlineStr">
        <is>
          <t>(겔 33:11, 개역한글)</t>
        </is>
      </c>
      <c r="I319" s="14" t="inlineStr">
        <is>
          <t>회개</t>
        </is>
      </c>
      <c r="J319" s="14" t="inlineStr">
        <is>
          <t>제단·십자가</t>
        </is>
      </c>
      <c r="K319" s="16" t="inlineStr">
        <is>
          <t>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t>
        </is>
      </c>
      <c r="L319" s="14" t="inlineStr">
        <is>
          <t>자동 입력 · 대조 필요</t>
        </is>
      </c>
      <c r="M319" s="14">
        <f>LEN(K319)</f>
        <v/>
      </c>
      <c r="N319" s="14">
        <f>IF(M319=0,"-",ROUND(3+M319/'안내'!$C$12,0))</f>
        <v/>
      </c>
      <c r="O319" s="15">
        <f>IF(K319="","(본문 입력 후 자동) | 겔 33:11",IF(LEN(K319)&gt;28,LEFT(K319,28)&amp;"…",K319)&amp;" | 겔 33:11")</f>
        <v/>
      </c>
      <c r="P319" s="15">
        <f>"#"&amp;SUBSTITUTE('안내'!$C$5," ","")&amp;" #성경구절 #말씀 #에스겔 #회개"</f>
        <v/>
      </c>
      <c r="Q319" s="15" t="inlineStr">
        <is>
          <t>성경 본문: 개역한글판</t>
        </is>
      </c>
      <c r="R319" s="17">
        <f>'안내'!$C$6+INT((D319-1)/'안내'!$C$7)</f>
        <v/>
      </c>
      <c r="S319" s="14">
        <f>IF(MOD(D319-1,'안내'!$C$7)=0,'안내'!$C$8,'안내'!$C$10)</f>
        <v/>
      </c>
      <c r="T319" s="14">
        <f>CHOOSE(WEEKDAY(R319,2),"월","화","수","목","금","토","일")</f>
        <v/>
      </c>
      <c r="U319" s="14" t="inlineStr">
        <is>
          <t>미착수</t>
        </is>
      </c>
      <c r="V319" s="14" t="inlineStr">
        <is>
          <t>미착수</t>
        </is>
      </c>
      <c r="W319" s="18" t="n"/>
      <c r="X319" s="18" t="n"/>
      <c r="Y319" s="15" t="n"/>
      <c r="Z319" s="15" t="inlineStr">
        <is>
          <t>줄바꿈 띄어쓰기 확인</t>
        </is>
      </c>
      <c r="AA319" s="15" t="inlineStr">
        <is>
          <t>Tell them, ‘ “As I live,” says the Lord Yahweh, “I have no pleasure in the death of the wicked, but that the wicked turn from his way and live. Turn, turn from your evil ways! For why will you die, house of Israel?” ’</t>
        </is>
      </c>
    </row>
    <row r="320">
      <c r="A320" s="13" t="n">
        <v>319</v>
      </c>
      <c r="B320" s="13" t="inlineStr">
        <is>
          <t>W0319</t>
        </is>
      </c>
      <c r="C320" s="13" t="inlineStr">
        <is>
          <t>구약</t>
        </is>
      </c>
      <c r="D320" s="13" t="n">
        <v>319</v>
      </c>
      <c r="E320" s="13">
        <f>C320&amp;"말씀 #"&amp;TEXT(D320,"000")</f>
        <v/>
      </c>
      <c r="F320" s="14" t="inlineStr">
        <is>
          <t>에스겔</t>
        </is>
      </c>
      <c r="G320" s="14" t="inlineStr">
        <is>
          <t>34:16</t>
        </is>
      </c>
      <c r="H320" s="15" t="inlineStr">
        <is>
          <t>(겔 34:16, 개역한글)</t>
        </is>
      </c>
      <c r="I320" s="14" t="inlineStr">
        <is>
          <t>은혜</t>
        </is>
      </c>
      <c r="J320" s="14" t="inlineStr">
        <is>
          <t>잔잔한 물</t>
        </is>
      </c>
      <c r="K320" s="16" t="inlineStr">
        <is>
          <t>그 잃어버린 자를 내가 찾으며 쫓긴 자를 내가 돌아오게 하며 상한 자를 내가 싸매어 주며 병든 자를 내가 강하게 하려니와 살진 자와 강한 자는 내가 멸하고 공의대로 그것들을 먹이리라</t>
        </is>
      </c>
      <c r="L320" s="14" t="inlineStr">
        <is>
          <t>자동 입력 · 대조 필요</t>
        </is>
      </c>
      <c r="M320" s="14">
        <f>LEN(K320)</f>
        <v/>
      </c>
      <c r="N320" s="14">
        <f>IF(M320=0,"-",ROUND(3+M320/'안내'!$C$12,0))</f>
        <v/>
      </c>
      <c r="O320" s="15">
        <f>IF(K320="","(본문 입력 후 자동) | 겔 34:16",IF(LEN(K320)&gt;28,LEFT(K320,28)&amp;"…",K320)&amp;" | 겔 34:16")</f>
        <v/>
      </c>
      <c r="P320" s="15">
        <f>"#"&amp;SUBSTITUTE('안내'!$C$5," ","")&amp;" #성경구절 #말씀 #에스겔 #은혜"</f>
        <v/>
      </c>
      <c r="Q320" s="15" t="inlineStr">
        <is>
          <t>성경 본문: 개역한글판</t>
        </is>
      </c>
      <c r="R320" s="17">
        <f>'안내'!$C$6+INT((D320-1)/'안내'!$C$7)</f>
        <v/>
      </c>
      <c r="S320" s="14">
        <f>IF(MOD(D320-1,'안내'!$C$7)=0,'안내'!$C$8,'안내'!$C$10)</f>
        <v/>
      </c>
      <c r="T320" s="14">
        <f>CHOOSE(WEEKDAY(R320,2),"월","화","수","목","금","토","일")</f>
        <v/>
      </c>
      <c r="U320" s="14" t="inlineStr">
        <is>
          <t>미착수</t>
        </is>
      </c>
      <c r="V320" s="14" t="inlineStr">
        <is>
          <t>미착수</t>
        </is>
      </c>
      <c r="W320" s="18" t="n"/>
      <c r="X320" s="18" t="n"/>
      <c r="Y320" s="15" t="n"/>
      <c r="Z320" s="15" t="inlineStr">
        <is>
          <t>줄바꿈 띄어쓰기 확인</t>
        </is>
      </c>
      <c r="AA320" s="15" t="inlineStr">
        <is>
          <t>“I will seek that which was lost, and will bring back that which was driven away, and will bind up that which was broken, and will strengthen that which was sick; but I will destroy the fat and the strong. I will feed them in justice.” ’</t>
        </is>
      </c>
    </row>
    <row r="321">
      <c r="A321" s="13" t="n">
        <v>320</v>
      </c>
      <c r="B321" s="13" t="inlineStr">
        <is>
          <t>W0320</t>
        </is>
      </c>
      <c r="C321" s="13" t="inlineStr">
        <is>
          <t>구약</t>
        </is>
      </c>
      <c r="D321" s="13" t="n">
        <v>320</v>
      </c>
      <c r="E321" s="13">
        <f>C321&amp;"말씀 #"&amp;TEXT(D321,"000")</f>
        <v/>
      </c>
      <c r="F321" s="14" t="inlineStr">
        <is>
          <t>에스겔</t>
        </is>
      </c>
      <c r="G321" s="14" t="inlineStr">
        <is>
          <t>36:26</t>
        </is>
      </c>
      <c r="H321" s="15" t="inlineStr">
        <is>
          <t>(겔 36:26, 개역한글)</t>
        </is>
      </c>
      <c r="I321" s="14" t="inlineStr">
        <is>
          <t>새 마음</t>
        </is>
      </c>
      <c r="J321" s="14" t="inlineStr">
        <is>
          <t>새벽빛</t>
        </is>
      </c>
      <c r="K321" s="16" t="inlineStr">
        <is>
          <t>또 새 영을 너희 속에 두고 새 마음을 너희에게 주되 너희 육신에서 굳은 마음을 제하고 부드러운 마음을 줄 것이며</t>
        </is>
      </c>
      <c r="L321" s="14" t="inlineStr">
        <is>
          <t>자동 입력 · 대조 필요</t>
        </is>
      </c>
      <c r="M321" s="14">
        <f>LEN(K321)</f>
        <v/>
      </c>
      <c r="N321" s="14">
        <f>IF(M321=0,"-",ROUND(3+M321/'안내'!$C$12,0))</f>
        <v/>
      </c>
      <c r="O321" s="15">
        <f>IF(K321="","(본문 입력 후 자동) | 겔 36:26",IF(LEN(K321)&gt;28,LEFT(K321,28)&amp;"…",K321)&amp;" | 겔 36:26")</f>
        <v/>
      </c>
      <c r="P321" s="15">
        <f>"#"&amp;SUBSTITUTE('안내'!$C$5," ","")&amp;" #성경구절 #말씀 #에스겔 #새마음"</f>
        <v/>
      </c>
      <c r="Q321" s="15" t="inlineStr">
        <is>
          <t>성경 본문: 개역한글판</t>
        </is>
      </c>
      <c r="R321" s="17">
        <f>'안내'!$C$6+INT((D321-1)/'안내'!$C$7)</f>
        <v/>
      </c>
      <c r="S321" s="14">
        <f>IF(MOD(D321-1,'안내'!$C$7)=0,'안내'!$C$8,'안내'!$C$10)</f>
        <v/>
      </c>
      <c r="T321" s="14">
        <f>CHOOSE(WEEKDAY(R321,2),"월","화","수","목","금","토","일")</f>
        <v/>
      </c>
      <c r="U321" s="14" t="inlineStr">
        <is>
          <t>미착수</t>
        </is>
      </c>
      <c r="V321" s="14" t="inlineStr">
        <is>
          <t>미착수</t>
        </is>
      </c>
      <c r="W321" s="18" t="n"/>
      <c r="X321" s="18" t="n"/>
      <c r="Y321" s="15" t="n"/>
      <c r="Z321" s="15" t="inlineStr">
        <is>
          <t>줄바꿈 띄어쓰기 확인</t>
        </is>
      </c>
      <c r="AA321" s="15" t="inlineStr">
        <is>
          <t>I will also give you a new heart, and I will put a new spirit within you. I will take away the stony heart out of your flesh, and I will give you a heart of flesh.</t>
        </is>
      </c>
    </row>
    <row r="322">
      <c r="A322" s="13" t="n">
        <v>321</v>
      </c>
      <c r="B322" s="13" t="inlineStr">
        <is>
          <t>W0321</t>
        </is>
      </c>
      <c r="C322" s="13" t="inlineStr">
        <is>
          <t>구약</t>
        </is>
      </c>
      <c r="D322" s="13" t="n">
        <v>321</v>
      </c>
      <c r="E322" s="13">
        <f>C322&amp;"말씀 #"&amp;TEXT(D322,"000")</f>
        <v/>
      </c>
      <c r="F322" s="14" t="inlineStr">
        <is>
          <t>에스겔</t>
        </is>
      </c>
      <c r="G322" s="14" t="inlineStr">
        <is>
          <t>37:5</t>
        </is>
      </c>
      <c r="H322" s="15" t="inlineStr">
        <is>
          <t>(겔 37:5, 개역한글)</t>
        </is>
      </c>
      <c r="I322" s="14" t="inlineStr">
        <is>
          <t>생명</t>
        </is>
      </c>
      <c r="J322" s="14" t="inlineStr">
        <is>
          <t>새벽빛</t>
        </is>
      </c>
      <c r="K322" s="16" t="inlineStr">
        <is>
          <t>주 여호와께서 이 뼈들에게 말씀하시기를 내가 생기로 너희에게 들어가게 하리니 너희가 살리라</t>
        </is>
      </c>
      <c r="L322" s="14" t="inlineStr">
        <is>
          <t>자동 입력</t>
        </is>
      </c>
      <c r="M322" s="14">
        <f>LEN(K322)</f>
        <v/>
      </c>
      <c r="N322" s="14">
        <f>IF(M322=0,"-",ROUND(3+M322/'안내'!$C$12,0))</f>
        <v/>
      </c>
      <c r="O322" s="15">
        <f>IF(K322="","(본문 입력 후 자동) | 겔 37:5",IF(LEN(K322)&gt;28,LEFT(K322,28)&amp;"…",K322)&amp;" | 겔 37:5")</f>
        <v/>
      </c>
      <c r="P322" s="15">
        <f>"#"&amp;SUBSTITUTE('안내'!$C$5," ","")&amp;" #성경구절 #말씀 #에스겔 #생명"</f>
        <v/>
      </c>
      <c r="Q322" s="15" t="inlineStr">
        <is>
          <t>성경 본문: 개역한글판</t>
        </is>
      </c>
      <c r="R322" s="17">
        <f>'안내'!$C$6+INT((D322-1)/'안내'!$C$7)</f>
        <v/>
      </c>
      <c r="S322" s="14">
        <f>IF(MOD(D322-1,'안내'!$C$7)=0,'안내'!$C$8,'안내'!$C$10)</f>
        <v/>
      </c>
      <c r="T322" s="14">
        <f>CHOOSE(WEEKDAY(R322,2),"월","화","수","목","금","토","일")</f>
        <v/>
      </c>
      <c r="U322" s="14" t="inlineStr">
        <is>
          <t>미착수</t>
        </is>
      </c>
      <c r="V322" s="14" t="inlineStr">
        <is>
          <t>미착수</t>
        </is>
      </c>
      <c r="W322" s="18" t="n"/>
      <c r="X322" s="18" t="n"/>
      <c r="Y322" s="15" t="n"/>
      <c r="Z322" s="15" t="inlineStr"/>
      <c r="AA322" s="15" t="inlineStr">
        <is>
          <t>The Lord Yahweh says to these bones: “Behold, I will cause breath to enter into you, and you will live.</t>
        </is>
      </c>
    </row>
    <row r="323">
      <c r="A323" s="13" t="n">
        <v>322</v>
      </c>
      <c r="B323" s="13" t="inlineStr">
        <is>
          <t>W0322</t>
        </is>
      </c>
      <c r="C323" s="13" t="inlineStr">
        <is>
          <t>구약</t>
        </is>
      </c>
      <c r="D323" s="13" t="n">
        <v>322</v>
      </c>
      <c r="E323" s="13">
        <f>C323&amp;"말씀 #"&amp;TEXT(D323,"000")</f>
        <v/>
      </c>
      <c r="F323" s="14" t="inlineStr">
        <is>
          <t>에스겔</t>
        </is>
      </c>
      <c r="G323" s="14" t="inlineStr">
        <is>
          <t>47:9</t>
        </is>
      </c>
      <c r="H323" s="15" t="inlineStr">
        <is>
          <t>(겔 47:9, 개역한글)</t>
        </is>
      </c>
      <c r="I323" s="14" t="inlineStr">
        <is>
          <t>생명</t>
        </is>
      </c>
      <c r="J323" s="14" t="inlineStr">
        <is>
          <t>새벽빛</t>
        </is>
      </c>
      <c r="K323" s="16" t="inlineStr">
        <is>
          <t>이 강물이 이르는 곳마다 번성하는 모든 생물이 살고 또 고기가 심히 많으리니 이 물이 흘러 들어가므로 바닷물이 소성함을 얻겠고 이 강이 이르는 각처에 모든 것이 살 것이며</t>
        </is>
      </c>
      <c r="L323" s="14" t="inlineStr">
        <is>
          <t>자동 입력</t>
        </is>
      </c>
      <c r="M323" s="14">
        <f>LEN(K323)</f>
        <v/>
      </c>
      <c r="N323" s="14">
        <f>IF(M323=0,"-",ROUND(3+M323/'안내'!$C$12,0))</f>
        <v/>
      </c>
      <c r="O323" s="15">
        <f>IF(K323="","(본문 입력 후 자동) | 겔 47:9",IF(LEN(K323)&gt;28,LEFT(K323,28)&amp;"…",K323)&amp;" | 겔 47:9")</f>
        <v/>
      </c>
      <c r="P323" s="15">
        <f>"#"&amp;SUBSTITUTE('안내'!$C$5," ","")&amp;" #성경구절 #말씀 #에스겔 #생명"</f>
        <v/>
      </c>
      <c r="Q323" s="15" t="inlineStr">
        <is>
          <t>성경 본문: 개역한글판</t>
        </is>
      </c>
      <c r="R323" s="17">
        <f>'안내'!$C$6+INT((D323-1)/'안내'!$C$7)</f>
        <v/>
      </c>
      <c r="S323" s="14">
        <f>IF(MOD(D323-1,'안내'!$C$7)=0,'안내'!$C$8,'안내'!$C$10)</f>
        <v/>
      </c>
      <c r="T323" s="14">
        <f>CHOOSE(WEEKDAY(R323,2),"월","화","수","목","금","토","일")</f>
        <v/>
      </c>
      <c r="U323" s="14" t="inlineStr">
        <is>
          <t>미착수</t>
        </is>
      </c>
      <c r="V323" s="14" t="inlineStr">
        <is>
          <t>미착수</t>
        </is>
      </c>
      <c r="W323" s="18" t="n"/>
      <c r="X323" s="18" t="n"/>
      <c r="Y323" s="15" t="n"/>
      <c r="Z323" s="15" t="inlineStr"/>
      <c r="AA323" s="15" t="inlineStr">
        <is>
          <t>It will happen that every living creature which swarms, in every place where the rivers come, will live. Then there will be a very great multitude of fish; for these waters have come there, and the waters of the sea will be healed, and everything will live wherever the river comes.</t>
        </is>
      </c>
    </row>
    <row r="324">
      <c r="A324" s="13" t="n">
        <v>323</v>
      </c>
      <c r="B324" s="13" t="inlineStr">
        <is>
          <t>W0323</t>
        </is>
      </c>
      <c r="C324" s="13" t="inlineStr">
        <is>
          <t>구약</t>
        </is>
      </c>
      <c r="D324" s="13" t="n">
        <v>323</v>
      </c>
      <c r="E324" s="13">
        <f>C324&amp;"말씀 #"&amp;TEXT(D324,"000")</f>
        <v/>
      </c>
      <c r="F324" s="14" t="inlineStr">
        <is>
          <t>다니엘</t>
        </is>
      </c>
      <c r="G324" s="14" t="inlineStr">
        <is>
          <t>1:8</t>
        </is>
      </c>
      <c r="H324" s="15" t="inlineStr">
        <is>
          <t>(단 1:8, 개역한글)</t>
        </is>
      </c>
      <c r="I324" s="14" t="inlineStr">
        <is>
          <t>헌신</t>
        </is>
      </c>
      <c r="J324" s="14" t="inlineStr">
        <is>
          <t>길·등불</t>
        </is>
      </c>
      <c r="K324" s="16" t="inlineStr">
        <is>
          <t>다니엘은 뜻을 정하여 왕의 진미와 그의 마시는 포도주로 자기를 더럽히지 아니하리라 하고 자기를 더럽히지 않게 하기를 환관장에게 구하니</t>
        </is>
      </c>
      <c r="L324" s="14" t="inlineStr">
        <is>
          <t>자동 입력</t>
        </is>
      </c>
      <c r="M324" s="14">
        <f>LEN(K324)</f>
        <v/>
      </c>
      <c r="N324" s="14">
        <f>IF(M324=0,"-",ROUND(3+M324/'안내'!$C$12,0))</f>
        <v/>
      </c>
      <c r="O324" s="15">
        <f>IF(K324="","(본문 입력 후 자동) | 단 1:8",IF(LEN(K324)&gt;28,LEFT(K324,28)&amp;"…",K324)&amp;" | 단 1:8")</f>
        <v/>
      </c>
      <c r="P324" s="15">
        <f>"#"&amp;SUBSTITUTE('안내'!$C$5," ","")&amp;" #성경구절 #말씀 #다니엘 #헌신"</f>
        <v/>
      </c>
      <c r="Q324" s="15" t="inlineStr">
        <is>
          <t>성경 본문: 개역한글판</t>
        </is>
      </c>
      <c r="R324" s="17">
        <f>'안내'!$C$6+INT((D324-1)/'안내'!$C$7)</f>
        <v/>
      </c>
      <c r="S324" s="14">
        <f>IF(MOD(D324-1,'안내'!$C$7)=0,'안내'!$C$8,'안내'!$C$10)</f>
        <v/>
      </c>
      <c r="T324" s="14">
        <f>CHOOSE(WEEKDAY(R324,2),"월","화","수","목","금","토","일")</f>
        <v/>
      </c>
      <c r="U324" s="14" t="inlineStr">
        <is>
          <t>미착수</t>
        </is>
      </c>
      <c r="V324" s="14" t="inlineStr">
        <is>
          <t>미착수</t>
        </is>
      </c>
      <c r="W324" s="18" t="n"/>
      <c r="X324" s="18" t="n"/>
      <c r="Y324" s="15" t="n"/>
      <c r="Z324" s="15" t="inlineStr"/>
      <c r="AA324" s="15" t="inlineStr">
        <is>
          <t>But Daniel purposed in his heart that he would not defile himself with the king’s delicacies, nor with the wine which he drank. Therefore he requested of the prince of the eunuchs that he might not defile himself.</t>
        </is>
      </c>
    </row>
    <row r="325">
      <c r="A325" s="13" t="n">
        <v>324</v>
      </c>
      <c r="B325" s="13" t="inlineStr">
        <is>
          <t>W0324</t>
        </is>
      </c>
      <c r="C325" s="13" t="inlineStr">
        <is>
          <t>구약</t>
        </is>
      </c>
      <c r="D325" s="13" t="n">
        <v>324</v>
      </c>
      <c r="E325" s="13">
        <f>C325&amp;"말씀 #"&amp;TEXT(D325,"000")</f>
        <v/>
      </c>
      <c r="F325" s="14" t="inlineStr">
        <is>
          <t>다니엘</t>
        </is>
      </c>
      <c r="G325" s="14" t="inlineStr">
        <is>
          <t>2:21</t>
        </is>
      </c>
      <c r="H325" s="15" t="inlineStr">
        <is>
          <t>(단 2:21, 개역한글)</t>
        </is>
      </c>
      <c r="I325" s="14" t="inlineStr">
        <is>
          <t>섭리</t>
        </is>
      </c>
      <c r="J325" s="14" t="inlineStr">
        <is>
          <t>하늘·별</t>
        </is>
      </c>
      <c r="K325" s="16" t="inlineStr">
        <is>
          <t>그는 때와 기한을 변하시며 왕들을 폐하시고 왕들을 세우시며 지혜자에게 지혜를 주시고 지식자에게 총명을 주시는도다</t>
        </is>
      </c>
      <c r="L325" s="14" t="inlineStr">
        <is>
          <t>자동 입력 · 대조 필요</t>
        </is>
      </c>
      <c r="M325" s="14">
        <f>LEN(K325)</f>
        <v/>
      </c>
      <c r="N325" s="14">
        <f>IF(M325=0,"-",ROUND(3+M325/'안내'!$C$12,0))</f>
        <v/>
      </c>
      <c r="O325" s="15">
        <f>IF(K325="","(본문 입력 후 자동) | 단 2:21",IF(LEN(K325)&gt;28,LEFT(K325,28)&amp;"…",K325)&amp;" | 단 2:21")</f>
        <v/>
      </c>
      <c r="P325" s="15">
        <f>"#"&amp;SUBSTITUTE('안내'!$C$5," ","")&amp;" #성경구절 #말씀 #다니엘 #섭리"</f>
        <v/>
      </c>
      <c r="Q325" s="15" t="inlineStr">
        <is>
          <t>성경 본문: 개역한글판</t>
        </is>
      </c>
      <c r="R325" s="17">
        <f>'안내'!$C$6+INT((D325-1)/'안내'!$C$7)</f>
        <v/>
      </c>
      <c r="S325" s="14">
        <f>IF(MOD(D325-1,'안내'!$C$7)=0,'안내'!$C$8,'안내'!$C$10)</f>
        <v/>
      </c>
      <c r="T325" s="14">
        <f>CHOOSE(WEEKDAY(R325,2),"월","화","수","목","금","토","일")</f>
        <v/>
      </c>
      <c r="U325" s="14" t="inlineStr">
        <is>
          <t>미착수</t>
        </is>
      </c>
      <c r="V325" s="14" t="inlineStr">
        <is>
          <t>미착수</t>
        </is>
      </c>
      <c r="W325" s="18" t="n"/>
      <c r="X325" s="18" t="n"/>
      <c r="Y325" s="15" t="n"/>
      <c r="Z325" s="15" t="inlineStr">
        <is>
          <t>줄바꿈 띄어쓰기 확인</t>
        </is>
      </c>
      <c r="AA325" s="15" t="inlineStr">
        <is>
          <t>He changes the times and the seasons. He removes kings and sets up kings. He gives wisdom to the wise, and knowledge to those who have understanding.</t>
        </is>
      </c>
    </row>
    <row r="326">
      <c r="A326" s="13" t="n">
        <v>325</v>
      </c>
      <c r="B326" s="13" t="inlineStr">
        <is>
          <t>W0325</t>
        </is>
      </c>
      <c r="C326" s="13" t="inlineStr">
        <is>
          <t>구약</t>
        </is>
      </c>
      <c r="D326" s="13" t="n">
        <v>325</v>
      </c>
      <c r="E326" s="13">
        <f>C326&amp;"말씀 #"&amp;TEXT(D326,"000")</f>
        <v/>
      </c>
      <c r="F326" s="14" t="inlineStr">
        <is>
          <t>다니엘</t>
        </is>
      </c>
      <c r="G326" s="14" t="inlineStr">
        <is>
          <t>3:17</t>
        </is>
      </c>
      <c r="H326" s="15" t="inlineStr">
        <is>
          <t>(단 3:17, 개역한글)</t>
        </is>
      </c>
      <c r="I326" s="14" t="inlineStr">
        <is>
          <t>믿음</t>
        </is>
      </c>
      <c r="J326" s="14" t="inlineStr">
        <is>
          <t>바위산·광야</t>
        </is>
      </c>
      <c r="K326" s="16" t="inlineStr">
        <is>
          <t>만일 그럴 것이면 왕이여 우리가 섬기는 우리 하나님이 우리를 극렬히 타는 풀무 가운데서 능히 건져내시겠고 왕의 손에서도 건져내시리이다</t>
        </is>
      </c>
      <c r="L326" s="14" t="inlineStr">
        <is>
          <t>자동 입력 · 대조 필요</t>
        </is>
      </c>
      <c r="M326" s="14">
        <f>LEN(K326)</f>
        <v/>
      </c>
      <c r="N326" s="14">
        <f>IF(M326=0,"-",ROUND(3+M326/'안내'!$C$12,0))</f>
        <v/>
      </c>
      <c r="O326" s="15">
        <f>IF(K326="","(본문 입력 후 자동) | 단 3:17",IF(LEN(K326)&gt;28,LEFT(K326,28)&amp;"…",K326)&amp;" | 단 3:17")</f>
        <v/>
      </c>
      <c r="P326" s="15">
        <f>"#"&amp;SUBSTITUTE('안내'!$C$5," ","")&amp;" #성경구절 #말씀 #다니엘 #믿음"</f>
        <v/>
      </c>
      <c r="Q326" s="15" t="inlineStr">
        <is>
          <t>성경 본문: 개역한글판</t>
        </is>
      </c>
      <c r="R326" s="17">
        <f>'안내'!$C$6+INT((D326-1)/'안내'!$C$7)</f>
        <v/>
      </c>
      <c r="S326" s="14">
        <f>IF(MOD(D326-1,'안내'!$C$7)=0,'안내'!$C$8,'안내'!$C$10)</f>
        <v/>
      </c>
      <c r="T326" s="14">
        <f>CHOOSE(WEEKDAY(R326,2),"월","화","수","목","금","토","일")</f>
        <v/>
      </c>
      <c r="U326" s="14" t="inlineStr">
        <is>
          <t>미착수</t>
        </is>
      </c>
      <c r="V326" s="14" t="inlineStr">
        <is>
          <t>미착수</t>
        </is>
      </c>
      <c r="W326" s="18" t="n"/>
      <c r="X326" s="18" t="n"/>
      <c r="Y326" s="15" t="n"/>
      <c r="Z326" s="15" t="inlineStr">
        <is>
          <t>줄바꿈 띄어쓰기 확인</t>
        </is>
      </c>
      <c r="AA326" s="15" t="inlineStr">
        <is>
          <t>If it happens, our God whom we serve is able to deliver us from the burning fiery furnace; and he will deliver us out of your hand, O king.</t>
        </is>
      </c>
    </row>
    <row r="327">
      <c r="A327" s="13" t="n">
        <v>326</v>
      </c>
      <c r="B327" s="13" t="inlineStr">
        <is>
          <t>W0326</t>
        </is>
      </c>
      <c r="C327" s="13" t="inlineStr">
        <is>
          <t>구약</t>
        </is>
      </c>
      <c r="D327" s="13" t="n">
        <v>326</v>
      </c>
      <c r="E327" s="13">
        <f>C327&amp;"말씀 #"&amp;TEXT(D327,"000")</f>
        <v/>
      </c>
      <c r="F327" s="14" t="inlineStr">
        <is>
          <t>다니엘</t>
        </is>
      </c>
      <c r="G327" s="14" t="inlineStr">
        <is>
          <t>3:18</t>
        </is>
      </c>
      <c r="H327" s="15" t="inlineStr">
        <is>
          <t>(단 3:18, 개역한글)</t>
        </is>
      </c>
      <c r="I327" s="14" t="inlineStr">
        <is>
          <t>믿음</t>
        </is>
      </c>
      <c r="J327" s="14" t="inlineStr">
        <is>
          <t>바위산·광야</t>
        </is>
      </c>
      <c r="K327" s="16" t="inlineStr">
        <is>
          <t>그리 아니하실지라도 왕이여 우리가 왕의 신들을 섬기지도 아니하고 왕의 세우신 금신상에게 절하지도 아니할 줄을 아옵소서</t>
        </is>
      </c>
      <c r="L327" s="14" t="inlineStr">
        <is>
          <t>자동 입력</t>
        </is>
      </c>
      <c r="M327" s="14">
        <f>LEN(K327)</f>
        <v/>
      </c>
      <c r="N327" s="14">
        <f>IF(M327=0,"-",ROUND(3+M327/'안내'!$C$12,0))</f>
        <v/>
      </c>
      <c r="O327" s="15">
        <f>IF(K327="","(본문 입력 후 자동) | 단 3:18",IF(LEN(K327)&gt;28,LEFT(K327,28)&amp;"…",K327)&amp;" | 단 3:18")</f>
        <v/>
      </c>
      <c r="P327" s="15">
        <f>"#"&amp;SUBSTITUTE('안내'!$C$5," ","")&amp;" #성경구절 #말씀 #다니엘 #믿음"</f>
        <v/>
      </c>
      <c r="Q327" s="15" t="inlineStr">
        <is>
          <t>성경 본문: 개역한글판</t>
        </is>
      </c>
      <c r="R327" s="17">
        <f>'안내'!$C$6+INT((D327-1)/'안내'!$C$7)</f>
        <v/>
      </c>
      <c r="S327" s="14">
        <f>IF(MOD(D327-1,'안내'!$C$7)=0,'안내'!$C$8,'안내'!$C$10)</f>
        <v/>
      </c>
      <c r="T327" s="14">
        <f>CHOOSE(WEEKDAY(R327,2),"월","화","수","목","금","토","일")</f>
        <v/>
      </c>
      <c r="U327" s="14" t="inlineStr">
        <is>
          <t>미착수</t>
        </is>
      </c>
      <c r="V327" s="14" t="inlineStr">
        <is>
          <t>미착수</t>
        </is>
      </c>
      <c r="W327" s="18" t="n"/>
      <c r="X327" s="18" t="n"/>
      <c r="Y327" s="15" t="n"/>
      <c r="Z327" s="15" t="inlineStr"/>
      <c r="AA327" s="15" t="inlineStr">
        <is>
          <t>But if not, let it be known to you, O king, that we will not serve your gods or worship the golden image which you have set up.”</t>
        </is>
      </c>
    </row>
    <row r="328">
      <c r="A328" s="13" t="n">
        <v>327</v>
      </c>
      <c r="B328" s="13" t="inlineStr">
        <is>
          <t>W0327</t>
        </is>
      </c>
      <c r="C328" s="13" t="inlineStr">
        <is>
          <t>구약</t>
        </is>
      </c>
      <c r="D328" s="13" t="n">
        <v>327</v>
      </c>
      <c r="E328" s="13">
        <f>C328&amp;"말씀 #"&amp;TEXT(D328,"000")</f>
        <v/>
      </c>
      <c r="F328" s="14" t="inlineStr">
        <is>
          <t>다니엘</t>
        </is>
      </c>
      <c r="G328" s="14" t="inlineStr">
        <is>
          <t>6:10</t>
        </is>
      </c>
      <c r="H328" s="15" t="inlineStr">
        <is>
          <t>(단 6:10, 개역한글)</t>
        </is>
      </c>
      <c r="I328" s="14" t="inlineStr">
        <is>
          <t>기도</t>
        </is>
      </c>
      <c r="J328" s="14" t="inlineStr">
        <is>
          <t>제단·십자가</t>
        </is>
      </c>
      <c r="K328" s="16" t="inlineStr">
        <is>
          <t>다니엘이 이 조서에 어인이 찍힌 것을 알고도 자기 집에 돌아가서는 그 방의 예루살렘으로 향하여 열린 창에서 전에 행하던 대로 하루 세 번씩 무릎을 꿇고 기도하며 그 하나님께 감사하였더라</t>
        </is>
      </c>
      <c r="L328" s="14" t="inlineStr">
        <is>
          <t>자동 입력</t>
        </is>
      </c>
      <c r="M328" s="14">
        <f>LEN(K328)</f>
        <v/>
      </c>
      <c r="N328" s="14">
        <f>IF(M328=0,"-",ROUND(3+M328/'안내'!$C$12,0))</f>
        <v/>
      </c>
      <c r="O328" s="15">
        <f>IF(K328="","(본문 입력 후 자동) | 단 6:10",IF(LEN(K328)&gt;28,LEFT(K328,28)&amp;"…",K328)&amp;" | 단 6:10")</f>
        <v/>
      </c>
      <c r="P328" s="15">
        <f>"#"&amp;SUBSTITUTE('안내'!$C$5," ","")&amp;" #성경구절 #말씀 #다니엘 #기도"</f>
        <v/>
      </c>
      <c r="Q328" s="15" t="inlineStr">
        <is>
          <t>성경 본문: 개역한글판</t>
        </is>
      </c>
      <c r="R328" s="17">
        <f>'안내'!$C$6+INT((D328-1)/'안내'!$C$7)</f>
        <v/>
      </c>
      <c r="S328" s="14">
        <f>IF(MOD(D328-1,'안내'!$C$7)=0,'안내'!$C$8,'안내'!$C$10)</f>
        <v/>
      </c>
      <c r="T328" s="14">
        <f>CHOOSE(WEEKDAY(R328,2),"월","화","수","목","금","토","일")</f>
        <v/>
      </c>
      <c r="U328" s="14" t="inlineStr">
        <is>
          <t>미착수</t>
        </is>
      </c>
      <c r="V328" s="14" t="inlineStr">
        <is>
          <t>미착수</t>
        </is>
      </c>
      <c r="W328" s="18" t="n"/>
      <c r="X328" s="18" t="n"/>
      <c r="Y328" s="15" t="n"/>
      <c r="Z328" s="15" t="inlineStr"/>
      <c r="AA328" s="15" t="inlineStr">
        <is>
          <t>When Daniel knew that the writing was signed, he went into his house (now his windows were open in his room toward Jerusalem) and he kneeled on his knees three times a day, and prayed, and gave thanks before his God, as he did before.</t>
        </is>
      </c>
    </row>
    <row r="329">
      <c r="A329" s="13" t="n">
        <v>328</v>
      </c>
      <c r="B329" s="13" t="inlineStr">
        <is>
          <t>W0328</t>
        </is>
      </c>
      <c r="C329" s="13" t="inlineStr">
        <is>
          <t>구약</t>
        </is>
      </c>
      <c r="D329" s="13" t="n">
        <v>328</v>
      </c>
      <c r="E329" s="13">
        <f>C329&amp;"말씀 #"&amp;TEXT(D329,"000")</f>
        <v/>
      </c>
      <c r="F329" s="14" t="inlineStr">
        <is>
          <t>다니엘</t>
        </is>
      </c>
      <c r="G329" s="14" t="inlineStr">
        <is>
          <t>12:3</t>
        </is>
      </c>
      <c r="H329" s="15" t="inlineStr">
        <is>
          <t>(단 12:3, 개역한글)</t>
        </is>
      </c>
      <c r="I329" s="14" t="inlineStr">
        <is>
          <t>소망</t>
        </is>
      </c>
      <c r="J329" s="14" t="inlineStr">
        <is>
          <t>새벽빛</t>
        </is>
      </c>
      <c r="K329" s="16" t="inlineStr">
        <is>
          <t>지혜 있는 자는 궁창의 빛과 같이 빛날 것이요 많은 사람을 옳은 데로 돌아오게 한 자는 별과 같이 영원토록 비취리라</t>
        </is>
      </c>
      <c r="L329" s="14" t="inlineStr">
        <is>
          <t>자동 입력</t>
        </is>
      </c>
      <c r="M329" s="14">
        <f>LEN(K329)</f>
        <v/>
      </c>
      <c r="N329" s="14">
        <f>IF(M329=0,"-",ROUND(3+M329/'안내'!$C$12,0))</f>
        <v/>
      </c>
      <c r="O329" s="15">
        <f>IF(K329="","(본문 입력 후 자동) | 단 12:3",IF(LEN(K329)&gt;28,LEFT(K329,28)&amp;"…",K329)&amp;" | 단 12:3")</f>
        <v/>
      </c>
      <c r="P329" s="15">
        <f>"#"&amp;SUBSTITUTE('안내'!$C$5," ","")&amp;" #성경구절 #말씀 #다니엘 #소망"</f>
        <v/>
      </c>
      <c r="Q329" s="15" t="inlineStr">
        <is>
          <t>성경 본문: 개역한글판</t>
        </is>
      </c>
      <c r="R329" s="17">
        <f>'안내'!$C$6+INT((D329-1)/'안내'!$C$7)</f>
        <v/>
      </c>
      <c r="S329" s="14">
        <f>IF(MOD(D329-1,'안내'!$C$7)=0,'안내'!$C$8,'안내'!$C$10)</f>
        <v/>
      </c>
      <c r="T329" s="14">
        <f>CHOOSE(WEEKDAY(R329,2),"월","화","수","목","금","토","일")</f>
        <v/>
      </c>
      <c r="U329" s="14" t="inlineStr">
        <is>
          <t>미착수</t>
        </is>
      </c>
      <c r="V329" s="14" t="inlineStr">
        <is>
          <t>미착수</t>
        </is>
      </c>
      <c r="W329" s="18" t="n"/>
      <c r="X329" s="18" t="n"/>
      <c r="Y329" s="15" t="n"/>
      <c r="Z329" s="15" t="inlineStr"/>
      <c r="AA329" s="15" t="inlineStr">
        <is>
          <t>Those who are wise will shine as the brightness of the expanse. Those who turn many to righteousness will shine as the stars forever and ever.</t>
        </is>
      </c>
    </row>
    <row r="330">
      <c r="A330" s="13" t="n">
        <v>329</v>
      </c>
      <c r="B330" s="13" t="inlineStr">
        <is>
          <t>W0329</t>
        </is>
      </c>
      <c r="C330" s="13" t="inlineStr">
        <is>
          <t>구약</t>
        </is>
      </c>
      <c r="D330" s="13" t="n">
        <v>329</v>
      </c>
      <c r="E330" s="13">
        <f>C330&amp;"말씀 #"&amp;TEXT(D330,"000")</f>
        <v/>
      </c>
      <c r="F330" s="14" t="inlineStr">
        <is>
          <t>호세아</t>
        </is>
      </c>
      <c r="G330" s="14" t="inlineStr">
        <is>
          <t>6:1</t>
        </is>
      </c>
      <c r="H330" s="15" t="inlineStr">
        <is>
          <t>(호 6:1, 개역한글)</t>
        </is>
      </c>
      <c r="I330" s="14" t="inlineStr">
        <is>
          <t>회개</t>
        </is>
      </c>
      <c r="J330" s="14" t="inlineStr">
        <is>
          <t>제단·십자가</t>
        </is>
      </c>
      <c r="K330" s="16" t="inlineStr">
        <is>
          <t>오라 우리가 여호와께로 돌아가자 여호와께서 우리를 찢으셨으나 도로 낫게 하실 것이요 우리를 치셨으나 싸매어 주실 것임이라</t>
        </is>
      </c>
      <c r="L330" s="14" t="inlineStr">
        <is>
          <t>자동 입력</t>
        </is>
      </c>
      <c r="M330" s="14">
        <f>LEN(K330)</f>
        <v/>
      </c>
      <c r="N330" s="14">
        <f>IF(M330=0,"-",ROUND(3+M330/'안내'!$C$12,0))</f>
        <v/>
      </c>
      <c r="O330" s="15">
        <f>IF(K330="","(본문 입력 후 자동) | 호 6:1",IF(LEN(K330)&gt;28,LEFT(K330,28)&amp;"…",K330)&amp;" | 호 6:1")</f>
        <v/>
      </c>
      <c r="P330" s="15">
        <f>"#"&amp;SUBSTITUTE('안내'!$C$5," ","")&amp;" #성경구절 #말씀 #호세아 #회개"</f>
        <v/>
      </c>
      <c r="Q330" s="15" t="inlineStr">
        <is>
          <t>성경 본문: 개역한글판</t>
        </is>
      </c>
      <c r="R330" s="17">
        <f>'안내'!$C$6+INT((D330-1)/'안내'!$C$7)</f>
        <v/>
      </c>
      <c r="S330" s="14">
        <f>IF(MOD(D330-1,'안내'!$C$7)=0,'안내'!$C$8,'안내'!$C$10)</f>
        <v/>
      </c>
      <c r="T330" s="14">
        <f>CHOOSE(WEEKDAY(R330,2),"월","화","수","목","금","토","일")</f>
        <v/>
      </c>
      <c r="U330" s="14" t="inlineStr">
        <is>
          <t>미착수</t>
        </is>
      </c>
      <c r="V330" s="14" t="inlineStr">
        <is>
          <t>미착수</t>
        </is>
      </c>
      <c r="W330" s="18" t="n"/>
      <c r="X330" s="18" t="n"/>
      <c r="Y330" s="15" t="n"/>
      <c r="Z330" s="15" t="inlineStr"/>
      <c r="AA330" s="15" t="inlineStr">
        <is>
          <t>“Come! Let’s return to Yahweh; for he has torn us to pieces, and he will heal us; he has injured us, and he will bind up our wounds.</t>
        </is>
      </c>
    </row>
    <row r="331">
      <c r="A331" s="13" t="n">
        <v>330</v>
      </c>
      <c r="B331" s="13" t="inlineStr">
        <is>
          <t>W0330</t>
        </is>
      </c>
      <c r="C331" s="13" t="inlineStr">
        <is>
          <t>구약</t>
        </is>
      </c>
      <c r="D331" s="13" t="n">
        <v>330</v>
      </c>
      <c r="E331" s="13">
        <f>C331&amp;"말씀 #"&amp;TEXT(D331,"000")</f>
        <v/>
      </c>
      <c r="F331" s="14" t="inlineStr">
        <is>
          <t>호세아</t>
        </is>
      </c>
      <c r="G331" s="14" t="inlineStr">
        <is>
          <t>6:3</t>
        </is>
      </c>
      <c r="H331" s="15" t="inlineStr">
        <is>
          <t>(호 6:3, 개역한글)</t>
        </is>
      </c>
      <c r="I331" s="14" t="inlineStr">
        <is>
          <t>하나님</t>
        </is>
      </c>
      <c r="J331" s="14" t="inlineStr">
        <is>
          <t>하늘·별</t>
        </is>
      </c>
      <c r="K331" s="16" t="inlineStr">
        <is>
          <t>그러므로 우리가 여호와를 알자 힘써 여호와를 알자 그의 나오심은 새벽 빛같이 일정하니 비와 같이, 땅을 적시는 늦은 비와 같이 우리에게 임하시리라 하리라</t>
        </is>
      </c>
      <c r="L331" s="14" t="inlineStr">
        <is>
          <t>자동 입력 · 대조 필요</t>
        </is>
      </c>
      <c r="M331" s="14">
        <f>LEN(K331)</f>
        <v/>
      </c>
      <c r="N331" s="14">
        <f>IF(M331=0,"-",ROUND(3+M331/'안내'!$C$12,0))</f>
        <v/>
      </c>
      <c r="O331" s="15">
        <f>IF(K331="","(본문 입력 후 자동) | 호 6:3",IF(LEN(K331)&gt;28,LEFT(K331,28)&amp;"…",K331)&amp;" | 호 6:3")</f>
        <v/>
      </c>
      <c r="P331" s="15">
        <f>"#"&amp;SUBSTITUTE('안내'!$C$5," ","")&amp;" #성경구절 #말씀 #호세아 #하나님"</f>
        <v/>
      </c>
      <c r="Q331" s="15" t="inlineStr">
        <is>
          <t>성경 본문: 개역한글판</t>
        </is>
      </c>
      <c r="R331" s="17">
        <f>'안내'!$C$6+INT((D331-1)/'안내'!$C$7)</f>
        <v/>
      </c>
      <c r="S331" s="14">
        <f>IF(MOD(D331-1,'안내'!$C$7)=0,'안내'!$C$8,'안내'!$C$10)</f>
        <v/>
      </c>
      <c r="T331" s="14">
        <f>CHOOSE(WEEKDAY(R331,2),"월","화","수","목","금","토","일")</f>
        <v/>
      </c>
      <c r="U331" s="14" t="inlineStr">
        <is>
          <t>미착수</t>
        </is>
      </c>
      <c r="V331" s="14" t="inlineStr">
        <is>
          <t>미착수</t>
        </is>
      </c>
      <c r="W331" s="18" t="n"/>
      <c r="X331" s="18" t="n"/>
      <c r="Y331" s="15" t="n"/>
      <c r="Z331" s="15" t="inlineStr">
        <is>
          <t>줄바꿈 띄어쓰기 확인</t>
        </is>
      </c>
      <c r="AA331" s="15" t="inlineStr">
        <is>
          <t>Let’s acknowledge Yahweh. Let’s press on to know Yahweh. As surely as the sun rises, Yahweh will appear. He will come to us like the rain, like the spring rain that waters the earth.”</t>
        </is>
      </c>
    </row>
    <row r="332">
      <c r="A332" s="13" t="n">
        <v>331</v>
      </c>
      <c r="B332" s="13" t="inlineStr">
        <is>
          <t>W0331</t>
        </is>
      </c>
      <c r="C332" s="13" t="inlineStr">
        <is>
          <t>구약</t>
        </is>
      </c>
      <c r="D332" s="13" t="n">
        <v>331</v>
      </c>
      <c r="E332" s="13">
        <f>C332&amp;"말씀 #"&amp;TEXT(D332,"000")</f>
        <v/>
      </c>
      <c r="F332" s="14" t="inlineStr">
        <is>
          <t>호세아</t>
        </is>
      </c>
      <c r="G332" s="14" t="inlineStr">
        <is>
          <t>10:12</t>
        </is>
      </c>
      <c r="H332" s="15" t="inlineStr">
        <is>
          <t>(호 10:12, 개역한글)</t>
        </is>
      </c>
      <c r="I332" s="14" t="inlineStr">
        <is>
          <t>회개</t>
        </is>
      </c>
      <c r="J332" s="14" t="inlineStr">
        <is>
          <t>제단·십자가</t>
        </is>
      </c>
      <c r="K332" s="16" t="inlineStr">
        <is>
          <t>너희가 자기를 위하여 의를 심고 긍휼을 거두라 지금이 곧 여호와를 찾을 때니 너희 묵은 땅을 기경하라 마침내 여호와께서 임하사 의를 비처럼 너희에게 내리시리라</t>
        </is>
      </c>
      <c r="L332" s="14" t="inlineStr">
        <is>
          <t>자동 입력 · 대조 필요</t>
        </is>
      </c>
      <c r="M332" s="14">
        <f>LEN(K332)</f>
        <v/>
      </c>
      <c r="N332" s="14">
        <f>IF(M332=0,"-",ROUND(3+M332/'안내'!$C$12,0))</f>
        <v/>
      </c>
      <c r="O332" s="15">
        <f>IF(K332="","(본문 입력 후 자동) | 호 10:12",IF(LEN(K332)&gt;28,LEFT(K332,28)&amp;"…",K332)&amp;" | 호 10:12")</f>
        <v/>
      </c>
      <c r="P332" s="15">
        <f>"#"&amp;SUBSTITUTE('안내'!$C$5," ","")&amp;" #성경구절 #말씀 #호세아 #회개"</f>
        <v/>
      </c>
      <c r="Q332" s="15" t="inlineStr">
        <is>
          <t>성경 본문: 개역한글판</t>
        </is>
      </c>
      <c r="R332" s="17">
        <f>'안내'!$C$6+INT((D332-1)/'안내'!$C$7)</f>
        <v/>
      </c>
      <c r="S332" s="14">
        <f>IF(MOD(D332-1,'안내'!$C$7)=0,'안내'!$C$8,'안내'!$C$10)</f>
        <v/>
      </c>
      <c r="T332" s="14">
        <f>CHOOSE(WEEKDAY(R332,2),"월","화","수","목","금","토","일")</f>
        <v/>
      </c>
      <c r="U332" s="14" t="inlineStr">
        <is>
          <t>미착수</t>
        </is>
      </c>
      <c r="V332" s="14" t="inlineStr">
        <is>
          <t>미착수</t>
        </is>
      </c>
      <c r="W332" s="18" t="n"/>
      <c r="X332" s="18" t="n"/>
      <c r="Y332" s="15" t="n"/>
      <c r="Z332" s="15" t="inlineStr">
        <is>
          <t>줄바꿈 띄어쓰기 확인</t>
        </is>
      </c>
      <c r="AA332" s="15" t="inlineStr">
        <is>
          <t>Sow to yourselves in righteousness, reap according to kindness. Break up your fallow ground, for it is time to seek Yahweh, until he comes and rains righteous- ness on you.</t>
        </is>
      </c>
    </row>
    <row r="333">
      <c r="A333" s="13" t="n">
        <v>332</v>
      </c>
      <c r="B333" s="13" t="inlineStr">
        <is>
          <t>W0332</t>
        </is>
      </c>
      <c r="C333" s="13" t="inlineStr">
        <is>
          <t>구약</t>
        </is>
      </c>
      <c r="D333" s="13" t="n">
        <v>332</v>
      </c>
      <c r="E333" s="13">
        <f>C333&amp;"말씀 #"&amp;TEXT(D333,"000")</f>
        <v/>
      </c>
      <c r="F333" s="14" t="inlineStr">
        <is>
          <t>호세아</t>
        </is>
      </c>
      <c r="G333" s="14" t="inlineStr">
        <is>
          <t>14:4</t>
        </is>
      </c>
      <c r="H333" s="15" t="inlineStr">
        <is>
          <t>(호 14:4, 개역한글)</t>
        </is>
      </c>
      <c r="I333" s="14" t="inlineStr">
        <is>
          <t>사랑</t>
        </is>
      </c>
      <c r="J333" s="14" t="inlineStr">
        <is>
          <t>창가·식탁</t>
        </is>
      </c>
      <c r="K333" s="16" t="inlineStr">
        <is>
          <t>내가 저희의 패역을 고치고 즐거이 저희를 사랑하리니 나의 진노가 저에게서 떠났음이니라</t>
        </is>
      </c>
      <c r="L333" s="14" t="inlineStr">
        <is>
          <t>자동 입력</t>
        </is>
      </c>
      <c r="M333" s="14">
        <f>LEN(K333)</f>
        <v/>
      </c>
      <c r="N333" s="14">
        <f>IF(M333=0,"-",ROUND(3+M333/'안내'!$C$12,0))</f>
        <v/>
      </c>
      <c r="O333" s="15">
        <f>IF(K333="","(본문 입력 후 자동) | 호 14:4",IF(LEN(K333)&gt;28,LEFT(K333,28)&amp;"…",K333)&amp;" | 호 14:4")</f>
        <v/>
      </c>
      <c r="P333" s="15">
        <f>"#"&amp;SUBSTITUTE('안내'!$C$5," ","")&amp;" #성경구절 #말씀 #호세아 #사랑"</f>
        <v/>
      </c>
      <c r="Q333" s="15" t="inlineStr">
        <is>
          <t>성경 본문: 개역한글판</t>
        </is>
      </c>
      <c r="R333" s="17">
        <f>'안내'!$C$6+INT((D333-1)/'안내'!$C$7)</f>
        <v/>
      </c>
      <c r="S333" s="14">
        <f>IF(MOD(D333-1,'안내'!$C$7)=0,'안내'!$C$8,'안내'!$C$10)</f>
        <v/>
      </c>
      <c r="T333" s="14">
        <f>CHOOSE(WEEKDAY(R333,2),"월","화","수","목","금","토","일")</f>
        <v/>
      </c>
      <c r="U333" s="14" t="inlineStr">
        <is>
          <t>미착수</t>
        </is>
      </c>
      <c r="V333" s="14" t="inlineStr">
        <is>
          <t>미착수</t>
        </is>
      </c>
      <c r="W333" s="18" t="n"/>
      <c r="X333" s="18" t="n"/>
      <c r="Y333" s="15" t="n"/>
      <c r="Z333" s="15" t="inlineStr"/>
      <c r="AA333" s="15" t="inlineStr">
        <is>
          <t>“I will heal their waywardness. I will love them freely; for my anger is turned away from them.</t>
        </is>
      </c>
    </row>
    <row r="334">
      <c r="A334" s="13" t="n">
        <v>333</v>
      </c>
      <c r="B334" s="13" t="inlineStr">
        <is>
          <t>W0333</t>
        </is>
      </c>
      <c r="C334" s="13" t="inlineStr">
        <is>
          <t>구약</t>
        </is>
      </c>
      <c r="D334" s="13" t="n">
        <v>333</v>
      </c>
      <c r="E334" s="13">
        <f>C334&amp;"말씀 #"&amp;TEXT(D334,"000")</f>
        <v/>
      </c>
      <c r="F334" s="14" t="inlineStr">
        <is>
          <t>요엘</t>
        </is>
      </c>
      <c r="G334" s="14" t="inlineStr">
        <is>
          <t>2:13</t>
        </is>
      </c>
      <c r="H334" s="15" t="inlineStr">
        <is>
          <t>(욜 2:13, 개역한글)</t>
        </is>
      </c>
      <c r="I334" s="14" t="inlineStr">
        <is>
          <t>회개</t>
        </is>
      </c>
      <c r="J334" s="14" t="inlineStr">
        <is>
          <t>제단·십자가</t>
        </is>
      </c>
      <c r="K334" s="16" t="inlineStr">
        <is>
          <t>너희는 옷을 찢지 말고 마음을 찢고 너희 하나님 여호와께로 돌아올지어다 그는 은혜로우시며 자비로우시며 노하기를 더디하시며 인애가 크시사 뜻을 돌이켜 재앙을 내리지 아니하시나니</t>
        </is>
      </c>
      <c r="L334" s="14" t="inlineStr">
        <is>
          <t>자동 입력 · 대조 필요</t>
        </is>
      </c>
      <c r="M334" s="14">
        <f>LEN(K334)</f>
        <v/>
      </c>
      <c r="N334" s="14">
        <f>IF(M334=0,"-",ROUND(3+M334/'안내'!$C$12,0))</f>
        <v/>
      </c>
      <c r="O334" s="15">
        <f>IF(K334="","(본문 입력 후 자동) | 욜 2:13",IF(LEN(K334)&gt;28,LEFT(K334,28)&amp;"…",K334)&amp;" | 욜 2:13")</f>
        <v/>
      </c>
      <c r="P334" s="15">
        <f>"#"&amp;SUBSTITUTE('안내'!$C$5," ","")&amp;" #성경구절 #말씀 #요엘 #회개"</f>
        <v/>
      </c>
      <c r="Q334" s="15" t="inlineStr">
        <is>
          <t>성경 본문: 개역한글판</t>
        </is>
      </c>
      <c r="R334" s="17">
        <f>'안내'!$C$6+INT((D334-1)/'안내'!$C$7)</f>
        <v/>
      </c>
      <c r="S334" s="14">
        <f>IF(MOD(D334-1,'안내'!$C$7)=0,'안내'!$C$8,'안내'!$C$10)</f>
        <v/>
      </c>
      <c r="T334" s="14">
        <f>CHOOSE(WEEKDAY(R334,2),"월","화","수","목","금","토","일")</f>
        <v/>
      </c>
      <c r="U334" s="14" t="inlineStr">
        <is>
          <t>미착수</t>
        </is>
      </c>
      <c r="V334" s="14" t="inlineStr">
        <is>
          <t>미착수</t>
        </is>
      </c>
      <c r="W334" s="18" t="n"/>
      <c r="X334" s="18" t="n"/>
      <c r="Y334" s="15" t="n"/>
      <c r="Z334" s="15" t="inlineStr">
        <is>
          <t>줄바꿈 띄어쓰기 확인</t>
        </is>
      </c>
      <c r="AA334" s="15" t="inlineStr">
        <is>
          <t>Tear your heart and not your garments, and turn to Yahweh, your God; for he is gracious and merciful, slow to anger, and abundant in loving kindness, and relents from sending calamity.</t>
        </is>
      </c>
    </row>
    <row r="335">
      <c r="A335" s="13" t="n">
        <v>334</v>
      </c>
      <c r="B335" s="13" t="inlineStr">
        <is>
          <t>W0334</t>
        </is>
      </c>
      <c r="C335" s="13" t="inlineStr">
        <is>
          <t>구약</t>
        </is>
      </c>
      <c r="D335" s="13" t="n">
        <v>334</v>
      </c>
      <c r="E335" s="13">
        <f>C335&amp;"말씀 #"&amp;TEXT(D335,"000")</f>
        <v/>
      </c>
      <c r="F335" s="14" t="inlineStr">
        <is>
          <t>요엘</t>
        </is>
      </c>
      <c r="G335" s="14" t="inlineStr">
        <is>
          <t>2:25</t>
        </is>
      </c>
      <c r="H335" s="15" t="inlineStr">
        <is>
          <t>(욜 2:25, 개역한글)</t>
        </is>
      </c>
      <c r="I335" s="14" t="inlineStr">
        <is>
          <t>회복</t>
        </is>
      </c>
      <c r="J335" s="14" t="inlineStr">
        <is>
          <t>새벽빛</t>
        </is>
      </c>
      <c r="K335" s="16" t="inlineStr">
        <is>
          <t>내가 전에 너희에게 보낸 큰 군대 곧 메뚜기와 늣과 황충과 팟종이의 먹은 햇수대로 너희에게 갚아 주리니</t>
        </is>
      </c>
      <c r="L335" s="14" t="inlineStr">
        <is>
          <t>자동 입력</t>
        </is>
      </c>
      <c r="M335" s="14">
        <f>LEN(K335)</f>
        <v/>
      </c>
      <c r="N335" s="14">
        <f>IF(M335=0,"-",ROUND(3+M335/'안내'!$C$12,0))</f>
        <v/>
      </c>
      <c r="O335" s="15">
        <f>IF(K335="","(본문 입력 후 자동) | 욜 2:25",IF(LEN(K335)&gt;28,LEFT(K335,28)&amp;"…",K335)&amp;" | 욜 2:25")</f>
        <v/>
      </c>
      <c r="P335" s="15">
        <f>"#"&amp;SUBSTITUTE('안내'!$C$5," ","")&amp;" #성경구절 #말씀 #요엘 #회복"</f>
        <v/>
      </c>
      <c r="Q335" s="15" t="inlineStr">
        <is>
          <t>성경 본문: 개역한글판</t>
        </is>
      </c>
      <c r="R335" s="17">
        <f>'안내'!$C$6+INT((D335-1)/'안내'!$C$7)</f>
        <v/>
      </c>
      <c r="S335" s="14">
        <f>IF(MOD(D335-1,'안내'!$C$7)=0,'안내'!$C$8,'안내'!$C$10)</f>
        <v/>
      </c>
      <c r="T335" s="14">
        <f>CHOOSE(WEEKDAY(R335,2),"월","화","수","목","금","토","일")</f>
        <v/>
      </c>
      <c r="U335" s="14" t="inlineStr">
        <is>
          <t>미착수</t>
        </is>
      </c>
      <c r="V335" s="14" t="inlineStr">
        <is>
          <t>미착수</t>
        </is>
      </c>
      <c r="W335" s="18" t="n"/>
      <c r="X335" s="18" t="n"/>
      <c r="Y335" s="15" t="n"/>
      <c r="Z335" s="15" t="inlineStr"/>
      <c r="AA335" s="15" t="inlineStr">
        <is>
          <t>I will restore to you the years that the swarming locust has eaten, the great locust, the grasshopper, and the caterpillar, my great army, which I sent among you.</t>
        </is>
      </c>
    </row>
    <row r="336">
      <c r="A336" s="13" t="n">
        <v>335</v>
      </c>
      <c r="B336" s="13" t="inlineStr">
        <is>
          <t>W0335</t>
        </is>
      </c>
      <c r="C336" s="13" t="inlineStr">
        <is>
          <t>구약</t>
        </is>
      </c>
      <c r="D336" s="13" t="n">
        <v>335</v>
      </c>
      <c r="E336" s="13">
        <f>C336&amp;"말씀 #"&amp;TEXT(D336,"000")</f>
        <v/>
      </c>
      <c r="F336" s="14" t="inlineStr">
        <is>
          <t>요엘</t>
        </is>
      </c>
      <c r="G336" s="14" t="inlineStr">
        <is>
          <t>2:28</t>
        </is>
      </c>
      <c r="H336" s="15" t="inlineStr">
        <is>
          <t>(욜 2:28, 개역한글)</t>
        </is>
      </c>
      <c r="I336" s="14" t="inlineStr">
        <is>
          <t>성령</t>
        </is>
      </c>
      <c r="J336" s="14" t="inlineStr">
        <is>
          <t>하늘·별</t>
        </is>
      </c>
      <c r="K336" s="16" t="inlineStr">
        <is>
          <t>그 후에 내가 내 신을 만민에게 부어 주리니 너희 자녀들이 장래 일을 말할 것이며 너희 늙은이는 꿈을 꾸며 너희 젊은이는 이상을 볼 것이며</t>
        </is>
      </c>
      <c r="L336" s="14" t="inlineStr">
        <is>
          <t>자동 입력</t>
        </is>
      </c>
      <c r="M336" s="14">
        <f>LEN(K336)</f>
        <v/>
      </c>
      <c r="N336" s="14">
        <f>IF(M336=0,"-",ROUND(3+M336/'안내'!$C$12,0))</f>
        <v/>
      </c>
      <c r="O336" s="15">
        <f>IF(K336="","(본문 입력 후 자동) | 욜 2:28",IF(LEN(K336)&gt;28,LEFT(K336,28)&amp;"…",K336)&amp;" | 욜 2:28")</f>
        <v/>
      </c>
      <c r="P336" s="15">
        <f>"#"&amp;SUBSTITUTE('안내'!$C$5," ","")&amp;" #성경구절 #말씀 #요엘 #성령"</f>
        <v/>
      </c>
      <c r="Q336" s="15" t="inlineStr">
        <is>
          <t>성경 본문: 개역한글판</t>
        </is>
      </c>
      <c r="R336" s="17">
        <f>'안내'!$C$6+INT((D336-1)/'안내'!$C$7)</f>
        <v/>
      </c>
      <c r="S336" s="14">
        <f>IF(MOD(D336-1,'안내'!$C$7)=0,'안내'!$C$8,'안내'!$C$10)</f>
        <v/>
      </c>
      <c r="T336" s="14">
        <f>CHOOSE(WEEKDAY(R336,2),"월","화","수","목","금","토","일")</f>
        <v/>
      </c>
      <c r="U336" s="14" t="inlineStr">
        <is>
          <t>미착수</t>
        </is>
      </c>
      <c r="V336" s="14" t="inlineStr">
        <is>
          <t>미착수</t>
        </is>
      </c>
      <c r="W336" s="18" t="n"/>
      <c r="X336" s="18" t="n"/>
      <c r="Y336" s="15" t="n"/>
      <c r="Z336" s="15" t="inlineStr"/>
      <c r="AA336" s="15" t="inlineStr">
        <is>
          <t>“It will happen afterward, that I will pour out my Spirit on all flesh; and your sons and your daughters will prophesy. Your old men will dream dreams. Your young men will see visions.</t>
        </is>
      </c>
    </row>
    <row r="337">
      <c r="A337" s="13" t="n">
        <v>336</v>
      </c>
      <c r="B337" s="13" t="inlineStr">
        <is>
          <t>W0336</t>
        </is>
      </c>
      <c r="C337" s="13" t="inlineStr">
        <is>
          <t>구약</t>
        </is>
      </c>
      <c r="D337" s="13" t="n">
        <v>336</v>
      </c>
      <c r="E337" s="13">
        <f>C337&amp;"말씀 #"&amp;TEXT(D337,"000")</f>
        <v/>
      </c>
      <c r="F337" s="14" t="inlineStr">
        <is>
          <t>아모스</t>
        </is>
      </c>
      <c r="G337" s="14" t="inlineStr">
        <is>
          <t>4:12</t>
        </is>
      </c>
      <c r="H337" s="15" t="inlineStr">
        <is>
          <t>(암 4:12, 개역한글)</t>
        </is>
      </c>
      <c r="I337" s="14" t="inlineStr">
        <is>
          <t>경외</t>
        </is>
      </c>
      <c r="J337" s="14" t="inlineStr">
        <is>
          <t>하늘·별</t>
        </is>
      </c>
      <c r="K337" s="16" t="inlineStr">
        <is>
          <t>그러므로 이스라엘아 내가 이와 같이 네게 행하리라 내가 이것을 네게 행하리니 이스라엘아 네 하나님 만나기를 예비하라</t>
        </is>
      </c>
      <c r="L337" s="14" t="inlineStr">
        <is>
          <t>자동 입력 · 대조 필요</t>
        </is>
      </c>
      <c r="M337" s="14">
        <f>LEN(K337)</f>
        <v/>
      </c>
      <c r="N337" s="14">
        <f>IF(M337=0,"-",ROUND(3+M337/'안내'!$C$12,0))</f>
        <v/>
      </c>
      <c r="O337" s="15">
        <f>IF(K337="","(본문 입력 후 자동) | 암 4:12",IF(LEN(K337)&gt;28,LEFT(K337,28)&amp;"…",K337)&amp;" | 암 4:12")</f>
        <v/>
      </c>
      <c r="P337" s="15">
        <f>"#"&amp;SUBSTITUTE('안내'!$C$5," ","")&amp;" #성경구절 #말씀 #아모스 #경외"</f>
        <v/>
      </c>
      <c r="Q337" s="15" t="inlineStr">
        <is>
          <t>성경 본문: 개역한글판</t>
        </is>
      </c>
      <c r="R337" s="17">
        <f>'안내'!$C$6+INT((D337-1)/'안내'!$C$7)</f>
        <v/>
      </c>
      <c r="S337" s="14">
        <f>IF(MOD(D337-1,'안내'!$C$7)=0,'안내'!$C$8,'안내'!$C$10)</f>
        <v/>
      </c>
      <c r="T337" s="14">
        <f>CHOOSE(WEEKDAY(R337,2),"월","화","수","목","금","토","일")</f>
        <v/>
      </c>
      <c r="U337" s="14" t="inlineStr">
        <is>
          <t>미착수</t>
        </is>
      </c>
      <c r="V337" s="14" t="inlineStr">
        <is>
          <t>미착수</t>
        </is>
      </c>
      <c r="W337" s="18" t="n"/>
      <c r="X337" s="18" t="n"/>
      <c r="Y337" s="15" t="n"/>
      <c r="Z337" s="15" t="inlineStr">
        <is>
          <t>줄바꿈 띄어쓰기 확인</t>
        </is>
      </c>
      <c r="AA337" s="15" t="inlineStr">
        <is>
          <t>“Therefore I will do this to you, Israel; because I will do this to you, prepare to meet your God, Israel.</t>
        </is>
      </c>
    </row>
    <row r="338">
      <c r="A338" s="13" t="n">
        <v>337</v>
      </c>
      <c r="B338" s="13" t="inlineStr">
        <is>
          <t>W0337</t>
        </is>
      </c>
      <c r="C338" s="13" t="inlineStr">
        <is>
          <t>구약</t>
        </is>
      </c>
      <c r="D338" s="13" t="n">
        <v>337</v>
      </c>
      <c r="E338" s="13">
        <f>C338&amp;"말씀 #"&amp;TEXT(D338,"000")</f>
        <v/>
      </c>
      <c r="F338" s="14" t="inlineStr">
        <is>
          <t>아모스</t>
        </is>
      </c>
      <c r="G338" s="14" t="inlineStr">
        <is>
          <t>5:4</t>
        </is>
      </c>
      <c r="H338" s="15" t="inlineStr">
        <is>
          <t>(암 5:4, 개역한글)</t>
        </is>
      </c>
      <c r="I338" s="14" t="inlineStr">
        <is>
          <t>생명</t>
        </is>
      </c>
      <c r="J338" s="14" t="inlineStr">
        <is>
          <t>새벽빛</t>
        </is>
      </c>
      <c r="K338" s="16" t="inlineStr">
        <is>
          <t>여호와께서 이스라엘 족속에게 이르시기를 너희는 나를 찾으라 그리하면 살리라</t>
        </is>
      </c>
      <c r="L338" s="14" t="inlineStr">
        <is>
          <t>자동 입력</t>
        </is>
      </c>
      <c r="M338" s="14">
        <f>LEN(K338)</f>
        <v/>
      </c>
      <c r="N338" s="14">
        <f>IF(M338=0,"-",ROUND(3+M338/'안내'!$C$12,0))</f>
        <v/>
      </c>
      <c r="O338" s="15">
        <f>IF(K338="","(본문 입력 후 자동) | 암 5:4",IF(LEN(K338)&gt;28,LEFT(K338,28)&amp;"…",K338)&amp;" | 암 5:4")</f>
        <v/>
      </c>
      <c r="P338" s="15">
        <f>"#"&amp;SUBSTITUTE('안내'!$C$5," ","")&amp;" #성경구절 #말씀 #아모스 #생명"</f>
        <v/>
      </c>
      <c r="Q338" s="15" t="inlineStr">
        <is>
          <t>성경 본문: 개역한글판</t>
        </is>
      </c>
      <c r="R338" s="17">
        <f>'안내'!$C$6+INT((D338-1)/'안내'!$C$7)</f>
        <v/>
      </c>
      <c r="S338" s="14">
        <f>IF(MOD(D338-1,'안내'!$C$7)=0,'안내'!$C$8,'안내'!$C$10)</f>
        <v/>
      </c>
      <c r="T338" s="14">
        <f>CHOOSE(WEEKDAY(R338,2),"월","화","수","목","금","토","일")</f>
        <v/>
      </c>
      <c r="U338" s="14" t="inlineStr">
        <is>
          <t>미착수</t>
        </is>
      </c>
      <c r="V338" s="14" t="inlineStr">
        <is>
          <t>미착수</t>
        </is>
      </c>
      <c r="W338" s="18" t="n"/>
      <c r="X338" s="18" t="n"/>
      <c r="Y338" s="15" t="n"/>
      <c r="Z338" s="15" t="inlineStr"/>
      <c r="AA338" s="15" t="inlineStr">
        <is>
          <t>For Yahweh says to the house of Israel: “Seek me, and you will live;</t>
        </is>
      </c>
    </row>
    <row r="339">
      <c r="A339" s="13" t="n">
        <v>338</v>
      </c>
      <c r="B339" s="13" t="inlineStr">
        <is>
          <t>W0338</t>
        </is>
      </c>
      <c r="C339" s="13" t="inlineStr">
        <is>
          <t>구약</t>
        </is>
      </c>
      <c r="D339" s="13" t="n">
        <v>338</v>
      </c>
      <c r="E339" s="13">
        <f>C339&amp;"말씀 #"&amp;TEXT(D339,"000")</f>
        <v/>
      </c>
      <c r="F339" s="14" t="inlineStr">
        <is>
          <t>아모스</t>
        </is>
      </c>
      <c r="G339" s="14" t="inlineStr">
        <is>
          <t>5:24</t>
        </is>
      </c>
      <c r="H339" s="15" t="inlineStr">
        <is>
          <t>(암 5:24, 개역한글)</t>
        </is>
      </c>
      <c r="I339" s="14" t="inlineStr">
        <is>
          <t>정의</t>
        </is>
      </c>
      <c r="J339" s="14" t="inlineStr">
        <is>
          <t>들판·나무</t>
        </is>
      </c>
      <c r="K339" s="16" t="inlineStr">
        <is>
          <t>오직 공법을 물같이, 정의를 하수같이 흘릴지로다</t>
        </is>
      </c>
      <c r="L339" s="14" t="inlineStr">
        <is>
          <t>자동 입력</t>
        </is>
      </c>
      <c r="M339" s="14">
        <f>LEN(K339)</f>
        <v/>
      </c>
      <c r="N339" s="14">
        <f>IF(M339=0,"-",ROUND(3+M339/'안내'!$C$12,0))</f>
        <v/>
      </c>
      <c r="O339" s="15">
        <f>IF(K339="","(본문 입력 후 자동) | 암 5:24",IF(LEN(K339)&gt;28,LEFT(K339,28)&amp;"…",K339)&amp;" | 암 5:24")</f>
        <v/>
      </c>
      <c r="P339" s="15">
        <f>"#"&amp;SUBSTITUTE('안내'!$C$5," ","")&amp;" #성경구절 #말씀 #아모스 #정의"</f>
        <v/>
      </c>
      <c r="Q339" s="15" t="inlineStr">
        <is>
          <t>성경 본문: 개역한글판</t>
        </is>
      </c>
      <c r="R339" s="17">
        <f>'안내'!$C$6+INT((D339-1)/'안내'!$C$7)</f>
        <v/>
      </c>
      <c r="S339" s="14">
        <f>IF(MOD(D339-1,'안내'!$C$7)=0,'안내'!$C$8,'안내'!$C$10)</f>
        <v/>
      </c>
      <c r="T339" s="14">
        <f>CHOOSE(WEEKDAY(R339,2),"월","화","수","목","금","토","일")</f>
        <v/>
      </c>
      <c r="U339" s="14" t="inlineStr">
        <is>
          <t>미착수</t>
        </is>
      </c>
      <c r="V339" s="14" t="inlineStr">
        <is>
          <t>미착수</t>
        </is>
      </c>
      <c r="W339" s="18" t="n"/>
      <c r="X339" s="18" t="n"/>
      <c r="Y339" s="15" t="n"/>
      <c r="Z339" s="15" t="inlineStr"/>
      <c r="AA339" s="15" t="inlineStr">
        <is>
          <t>But let justice roll on like rivers, and righteousness like a mighty stream.</t>
        </is>
      </c>
    </row>
    <row r="340">
      <c r="A340" s="13" t="n">
        <v>339</v>
      </c>
      <c r="B340" s="13" t="inlineStr">
        <is>
          <t>W0339</t>
        </is>
      </c>
      <c r="C340" s="13" t="inlineStr">
        <is>
          <t>구약</t>
        </is>
      </c>
      <c r="D340" s="13" t="n">
        <v>339</v>
      </c>
      <c r="E340" s="13">
        <f>C340&amp;"말씀 #"&amp;TEXT(D340,"000")</f>
        <v/>
      </c>
      <c r="F340" s="14" t="inlineStr">
        <is>
          <t>오바댜</t>
        </is>
      </c>
      <c r="G340" s="14" t="inlineStr">
        <is>
          <t>1:3</t>
        </is>
      </c>
      <c r="H340" s="15" t="inlineStr">
        <is>
          <t>(옵 1:3, 개역한글)</t>
        </is>
      </c>
      <c r="I340" s="14" t="inlineStr">
        <is>
          <t>겸손</t>
        </is>
      </c>
      <c r="J340" s="14" t="inlineStr">
        <is>
          <t>창가·식탁</t>
        </is>
      </c>
      <c r="K340" s="16" t="inlineStr">
        <is>
          <t>바위 틈에 거하며 높은 곳에 사는 자여 네가 중심에 이르기를 누가 능히 나를 땅에 끌어내리겠느냐 하니 너의 중심의 교만이 너를 속였도다</t>
        </is>
      </c>
      <c r="L340" s="14" t="inlineStr">
        <is>
          <t>자동 입력</t>
        </is>
      </c>
      <c r="M340" s="14">
        <f>LEN(K340)</f>
        <v/>
      </c>
      <c r="N340" s="14">
        <f>IF(M340=0,"-",ROUND(3+M340/'안내'!$C$12,0))</f>
        <v/>
      </c>
      <c r="O340" s="15">
        <f>IF(K340="","(본문 입력 후 자동) | 옵 1:3",IF(LEN(K340)&gt;28,LEFT(K340,28)&amp;"…",K340)&amp;" | 옵 1:3")</f>
        <v/>
      </c>
      <c r="P340" s="15">
        <f>"#"&amp;SUBSTITUTE('안내'!$C$5," ","")&amp;" #성경구절 #말씀 #오바댜 #겸손"</f>
        <v/>
      </c>
      <c r="Q340" s="15" t="inlineStr">
        <is>
          <t>성경 본문: 개역한글판</t>
        </is>
      </c>
      <c r="R340" s="17">
        <f>'안내'!$C$6+INT((D340-1)/'안내'!$C$7)</f>
        <v/>
      </c>
      <c r="S340" s="14">
        <f>IF(MOD(D340-1,'안내'!$C$7)=0,'안내'!$C$8,'안내'!$C$10)</f>
        <v/>
      </c>
      <c r="T340" s="14">
        <f>CHOOSE(WEEKDAY(R340,2),"월","화","수","목","금","토","일")</f>
        <v/>
      </c>
      <c r="U340" s="14" t="inlineStr">
        <is>
          <t>미착수</t>
        </is>
      </c>
      <c r="V340" s="14" t="inlineStr">
        <is>
          <t>미착수</t>
        </is>
      </c>
      <c r="W340" s="18" t="n"/>
      <c r="X340" s="18" t="n"/>
      <c r="Y340" s="15" t="n"/>
      <c r="Z340" s="15" t="inlineStr"/>
      <c r="AA340" s="15" t="inlineStr">
        <is>
          <t>The pride of your heart has deceived you, you who dwell in the clefts of the rock, whose habitation is high, who says in his heart, ‘Who will bring me down to the ground?’</t>
        </is>
      </c>
    </row>
    <row r="341">
      <c r="A341" s="13" t="n">
        <v>340</v>
      </c>
      <c r="B341" s="13" t="inlineStr">
        <is>
          <t>W0340</t>
        </is>
      </c>
      <c r="C341" s="13" t="inlineStr">
        <is>
          <t>구약</t>
        </is>
      </c>
      <c r="D341" s="13" t="n">
        <v>340</v>
      </c>
      <c r="E341" s="13">
        <f>C341&amp;"말씀 #"&amp;TEXT(D341,"000")</f>
        <v/>
      </c>
      <c r="F341" s="14" t="inlineStr">
        <is>
          <t>요나</t>
        </is>
      </c>
      <c r="G341" s="14" t="inlineStr">
        <is>
          <t>2:2</t>
        </is>
      </c>
      <c r="H341" s="15" t="inlineStr">
        <is>
          <t>(욘 2:2, 개역한글)</t>
        </is>
      </c>
      <c r="I341" s="14" t="inlineStr">
        <is>
          <t>기도</t>
        </is>
      </c>
      <c r="J341" s="14" t="inlineStr">
        <is>
          <t>제단·십자가</t>
        </is>
      </c>
      <c r="K341" s="16" t="inlineStr">
        <is>
          <t>가로되 내가 받는 고난을 인하여 여호와께 불러 아뢰었삽더니 주께서 내게 대답하셨고 내가 스올의 뱃속에서 부르짖었삽더니 주께서 나의 음성을 들으셨나이다</t>
        </is>
      </c>
      <c r="L341" s="14" t="inlineStr">
        <is>
          <t>자동 입력 · 대조 필요</t>
        </is>
      </c>
      <c r="M341" s="14">
        <f>LEN(K341)</f>
        <v/>
      </c>
      <c r="N341" s="14">
        <f>IF(M341=0,"-",ROUND(3+M341/'안내'!$C$12,0))</f>
        <v/>
      </c>
      <c r="O341" s="15">
        <f>IF(K341="","(본문 입력 후 자동) | 욘 2:2",IF(LEN(K341)&gt;28,LEFT(K341,28)&amp;"…",K341)&amp;" | 욘 2:2")</f>
        <v/>
      </c>
      <c r="P341" s="15">
        <f>"#"&amp;SUBSTITUTE('안내'!$C$5," ","")&amp;" #성경구절 #말씀 #요나 #기도"</f>
        <v/>
      </c>
      <c r="Q341" s="15" t="inlineStr">
        <is>
          <t>성경 본문: 개역한글판</t>
        </is>
      </c>
      <c r="R341" s="17">
        <f>'안내'!$C$6+INT((D341-1)/'안내'!$C$7)</f>
        <v/>
      </c>
      <c r="S341" s="14">
        <f>IF(MOD(D341-1,'안내'!$C$7)=0,'안내'!$C$8,'안내'!$C$10)</f>
        <v/>
      </c>
      <c r="T341" s="14">
        <f>CHOOSE(WEEKDAY(R341,2),"월","화","수","목","금","토","일")</f>
        <v/>
      </c>
      <c r="U341" s="14" t="inlineStr">
        <is>
          <t>미착수</t>
        </is>
      </c>
      <c r="V341" s="14" t="inlineStr">
        <is>
          <t>미착수</t>
        </is>
      </c>
      <c r="W341" s="18" t="n"/>
      <c r="X341" s="18" t="n"/>
      <c r="Y341" s="15" t="n"/>
      <c r="Z341" s="15" t="inlineStr">
        <is>
          <t>줄바꿈 띄어쓰기 확인</t>
        </is>
      </c>
      <c r="AA341" s="15" t="inlineStr">
        <is>
          <t>He said, “I called because of my affliction to Yah- weh. He answered me. Out of the belly of Sheol I cried. You heard my voice.</t>
        </is>
      </c>
    </row>
    <row r="342">
      <c r="A342" s="13" t="n">
        <v>341</v>
      </c>
      <c r="B342" s="13" t="inlineStr">
        <is>
          <t>W0341</t>
        </is>
      </c>
      <c r="C342" s="13" t="inlineStr">
        <is>
          <t>구약</t>
        </is>
      </c>
      <c r="D342" s="13" t="n">
        <v>341</v>
      </c>
      <c r="E342" s="13">
        <f>C342&amp;"말씀 #"&amp;TEXT(D342,"000")</f>
        <v/>
      </c>
      <c r="F342" s="14" t="inlineStr">
        <is>
          <t>요나</t>
        </is>
      </c>
      <c r="G342" s="14" t="inlineStr">
        <is>
          <t>2:9</t>
        </is>
      </c>
      <c r="H342" s="15" t="inlineStr">
        <is>
          <t>(욘 2:9, 개역한글)</t>
        </is>
      </c>
      <c r="I342" s="14" t="inlineStr">
        <is>
          <t>구원</t>
        </is>
      </c>
      <c r="J342" s="14" t="inlineStr">
        <is>
          <t>제단·십자가</t>
        </is>
      </c>
      <c r="K342" s="16" t="inlineStr">
        <is>
          <t>나는 감사하는 목소리로 주께 제사를 드리며 나의 서원을 주께 갚겠나이다 구원은 여호와께로서 말미암나이다 하니라</t>
        </is>
      </c>
      <c r="L342" s="14" t="inlineStr">
        <is>
          <t>자동 입력 · 대조 필요</t>
        </is>
      </c>
      <c r="M342" s="14">
        <f>LEN(K342)</f>
        <v/>
      </c>
      <c r="N342" s="14">
        <f>IF(M342=0,"-",ROUND(3+M342/'안내'!$C$12,0))</f>
        <v/>
      </c>
      <c r="O342" s="15">
        <f>IF(K342="","(본문 입력 후 자동) | 욘 2:9",IF(LEN(K342)&gt;28,LEFT(K342,28)&amp;"…",K342)&amp;" | 욘 2:9")</f>
        <v/>
      </c>
      <c r="P342" s="15">
        <f>"#"&amp;SUBSTITUTE('안내'!$C$5," ","")&amp;" #성경구절 #말씀 #요나 #구원"</f>
        <v/>
      </c>
      <c r="Q342" s="15" t="inlineStr">
        <is>
          <t>성경 본문: 개역한글판</t>
        </is>
      </c>
      <c r="R342" s="17">
        <f>'안내'!$C$6+INT((D342-1)/'안내'!$C$7)</f>
        <v/>
      </c>
      <c r="S342" s="14">
        <f>IF(MOD(D342-1,'안내'!$C$7)=0,'안내'!$C$8,'안내'!$C$10)</f>
        <v/>
      </c>
      <c r="T342" s="14">
        <f>CHOOSE(WEEKDAY(R342,2),"월","화","수","목","금","토","일")</f>
        <v/>
      </c>
      <c r="U342" s="14" t="inlineStr">
        <is>
          <t>미착수</t>
        </is>
      </c>
      <c r="V342" s="14" t="inlineStr">
        <is>
          <t>미착수</t>
        </is>
      </c>
      <c r="W342" s="18" t="n"/>
      <c r="X342" s="18" t="n"/>
      <c r="Y342" s="15" t="n"/>
      <c r="Z342" s="15" t="inlineStr">
        <is>
          <t>줄바꿈 띄어쓰기 확인</t>
        </is>
      </c>
      <c r="AA342" s="15" t="inlineStr">
        <is>
          <t>But I will sacrifice to you with the voice of thanksgiving. I will pay that which I have vowed. Salvation belongs to Yahweh.”</t>
        </is>
      </c>
    </row>
    <row r="343">
      <c r="A343" s="13" t="n">
        <v>342</v>
      </c>
      <c r="B343" s="13" t="inlineStr">
        <is>
          <t>W0342</t>
        </is>
      </c>
      <c r="C343" s="13" t="inlineStr">
        <is>
          <t>구약</t>
        </is>
      </c>
      <c r="D343" s="13" t="n">
        <v>342</v>
      </c>
      <c r="E343" s="13">
        <f>C343&amp;"말씀 #"&amp;TEXT(D343,"000")</f>
        <v/>
      </c>
      <c r="F343" s="14" t="inlineStr">
        <is>
          <t>요나</t>
        </is>
      </c>
      <c r="G343" s="14" t="inlineStr">
        <is>
          <t>4:2</t>
        </is>
      </c>
      <c r="H343" s="15" t="inlineStr">
        <is>
          <t>(욘 4:2, 개역한글)</t>
        </is>
      </c>
      <c r="I343" s="14" t="inlineStr">
        <is>
          <t>은혜</t>
        </is>
      </c>
      <c r="J343" s="14" t="inlineStr">
        <is>
          <t>잔잔한 물</t>
        </is>
      </c>
      <c r="K343" s="16" t="inlineStr">
        <is>
          <t>여호와께 기도하여 가로되 여호와여 내가 고국에 있을 때에 이러하겠다고 말씀하지 아니하였나이까 그러므로 내가 빨리 다시스로 도망하였사오니 주께서는 은혜로우시며 자비로우시며 노하기를 더디하시며 인애가 크시사 뜻을 돌이켜 재앙을 내리지 아니하시는 하나님이신 줄을 알았음이니이다</t>
        </is>
      </c>
      <c r="L343" s="14" t="inlineStr">
        <is>
          <t>자동 입력 · 대조 필요</t>
        </is>
      </c>
      <c r="M343" s="14">
        <f>LEN(K343)</f>
        <v/>
      </c>
      <c r="N343" s="14">
        <f>IF(M343=0,"-",ROUND(3+M343/'안내'!$C$12,0))</f>
        <v/>
      </c>
      <c r="O343" s="15">
        <f>IF(K343="","(본문 입력 후 자동) | 욘 4:2",IF(LEN(K343)&gt;28,LEFT(K343,28)&amp;"…",K343)&amp;" | 욘 4:2")</f>
        <v/>
      </c>
      <c r="P343" s="15">
        <f>"#"&amp;SUBSTITUTE('안내'!$C$5," ","")&amp;" #성경구절 #말씀 #요나 #은혜"</f>
        <v/>
      </c>
      <c r="Q343" s="15" t="inlineStr">
        <is>
          <t>성경 본문: 개역한글판</t>
        </is>
      </c>
      <c r="R343" s="17">
        <f>'안내'!$C$6+INT((D343-1)/'안내'!$C$7)</f>
        <v/>
      </c>
      <c r="S343" s="14">
        <f>IF(MOD(D343-1,'안내'!$C$7)=0,'안내'!$C$8,'안내'!$C$10)</f>
        <v/>
      </c>
      <c r="T343" s="14">
        <f>CHOOSE(WEEKDAY(R343,2),"월","화","수","목","금","토","일")</f>
        <v/>
      </c>
      <c r="U343" s="14" t="inlineStr">
        <is>
          <t>미착수</t>
        </is>
      </c>
      <c r="V343" s="14" t="inlineStr">
        <is>
          <t>미착수</t>
        </is>
      </c>
      <c r="W343" s="18" t="n"/>
      <c r="X343" s="18" t="n"/>
      <c r="Y343" s="15" t="n"/>
      <c r="Z343" s="15" t="inlineStr">
        <is>
          <t>줄바꿈 띄어쓰기 확인</t>
        </is>
      </c>
      <c r="AA343" s="15" t="inlineStr">
        <is>
          <t>He prayed to Yahweh, and said, “Please, Yahweh, wasn’t this what I said when I was still in my own country? Therefore I hurried to flee to Tarshish, for I knew that you are a gracious God and merciful, slow to anger, and abundant in loving kindness, and you relent of doing harm.</t>
        </is>
      </c>
    </row>
    <row r="344">
      <c r="A344" s="13" t="n">
        <v>343</v>
      </c>
      <c r="B344" s="13" t="inlineStr">
        <is>
          <t>W0343</t>
        </is>
      </c>
      <c r="C344" s="13" t="inlineStr">
        <is>
          <t>구약</t>
        </is>
      </c>
      <c r="D344" s="13" t="n">
        <v>343</v>
      </c>
      <c r="E344" s="13">
        <f>C344&amp;"말씀 #"&amp;TEXT(D344,"000")</f>
        <v/>
      </c>
      <c r="F344" s="14" t="inlineStr">
        <is>
          <t>미가</t>
        </is>
      </c>
      <c r="G344" s="14" t="inlineStr">
        <is>
          <t>5:2</t>
        </is>
      </c>
      <c r="H344" s="15" t="inlineStr">
        <is>
          <t>(미 5:2, 개역한글)</t>
        </is>
      </c>
      <c r="I344" s="14" t="inlineStr">
        <is>
          <t>구원</t>
        </is>
      </c>
      <c r="J344" s="14" t="inlineStr">
        <is>
          <t>제단·십자가</t>
        </is>
      </c>
      <c r="K344" s="16" t="inlineStr">
        <is>
          <t>베들레헴 에브라다야 너는 유다 족속 중에 작을지라도 이스라엘을 다스릴 자가 네게서 내게로 나올 것이라 그의 근본은 상고에, 태초에니라</t>
        </is>
      </c>
      <c r="L344" s="14" t="inlineStr">
        <is>
          <t>자동 입력</t>
        </is>
      </c>
      <c r="M344" s="14">
        <f>LEN(K344)</f>
        <v/>
      </c>
      <c r="N344" s="14">
        <f>IF(M344=0,"-",ROUND(3+M344/'안내'!$C$12,0))</f>
        <v/>
      </c>
      <c r="O344" s="15">
        <f>IF(K344="","(본문 입력 후 자동) | 미 5:2",IF(LEN(K344)&gt;28,LEFT(K344,28)&amp;"…",K344)&amp;" | 미 5:2")</f>
        <v/>
      </c>
      <c r="P344" s="15">
        <f>"#"&amp;SUBSTITUTE('안내'!$C$5," ","")&amp;" #성경구절 #말씀 #미가 #구원"</f>
        <v/>
      </c>
      <c r="Q344" s="15" t="inlineStr">
        <is>
          <t>성경 본문: 개역한글판</t>
        </is>
      </c>
      <c r="R344" s="17">
        <f>'안내'!$C$6+INT((D344-1)/'안내'!$C$7)</f>
        <v/>
      </c>
      <c r="S344" s="14">
        <f>IF(MOD(D344-1,'안내'!$C$7)=0,'안내'!$C$8,'안내'!$C$10)</f>
        <v/>
      </c>
      <c r="T344" s="14">
        <f>CHOOSE(WEEKDAY(R344,2),"월","화","수","목","금","토","일")</f>
        <v/>
      </c>
      <c r="U344" s="14" t="inlineStr">
        <is>
          <t>미착수</t>
        </is>
      </c>
      <c r="V344" s="14" t="inlineStr">
        <is>
          <t>미착수</t>
        </is>
      </c>
      <c r="W344" s="18" t="n"/>
      <c r="X344" s="18" t="n"/>
      <c r="Y344" s="15" t="n"/>
      <c r="Z344" s="15" t="inlineStr"/>
      <c r="AA344" s="15" t="inlineStr">
        <is>
          <t>But you, Bethlehem Ephrathah, being small among the clans of Judah, out of you one will come out to me who is to be ruler in Israel; whose goings out are from of old, from ancient times.</t>
        </is>
      </c>
    </row>
    <row r="345">
      <c r="A345" s="13" t="n">
        <v>344</v>
      </c>
      <c r="B345" s="13" t="inlineStr">
        <is>
          <t>W0344</t>
        </is>
      </c>
      <c r="C345" s="13" t="inlineStr">
        <is>
          <t>구약</t>
        </is>
      </c>
      <c r="D345" s="13" t="n">
        <v>344</v>
      </c>
      <c r="E345" s="13">
        <f>C345&amp;"말씀 #"&amp;TEXT(D345,"000")</f>
        <v/>
      </c>
      <c r="F345" s="14" t="inlineStr">
        <is>
          <t>미가</t>
        </is>
      </c>
      <c r="G345" s="14" t="inlineStr">
        <is>
          <t>6:8</t>
        </is>
      </c>
      <c r="H345" s="15" t="inlineStr">
        <is>
          <t>(미 6:8, 개역한글)</t>
        </is>
      </c>
      <c r="I345" s="14" t="inlineStr">
        <is>
          <t>순종</t>
        </is>
      </c>
      <c r="J345" s="14" t="inlineStr">
        <is>
          <t>길·등불</t>
        </is>
      </c>
      <c r="K345" s="16" t="inlineStr">
        <is>
          <t>사람아 주께서 선한 것이 무엇임을 네게 보이셨나니 여호와께서 네게 구하시는 것이 오직 공의를 행하며 인자를 사랑하며 겸손히 네 하나님과 함께 행하는 것이 아니냐</t>
        </is>
      </c>
      <c r="L345" s="14" t="inlineStr">
        <is>
          <t>자동 입력</t>
        </is>
      </c>
      <c r="M345" s="14">
        <f>LEN(K345)</f>
        <v/>
      </c>
      <c r="N345" s="14">
        <f>IF(M345=0,"-",ROUND(3+M345/'안내'!$C$12,0))</f>
        <v/>
      </c>
      <c r="O345" s="15">
        <f>IF(K345="","(본문 입력 후 자동) | 미 6:8",IF(LEN(K345)&gt;28,LEFT(K345,28)&amp;"…",K345)&amp;" | 미 6:8")</f>
        <v/>
      </c>
      <c r="P345" s="15">
        <f>"#"&amp;SUBSTITUTE('안내'!$C$5," ","")&amp;" #성경구절 #말씀 #미가 #순종"</f>
        <v/>
      </c>
      <c r="Q345" s="15" t="inlineStr">
        <is>
          <t>성경 본문: 개역한글판</t>
        </is>
      </c>
      <c r="R345" s="17">
        <f>'안내'!$C$6+INT((D345-1)/'안내'!$C$7)</f>
        <v/>
      </c>
      <c r="S345" s="14">
        <f>IF(MOD(D345-1,'안내'!$C$7)=0,'안내'!$C$8,'안내'!$C$10)</f>
        <v/>
      </c>
      <c r="T345" s="14">
        <f>CHOOSE(WEEKDAY(R345,2),"월","화","수","목","금","토","일")</f>
        <v/>
      </c>
      <c r="U345" s="14" t="inlineStr">
        <is>
          <t>미착수</t>
        </is>
      </c>
      <c r="V345" s="14" t="inlineStr">
        <is>
          <t>미착수</t>
        </is>
      </c>
      <c r="W345" s="18" t="n"/>
      <c r="X345" s="18" t="n"/>
      <c r="Y345" s="15" t="n"/>
      <c r="Z345" s="15" t="inlineStr"/>
      <c r="AA345" s="15" t="inlineStr">
        <is>
          <t>He has shown you, O man, what is good. What does Yahweh require of you, but to act justly, to love mercy, and to walk humbly with your God?</t>
        </is>
      </c>
    </row>
    <row r="346">
      <c r="A346" s="13" t="n">
        <v>345</v>
      </c>
      <c r="B346" s="13" t="inlineStr">
        <is>
          <t>W0345</t>
        </is>
      </c>
      <c r="C346" s="13" t="inlineStr">
        <is>
          <t>구약</t>
        </is>
      </c>
      <c r="D346" s="13" t="n">
        <v>345</v>
      </c>
      <c r="E346" s="13">
        <f>C346&amp;"말씀 #"&amp;TEXT(D346,"000")</f>
        <v/>
      </c>
      <c r="F346" s="14" t="inlineStr">
        <is>
          <t>미가</t>
        </is>
      </c>
      <c r="G346" s="14" t="inlineStr">
        <is>
          <t>7:7</t>
        </is>
      </c>
      <c r="H346" s="15" t="inlineStr">
        <is>
          <t>(미 7:7, 개역한글)</t>
        </is>
      </c>
      <c r="I346" s="14" t="inlineStr">
        <is>
          <t>소망</t>
        </is>
      </c>
      <c r="J346" s="14" t="inlineStr">
        <is>
          <t>새벽빛</t>
        </is>
      </c>
      <c r="K346" s="16" t="inlineStr">
        <is>
          <t>오직 나는 여호와를 우러러 보며 나를 구원하시는 하나님을 바라보나니 나의 하나님이 나를 들으시리로다</t>
        </is>
      </c>
      <c r="L346" s="14" t="inlineStr">
        <is>
          <t>자동 입력</t>
        </is>
      </c>
      <c r="M346" s="14">
        <f>LEN(K346)</f>
        <v/>
      </c>
      <c r="N346" s="14">
        <f>IF(M346=0,"-",ROUND(3+M346/'안내'!$C$12,0))</f>
        <v/>
      </c>
      <c r="O346" s="15">
        <f>IF(K346="","(본문 입력 후 자동) | 미 7:7",IF(LEN(K346)&gt;28,LEFT(K346,28)&amp;"…",K346)&amp;" | 미 7:7")</f>
        <v/>
      </c>
      <c r="P346" s="15">
        <f>"#"&amp;SUBSTITUTE('안내'!$C$5," ","")&amp;" #성경구절 #말씀 #미가 #소망"</f>
        <v/>
      </c>
      <c r="Q346" s="15" t="inlineStr">
        <is>
          <t>성경 본문: 개역한글판</t>
        </is>
      </c>
      <c r="R346" s="17">
        <f>'안내'!$C$6+INT((D346-1)/'안내'!$C$7)</f>
        <v/>
      </c>
      <c r="S346" s="14">
        <f>IF(MOD(D346-1,'안내'!$C$7)=0,'안내'!$C$8,'안내'!$C$10)</f>
        <v/>
      </c>
      <c r="T346" s="14">
        <f>CHOOSE(WEEKDAY(R346,2),"월","화","수","목","금","토","일")</f>
        <v/>
      </c>
      <c r="U346" s="14" t="inlineStr">
        <is>
          <t>미착수</t>
        </is>
      </c>
      <c r="V346" s="14" t="inlineStr">
        <is>
          <t>미착수</t>
        </is>
      </c>
      <c r="W346" s="18" t="n"/>
      <c r="X346" s="18" t="n"/>
      <c r="Y346" s="15" t="n"/>
      <c r="Z346" s="15" t="inlineStr"/>
      <c r="AA346" s="15" t="inlineStr">
        <is>
          <t>But as for me, I will look to Yahweh. I will wait for the God of my salvation. My God will hear me.</t>
        </is>
      </c>
    </row>
    <row r="347">
      <c r="A347" s="13" t="n">
        <v>346</v>
      </c>
      <c r="B347" s="13" t="inlineStr">
        <is>
          <t>W0346</t>
        </is>
      </c>
      <c r="C347" s="13" t="inlineStr">
        <is>
          <t>구약</t>
        </is>
      </c>
      <c r="D347" s="13" t="n">
        <v>346</v>
      </c>
      <c r="E347" s="13">
        <f>C347&amp;"말씀 #"&amp;TEXT(D347,"000")</f>
        <v/>
      </c>
      <c r="F347" s="14" t="inlineStr">
        <is>
          <t>미가</t>
        </is>
      </c>
      <c r="G347" s="14" t="inlineStr">
        <is>
          <t>7:19</t>
        </is>
      </c>
      <c r="H347" s="15" t="inlineStr">
        <is>
          <t>(미 7:19, 개역한글)</t>
        </is>
      </c>
      <c r="I347" s="14" t="inlineStr">
        <is>
          <t>용서</t>
        </is>
      </c>
      <c r="J347" s="14" t="inlineStr">
        <is>
          <t>잔잔한 물</t>
        </is>
      </c>
      <c r="K347" s="16" t="inlineStr">
        <is>
          <t>다시 우리를 긍휼히 여기셔서 우리의 죄악을 발로 밟으시고 우리의 모든 죄를 깊은 바다에 던지시리이다</t>
        </is>
      </c>
      <c r="L347" s="14" t="inlineStr">
        <is>
          <t>자동 입력</t>
        </is>
      </c>
      <c r="M347" s="14">
        <f>LEN(K347)</f>
        <v/>
      </c>
      <c r="N347" s="14">
        <f>IF(M347=0,"-",ROUND(3+M347/'안내'!$C$12,0))</f>
        <v/>
      </c>
      <c r="O347" s="15">
        <f>IF(K347="","(본문 입력 후 자동) | 미 7:19",IF(LEN(K347)&gt;28,LEFT(K347,28)&amp;"…",K347)&amp;" | 미 7:19")</f>
        <v/>
      </c>
      <c r="P347" s="15">
        <f>"#"&amp;SUBSTITUTE('안내'!$C$5," ","")&amp;" #성경구절 #말씀 #미가 #용서"</f>
        <v/>
      </c>
      <c r="Q347" s="15" t="inlineStr">
        <is>
          <t>성경 본문: 개역한글판</t>
        </is>
      </c>
      <c r="R347" s="17">
        <f>'안내'!$C$6+INT((D347-1)/'안내'!$C$7)</f>
        <v/>
      </c>
      <c r="S347" s="14">
        <f>IF(MOD(D347-1,'안내'!$C$7)=0,'안내'!$C$8,'안내'!$C$10)</f>
        <v/>
      </c>
      <c r="T347" s="14">
        <f>CHOOSE(WEEKDAY(R347,2),"월","화","수","목","금","토","일")</f>
        <v/>
      </c>
      <c r="U347" s="14" t="inlineStr">
        <is>
          <t>미착수</t>
        </is>
      </c>
      <c r="V347" s="14" t="inlineStr">
        <is>
          <t>미착수</t>
        </is>
      </c>
      <c r="W347" s="18" t="n"/>
      <c r="X347" s="18" t="n"/>
      <c r="Y347" s="15" t="n"/>
      <c r="Z347" s="15" t="inlineStr"/>
      <c r="AA347" s="15" t="inlineStr">
        <is>
          <t>He will again have compassion on us. He will tread our iniquities under foot. You will cast all their sins into the depths of the sea.</t>
        </is>
      </c>
    </row>
    <row r="348">
      <c r="A348" s="13" t="n">
        <v>347</v>
      </c>
      <c r="B348" s="13" t="inlineStr">
        <is>
          <t>W0347</t>
        </is>
      </c>
      <c r="C348" s="13" t="inlineStr">
        <is>
          <t>구약</t>
        </is>
      </c>
      <c r="D348" s="13" t="n">
        <v>347</v>
      </c>
      <c r="E348" s="13">
        <f>C348&amp;"말씀 #"&amp;TEXT(D348,"000")</f>
        <v/>
      </c>
      <c r="F348" s="14" t="inlineStr">
        <is>
          <t>나훔</t>
        </is>
      </c>
      <c r="G348" s="14" t="inlineStr">
        <is>
          <t>1:3</t>
        </is>
      </c>
      <c r="H348" s="15" t="inlineStr">
        <is>
          <t>(나 1:3, 개역한글)</t>
        </is>
      </c>
      <c r="I348" s="14" t="inlineStr">
        <is>
          <t>하나님</t>
        </is>
      </c>
      <c r="J348" s="14" t="inlineStr">
        <is>
          <t>하늘·별</t>
        </is>
      </c>
      <c r="K348" s="16" t="inlineStr">
        <is>
          <t>여호와는 노하기를 더디하시며 권능이 크시며 죄인을 결코 사하지 아니하시느니라 여호와의 길은 회리바람과 광풍에 있고 구름은 그 발의 티끌이로다</t>
        </is>
      </c>
      <c r="L348" s="14" t="inlineStr">
        <is>
          <t>자동 입력 · 대조 필요</t>
        </is>
      </c>
      <c r="M348" s="14">
        <f>LEN(K348)</f>
        <v/>
      </c>
      <c r="N348" s="14">
        <f>IF(M348=0,"-",ROUND(3+M348/'안내'!$C$12,0))</f>
        <v/>
      </c>
      <c r="O348" s="15">
        <f>IF(K348="","(본문 입력 후 자동) | 나 1:3",IF(LEN(K348)&gt;28,LEFT(K348,28)&amp;"…",K348)&amp;" | 나 1:3")</f>
        <v/>
      </c>
      <c r="P348" s="15">
        <f>"#"&amp;SUBSTITUTE('안내'!$C$5," ","")&amp;" #성경구절 #말씀 #나훔 #하나님"</f>
        <v/>
      </c>
      <c r="Q348" s="15" t="inlineStr">
        <is>
          <t>성경 본문: 개역한글판</t>
        </is>
      </c>
      <c r="R348" s="17">
        <f>'안내'!$C$6+INT((D348-1)/'안내'!$C$7)</f>
        <v/>
      </c>
      <c r="S348" s="14">
        <f>IF(MOD(D348-1,'안내'!$C$7)=0,'안내'!$C$8,'안내'!$C$10)</f>
        <v/>
      </c>
      <c r="T348" s="14">
        <f>CHOOSE(WEEKDAY(R348,2),"월","화","수","목","금","토","일")</f>
        <v/>
      </c>
      <c r="U348" s="14" t="inlineStr">
        <is>
          <t>미착수</t>
        </is>
      </c>
      <c r="V348" s="14" t="inlineStr">
        <is>
          <t>미착수</t>
        </is>
      </c>
      <c r="W348" s="18" t="n"/>
      <c r="X348" s="18" t="n"/>
      <c r="Y348" s="15" t="n"/>
      <c r="Z348" s="15" t="inlineStr">
        <is>
          <t>줄바꿈 띄어쓰기 확인</t>
        </is>
      </c>
      <c r="AA348" s="15" t="inlineStr">
        <is>
          <t>Yahweh is slow to anger, and great in power, and will by no means leave the guilty unpunished. Yahweh has his way in the whirlwind and in the storm, and the clouds are the dust of his feet.</t>
        </is>
      </c>
    </row>
    <row r="349">
      <c r="A349" s="13" t="n">
        <v>348</v>
      </c>
      <c r="B349" s="13" t="inlineStr">
        <is>
          <t>W0348</t>
        </is>
      </c>
      <c r="C349" s="13" t="inlineStr">
        <is>
          <t>구약</t>
        </is>
      </c>
      <c r="D349" s="13" t="n">
        <v>348</v>
      </c>
      <c r="E349" s="13">
        <f>C349&amp;"말씀 #"&amp;TEXT(D349,"000")</f>
        <v/>
      </c>
      <c r="F349" s="14" t="inlineStr">
        <is>
          <t>나훔</t>
        </is>
      </c>
      <c r="G349" s="14" t="inlineStr">
        <is>
          <t>1:7</t>
        </is>
      </c>
      <c r="H349" s="15" t="inlineStr">
        <is>
          <t>(나 1:7, 개역한글)</t>
        </is>
      </c>
      <c r="I349" s="14" t="inlineStr">
        <is>
          <t>피난처</t>
        </is>
      </c>
      <c r="J349" s="14" t="inlineStr">
        <is>
          <t>바위산·광야</t>
        </is>
      </c>
      <c r="K349" s="16" t="inlineStr">
        <is>
          <t>여호와는 선하시며 환난 날에 산성이시라 그는 자기에게 의뢰하는 자들을 아시느니라</t>
        </is>
      </c>
      <c r="L349" s="14" t="inlineStr">
        <is>
          <t>자동 입력</t>
        </is>
      </c>
      <c r="M349" s="14">
        <f>LEN(K349)</f>
        <v/>
      </c>
      <c r="N349" s="14">
        <f>IF(M349=0,"-",ROUND(3+M349/'안내'!$C$12,0))</f>
        <v/>
      </c>
      <c r="O349" s="15">
        <f>IF(K349="","(본문 입력 후 자동) | 나 1:7",IF(LEN(K349)&gt;28,LEFT(K349,28)&amp;"…",K349)&amp;" | 나 1:7")</f>
        <v/>
      </c>
      <c r="P349" s="15">
        <f>"#"&amp;SUBSTITUTE('안내'!$C$5," ","")&amp;" #성경구절 #말씀 #나훔 #피난처"</f>
        <v/>
      </c>
      <c r="Q349" s="15" t="inlineStr">
        <is>
          <t>성경 본문: 개역한글판</t>
        </is>
      </c>
      <c r="R349" s="17">
        <f>'안내'!$C$6+INT((D349-1)/'안내'!$C$7)</f>
        <v/>
      </c>
      <c r="S349" s="14">
        <f>IF(MOD(D349-1,'안내'!$C$7)=0,'안내'!$C$8,'안내'!$C$10)</f>
        <v/>
      </c>
      <c r="T349" s="14">
        <f>CHOOSE(WEEKDAY(R349,2),"월","화","수","목","금","토","일")</f>
        <v/>
      </c>
      <c r="U349" s="14" t="inlineStr">
        <is>
          <t>미착수</t>
        </is>
      </c>
      <c r="V349" s="14" t="inlineStr">
        <is>
          <t>미착수</t>
        </is>
      </c>
      <c r="W349" s="18" t="n"/>
      <c r="X349" s="18" t="n"/>
      <c r="Y349" s="15" t="n"/>
      <c r="Z349" s="15" t="inlineStr"/>
      <c r="AA349" s="15" t="inlineStr">
        <is>
          <t>Yahweh is good, a stronghold in the day of trouble; and he knows those who take refuge in him.</t>
        </is>
      </c>
    </row>
    <row r="350">
      <c r="A350" s="13" t="n">
        <v>349</v>
      </c>
      <c r="B350" s="13" t="inlineStr">
        <is>
          <t>W0349</t>
        </is>
      </c>
      <c r="C350" s="13" t="inlineStr">
        <is>
          <t>구약</t>
        </is>
      </c>
      <c r="D350" s="13" t="n">
        <v>349</v>
      </c>
      <c r="E350" s="13">
        <f>C350&amp;"말씀 #"&amp;TEXT(D350,"000")</f>
        <v/>
      </c>
      <c r="F350" s="14" t="inlineStr">
        <is>
          <t>하박국</t>
        </is>
      </c>
      <c r="G350" s="14" t="inlineStr">
        <is>
          <t>2:4</t>
        </is>
      </c>
      <c r="H350" s="15" t="inlineStr">
        <is>
          <t>(합 2:4, 개역한글)</t>
        </is>
      </c>
      <c r="I350" s="14" t="inlineStr">
        <is>
          <t>믿음</t>
        </is>
      </c>
      <c r="J350" s="14" t="inlineStr">
        <is>
          <t>바위산·광야</t>
        </is>
      </c>
      <c r="K350" s="16" t="inlineStr">
        <is>
          <t>보라 그의 마음은 교만하며 그의 속에서 정직하지 못하니라 그러나 의인은 믿음으로 말미암아 살리라</t>
        </is>
      </c>
      <c r="L350" s="14" t="inlineStr">
        <is>
          <t>자동 입력</t>
        </is>
      </c>
      <c r="M350" s="14">
        <f>LEN(K350)</f>
        <v/>
      </c>
      <c r="N350" s="14">
        <f>IF(M350=0,"-",ROUND(3+M350/'안내'!$C$12,0))</f>
        <v/>
      </c>
      <c r="O350" s="15">
        <f>IF(K350="","(본문 입력 후 자동) | 합 2:4",IF(LEN(K350)&gt;28,LEFT(K350,28)&amp;"…",K350)&amp;" | 합 2:4")</f>
        <v/>
      </c>
      <c r="P350" s="15">
        <f>"#"&amp;SUBSTITUTE('안내'!$C$5," ","")&amp;" #성경구절 #말씀 #하박국 #믿음"</f>
        <v/>
      </c>
      <c r="Q350" s="15" t="inlineStr">
        <is>
          <t>성경 본문: 개역한글판</t>
        </is>
      </c>
      <c r="R350" s="17">
        <f>'안내'!$C$6+INT((D350-1)/'안내'!$C$7)</f>
        <v/>
      </c>
      <c r="S350" s="14">
        <f>IF(MOD(D350-1,'안내'!$C$7)=0,'안내'!$C$8,'안내'!$C$10)</f>
        <v/>
      </c>
      <c r="T350" s="14">
        <f>CHOOSE(WEEKDAY(R350,2),"월","화","수","목","금","토","일")</f>
        <v/>
      </c>
      <c r="U350" s="14" t="inlineStr">
        <is>
          <t>미착수</t>
        </is>
      </c>
      <c r="V350" s="14" t="inlineStr">
        <is>
          <t>미착수</t>
        </is>
      </c>
      <c r="W350" s="18" t="n"/>
      <c r="X350" s="18" t="n"/>
      <c r="Y350" s="15" t="n"/>
      <c r="Z350" s="15" t="inlineStr"/>
      <c r="AA350" s="15" t="inlineStr">
        <is>
          <t>Behold, his soul is puffed up. It is not upright in him, but the righteous will live by his faith.</t>
        </is>
      </c>
    </row>
    <row r="351">
      <c r="A351" s="13" t="n">
        <v>350</v>
      </c>
      <c r="B351" s="13" t="inlineStr">
        <is>
          <t>W0350</t>
        </is>
      </c>
      <c r="C351" s="13" t="inlineStr">
        <is>
          <t>구약</t>
        </is>
      </c>
      <c r="D351" s="13" t="n">
        <v>350</v>
      </c>
      <c r="E351" s="13">
        <f>C351&amp;"말씀 #"&amp;TEXT(D351,"000")</f>
        <v/>
      </c>
      <c r="F351" s="14" t="inlineStr">
        <is>
          <t>하박국</t>
        </is>
      </c>
      <c r="G351" s="14" t="inlineStr">
        <is>
          <t>2:14</t>
        </is>
      </c>
      <c r="H351" s="15" t="inlineStr">
        <is>
          <t>(합 2:14, 개역한글)</t>
        </is>
      </c>
      <c r="I351" s="14" t="inlineStr">
        <is>
          <t>하나님</t>
        </is>
      </c>
      <c r="J351" s="14" t="inlineStr">
        <is>
          <t>하늘·별</t>
        </is>
      </c>
      <c r="K351" s="16" t="inlineStr">
        <is>
          <t>대저 물이 바다를 덮음같이 여호와의 영광을 인정하는 것이 세상에 가득하리라</t>
        </is>
      </c>
      <c r="L351" s="14" t="inlineStr">
        <is>
          <t>자동 입력</t>
        </is>
      </c>
      <c r="M351" s="14">
        <f>LEN(K351)</f>
        <v/>
      </c>
      <c r="N351" s="14">
        <f>IF(M351=0,"-",ROUND(3+M351/'안내'!$C$12,0))</f>
        <v/>
      </c>
      <c r="O351" s="15">
        <f>IF(K351="","(본문 입력 후 자동) | 합 2:14",IF(LEN(K351)&gt;28,LEFT(K351,28)&amp;"…",K351)&amp;" | 합 2:14")</f>
        <v/>
      </c>
      <c r="P351" s="15">
        <f>"#"&amp;SUBSTITUTE('안내'!$C$5," ","")&amp;" #성경구절 #말씀 #하박국 #하나님"</f>
        <v/>
      </c>
      <c r="Q351" s="15" t="inlineStr">
        <is>
          <t>성경 본문: 개역한글판</t>
        </is>
      </c>
      <c r="R351" s="17">
        <f>'안내'!$C$6+INT((D351-1)/'안내'!$C$7)</f>
        <v/>
      </c>
      <c r="S351" s="14">
        <f>IF(MOD(D351-1,'안내'!$C$7)=0,'안내'!$C$8,'안내'!$C$10)</f>
        <v/>
      </c>
      <c r="T351" s="14">
        <f>CHOOSE(WEEKDAY(R351,2),"월","화","수","목","금","토","일")</f>
        <v/>
      </c>
      <c r="U351" s="14" t="inlineStr">
        <is>
          <t>미착수</t>
        </is>
      </c>
      <c r="V351" s="14" t="inlineStr">
        <is>
          <t>미착수</t>
        </is>
      </c>
      <c r="W351" s="18" t="n"/>
      <c r="X351" s="18" t="n"/>
      <c r="Y351" s="15" t="n"/>
      <c r="Z351" s="15" t="inlineStr"/>
      <c r="AA351" s="15" t="inlineStr">
        <is>
          <t>For the earth will be filled with the knowledge of Yahweh’s glory, as the wa- ters cover the sea.</t>
        </is>
      </c>
    </row>
    <row r="352">
      <c r="A352" s="13" t="n">
        <v>351</v>
      </c>
      <c r="B352" s="13" t="inlineStr">
        <is>
          <t>W0351</t>
        </is>
      </c>
      <c r="C352" s="13" t="inlineStr">
        <is>
          <t>구약</t>
        </is>
      </c>
      <c r="D352" s="13" t="n">
        <v>351</v>
      </c>
      <c r="E352" s="13">
        <f>C352&amp;"말씀 #"&amp;TEXT(D352,"000")</f>
        <v/>
      </c>
      <c r="F352" s="14" t="inlineStr">
        <is>
          <t>하박국</t>
        </is>
      </c>
      <c r="G352" s="14" t="inlineStr">
        <is>
          <t>3:17-18</t>
        </is>
      </c>
      <c r="H352" s="15" t="inlineStr">
        <is>
          <t>(합 3:17-18, 개역한글)</t>
        </is>
      </c>
      <c r="I352" s="14" t="inlineStr">
        <is>
          <t>기쁨</t>
        </is>
      </c>
      <c r="J352" s="14" t="inlineStr">
        <is>
          <t>새벽빛</t>
        </is>
      </c>
      <c r="K352" s="16" t="inlineStr">
        <is>
          <t>비록 무화과나무가 무성치 못하며 포도나무에 열매가 없으며 감람나무에 소출이 없으며 밭에 식물이 없으며 우리에 양이 없으며 외양간에 소가 없을지라도 나는 여호와를 인하여 즐거워하며 나의 구원의 하나님을 인하여 기뻐하리로다</t>
        </is>
      </c>
      <c r="L352" s="14" t="inlineStr">
        <is>
          <t>자동 입력 · 대조 필요</t>
        </is>
      </c>
      <c r="M352" s="14">
        <f>LEN(K352)</f>
        <v/>
      </c>
      <c r="N352" s="14">
        <f>IF(M352=0,"-",ROUND(3+M352/'안내'!$C$12,0))</f>
        <v/>
      </c>
      <c r="O352" s="15">
        <f>IF(K352="","(본문 입력 후 자동) | 합 3:17-18",IF(LEN(K352)&gt;28,LEFT(K352,28)&amp;"…",K352)&amp;" | 합 3:17-18")</f>
        <v/>
      </c>
      <c r="P352" s="15">
        <f>"#"&amp;SUBSTITUTE('안내'!$C$5," ","")&amp;" #성경구절 #말씀 #하박국 #기쁨"</f>
        <v/>
      </c>
      <c r="Q352" s="15" t="inlineStr">
        <is>
          <t>성경 본문: 개역한글판</t>
        </is>
      </c>
      <c r="R352" s="17">
        <f>'안내'!$C$6+INT((D352-1)/'안내'!$C$7)</f>
        <v/>
      </c>
      <c r="S352" s="14">
        <f>IF(MOD(D352-1,'안내'!$C$7)=0,'안내'!$C$8,'안내'!$C$10)</f>
        <v/>
      </c>
      <c r="T352" s="14">
        <f>CHOOSE(WEEKDAY(R352,2),"월","화","수","목","금","토","일")</f>
        <v/>
      </c>
      <c r="U352" s="14" t="inlineStr">
        <is>
          <t>미착수</t>
        </is>
      </c>
      <c r="V352" s="14" t="inlineStr">
        <is>
          <t>미착수</t>
        </is>
      </c>
      <c r="W352" s="18" t="n"/>
      <c r="X352" s="18" t="n"/>
      <c r="Y352" s="15" t="n"/>
      <c r="Z352" s="15" t="inlineStr">
        <is>
          <t>줄바꿈 띄어쓰기 확인</t>
        </is>
      </c>
      <c r="AA352" s="15" t="inlineStr">
        <is>
          <t>For even though the fig tree doesn’t flourish, nor fruit be in the vines, the labor of the olive fails, the fields yield no food, the flocks are cut off from the fold, and there is no herd in the stalls, yet I will rejoice in Yahweh. I will be joyful in the God of my salva- tion!</t>
        </is>
      </c>
    </row>
    <row r="353">
      <c r="A353" s="13" t="n">
        <v>352</v>
      </c>
      <c r="B353" s="13" t="inlineStr">
        <is>
          <t>W0352</t>
        </is>
      </c>
      <c r="C353" s="13" t="inlineStr">
        <is>
          <t>구약</t>
        </is>
      </c>
      <c r="D353" s="13" t="n">
        <v>352</v>
      </c>
      <c r="E353" s="13">
        <f>C353&amp;"말씀 #"&amp;TEXT(D353,"000")</f>
        <v/>
      </c>
      <c r="F353" s="14" t="inlineStr">
        <is>
          <t>하박국</t>
        </is>
      </c>
      <c r="G353" s="14" t="inlineStr">
        <is>
          <t>3:19</t>
        </is>
      </c>
      <c r="H353" s="15" t="inlineStr">
        <is>
          <t>(합 3:19, 개역한글)</t>
        </is>
      </c>
      <c r="I353" s="14" t="inlineStr">
        <is>
          <t>능력</t>
        </is>
      </c>
      <c r="J353" s="14" t="inlineStr">
        <is>
          <t>바위산·광야</t>
        </is>
      </c>
      <c r="K353" s="16" t="inlineStr">
        <is>
          <t>주 여호와는 나의 힘이시라 나의 발을 사슴과 같게 하사 나로 나의 높은 곳에 다니게 하시리로다 이 노래는 영장을 위하여 내 수금에 맞춘 것이니라</t>
        </is>
      </c>
      <c r="L353" s="14" t="inlineStr">
        <is>
          <t>자동 입력 · 대조 필요</t>
        </is>
      </c>
      <c r="M353" s="14">
        <f>LEN(K353)</f>
        <v/>
      </c>
      <c r="N353" s="14">
        <f>IF(M353=0,"-",ROUND(3+M353/'안내'!$C$12,0))</f>
        <v/>
      </c>
      <c r="O353" s="15">
        <f>IF(K353="","(본문 입력 후 자동) | 합 3:19",IF(LEN(K353)&gt;28,LEFT(K353,28)&amp;"…",K353)&amp;" | 합 3:19")</f>
        <v/>
      </c>
      <c r="P353" s="15">
        <f>"#"&amp;SUBSTITUTE('안내'!$C$5," ","")&amp;" #성경구절 #말씀 #하박국 #능력"</f>
        <v/>
      </c>
      <c r="Q353" s="15" t="inlineStr">
        <is>
          <t>성경 본문: 개역한글판</t>
        </is>
      </c>
      <c r="R353" s="17">
        <f>'안내'!$C$6+INT((D353-1)/'안내'!$C$7)</f>
        <v/>
      </c>
      <c r="S353" s="14">
        <f>IF(MOD(D353-1,'안내'!$C$7)=0,'안내'!$C$8,'안내'!$C$10)</f>
        <v/>
      </c>
      <c r="T353" s="14">
        <f>CHOOSE(WEEKDAY(R353,2),"월","화","수","목","금","토","일")</f>
        <v/>
      </c>
      <c r="U353" s="14" t="inlineStr">
        <is>
          <t>미착수</t>
        </is>
      </c>
      <c r="V353" s="14" t="inlineStr">
        <is>
          <t>미착수</t>
        </is>
      </c>
      <c r="W353" s="18" t="n"/>
      <c r="X353" s="18" t="n"/>
      <c r="Y353" s="15" t="n"/>
      <c r="Z353" s="15" t="inlineStr">
        <is>
          <t>줄바꿈 띄어쓰기 확인</t>
        </is>
      </c>
      <c r="AA353" s="15" t="inlineStr">
        <is>
          <t>Yahweh, the Lord, is my strength. He makes my feet like deer’s feet, and enables me to go in high places. For the music director, on my stringed instruments.</t>
        </is>
      </c>
    </row>
    <row r="354">
      <c r="A354" s="13" t="n">
        <v>353</v>
      </c>
      <c r="B354" s="13" t="inlineStr">
        <is>
          <t>W0353</t>
        </is>
      </c>
      <c r="C354" s="13" t="inlineStr">
        <is>
          <t>구약</t>
        </is>
      </c>
      <c r="D354" s="13" t="n">
        <v>353</v>
      </c>
      <c r="E354" s="13">
        <f>C354&amp;"말씀 #"&amp;TEXT(D354,"000")</f>
        <v/>
      </c>
      <c r="F354" s="14" t="inlineStr">
        <is>
          <t>스바냐</t>
        </is>
      </c>
      <c r="G354" s="14" t="inlineStr">
        <is>
          <t>2:3</t>
        </is>
      </c>
      <c r="H354" s="15" t="inlineStr">
        <is>
          <t>(습 2:3, 개역한글)</t>
        </is>
      </c>
      <c r="I354" s="14" t="inlineStr">
        <is>
          <t>겸손</t>
        </is>
      </c>
      <c r="J354" s="14" t="inlineStr">
        <is>
          <t>창가·식탁</t>
        </is>
      </c>
      <c r="K354" s="16" t="inlineStr">
        <is>
          <t>여호와의 규례를 지키는 세상의 모든 겸손한 자들아 너희는 여호와를 찾으며 공의와 겸손을 구하라 너희가 혹시 여호와의 분노의 날에 숨김을 얻으리라</t>
        </is>
      </c>
      <c r="L354" s="14" t="inlineStr">
        <is>
          <t>자동 입력 · 대조 필요</t>
        </is>
      </c>
      <c r="M354" s="14">
        <f>LEN(K354)</f>
        <v/>
      </c>
      <c r="N354" s="14">
        <f>IF(M354=0,"-",ROUND(3+M354/'안내'!$C$12,0))</f>
        <v/>
      </c>
      <c r="O354" s="15">
        <f>IF(K354="","(본문 입력 후 자동) | 습 2:3",IF(LEN(K354)&gt;28,LEFT(K354,28)&amp;"…",K354)&amp;" | 습 2:3")</f>
        <v/>
      </c>
      <c r="P354" s="15">
        <f>"#"&amp;SUBSTITUTE('안내'!$C$5," ","")&amp;" #성경구절 #말씀 #스바냐 #겸손"</f>
        <v/>
      </c>
      <c r="Q354" s="15" t="inlineStr">
        <is>
          <t>성경 본문: 개역한글판</t>
        </is>
      </c>
      <c r="R354" s="17">
        <f>'안내'!$C$6+INT((D354-1)/'안내'!$C$7)</f>
        <v/>
      </c>
      <c r="S354" s="14">
        <f>IF(MOD(D354-1,'안내'!$C$7)=0,'안내'!$C$8,'안내'!$C$10)</f>
        <v/>
      </c>
      <c r="T354" s="14">
        <f>CHOOSE(WEEKDAY(R354,2),"월","화","수","목","금","토","일")</f>
        <v/>
      </c>
      <c r="U354" s="14" t="inlineStr">
        <is>
          <t>미착수</t>
        </is>
      </c>
      <c r="V354" s="14" t="inlineStr">
        <is>
          <t>미착수</t>
        </is>
      </c>
      <c r="W354" s="18" t="n"/>
      <c r="X354" s="18" t="n"/>
      <c r="Y354" s="15" t="n"/>
      <c r="Z354" s="15" t="inlineStr">
        <is>
          <t>줄바꿈 띄어쓰기 확인</t>
        </is>
      </c>
      <c r="AA354" s="15" t="inlineStr">
        <is>
          <t>Seek Yahweh, all you humble of the land, who have kept his ordinances. Seek righteous- ness. Seek humility. It may be that you will be hidden in the day of Yahweh’s anger.</t>
        </is>
      </c>
    </row>
    <row r="355">
      <c r="A355" s="13" t="n">
        <v>354</v>
      </c>
      <c r="B355" s="13" t="inlineStr">
        <is>
          <t>W0354</t>
        </is>
      </c>
      <c r="C355" s="13" t="inlineStr">
        <is>
          <t>구약</t>
        </is>
      </c>
      <c r="D355" s="13" t="n">
        <v>354</v>
      </c>
      <c r="E355" s="13">
        <f>C355&amp;"말씀 #"&amp;TEXT(D355,"000")</f>
        <v/>
      </c>
      <c r="F355" s="14" t="inlineStr">
        <is>
          <t>스바냐</t>
        </is>
      </c>
      <c r="G355" s="14" t="inlineStr">
        <is>
          <t>3:17</t>
        </is>
      </c>
      <c r="H355" s="15" t="inlineStr">
        <is>
          <t>(습 3:17, 개역한글)</t>
        </is>
      </c>
      <c r="I355" s="14" t="inlineStr">
        <is>
          <t>사랑</t>
        </is>
      </c>
      <c r="J355" s="14" t="inlineStr">
        <is>
          <t>창가·식탁</t>
        </is>
      </c>
      <c r="K355" s="16" t="inlineStr">
        <is>
          <t>너의 하나님 여호와가 너의 가운데 계시니 그는 구원을 베푸실 전능자시라 그가 너로 인하여 기쁨을 이기지 못하여 하시며 너를 잠잠히 사랑하시며 너로 인하여 즐거이 부르며 기뻐하시리라 하리라</t>
        </is>
      </c>
      <c r="L355" s="14" t="inlineStr">
        <is>
          <t>자동 입력</t>
        </is>
      </c>
      <c r="M355" s="14">
        <f>LEN(K355)</f>
        <v/>
      </c>
      <c r="N355" s="14">
        <f>IF(M355=0,"-",ROUND(3+M355/'안내'!$C$12,0))</f>
        <v/>
      </c>
      <c r="O355" s="15">
        <f>IF(K355="","(본문 입력 후 자동) | 습 3:17",IF(LEN(K355)&gt;28,LEFT(K355,28)&amp;"…",K355)&amp;" | 습 3:17")</f>
        <v/>
      </c>
      <c r="P355" s="15">
        <f>"#"&amp;SUBSTITUTE('안내'!$C$5," ","")&amp;" #성경구절 #말씀 #스바냐 #사랑"</f>
        <v/>
      </c>
      <c r="Q355" s="15" t="inlineStr">
        <is>
          <t>성경 본문: 개역한글판</t>
        </is>
      </c>
      <c r="R355" s="17">
        <f>'안내'!$C$6+INT((D355-1)/'안내'!$C$7)</f>
        <v/>
      </c>
      <c r="S355" s="14">
        <f>IF(MOD(D355-1,'안내'!$C$7)=0,'안내'!$C$8,'안내'!$C$10)</f>
        <v/>
      </c>
      <c r="T355" s="14">
        <f>CHOOSE(WEEKDAY(R355,2),"월","화","수","목","금","토","일")</f>
        <v/>
      </c>
      <c r="U355" s="14" t="inlineStr">
        <is>
          <t>미착수</t>
        </is>
      </c>
      <c r="V355" s="14" t="inlineStr">
        <is>
          <t>미착수</t>
        </is>
      </c>
      <c r="W355" s="18" t="n"/>
      <c r="X355" s="18" t="n"/>
      <c r="Y355" s="15" t="n"/>
      <c r="Z355" s="15" t="inlineStr"/>
      <c r="AA355" s="15" t="inlineStr">
        <is>
          <t>Yahweh, your God, is among you, a mighty one who will save. He will rejoice over you with joy. He will calm you in his love. He will rejoice over you with singing.</t>
        </is>
      </c>
    </row>
    <row r="356">
      <c r="A356" s="13" t="n">
        <v>355</v>
      </c>
      <c r="B356" s="13" t="inlineStr">
        <is>
          <t>W0355</t>
        </is>
      </c>
      <c r="C356" s="13" t="inlineStr">
        <is>
          <t>구약</t>
        </is>
      </c>
      <c r="D356" s="13" t="n">
        <v>355</v>
      </c>
      <c r="E356" s="13">
        <f>C356&amp;"말씀 #"&amp;TEXT(D356,"000")</f>
        <v/>
      </c>
      <c r="F356" s="14" t="inlineStr">
        <is>
          <t>학개</t>
        </is>
      </c>
      <c r="G356" s="14" t="inlineStr">
        <is>
          <t>1:5</t>
        </is>
      </c>
      <c r="H356" s="15" t="inlineStr">
        <is>
          <t>(학 1:5, 개역한글)</t>
        </is>
      </c>
      <c r="I356" s="14" t="inlineStr">
        <is>
          <t>회개</t>
        </is>
      </c>
      <c r="J356" s="14" t="inlineStr">
        <is>
          <t>제단·십자가</t>
        </is>
      </c>
      <c r="K356" s="16" t="inlineStr">
        <is>
          <t>그러므로 이제 나 만군의 여호와가 말하노니 너희는 자기의 소위를 살펴볼지니라</t>
        </is>
      </c>
      <c r="L356" s="14" t="inlineStr">
        <is>
          <t>자동 입력</t>
        </is>
      </c>
      <c r="M356" s="14">
        <f>LEN(K356)</f>
        <v/>
      </c>
      <c r="N356" s="14">
        <f>IF(M356=0,"-",ROUND(3+M356/'안내'!$C$12,0))</f>
        <v/>
      </c>
      <c r="O356" s="15">
        <f>IF(K356="","(본문 입력 후 자동) | 학 1:5",IF(LEN(K356)&gt;28,LEFT(K356,28)&amp;"…",K356)&amp;" | 학 1:5")</f>
        <v/>
      </c>
      <c r="P356" s="15">
        <f>"#"&amp;SUBSTITUTE('안내'!$C$5," ","")&amp;" #성경구절 #말씀 #학개 #회개"</f>
        <v/>
      </c>
      <c r="Q356" s="15" t="inlineStr">
        <is>
          <t>성경 본문: 개역한글판</t>
        </is>
      </c>
      <c r="R356" s="17">
        <f>'안내'!$C$6+INT((D356-1)/'안내'!$C$7)</f>
        <v/>
      </c>
      <c r="S356" s="14">
        <f>IF(MOD(D356-1,'안내'!$C$7)=0,'안내'!$C$8,'안내'!$C$10)</f>
        <v/>
      </c>
      <c r="T356" s="14">
        <f>CHOOSE(WEEKDAY(R356,2),"월","화","수","목","금","토","일")</f>
        <v/>
      </c>
      <c r="U356" s="14" t="inlineStr">
        <is>
          <t>미착수</t>
        </is>
      </c>
      <c r="V356" s="14" t="inlineStr">
        <is>
          <t>미착수</t>
        </is>
      </c>
      <c r="W356" s="18" t="n"/>
      <c r="X356" s="18" t="n"/>
      <c r="Y356" s="15" t="n"/>
      <c r="Z356" s="15" t="inlineStr"/>
      <c r="AA356" s="15" t="inlineStr">
        <is>
          <t>Now therefore this is what Yahweh of Armies says: ‘Consider your ways.</t>
        </is>
      </c>
    </row>
    <row r="357">
      <c r="A357" s="13" t="n">
        <v>356</v>
      </c>
      <c r="B357" s="13" t="inlineStr">
        <is>
          <t>W0356</t>
        </is>
      </c>
      <c r="C357" s="13" t="inlineStr">
        <is>
          <t>구약</t>
        </is>
      </c>
      <c r="D357" s="13" t="n">
        <v>356</v>
      </c>
      <c r="E357" s="13">
        <f>C357&amp;"말씀 #"&amp;TEXT(D357,"000")</f>
        <v/>
      </c>
      <c r="F357" s="14" t="inlineStr">
        <is>
          <t>학개</t>
        </is>
      </c>
      <c r="G357" s="14" t="inlineStr">
        <is>
          <t>2:9</t>
        </is>
      </c>
      <c r="H357" s="15" t="inlineStr">
        <is>
          <t>(학 2:9, 개역한글)</t>
        </is>
      </c>
      <c r="I357" s="14" t="inlineStr">
        <is>
          <t>소망</t>
        </is>
      </c>
      <c r="J357" s="14" t="inlineStr">
        <is>
          <t>새벽빛</t>
        </is>
      </c>
      <c r="K357" s="16" t="inlineStr">
        <is>
          <t>이 전의 나중 영광이 이전 영광보다 크리라 만군의 여호와의 말이니라 내가 이 곳에 평강을 주리라 만군의 여호와의 말이니라</t>
        </is>
      </c>
      <c r="L357" s="14" t="inlineStr">
        <is>
          <t>자동 입력</t>
        </is>
      </c>
      <c r="M357" s="14">
        <f>LEN(K357)</f>
        <v/>
      </c>
      <c r="N357" s="14">
        <f>IF(M357=0,"-",ROUND(3+M357/'안내'!$C$12,0))</f>
        <v/>
      </c>
      <c r="O357" s="15">
        <f>IF(K357="","(본문 입력 후 자동) | 학 2:9",IF(LEN(K357)&gt;28,LEFT(K357,28)&amp;"…",K357)&amp;" | 학 2:9")</f>
        <v/>
      </c>
      <c r="P357" s="15">
        <f>"#"&amp;SUBSTITUTE('안내'!$C$5," ","")&amp;" #성경구절 #말씀 #학개 #소망"</f>
        <v/>
      </c>
      <c r="Q357" s="15" t="inlineStr">
        <is>
          <t>성경 본문: 개역한글판</t>
        </is>
      </c>
      <c r="R357" s="17">
        <f>'안내'!$C$6+INT((D357-1)/'안내'!$C$7)</f>
        <v/>
      </c>
      <c r="S357" s="14">
        <f>IF(MOD(D357-1,'안내'!$C$7)=0,'안내'!$C$8,'안내'!$C$10)</f>
        <v/>
      </c>
      <c r="T357" s="14">
        <f>CHOOSE(WEEKDAY(R357,2),"월","화","수","목","금","토","일")</f>
        <v/>
      </c>
      <c r="U357" s="14" t="inlineStr">
        <is>
          <t>미착수</t>
        </is>
      </c>
      <c r="V357" s="14" t="inlineStr">
        <is>
          <t>미착수</t>
        </is>
      </c>
      <c r="W357" s="18" t="n"/>
      <c r="X357" s="18" t="n"/>
      <c r="Y357" s="15" t="n"/>
      <c r="Z357" s="15" t="inlineStr"/>
      <c r="AA357" s="15" t="inlineStr">
        <is>
          <t>‘The latter glory of this house will be greater than the former,’ says Yahweh of Armies; ‘and in this place I will give peace,’ says Yahweh of Armies.”</t>
        </is>
      </c>
    </row>
    <row r="358">
      <c r="A358" s="13" t="n">
        <v>357</v>
      </c>
      <c r="B358" s="13" t="inlineStr">
        <is>
          <t>W0357</t>
        </is>
      </c>
      <c r="C358" s="13" t="inlineStr">
        <is>
          <t>구약</t>
        </is>
      </c>
      <c r="D358" s="13" t="n">
        <v>357</v>
      </c>
      <c r="E358" s="13">
        <f>C358&amp;"말씀 #"&amp;TEXT(D358,"000")</f>
        <v/>
      </c>
      <c r="F358" s="14" t="inlineStr">
        <is>
          <t>스가랴</t>
        </is>
      </c>
      <c r="G358" s="14" t="inlineStr">
        <is>
          <t>2:8</t>
        </is>
      </c>
      <c r="H358" s="15" t="inlineStr">
        <is>
          <t>(슥 2:8, 개역한글)</t>
        </is>
      </c>
      <c r="I358" s="14" t="inlineStr">
        <is>
          <t>보호</t>
        </is>
      </c>
      <c r="J358" s="14" t="inlineStr">
        <is>
          <t>바위산·광야</t>
        </is>
      </c>
      <c r="K358" s="16" t="inlineStr">
        <is>
          <t>만군의 여호와께서 이같이 말씀하시되 너희를 노략한 열국으로 영광을 위하여 나를 보내셨나니 무릇 너희를 범하는 자는 그의 눈동자를 범하는 것이라</t>
        </is>
      </c>
      <c r="L358" s="14" t="inlineStr">
        <is>
          <t>자동 입력 · 대조 필요</t>
        </is>
      </c>
      <c r="M358" s="14">
        <f>LEN(K358)</f>
        <v/>
      </c>
      <c r="N358" s="14">
        <f>IF(M358=0,"-",ROUND(3+M358/'안내'!$C$12,0))</f>
        <v/>
      </c>
      <c r="O358" s="15">
        <f>IF(K358="","(본문 입력 후 자동) | 슥 2:8",IF(LEN(K358)&gt;28,LEFT(K358,28)&amp;"…",K358)&amp;" | 슥 2:8")</f>
        <v/>
      </c>
      <c r="P358" s="15">
        <f>"#"&amp;SUBSTITUTE('안내'!$C$5," ","")&amp;" #성경구절 #말씀 #스가랴 #보호"</f>
        <v/>
      </c>
      <c r="Q358" s="15" t="inlineStr">
        <is>
          <t>성경 본문: 개역한글판</t>
        </is>
      </c>
      <c r="R358" s="17">
        <f>'안내'!$C$6+INT((D358-1)/'안내'!$C$7)</f>
        <v/>
      </c>
      <c r="S358" s="14">
        <f>IF(MOD(D358-1,'안내'!$C$7)=0,'안내'!$C$8,'안내'!$C$10)</f>
        <v/>
      </c>
      <c r="T358" s="14">
        <f>CHOOSE(WEEKDAY(R358,2),"월","화","수","목","금","토","일")</f>
        <v/>
      </c>
      <c r="U358" s="14" t="inlineStr">
        <is>
          <t>미착수</t>
        </is>
      </c>
      <c r="V358" s="14" t="inlineStr">
        <is>
          <t>미착수</t>
        </is>
      </c>
      <c r="W358" s="18" t="n"/>
      <c r="X358" s="18" t="n"/>
      <c r="Y358" s="15" t="n"/>
      <c r="Z358" s="15" t="inlineStr">
        <is>
          <t>줄바꿈 띄어쓰기 확인</t>
        </is>
      </c>
      <c r="AA358" s="15" t="inlineStr">
        <is>
          <t>For Yahweh of Armies says: ‘For honor he has sent me to the nations which plundered you; for he who touches you touches the apple of his eye.</t>
        </is>
      </c>
    </row>
    <row r="359">
      <c r="A359" s="13" t="n">
        <v>358</v>
      </c>
      <c r="B359" s="13" t="inlineStr">
        <is>
          <t>W0358</t>
        </is>
      </c>
      <c r="C359" s="13" t="inlineStr">
        <is>
          <t>구약</t>
        </is>
      </c>
      <c r="D359" s="13" t="n">
        <v>358</v>
      </c>
      <c r="E359" s="13">
        <f>C359&amp;"말씀 #"&amp;TEXT(D359,"000")</f>
        <v/>
      </c>
      <c r="F359" s="14" t="inlineStr">
        <is>
          <t>스가랴</t>
        </is>
      </c>
      <c r="G359" s="14" t="inlineStr">
        <is>
          <t>4:6</t>
        </is>
      </c>
      <c r="H359" s="15" t="inlineStr">
        <is>
          <t>(슥 4:6, 개역한글)</t>
        </is>
      </c>
      <c r="I359" s="14" t="inlineStr">
        <is>
          <t>성령</t>
        </is>
      </c>
      <c r="J359" s="14" t="inlineStr">
        <is>
          <t>하늘·별</t>
        </is>
      </c>
      <c r="K359" s="16" t="inlineStr">
        <is>
          <t>그가 내게 일러 가로되 여호와께서 스룹바벨에게 하신 말씀이 이러하니라 만군의 여호와께서 말씀하시되 이는 힘으로 되지 아니하며 능으로 되지 아니하고 오직 나의 신으로 되느니라</t>
        </is>
      </c>
      <c r="L359" s="14" t="inlineStr">
        <is>
          <t>자동 입력</t>
        </is>
      </c>
      <c r="M359" s="14">
        <f>LEN(K359)</f>
        <v/>
      </c>
      <c r="N359" s="14">
        <f>IF(M359=0,"-",ROUND(3+M359/'안내'!$C$12,0))</f>
        <v/>
      </c>
      <c r="O359" s="15">
        <f>IF(K359="","(본문 입력 후 자동) | 슥 4:6",IF(LEN(K359)&gt;28,LEFT(K359,28)&amp;"…",K359)&amp;" | 슥 4:6")</f>
        <v/>
      </c>
      <c r="P359" s="15">
        <f>"#"&amp;SUBSTITUTE('안내'!$C$5," ","")&amp;" #성경구절 #말씀 #스가랴 #성령"</f>
        <v/>
      </c>
      <c r="Q359" s="15" t="inlineStr">
        <is>
          <t>성경 본문: 개역한글판</t>
        </is>
      </c>
      <c r="R359" s="17">
        <f>'안내'!$C$6+INT((D359-1)/'안내'!$C$7)</f>
        <v/>
      </c>
      <c r="S359" s="14">
        <f>IF(MOD(D359-1,'안내'!$C$7)=0,'안내'!$C$8,'안내'!$C$10)</f>
        <v/>
      </c>
      <c r="T359" s="14">
        <f>CHOOSE(WEEKDAY(R359,2),"월","화","수","목","금","토","일")</f>
        <v/>
      </c>
      <c r="U359" s="14" t="inlineStr">
        <is>
          <t>미착수</t>
        </is>
      </c>
      <c r="V359" s="14" t="inlineStr">
        <is>
          <t>미착수</t>
        </is>
      </c>
      <c r="W359" s="18" t="n"/>
      <c r="X359" s="18" t="n"/>
      <c r="Y359" s="15" t="n"/>
      <c r="Z359" s="15" t="inlineStr"/>
      <c r="AA359" s="15" t="inlineStr">
        <is>
          <t>Then he answered and spoke to me, saying, “This is Yahweh’s word to Zerub- babel, saying, ‘Not by might, nor by power, but by my Spirit,’ says Yahweh of Armies.</t>
        </is>
      </c>
    </row>
    <row r="360">
      <c r="A360" s="13" t="n">
        <v>359</v>
      </c>
      <c r="B360" s="13" t="inlineStr">
        <is>
          <t>W0359</t>
        </is>
      </c>
      <c r="C360" s="13" t="inlineStr">
        <is>
          <t>구약</t>
        </is>
      </c>
      <c r="D360" s="13" t="n">
        <v>359</v>
      </c>
      <c r="E360" s="13">
        <f>C360&amp;"말씀 #"&amp;TEXT(D360,"000")</f>
        <v/>
      </c>
      <c r="F360" s="14" t="inlineStr">
        <is>
          <t>스가랴</t>
        </is>
      </c>
      <c r="G360" s="14" t="inlineStr">
        <is>
          <t>9:9</t>
        </is>
      </c>
      <c r="H360" s="15" t="inlineStr">
        <is>
          <t>(슥 9:9, 개역한글)</t>
        </is>
      </c>
      <c r="I360" s="14" t="inlineStr">
        <is>
          <t>구원</t>
        </is>
      </c>
      <c r="J360" s="14" t="inlineStr">
        <is>
          <t>제단·십자가</t>
        </is>
      </c>
      <c r="K360" s="16" t="inlineStr">
        <is>
          <t>시온의 딸아 크게 기뻐할지어다 예루살렘의 딸아 즐거이 부를지어다 보라 네 왕이 네게 임하나니 그는 공의로우며 구원을 베풀며 겸손하여서 나귀를 타나니 나귀의 작은 것 곧 나귀새끼니라</t>
        </is>
      </c>
      <c r="L360" s="14" t="inlineStr">
        <is>
          <t>자동 입력 · 대조 필요</t>
        </is>
      </c>
      <c r="M360" s="14">
        <f>LEN(K360)</f>
        <v/>
      </c>
      <c r="N360" s="14">
        <f>IF(M360=0,"-",ROUND(3+M360/'안내'!$C$12,0))</f>
        <v/>
      </c>
      <c r="O360" s="15">
        <f>IF(K360="","(본문 입력 후 자동) | 슥 9:9",IF(LEN(K360)&gt;28,LEFT(K360,28)&amp;"…",K360)&amp;" | 슥 9:9")</f>
        <v/>
      </c>
      <c r="P360" s="15">
        <f>"#"&amp;SUBSTITUTE('안내'!$C$5," ","")&amp;" #성경구절 #말씀 #스가랴 #구원"</f>
        <v/>
      </c>
      <c r="Q360" s="15" t="inlineStr">
        <is>
          <t>성경 본문: 개역한글판</t>
        </is>
      </c>
      <c r="R360" s="17">
        <f>'안내'!$C$6+INT((D360-1)/'안내'!$C$7)</f>
        <v/>
      </c>
      <c r="S360" s="14">
        <f>IF(MOD(D360-1,'안내'!$C$7)=0,'안내'!$C$8,'안내'!$C$10)</f>
        <v/>
      </c>
      <c r="T360" s="14">
        <f>CHOOSE(WEEKDAY(R360,2),"월","화","수","목","금","토","일")</f>
        <v/>
      </c>
      <c r="U360" s="14" t="inlineStr">
        <is>
          <t>미착수</t>
        </is>
      </c>
      <c r="V360" s="14" t="inlineStr">
        <is>
          <t>미착수</t>
        </is>
      </c>
      <c r="W360" s="18" t="n"/>
      <c r="X360" s="18" t="n"/>
      <c r="Y360" s="15" t="n"/>
      <c r="Z360" s="15" t="inlineStr">
        <is>
          <t>줄바꿈 띄어쓰기 확인</t>
        </is>
      </c>
      <c r="AA360" s="15" t="inlineStr">
        <is>
          <t>Rejoice greatly, daughter of Zion! Shout, daughter of Jerusalem! Behold, your King comes to you! He is righteous, and having salvation; lowly, and riding on a donkey, even on a colt, the foal of a donkey.</t>
        </is>
      </c>
    </row>
    <row r="361">
      <c r="A361" s="13" t="n">
        <v>360</v>
      </c>
      <c r="B361" s="13" t="inlineStr">
        <is>
          <t>W0360</t>
        </is>
      </c>
      <c r="C361" s="13" t="inlineStr">
        <is>
          <t>구약</t>
        </is>
      </c>
      <c r="D361" s="13" t="n">
        <v>360</v>
      </c>
      <c r="E361" s="13">
        <f>C361&amp;"말씀 #"&amp;TEXT(D361,"000")</f>
        <v/>
      </c>
      <c r="F361" s="14" t="inlineStr">
        <is>
          <t>스가랴</t>
        </is>
      </c>
      <c r="G361" s="14" t="inlineStr">
        <is>
          <t>14:9</t>
        </is>
      </c>
      <c r="H361" s="15" t="inlineStr">
        <is>
          <t>(슥 14:9, 개역한글)</t>
        </is>
      </c>
      <c r="I361" s="14" t="inlineStr">
        <is>
          <t>하나님</t>
        </is>
      </c>
      <c r="J361" s="14" t="inlineStr">
        <is>
          <t>하늘·별</t>
        </is>
      </c>
      <c r="K361" s="16" t="inlineStr">
        <is>
          <t>여호와께서 천하의 왕이 되시리니 그 날에는 여호와께서 홀로 하나이실 것이요 그 이름이 홀로 하나이실 것이며</t>
        </is>
      </c>
      <c r="L361" s="14" t="inlineStr">
        <is>
          <t>자동 입력</t>
        </is>
      </c>
      <c r="M361" s="14">
        <f>LEN(K361)</f>
        <v/>
      </c>
      <c r="N361" s="14">
        <f>IF(M361=0,"-",ROUND(3+M361/'안내'!$C$12,0))</f>
        <v/>
      </c>
      <c r="O361" s="15">
        <f>IF(K361="","(본문 입력 후 자동) | 슥 14:9",IF(LEN(K361)&gt;28,LEFT(K361,28)&amp;"…",K361)&amp;" | 슥 14:9")</f>
        <v/>
      </c>
      <c r="P361" s="15">
        <f>"#"&amp;SUBSTITUTE('안내'!$C$5," ","")&amp;" #성경구절 #말씀 #스가랴 #하나님"</f>
        <v/>
      </c>
      <c r="Q361" s="15" t="inlineStr">
        <is>
          <t>성경 본문: 개역한글판</t>
        </is>
      </c>
      <c r="R361" s="17">
        <f>'안내'!$C$6+INT((D361-1)/'안내'!$C$7)</f>
        <v/>
      </c>
      <c r="S361" s="14">
        <f>IF(MOD(D361-1,'안내'!$C$7)=0,'안내'!$C$8,'안내'!$C$10)</f>
        <v/>
      </c>
      <c r="T361" s="14">
        <f>CHOOSE(WEEKDAY(R361,2),"월","화","수","목","금","토","일")</f>
        <v/>
      </c>
      <c r="U361" s="14" t="inlineStr">
        <is>
          <t>미착수</t>
        </is>
      </c>
      <c r="V361" s="14" t="inlineStr">
        <is>
          <t>미착수</t>
        </is>
      </c>
      <c r="W361" s="18" t="n"/>
      <c r="X361" s="18" t="n"/>
      <c r="Y361" s="15" t="n"/>
      <c r="Z361" s="15" t="inlineStr"/>
      <c r="AA361" s="15" t="inlineStr">
        <is>
          <t>Yahweh will be King over all the earth. In that day Yahweh will be one, and his name one.</t>
        </is>
      </c>
    </row>
    <row r="362">
      <c r="A362" s="13" t="n">
        <v>361</v>
      </c>
      <c r="B362" s="13" t="inlineStr">
        <is>
          <t>W0361</t>
        </is>
      </c>
      <c r="C362" s="13" t="inlineStr">
        <is>
          <t>구약</t>
        </is>
      </c>
      <c r="D362" s="13" t="n">
        <v>361</v>
      </c>
      <c r="E362" s="13">
        <f>C362&amp;"말씀 #"&amp;TEXT(D362,"000")</f>
        <v/>
      </c>
      <c r="F362" s="14" t="inlineStr">
        <is>
          <t>말라기</t>
        </is>
      </c>
      <c r="G362" s="14" t="inlineStr">
        <is>
          <t>1:2</t>
        </is>
      </c>
      <c r="H362" s="15" t="inlineStr">
        <is>
          <t>(말 1:2, 개역한글)</t>
        </is>
      </c>
      <c r="I362" s="14" t="inlineStr">
        <is>
          <t>사랑</t>
        </is>
      </c>
      <c r="J362" s="14" t="inlineStr">
        <is>
          <t>창가·식탁</t>
        </is>
      </c>
      <c r="K362" s="16" t="inlineStr">
        <is>
          <t>여호와께서 가라사대 내가 너희를 사랑하였노라 하나 너희는 이르기를 주께서 어떻게 우리를 사랑하셨나이까 하는도다 나 여호와가 말하노라 에서는 야곱의 형이 아니냐 그러나 내가 야곱을 사랑하였고</t>
        </is>
      </c>
      <c r="L362" s="14" t="inlineStr">
        <is>
          <t>자동 입력 · 대조 필요</t>
        </is>
      </c>
      <c r="M362" s="14">
        <f>LEN(K362)</f>
        <v/>
      </c>
      <c r="N362" s="14">
        <f>IF(M362=0,"-",ROUND(3+M362/'안내'!$C$12,0))</f>
        <v/>
      </c>
      <c r="O362" s="15">
        <f>IF(K362="","(본문 입력 후 자동) | 말 1:2",IF(LEN(K362)&gt;28,LEFT(K362,28)&amp;"…",K362)&amp;" | 말 1:2")</f>
        <v/>
      </c>
      <c r="P362" s="15">
        <f>"#"&amp;SUBSTITUTE('안내'!$C$5," ","")&amp;" #성경구절 #말씀 #말라기 #사랑"</f>
        <v/>
      </c>
      <c r="Q362" s="15" t="inlineStr">
        <is>
          <t>성경 본문: 개역한글판</t>
        </is>
      </c>
      <c r="R362" s="17">
        <f>'안내'!$C$6+INT((D362-1)/'안내'!$C$7)</f>
        <v/>
      </c>
      <c r="S362" s="14">
        <f>IF(MOD(D362-1,'안내'!$C$7)=0,'안내'!$C$8,'안내'!$C$10)</f>
        <v/>
      </c>
      <c r="T362" s="14">
        <f>CHOOSE(WEEKDAY(R362,2),"월","화","수","목","금","토","일")</f>
        <v/>
      </c>
      <c r="U362" s="14" t="inlineStr">
        <is>
          <t>미착수</t>
        </is>
      </c>
      <c r="V362" s="14" t="inlineStr">
        <is>
          <t>미착수</t>
        </is>
      </c>
      <c r="W362" s="18" t="n"/>
      <c r="X362" s="18" t="n"/>
      <c r="Y362" s="15" t="n"/>
      <c r="Z362" s="15" t="inlineStr">
        <is>
          <t>줄바꿈 띄어쓰기 확인</t>
        </is>
      </c>
      <c r="AA362" s="15" t="inlineStr">
        <is>
          <t>“I have loved you,” says Yahweh. Yet you say, “How have you loved us?” “Wasn’t Esau Jacob’s brother?” says Yahweh, “Yet I loved Jacob;</t>
        </is>
      </c>
    </row>
    <row r="363">
      <c r="A363" s="13" t="n">
        <v>362</v>
      </c>
      <c r="B363" s="13" t="inlineStr">
        <is>
          <t>W0362</t>
        </is>
      </c>
      <c r="C363" s="13" t="inlineStr">
        <is>
          <t>구약</t>
        </is>
      </c>
      <c r="D363" s="13" t="n">
        <v>362</v>
      </c>
      <c r="E363" s="13">
        <f>C363&amp;"말씀 #"&amp;TEXT(D363,"000")</f>
        <v/>
      </c>
      <c r="F363" s="14" t="inlineStr">
        <is>
          <t>말라기</t>
        </is>
      </c>
      <c r="G363" s="14" t="inlineStr">
        <is>
          <t>3:6</t>
        </is>
      </c>
      <c r="H363" s="15" t="inlineStr">
        <is>
          <t>(말 3:6, 개역한글)</t>
        </is>
      </c>
      <c r="I363" s="14" t="inlineStr">
        <is>
          <t>신실하심</t>
        </is>
      </c>
      <c r="J363" s="14" t="inlineStr">
        <is>
          <t>바위산·광야</t>
        </is>
      </c>
      <c r="K363" s="16" t="inlineStr">
        <is>
          <t>나 여호와는 변역지 아니하나니 그러므로 야곱의 자손들아 너희가 소멸되지 아니하느니라</t>
        </is>
      </c>
      <c r="L363" s="14" t="inlineStr">
        <is>
          <t>자동 입력</t>
        </is>
      </c>
      <c r="M363" s="14">
        <f>LEN(K363)</f>
        <v/>
      </c>
      <c r="N363" s="14">
        <f>IF(M363=0,"-",ROUND(3+M363/'안내'!$C$12,0))</f>
        <v/>
      </c>
      <c r="O363" s="15">
        <f>IF(K363="","(본문 입력 후 자동) | 말 3:6",IF(LEN(K363)&gt;28,LEFT(K363,28)&amp;"…",K363)&amp;" | 말 3:6")</f>
        <v/>
      </c>
      <c r="P363" s="15">
        <f>"#"&amp;SUBSTITUTE('안내'!$C$5," ","")&amp;" #성경구절 #말씀 #말라기 #신실하심"</f>
        <v/>
      </c>
      <c r="Q363" s="15" t="inlineStr">
        <is>
          <t>성경 본문: 개역한글판</t>
        </is>
      </c>
      <c r="R363" s="17">
        <f>'안내'!$C$6+INT((D363-1)/'안내'!$C$7)</f>
        <v/>
      </c>
      <c r="S363" s="14">
        <f>IF(MOD(D363-1,'안내'!$C$7)=0,'안내'!$C$8,'안내'!$C$10)</f>
        <v/>
      </c>
      <c r="T363" s="14">
        <f>CHOOSE(WEEKDAY(R363,2),"월","화","수","목","금","토","일")</f>
        <v/>
      </c>
      <c r="U363" s="14" t="inlineStr">
        <is>
          <t>미착수</t>
        </is>
      </c>
      <c r="V363" s="14" t="inlineStr">
        <is>
          <t>미착수</t>
        </is>
      </c>
      <c r="W363" s="18" t="n"/>
      <c r="X363" s="18" t="n"/>
      <c r="Y363" s="15" t="n"/>
      <c r="Z363" s="15" t="inlineStr"/>
      <c r="AA363" s="15" t="inlineStr">
        <is>
          <t>“For I, Yahweh, don’t change; there- fore you, sons of Jacob, are not consumed.</t>
        </is>
      </c>
    </row>
    <row r="364">
      <c r="A364" s="13" t="n">
        <v>363</v>
      </c>
      <c r="B364" s="13" t="inlineStr">
        <is>
          <t>W0363</t>
        </is>
      </c>
      <c r="C364" s="13" t="inlineStr">
        <is>
          <t>구약</t>
        </is>
      </c>
      <c r="D364" s="13" t="n">
        <v>363</v>
      </c>
      <c r="E364" s="13">
        <f>C364&amp;"말씀 #"&amp;TEXT(D364,"000")</f>
        <v/>
      </c>
      <c r="F364" s="14" t="inlineStr">
        <is>
          <t>말라기</t>
        </is>
      </c>
      <c r="G364" s="14" t="inlineStr">
        <is>
          <t>3:16</t>
        </is>
      </c>
      <c r="H364" s="15" t="inlineStr">
        <is>
          <t>(말 3:16, 개역한글)</t>
        </is>
      </c>
      <c r="I364" s="14" t="inlineStr">
        <is>
          <t>경외</t>
        </is>
      </c>
      <c r="J364" s="14" t="inlineStr">
        <is>
          <t>하늘·별</t>
        </is>
      </c>
      <c r="K364" s="16" t="inlineStr">
        <is>
          <t>그 때에 여호와를 경외하는 자들이 피차에 말하매 여호와께서 그것을 분명히 들으시고 여호와를 경외하는 자와 그 이름을 존중히 생각하는 자를 위하여 여호와 앞에 있는 기념책에 기록하셨느니라</t>
        </is>
      </c>
      <c r="L364" s="14" t="inlineStr">
        <is>
          <t>자동 입력 · 대조 필요</t>
        </is>
      </c>
      <c r="M364" s="14">
        <f>LEN(K364)</f>
        <v/>
      </c>
      <c r="N364" s="14">
        <f>IF(M364=0,"-",ROUND(3+M364/'안내'!$C$12,0))</f>
        <v/>
      </c>
      <c r="O364" s="15">
        <f>IF(K364="","(본문 입력 후 자동) | 말 3:16",IF(LEN(K364)&gt;28,LEFT(K364,28)&amp;"…",K364)&amp;" | 말 3:16")</f>
        <v/>
      </c>
      <c r="P364" s="15">
        <f>"#"&amp;SUBSTITUTE('안내'!$C$5," ","")&amp;" #성경구절 #말씀 #말라기 #경외"</f>
        <v/>
      </c>
      <c r="Q364" s="15" t="inlineStr">
        <is>
          <t>성경 본문: 개역한글판</t>
        </is>
      </c>
      <c r="R364" s="17">
        <f>'안내'!$C$6+INT((D364-1)/'안내'!$C$7)</f>
        <v/>
      </c>
      <c r="S364" s="14">
        <f>IF(MOD(D364-1,'안내'!$C$7)=0,'안내'!$C$8,'안내'!$C$10)</f>
        <v/>
      </c>
      <c r="T364" s="14">
        <f>CHOOSE(WEEKDAY(R364,2),"월","화","수","목","금","토","일")</f>
        <v/>
      </c>
      <c r="U364" s="14" t="inlineStr">
        <is>
          <t>미착수</t>
        </is>
      </c>
      <c r="V364" s="14" t="inlineStr">
        <is>
          <t>미착수</t>
        </is>
      </c>
      <c r="W364" s="18" t="n"/>
      <c r="X364" s="18" t="n"/>
      <c r="Y364" s="15" t="n"/>
      <c r="Z364" s="15" t="inlineStr">
        <is>
          <t>줄바꿈 띄어쓰기 확인</t>
        </is>
      </c>
      <c r="AA364" s="15" t="inlineStr">
        <is>
          <t>Then those who feared Yahweh spoke one with another; and Yahweh listened and heard, and a book of memory was writ- ten before him for those who feared Yah- weh and who honored his name.</t>
        </is>
      </c>
    </row>
    <row r="365">
      <c r="A365" s="13" t="n">
        <v>364</v>
      </c>
      <c r="B365" s="13" t="inlineStr">
        <is>
          <t>W0364</t>
        </is>
      </c>
      <c r="C365" s="13" t="inlineStr">
        <is>
          <t>구약</t>
        </is>
      </c>
      <c r="D365" s="13" t="n">
        <v>364</v>
      </c>
      <c r="E365" s="13">
        <f>C365&amp;"말씀 #"&amp;TEXT(D365,"000")</f>
        <v/>
      </c>
      <c r="F365" s="14" t="inlineStr">
        <is>
          <t>말라기</t>
        </is>
      </c>
      <c r="G365" s="14" t="inlineStr">
        <is>
          <t>4:2</t>
        </is>
      </c>
      <c r="H365" s="15" t="inlineStr">
        <is>
          <t>(말 4:2, 개역한글)</t>
        </is>
      </c>
      <c r="I365" s="14" t="inlineStr">
        <is>
          <t>소망</t>
        </is>
      </c>
      <c r="J365" s="14" t="inlineStr">
        <is>
          <t>새벽빛</t>
        </is>
      </c>
      <c r="K365" s="16" t="inlineStr">
        <is>
          <t>내 이름을 경외하는 너희에게는 의로운 해가 떠올라서 치료하는 광선을 발하리니 너희가 나가서 외양간에서 나온 송아지같이 뛰리라</t>
        </is>
      </c>
      <c r="L365" s="14" t="inlineStr">
        <is>
          <t>자동 입력 · 대조 필요</t>
        </is>
      </c>
      <c r="M365" s="14">
        <f>LEN(K365)</f>
        <v/>
      </c>
      <c r="N365" s="14">
        <f>IF(M365=0,"-",ROUND(3+M365/'안내'!$C$12,0))</f>
        <v/>
      </c>
      <c r="O365" s="15">
        <f>IF(K365="","(본문 입력 후 자동) | 말 4:2",IF(LEN(K365)&gt;28,LEFT(K365,28)&amp;"…",K365)&amp;" | 말 4:2")</f>
        <v/>
      </c>
      <c r="P365" s="15">
        <f>"#"&amp;SUBSTITUTE('안내'!$C$5," ","")&amp;" #성경구절 #말씀 #말라기 #소망"</f>
        <v/>
      </c>
      <c r="Q365" s="15" t="inlineStr">
        <is>
          <t>성경 본문: 개역한글판</t>
        </is>
      </c>
      <c r="R365" s="17">
        <f>'안내'!$C$6+INT((D365-1)/'안내'!$C$7)</f>
        <v/>
      </c>
      <c r="S365" s="14">
        <f>IF(MOD(D365-1,'안내'!$C$7)=0,'안내'!$C$8,'안내'!$C$10)</f>
        <v/>
      </c>
      <c r="T365" s="14">
        <f>CHOOSE(WEEKDAY(R365,2),"월","화","수","목","금","토","일")</f>
        <v/>
      </c>
      <c r="U365" s="14" t="inlineStr">
        <is>
          <t>미착수</t>
        </is>
      </c>
      <c r="V365" s="14" t="inlineStr">
        <is>
          <t>미착수</t>
        </is>
      </c>
      <c r="W365" s="18" t="n"/>
      <c r="X365" s="18" t="n"/>
      <c r="Y365" s="15" t="n"/>
      <c r="Z365" s="15" t="inlineStr">
        <is>
          <t>줄바꿈 띄어쓰기 확인</t>
        </is>
      </c>
      <c r="AA365" s="15" t="inlineStr">
        <is>
          <t>But to you who fear my name shall the sun of righteousness arise with healing in its wings. You will go out and leap like calves of the stall.</t>
        </is>
      </c>
    </row>
    <row r="366">
      <c r="A366" s="14" t="n">
        <v>365</v>
      </c>
      <c r="B366" s="14" t="inlineStr">
        <is>
          <t>W0365</t>
        </is>
      </c>
      <c r="C366" s="14" t="inlineStr">
        <is>
          <t>신약</t>
        </is>
      </c>
      <c r="D366" s="14" t="n">
        <v>1</v>
      </c>
      <c r="E366" s="14">
        <f>C366&amp;"말씀 #"&amp;TEXT(D366,"000")</f>
        <v/>
      </c>
      <c r="F366" s="14" t="inlineStr">
        <is>
          <t>마태복음</t>
        </is>
      </c>
      <c r="G366" s="14" t="inlineStr">
        <is>
          <t>1:21</t>
        </is>
      </c>
      <c r="H366" s="15" t="inlineStr">
        <is>
          <t>(마 1:21, 개역한글)</t>
        </is>
      </c>
      <c r="I366" s="14" t="inlineStr">
        <is>
          <t>구원</t>
        </is>
      </c>
      <c r="J366" s="14" t="inlineStr">
        <is>
          <t>제단·십자가</t>
        </is>
      </c>
      <c r="K366" s="16" t="inlineStr">
        <is>
          <t>아들을 낳으리니 이름을 예수라 하라 이는 그가 자기 백성을 저희 죄에서 구원할 자이심이라 하니라</t>
        </is>
      </c>
      <c r="L366" s="14" t="inlineStr">
        <is>
          <t>자동 입력</t>
        </is>
      </c>
      <c r="M366" s="14">
        <f>LEN(K366)</f>
        <v/>
      </c>
      <c r="N366" s="14">
        <f>IF(M366=0,"-",ROUND(3+M366/'안내'!$C$12,0))</f>
        <v/>
      </c>
      <c r="O366" s="15">
        <f>IF(K366="","(본문 입력 후 자동) | 마 1:21",IF(LEN(K366)&gt;28,LEFT(K366,28)&amp;"…",K366)&amp;" | 마 1:21")</f>
        <v/>
      </c>
      <c r="P366" s="15">
        <f>"#"&amp;SUBSTITUTE('안내'!$C$5," ","")&amp;" #성경구절 #말씀 #마태복음 #구원"</f>
        <v/>
      </c>
      <c r="Q366" s="15" t="inlineStr">
        <is>
          <t>성경 본문: 개역한글판</t>
        </is>
      </c>
      <c r="R366" s="17">
        <f>'안내'!$C$6+INT((D366-1)/'안내'!$C$7)</f>
        <v/>
      </c>
      <c r="S366" s="14">
        <f>IF(MOD(D366-1,'안내'!$C$7)=0,'안내'!$C$9,'안내'!$C$11)</f>
        <v/>
      </c>
      <c r="T366" s="14">
        <f>CHOOSE(WEEKDAY(R366,2),"월","화","수","목","금","토","일")</f>
        <v/>
      </c>
      <c r="U366" s="14" t="inlineStr">
        <is>
          <t>미착수</t>
        </is>
      </c>
      <c r="V366" s="14" t="inlineStr">
        <is>
          <t>미착수</t>
        </is>
      </c>
      <c r="W366" s="18" t="n"/>
      <c r="X366" s="18" t="n"/>
      <c r="Y366" s="15" t="n"/>
      <c r="Z366" s="15" t="inlineStr"/>
      <c r="AA366" s="15" t="inlineStr">
        <is>
          <t>She shall give birth to a son. You shall name him Jesus, for it is he who shall save his people from their sins.”</t>
        </is>
      </c>
    </row>
    <row r="367">
      <c r="A367" s="14" t="n">
        <v>366</v>
      </c>
      <c r="B367" s="14" t="inlineStr">
        <is>
          <t>W0366</t>
        </is>
      </c>
      <c r="C367" s="14" t="inlineStr">
        <is>
          <t>신약</t>
        </is>
      </c>
      <c r="D367" s="14" t="n">
        <v>2</v>
      </c>
      <c r="E367" s="14">
        <f>C367&amp;"말씀 #"&amp;TEXT(D367,"000")</f>
        <v/>
      </c>
      <c r="F367" s="14" t="inlineStr">
        <is>
          <t>마태복음</t>
        </is>
      </c>
      <c r="G367" s="14" t="inlineStr">
        <is>
          <t>1:23</t>
        </is>
      </c>
      <c r="H367" s="15" t="inlineStr">
        <is>
          <t>(마 1:23, 개역한글)</t>
        </is>
      </c>
      <c r="I367" s="14" t="inlineStr">
        <is>
          <t>임재</t>
        </is>
      </c>
      <c r="J367" s="14" t="inlineStr">
        <is>
          <t>하늘·별</t>
        </is>
      </c>
      <c r="K367" s="16" t="inlineStr">
        <is>
          <t>보라 처녀가 잉태하여 아들을 낳을 것이요 그 이름은 임마누엘이라 하리라 하셨으니 이를 번역한즉 하나님이 우리와 함께 계시다 함이라</t>
        </is>
      </c>
      <c r="L367" s="14" t="inlineStr">
        <is>
          <t>자동 입력</t>
        </is>
      </c>
      <c r="M367" s="14">
        <f>LEN(K367)</f>
        <v/>
      </c>
      <c r="N367" s="14">
        <f>IF(M367=0,"-",ROUND(3+M367/'안내'!$C$12,0))</f>
        <v/>
      </c>
      <c r="O367" s="15">
        <f>IF(K367="","(본문 입력 후 자동) | 마 1:23",IF(LEN(K367)&gt;28,LEFT(K367,28)&amp;"…",K367)&amp;" | 마 1:23")</f>
        <v/>
      </c>
      <c r="P367" s="15">
        <f>"#"&amp;SUBSTITUTE('안내'!$C$5," ","")&amp;" #성경구절 #말씀 #마태복음 #임재"</f>
        <v/>
      </c>
      <c r="Q367" s="15" t="inlineStr">
        <is>
          <t>성경 본문: 개역한글판</t>
        </is>
      </c>
      <c r="R367" s="17">
        <f>'안내'!$C$6+INT((D367-1)/'안내'!$C$7)</f>
        <v/>
      </c>
      <c r="S367" s="14">
        <f>IF(MOD(D367-1,'안내'!$C$7)=0,'안내'!$C$9,'안내'!$C$11)</f>
        <v/>
      </c>
      <c r="T367" s="14">
        <f>CHOOSE(WEEKDAY(R367,2),"월","화","수","목","금","토","일")</f>
        <v/>
      </c>
      <c r="U367" s="14" t="inlineStr">
        <is>
          <t>미착수</t>
        </is>
      </c>
      <c r="V367" s="14" t="inlineStr">
        <is>
          <t>미착수</t>
        </is>
      </c>
      <c r="W367" s="18" t="n"/>
      <c r="X367" s="18" t="n"/>
      <c r="Y367" s="15" t="n"/>
      <c r="Z367" s="15" t="inlineStr"/>
      <c r="AA367" s="15" t="inlineStr">
        <is>
          <t>“Behold, the virgin shall be with child, and shall give birth to a son. They shall call his name Immanuel,” which is, being interpreted, “God with us.” ✡</t>
        </is>
      </c>
    </row>
    <row r="368">
      <c r="A368" s="14" t="n">
        <v>367</v>
      </c>
      <c r="B368" s="14" t="inlineStr">
        <is>
          <t>W0367</t>
        </is>
      </c>
      <c r="C368" s="14" t="inlineStr">
        <is>
          <t>신약</t>
        </is>
      </c>
      <c r="D368" s="14" t="n">
        <v>3</v>
      </c>
      <c r="E368" s="14">
        <f>C368&amp;"말씀 #"&amp;TEXT(D368,"000")</f>
        <v/>
      </c>
      <c r="F368" s="14" t="inlineStr">
        <is>
          <t>마태복음</t>
        </is>
      </c>
      <c r="G368" s="14" t="inlineStr">
        <is>
          <t>3:17</t>
        </is>
      </c>
      <c r="H368" s="15" t="inlineStr">
        <is>
          <t>(마 3:17, 개역한글)</t>
        </is>
      </c>
      <c r="I368" s="14" t="inlineStr">
        <is>
          <t>사랑</t>
        </is>
      </c>
      <c r="J368" s="14" t="inlineStr">
        <is>
          <t>창가·식탁</t>
        </is>
      </c>
      <c r="K368" s="16" t="inlineStr">
        <is>
          <t>하늘로서 소리가 있어 말씀하시되 이는 내 사랑하는 아들이요 내 기뻐하는 자라 하시니라</t>
        </is>
      </c>
      <c r="L368" s="14" t="inlineStr">
        <is>
          <t>자동 입력</t>
        </is>
      </c>
      <c r="M368" s="14">
        <f>LEN(K368)</f>
        <v/>
      </c>
      <c r="N368" s="14">
        <f>IF(M368=0,"-",ROUND(3+M368/'안내'!$C$12,0))</f>
        <v/>
      </c>
      <c r="O368" s="15">
        <f>IF(K368="","(본문 입력 후 자동) | 마 3:17",IF(LEN(K368)&gt;28,LEFT(K368,28)&amp;"…",K368)&amp;" | 마 3:17")</f>
        <v/>
      </c>
      <c r="P368" s="15">
        <f>"#"&amp;SUBSTITUTE('안내'!$C$5," ","")&amp;" #성경구절 #말씀 #마태복음 #사랑"</f>
        <v/>
      </c>
      <c r="Q368" s="15" t="inlineStr">
        <is>
          <t>성경 본문: 개역한글판</t>
        </is>
      </c>
      <c r="R368" s="17">
        <f>'안내'!$C$6+INT((D368-1)/'안내'!$C$7)</f>
        <v/>
      </c>
      <c r="S368" s="14">
        <f>IF(MOD(D368-1,'안내'!$C$7)=0,'안내'!$C$9,'안내'!$C$11)</f>
        <v/>
      </c>
      <c r="T368" s="14">
        <f>CHOOSE(WEEKDAY(R368,2),"월","화","수","목","금","토","일")</f>
        <v/>
      </c>
      <c r="U368" s="14" t="inlineStr">
        <is>
          <t>미착수</t>
        </is>
      </c>
      <c r="V368" s="14" t="inlineStr">
        <is>
          <t>미착수</t>
        </is>
      </c>
      <c r="W368" s="18" t="n"/>
      <c r="X368" s="18" t="n"/>
      <c r="Y368" s="15" t="n"/>
      <c r="Z368" s="15" t="inlineStr"/>
      <c r="AA368" s="15" t="inlineStr">
        <is>
          <t>Behold, a voice out of the heavens said, “This is my beloved Son, with whom I am well pleased.”</t>
        </is>
      </c>
    </row>
    <row r="369">
      <c r="A369" s="14" t="n">
        <v>368</v>
      </c>
      <c r="B369" s="14" t="inlineStr">
        <is>
          <t>W0368</t>
        </is>
      </c>
      <c r="C369" s="14" t="inlineStr">
        <is>
          <t>신약</t>
        </is>
      </c>
      <c r="D369" s="14" t="n">
        <v>4</v>
      </c>
      <c r="E369" s="14">
        <f>C369&amp;"말씀 #"&amp;TEXT(D369,"000")</f>
        <v/>
      </c>
      <c r="F369" s="14" t="inlineStr">
        <is>
          <t>마태복음</t>
        </is>
      </c>
      <c r="G369" s="14" t="inlineStr">
        <is>
          <t>4:4</t>
        </is>
      </c>
      <c r="H369" s="15" t="inlineStr">
        <is>
          <t>(마 4:4, 개역한글)</t>
        </is>
      </c>
      <c r="I369" s="14" t="inlineStr">
        <is>
          <t>말씀</t>
        </is>
      </c>
      <c r="J369" s="14" t="inlineStr">
        <is>
          <t>들판·나무</t>
        </is>
      </c>
      <c r="K369" s="16" t="inlineStr">
        <is>
          <t>예수께서 대답하여 가라사대 기록되었으되 사람이 떡으로만 살 것이 아니요 하나님의 입으로 나오는 모든 말씀으로 살 것이라 하였느니라 하시니</t>
        </is>
      </c>
      <c r="L369" s="14" t="inlineStr">
        <is>
          <t>자동 입력</t>
        </is>
      </c>
      <c r="M369" s="14">
        <f>LEN(K369)</f>
        <v/>
      </c>
      <c r="N369" s="14">
        <f>IF(M369=0,"-",ROUND(3+M369/'안내'!$C$12,0))</f>
        <v/>
      </c>
      <c r="O369" s="15">
        <f>IF(K369="","(본문 입력 후 자동) | 마 4:4",IF(LEN(K369)&gt;28,LEFT(K369,28)&amp;"…",K369)&amp;" | 마 4:4")</f>
        <v/>
      </c>
      <c r="P369" s="15">
        <f>"#"&amp;SUBSTITUTE('안내'!$C$5," ","")&amp;" #성경구절 #말씀 #마태복음 #말씀"</f>
        <v/>
      </c>
      <c r="Q369" s="15" t="inlineStr">
        <is>
          <t>성경 본문: 개역한글판</t>
        </is>
      </c>
      <c r="R369" s="17">
        <f>'안내'!$C$6+INT((D369-1)/'안내'!$C$7)</f>
        <v/>
      </c>
      <c r="S369" s="14">
        <f>IF(MOD(D369-1,'안내'!$C$7)=0,'안내'!$C$9,'안내'!$C$11)</f>
        <v/>
      </c>
      <c r="T369" s="14">
        <f>CHOOSE(WEEKDAY(R369,2),"월","화","수","목","금","토","일")</f>
        <v/>
      </c>
      <c r="U369" s="14" t="inlineStr">
        <is>
          <t>미착수</t>
        </is>
      </c>
      <c r="V369" s="14" t="inlineStr">
        <is>
          <t>미착수</t>
        </is>
      </c>
      <c r="W369" s="18" t="n"/>
      <c r="X369" s="18" t="n"/>
      <c r="Y369" s="15" t="n"/>
      <c r="Z369" s="15" t="inlineStr"/>
      <c r="AA369" s="15" t="inlineStr">
        <is>
          <t>But he answered, “It is written, ‘Man shall not live by bread alone, but by every word that proceeds out of God’s mouth.’ ” ✡</t>
        </is>
      </c>
    </row>
    <row r="370">
      <c r="A370" s="14" t="n">
        <v>369</v>
      </c>
      <c r="B370" s="14" t="inlineStr">
        <is>
          <t>W0369</t>
        </is>
      </c>
      <c r="C370" s="14" t="inlineStr">
        <is>
          <t>신약</t>
        </is>
      </c>
      <c r="D370" s="14" t="n">
        <v>5</v>
      </c>
      <c r="E370" s="14">
        <f>C370&amp;"말씀 #"&amp;TEXT(D370,"000")</f>
        <v/>
      </c>
      <c r="F370" s="14" t="inlineStr">
        <is>
          <t>마태복음</t>
        </is>
      </c>
      <c r="G370" s="14" t="inlineStr">
        <is>
          <t>4:19</t>
        </is>
      </c>
      <c r="H370" s="15" t="inlineStr">
        <is>
          <t>(마 4:19, 개역한글)</t>
        </is>
      </c>
      <c r="I370" s="14" t="inlineStr">
        <is>
          <t>부르심</t>
        </is>
      </c>
      <c r="J370" s="14" t="inlineStr">
        <is>
          <t>길·등불</t>
        </is>
      </c>
      <c r="K370" s="16" t="inlineStr">
        <is>
          <t>말씀하시되 나를 따라오너라 내가 너희로 사람을 낚는 어부가 되게 하리라 하시니</t>
        </is>
      </c>
      <c r="L370" s="14" t="inlineStr">
        <is>
          <t>자동 입력</t>
        </is>
      </c>
      <c r="M370" s="14">
        <f>LEN(K370)</f>
        <v/>
      </c>
      <c r="N370" s="14">
        <f>IF(M370=0,"-",ROUND(3+M370/'안내'!$C$12,0))</f>
        <v/>
      </c>
      <c r="O370" s="15">
        <f>IF(K370="","(본문 입력 후 자동) | 마 4:19",IF(LEN(K370)&gt;28,LEFT(K370,28)&amp;"…",K370)&amp;" | 마 4:19")</f>
        <v/>
      </c>
      <c r="P370" s="15">
        <f>"#"&amp;SUBSTITUTE('안내'!$C$5," ","")&amp;" #성경구절 #말씀 #마태복음 #부르심"</f>
        <v/>
      </c>
      <c r="Q370" s="15" t="inlineStr">
        <is>
          <t>성경 본문: 개역한글판</t>
        </is>
      </c>
      <c r="R370" s="17">
        <f>'안내'!$C$6+INT((D370-1)/'안내'!$C$7)</f>
        <v/>
      </c>
      <c r="S370" s="14">
        <f>IF(MOD(D370-1,'안내'!$C$7)=0,'안내'!$C$9,'안내'!$C$11)</f>
        <v/>
      </c>
      <c r="T370" s="14">
        <f>CHOOSE(WEEKDAY(R370,2),"월","화","수","목","금","토","일")</f>
        <v/>
      </c>
      <c r="U370" s="14" t="inlineStr">
        <is>
          <t>미착수</t>
        </is>
      </c>
      <c r="V370" s="14" t="inlineStr">
        <is>
          <t>미착수</t>
        </is>
      </c>
      <c r="W370" s="18" t="n"/>
      <c r="X370" s="18" t="n"/>
      <c r="Y370" s="15" t="n"/>
      <c r="Z370" s="15" t="inlineStr"/>
      <c r="AA370" s="15" t="inlineStr">
        <is>
          <t>He said to them, “Come after me, and I will make you fishers for men.”</t>
        </is>
      </c>
    </row>
    <row r="371">
      <c r="A371" s="14" t="n">
        <v>370</v>
      </c>
      <c r="B371" s="14" t="inlineStr">
        <is>
          <t>W0370</t>
        </is>
      </c>
      <c r="C371" s="14" t="inlineStr">
        <is>
          <t>신약</t>
        </is>
      </c>
      <c r="D371" s="14" t="n">
        <v>6</v>
      </c>
      <c r="E371" s="14">
        <f>C371&amp;"말씀 #"&amp;TEXT(D371,"000")</f>
        <v/>
      </c>
      <c r="F371" s="14" t="inlineStr">
        <is>
          <t>마태복음</t>
        </is>
      </c>
      <c r="G371" s="14" t="inlineStr">
        <is>
          <t>5:3</t>
        </is>
      </c>
      <c r="H371" s="15" t="inlineStr">
        <is>
          <t>(마 5:3, 개역한글)</t>
        </is>
      </c>
      <c r="I371" s="14" t="inlineStr">
        <is>
          <t>복</t>
        </is>
      </c>
      <c r="J371" s="14" t="inlineStr">
        <is>
          <t>들판·나무</t>
        </is>
      </c>
      <c r="K371" s="16" t="inlineStr">
        <is>
          <t>심령이 가난한 자는 복이 있나니 천국이 저희 것임이요</t>
        </is>
      </c>
      <c r="L371" s="14" t="inlineStr">
        <is>
          <t>자동 입력</t>
        </is>
      </c>
      <c r="M371" s="14">
        <f>LEN(K371)</f>
        <v/>
      </c>
      <c r="N371" s="14">
        <f>IF(M371=0,"-",ROUND(3+M371/'안내'!$C$12,0))</f>
        <v/>
      </c>
      <c r="O371" s="15">
        <f>IF(K371="","(본문 입력 후 자동) | 마 5:3",IF(LEN(K371)&gt;28,LEFT(K371,28)&amp;"…",K371)&amp;" | 마 5:3")</f>
        <v/>
      </c>
      <c r="P371" s="15">
        <f>"#"&amp;SUBSTITUTE('안내'!$C$5," ","")&amp;" #성경구절 #말씀 #마태복음 #복"</f>
        <v/>
      </c>
      <c r="Q371" s="15" t="inlineStr">
        <is>
          <t>성경 본문: 개역한글판</t>
        </is>
      </c>
      <c r="R371" s="17">
        <f>'안내'!$C$6+INT((D371-1)/'안내'!$C$7)</f>
        <v/>
      </c>
      <c r="S371" s="14">
        <f>IF(MOD(D371-1,'안내'!$C$7)=0,'안내'!$C$9,'안내'!$C$11)</f>
        <v/>
      </c>
      <c r="T371" s="14">
        <f>CHOOSE(WEEKDAY(R371,2),"월","화","수","목","금","토","일")</f>
        <v/>
      </c>
      <c r="U371" s="14" t="inlineStr">
        <is>
          <t>미착수</t>
        </is>
      </c>
      <c r="V371" s="14" t="inlineStr">
        <is>
          <t>미착수</t>
        </is>
      </c>
      <c r="W371" s="18" t="n"/>
      <c r="X371" s="18" t="n"/>
      <c r="Y371" s="15" t="n"/>
      <c r="Z371" s="15" t="inlineStr"/>
      <c r="AA371" s="15" t="inlineStr">
        <is>
          <t>“Blessed are the poor in spirit, for theirs is the Kingdom of Heaven. ✡</t>
        </is>
      </c>
    </row>
    <row r="372">
      <c r="A372" s="14" t="n">
        <v>371</v>
      </c>
      <c r="B372" s="14" t="inlineStr">
        <is>
          <t>W0371</t>
        </is>
      </c>
      <c r="C372" s="14" t="inlineStr">
        <is>
          <t>신약</t>
        </is>
      </c>
      <c r="D372" s="14" t="n">
        <v>7</v>
      </c>
      <c r="E372" s="14">
        <f>C372&amp;"말씀 #"&amp;TEXT(D372,"000")</f>
        <v/>
      </c>
      <c r="F372" s="14" t="inlineStr">
        <is>
          <t>마태복음</t>
        </is>
      </c>
      <c r="G372" s="14" t="inlineStr">
        <is>
          <t>5:4</t>
        </is>
      </c>
      <c r="H372" s="15" t="inlineStr">
        <is>
          <t>(마 5:4, 개역한글)</t>
        </is>
      </c>
      <c r="I372" s="14" t="inlineStr">
        <is>
          <t>위로</t>
        </is>
      </c>
      <c r="J372" s="14" t="inlineStr">
        <is>
          <t>잔잔한 물</t>
        </is>
      </c>
      <c r="K372" s="16" t="inlineStr">
        <is>
          <t>애통하는 자는 복이 있나니 저희가 위로를 받을 것임이요</t>
        </is>
      </c>
      <c r="L372" s="14" t="inlineStr">
        <is>
          <t>자동 입력</t>
        </is>
      </c>
      <c r="M372" s="14">
        <f>LEN(K372)</f>
        <v/>
      </c>
      <c r="N372" s="14">
        <f>IF(M372=0,"-",ROUND(3+M372/'안내'!$C$12,0))</f>
        <v/>
      </c>
      <c r="O372" s="15">
        <f>IF(K372="","(본문 입력 후 자동) | 마 5:4",IF(LEN(K372)&gt;28,LEFT(K372,28)&amp;"…",K372)&amp;" | 마 5:4")</f>
        <v/>
      </c>
      <c r="P372" s="15">
        <f>"#"&amp;SUBSTITUTE('안내'!$C$5," ","")&amp;" #성경구절 #말씀 #마태복음 #위로"</f>
        <v/>
      </c>
      <c r="Q372" s="15" t="inlineStr">
        <is>
          <t>성경 본문: 개역한글판</t>
        </is>
      </c>
      <c r="R372" s="17">
        <f>'안내'!$C$6+INT((D372-1)/'안내'!$C$7)</f>
        <v/>
      </c>
      <c r="S372" s="14">
        <f>IF(MOD(D372-1,'안내'!$C$7)=0,'안내'!$C$9,'안내'!$C$11)</f>
        <v/>
      </c>
      <c r="T372" s="14">
        <f>CHOOSE(WEEKDAY(R372,2),"월","화","수","목","금","토","일")</f>
        <v/>
      </c>
      <c r="U372" s="14" t="inlineStr">
        <is>
          <t>미착수</t>
        </is>
      </c>
      <c r="V372" s="14" t="inlineStr">
        <is>
          <t>미착수</t>
        </is>
      </c>
      <c r="W372" s="18" t="n"/>
      <c r="X372" s="18" t="n"/>
      <c r="Y372" s="15" t="n"/>
      <c r="Z372" s="15" t="inlineStr"/>
      <c r="AA372" s="15" t="inlineStr">
        <is>
          <t>Blessed are those who mourn, for they shall be comforted. ✡</t>
        </is>
      </c>
    </row>
    <row r="373">
      <c r="A373" s="14" t="n">
        <v>372</v>
      </c>
      <c r="B373" s="14" t="inlineStr">
        <is>
          <t>W0372</t>
        </is>
      </c>
      <c r="C373" s="14" t="inlineStr">
        <is>
          <t>신약</t>
        </is>
      </c>
      <c r="D373" s="14" t="n">
        <v>8</v>
      </c>
      <c r="E373" s="14">
        <f>C373&amp;"말씀 #"&amp;TEXT(D373,"000")</f>
        <v/>
      </c>
      <c r="F373" s="14" t="inlineStr">
        <is>
          <t>마태복음</t>
        </is>
      </c>
      <c r="G373" s="14" t="inlineStr">
        <is>
          <t>5:6</t>
        </is>
      </c>
      <c r="H373" s="15" t="inlineStr">
        <is>
          <t>(마 5:6, 개역한글)</t>
        </is>
      </c>
      <c r="I373" s="14" t="inlineStr">
        <is>
          <t>복</t>
        </is>
      </c>
      <c r="J373" s="14" t="inlineStr">
        <is>
          <t>들판·나무</t>
        </is>
      </c>
      <c r="K373" s="16" t="inlineStr">
        <is>
          <t>의에 주리고 목마른 자는 복이 있나니 저희가 배부를 것임이요</t>
        </is>
      </c>
      <c r="L373" s="14" t="inlineStr">
        <is>
          <t>자동 입력</t>
        </is>
      </c>
      <c r="M373" s="14">
        <f>LEN(K373)</f>
        <v/>
      </c>
      <c r="N373" s="14">
        <f>IF(M373=0,"-",ROUND(3+M373/'안내'!$C$12,0))</f>
        <v/>
      </c>
      <c r="O373" s="15">
        <f>IF(K373="","(본문 입력 후 자동) | 마 5:6",IF(LEN(K373)&gt;28,LEFT(K373,28)&amp;"…",K373)&amp;" | 마 5:6")</f>
        <v/>
      </c>
      <c r="P373" s="15">
        <f>"#"&amp;SUBSTITUTE('안내'!$C$5," ","")&amp;" #성경구절 #말씀 #마태복음 #복"</f>
        <v/>
      </c>
      <c r="Q373" s="15" t="inlineStr">
        <is>
          <t>성경 본문: 개역한글판</t>
        </is>
      </c>
      <c r="R373" s="17">
        <f>'안내'!$C$6+INT((D373-1)/'안내'!$C$7)</f>
        <v/>
      </c>
      <c r="S373" s="14">
        <f>IF(MOD(D373-1,'안내'!$C$7)=0,'안내'!$C$9,'안내'!$C$11)</f>
        <v/>
      </c>
      <c r="T373" s="14">
        <f>CHOOSE(WEEKDAY(R373,2),"월","화","수","목","금","토","일")</f>
        <v/>
      </c>
      <c r="U373" s="14" t="inlineStr">
        <is>
          <t>미착수</t>
        </is>
      </c>
      <c r="V373" s="14" t="inlineStr">
        <is>
          <t>미착수</t>
        </is>
      </c>
      <c r="W373" s="18" t="n"/>
      <c r="X373" s="18" t="n"/>
      <c r="Y373" s="15" t="n"/>
      <c r="Z373" s="15" t="inlineStr"/>
      <c r="AA373" s="15" t="inlineStr">
        <is>
          <t>Blessed are those who hunger and thirst for righteousness, for they shall be filled.</t>
        </is>
      </c>
    </row>
    <row r="374">
      <c r="A374" s="14" t="n">
        <v>373</v>
      </c>
      <c r="B374" s="14" t="inlineStr">
        <is>
          <t>W0373</t>
        </is>
      </c>
      <c r="C374" s="14" t="inlineStr">
        <is>
          <t>신약</t>
        </is>
      </c>
      <c r="D374" s="14" t="n">
        <v>9</v>
      </c>
      <c r="E374" s="14">
        <f>C374&amp;"말씀 #"&amp;TEXT(D374,"000")</f>
        <v/>
      </c>
      <c r="F374" s="14" t="inlineStr">
        <is>
          <t>마태복음</t>
        </is>
      </c>
      <c r="G374" s="14" t="inlineStr">
        <is>
          <t>5:7</t>
        </is>
      </c>
      <c r="H374" s="15" t="inlineStr">
        <is>
          <t>(마 5:7, 개역한글)</t>
        </is>
      </c>
      <c r="I374" s="14" t="inlineStr">
        <is>
          <t>복</t>
        </is>
      </c>
      <c r="J374" s="14" t="inlineStr">
        <is>
          <t>들판·나무</t>
        </is>
      </c>
      <c r="K374" s="16" t="inlineStr">
        <is>
          <t>긍휼히 여기는 자는 복이 있나니 저희가 긍휼히 여김을 받을 것임이요</t>
        </is>
      </c>
      <c r="L374" s="14" t="inlineStr">
        <is>
          <t>자동 입력</t>
        </is>
      </c>
      <c r="M374" s="14">
        <f>LEN(K374)</f>
        <v/>
      </c>
      <c r="N374" s="14">
        <f>IF(M374=0,"-",ROUND(3+M374/'안내'!$C$12,0))</f>
        <v/>
      </c>
      <c r="O374" s="15">
        <f>IF(K374="","(본문 입력 후 자동) | 마 5:7",IF(LEN(K374)&gt;28,LEFT(K374,28)&amp;"…",K374)&amp;" | 마 5:7")</f>
        <v/>
      </c>
      <c r="P374" s="15">
        <f>"#"&amp;SUBSTITUTE('안내'!$C$5," ","")&amp;" #성경구절 #말씀 #마태복음 #복"</f>
        <v/>
      </c>
      <c r="Q374" s="15" t="inlineStr">
        <is>
          <t>성경 본문: 개역한글판</t>
        </is>
      </c>
      <c r="R374" s="17">
        <f>'안내'!$C$6+INT((D374-1)/'안내'!$C$7)</f>
        <v/>
      </c>
      <c r="S374" s="14">
        <f>IF(MOD(D374-1,'안내'!$C$7)=0,'안내'!$C$9,'안내'!$C$11)</f>
        <v/>
      </c>
      <c r="T374" s="14">
        <f>CHOOSE(WEEKDAY(R374,2),"월","화","수","목","금","토","일")</f>
        <v/>
      </c>
      <c r="U374" s="14" t="inlineStr">
        <is>
          <t>미착수</t>
        </is>
      </c>
      <c r="V374" s="14" t="inlineStr">
        <is>
          <t>미착수</t>
        </is>
      </c>
      <c r="W374" s="18" t="n"/>
      <c r="X374" s="18" t="n"/>
      <c r="Y374" s="15" t="n"/>
      <c r="Z374" s="15" t="inlineStr"/>
      <c r="AA374" s="15" t="inlineStr">
        <is>
          <t>Blessed are the merciful, for they shall obtain mercy.</t>
        </is>
      </c>
    </row>
    <row r="375">
      <c r="A375" s="14" t="n">
        <v>374</v>
      </c>
      <c r="B375" s="14" t="inlineStr">
        <is>
          <t>W0374</t>
        </is>
      </c>
      <c r="C375" s="14" t="inlineStr">
        <is>
          <t>신약</t>
        </is>
      </c>
      <c r="D375" s="14" t="n">
        <v>10</v>
      </c>
      <c r="E375" s="14">
        <f>C375&amp;"말씀 #"&amp;TEXT(D375,"000")</f>
        <v/>
      </c>
      <c r="F375" s="14" t="inlineStr">
        <is>
          <t>마태복음</t>
        </is>
      </c>
      <c r="G375" s="14" t="inlineStr">
        <is>
          <t>5:8</t>
        </is>
      </c>
      <c r="H375" s="15" t="inlineStr">
        <is>
          <t>(마 5:8, 개역한글)</t>
        </is>
      </c>
      <c r="I375" s="14" t="inlineStr">
        <is>
          <t>마음</t>
        </is>
      </c>
      <c r="J375" s="14" t="inlineStr">
        <is>
          <t>창가·식탁</t>
        </is>
      </c>
      <c r="K375" s="16" t="inlineStr">
        <is>
          <t>마음이 청결한 자는 복이 있나니 저희가 하나님을 볼 것임이요</t>
        </is>
      </c>
      <c r="L375" s="14" t="inlineStr">
        <is>
          <t>자동 입력</t>
        </is>
      </c>
      <c r="M375" s="14">
        <f>LEN(K375)</f>
        <v/>
      </c>
      <c r="N375" s="14">
        <f>IF(M375=0,"-",ROUND(3+M375/'안내'!$C$12,0))</f>
        <v/>
      </c>
      <c r="O375" s="15">
        <f>IF(K375="","(본문 입력 후 자동) | 마 5:8",IF(LEN(K375)&gt;28,LEFT(K375,28)&amp;"…",K375)&amp;" | 마 5:8")</f>
        <v/>
      </c>
      <c r="P375" s="15">
        <f>"#"&amp;SUBSTITUTE('안내'!$C$5," ","")&amp;" #성경구절 #말씀 #마태복음 #마음"</f>
        <v/>
      </c>
      <c r="Q375" s="15" t="inlineStr">
        <is>
          <t>성경 본문: 개역한글판</t>
        </is>
      </c>
      <c r="R375" s="17">
        <f>'안내'!$C$6+INT((D375-1)/'안내'!$C$7)</f>
        <v/>
      </c>
      <c r="S375" s="14">
        <f>IF(MOD(D375-1,'안내'!$C$7)=0,'안내'!$C$9,'안내'!$C$11)</f>
        <v/>
      </c>
      <c r="T375" s="14">
        <f>CHOOSE(WEEKDAY(R375,2),"월","화","수","목","금","토","일")</f>
        <v/>
      </c>
      <c r="U375" s="14" t="inlineStr">
        <is>
          <t>미착수</t>
        </is>
      </c>
      <c r="V375" s="14" t="inlineStr">
        <is>
          <t>미착수</t>
        </is>
      </c>
      <c r="W375" s="18" t="n"/>
      <c r="X375" s="18" t="n"/>
      <c r="Y375" s="15" t="n"/>
      <c r="Z375" s="15" t="inlineStr"/>
      <c r="AA375" s="15" t="inlineStr">
        <is>
          <t>Blessed are the pure in heart, for they shall see God.</t>
        </is>
      </c>
    </row>
    <row r="376">
      <c r="A376" s="14" t="n">
        <v>375</v>
      </c>
      <c r="B376" s="14" t="inlineStr">
        <is>
          <t>W0375</t>
        </is>
      </c>
      <c r="C376" s="14" t="inlineStr">
        <is>
          <t>신약</t>
        </is>
      </c>
      <c r="D376" s="14" t="n">
        <v>11</v>
      </c>
      <c r="E376" s="14">
        <f>C376&amp;"말씀 #"&amp;TEXT(D376,"000")</f>
        <v/>
      </c>
      <c r="F376" s="14" t="inlineStr">
        <is>
          <t>마태복음</t>
        </is>
      </c>
      <c r="G376" s="14" t="inlineStr">
        <is>
          <t>5:9</t>
        </is>
      </c>
      <c r="H376" s="15" t="inlineStr">
        <is>
          <t>(마 5:9, 개역한글)</t>
        </is>
      </c>
      <c r="I376" s="14" t="inlineStr">
        <is>
          <t>평안</t>
        </is>
      </c>
      <c r="J376" s="14" t="inlineStr">
        <is>
          <t>잔잔한 물</t>
        </is>
      </c>
      <c r="K376" s="16" t="inlineStr">
        <is>
          <t>화평케 하는 자는 복이 있나니 저희가 하나님의 아들이라 일컬음을 받을 것임이요</t>
        </is>
      </c>
      <c r="L376" s="14" t="inlineStr">
        <is>
          <t>자동 입력</t>
        </is>
      </c>
      <c r="M376" s="14">
        <f>LEN(K376)</f>
        <v/>
      </c>
      <c r="N376" s="14">
        <f>IF(M376=0,"-",ROUND(3+M376/'안내'!$C$12,0))</f>
        <v/>
      </c>
      <c r="O376" s="15">
        <f>IF(K376="","(본문 입력 후 자동) | 마 5:9",IF(LEN(K376)&gt;28,LEFT(K376,28)&amp;"…",K376)&amp;" | 마 5:9")</f>
        <v/>
      </c>
      <c r="P376" s="15">
        <f>"#"&amp;SUBSTITUTE('안내'!$C$5," ","")&amp;" #성경구절 #말씀 #마태복음 #평안"</f>
        <v/>
      </c>
      <c r="Q376" s="15" t="inlineStr">
        <is>
          <t>성경 본문: 개역한글판</t>
        </is>
      </c>
      <c r="R376" s="17">
        <f>'안내'!$C$6+INT((D376-1)/'안내'!$C$7)</f>
        <v/>
      </c>
      <c r="S376" s="14">
        <f>IF(MOD(D376-1,'안내'!$C$7)=0,'안내'!$C$9,'안내'!$C$11)</f>
        <v/>
      </c>
      <c r="T376" s="14">
        <f>CHOOSE(WEEKDAY(R376,2),"월","화","수","목","금","토","일")</f>
        <v/>
      </c>
      <c r="U376" s="14" t="inlineStr">
        <is>
          <t>미착수</t>
        </is>
      </c>
      <c r="V376" s="14" t="inlineStr">
        <is>
          <t>미착수</t>
        </is>
      </c>
      <c r="W376" s="18" t="n"/>
      <c r="X376" s="18" t="n"/>
      <c r="Y376" s="15" t="n"/>
      <c r="Z376" s="15" t="inlineStr"/>
      <c r="AA376" s="15" t="inlineStr">
        <is>
          <t>Blessed are the peacemakers, for they shall be called children of God.</t>
        </is>
      </c>
    </row>
    <row r="377">
      <c r="A377" s="14" t="n">
        <v>376</v>
      </c>
      <c r="B377" s="14" t="inlineStr">
        <is>
          <t>W0376</t>
        </is>
      </c>
      <c r="C377" s="14" t="inlineStr">
        <is>
          <t>신약</t>
        </is>
      </c>
      <c r="D377" s="14" t="n">
        <v>12</v>
      </c>
      <c r="E377" s="14">
        <f>C377&amp;"말씀 #"&amp;TEXT(D377,"000")</f>
        <v/>
      </c>
      <c r="F377" s="14" t="inlineStr">
        <is>
          <t>마태복음</t>
        </is>
      </c>
      <c r="G377" s="14" t="inlineStr">
        <is>
          <t>5:14</t>
        </is>
      </c>
      <c r="H377" s="15" t="inlineStr">
        <is>
          <t>(마 5:14, 개역한글)</t>
        </is>
      </c>
      <c r="I377" s="14" t="inlineStr">
        <is>
          <t>빛</t>
        </is>
      </c>
      <c r="J377" s="14" t="inlineStr">
        <is>
          <t>새벽빛</t>
        </is>
      </c>
      <c r="K377" s="16" t="inlineStr">
        <is>
          <t>너희는 세상의 빛이라 산 위에 있는 동네가 숨기우지 못할 것이요</t>
        </is>
      </c>
      <c r="L377" s="14" t="inlineStr">
        <is>
          <t>자동 입력</t>
        </is>
      </c>
      <c r="M377" s="14">
        <f>LEN(K377)</f>
        <v/>
      </c>
      <c r="N377" s="14">
        <f>IF(M377=0,"-",ROUND(3+M377/'안내'!$C$12,0))</f>
        <v/>
      </c>
      <c r="O377" s="15">
        <f>IF(K377="","(본문 입력 후 자동) | 마 5:14",IF(LEN(K377)&gt;28,LEFT(K377,28)&amp;"…",K377)&amp;" | 마 5:14")</f>
        <v/>
      </c>
      <c r="P377" s="15">
        <f>"#"&amp;SUBSTITUTE('안내'!$C$5," ","")&amp;" #성경구절 #말씀 #마태복음 #빛"</f>
        <v/>
      </c>
      <c r="Q377" s="15" t="inlineStr">
        <is>
          <t>성경 본문: 개역한글판</t>
        </is>
      </c>
      <c r="R377" s="17">
        <f>'안내'!$C$6+INT((D377-1)/'안내'!$C$7)</f>
        <v/>
      </c>
      <c r="S377" s="14">
        <f>IF(MOD(D377-1,'안내'!$C$7)=0,'안내'!$C$9,'안내'!$C$11)</f>
        <v/>
      </c>
      <c r="T377" s="14">
        <f>CHOOSE(WEEKDAY(R377,2),"월","화","수","목","금","토","일")</f>
        <v/>
      </c>
      <c r="U377" s="14" t="inlineStr">
        <is>
          <t>미착수</t>
        </is>
      </c>
      <c r="V377" s="14" t="inlineStr">
        <is>
          <t>미착수</t>
        </is>
      </c>
      <c r="W377" s="18" t="n"/>
      <c r="X377" s="18" t="n"/>
      <c r="Y377" s="15" t="n"/>
      <c r="Z377" s="15" t="inlineStr"/>
      <c r="AA377" s="15" t="inlineStr">
        <is>
          <t>You are the light of the world. A city located on a hill can’t be hidden.</t>
        </is>
      </c>
    </row>
    <row r="378">
      <c r="A378" s="14" t="n">
        <v>377</v>
      </c>
      <c r="B378" s="14" t="inlineStr">
        <is>
          <t>W0377</t>
        </is>
      </c>
      <c r="C378" s="14" t="inlineStr">
        <is>
          <t>신약</t>
        </is>
      </c>
      <c r="D378" s="14" t="n">
        <v>13</v>
      </c>
      <c r="E378" s="14">
        <f>C378&amp;"말씀 #"&amp;TEXT(D378,"000")</f>
        <v/>
      </c>
      <c r="F378" s="14" t="inlineStr">
        <is>
          <t>마태복음</t>
        </is>
      </c>
      <c r="G378" s="14" t="inlineStr">
        <is>
          <t>5:16</t>
        </is>
      </c>
      <c r="H378" s="15" t="inlineStr">
        <is>
          <t>(마 5:16, 개역한글)</t>
        </is>
      </c>
      <c r="I378" s="14" t="inlineStr">
        <is>
          <t>빛</t>
        </is>
      </c>
      <c r="J378" s="14" t="inlineStr">
        <is>
          <t>새벽빛</t>
        </is>
      </c>
      <c r="K378" s="16" t="inlineStr">
        <is>
          <t>이같이 너희 빛을 사람 앞에 비취게 하여 저희로 너희 착한 행실을 보고 하늘에 계신 너희 아버지께 영광을 돌리게 하라</t>
        </is>
      </c>
      <c r="L378" s="14" t="inlineStr">
        <is>
          <t>자동 입력</t>
        </is>
      </c>
      <c r="M378" s="14">
        <f>LEN(K378)</f>
        <v/>
      </c>
      <c r="N378" s="14">
        <f>IF(M378=0,"-",ROUND(3+M378/'안내'!$C$12,0))</f>
        <v/>
      </c>
      <c r="O378" s="15">
        <f>IF(K378="","(본문 입력 후 자동) | 마 5:16",IF(LEN(K378)&gt;28,LEFT(K378,28)&amp;"…",K378)&amp;" | 마 5:16")</f>
        <v/>
      </c>
      <c r="P378" s="15">
        <f>"#"&amp;SUBSTITUTE('안내'!$C$5," ","")&amp;" #성경구절 #말씀 #마태복음 #빛"</f>
        <v/>
      </c>
      <c r="Q378" s="15" t="inlineStr">
        <is>
          <t>성경 본문: 개역한글판</t>
        </is>
      </c>
      <c r="R378" s="17">
        <f>'안내'!$C$6+INT((D378-1)/'안내'!$C$7)</f>
        <v/>
      </c>
      <c r="S378" s="14">
        <f>IF(MOD(D378-1,'안내'!$C$7)=0,'안내'!$C$9,'안내'!$C$11)</f>
        <v/>
      </c>
      <c r="T378" s="14">
        <f>CHOOSE(WEEKDAY(R378,2),"월","화","수","목","금","토","일")</f>
        <v/>
      </c>
      <c r="U378" s="14" t="inlineStr">
        <is>
          <t>미착수</t>
        </is>
      </c>
      <c r="V378" s="14" t="inlineStr">
        <is>
          <t>미착수</t>
        </is>
      </c>
      <c r="W378" s="18" t="n"/>
      <c r="X378" s="18" t="n"/>
      <c r="Y378" s="15" t="n"/>
      <c r="Z378" s="15" t="inlineStr"/>
      <c r="AA378" s="15" t="inlineStr">
        <is>
          <t>Even so, let your light shine before men, that they may see your good works and glorify your Father who is in heaven.</t>
        </is>
      </c>
    </row>
    <row r="379">
      <c r="A379" s="14" t="n">
        <v>378</v>
      </c>
      <c r="B379" s="14" t="inlineStr">
        <is>
          <t>W0378</t>
        </is>
      </c>
      <c r="C379" s="14" t="inlineStr">
        <is>
          <t>신약</t>
        </is>
      </c>
      <c r="D379" s="14" t="n">
        <v>14</v>
      </c>
      <c r="E379" s="14">
        <f>C379&amp;"말씀 #"&amp;TEXT(D379,"000")</f>
        <v/>
      </c>
      <c r="F379" s="14" t="inlineStr">
        <is>
          <t>마태복음</t>
        </is>
      </c>
      <c r="G379" s="14" t="inlineStr">
        <is>
          <t>5:44</t>
        </is>
      </c>
      <c r="H379" s="15" t="inlineStr">
        <is>
          <t>(마 5:44, 개역한글)</t>
        </is>
      </c>
      <c r="I379" s="14" t="inlineStr">
        <is>
          <t>사랑</t>
        </is>
      </c>
      <c r="J379" s="14" t="inlineStr">
        <is>
          <t>창가·식탁</t>
        </is>
      </c>
      <c r="K379" s="16" t="inlineStr">
        <is>
          <t>나는 너희에게 이르노니 너희 원수를 사랑하며 너희를 핍박하는 자를 위하여 기도하라</t>
        </is>
      </c>
      <c r="L379" s="14" t="inlineStr">
        <is>
          <t>자동 입력</t>
        </is>
      </c>
      <c r="M379" s="14">
        <f>LEN(K379)</f>
        <v/>
      </c>
      <c r="N379" s="14">
        <f>IF(M379=0,"-",ROUND(3+M379/'안내'!$C$12,0))</f>
        <v/>
      </c>
      <c r="O379" s="15">
        <f>IF(K379="","(본문 입력 후 자동) | 마 5:44",IF(LEN(K379)&gt;28,LEFT(K379,28)&amp;"…",K379)&amp;" | 마 5:44")</f>
        <v/>
      </c>
      <c r="P379" s="15">
        <f>"#"&amp;SUBSTITUTE('안내'!$C$5," ","")&amp;" #성경구절 #말씀 #마태복음 #사랑"</f>
        <v/>
      </c>
      <c r="Q379" s="15" t="inlineStr">
        <is>
          <t>성경 본문: 개역한글판</t>
        </is>
      </c>
      <c r="R379" s="17">
        <f>'안내'!$C$6+INT((D379-1)/'안내'!$C$7)</f>
        <v/>
      </c>
      <c r="S379" s="14">
        <f>IF(MOD(D379-1,'안내'!$C$7)=0,'안내'!$C$9,'안내'!$C$11)</f>
        <v/>
      </c>
      <c r="T379" s="14">
        <f>CHOOSE(WEEKDAY(R379,2),"월","화","수","목","금","토","일")</f>
        <v/>
      </c>
      <c r="U379" s="14" t="inlineStr">
        <is>
          <t>미착수</t>
        </is>
      </c>
      <c r="V379" s="14" t="inlineStr">
        <is>
          <t>미착수</t>
        </is>
      </c>
      <c r="W379" s="18" t="n"/>
      <c r="X379" s="18" t="n"/>
      <c r="Y379" s="15" t="n"/>
      <c r="Z379" s="15" t="inlineStr"/>
      <c r="AA379" s="15" t="inlineStr">
        <is>
          <t>But I tell you, love your enemies, bless those who curse you, do good to those who hate you, and pray for those who mistreat you and persecute you,</t>
        </is>
      </c>
    </row>
    <row r="380">
      <c r="A380" s="14" t="n">
        <v>379</v>
      </c>
      <c r="B380" s="14" t="inlineStr">
        <is>
          <t>W0379</t>
        </is>
      </c>
      <c r="C380" s="14" t="inlineStr">
        <is>
          <t>신약</t>
        </is>
      </c>
      <c r="D380" s="14" t="n">
        <v>15</v>
      </c>
      <c r="E380" s="14">
        <f>C380&amp;"말씀 #"&amp;TEXT(D380,"000")</f>
        <v/>
      </c>
      <c r="F380" s="14" t="inlineStr">
        <is>
          <t>마태복음</t>
        </is>
      </c>
      <c r="G380" s="14" t="inlineStr">
        <is>
          <t>6:21</t>
        </is>
      </c>
      <c r="H380" s="15" t="inlineStr">
        <is>
          <t>(마 6:21, 개역한글)</t>
        </is>
      </c>
      <c r="I380" s="14" t="inlineStr">
        <is>
          <t>마음</t>
        </is>
      </c>
      <c r="J380" s="14" t="inlineStr">
        <is>
          <t>창가·식탁</t>
        </is>
      </c>
      <c r="K380" s="16" t="inlineStr">
        <is>
          <t>네 보물 있는 그 곳에는 네 마음도 있느니라</t>
        </is>
      </c>
      <c r="L380" s="14" t="inlineStr">
        <is>
          <t>자동 입력</t>
        </is>
      </c>
      <c r="M380" s="14">
        <f>LEN(K380)</f>
        <v/>
      </c>
      <c r="N380" s="14">
        <f>IF(M380=0,"-",ROUND(3+M380/'안내'!$C$12,0))</f>
        <v/>
      </c>
      <c r="O380" s="15">
        <f>IF(K380="","(본문 입력 후 자동) | 마 6:21",IF(LEN(K380)&gt;28,LEFT(K380,28)&amp;"…",K380)&amp;" | 마 6:21")</f>
        <v/>
      </c>
      <c r="P380" s="15">
        <f>"#"&amp;SUBSTITUTE('안내'!$C$5," ","")&amp;" #성경구절 #말씀 #마태복음 #마음"</f>
        <v/>
      </c>
      <c r="Q380" s="15" t="inlineStr">
        <is>
          <t>성경 본문: 개역한글판</t>
        </is>
      </c>
      <c r="R380" s="17">
        <f>'안내'!$C$6+INT((D380-1)/'안내'!$C$7)</f>
        <v/>
      </c>
      <c r="S380" s="14">
        <f>IF(MOD(D380-1,'안내'!$C$7)=0,'안내'!$C$9,'안내'!$C$11)</f>
        <v/>
      </c>
      <c r="T380" s="14">
        <f>CHOOSE(WEEKDAY(R380,2),"월","화","수","목","금","토","일")</f>
        <v/>
      </c>
      <c r="U380" s="14" t="inlineStr">
        <is>
          <t>미착수</t>
        </is>
      </c>
      <c r="V380" s="14" t="inlineStr">
        <is>
          <t>미착수</t>
        </is>
      </c>
      <c r="W380" s="18" t="n"/>
      <c r="X380" s="18" t="n"/>
      <c r="Y380" s="15" t="n"/>
      <c r="Z380" s="15" t="inlineStr"/>
      <c r="AA380" s="15" t="inlineStr">
        <is>
          <t>for where your treasure is, there your heart will be also.</t>
        </is>
      </c>
    </row>
    <row r="381">
      <c r="A381" s="14" t="n">
        <v>380</v>
      </c>
      <c r="B381" s="14" t="inlineStr">
        <is>
          <t>W0380</t>
        </is>
      </c>
      <c r="C381" s="14" t="inlineStr">
        <is>
          <t>신약</t>
        </is>
      </c>
      <c r="D381" s="14" t="n">
        <v>16</v>
      </c>
      <c r="E381" s="14">
        <f>C381&amp;"말씀 #"&amp;TEXT(D381,"000")</f>
        <v/>
      </c>
      <c r="F381" s="14" t="inlineStr">
        <is>
          <t>마태복음</t>
        </is>
      </c>
      <c r="G381" s="14" t="inlineStr">
        <is>
          <t>6:26</t>
        </is>
      </c>
      <c r="H381" s="15" t="inlineStr">
        <is>
          <t>(마 6:26, 개역한글)</t>
        </is>
      </c>
      <c r="I381" s="14" t="inlineStr">
        <is>
          <t>공급하심</t>
        </is>
      </c>
      <c r="J381" s="14" t="inlineStr">
        <is>
          <t>들판·나무</t>
        </is>
      </c>
      <c r="K381" s="16" t="inlineStr">
        <is>
          <t>공중의 새를 보라 심지도 않고 거두지도 않고 창고에 모아 들이지도 아니하되 너희 천부께서 기르시나니 너희는 이것들보다 귀하지 아니하냐</t>
        </is>
      </c>
      <c r="L381" s="14" t="inlineStr">
        <is>
          <t>자동 입력</t>
        </is>
      </c>
      <c r="M381" s="14">
        <f>LEN(K381)</f>
        <v/>
      </c>
      <c r="N381" s="14">
        <f>IF(M381=0,"-",ROUND(3+M381/'안내'!$C$12,0))</f>
        <v/>
      </c>
      <c r="O381" s="15">
        <f>IF(K381="","(본문 입력 후 자동) | 마 6:26",IF(LEN(K381)&gt;28,LEFT(K381,28)&amp;"…",K381)&amp;" | 마 6:26")</f>
        <v/>
      </c>
      <c r="P381" s="15">
        <f>"#"&amp;SUBSTITUTE('안내'!$C$5," ","")&amp;" #성경구절 #말씀 #마태복음 #공급하심"</f>
        <v/>
      </c>
      <c r="Q381" s="15" t="inlineStr">
        <is>
          <t>성경 본문: 개역한글판</t>
        </is>
      </c>
      <c r="R381" s="17">
        <f>'안내'!$C$6+INT((D381-1)/'안내'!$C$7)</f>
        <v/>
      </c>
      <c r="S381" s="14">
        <f>IF(MOD(D381-1,'안내'!$C$7)=0,'안내'!$C$9,'안내'!$C$11)</f>
        <v/>
      </c>
      <c r="T381" s="14">
        <f>CHOOSE(WEEKDAY(R381,2),"월","화","수","목","금","토","일")</f>
        <v/>
      </c>
      <c r="U381" s="14" t="inlineStr">
        <is>
          <t>미착수</t>
        </is>
      </c>
      <c r="V381" s="14" t="inlineStr">
        <is>
          <t>미착수</t>
        </is>
      </c>
      <c r="W381" s="18" t="n"/>
      <c r="X381" s="18" t="n"/>
      <c r="Y381" s="15" t="n"/>
      <c r="Z381" s="15" t="inlineStr"/>
      <c r="AA381" s="15" t="inlineStr">
        <is>
          <t>See the birds of the sky, that they don’t sow, neither do they reap, nor gather into barns. Your heavenly Father feeds them. Aren’t you of much more value than they?</t>
        </is>
      </c>
    </row>
    <row r="382">
      <c r="A382" s="14" t="n">
        <v>381</v>
      </c>
      <c r="B382" s="14" t="inlineStr">
        <is>
          <t>W0381</t>
        </is>
      </c>
      <c r="C382" s="14" t="inlineStr">
        <is>
          <t>신약</t>
        </is>
      </c>
      <c r="D382" s="14" t="n">
        <v>17</v>
      </c>
      <c r="E382" s="14">
        <f>C382&amp;"말씀 #"&amp;TEXT(D382,"000")</f>
        <v/>
      </c>
      <c r="F382" s="14" t="inlineStr">
        <is>
          <t>마태복음</t>
        </is>
      </c>
      <c r="G382" s="14" t="inlineStr">
        <is>
          <t>6:33</t>
        </is>
      </c>
      <c r="H382" s="15" t="inlineStr">
        <is>
          <t>(마 6:33, 개역한글)</t>
        </is>
      </c>
      <c r="I382" s="14" t="inlineStr">
        <is>
          <t>하나님 나라</t>
        </is>
      </c>
      <c r="J382" s="14" t="inlineStr">
        <is>
          <t>새벽빛</t>
        </is>
      </c>
      <c r="K382" s="16" t="inlineStr">
        <is>
          <t>너희는 먼저 그의 나라와 그의 의를 구하라 그리하면 이 모든 것을 너희에게 더하시리라</t>
        </is>
      </c>
      <c r="L382" s="14" t="inlineStr">
        <is>
          <t>자동 입력</t>
        </is>
      </c>
      <c r="M382" s="14">
        <f>LEN(K382)</f>
        <v/>
      </c>
      <c r="N382" s="14">
        <f>IF(M382=0,"-",ROUND(3+M382/'안내'!$C$12,0))</f>
        <v/>
      </c>
      <c r="O382" s="15">
        <f>IF(K382="","(본문 입력 후 자동) | 마 6:33",IF(LEN(K382)&gt;28,LEFT(K382,28)&amp;"…",K382)&amp;" | 마 6:33")</f>
        <v/>
      </c>
      <c r="P382" s="15">
        <f>"#"&amp;SUBSTITUTE('안내'!$C$5," ","")&amp;" #성경구절 #말씀 #마태복음 #하나님나라"</f>
        <v/>
      </c>
      <c r="Q382" s="15" t="inlineStr">
        <is>
          <t>성경 본문: 개역한글판</t>
        </is>
      </c>
      <c r="R382" s="17">
        <f>'안내'!$C$6+INT((D382-1)/'안내'!$C$7)</f>
        <v/>
      </c>
      <c r="S382" s="14">
        <f>IF(MOD(D382-1,'안내'!$C$7)=0,'안내'!$C$9,'안내'!$C$11)</f>
        <v/>
      </c>
      <c r="T382" s="14">
        <f>CHOOSE(WEEKDAY(R382,2),"월","화","수","목","금","토","일")</f>
        <v/>
      </c>
      <c r="U382" s="14" t="inlineStr">
        <is>
          <t>미착수</t>
        </is>
      </c>
      <c r="V382" s="14" t="inlineStr">
        <is>
          <t>미착수</t>
        </is>
      </c>
      <c r="W382" s="18" t="n"/>
      <c r="X382" s="18" t="n"/>
      <c r="Y382" s="15" t="n"/>
      <c r="Z382" s="15" t="inlineStr"/>
      <c r="AA382" s="15" t="inlineStr">
        <is>
          <t>But seek first God’s Kingdom and his righteousness; and all these things will be given to you as well.</t>
        </is>
      </c>
    </row>
    <row r="383">
      <c r="A383" s="14" t="n">
        <v>382</v>
      </c>
      <c r="B383" s="14" t="inlineStr">
        <is>
          <t>W0382</t>
        </is>
      </c>
      <c r="C383" s="14" t="inlineStr">
        <is>
          <t>신약</t>
        </is>
      </c>
      <c r="D383" s="14" t="n">
        <v>18</v>
      </c>
      <c r="E383" s="14">
        <f>C383&amp;"말씀 #"&amp;TEXT(D383,"000")</f>
        <v/>
      </c>
      <c r="F383" s="14" t="inlineStr">
        <is>
          <t>마태복음</t>
        </is>
      </c>
      <c r="G383" s="14" t="inlineStr">
        <is>
          <t>6:34</t>
        </is>
      </c>
      <c r="H383" s="15" t="inlineStr">
        <is>
          <t>(마 6:34, 개역한글)</t>
        </is>
      </c>
      <c r="I383" s="14" t="inlineStr">
        <is>
          <t>평안</t>
        </is>
      </c>
      <c r="J383" s="14" t="inlineStr">
        <is>
          <t>잔잔한 물</t>
        </is>
      </c>
      <c r="K383" s="16" t="inlineStr">
        <is>
          <t>그러므로 내일 일을 위하여 염려하지 말라 내일 일은 내일 염려할 것이요 한 날 괴로움은 그 날에 족하니라</t>
        </is>
      </c>
      <c r="L383" s="14" t="inlineStr">
        <is>
          <t>자동 입력</t>
        </is>
      </c>
      <c r="M383" s="14">
        <f>LEN(K383)</f>
        <v/>
      </c>
      <c r="N383" s="14">
        <f>IF(M383=0,"-",ROUND(3+M383/'안내'!$C$12,0))</f>
        <v/>
      </c>
      <c r="O383" s="15">
        <f>IF(K383="","(본문 입력 후 자동) | 마 6:34",IF(LEN(K383)&gt;28,LEFT(K383,28)&amp;"…",K383)&amp;" | 마 6:34")</f>
        <v/>
      </c>
      <c r="P383" s="15">
        <f>"#"&amp;SUBSTITUTE('안내'!$C$5," ","")&amp;" #성경구절 #말씀 #마태복음 #평안"</f>
        <v/>
      </c>
      <c r="Q383" s="15" t="inlineStr">
        <is>
          <t>성경 본문: 개역한글판</t>
        </is>
      </c>
      <c r="R383" s="17">
        <f>'안내'!$C$6+INT((D383-1)/'안내'!$C$7)</f>
        <v/>
      </c>
      <c r="S383" s="14">
        <f>IF(MOD(D383-1,'안내'!$C$7)=0,'안내'!$C$9,'안내'!$C$11)</f>
        <v/>
      </c>
      <c r="T383" s="14">
        <f>CHOOSE(WEEKDAY(R383,2),"월","화","수","목","금","토","일")</f>
        <v/>
      </c>
      <c r="U383" s="14" t="inlineStr">
        <is>
          <t>미착수</t>
        </is>
      </c>
      <c r="V383" s="14" t="inlineStr">
        <is>
          <t>미착수</t>
        </is>
      </c>
      <c r="W383" s="18" t="n"/>
      <c r="X383" s="18" t="n"/>
      <c r="Y383" s="15" t="n"/>
      <c r="Z383" s="15" t="inlineStr"/>
      <c r="AA383" s="15" t="inlineStr">
        <is>
          <t>Therefore don’t be anxious for tomorrow, for tomorrow will be anxious for itself. Each day’s own evil is sufficient.</t>
        </is>
      </c>
    </row>
    <row r="384">
      <c r="A384" s="14" t="n">
        <v>383</v>
      </c>
      <c r="B384" s="14" t="inlineStr">
        <is>
          <t>W0383</t>
        </is>
      </c>
      <c r="C384" s="14" t="inlineStr">
        <is>
          <t>신약</t>
        </is>
      </c>
      <c r="D384" s="14" t="n">
        <v>19</v>
      </c>
      <c r="E384" s="14">
        <f>C384&amp;"말씀 #"&amp;TEXT(D384,"000")</f>
        <v/>
      </c>
      <c r="F384" s="14" t="inlineStr">
        <is>
          <t>마태복음</t>
        </is>
      </c>
      <c r="G384" s="14" t="inlineStr">
        <is>
          <t>7:7</t>
        </is>
      </c>
      <c r="H384" s="15" t="inlineStr">
        <is>
          <t>(마 7:7, 개역한글)</t>
        </is>
      </c>
      <c r="I384" s="14" t="inlineStr">
        <is>
          <t>기도</t>
        </is>
      </c>
      <c r="J384" s="14" t="inlineStr">
        <is>
          <t>제단·십자가</t>
        </is>
      </c>
      <c r="K384" s="16" t="inlineStr">
        <is>
          <t>구하라 그러면 너희에게 주실 것이요 찾으라 그러면 찾을 것이요 문을 두드리라 그러면 너희에게 열릴 것이니</t>
        </is>
      </c>
      <c r="L384" s="14" t="inlineStr">
        <is>
          <t>자동 입력</t>
        </is>
      </c>
      <c r="M384" s="14">
        <f>LEN(K384)</f>
        <v/>
      </c>
      <c r="N384" s="14">
        <f>IF(M384=0,"-",ROUND(3+M384/'안내'!$C$12,0))</f>
        <v/>
      </c>
      <c r="O384" s="15">
        <f>IF(K384="","(본문 입력 후 자동) | 마 7:7",IF(LEN(K384)&gt;28,LEFT(K384,28)&amp;"…",K384)&amp;" | 마 7:7")</f>
        <v/>
      </c>
      <c r="P384" s="15">
        <f>"#"&amp;SUBSTITUTE('안내'!$C$5," ","")&amp;" #성경구절 #말씀 #마태복음 #기도"</f>
        <v/>
      </c>
      <c r="Q384" s="15" t="inlineStr">
        <is>
          <t>성경 본문: 개역한글판</t>
        </is>
      </c>
      <c r="R384" s="17">
        <f>'안내'!$C$6+INT((D384-1)/'안내'!$C$7)</f>
        <v/>
      </c>
      <c r="S384" s="14">
        <f>IF(MOD(D384-1,'안내'!$C$7)=0,'안내'!$C$9,'안내'!$C$11)</f>
        <v/>
      </c>
      <c r="T384" s="14">
        <f>CHOOSE(WEEKDAY(R384,2),"월","화","수","목","금","토","일")</f>
        <v/>
      </c>
      <c r="U384" s="14" t="inlineStr">
        <is>
          <t>미착수</t>
        </is>
      </c>
      <c r="V384" s="14" t="inlineStr">
        <is>
          <t>미착수</t>
        </is>
      </c>
      <c r="W384" s="18" t="n"/>
      <c r="X384" s="18" t="n"/>
      <c r="Y384" s="15" t="n"/>
      <c r="Z384" s="15" t="inlineStr"/>
      <c r="AA384" s="15" t="inlineStr">
        <is>
          <t>“Ask, and it will be given you. Seek, and you will find. Knock, and it will be opened for you.</t>
        </is>
      </c>
    </row>
    <row r="385">
      <c r="A385" s="14" t="n">
        <v>384</v>
      </c>
      <c r="B385" s="14" t="inlineStr">
        <is>
          <t>W0384</t>
        </is>
      </c>
      <c r="C385" s="14" t="inlineStr">
        <is>
          <t>신약</t>
        </is>
      </c>
      <c r="D385" s="14" t="n">
        <v>20</v>
      </c>
      <c r="E385" s="14">
        <f>C385&amp;"말씀 #"&amp;TEXT(D385,"000")</f>
        <v/>
      </c>
      <c r="F385" s="14" t="inlineStr">
        <is>
          <t>마태복음</t>
        </is>
      </c>
      <c r="G385" s="14" t="inlineStr">
        <is>
          <t>7:12</t>
        </is>
      </c>
      <c r="H385" s="15" t="inlineStr">
        <is>
          <t>(마 7:12, 개역한글)</t>
        </is>
      </c>
      <c r="I385" s="14" t="inlineStr">
        <is>
          <t>사랑</t>
        </is>
      </c>
      <c r="J385" s="14" t="inlineStr">
        <is>
          <t>창가·식탁</t>
        </is>
      </c>
      <c r="K385" s="16" t="inlineStr">
        <is>
          <t>그러므로 무엇이든지 남에게 대접을 받고자 하는 대로 너희도 남을 대접하라 이것이 율법이요 선지자니라</t>
        </is>
      </c>
      <c r="L385" s="14" t="inlineStr">
        <is>
          <t>자동 입력</t>
        </is>
      </c>
      <c r="M385" s="14">
        <f>LEN(K385)</f>
        <v/>
      </c>
      <c r="N385" s="14">
        <f>IF(M385=0,"-",ROUND(3+M385/'안내'!$C$12,0))</f>
        <v/>
      </c>
      <c r="O385" s="15">
        <f>IF(K385="","(본문 입력 후 자동) | 마 7:12",IF(LEN(K385)&gt;28,LEFT(K385,28)&amp;"…",K385)&amp;" | 마 7:12")</f>
        <v/>
      </c>
      <c r="P385" s="15">
        <f>"#"&amp;SUBSTITUTE('안내'!$C$5," ","")&amp;" #성경구절 #말씀 #마태복음 #사랑"</f>
        <v/>
      </c>
      <c r="Q385" s="15" t="inlineStr">
        <is>
          <t>성경 본문: 개역한글판</t>
        </is>
      </c>
      <c r="R385" s="17">
        <f>'안내'!$C$6+INT((D385-1)/'안내'!$C$7)</f>
        <v/>
      </c>
      <c r="S385" s="14">
        <f>IF(MOD(D385-1,'안내'!$C$7)=0,'안내'!$C$9,'안내'!$C$11)</f>
        <v/>
      </c>
      <c r="T385" s="14">
        <f>CHOOSE(WEEKDAY(R385,2),"월","화","수","목","금","토","일")</f>
        <v/>
      </c>
      <c r="U385" s="14" t="inlineStr">
        <is>
          <t>미착수</t>
        </is>
      </c>
      <c r="V385" s="14" t="inlineStr">
        <is>
          <t>미착수</t>
        </is>
      </c>
      <c r="W385" s="18" t="n"/>
      <c r="X385" s="18" t="n"/>
      <c r="Y385" s="15" t="n"/>
      <c r="Z385" s="15" t="inlineStr"/>
      <c r="AA385" s="15" t="inlineStr">
        <is>
          <t>Therefore, whatever you desire for men to do to you, you shall also do to them; for this is the law and the prophets.</t>
        </is>
      </c>
    </row>
    <row r="386">
      <c r="A386" s="14" t="n">
        <v>385</v>
      </c>
      <c r="B386" s="14" t="inlineStr">
        <is>
          <t>W0385</t>
        </is>
      </c>
      <c r="C386" s="14" t="inlineStr">
        <is>
          <t>신약</t>
        </is>
      </c>
      <c r="D386" s="14" t="n">
        <v>21</v>
      </c>
      <c r="E386" s="14">
        <f>C386&amp;"말씀 #"&amp;TEXT(D386,"000")</f>
        <v/>
      </c>
      <c r="F386" s="14" t="inlineStr">
        <is>
          <t>마태복음</t>
        </is>
      </c>
      <c r="G386" s="14" t="inlineStr">
        <is>
          <t>7:24</t>
        </is>
      </c>
      <c r="H386" s="15" t="inlineStr">
        <is>
          <t>(마 7:24, 개역한글)</t>
        </is>
      </c>
      <c r="I386" s="14" t="inlineStr">
        <is>
          <t>말씀</t>
        </is>
      </c>
      <c r="J386" s="14" t="inlineStr">
        <is>
          <t>들판·나무</t>
        </is>
      </c>
      <c r="K386" s="16" t="inlineStr">
        <is>
          <t>그러므로 누구든지 나의 이 말을 듣고 행하는 자는 그 집을 반석 위에 지은 지혜로운 사람 같으리니</t>
        </is>
      </c>
      <c r="L386" s="14" t="inlineStr">
        <is>
          <t>자동 입력</t>
        </is>
      </c>
      <c r="M386" s="14">
        <f>LEN(K386)</f>
        <v/>
      </c>
      <c r="N386" s="14">
        <f>IF(M386=0,"-",ROUND(3+M386/'안내'!$C$12,0))</f>
        <v/>
      </c>
      <c r="O386" s="15">
        <f>IF(K386="","(본문 입력 후 자동) | 마 7:24",IF(LEN(K386)&gt;28,LEFT(K386,28)&amp;"…",K386)&amp;" | 마 7:24")</f>
        <v/>
      </c>
      <c r="P386" s="15">
        <f>"#"&amp;SUBSTITUTE('안내'!$C$5," ","")&amp;" #성경구절 #말씀 #마태복음 #말씀"</f>
        <v/>
      </c>
      <c r="Q386" s="15" t="inlineStr">
        <is>
          <t>성경 본문: 개역한글판</t>
        </is>
      </c>
      <c r="R386" s="17">
        <f>'안내'!$C$6+INT((D386-1)/'안내'!$C$7)</f>
        <v/>
      </c>
      <c r="S386" s="14">
        <f>IF(MOD(D386-1,'안내'!$C$7)=0,'안내'!$C$9,'안내'!$C$11)</f>
        <v/>
      </c>
      <c r="T386" s="14">
        <f>CHOOSE(WEEKDAY(R386,2),"월","화","수","목","금","토","일")</f>
        <v/>
      </c>
      <c r="U386" s="14" t="inlineStr">
        <is>
          <t>미착수</t>
        </is>
      </c>
      <c r="V386" s="14" t="inlineStr">
        <is>
          <t>미착수</t>
        </is>
      </c>
      <c r="W386" s="18" t="n"/>
      <c r="X386" s="18" t="n"/>
      <c r="Y386" s="15" t="n"/>
      <c r="Z386" s="15" t="inlineStr"/>
      <c r="AA386" s="15" t="inlineStr">
        <is>
          <t>“Everyone therefore who hears these words of mine and does them, I will liken him to a wise man who built his house on a rock.</t>
        </is>
      </c>
    </row>
    <row r="387">
      <c r="A387" s="14" t="n">
        <v>386</v>
      </c>
      <c r="B387" s="14" t="inlineStr">
        <is>
          <t>W0386</t>
        </is>
      </c>
      <c r="C387" s="14" t="inlineStr">
        <is>
          <t>신약</t>
        </is>
      </c>
      <c r="D387" s="14" t="n">
        <v>22</v>
      </c>
      <c r="E387" s="14">
        <f>C387&amp;"말씀 #"&amp;TEXT(D387,"000")</f>
        <v/>
      </c>
      <c r="F387" s="14" t="inlineStr">
        <is>
          <t>마태복음</t>
        </is>
      </c>
      <c r="G387" s="14" t="inlineStr">
        <is>
          <t>10:31</t>
        </is>
      </c>
      <c r="H387" s="15" t="inlineStr">
        <is>
          <t>(마 10:31, 개역한글)</t>
        </is>
      </c>
      <c r="I387" s="14" t="inlineStr">
        <is>
          <t>위로</t>
        </is>
      </c>
      <c r="J387" s="14" t="inlineStr">
        <is>
          <t>잔잔한 물</t>
        </is>
      </c>
      <c r="K387" s="16" t="inlineStr">
        <is>
          <t>두려워하지 말라 너희는 많은 참새보다 귀하니라</t>
        </is>
      </c>
      <c r="L387" s="14" t="inlineStr">
        <is>
          <t>자동 입력</t>
        </is>
      </c>
      <c r="M387" s="14">
        <f>LEN(K387)</f>
        <v/>
      </c>
      <c r="N387" s="14">
        <f>IF(M387=0,"-",ROUND(3+M387/'안내'!$C$12,0))</f>
        <v/>
      </c>
      <c r="O387" s="15">
        <f>IF(K387="","(본문 입력 후 자동) | 마 10:31",IF(LEN(K387)&gt;28,LEFT(K387,28)&amp;"…",K387)&amp;" | 마 10:31")</f>
        <v/>
      </c>
      <c r="P387" s="15">
        <f>"#"&amp;SUBSTITUTE('안내'!$C$5," ","")&amp;" #성경구절 #말씀 #마태복음 #위로"</f>
        <v/>
      </c>
      <c r="Q387" s="15" t="inlineStr">
        <is>
          <t>성경 본문: 개역한글판</t>
        </is>
      </c>
      <c r="R387" s="17">
        <f>'안내'!$C$6+INT((D387-1)/'안내'!$C$7)</f>
        <v/>
      </c>
      <c r="S387" s="14">
        <f>IF(MOD(D387-1,'안내'!$C$7)=0,'안내'!$C$9,'안내'!$C$11)</f>
        <v/>
      </c>
      <c r="T387" s="14">
        <f>CHOOSE(WEEKDAY(R387,2),"월","화","수","목","금","토","일")</f>
        <v/>
      </c>
      <c r="U387" s="14" t="inlineStr">
        <is>
          <t>미착수</t>
        </is>
      </c>
      <c r="V387" s="14" t="inlineStr">
        <is>
          <t>미착수</t>
        </is>
      </c>
      <c r="W387" s="18" t="n"/>
      <c r="X387" s="18" t="n"/>
      <c r="Y387" s="15" t="n"/>
      <c r="Z387" s="15" t="inlineStr"/>
      <c r="AA387" s="15" t="inlineStr">
        <is>
          <t>Therefore don’t be afraid. You are of more value than many sparrows.</t>
        </is>
      </c>
    </row>
    <row r="388">
      <c r="A388" s="14" t="n">
        <v>387</v>
      </c>
      <c r="B388" s="14" t="inlineStr">
        <is>
          <t>W0387</t>
        </is>
      </c>
      <c r="C388" s="14" t="inlineStr">
        <is>
          <t>신약</t>
        </is>
      </c>
      <c r="D388" s="14" t="n">
        <v>23</v>
      </c>
      <c r="E388" s="14">
        <f>C388&amp;"말씀 #"&amp;TEXT(D388,"000")</f>
        <v/>
      </c>
      <c r="F388" s="14" t="inlineStr">
        <is>
          <t>마태복음</t>
        </is>
      </c>
      <c r="G388" s="14" t="inlineStr">
        <is>
          <t>11:28</t>
        </is>
      </c>
      <c r="H388" s="15" t="inlineStr">
        <is>
          <t>(마 11:28, 개역한글)</t>
        </is>
      </c>
      <c r="I388" s="14" t="inlineStr">
        <is>
          <t>평안</t>
        </is>
      </c>
      <c r="J388" s="14" t="inlineStr">
        <is>
          <t>잔잔한 물</t>
        </is>
      </c>
      <c r="K388" s="16" t="inlineStr">
        <is>
          <t>수고하고 무거운 짐진 자들아 다 내게로 오라 내가 너희를 쉬게 하리라</t>
        </is>
      </c>
      <c r="L388" s="14" t="inlineStr">
        <is>
          <t>자동 입력</t>
        </is>
      </c>
      <c r="M388" s="14">
        <f>LEN(K388)</f>
        <v/>
      </c>
      <c r="N388" s="14">
        <f>IF(M388=0,"-",ROUND(3+M388/'안내'!$C$12,0))</f>
        <v/>
      </c>
      <c r="O388" s="15">
        <f>IF(K388="","(본문 입력 후 자동) | 마 11:28",IF(LEN(K388)&gt;28,LEFT(K388,28)&amp;"…",K388)&amp;" | 마 11:28")</f>
        <v/>
      </c>
      <c r="P388" s="15">
        <f>"#"&amp;SUBSTITUTE('안내'!$C$5," ","")&amp;" #성경구절 #말씀 #마태복음 #평안"</f>
        <v/>
      </c>
      <c r="Q388" s="15" t="inlineStr">
        <is>
          <t>성경 본문: 개역한글판</t>
        </is>
      </c>
      <c r="R388" s="17">
        <f>'안내'!$C$6+INT((D388-1)/'안내'!$C$7)</f>
        <v/>
      </c>
      <c r="S388" s="14">
        <f>IF(MOD(D388-1,'안내'!$C$7)=0,'안내'!$C$9,'안내'!$C$11)</f>
        <v/>
      </c>
      <c r="T388" s="14">
        <f>CHOOSE(WEEKDAY(R388,2),"월","화","수","목","금","토","일")</f>
        <v/>
      </c>
      <c r="U388" s="14" t="inlineStr">
        <is>
          <t>미착수</t>
        </is>
      </c>
      <c r="V388" s="14" t="inlineStr">
        <is>
          <t>미착수</t>
        </is>
      </c>
      <c r="W388" s="18" t="n"/>
      <c r="X388" s="18" t="n"/>
      <c r="Y388" s="15" t="n"/>
      <c r="Z388" s="15" t="inlineStr"/>
      <c r="AA388" s="15" t="inlineStr">
        <is>
          <t>“Come to me, all you who labor and are heavily burdened, and I will give you rest.</t>
        </is>
      </c>
    </row>
    <row r="389">
      <c r="A389" s="14" t="n">
        <v>388</v>
      </c>
      <c r="B389" s="14" t="inlineStr">
        <is>
          <t>W0388</t>
        </is>
      </c>
      <c r="C389" s="14" t="inlineStr">
        <is>
          <t>신약</t>
        </is>
      </c>
      <c r="D389" s="14" t="n">
        <v>24</v>
      </c>
      <c r="E389" s="14">
        <f>C389&amp;"말씀 #"&amp;TEXT(D389,"000")</f>
        <v/>
      </c>
      <c r="F389" s="14" t="inlineStr">
        <is>
          <t>마태복음</t>
        </is>
      </c>
      <c r="G389" s="14" t="inlineStr">
        <is>
          <t>11:29</t>
        </is>
      </c>
      <c r="H389" s="15" t="inlineStr">
        <is>
          <t>(마 11:29, 개역한글)</t>
        </is>
      </c>
      <c r="I389" s="14" t="inlineStr">
        <is>
          <t>겸손</t>
        </is>
      </c>
      <c r="J389" s="14" t="inlineStr">
        <is>
          <t>창가·식탁</t>
        </is>
      </c>
      <c r="K389" s="16" t="inlineStr">
        <is>
          <t>나는 마음이 온유하고 겸손하니 나의 멍에를 메고 내게 배우라 그러면 너희 마음이 쉼을 얻으리니</t>
        </is>
      </c>
      <c r="L389" s="14" t="inlineStr">
        <is>
          <t>자동 입력</t>
        </is>
      </c>
      <c r="M389" s="14">
        <f>LEN(K389)</f>
        <v/>
      </c>
      <c r="N389" s="14">
        <f>IF(M389=0,"-",ROUND(3+M389/'안내'!$C$12,0))</f>
        <v/>
      </c>
      <c r="O389" s="15">
        <f>IF(K389="","(본문 입력 후 자동) | 마 11:29",IF(LEN(K389)&gt;28,LEFT(K389,28)&amp;"…",K389)&amp;" | 마 11:29")</f>
        <v/>
      </c>
      <c r="P389" s="15">
        <f>"#"&amp;SUBSTITUTE('안내'!$C$5," ","")&amp;" #성경구절 #말씀 #마태복음 #겸손"</f>
        <v/>
      </c>
      <c r="Q389" s="15" t="inlineStr">
        <is>
          <t>성경 본문: 개역한글판</t>
        </is>
      </c>
      <c r="R389" s="17">
        <f>'안내'!$C$6+INT((D389-1)/'안내'!$C$7)</f>
        <v/>
      </c>
      <c r="S389" s="14">
        <f>IF(MOD(D389-1,'안내'!$C$7)=0,'안내'!$C$9,'안내'!$C$11)</f>
        <v/>
      </c>
      <c r="T389" s="14">
        <f>CHOOSE(WEEKDAY(R389,2),"월","화","수","목","금","토","일")</f>
        <v/>
      </c>
      <c r="U389" s="14" t="inlineStr">
        <is>
          <t>미착수</t>
        </is>
      </c>
      <c r="V389" s="14" t="inlineStr">
        <is>
          <t>미착수</t>
        </is>
      </c>
      <c r="W389" s="18" t="n"/>
      <c r="X389" s="18" t="n"/>
      <c r="Y389" s="15" t="n"/>
      <c r="Z389" s="15" t="inlineStr"/>
      <c r="AA389" s="15" t="inlineStr">
        <is>
          <t>Take my yoke upon you and learn from me, for I am gentle and humble in heart; and you will find rest for your souls.</t>
        </is>
      </c>
    </row>
    <row r="390">
      <c r="A390" s="14" t="n">
        <v>389</v>
      </c>
      <c r="B390" s="14" t="inlineStr">
        <is>
          <t>W0389</t>
        </is>
      </c>
      <c r="C390" s="14" t="inlineStr">
        <is>
          <t>신약</t>
        </is>
      </c>
      <c r="D390" s="14" t="n">
        <v>25</v>
      </c>
      <c r="E390" s="14">
        <f>C390&amp;"말씀 #"&amp;TEXT(D390,"000")</f>
        <v/>
      </c>
      <c r="F390" s="14" t="inlineStr">
        <is>
          <t>마태복음</t>
        </is>
      </c>
      <c r="G390" s="14" t="inlineStr">
        <is>
          <t>16:16</t>
        </is>
      </c>
      <c r="H390" s="15" t="inlineStr">
        <is>
          <t>(마 16:16, 개역한글)</t>
        </is>
      </c>
      <c r="I390" s="14" t="inlineStr">
        <is>
          <t>믿음</t>
        </is>
      </c>
      <c r="J390" s="14" t="inlineStr">
        <is>
          <t>바위산·광야</t>
        </is>
      </c>
      <c r="K390" s="16" t="inlineStr">
        <is>
          <t>시몬 베드로가 대답하여 가로되 주는 그리스도시요 살아 계신 하나님의 아들이시니이다</t>
        </is>
      </c>
      <c r="L390" s="14" t="inlineStr">
        <is>
          <t>자동 입력</t>
        </is>
      </c>
      <c r="M390" s="14">
        <f>LEN(K390)</f>
        <v/>
      </c>
      <c r="N390" s="14">
        <f>IF(M390=0,"-",ROUND(3+M390/'안내'!$C$12,0))</f>
        <v/>
      </c>
      <c r="O390" s="15">
        <f>IF(K390="","(본문 입력 후 자동) | 마 16:16",IF(LEN(K390)&gt;28,LEFT(K390,28)&amp;"…",K390)&amp;" | 마 16:16")</f>
        <v/>
      </c>
      <c r="P390" s="15">
        <f>"#"&amp;SUBSTITUTE('안내'!$C$5," ","")&amp;" #성경구절 #말씀 #마태복음 #믿음"</f>
        <v/>
      </c>
      <c r="Q390" s="15" t="inlineStr">
        <is>
          <t>성경 본문: 개역한글판</t>
        </is>
      </c>
      <c r="R390" s="17">
        <f>'안내'!$C$6+INT((D390-1)/'안내'!$C$7)</f>
        <v/>
      </c>
      <c r="S390" s="14">
        <f>IF(MOD(D390-1,'안내'!$C$7)=0,'안내'!$C$9,'안내'!$C$11)</f>
        <v/>
      </c>
      <c r="T390" s="14">
        <f>CHOOSE(WEEKDAY(R390,2),"월","화","수","목","금","토","일")</f>
        <v/>
      </c>
      <c r="U390" s="14" t="inlineStr">
        <is>
          <t>미착수</t>
        </is>
      </c>
      <c r="V390" s="14" t="inlineStr">
        <is>
          <t>미착수</t>
        </is>
      </c>
      <c r="W390" s="18" t="n"/>
      <c r="X390" s="18" t="n"/>
      <c r="Y390" s="15" t="n"/>
      <c r="Z390" s="15" t="inlineStr"/>
      <c r="AA390" s="15" t="inlineStr">
        <is>
          <t>Simon Peter answered, “You are the Christ, the Son of the living God.”</t>
        </is>
      </c>
    </row>
    <row r="391">
      <c r="A391" s="14" t="n">
        <v>390</v>
      </c>
      <c r="B391" s="14" t="inlineStr">
        <is>
          <t>W0390</t>
        </is>
      </c>
      <c r="C391" s="14" t="inlineStr">
        <is>
          <t>신약</t>
        </is>
      </c>
      <c r="D391" s="14" t="n">
        <v>26</v>
      </c>
      <c r="E391" s="14">
        <f>C391&amp;"말씀 #"&amp;TEXT(D391,"000")</f>
        <v/>
      </c>
      <c r="F391" s="14" t="inlineStr">
        <is>
          <t>마태복음</t>
        </is>
      </c>
      <c r="G391" s="14" t="inlineStr">
        <is>
          <t>16:24</t>
        </is>
      </c>
      <c r="H391" s="15" t="inlineStr">
        <is>
          <t>(마 16:24, 개역한글)</t>
        </is>
      </c>
      <c r="I391" s="14" t="inlineStr">
        <is>
          <t>헌신</t>
        </is>
      </c>
      <c r="J391" s="14" t="inlineStr">
        <is>
          <t>길·등불</t>
        </is>
      </c>
      <c r="K391" s="16" t="inlineStr">
        <is>
          <t>이에 예수께서 제자들에게 이르시되 아무든지 나를 따라오려거든 자기를 부인하고 자기 십자가를 지고 나를 좇을 것이니라</t>
        </is>
      </c>
      <c r="L391" s="14" t="inlineStr">
        <is>
          <t>자동 입력</t>
        </is>
      </c>
      <c r="M391" s="14">
        <f>LEN(K391)</f>
        <v/>
      </c>
      <c r="N391" s="14">
        <f>IF(M391=0,"-",ROUND(3+M391/'안내'!$C$12,0))</f>
        <v/>
      </c>
      <c r="O391" s="15">
        <f>IF(K391="","(본문 입력 후 자동) | 마 16:24",IF(LEN(K391)&gt;28,LEFT(K391,28)&amp;"…",K391)&amp;" | 마 16:24")</f>
        <v/>
      </c>
      <c r="P391" s="15">
        <f>"#"&amp;SUBSTITUTE('안내'!$C$5," ","")&amp;" #성경구절 #말씀 #마태복음 #헌신"</f>
        <v/>
      </c>
      <c r="Q391" s="15" t="inlineStr">
        <is>
          <t>성경 본문: 개역한글판</t>
        </is>
      </c>
      <c r="R391" s="17">
        <f>'안내'!$C$6+INT((D391-1)/'안내'!$C$7)</f>
        <v/>
      </c>
      <c r="S391" s="14">
        <f>IF(MOD(D391-1,'안내'!$C$7)=0,'안내'!$C$9,'안내'!$C$11)</f>
        <v/>
      </c>
      <c r="T391" s="14">
        <f>CHOOSE(WEEKDAY(R391,2),"월","화","수","목","금","토","일")</f>
        <v/>
      </c>
      <c r="U391" s="14" t="inlineStr">
        <is>
          <t>미착수</t>
        </is>
      </c>
      <c r="V391" s="14" t="inlineStr">
        <is>
          <t>미착수</t>
        </is>
      </c>
      <c r="W391" s="18" t="n"/>
      <c r="X391" s="18" t="n"/>
      <c r="Y391" s="15" t="n"/>
      <c r="Z391" s="15" t="inlineStr"/>
      <c r="AA391" s="15" t="inlineStr">
        <is>
          <t>Then Jesus said to his disciples, “If anyone desires to come after me, let him deny himself, take up his cross, and follow me.</t>
        </is>
      </c>
    </row>
    <row r="392">
      <c r="A392" s="14" t="n">
        <v>391</v>
      </c>
      <c r="B392" s="14" t="inlineStr">
        <is>
          <t>W0391</t>
        </is>
      </c>
      <c r="C392" s="14" t="inlineStr">
        <is>
          <t>신약</t>
        </is>
      </c>
      <c r="D392" s="14" t="n">
        <v>27</v>
      </c>
      <c r="E392" s="14">
        <f>C392&amp;"말씀 #"&amp;TEXT(D392,"000")</f>
        <v/>
      </c>
      <c r="F392" s="14" t="inlineStr">
        <is>
          <t>마태복음</t>
        </is>
      </c>
      <c r="G392" s="14" t="inlineStr">
        <is>
          <t>18:20</t>
        </is>
      </c>
      <c r="H392" s="15" t="inlineStr">
        <is>
          <t>(마 18:20, 개역한글)</t>
        </is>
      </c>
      <c r="I392" s="14" t="inlineStr">
        <is>
          <t>임재</t>
        </is>
      </c>
      <c r="J392" s="14" t="inlineStr">
        <is>
          <t>하늘·별</t>
        </is>
      </c>
      <c r="K392" s="16" t="inlineStr">
        <is>
          <t>두 세 사람이 내 이름으로 모인 곳에는 나도 그들 중에 있느니라</t>
        </is>
      </c>
      <c r="L392" s="14" t="inlineStr">
        <is>
          <t>자동 입력</t>
        </is>
      </c>
      <c r="M392" s="14">
        <f>LEN(K392)</f>
        <v/>
      </c>
      <c r="N392" s="14">
        <f>IF(M392=0,"-",ROUND(3+M392/'안내'!$C$12,0))</f>
        <v/>
      </c>
      <c r="O392" s="15">
        <f>IF(K392="","(본문 입력 후 자동) | 마 18:20",IF(LEN(K392)&gt;28,LEFT(K392,28)&amp;"…",K392)&amp;" | 마 18:20")</f>
        <v/>
      </c>
      <c r="P392" s="15">
        <f>"#"&amp;SUBSTITUTE('안내'!$C$5," ","")&amp;" #성경구절 #말씀 #마태복음 #임재"</f>
        <v/>
      </c>
      <c r="Q392" s="19" t="inlineStr">
        <is>
          <t>교회가 함께 모여 결정하는 일에 주님이 함께하신다는 문맥의 말씀입니다(마 18:15-20).
성경 본문: 개역한글판</t>
        </is>
      </c>
      <c r="R392" s="17">
        <f>'안내'!$C$6+INT((D392-1)/'안내'!$C$7)</f>
        <v/>
      </c>
      <c r="S392" s="14">
        <f>IF(MOD(D392-1,'안내'!$C$7)=0,'안내'!$C$9,'안내'!$C$11)</f>
        <v/>
      </c>
      <c r="T392" s="14">
        <f>CHOOSE(WEEKDAY(R392,2),"월","화","수","목","금","토","일")</f>
        <v/>
      </c>
      <c r="U392" s="14" t="inlineStr">
        <is>
          <t>미착수</t>
        </is>
      </c>
      <c r="V392" s="14" t="inlineStr">
        <is>
          <t>미착수</t>
        </is>
      </c>
      <c r="W392" s="18" t="n"/>
      <c r="X392" s="18" t="n"/>
      <c r="Y392" s="15" t="n"/>
      <c r="Z392" s="15" t="inlineStr"/>
      <c r="AA392" s="15" t="inlineStr">
        <is>
          <t>For where two or three are gathered together in my name, there I am in the middle of them.”</t>
        </is>
      </c>
    </row>
    <row r="393">
      <c r="A393" s="14" t="n">
        <v>392</v>
      </c>
      <c r="B393" s="14" t="inlineStr">
        <is>
          <t>W0392</t>
        </is>
      </c>
      <c r="C393" s="14" t="inlineStr">
        <is>
          <t>신약</t>
        </is>
      </c>
      <c r="D393" s="14" t="n">
        <v>28</v>
      </c>
      <c r="E393" s="14">
        <f>C393&amp;"말씀 #"&amp;TEXT(D393,"000")</f>
        <v/>
      </c>
      <c r="F393" s="14" t="inlineStr">
        <is>
          <t>마태복음</t>
        </is>
      </c>
      <c r="G393" s="14" t="inlineStr">
        <is>
          <t>19:26</t>
        </is>
      </c>
      <c r="H393" s="15" t="inlineStr">
        <is>
          <t>(마 19:26, 개역한글)</t>
        </is>
      </c>
      <c r="I393" s="14" t="inlineStr">
        <is>
          <t>능력</t>
        </is>
      </c>
      <c r="J393" s="14" t="inlineStr">
        <is>
          <t>바위산·광야</t>
        </is>
      </c>
      <c r="K393" s="16" t="inlineStr">
        <is>
          <t>예수께서 저희를 보시며 가라사대 사람으로는 할 수 없으되 하나님으로서는 다 할 수 있느니라</t>
        </is>
      </c>
      <c r="L393" s="14" t="inlineStr">
        <is>
          <t>자동 입력</t>
        </is>
      </c>
      <c r="M393" s="14">
        <f>LEN(K393)</f>
        <v/>
      </c>
      <c r="N393" s="14">
        <f>IF(M393=0,"-",ROUND(3+M393/'안내'!$C$12,0))</f>
        <v/>
      </c>
      <c r="O393" s="15">
        <f>IF(K393="","(본문 입력 후 자동) | 마 19:26",IF(LEN(K393)&gt;28,LEFT(K393,28)&amp;"…",K393)&amp;" | 마 19:26")</f>
        <v/>
      </c>
      <c r="P393" s="15">
        <f>"#"&amp;SUBSTITUTE('안내'!$C$5," ","")&amp;" #성경구절 #말씀 #마태복음 #능력"</f>
        <v/>
      </c>
      <c r="Q393" s="15" t="inlineStr">
        <is>
          <t>성경 본문: 개역한글판</t>
        </is>
      </c>
      <c r="R393" s="17">
        <f>'안내'!$C$6+INT((D393-1)/'안내'!$C$7)</f>
        <v/>
      </c>
      <c r="S393" s="14">
        <f>IF(MOD(D393-1,'안내'!$C$7)=0,'안내'!$C$9,'안내'!$C$11)</f>
        <v/>
      </c>
      <c r="T393" s="14">
        <f>CHOOSE(WEEKDAY(R393,2),"월","화","수","목","금","토","일")</f>
        <v/>
      </c>
      <c r="U393" s="14" t="inlineStr">
        <is>
          <t>미착수</t>
        </is>
      </c>
      <c r="V393" s="14" t="inlineStr">
        <is>
          <t>미착수</t>
        </is>
      </c>
      <c r="W393" s="18" t="n"/>
      <c r="X393" s="18" t="n"/>
      <c r="Y393" s="15" t="n"/>
      <c r="Z393" s="15" t="inlineStr"/>
      <c r="AA393" s="15" t="inlineStr">
        <is>
          <t>Looking at them, Jesus said, “With men this is impossible, but with God all things are possible.”</t>
        </is>
      </c>
    </row>
    <row r="394">
      <c r="A394" s="14" t="n">
        <v>393</v>
      </c>
      <c r="B394" s="14" t="inlineStr">
        <is>
          <t>W0393</t>
        </is>
      </c>
      <c r="C394" s="14" t="inlineStr">
        <is>
          <t>신약</t>
        </is>
      </c>
      <c r="D394" s="14" t="n">
        <v>29</v>
      </c>
      <c r="E394" s="14">
        <f>C394&amp;"말씀 #"&amp;TEXT(D394,"000")</f>
        <v/>
      </c>
      <c r="F394" s="14" t="inlineStr">
        <is>
          <t>마태복음</t>
        </is>
      </c>
      <c r="G394" s="14" t="inlineStr">
        <is>
          <t>22:37</t>
        </is>
      </c>
      <c r="H394" s="15" t="inlineStr">
        <is>
          <t>(마 22:37, 개역한글)</t>
        </is>
      </c>
      <c r="I394" s="14" t="inlineStr">
        <is>
          <t>사랑</t>
        </is>
      </c>
      <c r="J394" s="14" t="inlineStr">
        <is>
          <t>창가·식탁</t>
        </is>
      </c>
      <c r="K394" s="16" t="inlineStr">
        <is>
          <t>예수께서 가라사대 네 마음을 다하고 목숨을 다하고 뜻을 다하여 주 너의 하나님을 사랑하라 하셨으니</t>
        </is>
      </c>
      <c r="L394" s="14" t="inlineStr">
        <is>
          <t>자동 입력</t>
        </is>
      </c>
      <c r="M394" s="14">
        <f>LEN(K394)</f>
        <v/>
      </c>
      <c r="N394" s="14">
        <f>IF(M394=0,"-",ROUND(3+M394/'안내'!$C$12,0))</f>
        <v/>
      </c>
      <c r="O394" s="15">
        <f>IF(K394="","(본문 입력 후 자동) | 마 22:37",IF(LEN(K394)&gt;28,LEFT(K394,28)&amp;"…",K394)&amp;" | 마 22:37")</f>
        <v/>
      </c>
      <c r="P394" s="15">
        <f>"#"&amp;SUBSTITUTE('안내'!$C$5," ","")&amp;" #성경구절 #말씀 #마태복음 #사랑"</f>
        <v/>
      </c>
      <c r="Q394" s="15" t="inlineStr">
        <is>
          <t>성경 본문: 개역한글판</t>
        </is>
      </c>
      <c r="R394" s="17">
        <f>'안내'!$C$6+INT((D394-1)/'안내'!$C$7)</f>
        <v/>
      </c>
      <c r="S394" s="14">
        <f>IF(MOD(D394-1,'안내'!$C$7)=0,'안내'!$C$9,'안내'!$C$11)</f>
        <v/>
      </c>
      <c r="T394" s="14">
        <f>CHOOSE(WEEKDAY(R394,2),"월","화","수","목","금","토","일")</f>
        <v/>
      </c>
      <c r="U394" s="14" t="inlineStr">
        <is>
          <t>미착수</t>
        </is>
      </c>
      <c r="V394" s="14" t="inlineStr">
        <is>
          <t>미착수</t>
        </is>
      </c>
      <c r="W394" s="18" t="n"/>
      <c r="X394" s="18" t="n"/>
      <c r="Y394" s="15" t="n"/>
      <c r="Z394" s="15" t="inlineStr"/>
      <c r="AA394" s="15" t="inlineStr">
        <is>
          <t>Jesus said to him, “ ‘You shall love the Lord your God with all your heart, with all your soul, and with all your mind.’ ✡</t>
        </is>
      </c>
    </row>
    <row r="395">
      <c r="A395" s="14" t="n">
        <v>394</v>
      </c>
      <c r="B395" s="14" t="inlineStr">
        <is>
          <t>W0394</t>
        </is>
      </c>
      <c r="C395" s="14" t="inlineStr">
        <is>
          <t>신약</t>
        </is>
      </c>
      <c r="D395" s="14" t="n">
        <v>30</v>
      </c>
      <c r="E395" s="14">
        <f>C395&amp;"말씀 #"&amp;TEXT(D395,"000")</f>
        <v/>
      </c>
      <c r="F395" s="14" t="inlineStr">
        <is>
          <t>마태복음</t>
        </is>
      </c>
      <c r="G395" s="14" t="inlineStr">
        <is>
          <t>22:39</t>
        </is>
      </c>
      <c r="H395" s="15" t="inlineStr">
        <is>
          <t>(마 22:39, 개역한글)</t>
        </is>
      </c>
      <c r="I395" s="14" t="inlineStr">
        <is>
          <t>사랑</t>
        </is>
      </c>
      <c r="J395" s="14" t="inlineStr">
        <is>
          <t>창가·식탁</t>
        </is>
      </c>
      <c r="K395" s="16" t="inlineStr">
        <is>
          <t>둘째는 그와 같으니 네 이웃을 네 몸과 같이 사랑하라 하셨으니</t>
        </is>
      </c>
      <c r="L395" s="14" t="inlineStr">
        <is>
          <t>자동 입력</t>
        </is>
      </c>
      <c r="M395" s="14">
        <f>LEN(K395)</f>
        <v/>
      </c>
      <c r="N395" s="14">
        <f>IF(M395=0,"-",ROUND(3+M395/'안내'!$C$12,0))</f>
        <v/>
      </c>
      <c r="O395" s="15">
        <f>IF(K395="","(본문 입력 후 자동) | 마 22:39",IF(LEN(K395)&gt;28,LEFT(K395,28)&amp;"…",K395)&amp;" | 마 22:39")</f>
        <v/>
      </c>
      <c r="P395" s="15">
        <f>"#"&amp;SUBSTITUTE('안내'!$C$5," ","")&amp;" #성경구절 #말씀 #마태복음 #사랑"</f>
        <v/>
      </c>
      <c r="Q395" s="15" t="inlineStr">
        <is>
          <t>성경 본문: 개역한글판</t>
        </is>
      </c>
      <c r="R395" s="17">
        <f>'안내'!$C$6+INT((D395-1)/'안내'!$C$7)</f>
        <v/>
      </c>
      <c r="S395" s="14">
        <f>IF(MOD(D395-1,'안내'!$C$7)=0,'안내'!$C$9,'안내'!$C$11)</f>
        <v/>
      </c>
      <c r="T395" s="14">
        <f>CHOOSE(WEEKDAY(R395,2),"월","화","수","목","금","토","일")</f>
        <v/>
      </c>
      <c r="U395" s="14" t="inlineStr">
        <is>
          <t>미착수</t>
        </is>
      </c>
      <c r="V395" s="14" t="inlineStr">
        <is>
          <t>미착수</t>
        </is>
      </c>
      <c r="W395" s="18" t="n"/>
      <c r="X395" s="18" t="n"/>
      <c r="Y395" s="15" t="n"/>
      <c r="Z395" s="15" t="inlineStr"/>
      <c r="AA395" s="15" t="inlineStr">
        <is>
          <t>A second likewise is this, ‘You shall love your neighbor as yourself.’ ✡</t>
        </is>
      </c>
    </row>
    <row r="396">
      <c r="A396" s="14" t="n">
        <v>395</v>
      </c>
      <c r="B396" s="14" t="inlineStr">
        <is>
          <t>W0395</t>
        </is>
      </c>
      <c r="C396" s="14" t="inlineStr">
        <is>
          <t>신약</t>
        </is>
      </c>
      <c r="D396" s="14" t="n">
        <v>31</v>
      </c>
      <c r="E396" s="14">
        <f>C396&amp;"말씀 #"&amp;TEXT(D396,"000")</f>
        <v/>
      </c>
      <c r="F396" s="14" t="inlineStr">
        <is>
          <t>마태복음</t>
        </is>
      </c>
      <c r="G396" s="14" t="inlineStr">
        <is>
          <t>24:35</t>
        </is>
      </c>
      <c r="H396" s="15" t="inlineStr">
        <is>
          <t>(마 24:35, 개역한글)</t>
        </is>
      </c>
      <c r="I396" s="14" t="inlineStr">
        <is>
          <t>말씀</t>
        </is>
      </c>
      <c r="J396" s="14" t="inlineStr">
        <is>
          <t>들판·나무</t>
        </is>
      </c>
      <c r="K396" s="16" t="inlineStr">
        <is>
          <t>천지는 없어지겠으나 내 말은 없어지지 아니하리라</t>
        </is>
      </c>
      <c r="L396" s="14" t="inlineStr">
        <is>
          <t>자동 입력</t>
        </is>
      </c>
      <c r="M396" s="14">
        <f>LEN(K396)</f>
        <v/>
      </c>
      <c r="N396" s="14">
        <f>IF(M396=0,"-",ROUND(3+M396/'안내'!$C$12,0))</f>
        <v/>
      </c>
      <c r="O396" s="15">
        <f>IF(K396="","(본문 입력 후 자동) | 마 24:35",IF(LEN(K396)&gt;28,LEFT(K396,28)&amp;"…",K396)&amp;" | 마 24:35")</f>
        <v/>
      </c>
      <c r="P396" s="15">
        <f>"#"&amp;SUBSTITUTE('안내'!$C$5," ","")&amp;" #성경구절 #말씀 #마태복음 #말씀"</f>
        <v/>
      </c>
      <c r="Q396" s="15" t="inlineStr">
        <is>
          <t>성경 본문: 개역한글판</t>
        </is>
      </c>
      <c r="R396" s="17">
        <f>'안내'!$C$6+INT((D396-1)/'안내'!$C$7)</f>
        <v/>
      </c>
      <c r="S396" s="14">
        <f>IF(MOD(D396-1,'안내'!$C$7)=0,'안내'!$C$9,'안내'!$C$11)</f>
        <v/>
      </c>
      <c r="T396" s="14">
        <f>CHOOSE(WEEKDAY(R396,2),"월","화","수","목","금","토","일")</f>
        <v/>
      </c>
      <c r="U396" s="14" t="inlineStr">
        <is>
          <t>미착수</t>
        </is>
      </c>
      <c r="V396" s="14" t="inlineStr">
        <is>
          <t>미착수</t>
        </is>
      </c>
      <c r="W396" s="18" t="n"/>
      <c r="X396" s="18" t="n"/>
      <c r="Y396" s="15" t="n"/>
      <c r="Z396" s="15" t="inlineStr"/>
      <c r="AA396" s="15" t="inlineStr">
        <is>
          <t>Heaven and earth will pass away, but my words will not pass away.</t>
        </is>
      </c>
    </row>
    <row r="397">
      <c r="A397" s="14" t="n">
        <v>396</v>
      </c>
      <c r="B397" s="14" t="inlineStr">
        <is>
          <t>W0396</t>
        </is>
      </c>
      <c r="C397" s="14" t="inlineStr">
        <is>
          <t>신약</t>
        </is>
      </c>
      <c r="D397" s="14" t="n">
        <v>32</v>
      </c>
      <c r="E397" s="14">
        <f>C397&amp;"말씀 #"&amp;TEXT(D397,"000")</f>
        <v/>
      </c>
      <c r="F397" s="14" t="inlineStr">
        <is>
          <t>마태복음</t>
        </is>
      </c>
      <c r="G397" s="14" t="inlineStr">
        <is>
          <t>25:40</t>
        </is>
      </c>
      <c r="H397" s="15" t="inlineStr">
        <is>
          <t>(마 25:40, 개역한글)</t>
        </is>
      </c>
      <c r="I397" s="14" t="inlineStr">
        <is>
          <t>사랑</t>
        </is>
      </c>
      <c r="J397" s="14" t="inlineStr">
        <is>
          <t>창가·식탁</t>
        </is>
      </c>
      <c r="K397" s="16" t="inlineStr">
        <is>
          <t>임금이 대답하여 가라사대 내가 진실로 너희에게 이르노니 너희가 여기 내 형제 중에 지극히 작은 자 하나에게 한 것이 곧 내게 한 것이니라 하시고</t>
        </is>
      </c>
      <c r="L397" s="14" t="inlineStr">
        <is>
          <t>자동 입력</t>
        </is>
      </c>
      <c r="M397" s="14">
        <f>LEN(K397)</f>
        <v/>
      </c>
      <c r="N397" s="14">
        <f>IF(M397=0,"-",ROUND(3+M397/'안내'!$C$12,0))</f>
        <v/>
      </c>
      <c r="O397" s="15">
        <f>IF(K397="","(본문 입력 후 자동) | 마 25:40",IF(LEN(K397)&gt;28,LEFT(K397,28)&amp;"…",K397)&amp;" | 마 25:40")</f>
        <v/>
      </c>
      <c r="P397" s="15">
        <f>"#"&amp;SUBSTITUTE('안내'!$C$5," ","")&amp;" #성경구절 #말씀 #마태복음 #사랑"</f>
        <v/>
      </c>
      <c r="Q397" s="15" t="inlineStr">
        <is>
          <t>성경 본문: 개역한글판</t>
        </is>
      </c>
      <c r="R397" s="17">
        <f>'안내'!$C$6+INT((D397-1)/'안내'!$C$7)</f>
        <v/>
      </c>
      <c r="S397" s="14">
        <f>IF(MOD(D397-1,'안내'!$C$7)=0,'안내'!$C$9,'안내'!$C$11)</f>
        <v/>
      </c>
      <c r="T397" s="14">
        <f>CHOOSE(WEEKDAY(R397,2),"월","화","수","목","금","토","일")</f>
        <v/>
      </c>
      <c r="U397" s="14" t="inlineStr">
        <is>
          <t>미착수</t>
        </is>
      </c>
      <c r="V397" s="14" t="inlineStr">
        <is>
          <t>미착수</t>
        </is>
      </c>
      <c r="W397" s="18" t="n"/>
      <c r="X397" s="18" t="n"/>
      <c r="Y397" s="15" t="n"/>
      <c r="Z397" s="15" t="inlineStr"/>
      <c r="AA397" s="15" t="inlineStr">
        <is>
          <t>“The King will answer them, ‘Most certainly I tell you, because you did it to one of the least of these my brothers, you did it to me.’</t>
        </is>
      </c>
    </row>
    <row r="398">
      <c r="A398" s="14" t="n">
        <v>397</v>
      </c>
      <c r="B398" s="14" t="inlineStr">
        <is>
          <t>W0397</t>
        </is>
      </c>
      <c r="C398" s="14" t="inlineStr">
        <is>
          <t>신약</t>
        </is>
      </c>
      <c r="D398" s="14" t="n">
        <v>33</v>
      </c>
      <c r="E398" s="14">
        <f>C398&amp;"말씀 #"&amp;TEXT(D398,"000")</f>
        <v/>
      </c>
      <c r="F398" s="14" t="inlineStr">
        <is>
          <t>마태복음</t>
        </is>
      </c>
      <c r="G398" s="14" t="inlineStr">
        <is>
          <t>26:41</t>
        </is>
      </c>
      <c r="H398" s="15" t="inlineStr">
        <is>
          <t>(마 26:41, 개역한글)</t>
        </is>
      </c>
      <c r="I398" s="14" t="inlineStr">
        <is>
          <t>기도</t>
        </is>
      </c>
      <c r="J398" s="14" t="inlineStr">
        <is>
          <t>제단·십자가</t>
        </is>
      </c>
      <c r="K398" s="16" t="inlineStr">
        <is>
          <t>시험에 들지 않게 깨어 있어 기도하라 마음에는 원이로되 육신이 약하도다 하시고</t>
        </is>
      </c>
      <c r="L398" s="14" t="inlineStr">
        <is>
          <t>자동 입력</t>
        </is>
      </c>
      <c r="M398" s="14">
        <f>LEN(K398)</f>
        <v/>
      </c>
      <c r="N398" s="14">
        <f>IF(M398=0,"-",ROUND(3+M398/'안내'!$C$12,0))</f>
        <v/>
      </c>
      <c r="O398" s="15">
        <f>IF(K398="","(본문 입력 후 자동) | 마 26:41",IF(LEN(K398)&gt;28,LEFT(K398,28)&amp;"…",K398)&amp;" | 마 26:41")</f>
        <v/>
      </c>
      <c r="P398" s="15">
        <f>"#"&amp;SUBSTITUTE('안내'!$C$5," ","")&amp;" #성경구절 #말씀 #마태복음 #기도"</f>
        <v/>
      </c>
      <c r="Q398" s="15" t="inlineStr">
        <is>
          <t>성경 본문: 개역한글판</t>
        </is>
      </c>
      <c r="R398" s="17">
        <f>'안내'!$C$6+INT((D398-1)/'안내'!$C$7)</f>
        <v/>
      </c>
      <c r="S398" s="14">
        <f>IF(MOD(D398-1,'안내'!$C$7)=0,'안내'!$C$9,'안내'!$C$11)</f>
        <v/>
      </c>
      <c r="T398" s="14">
        <f>CHOOSE(WEEKDAY(R398,2),"월","화","수","목","금","토","일")</f>
        <v/>
      </c>
      <c r="U398" s="14" t="inlineStr">
        <is>
          <t>미착수</t>
        </is>
      </c>
      <c r="V398" s="14" t="inlineStr">
        <is>
          <t>미착수</t>
        </is>
      </c>
      <c r="W398" s="18" t="n"/>
      <c r="X398" s="18" t="n"/>
      <c r="Y398" s="15" t="n"/>
      <c r="Z398" s="15" t="inlineStr"/>
      <c r="AA398" s="15" t="inlineStr">
        <is>
          <t>Watch and pray, that you don’t enter into temptation. The spirit indeed is willing, but the flesh is weak.” ✡</t>
        </is>
      </c>
    </row>
    <row r="399">
      <c r="A399" s="14" t="n">
        <v>398</v>
      </c>
      <c r="B399" s="14" t="inlineStr">
        <is>
          <t>W0398</t>
        </is>
      </c>
      <c r="C399" s="14" t="inlineStr">
        <is>
          <t>신약</t>
        </is>
      </c>
      <c r="D399" s="14" t="n">
        <v>34</v>
      </c>
      <c r="E399" s="14">
        <f>C399&amp;"말씀 #"&amp;TEXT(D399,"000")</f>
        <v/>
      </c>
      <c r="F399" s="14" t="inlineStr">
        <is>
          <t>마태복음</t>
        </is>
      </c>
      <c r="G399" s="14" t="inlineStr">
        <is>
          <t>28:6</t>
        </is>
      </c>
      <c r="H399" s="15" t="inlineStr">
        <is>
          <t>(마 28:6, 개역한글)</t>
        </is>
      </c>
      <c r="I399" s="14" t="inlineStr">
        <is>
          <t>부활</t>
        </is>
      </c>
      <c r="J399" s="14" t="inlineStr">
        <is>
          <t>새벽빛</t>
        </is>
      </c>
      <c r="K399" s="16" t="inlineStr">
        <is>
          <t>그가 여기 계시지 않고 그의 말씀하시던 대로 살아나셨느니라 와서 그의 누우셨던 곳을 보라</t>
        </is>
      </c>
      <c r="L399" s="14" t="inlineStr">
        <is>
          <t>자동 입력</t>
        </is>
      </c>
      <c r="M399" s="14">
        <f>LEN(K399)</f>
        <v/>
      </c>
      <c r="N399" s="14">
        <f>IF(M399=0,"-",ROUND(3+M399/'안내'!$C$12,0))</f>
        <v/>
      </c>
      <c r="O399" s="15">
        <f>IF(K399="","(본문 입력 후 자동) | 마 28:6",IF(LEN(K399)&gt;28,LEFT(K399,28)&amp;"…",K399)&amp;" | 마 28:6")</f>
        <v/>
      </c>
      <c r="P399" s="15">
        <f>"#"&amp;SUBSTITUTE('안내'!$C$5," ","")&amp;" #성경구절 #말씀 #마태복음 #부활"</f>
        <v/>
      </c>
      <c r="Q399" s="15" t="inlineStr">
        <is>
          <t>성경 본문: 개역한글판</t>
        </is>
      </c>
      <c r="R399" s="17">
        <f>'안내'!$C$6+INT((D399-1)/'안내'!$C$7)</f>
        <v/>
      </c>
      <c r="S399" s="14">
        <f>IF(MOD(D399-1,'안내'!$C$7)=0,'안내'!$C$9,'안내'!$C$11)</f>
        <v/>
      </c>
      <c r="T399" s="14">
        <f>CHOOSE(WEEKDAY(R399,2),"월","화","수","목","금","토","일")</f>
        <v/>
      </c>
      <c r="U399" s="14" t="inlineStr">
        <is>
          <t>미착수</t>
        </is>
      </c>
      <c r="V399" s="14" t="inlineStr">
        <is>
          <t>미착수</t>
        </is>
      </c>
      <c r="W399" s="18" t="n"/>
      <c r="X399" s="18" t="n"/>
      <c r="Y399" s="15" t="n"/>
      <c r="Z399" s="15" t="inlineStr"/>
      <c r="AA399" s="15" t="inlineStr">
        <is>
          <t>He is not here, for he has risen, just like he said. Come, see the place where the Lord was lying.</t>
        </is>
      </c>
    </row>
    <row r="400">
      <c r="A400" s="14" t="n">
        <v>399</v>
      </c>
      <c r="B400" s="14" t="inlineStr">
        <is>
          <t>W0399</t>
        </is>
      </c>
      <c r="C400" s="14" t="inlineStr">
        <is>
          <t>신약</t>
        </is>
      </c>
      <c r="D400" s="14" t="n">
        <v>35</v>
      </c>
      <c r="E400" s="14">
        <f>C400&amp;"말씀 #"&amp;TEXT(D400,"000")</f>
        <v/>
      </c>
      <c r="F400" s="14" t="inlineStr">
        <is>
          <t>마태복음</t>
        </is>
      </c>
      <c r="G400" s="14" t="inlineStr">
        <is>
          <t>28:19</t>
        </is>
      </c>
      <c r="H400" s="15" t="inlineStr">
        <is>
          <t>(마 28:19, 개역한글)</t>
        </is>
      </c>
      <c r="I400" s="14" t="inlineStr">
        <is>
          <t>복음</t>
        </is>
      </c>
      <c r="J400" s="14" t="inlineStr">
        <is>
          <t>제단·십자가</t>
        </is>
      </c>
      <c r="K400" s="16" t="inlineStr">
        <is>
          <t>그러므로 너희는 가서 모든 족속으로 제자를 삼아 아버지와 아들과 성령의 이름으로 세례를 주고</t>
        </is>
      </c>
      <c r="L400" s="14" t="inlineStr">
        <is>
          <t>자동 입력</t>
        </is>
      </c>
      <c r="M400" s="14">
        <f>LEN(K400)</f>
        <v/>
      </c>
      <c r="N400" s="14">
        <f>IF(M400=0,"-",ROUND(3+M400/'안내'!$C$12,0))</f>
        <v/>
      </c>
      <c r="O400" s="15">
        <f>IF(K400="","(본문 입력 후 자동) | 마 28:19",IF(LEN(K400)&gt;28,LEFT(K400,28)&amp;"…",K400)&amp;" | 마 28:19")</f>
        <v/>
      </c>
      <c r="P400" s="15">
        <f>"#"&amp;SUBSTITUTE('안내'!$C$5," ","")&amp;" #성경구절 #말씀 #마태복음 #복음"</f>
        <v/>
      </c>
      <c r="Q400" s="15" t="inlineStr">
        <is>
          <t>성경 본문: 개역한글판</t>
        </is>
      </c>
      <c r="R400" s="17">
        <f>'안내'!$C$6+INT((D400-1)/'안내'!$C$7)</f>
        <v/>
      </c>
      <c r="S400" s="14">
        <f>IF(MOD(D400-1,'안내'!$C$7)=0,'안내'!$C$9,'안내'!$C$11)</f>
        <v/>
      </c>
      <c r="T400" s="14">
        <f>CHOOSE(WEEKDAY(R400,2),"월","화","수","목","금","토","일")</f>
        <v/>
      </c>
      <c r="U400" s="14" t="inlineStr">
        <is>
          <t>미착수</t>
        </is>
      </c>
      <c r="V400" s="14" t="inlineStr">
        <is>
          <t>미착수</t>
        </is>
      </c>
      <c r="W400" s="18" t="n"/>
      <c r="X400" s="18" t="n"/>
      <c r="Y400" s="15" t="n"/>
      <c r="Z400" s="15" t="inlineStr"/>
      <c r="AA400" s="15" t="inlineStr">
        <is>
          <t>Go and make disciples of all nations, baptizing them in the name of the Father and of the Son and of the Holy Spirit,</t>
        </is>
      </c>
    </row>
    <row r="401">
      <c r="A401" s="14" t="n">
        <v>400</v>
      </c>
      <c r="B401" s="14" t="inlineStr">
        <is>
          <t>W0400</t>
        </is>
      </c>
      <c r="C401" s="14" t="inlineStr">
        <is>
          <t>신약</t>
        </is>
      </c>
      <c r="D401" s="14" t="n">
        <v>36</v>
      </c>
      <c r="E401" s="14">
        <f>C401&amp;"말씀 #"&amp;TEXT(D401,"000")</f>
        <v/>
      </c>
      <c r="F401" s="14" t="inlineStr">
        <is>
          <t>마태복음</t>
        </is>
      </c>
      <c r="G401" s="14" t="inlineStr">
        <is>
          <t>28:20</t>
        </is>
      </c>
      <c r="H401" s="15" t="inlineStr">
        <is>
          <t>(마 28:20, 개역한글)</t>
        </is>
      </c>
      <c r="I401" s="14" t="inlineStr">
        <is>
          <t>동행</t>
        </is>
      </c>
      <c r="J401" s="14" t="inlineStr">
        <is>
          <t>길·등불</t>
        </is>
      </c>
      <c r="K401" s="16" t="inlineStr">
        <is>
          <t>내가 너희에게 분부한 모든 것을 가르쳐 지키게 하라 볼지어다 내가 세상 끝날까지 너희와 항상 함께 있으리라 하시니라</t>
        </is>
      </c>
      <c r="L401" s="14" t="inlineStr">
        <is>
          <t>자동 입력</t>
        </is>
      </c>
      <c r="M401" s="14">
        <f>LEN(K401)</f>
        <v/>
      </c>
      <c r="N401" s="14">
        <f>IF(M401=0,"-",ROUND(3+M401/'안내'!$C$12,0))</f>
        <v/>
      </c>
      <c r="O401" s="15">
        <f>IF(K401="","(본문 입력 후 자동) | 마 28:20",IF(LEN(K401)&gt;28,LEFT(K401,28)&amp;"…",K401)&amp;" | 마 28:20")</f>
        <v/>
      </c>
      <c r="P401" s="15">
        <f>"#"&amp;SUBSTITUTE('안내'!$C$5," ","")&amp;" #성경구절 #말씀 #마태복음 #동행"</f>
        <v/>
      </c>
      <c r="Q401" s="15" t="inlineStr">
        <is>
          <t>성경 본문: 개역한글판</t>
        </is>
      </c>
      <c r="R401" s="17">
        <f>'안내'!$C$6+INT((D401-1)/'안내'!$C$7)</f>
        <v/>
      </c>
      <c r="S401" s="14">
        <f>IF(MOD(D401-1,'안내'!$C$7)=0,'안내'!$C$9,'안내'!$C$11)</f>
        <v/>
      </c>
      <c r="T401" s="14">
        <f>CHOOSE(WEEKDAY(R401,2),"월","화","수","목","금","토","일")</f>
        <v/>
      </c>
      <c r="U401" s="14" t="inlineStr">
        <is>
          <t>미착수</t>
        </is>
      </c>
      <c r="V401" s="14" t="inlineStr">
        <is>
          <t>미착수</t>
        </is>
      </c>
      <c r="W401" s="18" t="n"/>
      <c r="X401" s="18" t="n"/>
      <c r="Y401" s="15" t="n"/>
      <c r="Z401" s="15" t="inlineStr"/>
      <c r="AA401" s="15" t="inlineStr">
        <is>
          <t>teaching them to observe all things that I commanded you. Behold, I am with you always, even to the end of the age.” Amen.</t>
        </is>
      </c>
    </row>
    <row r="402">
      <c r="A402" s="14" t="n">
        <v>401</v>
      </c>
      <c r="B402" s="14" t="inlineStr">
        <is>
          <t>W0401</t>
        </is>
      </c>
      <c r="C402" s="14" t="inlineStr">
        <is>
          <t>신약</t>
        </is>
      </c>
      <c r="D402" s="14" t="n">
        <v>37</v>
      </c>
      <c r="E402" s="14">
        <f>C402&amp;"말씀 #"&amp;TEXT(D402,"000")</f>
        <v/>
      </c>
      <c r="F402" s="14" t="inlineStr">
        <is>
          <t>마가복음</t>
        </is>
      </c>
      <c r="G402" s="14" t="inlineStr">
        <is>
          <t>1:15</t>
        </is>
      </c>
      <c r="H402" s="15" t="inlineStr">
        <is>
          <t>(막 1:15, 개역한글)</t>
        </is>
      </c>
      <c r="I402" s="14" t="inlineStr">
        <is>
          <t>회개</t>
        </is>
      </c>
      <c r="J402" s="14" t="inlineStr">
        <is>
          <t>제단·십자가</t>
        </is>
      </c>
      <c r="K402" s="16" t="inlineStr">
        <is>
          <t>가라사대 때가 찼고 하나님 나라가 가까왔으니 회개하고 복음을 믿으라 하시더라</t>
        </is>
      </c>
      <c r="L402" s="14" t="inlineStr">
        <is>
          <t>자동 입력</t>
        </is>
      </c>
      <c r="M402" s="14">
        <f>LEN(K402)</f>
        <v/>
      </c>
      <c r="N402" s="14">
        <f>IF(M402=0,"-",ROUND(3+M402/'안내'!$C$12,0))</f>
        <v/>
      </c>
      <c r="O402" s="15">
        <f>IF(K402="","(본문 입력 후 자동) | 막 1:15",IF(LEN(K402)&gt;28,LEFT(K402,28)&amp;"…",K402)&amp;" | 막 1:15")</f>
        <v/>
      </c>
      <c r="P402" s="15">
        <f>"#"&amp;SUBSTITUTE('안내'!$C$5," ","")&amp;" #성경구절 #말씀 #마가복음 #회개"</f>
        <v/>
      </c>
      <c r="Q402" s="15" t="inlineStr">
        <is>
          <t>성경 본문: 개역한글판</t>
        </is>
      </c>
      <c r="R402" s="17">
        <f>'안내'!$C$6+INT((D402-1)/'안내'!$C$7)</f>
        <v/>
      </c>
      <c r="S402" s="14">
        <f>IF(MOD(D402-1,'안내'!$C$7)=0,'안내'!$C$9,'안내'!$C$11)</f>
        <v/>
      </c>
      <c r="T402" s="14">
        <f>CHOOSE(WEEKDAY(R402,2),"월","화","수","목","금","토","일")</f>
        <v/>
      </c>
      <c r="U402" s="14" t="inlineStr">
        <is>
          <t>미착수</t>
        </is>
      </c>
      <c r="V402" s="14" t="inlineStr">
        <is>
          <t>미착수</t>
        </is>
      </c>
      <c r="W402" s="18" t="n"/>
      <c r="X402" s="18" t="n"/>
      <c r="Y402" s="15" t="n"/>
      <c r="Z402" s="15" t="inlineStr"/>
      <c r="AA402" s="15" t="inlineStr">
        <is>
          <t>and saying, “The time is fulfilled, and God’s Kingdom is at hand! Repent, and believe in the Good News.”</t>
        </is>
      </c>
    </row>
    <row r="403">
      <c r="A403" s="14" t="n">
        <v>402</v>
      </c>
      <c r="B403" s="14" t="inlineStr">
        <is>
          <t>W0402</t>
        </is>
      </c>
      <c r="C403" s="14" t="inlineStr">
        <is>
          <t>신약</t>
        </is>
      </c>
      <c r="D403" s="14" t="n">
        <v>38</v>
      </c>
      <c r="E403" s="14">
        <f>C403&amp;"말씀 #"&amp;TEXT(D403,"000")</f>
        <v/>
      </c>
      <c r="F403" s="14" t="inlineStr">
        <is>
          <t>마가복음</t>
        </is>
      </c>
      <c r="G403" s="14" t="inlineStr">
        <is>
          <t>1:35</t>
        </is>
      </c>
      <c r="H403" s="15" t="inlineStr">
        <is>
          <t>(막 1:35, 개역한글)</t>
        </is>
      </c>
      <c r="I403" s="14" t="inlineStr">
        <is>
          <t>기도</t>
        </is>
      </c>
      <c r="J403" s="14" t="inlineStr">
        <is>
          <t>제단·십자가</t>
        </is>
      </c>
      <c r="K403" s="16" t="inlineStr">
        <is>
          <t>새벽 오히려 미명에 예수께서 일어나 나가 한적한 곳으로 가사 거기서 기도하시더니</t>
        </is>
      </c>
      <c r="L403" s="14" t="inlineStr">
        <is>
          <t>자동 입력</t>
        </is>
      </c>
      <c r="M403" s="14">
        <f>LEN(K403)</f>
        <v/>
      </c>
      <c r="N403" s="14">
        <f>IF(M403=0,"-",ROUND(3+M403/'안내'!$C$12,0))</f>
        <v/>
      </c>
      <c r="O403" s="15">
        <f>IF(K403="","(본문 입력 후 자동) | 막 1:35",IF(LEN(K403)&gt;28,LEFT(K403,28)&amp;"…",K403)&amp;" | 막 1:35")</f>
        <v/>
      </c>
      <c r="P403" s="15">
        <f>"#"&amp;SUBSTITUTE('안내'!$C$5," ","")&amp;" #성경구절 #말씀 #마가복음 #기도"</f>
        <v/>
      </c>
      <c r="Q403" s="15" t="inlineStr">
        <is>
          <t>성경 본문: 개역한글판</t>
        </is>
      </c>
      <c r="R403" s="17">
        <f>'안내'!$C$6+INT((D403-1)/'안내'!$C$7)</f>
        <v/>
      </c>
      <c r="S403" s="14">
        <f>IF(MOD(D403-1,'안내'!$C$7)=0,'안내'!$C$9,'안내'!$C$11)</f>
        <v/>
      </c>
      <c r="T403" s="14">
        <f>CHOOSE(WEEKDAY(R403,2),"월","화","수","목","금","토","일")</f>
        <v/>
      </c>
      <c r="U403" s="14" t="inlineStr">
        <is>
          <t>미착수</t>
        </is>
      </c>
      <c r="V403" s="14" t="inlineStr">
        <is>
          <t>미착수</t>
        </is>
      </c>
      <c r="W403" s="18" t="n"/>
      <c r="X403" s="18" t="n"/>
      <c r="Y403" s="15" t="n"/>
      <c r="Z403" s="15" t="inlineStr"/>
      <c r="AA403" s="15" t="inlineStr">
        <is>
          <t>Early in the morning, while it was still dark, he rose up and went out, and departed into a deserted place, and prayed there.</t>
        </is>
      </c>
    </row>
    <row r="404">
      <c r="A404" s="14" t="n">
        <v>403</v>
      </c>
      <c r="B404" s="14" t="inlineStr">
        <is>
          <t>W0403</t>
        </is>
      </c>
      <c r="C404" s="14" t="inlineStr">
        <is>
          <t>신약</t>
        </is>
      </c>
      <c r="D404" s="14" t="n">
        <v>39</v>
      </c>
      <c r="E404" s="14">
        <f>C404&amp;"말씀 #"&amp;TEXT(D404,"000")</f>
        <v/>
      </c>
      <c r="F404" s="14" t="inlineStr">
        <is>
          <t>마가복음</t>
        </is>
      </c>
      <c r="G404" s="14" t="inlineStr">
        <is>
          <t>2:17</t>
        </is>
      </c>
      <c r="H404" s="15" t="inlineStr">
        <is>
          <t>(막 2:17, 개역한글)</t>
        </is>
      </c>
      <c r="I404" s="14" t="inlineStr">
        <is>
          <t>은혜</t>
        </is>
      </c>
      <c r="J404" s="14" t="inlineStr">
        <is>
          <t>잔잔한 물</t>
        </is>
      </c>
      <c r="K404" s="16" t="inlineStr">
        <is>
          <t>예수께서 들으시고 저희에게 이르시되 건강한 자에게는 의원이 쓸데없고 병든 자에게라야 쓸데있느니라 내가 의인을 부르러 온 것이 아니요 죄인을 부르러 왔노라 하시니라</t>
        </is>
      </c>
      <c r="L404" s="14" t="inlineStr">
        <is>
          <t>자동 입력</t>
        </is>
      </c>
      <c r="M404" s="14">
        <f>LEN(K404)</f>
        <v/>
      </c>
      <c r="N404" s="14">
        <f>IF(M404=0,"-",ROUND(3+M404/'안내'!$C$12,0))</f>
        <v/>
      </c>
      <c r="O404" s="15">
        <f>IF(K404="","(본문 입력 후 자동) | 막 2:17",IF(LEN(K404)&gt;28,LEFT(K404,28)&amp;"…",K404)&amp;" | 막 2:17")</f>
        <v/>
      </c>
      <c r="P404" s="15">
        <f>"#"&amp;SUBSTITUTE('안내'!$C$5," ","")&amp;" #성경구절 #말씀 #마가복음 #은혜"</f>
        <v/>
      </c>
      <c r="Q404" s="15" t="inlineStr">
        <is>
          <t>성경 본문: 개역한글판</t>
        </is>
      </c>
      <c r="R404" s="17">
        <f>'안내'!$C$6+INT((D404-1)/'안내'!$C$7)</f>
        <v/>
      </c>
      <c r="S404" s="14">
        <f>IF(MOD(D404-1,'안내'!$C$7)=0,'안내'!$C$9,'안내'!$C$11)</f>
        <v/>
      </c>
      <c r="T404" s="14">
        <f>CHOOSE(WEEKDAY(R404,2),"월","화","수","목","금","토","일")</f>
        <v/>
      </c>
      <c r="U404" s="14" t="inlineStr">
        <is>
          <t>미착수</t>
        </is>
      </c>
      <c r="V404" s="14" t="inlineStr">
        <is>
          <t>미착수</t>
        </is>
      </c>
      <c r="W404" s="18" t="n"/>
      <c r="X404" s="18" t="n"/>
      <c r="Y404" s="15" t="n"/>
      <c r="Z404" s="15" t="inlineStr"/>
      <c r="AA404" s="15" t="inlineStr">
        <is>
          <t>When Jesus heard it, he said to them, “Those who are healthy have no need for a physician, but those who are sick. I came not to call the righteous, but sinners to repentance.”</t>
        </is>
      </c>
    </row>
    <row r="405">
      <c r="A405" s="14" t="n">
        <v>404</v>
      </c>
      <c r="B405" s="14" t="inlineStr">
        <is>
          <t>W0404</t>
        </is>
      </c>
      <c r="C405" s="14" t="inlineStr">
        <is>
          <t>신약</t>
        </is>
      </c>
      <c r="D405" s="14" t="n">
        <v>40</v>
      </c>
      <c r="E405" s="14">
        <f>C405&amp;"말씀 #"&amp;TEXT(D405,"000")</f>
        <v/>
      </c>
      <c r="F405" s="14" t="inlineStr">
        <is>
          <t>마가복음</t>
        </is>
      </c>
      <c r="G405" s="14" t="inlineStr">
        <is>
          <t>4:39</t>
        </is>
      </c>
      <c r="H405" s="15" t="inlineStr">
        <is>
          <t>(막 4:39, 개역한글)</t>
        </is>
      </c>
      <c r="I405" s="14" t="inlineStr">
        <is>
          <t>평안</t>
        </is>
      </c>
      <c r="J405" s="14" t="inlineStr">
        <is>
          <t>잔잔한 물</t>
        </is>
      </c>
      <c r="K405" s="16" t="inlineStr">
        <is>
          <t>예수께서 깨어 바람을 꾸짖으시며 바다더러 이르시되 잠잠하라 고요하라 하시니 바람이 그치고 아주 잔잔하여지더라</t>
        </is>
      </c>
      <c r="L405" s="14" t="inlineStr">
        <is>
          <t>자동 입력 · 대조 필요</t>
        </is>
      </c>
      <c r="M405" s="14">
        <f>LEN(K405)</f>
        <v/>
      </c>
      <c r="N405" s="14">
        <f>IF(M405=0,"-",ROUND(3+M405/'안내'!$C$12,0))</f>
        <v/>
      </c>
      <c r="O405" s="15">
        <f>IF(K405="","(본문 입력 후 자동) | 막 4:39",IF(LEN(K405)&gt;28,LEFT(K405,28)&amp;"…",K405)&amp;" | 막 4:39")</f>
        <v/>
      </c>
      <c r="P405" s="15">
        <f>"#"&amp;SUBSTITUTE('안내'!$C$5," ","")&amp;" #성경구절 #말씀 #마가복음 #평안"</f>
        <v/>
      </c>
      <c r="Q405" s="15" t="inlineStr">
        <is>
          <t>성경 본문: 개역한글판</t>
        </is>
      </c>
      <c r="R405" s="17">
        <f>'안내'!$C$6+INT((D405-1)/'안내'!$C$7)</f>
        <v/>
      </c>
      <c r="S405" s="14">
        <f>IF(MOD(D405-1,'안내'!$C$7)=0,'안내'!$C$9,'안내'!$C$11)</f>
        <v/>
      </c>
      <c r="T405" s="14">
        <f>CHOOSE(WEEKDAY(R405,2),"월","화","수","목","금","토","일")</f>
        <v/>
      </c>
      <c r="U405" s="14" t="inlineStr">
        <is>
          <t>미착수</t>
        </is>
      </c>
      <c r="V405" s="14" t="inlineStr">
        <is>
          <t>미착수</t>
        </is>
      </c>
      <c r="W405" s="18" t="n"/>
      <c r="X405" s="18" t="n"/>
      <c r="Y405" s="15" t="n"/>
      <c r="Z405" s="15" t="inlineStr">
        <is>
          <t>줄바꿈 띄어쓰기 확인</t>
        </is>
      </c>
      <c r="AA405" s="15" t="inlineStr">
        <is>
          <t>He awoke and rebuked the wind, and said to the sea, “Peace! Be still!” The wind ceased and there was a great calm.</t>
        </is>
      </c>
    </row>
    <row r="406">
      <c r="A406" s="14" t="n">
        <v>405</v>
      </c>
      <c r="B406" s="14" t="inlineStr">
        <is>
          <t>W0405</t>
        </is>
      </c>
      <c r="C406" s="14" t="inlineStr">
        <is>
          <t>신약</t>
        </is>
      </c>
      <c r="D406" s="14" t="n">
        <v>41</v>
      </c>
      <c r="E406" s="14">
        <f>C406&amp;"말씀 #"&amp;TEXT(D406,"000")</f>
        <v/>
      </c>
      <c r="F406" s="14" t="inlineStr">
        <is>
          <t>마가복음</t>
        </is>
      </c>
      <c r="G406" s="14" t="inlineStr">
        <is>
          <t>5:36</t>
        </is>
      </c>
      <c r="H406" s="15" t="inlineStr">
        <is>
          <t>(막 5:36, 개역한글)</t>
        </is>
      </c>
      <c r="I406" s="14" t="inlineStr">
        <is>
          <t>믿음</t>
        </is>
      </c>
      <c r="J406" s="14" t="inlineStr">
        <is>
          <t>바위산·광야</t>
        </is>
      </c>
      <c r="K406" s="16" t="inlineStr">
        <is>
          <t>예수께서 그 하는 말을 곁에서 들으시고 회당장에게 이르시되 두려워 말고 믿기만 하라 하시고</t>
        </is>
      </c>
      <c r="L406" s="14" t="inlineStr">
        <is>
          <t>자동 입력</t>
        </is>
      </c>
      <c r="M406" s="14">
        <f>LEN(K406)</f>
        <v/>
      </c>
      <c r="N406" s="14">
        <f>IF(M406=0,"-",ROUND(3+M406/'안내'!$C$12,0))</f>
        <v/>
      </c>
      <c r="O406" s="15">
        <f>IF(K406="","(본문 입력 후 자동) | 막 5:36",IF(LEN(K406)&gt;28,LEFT(K406,28)&amp;"…",K406)&amp;" | 막 5:36")</f>
        <v/>
      </c>
      <c r="P406" s="15">
        <f>"#"&amp;SUBSTITUTE('안내'!$C$5," ","")&amp;" #성경구절 #말씀 #마가복음 #믿음"</f>
        <v/>
      </c>
      <c r="Q406" s="15" t="inlineStr">
        <is>
          <t>성경 본문: 개역한글판</t>
        </is>
      </c>
      <c r="R406" s="17">
        <f>'안내'!$C$6+INT((D406-1)/'안내'!$C$7)</f>
        <v/>
      </c>
      <c r="S406" s="14">
        <f>IF(MOD(D406-1,'안내'!$C$7)=0,'안내'!$C$9,'안내'!$C$11)</f>
        <v/>
      </c>
      <c r="T406" s="14">
        <f>CHOOSE(WEEKDAY(R406,2),"월","화","수","목","금","토","일")</f>
        <v/>
      </c>
      <c r="U406" s="14" t="inlineStr">
        <is>
          <t>미착수</t>
        </is>
      </c>
      <c r="V406" s="14" t="inlineStr">
        <is>
          <t>미착수</t>
        </is>
      </c>
      <c r="W406" s="18" t="n"/>
      <c r="X406" s="18" t="n"/>
      <c r="Y406" s="15" t="n"/>
      <c r="Z406" s="15" t="inlineStr"/>
      <c r="AA406" s="15" t="inlineStr">
        <is>
          <t>But Jesus, when he heard the message spoken, immediately said to the ruler of the synagogue, “Don’t be afraid, only be- lieve.”</t>
        </is>
      </c>
    </row>
    <row r="407">
      <c r="A407" s="14" t="n">
        <v>406</v>
      </c>
      <c r="B407" s="14" t="inlineStr">
        <is>
          <t>W0406</t>
        </is>
      </c>
      <c r="C407" s="14" t="inlineStr">
        <is>
          <t>신약</t>
        </is>
      </c>
      <c r="D407" s="14" t="n">
        <v>42</v>
      </c>
      <c r="E407" s="14">
        <f>C407&amp;"말씀 #"&amp;TEXT(D407,"000")</f>
        <v/>
      </c>
      <c r="F407" s="14" t="inlineStr">
        <is>
          <t>마가복음</t>
        </is>
      </c>
      <c r="G407" s="14" t="inlineStr">
        <is>
          <t>6:31</t>
        </is>
      </c>
      <c r="H407" s="15" t="inlineStr">
        <is>
          <t>(막 6:31, 개역한글)</t>
        </is>
      </c>
      <c r="I407" s="14" t="inlineStr">
        <is>
          <t>쉼</t>
        </is>
      </c>
      <c r="J407" s="14" t="inlineStr">
        <is>
          <t>잔잔한 물</t>
        </is>
      </c>
      <c r="K407" s="16" t="inlineStr">
        <is>
          <t>이르시되 너희는 따로 한적한 곳에 와서 잠깐 쉬어라 하시니 이는 오고 가는 사람이 많아 음식 먹을 겨를도 없음이라</t>
        </is>
      </c>
      <c r="L407" s="14" t="inlineStr">
        <is>
          <t>자동 입력 · 대조 필요</t>
        </is>
      </c>
      <c r="M407" s="14">
        <f>LEN(K407)</f>
        <v/>
      </c>
      <c r="N407" s="14">
        <f>IF(M407=0,"-",ROUND(3+M407/'안내'!$C$12,0))</f>
        <v/>
      </c>
      <c r="O407" s="15">
        <f>IF(K407="","(본문 입력 후 자동) | 막 6:31",IF(LEN(K407)&gt;28,LEFT(K407,28)&amp;"…",K407)&amp;" | 막 6:31")</f>
        <v/>
      </c>
      <c r="P407" s="15">
        <f>"#"&amp;SUBSTITUTE('안내'!$C$5," ","")&amp;" #성경구절 #말씀 #마가복음 #쉼"</f>
        <v/>
      </c>
      <c r="Q407" s="15" t="inlineStr">
        <is>
          <t>성경 본문: 개역한글판</t>
        </is>
      </c>
      <c r="R407" s="17">
        <f>'안내'!$C$6+INT((D407-1)/'안내'!$C$7)</f>
        <v/>
      </c>
      <c r="S407" s="14">
        <f>IF(MOD(D407-1,'안내'!$C$7)=0,'안내'!$C$9,'안내'!$C$11)</f>
        <v/>
      </c>
      <c r="T407" s="14">
        <f>CHOOSE(WEEKDAY(R407,2),"월","화","수","목","금","토","일")</f>
        <v/>
      </c>
      <c r="U407" s="14" t="inlineStr">
        <is>
          <t>미착수</t>
        </is>
      </c>
      <c r="V407" s="14" t="inlineStr">
        <is>
          <t>미착수</t>
        </is>
      </c>
      <c r="W407" s="18" t="n"/>
      <c r="X407" s="18" t="n"/>
      <c r="Y407" s="15" t="n"/>
      <c r="Z407" s="15" t="inlineStr">
        <is>
          <t>줄바꿈 띄어쓰기 확인</t>
        </is>
      </c>
      <c r="AA407" s="15" t="inlineStr">
        <is>
          <t>He said to them, “Come away into a deserted place, and rest awhile.” For there were many coming and going, and they had no leisure so much as to eat.</t>
        </is>
      </c>
    </row>
    <row r="408">
      <c r="A408" s="14" t="n">
        <v>407</v>
      </c>
      <c r="B408" s="14" t="inlineStr">
        <is>
          <t>W0407</t>
        </is>
      </c>
      <c r="C408" s="14" t="inlineStr">
        <is>
          <t>신약</t>
        </is>
      </c>
      <c r="D408" s="14" t="n">
        <v>43</v>
      </c>
      <c r="E408" s="14">
        <f>C408&amp;"말씀 #"&amp;TEXT(D408,"000")</f>
        <v/>
      </c>
      <c r="F408" s="14" t="inlineStr">
        <is>
          <t>마가복음</t>
        </is>
      </c>
      <c r="G408" s="14" t="inlineStr">
        <is>
          <t>8:36</t>
        </is>
      </c>
      <c r="H408" s="15" t="inlineStr">
        <is>
          <t>(막 8:36, 개역한글)</t>
        </is>
      </c>
      <c r="I408" s="14" t="inlineStr">
        <is>
          <t>생명</t>
        </is>
      </c>
      <c r="J408" s="14" t="inlineStr">
        <is>
          <t>새벽빛</t>
        </is>
      </c>
      <c r="K408" s="16" t="inlineStr">
        <is>
          <t>사람이 만일 온 천하를 얻고도 제 목숨을 잃으면 무엇이 유익하리요</t>
        </is>
      </c>
      <c r="L408" s="14" t="inlineStr">
        <is>
          <t>자동 입력</t>
        </is>
      </c>
      <c r="M408" s="14">
        <f>LEN(K408)</f>
        <v/>
      </c>
      <c r="N408" s="14">
        <f>IF(M408=0,"-",ROUND(3+M408/'안내'!$C$12,0))</f>
        <v/>
      </c>
      <c r="O408" s="15">
        <f>IF(K408="","(본문 입력 후 자동) | 막 8:36",IF(LEN(K408)&gt;28,LEFT(K408,28)&amp;"…",K408)&amp;" | 막 8:36")</f>
        <v/>
      </c>
      <c r="P408" s="15">
        <f>"#"&amp;SUBSTITUTE('안내'!$C$5," ","")&amp;" #성경구절 #말씀 #마가복음 #생명"</f>
        <v/>
      </c>
      <c r="Q408" s="15" t="inlineStr">
        <is>
          <t>성경 본문: 개역한글판</t>
        </is>
      </c>
      <c r="R408" s="17">
        <f>'안내'!$C$6+INT((D408-1)/'안내'!$C$7)</f>
        <v/>
      </c>
      <c r="S408" s="14">
        <f>IF(MOD(D408-1,'안내'!$C$7)=0,'안내'!$C$9,'안내'!$C$11)</f>
        <v/>
      </c>
      <c r="T408" s="14">
        <f>CHOOSE(WEEKDAY(R408,2),"월","화","수","목","금","토","일")</f>
        <v/>
      </c>
      <c r="U408" s="14" t="inlineStr">
        <is>
          <t>미착수</t>
        </is>
      </c>
      <c r="V408" s="14" t="inlineStr">
        <is>
          <t>미착수</t>
        </is>
      </c>
      <c r="W408" s="18" t="n"/>
      <c r="X408" s="18" t="n"/>
      <c r="Y408" s="15" t="n"/>
      <c r="Z408" s="15" t="inlineStr"/>
      <c r="AA408" s="15" t="inlineStr">
        <is>
          <t>For what does it profit a man to gain the whole world and forfeit his life?</t>
        </is>
      </c>
    </row>
    <row r="409">
      <c r="A409" s="14" t="n">
        <v>408</v>
      </c>
      <c r="B409" s="14" t="inlineStr">
        <is>
          <t>W0408</t>
        </is>
      </c>
      <c r="C409" s="14" t="inlineStr">
        <is>
          <t>신약</t>
        </is>
      </c>
      <c r="D409" s="14" t="n">
        <v>44</v>
      </c>
      <c r="E409" s="14">
        <f>C409&amp;"말씀 #"&amp;TEXT(D409,"000")</f>
        <v/>
      </c>
      <c r="F409" s="14" t="inlineStr">
        <is>
          <t>마가복음</t>
        </is>
      </c>
      <c r="G409" s="14" t="inlineStr">
        <is>
          <t>9:23</t>
        </is>
      </c>
      <c r="H409" s="15" t="inlineStr">
        <is>
          <t>(막 9:23, 개역한글)</t>
        </is>
      </c>
      <c r="I409" s="14" t="inlineStr">
        <is>
          <t>믿음</t>
        </is>
      </c>
      <c r="J409" s="14" t="inlineStr">
        <is>
          <t>바위산·광야</t>
        </is>
      </c>
      <c r="K409" s="16" t="inlineStr">
        <is>
          <t>예수께서 이르시되 할 수 있거든이 무슨 말이냐 믿는 자에게는 능치 못할 일이 없느니라 하시니</t>
        </is>
      </c>
      <c r="L409" s="14" t="inlineStr">
        <is>
          <t>자동 입력</t>
        </is>
      </c>
      <c r="M409" s="14">
        <f>LEN(K409)</f>
        <v/>
      </c>
      <c r="N409" s="14">
        <f>IF(M409=0,"-",ROUND(3+M409/'안내'!$C$12,0))</f>
        <v/>
      </c>
      <c r="O409" s="15">
        <f>IF(K409="","(본문 입력 후 자동) | 막 9:23",IF(LEN(K409)&gt;28,LEFT(K409,28)&amp;"…",K409)&amp;" | 막 9:23")</f>
        <v/>
      </c>
      <c r="P409" s="15">
        <f>"#"&amp;SUBSTITUTE('안내'!$C$5," ","")&amp;" #성경구절 #말씀 #마가복음 #믿음"</f>
        <v/>
      </c>
      <c r="Q409" s="15" t="inlineStr">
        <is>
          <t>성경 본문: 개역한글판</t>
        </is>
      </c>
      <c r="R409" s="17">
        <f>'안내'!$C$6+INT((D409-1)/'안내'!$C$7)</f>
        <v/>
      </c>
      <c r="S409" s="14">
        <f>IF(MOD(D409-1,'안내'!$C$7)=0,'안내'!$C$9,'안내'!$C$11)</f>
        <v/>
      </c>
      <c r="T409" s="14">
        <f>CHOOSE(WEEKDAY(R409,2),"월","화","수","목","금","토","일")</f>
        <v/>
      </c>
      <c r="U409" s="14" t="inlineStr">
        <is>
          <t>미착수</t>
        </is>
      </c>
      <c r="V409" s="14" t="inlineStr">
        <is>
          <t>미착수</t>
        </is>
      </c>
      <c r="W409" s="18" t="n"/>
      <c r="X409" s="18" t="n"/>
      <c r="Y409" s="15" t="n"/>
      <c r="Z409" s="15" t="inlineStr"/>
      <c r="AA409" s="15" t="inlineStr">
        <is>
          <t>Jesus said to him, “If you can be- lieve, all things are possible to him who believes.”</t>
        </is>
      </c>
    </row>
    <row r="410">
      <c r="A410" s="14" t="n">
        <v>409</v>
      </c>
      <c r="B410" s="14" t="inlineStr">
        <is>
          <t>W0409</t>
        </is>
      </c>
      <c r="C410" s="14" t="inlineStr">
        <is>
          <t>신약</t>
        </is>
      </c>
      <c r="D410" s="14" t="n">
        <v>45</v>
      </c>
      <c r="E410" s="14">
        <f>C410&amp;"말씀 #"&amp;TEXT(D410,"000")</f>
        <v/>
      </c>
      <c r="F410" s="14" t="inlineStr">
        <is>
          <t>마가복음</t>
        </is>
      </c>
      <c r="G410" s="14" t="inlineStr">
        <is>
          <t>9:24</t>
        </is>
      </c>
      <c r="H410" s="15" t="inlineStr">
        <is>
          <t>(막 9:24, 개역한글)</t>
        </is>
      </c>
      <c r="I410" s="14" t="inlineStr">
        <is>
          <t>믿음</t>
        </is>
      </c>
      <c r="J410" s="14" t="inlineStr">
        <is>
          <t>바위산·광야</t>
        </is>
      </c>
      <c r="K410" s="16" t="inlineStr">
        <is>
          <t>곧 그 아이의 아비가 소리를 질러 가로되 내가 믿나이다 나의 믿음 없는 것을 도와 주소서 하더라</t>
        </is>
      </c>
      <c r="L410" s="14" t="inlineStr">
        <is>
          <t>자동 입력</t>
        </is>
      </c>
      <c r="M410" s="14">
        <f>LEN(K410)</f>
        <v/>
      </c>
      <c r="N410" s="14">
        <f>IF(M410=0,"-",ROUND(3+M410/'안내'!$C$12,0))</f>
        <v/>
      </c>
      <c r="O410" s="15">
        <f>IF(K410="","(본문 입력 후 자동) | 막 9:24",IF(LEN(K410)&gt;28,LEFT(K410,28)&amp;"…",K410)&amp;" | 막 9:24")</f>
        <v/>
      </c>
      <c r="P410" s="15">
        <f>"#"&amp;SUBSTITUTE('안내'!$C$5," ","")&amp;" #성경구절 #말씀 #마가복음 #믿음"</f>
        <v/>
      </c>
      <c r="Q410" s="15" t="inlineStr">
        <is>
          <t>성경 본문: 개역한글판</t>
        </is>
      </c>
      <c r="R410" s="17">
        <f>'안내'!$C$6+INT((D410-1)/'안내'!$C$7)</f>
        <v/>
      </c>
      <c r="S410" s="14">
        <f>IF(MOD(D410-1,'안내'!$C$7)=0,'안내'!$C$9,'안내'!$C$11)</f>
        <v/>
      </c>
      <c r="T410" s="14">
        <f>CHOOSE(WEEKDAY(R410,2),"월","화","수","목","금","토","일")</f>
        <v/>
      </c>
      <c r="U410" s="14" t="inlineStr">
        <is>
          <t>미착수</t>
        </is>
      </c>
      <c r="V410" s="14" t="inlineStr">
        <is>
          <t>미착수</t>
        </is>
      </c>
      <c r="W410" s="18" t="n"/>
      <c r="X410" s="18" t="n"/>
      <c r="Y410" s="15" t="n"/>
      <c r="Z410" s="15" t="inlineStr"/>
      <c r="AA410" s="15" t="inlineStr">
        <is>
          <t>Immediately the father of the child cried out with tears, “I believe. Help my unbelief!”</t>
        </is>
      </c>
    </row>
    <row r="411">
      <c r="A411" s="14" t="n">
        <v>410</v>
      </c>
      <c r="B411" s="14" t="inlineStr">
        <is>
          <t>W0410</t>
        </is>
      </c>
      <c r="C411" s="14" t="inlineStr">
        <is>
          <t>신약</t>
        </is>
      </c>
      <c r="D411" s="14" t="n">
        <v>46</v>
      </c>
      <c r="E411" s="14">
        <f>C411&amp;"말씀 #"&amp;TEXT(D411,"000")</f>
        <v/>
      </c>
      <c r="F411" s="14" t="inlineStr">
        <is>
          <t>마가복음</t>
        </is>
      </c>
      <c r="G411" s="14" t="inlineStr">
        <is>
          <t>10:14</t>
        </is>
      </c>
      <c r="H411" s="15" t="inlineStr">
        <is>
          <t>(막 10:14, 개역한글)</t>
        </is>
      </c>
      <c r="I411" s="14" t="inlineStr">
        <is>
          <t>사랑</t>
        </is>
      </c>
      <c r="J411" s="14" t="inlineStr">
        <is>
          <t>창가·식탁</t>
        </is>
      </c>
      <c r="K411" s="16" t="inlineStr">
        <is>
          <t>예수께서 보시고 분히 여겨 이르시되 어린아이들의 내게 오는 것을 용납하고 금하지 말라 하나님의 나라가 이런 자의 것이니라</t>
        </is>
      </c>
      <c r="L411" s="14" t="inlineStr">
        <is>
          <t>자동 입력 · 대조 필요</t>
        </is>
      </c>
      <c r="M411" s="14">
        <f>LEN(K411)</f>
        <v/>
      </c>
      <c r="N411" s="14">
        <f>IF(M411=0,"-",ROUND(3+M411/'안내'!$C$12,0))</f>
        <v/>
      </c>
      <c r="O411" s="15">
        <f>IF(K411="","(본문 입력 후 자동) | 막 10:14",IF(LEN(K411)&gt;28,LEFT(K411,28)&amp;"…",K411)&amp;" | 막 10:14")</f>
        <v/>
      </c>
      <c r="P411" s="15">
        <f>"#"&amp;SUBSTITUTE('안내'!$C$5," ","")&amp;" #성경구절 #말씀 #마가복음 #사랑"</f>
        <v/>
      </c>
      <c r="Q411" s="15" t="inlineStr">
        <is>
          <t>성경 본문: 개역한글판</t>
        </is>
      </c>
      <c r="R411" s="17">
        <f>'안내'!$C$6+INT((D411-1)/'안내'!$C$7)</f>
        <v/>
      </c>
      <c r="S411" s="14">
        <f>IF(MOD(D411-1,'안내'!$C$7)=0,'안내'!$C$9,'안내'!$C$11)</f>
        <v/>
      </c>
      <c r="T411" s="14">
        <f>CHOOSE(WEEKDAY(R411,2),"월","화","수","목","금","토","일")</f>
        <v/>
      </c>
      <c r="U411" s="14" t="inlineStr">
        <is>
          <t>미착수</t>
        </is>
      </c>
      <c r="V411" s="14" t="inlineStr">
        <is>
          <t>미착수</t>
        </is>
      </c>
      <c r="W411" s="18" t="n"/>
      <c r="X411" s="18" t="n"/>
      <c r="Y411" s="15" t="n"/>
      <c r="Z411" s="15" t="inlineStr">
        <is>
          <t>줄바꿈 띄어쓰기 확인</t>
        </is>
      </c>
      <c r="AA411" s="15" t="inlineStr">
        <is>
          <t>But when Jesus saw it, he was moved with indignation and said to them, “Allow the little children to come to me! Don’t forbid them, for God’s Kingdom be- longs to such as these.</t>
        </is>
      </c>
    </row>
    <row r="412">
      <c r="A412" s="14" t="n">
        <v>411</v>
      </c>
      <c r="B412" s="14" t="inlineStr">
        <is>
          <t>W0411</t>
        </is>
      </c>
      <c r="C412" s="14" t="inlineStr">
        <is>
          <t>신약</t>
        </is>
      </c>
      <c r="D412" s="14" t="n">
        <v>47</v>
      </c>
      <c r="E412" s="14">
        <f>C412&amp;"말씀 #"&amp;TEXT(D412,"000")</f>
        <v/>
      </c>
      <c r="F412" s="14" t="inlineStr">
        <is>
          <t>마가복음</t>
        </is>
      </c>
      <c r="G412" s="14" t="inlineStr">
        <is>
          <t>10:45</t>
        </is>
      </c>
      <c r="H412" s="15" t="inlineStr">
        <is>
          <t>(막 10:45, 개역한글)</t>
        </is>
      </c>
      <c r="I412" s="14" t="inlineStr">
        <is>
          <t>섬김</t>
        </is>
      </c>
      <c r="J412" s="14" t="inlineStr">
        <is>
          <t>들판·나무</t>
        </is>
      </c>
      <c r="K412" s="16" t="inlineStr">
        <is>
          <t>인자의 온 것은 섬김을 받으려 함이 아니라 도리어 섬기려 하고 자기 목숨을 많은 사람의 대속물로 주려 함이니라</t>
        </is>
      </c>
      <c r="L412" s="14" t="inlineStr">
        <is>
          <t>자동 입력 · 대조 필요</t>
        </is>
      </c>
      <c r="M412" s="14">
        <f>LEN(K412)</f>
        <v/>
      </c>
      <c r="N412" s="14">
        <f>IF(M412=0,"-",ROUND(3+M412/'안내'!$C$12,0))</f>
        <v/>
      </c>
      <c r="O412" s="15">
        <f>IF(K412="","(본문 입력 후 자동) | 막 10:45",IF(LEN(K412)&gt;28,LEFT(K412,28)&amp;"…",K412)&amp;" | 막 10:45")</f>
        <v/>
      </c>
      <c r="P412" s="15">
        <f>"#"&amp;SUBSTITUTE('안내'!$C$5," ","")&amp;" #성경구절 #말씀 #마가복음 #섬김"</f>
        <v/>
      </c>
      <c r="Q412" s="15" t="inlineStr">
        <is>
          <t>성경 본문: 개역한글판</t>
        </is>
      </c>
      <c r="R412" s="17">
        <f>'안내'!$C$6+INT((D412-1)/'안내'!$C$7)</f>
        <v/>
      </c>
      <c r="S412" s="14">
        <f>IF(MOD(D412-1,'안내'!$C$7)=0,'안내'!$C$9,'안내'!$C$11)</f>
        <v/>
      </c>
      <c r="T412" s="14">
        <f>CHOOSE(WEEKDAY(R412,2),"월","화","수","목","금","토","일")</f>
        <v/>
      </c>
      <c r="U412" s="14" t="inlineStr">
        <is>
          <t>미착수</t>
        </is>
      </c>
      <c r="V412" s="14" t="inlineStr">
        <is>
          <t>미착수</t>
        </is>
      </c>
      <c r="W412" s="18" t="n"/>
      <c r="X412" s="18" t="n"/>
      <c r="Y412" s="15" t="n"/>
      <c r="Z412" s="15" t="inlineStr">
        <is>
          <t>줄바꿈 띄어쓰기 확인</t>
        </is>
      </c>
      <c r="AA412" s="15" t="inlineStr">
        <is>
          <t>For the Son of Man also came not to be served but to serve, and to give his life as a ransom for many.”</t>
        </is>
      </c>
    </row>
    <row r="413">
      <c r="A413" s="14" t="n">
        <v>412</v>
      </c>
      <c r="B413" s="14" t="inlineStr">
        <is>
          <t>W0412</t>
        </is>
      </c>
      <c r="C413" s="14" t="inlineStr">
        <is>
          <t>신약</t>
        </is>
      </c>
      <c r="D413" s="14" t="n">
        <v>48</v>
      </c>
      <c r="E413" s="14">
        <f>C413&amp;"말씀 #"&amp;TEXT(D413,"000")</f>
        <v/>
      </c>
      <c r="F413" s="14" t="inlineStr">
        <is>
          <t>마가복음</t>
        </is>
      </c>
      <c r="G413" s="14" t="inlineStr">
        <is>
          <t>11:24</t>
        </is>
      </c>
      <c r="H413" s="15" t="inlineStr">
        <is>
          <t>(막 11:24, 개역한글)</t>
        </is>
      </c>
      <c r="I413" s="14" t="inlineStr">
        <is>
          <t>기도</t>
        </is>
      </c>
      <c r="J413" s="14" t="inlineStr">
        <is>
          <t>제단·십자가</t>
        </is>
      </c>
      <c r="K413" s="16" t="inlineStr">
        <is>
          <t>그러므로 내가 너희에게 말하노니 무엇이든지 기도하고 구하는 것은 받은 줄로 믿으라 그리하면 너희에게 그대로 되리라</t>
        </is>
      </c>
      <c r="L413" s="14" t="inlineStr">
        <is>
          <t>자동 입력 · 대조 필요</t>
        </is>
      </c>
      <c r="M413" s="14">
        <f>LEN(K413)</f>
        <v/>
      </c>
      <c r="N413" s="14">
        <f>IF(M413=0,"-",ROUND(3+M413/'안내'!$C$12,0))</f>
        <v/>
      </c>
      <c r="O413" s="15">
        <f>IF(K413="","(본문 입력 후 자동) | 막 11:24",IF(LEN(K413)&gt;28,LEFT(K413,28)&amp;"…",K413)&amp;" | 막 11:24")</f>
        <v/>
      </c>
      <c r="P413" s="15">
        <f>"#"&amp;SUBSTITUTE('안내'!$C$5," ","")&amp;" #성경구절 #말씀 #마가복음 #기도"</f>
        <v/>
      </c>
      <c r="Q413" s="19" t="inlineStr">
        <is>
          <t>구하는 것을 모두 얻는 공식이 아니라, 하나님을 믿고 그 뜻 안에서 구하는 기도에 관한 말씀입니다.
성경 본문: 개역한글판</t>
        </is>
      </c>
      <c r="R413" s="17">
        <f>'안내'!$C$6+INT((D413-1)/'안내'!$C$7)</f>
        <v/>
      </c>
      <c r="S413" s="14">
        <f>IF(MOD(D413-1,'안내'!$C$7)=0,'안내'!$C$9,'안내'!$C$11)</f>
        <v/>
      </c>
      <c r="T413" s="14">
        <f>CHOOSE(WEEKDAY(R413,2),"월","화","수","목","금","토","일")</f>
        <v/>
      </c>
      <c r="U413" s="14" t="inlineStr">
        <is>
          <t>미착수</t>
        </is>
      </c>
      <c r="V413" s="14" t="inlineStr">
        <is>
          <t>미착수</t>
        </is>
      </c>
      <c r="W413" s="18" t="n"/>
      <c r="X413" s="18" t="n"/>
      <c r="Y413" s="15" t="n"/>
      <c r="Z413" s="15" t="inlineStr">
        <is>
          <t>줄바꿈 띄어쓰기 확인</t>
        </is>
      </c>
      <c r="AA413" s="15" t="inlineStr">
        <is>
          <t>Therefore I tell you, all things whatever you pray and ask for, believe that you have received them, and you shall have them.</t>
        </is>
      </c>
    </row>
    <row r="414">
      <c r="A414" s="14" t="n">
        <v>413</v>
      </c>
      <c r="B414" s="14" t="inlineStr">
        <is>
          <t>W0413</t>
        </is>
      </c>
      <c r="C414" s="14" t="inlineStr">
        <is>
          <t>신약</t>
        </is>
      </c>
      <c r="D414" s="14" t="n">
        <v>49</v>
      </c>
      <c r="E414" s="14">
        <f>C414&amp;"말씀 #"&amp;TEXT(D414,"000")</f>
        <v/>
      </c>
      <c r="F414" s="14" t="inlineStr">
        <is>
          <t>마가복음</t>
        </is>
      </c>
      <c r="G414" s="14" t="inlineStr">
        <is>
          <t>12:30</t>
        </is>
      </c>
      <c r="H414" s="15" t="inlineStr">
        <is>
          <t>(막 12:30, 개역한글)</t>
        </is>
      </c>
      <c r="I414" s="14" t="inlineStr">
        <is>
          <t>사랑</t>
        </is>
      </c>
      <c r="J414" s="14" t="inlineStr">
        <is>
          <t>창가·식탁</t>
        </is>
      </c>
      <c r="K414" s="16" t="inlineStr">
        <is>
          <t>네 마음을 다하고 목숨을 다하고 뜻을 다하고 힘을 다하여 주 너의 하나님을 사랑하라 하신 것이요</t>
        </is>
      </c>
      <c r="L414" s="14" t="inlineStr">
        <is>
          <t>자동 입력</t>
        </is>
      </c>
      <c r="M414" s="14">
        <f>LEN(K414)</f>
        <v/>
      </c>
      <c r="N414" s="14">
        <f>IF(M414=0,"-",ROUND(3+M414/'안내'!$C$12,0))</f>
        <v/>
      </c>
      <c r="O414" s="15">
        <f>IF(K414="","(본문 입력 후 자동) | 막 12:30",IF(LEN(K414)&gt;28,LEFT(K414,28)&amp;"…",K414)&amp;" | 막 12:30")</f>
        <v/>
      </c>
      <c r="P414" s="15">
        <f>"#"&amp;SUBSTITUTE('안내'!$C$5," ","")&amp;" #성경구절 #말씀 #마가복음 #사랑"</f>
        <v/>
      </c>
      <c r="Q414" s="15" t="inlineStr">
        <is>
          <t>성경 본문: 개역한글판</t>
        </is>
      </c>
      <c r="R414" s="17">
        <f>'안내'!$C$6+INT((D414-1)/'안내'!$C$7)</f>
        <v/>
      </c>
      <c r="S414" s="14">
        <f>IF(MOD(D414-1,'안내'!$C$7)=0,'안내'!$C$9,'안내'!$C$11)</f>
        <v/>
      </c>
      <c r="T414" s="14">
        <f>CHOOSE(WEEKDAY(R414,2),"월","화","수","목","금","토","일")</f>
        <v/>
      </c>
      <c r="U414" s="14" t="inlineStr">
        <is>
          <t>미착수</t>
        </is>
      </c>
      <c r="V414" s="14" t="inlineStr">
        <is>
          <t>미착수</t>
        </is>
      </c>
      <c r="W414" s="18" t="n"/>
      <c r="X414" s="18" t="n"/>
      <c r="Y414" s="15" t="n"/>
      <c r="Z414" s="15" t="inlineStr"/>
      <c r="AA414" s="15" t="inlineStr">
        <is>
          <t>You shall love the Lord your God with all your heart, with all your soul, with all your mind, and with all your strength.’ ✡ This is the first commandment.</t>
        </is>
      </c>
    </row>
    <row r="415">
      <c r="A415" s="14" t="n">
        <v>414</v>
      </c>
      <c r="B415" s="14" t="inlineStr">
        <is>
          <t>W0414</t>
        </is>
      </c>
      <c r="C415" s="14" t="inlineStr">
        <is>
          <t>신약</t>
        </is>
      </c>
      <c r="D415" s="14" t="n">
        <v>50</v>
      </c>
      <c r="E415" s="14">
        <f>C415&amp;"말씀 #"&amp;TEXT(D415,"000")</f>
        <v/>
      </c>
      <c r="F415" s="14" t="inlineStr">
        <is>
          <t>마가복음</t>
        </is>
      </c>
      <c r="G415" s="14" t="inlineStr">
        <is>
          <t>16:15</t>
        </is>
      </c>
      <c r="H415" s="15" t="inlineStr">
        <is>
          <t>(막 16:15, 개역한글)</t>
        </is>
      </c>
      <c r="I415" s="14" t="inlineStr">
        <is>
          <t>복음</t>
        </is>
      </c>
      <c r="J415" s="14" t="inlineStr">
        <is>
          <t>제단·십자가</t>
        </is>
      </c>
      <c r="K415" s="16" t="inlineStr">
        <is>
          <t>또 가라사대 너희는 온 천하에 다니며 만민에게 복음을 전파하라</t>
        </is>
      </c>
      <c r="L415" s="14" t="inlineStr">
        <is>
          <t>자동 입력</t>
        </is>
      </c>
      <c r="M415" s="14">
        <f>LEN(K415)</f>
        <v/>
      </c>
      <c r="N415" s="14">
        <f>IF(M415=0,"-",ROUND(3+M415/'안내'!$C$12,0))</f>
        <v/>
      </c>
      <c r="O415" s="15">
        <f>IF(K415="","(본문 입력 후 자동) | 막 16:15",IF(LEN(K415)&gt;28,LEFT(K415,28)&amp;"…",K415)&amp;" | 막 16:15")</f>
        <v/>
      </c>
      <c r="P415" s="15">
        <f>"#"&amp;SUBSTITUTE('안내'!$C$5," ","")&amp;" #성경구절 #말씀 #마가복음 #복음"</f>
        <v/>
      </c>
      <c r="Q415" s="15" t="inlineStr">
        <is>
          <t>성경 본문: 개역한글판</t>
        </is>
      </c>
      <c r="R415" s="17">
        <f>'안내'!$C$6+INT((D415-1)/'안내'!$C$7)</f>
        <v/>
      </c>
      <c r="S415" s="14">
        <f>IF(MOD(D415-1,'안내'!$C$7)=0,'안내'!$C$9,'안내'!$C$11)</f>
        <v/>
      </c>
      <c r="T415" s="14">
        <f>CHOOSE(WEEKDAY(R415,2),"월","화","수","목","금","토","일")</f>
        <v/>
      </c>
      <c r="U415" s="14" t="inlineStr">
        <is>
          <t>미착수</t>
        </is>
      </c>
      <c r="V415" s="14" t="inlineStr">
        <is>
          <t>미착수</t>
        </is>
      </c>
      <c r="W415" s="18" t="n"/>
      <c r="X415" s="18" t="n"/>
      <c r="Y415" s="15" t="n"/>
      <c r="Z415" s="15" t="inlineStr"/>
      <c r="AA415" s="15" t="inlineStr">
        <is>
          <t>He said to them, “Go into all the world and preach the Good News to the whole creation.</t>
        </is>
      </c>
    </row>
    <row r="416">
      <c r="A416" s="14" t="n">
        <v>415</v>
      </c>
      <c r="B416" s="14" t="inlineStr">
        <is>
          <t>W0415</t>
        </is>
      </c>
      <c r="C416" s="14" t="inlineStr">
        <is>
          <t>신약</t>
        </is>
      </c>
      <c r="D416" s="14" t="n">
        <v>51</v>
      </c>
      <c r="E416" s="14">
        <f>C416&amp;"말씀 #"&amp;TEXT(D416,"000")</f>
        <v/>
      </c>
      <c r="F416" s="14" t="inlineStr">
        <is>
          <t>누가복음</t>
        </is>
      </c>
      <c r="G416" s="14" t="inlineStr">
        <is>
          <t>1:37</t>
        </is>
      </c>
      <c r="H416" s="15" t="inlineStr">
        <is>
          <t>(눅 1:37, 개역한글)</t>
        </is>
      </c>
      <c r="I416" s="14" t="inlineStr">
        <is>
          <t>능력</t>
        </is>
      </c>
      <c r="J416" s="14" t="inlineStr">
        <is>
          <t>바위산·광야</t>
        </is>
      </c>
      <c r="K416" s="16" t="inlineStr">
        <is>
          <t>대저 하나님의 모든 말씀은 능치 못하심이 없느니라</t>
        </is>
      </c>
      <c r="L416" s="14" t="inlineStr">
        <is>
          <t>자동 입력</t>
        </is>
      </c>
      <c r="M416" s="14">
        <f>LEN(K416)</f>
        <v/>
      </c>
      <c r="N416" s="14">
        <f>IF(M416=0,"-",ROUND(3+M416/'안내'!$C$12,0))</f>
        <v/>
      </c>
      <c r="O416" s="15">
        <f>IF(K416="","(본문 입력 후 자동) | 눅 1:37",IF(LEN(K416)&gt;28,LEFT(K416,28)&amp;"…",K416)&amp;" | 눅 1:37")</f>
        <v/>
      </c>
      <c r="P416" s="15">
        <f>"#"&amp;SUBSTITUTE('안내'!$C$5," ","")&amp;" #성경구절 #말씀 #누가복음 #능력"</f>
        <v/>
      </c>
      <c r="Q416" s="15" t="inlineStr">
        <is>
          <t>성경 본문: 개역한글판</t>
        </is>
      </c>
      <c r="R416" s="17">
        <f>'안내'!$C$6+INT((D416-1)/'안내'!$C$7)</f>
        <v/>
      </c>
      <c r="S416" s="14">
        <f>IF(MOD(D416-1,'안내'!$C$7)=0,'안내'!$C$9,'안내'!$C$11)</f>
        <v/>
      </c>
      <c r="T416" s="14">
        <f>CHOOSE(WEEKDAY(R416,2),"월","화","수","목","금","토","일")</f>
        <v/>
      </c>
      <c r="U416" s="14" t="inlineStr">
        <is>
          <t>미착수</t>
        </is>
      </c>
      <c r="V416" s="14" t="inlineStr">
        <is>
          <t>미착수</t>
        </is>
      </c>
      <c r="W416" s="18" t="n"/>
      <c r="X416" s="18" t="n"/>
      <c r="Y416" s="15" t="n"/>
      <c r="Z416" s="15" t="inlineStr"/>
      <c r="AA416" s="15" t="inlineStr">
        <is>
          <t>For nothing spoken by God is impossible.”</t>
        </is>
      </c>
    </row>
    <row r="417">
      <c r="A417" s="14" t="n">
        <v>416</v>
      </c>
      <c r="B417" s="14" t="inlineStr">
        <is>
          <t>W0416</t>
        </is>
      </c>
      <c r="C417" s="14" t="inlineStr">
        <is>
          <t>신약</t>
        </is>
      </c>
      <c r="D417" s="14" t="n">
        <v>52</v>
      </c>
      <c r="E417" s="14">
        <f>C417&amp;"말씀 #"&amp;TEXT(D417,"000")</f>
        <v/>
      </c>
      <c r="F417" s="14" t="inlineStr">
        <is>
          <t>누가복음</t>
        </is>
      </c>
      <c r="G417" s="14" t="inlineStr">
        <is>
          <t>1:38</t>
        </is>
      </c>
      <c r="H417" s="15" t="inlineStr">
        <is>
          <t>(눅 1:38, 개역한글)</t>
        </is>
      </c>
      <c r="I417" s="14" t="inlineStr">
        <is>
          <t>순종</t>
        </is>
      </c>
      <c r="J417" s="14" t="inlineStr">
        <is>
          <t>길·등불</t>
        </is>
      </c>
      <c r="K417" s="16" t="inlineStr">
        <is>
          <t>마리아가 가로되 주의 계집종이오니 말씀대로 내게 이루어지이다 하매 천사가 떠나가니라</t>
        </is>
      </c>
      <c r="L417" s="14" t="inlineStr">
        <is>
          <t>자동 입력</t>
        </is>
      </c>
      <c r="M417" s="14">
        <f>LEN(K417)</f>
        <v/>
      </c>
      <c r="N417" s="14">
        <f>IF(M417=0,"-",ROUND(3+M417/'안내'!$C$12,0))</f>
        <v/>
      </c>
      <c r="O417" s="15">
        <f>IF(K417="","(본문 입력 후 자동) | 눅 1:38",IF(LEN(K417)&gt;28,LEFT(K417,28)&amp;"…",K417)&amp;" | 눅 1:38")</f>
        <v/>
      </c>
      <c r="P417" s="15">
        <f>"#"&amp;SUBSTITUTE('안내'!$C$5," ","")&amp;" #성경구절 #말씀 #누가복음 #순종"</f>
        <v/>
      </c>
      <c r="Q417" s="15" t="inlineStr">
        <is>
          <t>성경 본문: 개역한글판</t>
        </is>
      </c>
      <c r="R417" s="17">
        <f>'안내'!$C$6+INT((D417-1)/'안내'!$C$7)</f>
        <v/>
      </c>
      <c r="S417" s="14">
        <f>IF(MOD(D417-1,'안내'!$C$7)=0,'안내'!$C$9,'안내'!$C$11)</f>
        <v/>
      </c>
      <c r="T417" s="14">
        <f>CHOOSE(WEEKDAY(R417,2),"월","화","수","목","금","토","일")</f>
        <v/>
      </c>
      <c r="U417" s="14" t="inlineStr">
        <is>
          <t>미착수</t>
        </is>
      </c>
      <c r="V417" s="14" t="inlineStr">
        <is>
          <t>미착수</t>
        </is>
      </c>
      <c r="W417" s="18" t="n"/>
      <c r="X417" s="18" t="n"/>
      <c r="Y417" s="15" t="n"/>
      <c r="Z417" s="15" t="inlineStr"/>
      <c r="AA417" s="15" t="inlineStr">
        <is>
          <t>Mary said, “Behold, the servant of the Lord; let it be done to me according to your word.” Then the angel departed from her.</t>
        </is>
      </c>
    </row>
    <row r="418">
      <c r="A418" s="14" t="n">
        <v>417</v>
      </c>
      <c r="B418" s="14" t="inlineStr">
        <is>
          <t>W0417</t>
        </is>
      </c>
      <c r="C418" s="14" t="inlineStr">
        <is>
          <t>신약</t>
        </is>
      </c>
      <c r="D418" s="14" t="n">
        <v>53</v>
      </c>
      <c r="E418" s="14">
        <f>C418&amp;"말씀 #"&amp;TEXT(D418,"000")</f>
        <v/>
      </c>
      <c r="F418" s="14" t="inlineStr">
        <is>
          <t>누가복음</t>
        </is>
      </c>
      <c r="G418" s="14" t="inlineStr">
        <is>
          <t>1:46</t>
        </is>
      </c>
      <c r="H418" s="15" t="inlineStr">
        <is>
          <t>(눅 1:46, 개역한글)</t>
        </is>
      </c>
      <c r="I418" s="14" t="inlineStr">
        <is>
          <t>찬양</t>
        </is>
      </c>
      <c r="J418" s="14" t="inlineStr">
        <is>
          <t>하늘·별</t>
        </is>
      </c>
      <c r="K418" s="16" t="inlineStr">
        <is>
          <t>마리아가 가로되 내 영혼이 주를 찬양하며</t>
        </is>
      </c>
      <c r="L418" s="14" t="inlineStr">
        <is>
          <t>자동 입력</t>
        </is>
      </c>
      <c r="M418" s="14">
        <f>LEN(K418)</f>
        <v/>
      </c>
      <c r="N418" s="14">
        <f>IF(M418=0,"-",ROUND(3+M418/'안내'!$C$12,0))</f>
        <v/>
      </c>
      <c r="O418" s="15">
        <f>IF(K418="","(본문 입력 후 자동) | 눅 1:46",IF(LEN(K418)&gt;28,LEFT(K418,28)&amp;"…",K418)&amp;" | 눅 1:46")</f>
        <v/>
      </c>
      <c r="P418" s="15">
        <f>"#"&amp;SUBSTITUTE('안내'!$C$5," ","")&amp;" #성경구절 #말씀 #누가복음 #찬양"</f>
        <v/>
      </c>
      <c r="Q418" s="15" t="inlineStr">
        <is>
          <t>성경 본문: 개역한글판</t>
        </is>
      </c>
      <c r="R418" s="17">
        <f>'안내'!$C$6+INT((D418-1)/'안내'!$C$7)</f>
        <v/>
      </c>
      <c r="S418" s="14">
        <f>IF(MOD(D418-1,'안내'!$C$7)=0,'안내'!$C$9,'안내'!$C$11)</f>
        <v/>
      </c>
      <c r="T418" s="14">
        <f>CHOOSE(WEEKDAY(R418,2),"월","화","수","목","금","토","일")</f>
        <v/>
      </c>
      <c r="U418" s="14" t="inlineStr">
        <is>
          <t>미착수</t>
        </is>
      </c>
      <c r="V418" s="14" t="inlineStr">
        <is>
          <t>미착수</t>
        </is>
      </c>
      <c r="W418" s="18" t="n"/>
      <c r="X418" s="18" t="n"/>
      <c r="Y418" s="15" t="n"/>
      <c r="Z418" s="15" t="inlineStr"/>
      <c r="AA418" s="15" t="inlineStr">
        <is>
          <t>Mary said, “My soul magnifies the Lord.</t>
        </is>
      </c>
    </row>
    <row r="419">
      <c r="A419" s="14" t="n">
        <v>418</v>
      </c>
      <c r="B419" s="14" t="inlineStr">
        <is>
          <t>W0418</t>
        </is>
      </c>
      <c r="C419" s="14" t="inlineStr">
        <is>
          <t>신약</t>
        </is>
      </c>
      <c r="D419" s="14" t="n">
        <v>54</v>
      </c>
      <c r="E419" s="14">
        <f>C419&amp;"말씀 #"&amp;TEXT(D419,"000")</f>
        <v/>
      </c>
      <c r="F419" s="14" t="inlineStr">
        <is>
          <t>누가복음</t>
        </is>
      </c>
      <c r="G419" s="14" t="inlineStr">
        <is>
          <t>2:10</t>
        </is>
      </c>
      <c r="H419" s="15" t="inlineStr">
        <is>
          <t>(눅 2:10, 개역한글)</t>
        </is>
      </c>
      <c r="I419" s="14" t="inlineStr">
        <is>
          <t>기쁨</t>
        </is>
      </c>
      <c r="J419" s="14" t="inlineStr">
        <is>
          <t>새벽빛</t>
        </is>
      </c>
      <c r="K419" s="16" t="inlineStr">
        <is>
          <t>천사가 이르되 무서워 말라 보라 내가 온 백성에게 미칠 큰 기쁨의 좋은 소식을 너희에게 전하노라</t>
        </is>
      </c>
      <c r="L419" s="14" t="inlineStr">
        <is>
          <t>자동 입력</t>
        </is>
      </c>
      <c r="M419" s="14">
        <f>LEN(K419)</f>
        <v/>
      </c>
      <c r="N419" s="14">
        <f>IF(M419=0,"-",ROUND(3+M419/'안내'!$C$12,0))</f>
        <v/>
      </c>
      <c r="O419" s="15">
        <f>IF(K419="","(본문 입력 후 자동) | 눅 2:10",IF(LEN(K419)&gt;28,LEFT(K419,28)&amp;"…",K419)&amp;" | 눅 2:10")</f>
        <v/>
      </c>
      <c r="P419" s="15">
        <f>"#"&amp;SUBSTITUTE('안내'!$C$5," ","")&amp;" #성경구절 #말씀 #누가복음 #기쁨"</f>
        <v/>
      </c>
      <c r="Q419" s="15" t="inlineStr">
        <is>
          <t>성경 본문: 개역한글판</t>
        </is>
      </c>
      <c r="R419" s="17">
        <f>'안내'!$C$6+INT((D419-1)/'안내'!$C$7)</f>
        <v/>
      </c>
      <c r="S419" s="14">
        <f>IF(MOD(D419-1,'안내'!$C$7)=0,'안내'!$C$9,'안내'!$C$11)</f>
        <v/>
      </c>
      <c r="T419" s="14">
        <f>CHOOSE(WEEKDAY(R419,2),"월","화","수","목","금","토","일")</f>
        <v/>
      </c>
      <c r="U419" s="14" t="inlineStr">
        <is>
          <t>미착수</t>
        </is>
      </c>
      <c r="V419" s="14" t="inlineStr">
        <is>
          <t>미착수</t>
        </is>
      </c>
      <c r="W419" s="18" t="n"/>
      <c r="X419" s="18" t="n"/>
      <c r="Y419" s="15" t="n"/>
      <c r="Z419" s="15" t="inlineStr"/>
      <c r="AA419" s="15" t="inlineStr">
        <is>
          <t>The angel said to them, “Don’t be afraid, for behold, I bring you good news of great joy which will be to all the people.</t>
        </is>
      </c>
    </row>
    <row r="420">
      <c r="A420" s="14" t="n">
        <v>419</v>
      </c>
      <c r="B420" s="14" t="inlineStr">
        <is>
          <t>W0419</t>
        </is>
      </c>
      <c r="C420" s="14" t="inlineStr">
        <is>
          <t>신약</t>
        </is>
      </c>
      <c r="D420" s="14" t="n">
        <v>55</v>
      </c>
      <c r="E420" s="14">
        <f>C420&amp;"말씀 #"&amp;TEXT(D420,"000")</f>
        <v/>
      </c>
      <c r="F420" s="14" t="inlineStr">
        <is>
          <t>누가복음</t>
        </is>
      </c>
      <c r="G420" s="14" t="inlineStr">
        <is>
          <t>2:11</t>
        </is>
      </c>
      <c r="H420" s="15" t="inlineStr">
        <is>
          <t>(눅 2:11, 개역한글)</t>
        </is>
      </c>
      <c r="I420" s="14" t="inlineStr">
        <is>
          <t>구원</t>
        </is>
      </c>
      <c r="J420" s="14" t="inlineStr">
        <is>
          <t>제단·십자가</t>
        </is>
      </c>
      <c r="K420" s="16" t="inlineStr">
        <is>
          <t>오늘날 다윗의 동네에 너희를 위하여 구주가 나셨으니 곧 그리스도 주시니라</t>
        </is>
      </c>
      <c r="L420" s="14" t="inlineStr">
        <is>
          <t>자동 입력</t>
        </is>
      </c>
      <c r="M420" s="14">
        <f>LEN(K420)</f>
        <v/>
      </c>
      <c r="N420" s="14">
        <f>IF(M420=0,"-",ROUND(3+M420/'안내'!$C$12,0))</f>
        <v/>
      </c>
      <c r="O420" s="15">
        <f>IF(K420="","(본문 입력 후 자동) | 눅 2:11",IF(LEN(K420)&gt;28,LEFT(K420,28)&amp;"…",K420)&amp;" | 눅 2:11")</f>
        <v/>
      </c>
      <c r="P420" s="15">
        <f>"#"&amp;SUBSTITUTE('안내'!$C$5," ","")&amp;" #성경구절 #말씀 #누가복음 #구원"</f>
        <v/>
      </c>
      <c r="Q420" s="15" t="inlineStr">
        <is>
          <t>성경 본문: 개역한글판</t>
        </is>
      </c>
      <c r="R420" s="17">
        <f>'안내'!$C$6+INT((D420-1)/'안내'!$C$7)</f>
        <v/>
      </c>
      <c r="S420" s="14">
        <f>IF(MOD(D420-1,'안내'!$C$7)=0,'안내'!$C$9,'안내'!$C$11)</f>
        <v/>
      </c>
      <c r="T420" s="14">
        <f>CHOOSE(WEEKDAY(R420,2),"월","화","수","목","금","토","일")</f>
        <v/>
      </c>
      <c r="U420" s="14" t="inlineStr">
        <is>
          <t>미착수</t>
        </is>
      </c>
      <c r="V420" s="14" t="inlineStr">
        <is>
          <t>미착수</t>
        </is>
      </c>
      <c r="W420" s="18" t="n"/>
      <c r="X420" s="18" t="n"/>
      <c r="Y420" s="15" t="n"/>
      <c r="Z420" s="15" t="inlineStr"/>
      <c r="AA420" s="15" t="inlineStr">
        <is>
          <t>For there is born to you today, in David’s city, a Savior, who is Christ the Lord.</t>
        </is>
      </c>
    </row>
    <row r="421">
      <c r="A421" s="14" t="n">
        <v>420</v>
      </c>
      <c r="B421" s="14" t="inlineStr">
        <is>
          <t>W0420</t>
        </is>
      </c>
      <c r="C421" s="14" t="inlineStr">
        <is>
          <t>신약</t>
        </is>
      </c>
      <c r="D421" s="14" t="n">
        <v>56</v>
      </c>
      <c r="E421" s="14">
        <f>C421&amp;"말씀 #"&amp;TEXT(D421,"000")</f>
        <v/>
      </c>
      <c r="F421" s="14" t="inlineStr">
        <is>
          <t>누가복음</t>
        </is>
      </c>
      <c r="G421" s="14" t="inlineStr">
        <is>
          <t>2:14</t>
        </is>
      </c>
      <c r="H421" s="15" t="inlineStr">
        <is>
          <t>(눅 2:14, 개역한글)</t>
        </is>
      </c>
      <c r="I421" s="14" t="inlineStr">
        <is>
          <t>평안</t>
        </is>
      </c>
      <c r="J421" s="14" t="inlineStr">
        <is>
          <t>잔잔한 물</t>
        </is>
      </c>
      <c r="K421" s="16" t="inlineStr">
        <is>
          <t>지극히 높은 곳에서는 하나님께 영광이요 땅에서는 기뻐하심을 입은 사람들 중에 평화로다 하니라</t>
        </is>
      </c>
      <c r="L421" s="14" t="inlineStr">
        <is>
          <t>자동 입력</t>
        </is>
      </c>
      <c r="M421" s="14">
        <f>LEN(K421)</f>
        <v/>
      </c>
      <c r="N421" s="14">
        <f>IF(M421=0,"-",ROUND(3+M421/'안내'!$C$12,0))</f>
        <v/>
      </c>
      <c r="O421" s="15">
        <f>IF(K421="","(본문 입력 후 자동) | 눅 2:14",IF(LEN(K421)&gt;28,LEFT(K421,28)&amp;"…",K421)&amp;" | 눅 2:14")</f>
        <v/>
      </c>
      <c r="P421" s="15">
        <f>"#"&amp;SUBSTITUTE('안내'!$C$5," ","")&amp;" #성경구절 #말씀 #누가복음 #평안"</f>
        <v/>
      </c>
      <c r="Q421" s="15" t="inlineStr">
        <is>
          <t>성경 본문: 개역한글판</t>
        </is>
      </c>
      <c r="R421" s="17">
        <f>'안내'!$C$6+INT((D421-1)/'안내'!$C$7)</f>
        <v/>
      </c>
      <c r="S421" s="14">
        <f>IF(MOD(D421-1,'안내'!$C$7)=0,'안내'!$C$9,'안내'!$C$11)</f>
        <v/>
      </c>
      <c r="T421" s="14">
        <f>CHOOSE(WEEKDAY(R421,2),"월","화","수","목","금","토","일")</f>
        <v/>
      </c>
      <c r="U421" s="14" t="inlineStr">
        <is>
          <t>미착수</t>
        </is>
      </c>
      <c r="V421" s="14" t="inlineStr">
        <is>
          <t>미착수</t>
        </is>
      </c>
      <c r="W421" s="18" t="n"/>
      <c r="X421" s="18" t="n"/>
      <c r="Y421" s="15" t="n"/>
      <c r="Z421" s="15" t="inlineStr"/>
      <c r="AA421" s="15" t="inlineStr">
        <is>
          <t>“Glory to God in the highest, on earth peace, good will toward men.”</t>
        </is>
      </c>
    </row>
    <row r="422">
      <c r="A422" s="14" t="n">
        <v>421</v>
      </c>
      <c r="B422" s="14" t="inlineStr">
        <is>
          <t>W0421</t>
        </is>
      </c>
      <c r="C422" s="14" t="inlineStr">
        <is>
          <t>신약</t>
        </is>
      </c>
      <c r="D422" s="14" t="n">
        <v>57</v>
      </c>
      <c r="E422" s="14">
        <f>C422&amp;"말씀 #"&amp;TEXT(D422,"000")</f>
        <v/>
      </c>
      <c r="F422" s="14" t="inlineStr">
        <is>
          <t>누가복음</t>
        </is>
      </c>
      <c r="G422" s="14" t="inlineStr">
        <is>
          <t>2:52</t>
        </is>
      </c>
      <c r="H422" s="15" t="inlineStr">
        <is>
          <t>(눅 2:52, 개역한글)</t>
        </is>
      </c>
      <c r="I422" s="14" t="inlineStr">
        <is>
          <t>성장</t>
        </is>
      </c>
      <c r="J422" s="14" t="inlineStr">
        <is>
          <t>들판·나무</t>
        </is>
      </c>
      <c r="K422" s="16" t="inlineStr">
        <is>
          <t>예수는 그 지혜와 그 키가 자라가며 하나님과 사람에게 더 사랑스러워 가시더라</t>
        </is>
      </c>
      <c r="L422" s="14" t="inlineStr">
        <is>
          <t>자동 입력</t>
        </is>
      </c>
      <c r="M422" s="14">
        <f>LEN(K422)</f>
        <v/>
      </c>
      <c r="N422" s="14">
        <f>IF(M422=0,"-",ROUND(3+M422/'안내'!$C$12,0))</f>
        <v/>
      </c>
      <c r="O422" s="15">
        <f>IF(K422="","(본문 입력 후 자동) | 눅 2:52",IF(LEN(K422)&gt;28,LEFT(K422,28)&amp;"…",K422)&amp;" | 눅 2:52")</f>
        <v/>
      </c>
      <c r="P422" s="15">
        <f>"#"&amp;SUBSTITUTE('안내'!$C$5," ","")&amp;" #성경구절 #말씀 #누가복음 #성장"</f>
        <v/>
      </c>
      <c r="Q422" s="15" t="inlineStr">
        <is>
          <t>성경 본문: 개역한글판</t>
        </is>
      </c>
      <c r="R422" s="17">
        <f>'안내'!$C$6+INT((D422-1)/'안내'!$C$7)</f>
        <v/>
      </c>
      <c r="S422" s="14">
        <f>IF(MOD(D422-1,'안내'!$C$7)=0,'안내'!$C$9,'안내'!$C$11)</f>
        <v/>
      </c>
      <c r="T422" s="14">
        <f>CHOOSE(WEEKDAY(R422,2),"월","화","수","목","금","토","일")</f>
        <v/>
      </c>
      <c r="U422" s="14" t="inlineStr">
        <is>
          <t>미착수</t>
        </is>
      </c>
      <c r="V422" s="14" t="inlineStr">
        <is>
          <t>미착수</t>
        </is>
      </c>
      <c r="W422" s="18" t="n"/>
      <c r="X422" s="18" t="n"/>
      <c r="Y422" s="15" t="n"/>
      <c r="Z422" s="15" t="inlineStr"/>
      <c r="AA422" s="15" t="inlineStr">
        <is>
          <t>And Jesus increased in wisdom and stature, and in favor with God and men.</t>
        </is>
      </c>
    </row>
    <row r="423">
      <c r="A423" s="14" t="n">
        <v>422</v>
      </c>
      <c r="B423" s="14" t="inlineStr">
        <is>
          <t>W0422</t>
        </is>
      </c>
      <c r="C423" s="14" t="inlineStr">
        <is>
          <t>신약</t>
        </is>
      </c>
      <c r="D423" s="14" t="n">
        <v>58</v>
      </c>
      <c r="E423" s="14">
        <f>C423&amp;"말씀 #"&amp;TEXT(D423,"000")</f>
        <v/>
      </c>
      <c r="F423" s="14" t="inlineStr">
        <is>
          <t>누가복음</t>
        </is>
      </c>
      <c r="G423" s="14" t="inlineStr">
        <is>
          <t>4:18</t>
        </is>
      </c>
      <c r="H423" s="15" t="inlineStr">
        <is>
          <t>(눅 4:18, 개역한글)</t>
        </is>
      </c>
      <c r="I423" s="14" t="inlineStr">
        <is>
          <t>복음</t>
        </is>
      </c>
      <c r="J423" s="14" t="inlineStr">
        <is>
          <t>제단·십자가</t>
        </is>
      </c>
      <c r="K423" s="16" t="inlineStr">
        <is>
          <t>주의 성령이 내게 임하셨으니 이는 가난한 자에게 복음을 전하게 하시려고 내게 기름을 부으시고 나를 보내사 포로된 자에게 자유를, 눈먼 자에게 다시 보게 함을 전파하며 눌린 자를 자유케 하고</t>
        </is>
      </c>
      <c r="L423" s="14" t="inlineStr">
        <is>
          <t>자동 입력</t>
        </is>
      </c>
      <c r="M423" s="14">
        <f>LEN(K423)</f>
        <v/>
      </c>
      <c r="N423" s="14">
        <f>IF(M423=0,"-",ROUND(3+M423/'안내'!$C$12,0))</f>
        <v/>
      </c>
      <c r="O423" s="15">
        <f>IF(K423="","(본문 입력 후 자동) | 눅 4:18",IF(LEN(K423)&gt;28,LEFT(K423,28)&amp;"…",K423)&amp;" | 눅 4:18")</f>
        <v/>
      </c>
      <c r="P423" s="15">
        <f>"#"&amp;SUBSTITUTE('안내'!$C$5," ","")&amp;" #성경구절 #말씀 #누가복음 #복음"</f>
        <v/>
      </c>
      <c r="Q423" s="15" t="inlineStr">
        <is>
          <t>성경 본문: 개역한글판</t>
        </is>
      </c>
      <c r="R423" s="17">
        <f>'안내'!$C$6+INT((D423-1)/'안내'!$C$7)</f>
        <v/>
      </c>
      <c r="S423" s="14">
        <f>IF(MOD(D423-1,'안내'!$C$7)=0,'안내'!$C$9,'안내'!$C$11)</f>
        <v/>
      </c>
      <c r="T423" s="14">
        <f>CHOOSE(WEEKDAY(R423,2),"월","화","수","목","금","토","일")</f>
        <v/>
      </c>
      <c r="U423" s="14" t="inlineStr">
        <is>
          <t>미착수</t>
        </is>
      </c>
      <c r="V423" s="14" t="inlineStr">
        <is>
          <t>미착수</t>
        </is>
      </c>
      <c r="W423" s="18" t="n"/>
      <c r="X423" s="18" t="n"/>
      <c r="Y423" s="15" t="n"/>
      <c r="Z423" s="15" t="inlineStr"/>
      <c r="AA423" s="15" t="inlineStr">
        <is>
          <t>“The Spirit of the Lord is on me, because he has anointed me to preach good news to the poor. He has sent me to heal the broken hearted, to proclaim release to the captives, recovering of sight to the blind, to deliver those who are crushed,</t>
        </is>
      </c>
    </row>
    <row r="424">
      <c r="A424" s="14" t="n">
        <v>423</v>
      </c>
      <c r="B424" s="14" t="inlineStr">
        <is>
          <t>W0423</t>
        </is>
      </c>
      <c r="C424" s="14" t="inlineStr">
        <is>
          <t>신약</t>
        </is>
      </c>
      <c r="D424" s="14" t="n">
        <v>59</v>
      </c>
      <c r="E424" s="14">
        <f>C424&amp;"말씀 #"&amp;TEXT(D424,"000")</f>
        <v/>
      </c>
      <c r="F424" s="14" t="inlineStr">
        <is>
          <t>누가복음</t>
        </is>
      </c>
      <c r="G424" s="14" t="inlineStr">
        <is>
          <t>5:5</t>
        </is>
      </c>
      <c r="H424" s="15" t="inlineStr">
        <is>
          <t>(눅 5:5, 개역한글)</t>
        </is>
      </c>
      <c r="I424" s="14" t="inlineStr">
        <is>
          <t>순종</t>
        </is>
      </c>
      <c r="J424" s="14" t="inlineStr">
        <is>
          <t>길·등불</t>
        </is>
      </c>
      <c r="K424" s="16" t="inlineStr">
        <is>
          <t>시몬이 대답하여 가로되 선생이여 우리들이 밤이 맞도록 수고를 하였으되 얻은 것이 없지마는 말씀에 의지하여 내가 그물을 내리리이다 하고</t>
        </is>
      </c>
      <c r="L424" s="14" t="inlineStr">
        <is>
          <t>자동 입력</t>
        </is>
      </c>
      <c r="M424" s="14">
        <f>LEN(K424)</f>
        <v/>
      </c>
      <c r="N424" s="14">
        <f>IF(M424=0,"-",ROUND(3+M424/'안내'!$C$12,0))</f>
        <v/>
      </c>
      <c r="O424" s="15">
        <f>IF(K424="","(본문 입력 후 자동) | 눅 5:5",IF(LEN(K424)&gt;28,LEFT(K424,28)&amp;"…",K424)&amp;" | 눅 5:5")</f>
        <v/>
      </c>
      <c r="P424" s="15">
        <f>"#"&amp;SUBSTITUTE('안내'!$C$5," ","")&amp;" #성경구절 #말씀 #누가복음 #순종"</f>
        <v/>
      </c>
      <c r="Q424" s="15" t="inlineStr">
        <is>
          <t>성경 본문: 개역한글판</t>
        </is>
      </c>
      <c r="R424" s="17">
        <f>'안내'!$C$6+INT((D424-1)/'안내'!$C$7)</f>
        <v/>
      </c>
      <c r="S424" s="14">
        <f>IF(MOD(D424-1,'안내'!$C$7)=0,'안내'!$C$9,'안내'!$C$11)</f>
        <v/>
      </c>
      <c r="T424" s="14">
        <f>CHOOSE(WEEKDAY(R424,2),"월","화","수","목","금","토","일")</f>
        <v/>
      </c>
      <c r="U424" s="14" t="inlineStr">
        <is>
          <t>미착수</t>
        </is>
      </c>
      <c r="V424" s="14" t="inlineStr">
        <is>
          <t>미착수</t>
        </is>
      </c>
      <c r="W424" s="18" t="n"/>
      <c r="X424" s="18" t="n"/>
      <c r="Y424" s="15" t="n"/>
      <c r="Z424" s="15" t="inlineStr"/>
      <c r="AA424" s="15" t="inlineStr">
        <is>
          <t>Simon answered him, “Master, we worked all night and caught nothing; but at your word I will let down the net.”</t>
        </is>
      </c>
    </row>
    <row r="425">
      <c r="A425" s="14" t="n">
        <v>424</v>
      </c>
      <c r="B425" s="14" t="inlineStr">
        <is>
          <t>W0424</t>
        </is>
      </c>
      <c r="C425" s="14" t="inlineStr">
        <is>
          <t>신약</t>
        </is>
      </c>
      <c r="D425" s="14" t="n">
        <v>60</v>
      </c>
      <c r="E425" s="14">
        <f>C425&amp;"말씀 #"&amp;TEXT(D425,"000")</f>
        <v/>
      </c>
      <c r="F425" s="14" t="inlineStr">
        <is>
          <t>누가복음</t>
        </is>
      </c>
      <c r="G425" s="14" t="inlineStr">
        <is>
          <t>6:31</t>
        </is>
      </c>
      <c r="H425" s="15" t="inlineStr">
        <is>
          <t>(눅 6:31, 개역한글)</t>
        </is>
      </c>
      <c r="I425" s="14" t="inlineStr">
        <is>
          <t>사랑</t>
        </is>
      </c>
      <c r="J425" s="14" t="inlineStr">
        <is>
          <t>창가·식탁</t>
        </is>
      </c>
      <c r="K425" s="16" t="inlineStr">
        <is>
          <t>남에게 대접을 받고자 하는 대로 너희도 남을 대접하라</t>
        </is>
      </c>
      <c r="L425" s="14" t="inlineStr">
        <is>
          <t>자동 입력</t>
        </is>
      </c>
      <c r="M425" s="14">
        <f>LEN(K425)</f>
        <v/>
      </c>
      <c r="N425" s="14">
        <f>IF(M425=0,"-",ROUND(3+M425/'안내'!$C$12,0))</f>
        <v/>
      </c>
      <c r="O425" s="15">
        <f>IF(K425="","(본문 입력 후 자동) | 눅 6:31",IF(LEN(K425)&gt;28,LEFT(K425,28)&amp;"…",K425)&amp;" | 눅 6:31")</f>
        <v/>
      </c>
      <c r="P425" s="15">
        <f>"#"&amp;SUBSTITUTE('안내'!$C$5," ","")&amp;" #성경구절 #말씀 #누가복음 #사랑"</f>
        <v/>
      </c>
      <c r="Q425" s="15" t="inlineStr">
        <is>
          <t>성경 본문: 개역한글판</t>
        </is>
      </c>
      <c r="R425" s="17">
        <f>'안내'!$C$6+INT((D425-1)/'안내'!$C$7)</f>
        <v/>
      </c>
      <c r="S425" s="14">
        <f>IF(MOD(D425-1,'안내'!$C$7)=0,'안내'!$C$9,'안내'!$C$11)</f>
        <v/>
      </c>
      <c r="T425" s="14">
        <f>CHOOSE(WEEKDAY(R425,2),"월","화","수","목","금","토","일")</f>
        <v/>
      </c>
      <c r="U425" s="14" t="inlineStr">
        <is>
          <t>미착수</t>
        </is>
      </c>
      <c r="V425" s="14" t="inlineStr">
        <is>
          <t>미착수</t>
        </is>
      </c>
      <c r="W425" s="18" t="n"/>
      <c r="X425" s="18" t="n"/>
      <c r="Y425" s="15" t="n"/>
      <c r="Z425" s="15" t="inlineStr"/>
      <c r="AA425" s="15" t="inlineStr">
        <is>
          <t>“As you would like people to do to you, do exactly so to them.</t>
        </is>
      </c>
    </row>
    <row r="426">
      <c r="A426" s="14" t="n">
        <v>425</v>
      </c>
      <c r="B426" s="14" t="inlineStr">
        <is>
          <t>W0425</t>
        </is>
      </c>
      <c r="C426" s="14" t="inlineStr">
        <is>
          <t>신약</t>
        </is>
      </c>
      <c r="D426" s="14" t="n">
        <v>61</v>
      </c>
      <c r="E426" s="14">
        <f>C426&amp;"말씀 #"&amp;TEXT(D426,"000")</f>
        <v/>
      </c>
      <c r="F426" s="14" t="inlineStr">
        <is>
          <t>누가복음</t>
        </is>
      </c>
      <c r="G426" s="14" t="inlineStr">
        <is>
          <t>6:36</t>
        </is>
      </c>
      <c r="H426" s="15" t="inlineStr">
        <is>
          <t>(눅 6:36, 개역한글)</t>
        </is>
      </c>
      <c r="I426" s="14" t="inlineStr">
        <is>
          <t>사랑</t>
        </is>
      </c>
      <c r="J426" s="14" t="inlineStr">
        <is>
          <t>창가·식탁</t>
        </is>
      </c>
      <c r="K426" s="16" t="inlineStr">
        <is>
          <t>너희 아버지의 자비하심같이 너희도 자비하라</t>
        </is>
      </c>
      <c r="L426" s="14" t="inlineStr">
        <is>
          <t>자동 입력</t>
        </is>
      </c>
      <c r="M426" s="14">
        <f>LEN(K426)</f>
        <v/>
      </c>
      <c r="N426" s="14">
        <f>IF(M426=0,"-",ROUND(3+M426/'안내'!$C$12,0))</f>
        <v/>
      </c>
      <c r="O426" s="15">
        <f>IF(K426="","(본문 입력 후 자동) | 눅 6:36",IF(LEN(K426)&gt;28,LEFT(K426,28)&amp;"…",K426)&amp;" | 눅 6:36")</f>
        <v/>
      </c>
      <c r="P426" s="15">
        <f>"#"&amp;SUBSTITUTE('안내'!$C$5," ","")&amp;" #성경구절 #말씀 #누가복음 #사랑"</f>
        <v/>
      </c>
      <c r="Q426" s="15" t="inlineStr">
        <is>
          <t>성경 본문: 개역한글판</t>
        </is>
      </c>
      <c r="R426" s="17">
        <f>'안내'!$C$6+INT((D426-1)/'안내'!$C$7)</f>
        <v/>
      </c>
      <c r="S426" s="14">
        <f>IF(MOD(D426-1,'안내'!$C$7)=0,'안내'!$C$9,'안내'!$C$11)</f>
        <v/>
      </c>
      <c r="T426" s="14">
        <f>CHOOSE(WEEKDAY(R426,2),"월","화","수","목","금","토","일")</f>
        <v/>
      </c>
      <c r="U426" s="14" t="inlineStr">
        <is>
          <t>미착수</t>
        </is>
      </c>
      <c r="V426" s="14" t="inlineStr">
        <is>
          <t>미착수</t>
        </is>
      </c>
      <c r="W426" s="18" t="n"/>
      <c r="X426" s="18" t="n"/>
      <c r="Y426" s="15" t="n"/>
      <c r="Z426" s="15" t="inlineStr"/>
      <c r="AA426" s="15" t="inlineStr">
        <is>
          <t>“Therefore be merciful, even as your Father is also merciful.</t>
        </is>
      </c>
    </row>
    <row r="427">
      <c r="A427" s="14" t="n">
        <v>426</v>
      </c>
      <c r="B427" s="14" t="inlineStr">
        <is>
          <t>W0426</t>
        </is>
      </c>
      <c r="C427" s="14" t="inlineStr">
        <is>
          <t>신약</t>
        </is>
      </c>
      <c r="D427" s="14" t="n">
        <v>62</v>
      </c>
      <c r="E427" s="14">
        <f>C427&amp;"말씀 #"&amp;TEXT(D427,"000")</f>
        <v/>
      </c>
      <c r="F427" s="14" t="inlineStr">
        <is>
          <t>누가복음</t>
        </is>
      </c>
      <c r="G427" s="14" t="inlineStr">
        <is>
          <t>6:38</t>
        </is>
      </c>
      <c r="H427" s="15" t="inlineStr">
        <is>
          <t>(눅 6:38, 개역한글)</t>
        </is>
      </c>
      <c r="I427" s="14" t="inlineStr">
        <is>
          <t>나눔</t>
        </is>
      </c>
      <c r="J427" s="14" t="inlineStr">
        <is>
          <t>들판·나무</t>
        </is>
      </c>
      <c r="K427" s="16" t="inlineStr">
        <is>
          <t>주라 그리하면 너희에게 줄 것이니 곧 후히 되어 누르고 흔들어 넘치도록 하여 너희에게 안겨 주리라 너희의 헤아리는 그 헤아림으로 너희도 헤아림을 도로 받을 것이니라</t>
        </is>
      </c>
      <c r="L427" s="14" t="inlineStr">
        <is>
          <t>자동 입력</t>
        </is>
      </c>
      <c r="M427" s="14">
        <f>LEN(K427)</f>
        <v/>
      </c>
      <c r="N427" s="14">
        <f>IF(M427=0,"-",ROUND(3+M427/'안내'!$C$12,0))</f>
        <v/>
      </c>
      <c r="O427" s="15">
        <f>IF(K427="","(본문 입력 후 자동) | 눅 6:38",IF(LEN(K427)&gt;28,LEFT(K427,28)&amp;"…",K427)&amp;" | 눅 6:38")</f>
        <v/>
      </c>
      <c r="P427" s="15">
        <f>"#"&amp;SUBSTITUTE('안내'!$C$5," ","")&amp;" #성경구절 #말씀 #누가복음 #나눔"</f>
        <v/>
      </c>
      <c r="Q427" s="19" t="inlineStr">
        <is>
          <t>헌금하면 더 많이 돌려받는다는 뜻이 아니라, 너그럽게 베푸는 삶에 관한 말씀입니다.
성경 본문: 개역한글판</t>
        </is>
      </c>
      <c r="R427" s="17">
        <f>'안내'!$C$6+INT((D427-1)/'안내'!$C$7)</f>
        <v/>
      </c>
      <c r="S427" s="14">
        <f>IF(MOD(D427-1,'안내'!$C$7)=0,'안내'!$C$9,'안내'!$C$11)</f>
        <v/>
      </c>
      <c r="T427" s="14">
        <f>CHOOSE(WEEKDAY(R427,2),"월","화","수","목","금","토","일")</f>
        <v/>
      </c>
      <c r="U427" s="14" t="inlineStr">
        <is>
          <t>미착수</t>
        </is>
      </c>
      <c r="V427" s="14" t="inlineStr">
        <is>
          <t>미착수</t>
        </is>
      </c>
      <c r="W427" s="18" t="n"/>
      <c r="X427" s="18" t="n"/>
      <c r="Y427" s="15" t="n"/>
      <c r="Z427" s="15" t="inlineStr"/>
      <c r="AA427" s="15" t="inlineStr">
        <is>
          <t>“Give, and it will be given to you: good measure, pressed down, shaken together, and running over, will be given to you. For with the same measure you measure it will be measured back to you.”</t>
        </is>
      </c>
    </row>
    <row r="428">
      <c r="A428" s="14" t="n">
        <v>427</v>
      </c>
      <c r="B428" s="14" t="inlineStr">
        <is>
          <t>W0427</t>
        </is>
      </c>
      <c r="C428" s="14" t="inlineStr">
        <is>
          <t>신약</t>
        </is>
      </c>
      <c r="D428" s="14" t="n">
        <v>63</v>
      </c>
      <c r="E428" s="14">
        <f>C428&amp;"말씀 #"&amp;TEXT(D428,"000")</f>
        <v/>
      </c>
      <c r="F428" s="14" t="inlineStr">
        <is>
          <t>누가복음</t>
        </is>
      </c>
      <c r="G428" s="14" t="inlineStr">
        <is>
          <t>9:23</t>
        </is>
      </c>
      <c r="H428" s="15" t="inlineStr">
        <is>
          <t>(눅 9:23, 개역한글)</t>
        </is>
      </c>
      <c r="I428" s="14" t="inlineStr">
        <is>
          <t>헌신</t>
        </is>
      </c>
      <c r="J428" s="14" t="inlineStr">
        <is>
          <t>길·등불</t>
        </is>
      </c>
      <c r="K428" s="16" t="inlineStr">
        <is>
          <t>또 무리에게 이르시되 아무든지 나를 따라오려거든 자기를 부인하고 날마다 제 십자가를 지고 나를 좇을 것이니라</t>
        </is>
      </c>
      <c r="L428" s="14" t="inlineStr">
        <is>
          <t>자동 입력</t>
        </is>
      </c>
      <c r="M428" s="14">
        <f>LEN(K428)</f>
        <v/>
      </c>
      <c r="N428" s="14">
        <f>IF(M428=0,"-",ROUND(3+M428/'안내'!$C$12,0))</f>
        <v/>
      </c>
      <c r="O428" s="15">
        <f>IF(K428="","(본문 입력 후 자동) | 눅 9:23",IF(LEN(K428)&gt;28,LEFT(K428,28)&amp;"…",K428)&amp;" | 눅 9:23")</f>
        <v/>
      </c>
      <c r="P428" s="15">
        <f>"#"&amp;SUBSTITUTE('안내'!$C$5," ","")&amp;" #성경구절 #말씀 #누가복음 #헌신"</f>
        <v/>
      </c>
      <c r="Q428" s="15" t="inlineStr">
        <is>
          <t>성경 본문: 개역한글판</t>
        </is>
      </c>
      <c r="R428" s="17">
        <f>'안내'!$C$6+INT((D428-1)/'안내'!$C$7)</f>
        <v/>
      </c>
      <c r="S428" s="14">
        <f>IF(MOD(D428-1,'안내'!$C$7)=0,'안내'!$C$9,'안내'!$C$11)</f>
        <v/>
      </c>
      <c r="T428" s="14">
        <f>CHOOSE(WEEKDAY(R428,2),"월","화","수","목","금","토","일")</f>
        <v/>
      </c>
      <c r="U428" s="14" t="inlineStr">
        <is>
          <t>미착수</t>
        </is>
      </c>
      <c r="V428" s="14" t="inlineStr">
        <is>
          <t>미착수</t>
        </is>
      </c>
      <c r="W428" s="18" t="n"/>
      <c r="X428" s="18" t="n"/>
      <c r="Y428" s="15" t="n"/>
      <c r="Z428" s="15" t="inlineStr"/>
      <c r="AA428" s="15" t="inlineStr">
        <is>
          <t>He said to all, “If anyone desires to come after me, let him deny himself, take up his cross, and follow me.</t>
        </is>
      </c>
    </row>
    <row r="429">
      <c r="A429" s="14" t="n">
        <v>428</v>
      </c>
      <c r="B429" s="14" t="inlineStr">
        <is>
          <t>W0428</t>
        </is>
      </c>
      <c r="C429" s="14" t="inlineStr">
        <is>
          <t>신약</t>
        </is>
      </c>
      <c r="D429" s="14" t="n">
        <v>64</v>
      </c>
      <c r="E429" s="14">
        <f>C429&amp;"말씀 #"&amp;TEXT(D429,"000")</f>
        <v/>
      </c>
      <c r="F429" s="14" t="inlineStr">
        <is>
          <t>누가복음</t>
        </is>
      </c>
      <c r="G429" s="14" t="inlineStr">
        <is>
          <t>10:42</t>
        </is>
      </c>
      <c r="H429" s="15" t="inlineStr">
        <is>
          <t>(눅 10:42, 개역한글)</t>
        </is>
      </c>
      <c r="I429" s="14" t="inlineStr">
        <is>
          <t>예배</t>
        </is>
      </c>
      <c r="J429" s="14" t="inlineStr">
        <is>
          <t>하늘·별</t>
        </is>
      </c>
      <c r="K429" s="16" t="inlineStr">
        <is>
          <t>그러나 몇 가지만 하든지 혹 한 가지만이라도 족하니라 마리아는 이 좋은 편을 택하였으니 빼앗기지 아니하리라 하시니라</t>
        </is>
      </c>
      <c r="L429" s="14" t="inlineStr">
        <is>
          <t>자동 입력</t>
        </is>
      </c>
      <c r="M429" s="14">
        <f>LEN(K429)</f>
        <v/>
      </c>
      <c r="N429" s="14">
        <f>IF(M429=0,"-",ROUND(3+M429/'안내'!$C$12,0))</f>
        <v/>
      </c>
      <c r="O429" s="15">
        <f>IF(K429="","(본문 입력 후 자동) | 눅 10:42",IF(LEN(K429)&gt;28,LEFT(K429,28)&amp;"…",K429)&amp;" | 눅 10:42")</f>
        <v/>
      </c>
      <c r="P429" s="15">
        <f>"#"&amp;SUBSTITUTE('안내'!$C$5," ","")&amp;" #성경구절 #말씀 #누가복음 #예배"</f>
        <v/>
      </c>
      <c r="Q429" s="15" t="inlineStr">
        <is>
          <t>성경 본문: 개역한글판</t>
        </is>
      </c>
      <c r="R429" s="17">
        <f>'안내'!$C$6+INT((D429-1)/'안내'!$C$7)</f>
        <v/>
      </c>
      <c r="S429" s="14">
        <f>IF(MOD(D429-1,'안내'!$C$7)=0,'안내'!$C$9,'안내'!$C$11)</f>
        <v/>
      </c>
      <c r="T429" s="14">
        <f>CHOOSE(WEEKDAY(R429,2),"월","화","수","목","금","토","일")</f>
        <v/>
      </c>
      <c r="U429" s="14" t="inlineStr">
        <is>
          <t>미착수</t>
        </is>
      </c>
      <c r="V429" s="14" t="inlineStr">
        <is>
          <t>미착수</t>
        </is>
      </c>
      <c r="W429" s="18" t="n"/>
      <c r="X429" s="18" t="n"/>
      <c r="Y429" s="15" t="n"/>
      <c r="Z429" s="15" t="inlineStr"/>
      <c r="AA429" s="15" t="inlineStr">
        <is>
          <t>but one thing is needed. Mary has chosen the good part, which will not be taken away from her.”</t>
        </is>
      </c>
    </row>
    <row r="430">
      <c r="A430" s="14" t="n">
        <v>429</v>
      </c>
      <c r="B430" s="14" t="inlineStr">
        <is>
          <t>W0429</t>
        </is>
      </c>
      <c r="C430" s="14" t="inlineStr">
        <is>
          <t>신약</t>
        </is>
      </c>
      <c r="D430" s="14" t="n">
        <v>65</v>
      </c>
      <c r="E430" s="14">
        <f>C430&amp;"말씀 #"&amp;TEXT(D430,"000")</f>
        <v/>
      </c>
      <c r="F430" s="14" t="inlineStr">
        <is>
          <t>누가복음</t>
        </is>
      </c>
      <c r="G430" s="14" t="inlineStr">
        <is>
          <t>11:13</t>
        </is>
      </c>
      <c r="H430" s="15" t="inlineStr">
        <is>
          <t>(눅 11:13, 개역한글)</t>
        </is>
      </c>
      <c r="I430" s="14" t="inlineStr">
        <is>
          <t>성령</t>
        </is>
      </c>
      <c r="J430" s="14" t="inlineStr">
        <is>
          <t>하늘·별</t>
        </is>
      </c>
      <c r="K430" s="16" t="inlineStr">
        <is>
          <t>너희가 악할지라도 좋은 것을 자식에게 줄 줄 알거든 하물며 너희 천부께서 구하는 자에게 성령을 주시지 않겠느냐 하시니라</t>
        </is>
      </c>
      <c r="L430" s="14" t="inlineStr">
        <is>
          <t>자동 입력 · 대조 필요</t>
        </is>
      </c>
      <c r="M430" s="14">
        <f>LEN(K430)</f>
        <v/>
      </c>
      <c r="N430" s="14">
        <f>IF(M430=0,"-",ROUND(3+M430/'안내'!$C$12,0))</f>
        <v/>
      </c>
      <c r="O430" s="15">
        <f>IF(K430="","(본문 입력 후 자동) | 눅 11:13",IF(LEN(K430)&gt;28,LEFT(K430,28)&amp;"…",K430)&amp;" | 눅 11:13")</f>
        <v/>
      </c>
      <c r="P430" s="15">
        <f>"#"&amp;SUBSTITUTE('안내'!$C$5," ","")&amp;" #성경구절 #말씀 #누가복음 #성령"</f>
        <v/>
      </c>
      <c r="Q430" s="15" t="inlineStr">
        <is>
          <t>성경 본문: 개역한글판</t>
        </is>
      </c>
      <c r="R430" s="17">
        <f>'안내'!$C$6+INT((D430-1)/'안내'!$C$7)</f>
        <v/>
      </c>
      <c r="S430" s="14">
        <f>IF(MOD(D430-1,'안내'!$C$7)=0,'안내'!$C$9,'안내'!$C$11)</f>
        <v/>
      </c>
      <c r="T430" s="14">
        <f>CHOOSE(WEEKDAY(R430,2),"월","화","수","목","금","토","일")</f>
        <v/>
      </c>
      <c r="U430" s="14" t="inlineStr">
        <is>
          <t>미착수</t>
        </is>
      </c>
      <c r="V430" s="14" t="inlineStr">
        <is>
          <t>미착수</t>
        </is>
      </c>
      <c r="W430" s="18" t="n"/>
      <c r="X430" s="18" t="n"/>
      <c r="Y430" s="15" t="n"/>
      <c r="Z430" s="15" t="inlineStr">
        <is>
          <t>줄바꿈 띄어쓰기 확인</t>
        </is>
      </c>
      <c r="AA430" s="15" t="inlineStr">
        <is>
          <t>If you then, being evil, know how to give good gifts to your children, how much more will your heavenly Father give the Holy Spirit to those who ask him?” ✡ ✡</t>
        </is>
      </c>
    </row>
    <row r="431">
      <c r="A431" s="14" t="n">
        <v>430</v>
      </c>
      <c r="B431" s="14" t="inlineStr">
        <is>
          <t>W0430</t>
        </is>
      </c>
      <c r="C431" s="14" t="inlineStr">
        <is>
          <t>신약</t>
        </is>
      </c>
      <c r="D431" s="14" t="n">
        <v>66</v>
      </c>
      <c r="E431" s="14">
        <f>C431&amp;"말씀 #"&amp;TEXT(D431,"000")</f>
        <v/>
      </c>
      <c r="F431" s="14" t="inlineStr">
        <is>
          <t>누가복음</t>
        </is>
      </c>
      <c r="G431" s="14" t="inlineStr">
        <is>
          <t>12:15</t>
        </is>
      </c>
      <c r="H431" s="15" t="inlineStr">
        <is>
          <t>(눅 12:15, 개역한글)</t>
        </is>
      </c>
      <c r="I431" s="14" t="inlineStr">
        <is>
          <t>지혜</t>
        </is>
      </c>
      <c r="J431" s="14" t="inlineStr">
        <is>
          <t>들판·나무</t>
        </is>
      </c>
      <c r="K431" s="16" t="inlineStr">
        <is>
          <t>저희에게 이르시되 삼가 모든 탐심을 물리치라 사람의 생명이 그 소유의 넉넉한 데 있지 아니하니라 하시고</t>
        </is>
      </c>
      <c r="L431" s="14" t="inlineStr">
        <is>
          <t>자동 입력</t>
        </is>
      </c>
      <c r="M431" s="14">
        <f>LEN(K431)</f>
        <v/>
      </c>
      <c r="N431" s="14">
        <f>IF(M431=0,"-",ROUND(3+M431/'안내'!$C$12,0))</f>
        <v/>
      </c>
      <c r="O431" s="15">
        <f>IF(K431="","(본문 입력 후 자동) | 눅 12:15",IF(LEN(K431)&gt;28,LEFT(K431,28)&amp;"…",K431)&amp;" | 눅 12:15")</f>
        <v/>
      </c>
      <c r="P431" s="15">
        <f>"#"&amp;SUBSTITUTE('안내'!$C$5," ","")&amp;" #성경구절 #말씀 #누가복음 #지혜"</f>
        <v/>
      </c>
      <c r="Q431" s="15" t="inlineStr">
        <is>
          <t>성경 본문: 개역한글판</t>
        </is>
      </c>
      <c r="R431" s="17">
        <f>'안내'!$C$6+INT((D431-1)/'안내'!$C$7)</f>
        <v/>
      </c>
      <c r="S431" s="14">
        <f>IF(MOD(D431-1,'안내'!$C$7)=0,'안내'!$C$9,'안내'!$C$11)</f>
        <v/>
      </c>
      <c r="T431" s="14">
        <f>CHOOSE(WEEKDAY(R431,2),"월","화","수","목","금","토","일")</f>
        <v/>
      </c>
      <c r="U431" s="14" t="inlineStr">
        <is>
          <t>미착수</t>
        </is>
      </c>
      <c r="V431" s="14" t="inlineStr">
        <is>
          <t>미착수</t>
        </is>
      </c>
      <c r="W431" s="18" t="n"/>
      <c r="X431" s="18" t="n"/>
      <c r="Y431" s="15" t="n"/>
      <c r="Z431" s="15" t="inlineStr"/>
      <c r="AA431" s="15" t="inlineStr">
        <is>
          <t>He said to them, “Beware! Keep your- selves from covetousness, for a man’s life doesn’t consist of the abundance of the things which he possesses.”</t>
        </is>
      </c>
    </row>
    <row r="432">
      <c r="A432" s="14" t="n">
        <v>431</v>
      </c>
      <c r="B432" s="14" t="inlineStr">
        <is>
          <t>W0431</t>
        </is>
      </c>
      <c r="C432" s="14" t="inlineStr">
        <is>
          <t>신약</t>
        </is>
      </c>
      <c r="D432" s="14" t="n">
        <v>67</v>
      </c>
      <c r="E432" s="14">
        <f>C432&amp;"말씀 #"&amp;TEXT(D432,"000")</f>
        <v/>
      </c>
      <c r="F432" s="14" t="inlineStr">
        <is>
          <t>누가복음</t>
        </is>
      </c>
      <c r="G432" s="14" t="inlineStr">
        <is>
          <t>15:7</t>
        </is>
      </c>
      <c r="H432" s="15" t="inlineStr">
        <is>
          <t>(눅 15:7, 개역한글)</t>
        </is>
      </c>
      <c r="I432" s="14" t="inlineStr">
        <is>
          <t>회개</t>
        </is>
      </c>
      <c r="J432" s="14" t="inlineStr">
        <is>
          <t>제단·십자가</t>
        </is>
      </c>
      <c r="K432" s="16" t="inlineStr">
        <is>
          <t>내가 너희에게 이르노니 이와 같이 죄인 하나가 회개하면 하늘에서는 회개할 것 없는 의인 아흔아홉을 인하여 기뻐하는 것보다 더하리라</t>
        </is>
      </c>
      <c r="L432" s="14" t="inlineStr">
        <is>
          <t>자동 입력</t>
        </is>
      </c>
      <c r="M432" s="14">
        <f>LEN(K432)</f>
        <v/>
      </c>
      <c r="N432" s="14">
        <f>IF(M432=0,"-",ROUND(3+M432/'안내'!$C$12,0))</f>
        <v/>
      </c>
      <c r="O432" s="15">
        <f>IF(K432="","(본문 입력 후 자동) | 눅 15:7",IF(LEN(K432)&gt;28,LEFT(K432,28)&amp;"…",K432)&amp;" | 눅 15:7")</f>
        <v/>
      </c>
      <c r="P432" s="15">
        <f>"#"&amp;SUBSTITUTE('안내'!$C$5," ","")&amp;" #성경구절 #말씀 #누가복음 #회개"</f>
        <v/>
      </c>
      <c r="Q432" s="15" t="inlineStr">
        <is>
          <t>성경 본문: 개역한글판</t>
        </is>
      </c>
      <c r="R432" s="17">
        <f>'안내'!$C$6+INT((D432-1)/'안내'!$C$7)</f>
        <v/>
      </c>
      <c r="S432" s="14">
        <f>IF(MOD(D432-1,'안내'!$C$7)=0,'안내'!$C$9,'안내'!$C$11)</f>
        <v/>
      </c>
      <c r="T432" s="14">
        <f>CHOOSE(WEEKDAY(R432,2),"월","화","수","목","금","토","일")</f>
        <v/>
      </c>
      <c r="U432" s="14" t="inlineStr">
        <is>
          <t>미착수</t>
        </is>
      </c>
      <c r="V432" s="14" t="inlineStr">
        <is>
          <t>미착수</t>
        </is>
      </c>
      <c r="W432" s="18" t="n"/>
      <c r="X432" s="18" t="n"/>
      <c r="Y432" s="15" t="n"/>
      <c r="Z432" s="15" t="inlineStr"/>
      <c r="AA432" s="15" t="inlineStr">
        <is>
          <t>I tell you that even so there will be more joy in heaven over one sinner who repents, than over ninety-nine righteous people who need no repentance.</t>
        </is>
      </c>
    </row>
    <row r="433">
      <c r="A433" s="14" t="n">
        <v>432</v>
      </c>
      <c r="B433" s="14" t="inlineStr">
        <is>
          <t>W0432</t>
        </is>
      </c>
      <c r="C433" s="14" t="inlineStr">
        <is>
          <t>신약</t>
        </is>
      </c>
      <c r="D433" s="14" t="n">
        <v>68</v>
      </c>
      <c r="E433" s="14">
        <f>C433&amp;"말씀 #"&amp;TEXT(D433,"000")</f>
        <v/>
      </c>
      <c r="F433" s="14" t="inlineStr">
        <is>
          <t>누가복음</t>
        </is>
      </c>
      <c r="G433" s="14" t="inlineStr">
        <is>
          <t>15:20</t>
        </is>
      </c>
      <c r="H433" s="15" t="inlineStr">
        <is>
          <t>(눅 15:20, 개역한글)</t>
        </is>
      </c>
      <c r="I433" s="14" t="inlineStr">
        <is>
          <t>사랑</t>
        </is>
      </c>
      <c r="J433" s="14" t="inlineStr">
        <is>
          <t>창가·식탁</t>
        </is>
      </c>
      <c r="K433" s="16" t="inlineStr">
        <is>
          <t>이에 일어나서 아버지께 돌아가니라 아직도 상거가 먼 데 아버지가 저를 보고 측은히 여겨 달려가 목을 안고 입을 맞추니</t>
        </is>
      </c>
      <c r="L433" s="14" t="inlineStr">
        <is>
          <t>자동 입력</t>
        </is>
      </c>
      <c r="M433" s="14">
        <f>LEN(K433)</f>
        <v/>
      </c>
      <c r="N433" s="14">
        <f>IF(M433=0,"-",ROUND(3+M433/'안내'!$C$12,0))</f>
        <v/>
      </c>
      <c r="O433" s="15">
        <f>IF(K433="","(본문 입력 후 자동) | 눅 15:20",IF(LEN(K433)&gt;28,LEFT(K433,28)&amp;"…",K433)&amp;" | 눅 15:20")</f>
        <v/>
      </c>
      <c r="P433" s="15">
        <f>"#"&amp;SUBSTITUTE('안내'!$C$5," ","")&amp;" #성경구절 #말씀 #누가복음 #사랑"</f>
        <v/>
      </c>
      <c r="Q433" s="15" t="inlineStr">
        <is>
          <t>성경 본문: 개역한글판</t>
        </is>
      </c>
      <c r="R433" s="17">
        <f>'안내'!$C$6+INT((D433-1)/'안내'!$C$7)</f>
        <v/>
      </c>
      <c r="S433" s="14">
        <f>IF(MOD(D433-1,'안내'!$C$7)=0,'안내'!$C$9,'안내'!$C$11)</f>
        <v/>
      </c>
      <c r="T433" s="14">
        <f>CHOOSE(WEEKDAY(R433,2),"월","화","수","목","금","토","일")</f>
        <v/>
      </c>
      <c r="U433" s="14" t="inlineStr">
        <is>
          <t>미착수</t>
        </is>
      </c>
      <c r="V433" s="14" t="inlineStr">
        <is>
          <t>미착수</t>
        </is>
      </c>
      <c r="W433" s="18" t="n"/>
      <c r="X433" s="18" t="n"/>
      <c r="Y433" s="15" t="n"/>
      <c r="Z433" s="15" t="inlineStr"/>
      <c r="AA433" s="15" t="inlineStr">
        <is>
          <t>“He arose and came to his father. But while he was still far off, his father saw him and was moved with compassion, and ran, fell on his neck, and kissed him.</t>
        </is>
      </c>
    </row>
    <row r="434">
      <c r="A434" s="14" t="n">
        <v>433</v>
      </c>
      <c r="B434" s="14" t="inlineStr">
        <is>
          <t>W0433</t>
        </is>
      </c>
      <c r="C434" s="14" t="inlineStr">
        <is>
          <t>신약</t>
        </is>
      </c>
      <c r="D434" s="14" t="n">
        <v>69</v>
      </c>
      <c r="E434" s="14">
        <f>C434&amp;"말씀 #"&amp;TEXT(D434,"000")</f>
        <v/>
      </c>
      <c r="F434" s="14" t="inlineStr">
        <is>
          <t>누가복음</t>
        </is>
      </c>
      <c r="G434" s="14" t="inlineStr">
        <is>
          <t>15:24</t>
        </is>
      </c>
      <c r="H434" s="15" t="inlineStr">
        <is>
          <t>(눅 15:24, 개역한글)</t>
        </is>
      </c>
      <c r="I434" s="14" t="inlineStr">
        <is>
          <t>회복</t>
        </is>
      </c>
      <c r="J434" s="14" t="inlineStr">
        <is>
          <t>새벽빛</t>
        </is>
      </c>
      <c r="K434" s="16" t="inlineStr">
        <is>
          <t>이 내 아들은 죽었다가 다시 살아났으며 내가 잃었다가 다시 얻었노라 하니 저희가 즐거워하더라</t>
        </is>
      </c>
      <c r="L434" s="14" t="inlineStr">
        <is>
          <t>자동 입력</t>
        </is>
      </c>
      <c r="M434" s="14">
        <f>LEN(K434)</f>
        <v/>
      </c>
      <c r="N434" s="14">
        <f>IF(M434=0,"-",ROUND(3+M434/'안내'!$C$12,0))</f>
        <v/>
      </c>
      <c r="O434" s="15">
        <f>IF(K434="","(본문 입력 후 자동) | 눅 15:24",IF(LEN(K434)&gt;28,LEFT(K434,28)&amp;"…",K434)&amp;" | 눅 15:24")</f>
        <v/>
      </c>
      <c r="P434" s="15">
        <f>"#"&amp;SUBSTITUTE('안내'!$C$5," ","")&amp;" #성경구절 #말씀 #누가복음 #회복"</f>
        <v/>
      </c>
      <c r="Q434" s="15" t="inlineStr">
        <is>
          <t>성경 본문: 개역한글판</t>
        </is>
      </c>
      <c r="R434" s="17">
        <f>'안내'!$C$6+INT((D434-1)/'안내'!$C$7)</f>
        <v/>
      </c>
      <c r="S434" s="14">
        <f>IF(MOD(D434-1,'안내'!$C$7)=0,'안내'!$C$9,'안내'!$C$11)</f>
        <v/>
      </c>
      <c r="T434" s="14">
        <f>CHOOSE(WEEKDAY(R434,2),"월","화","수","목","금","토","일")</f>
        <v/>
      </c>
      <c r="U434" s="14" t="inlineStr">
        <is>
          <t>미착수</t>
        </is>
      </c>
      <c r="V434" s="14" t="inlineStr">
        <is>
          <t>미착수</t>
        </is>
      </c>
      <c r="W434" s="18" t="n"/>
      <c r="X434" s="18" t="n"/>
      <c r="Y434" s="15" t="n"/>
      <c r="Z434" s="15" t="inlineStr"/>
      <c r="AA434" s="15" t="inlineStr">
        <is>
          <t>for this, my son, was dead and is alive again. He was lost and is found.’ Then they began to celebrate.</t>
        </is>
      </c>
    </row>
    <row r="435">
      <c r="A435" s="14" t="n">
        <v>434</v>
      </c>
      <c r="B435" s="14" t="inlineStr">
        <is>
          <t>W0434</t>
        </is>
      </c>
      <c r="C435" s="14" t="inlineStr">
        <is>
          <t>신약</t>
        </is>
      </c>
      <c r="D435" s="14" t="n">
        <v>70</v>
      </c>
      <c r="E435" s="14">
        <f>C435&amp;"말씀 #"&amp;TEXT(D435,"000")</f>
        <v/>
      </c>
      <c r="F435" s="14" t="inlineStr">
        <is>
          <t>누가복음</t>
        </is>
      </c>
      <c r="G435" s="14" t="inlineStr">
        <is>
          <t>18:1</t>
        </is>
      </c>
      <c r="H435" s="15" t="inlineStr">
        <is>
          <t>(눅 18:1, 개역한글)</t>
        </is>
      </c>
      <c r="I435" s="14" t="inlineStr">
        <is>
          <t>기도</t>
        </is>
      </c>
      <c r="J435" s="14" t="inlineStr">
        <is>
          <t>제단·십자가</t>
        </is>
      </c>
      <c r="K435" s="16" t="inlineStr">
        <is>
          <t>항상 기도하고 낙망치 말아야 될 것을 저희에게 비유로 하여</t>
        </is>
      </c>
      <c r="L435" s="14" t="inlineStr">
        <is>
          <t>자동 입력</t>
        </is>
      </c>
      <c r="M435" s="14">
        <f>LEN(K435)</f>
        <v/>
      </c>
      <c r="N435" s="14">
        <f>IF(M435=0,"-",ROUND(3+M435/'안내'!$C$12,0))</f>
        <v/>
      </c>
      <c r="O435" s="15">
        <f>IF(K435="","(본문 입력 후 자동) | 눅 18:1",IF(LEN(K435)&gt;28,LEFT(K435,28)&amp;"…",K435)&amp;" | 눅 18:1")</f>
        <v/>
      </c>
      <c r="P435" s="15">
        <f>"#"&amp;SUBSTITUTE('안내'!$C$5," ","")&amp;" #성경구절 #말씀 #누가복음 #기도"</f>
        <v/>
      </c>
      <c r="Q435" s="15" t="inlineStr">
        <is>
          <t>성경 본문: 개역한글판</t>
        </is>
      </c>
      <c r="R435" s="17">
        <f>'안내'!$C$6+INT((D435-1)/'안내'!$C$7)</f>
        <v/>
      </c>
      <c r="S435" s="14">
        <f>IF(MOD(D435-1,'안내'!$C$7)=0,'안내'!$C$9,'안내'!$C$11)</f>
        <v/>
      </c>
      <c r="T435" s="14">
        <f>CHOOSE(WEEKDAY(R435,2),"월","화","수","목","금","토","일")</f>
        <v/>
      </c>
      <c r="U435" s="14" t="inlineStr">
        <is>
          <t>미착수</t>
        </is>
      </c>
      <c r="V435" s="14" t="inlineStr">
        <is>
          <t>미착수</t>
        </is>
      </c>
      <c r="W435" s="18" t="n"/>
      <c r="X435" s="18" t="n"/>
      <c r="Y435" s="15" t="n"/>
      <c r="Z435" s="15" t="inlineStr"/>
      <c r="AA435" s="15" t="inlineStr">
        <is>
          <t>He also spoke a parable to them that they must always pray and not give up,</t>
        </is>
      </c>
    </row>
    <row r="436">
      <c r="A436" s="14" t="n">
        <v>435</v>
      </c>
      <c r="B436" s="14" t="inlineStr">
        <is>
          <t>W0435</t>
        </is>
      </c>
      <c r="C436" s="14" t="inlineStr">
        <is>
          <t>신약</t>
        </is>
      </c>
      <c r="D436" s="14" t="n">
        <v>71</v>
      </c>
      <c r="E436" s="14">
        <f>C436&amp;"말씀 #"&amp;TEXT(D436,"000")</f>
        <v/>
      </c>
      <c r="F436" s="14" t="inlineStr">
        <is>
          <t>누가복음</t>
        </is>
      </c>
      <c r="G436" s="14" t="inlineStr">
        <is>
          <t>19:10</t>
        </is>
      </c>
      <c r="H436" s="15" t="inlineStr">
        <is>
          <t>(눅 19:10, 개역한글)</t>
        </is>
      </c>
      <c r="I436" s="14" t="inlineStr">
        <is>
          <t>구원</t>
        </is>
      </c>
      <c r="J436" s="14" t="inlineStr">
        <is>
          <t>제단·십자가</t>
        </is>
      </c>
      <c r="K436" s="16" t="inlineStr">
        <is>
          <t>인자의 온 것은 잃어버린 자를 찾아 구원하려 함이니라</t>
        </is>
      </c>
      <c r="L436" s="14" t="inlineStr">
        <is>
          <t>자동 입력</t>
        </is>
      </c>
      <c r="M436" s="14">
        <f>LEN(K436)</f>
        <v/>
      </c>
      <c r="N436" s="14">
        <f>IF(M436=0,"-",ROUND(3+M436/'안내'!$C$12,0))</f>
        <v/>
      </c>
      <c r="O436" s="15">
        <f>IF(K436="","(본문 입력 후 자동) | 눅 19:10",IF(LEN(K436)&gt;28,LEFT(K436,28)&amp;"…",K436)&amp;" | 눅 19:10")</f>
        <v/>
      </c>
      <c r="P436" s="15">
        <f>"#"&amp;SUBSTITUTE('안내'!$C$5," ","")&amp;" #성경구절 #말씀 #누가복음 #구원"</f>
        <v/>
      </c>
      <c r="Q436" s="15" t="inlineStr">
        <is>
          <t>성경 본문: 개역한글판</t>
        </is>
      </c>
      <c r="R436" s="17">
        <f>'안내'!$C$6+INT((D436-1)/'안내'!$C$7)</f>
        <v/>
      </c>
      <c r="S436" s="14">
        <f>IF(MOD(D436-1,'안내'!$C$7)=0,'안내'!$C$9,'안내'!$C$11)</f>
        <v/>
      </c>
      <c r="T436" s="14">
        <f>CHOOSE(WEEKDAY(R436,2),"월","화","수","목","금","토","일")</f>
        <v/>
      </c>
      <c r="U436" s="14" t="inlineStr">
        <is>
          <t>미착수</t>
        </is>
      </c>
      <c r="V436" s="14" t="inlineStr">
        <is>
          <t>미착수</t>
        </is>
      </c>
      <c r="W436" s="18" t="n"/>
      <c r="X436" s="18" t="n"/>
      <c r="Y436" s="15" t="n"/>
      <c r="Z436" s="15" t="inlineStr"/>
      <c r="AA436" s="15" t="inlineStr">
        <is>
          <t>For the Son of Man came to seek and to save that which was lost.”</t>
        </is>
      </c>
    </row>
    <row r="437">
      <c r="A437" s="14" t="n">
        <v>436</v>
      </c>
      <c r="B437" s="14" t="inlineStr">
        <is>
          <t>W0436</t>
        </is>
      </c>
      <c r="C437" s="14" t="inlineStr">
        <is>
          <t>신약</t>
        </is>
      </c>
      <c r="D437" s="14" t="n">
        <v>72</v>
      </c>
      <c r="E437" s="14">
        <f>C437&amp;"말씀 #"&amp;TEXT(D437,"000")</f>
        <v/>
      </c>
      <c r="F437" s="14" t="inlineStr">
        <is>
          <t>누가복음</t>
        </is>
      </c>
      <c r="G437" s="14" t="inlineStr">
        <is>
          <t>22:42</t>
        </is>
      </c>
      <c r="H437" s="15" t="inlineStr">
        <is>
          <t>(눅 22:42, 개역한글)</t>
        </is>
      </c>
      <c r="I437" s="14" t="inlineStr">
        <is>
          <t>순종</t>
        </is>
      </c>
      <c r="J437" s="14" t="inlineStr">
        <is>
          <t>길·등불</t>
        </is>
      </c>
      <c r="K437" s="16" t="inlineStr">
        <is>
          <t>가라사대 아버지여 만일 아버지의 뜻이어든 이 잔을 내게서 옮기시옵소서 그러나 내 원대로 마옵시고 아버지의 원대로 되기를 원하나이다 하시니</t>
        </is>
      </c>
      <c r="L437" s="14" t="inlineStr">
        <is>
          <t>자동 입력</t>
        </is>
      </c>
      <c r="M437" s="14">
        <f>LEN(K437)</f>
        <v/>
      </c>
      <c r="N437" s="14">
        <f>IF(M437=0,"-",ROUND(3+M437/'안내'!$C$12,0))</f>
        <v/>
      </c>
      <c r="O437" s="15">
        <f>IF(K437="","(본문 입력 후 자동) | 눅 22:42",IF(LEN(K437)&gt;28,LEFT(K437,28)&amp;"…",K437)&amp;" | 눅 22:42")</f>
        <v/>
      </c>
      <c r="P437" s="15">
        <f>"#"&amp;SUBSTITUTE('안내'!$C$5," ","")&amp;" #성경구절 #말씀 #누가복음 #순종"</f>
        <v/>
      </c>
      <c r="Q437" s="15" t="inlineStr">
        <is>
          <t>성경 본문: 개역한글판</t>
        </is>
      </c>
      <c r="R437" s="17">
        <f>'안내'!$C$6+INT((D437-1)/'안내'!$C$7)</f>
        <v/>
      </c>
      <c r="S437" s="14">
        <f>IF(MOD(D437-1,'안내'!$C$7)=0,'안내'!$C$9,'안내'!$C$11)</f>
        <v/>
      </c>
      <c r="T437" s="14">
        <f>CHOOSE(WEEKDAY(R437,2),"월","화","수","목","금","토","일")</f>
        <v/>
      </c>
      <c r="U437" s="14" t="inlineStr">
        <is>
          <t>미착수</t>
        </is>
      </c>
      <c r="V437" s="14" t="inlineStr">
        <is>
          <t>미착수</t>
        </is>
      </c>
      <c r="W437" s="18" t="n"/>
      <c r="X437" s="18" t="n"/>
      <c r="Y437" s="15" t="n"/>
      <c r="Z437" s="15" t="inlineStr"/>
      <c r="AA437" s="15" t="inlineStr">
        <is>
          <t>saying, “Father, if you are will- ing, remove this cup from me. Neverthe- less, not my will, but yours, be done.”</t>
        </is>
      </c>
    </row>
    <row r="438">
      <c r="A438" s="14" t="n">
        <v>437</v>
      </c>
      <c r="B438" s="14" t="inlineStr">
        <is>
          <t>W0437</t>
        </is>
      </c>
      <c r="C438" s="14" t="inlineStr">
        <is>
          <t>신약</t>
        </is>
      </c>
      <c r="D438" s="14" t="n">
        <v>73</v>
      </c>
      <c r="E438" s="14">
        <f>C438&amp;"말씀 #"&amp;TEXT(D438,"000")</f>
        <v/>
      </c>
      <c r="F438" s="14" t="inlineStr">
        <is>
          <t>누가복음</t>
        </is>
      </c>
      <c r="G438" s="14" t="inlineStr">
        <is>
          <t>23:34</t>
        </is>
      </c>
      <c r="H438" s="15" t="inlineStr">
        <is>
          <t>(눅 23:34, 개역한글)</t>
        </is>
      </c>
      <c r="I438" s="14" t="inlineStr">
        <is>
          <t>용서</t>
        </is>
      </c>
      <c r="J438" s="14" t="inlineStr">
        <is>
          <t>잔잔한 물</t>
        </is>
      </c>
      <c r="K438" s="16" t="inlineStr">
        <is>
          <t>이에 예수께서 가라사대 아버지여 저희를 사하여 주옵소서 자기의 하는 것을 알지 못함이니이다 하시더라 저희가 그의 옷을 나눠 제비뽑을새</t>
        </is>
      </c>
      <c r="L438" s="14" t="inlineStr">
        <is>
          <t>자동 입력 · 대조 필요</t>
        </is>
      </c>
      <c r="M438" s="14">
        <f>LEN(K438)</f>
        <v/>
      </c>
      <c r="N438" s="14">
        <f>IF(M438=0,"-",ROUND(3+M438/'안내'!$C$12,0))</f>
        <v/>
      </c>
      <c r="O438" s="15">
        <f>IF(K438="","(본문 입력 후 자동) | 눅 23:34",IF(LEN(K438)&gt;28,LEFT(K438,28)&amp;"…",K438)&amp;" | 눅 23:34")</f>
        <v/>
      </c>
      <c r="P438" s="15">
        <f>"#"&amp;SUBSTITUTE('안내'!$C$5," ","")&amp;" #성경구절 #말씀 #누가복음 #용서"</f>
        <v/>
      </c>
      <c r="Q438" s="15" t="inlineStr">
        <is>
          <t>성경 본문: 개역한글판</t>
        </is>
      </c>
      <c r="R438" s="17">
        <f>'안내'!$C$6+INT((D438-1)/'안내'!$C$7)</f>
        <v/>
      </c>
      <c r="S438" s="14">
        <f>IF(MOD(D438-1,'안내'!$C$7)=0,'안내'!$C$9,'안내'!$C$11)</f>
        <v/>
      </c>
      <c r="T438" s="14">
        <f>CHOOSE(WEEKDAY(R438,2),"월","화","수","목","금","토","일")</f>
        <v/>
      </c>
      <c r="U438" s="14" t="inlineStr">
        <is>
          <t>미착수</t>
        </is>
      </c>
      <c r="V438" s="14" t="inlineStr">
        <is>
          <t>미착수</t>
        </is>
      </c>
      <c r="W438" s="18" t="n"/>
      <c r="X438" s="18" t="n"/>
      <c r="Y438" s="15" t="n"/>
      <c r="Z438" s="15" t="inlineStr">
        <is>
          <t>줄바꿈 띄어쓰기 확인</t>
        </is>
      </c>
      <c r="AA438" s="15" t="inlineStr">
        <is>
          <t>Jesus said, “Father, forgive them, for they don’t know what they are doing.” Dividing his garments among them, they cast lots.</t>
        </is>
      </c>
    </row>
    <row r="439">
      <c r="A439" s="14" t="n">
        <v>438</v>
      </c>
      <c r="B439" s="14" t="inlineStr">
        <is>
          <t>W0438</t>
        </is>
      </c>
      <c r="C439" s="14" t="inlineStr">
        <is>
          <t>신약</t>
        </is>
      </c>
      <c r="D439" s="14" t="n">
        <v>74</v>
      </c>
      <c r="E439" s="14">
        <f>C439&amp;"말씀 #"&amp;TEXT(D439,"000")</f>
        <v/>
      </c>
      <c r="F439" s="14" t="inlineStr">
        <is>
          <t>누가복음</t>
        </is>
      </c>
      <c r="G439" s="14" t="inlineStr">
        <is>
          <t>23:43</t>
        </is>
      </c>
      <c r="H439" s="15" t="inlineStr">
        <is>
          <t>(눅 23:43, 개역한글)</t>
        </is>
      </c>
      <c r="I439" s="14" t="inlineStr">
        <is>
          <t>구원</t>
        </is>
      </c>
      <c r="J439" s="14" t="inlineStr">
        <is>
          <t>제단·십자가</t>
        </is>
      </c>
      <c r="K439" s="16" t="inlineStr">
        <is>
          <t>예수께서 이르시되 내가 진실로 네게 이르노니 오늘 네가 나와 함께 낙원에 있으리라 하시니라</t>
        </is>
      </c>
      <c r="L439" s="14" t="inlineStr">
        <is>
          <t>자동 입력</t>
        </is>
      </c>
      <c r="M439" s="14">
        <f>LEN(K439)</f>
        <v/>
      </c>
      <c r="N439" s="14">
        <f>IF(M439=0,"-",ROUND(3+M439/'안내'!$C$12,0))</f>
        <v/>
      </c>
      <c r="O439" s="15">
        <f>IF(K439="","(본문 입력 후 자동) | 눅 23:43",IF(LEN(K439)&gt;28,LEFT(K439,28)&amp;"…",K439)&amp;" | 눅 23:43")</f>
        <v/>
      </c>
      <c r="P439" s="15">
        <f>"#"&amp;SUBSTITUTE('안내'!$C$5," ","")&amp;" #성경구절 #말씀 #누가복음 #구원"</f>
        <v/>
      </c>
      <c r="Q439" s="15" t="inlineStr">
        <is>
          <t>성경 본문: 개역한글판</t>
        </is>
      </c>
      <c r="R439" s="17">
        <f>'안내'!$C$6+INT((D439-1)/'안내'!$C$7)</f>
        <v/>
      </c>
      <c r="S439" s="14">
        <f>IF(MOD(D439-1,'안내'!$C$7)=0,'안내'!$C$9,'안내'!$C$11)</f>
        <v/>
      </c>
      <c r="T439" s="14">
        <f>CHOOSE(WEEKDAY(R439,2),"월","화","수","목","금","토","일")</f>
        <v/>
      </c>
      <c r="U439" s="14" t="inlineStr">
        <is>
          <t>미착수</t>
        </is>
      </c>
      <c r="V439" s="14" t="inlineStr">
        <is>
          <t>미착수</t>
        </is>
      </c>
      <c r="W439" s="18" t="n"/>
      <c r="X439" s="18" t="n"/>
      <c r="Y439" s="15" t="n"/>
      <c r="Z439" s="15" t="inlineStr"/>
      <c r="AA439" s="15" t="inlineStr">
        <is>
          <t>Jesus said to him, “Assuredly I tell you, today you will be with me in Paradise.”</t>
        </is>
      </c>
    </row>
    <row r="440">
      <c r="A440" s="14" t="n">
        <v>439</v>
      </c>
      <c r="B440" s="14" t="inlineStr">
        <is>
          <t>W0439</t>
        </is>
      </c>
      <c r="C440" s="14" t="inlineStr">
        <is>
          <t>신약</t>
        </is>
      </c>
      <c r="D440" s="14" t="n">
        <v>75</v>
      </c>
      <c r="E440" s="14">
        <f>C440&amp;"말씀 #"&amp;TEXT(D440,"000")</f>
        <v/>
      </c>
      <c r="F440" s="14" t="inlineStr">
        <is>
          <t>누가복음</t>
        </is>
      </c>
      <c r="G440" s="14" t="inlineStr">
        <is>
          <t>24:32</t>
        </is>
      </c>
      <c r="H440" s="15" t="inlineStr">
        <is>
          <t>(눅 24:32, 개역한글)</t>
        </is>
      </c>
      <c r="I440" s="14" t="inlineStr">
        <is>
          <t>말씀</t>
        </is>
      </c>
      <c r="J440" s="14" t="inlineStr">
        <is>
          <t>들판·나무</t>
        </is>
      </c>
      <c r="K440" s="16" t="inlineStr">
        <is>
          <t>저희가 서로 말하되 길에서 우리에게 말씀하시고 우리에게 성경을 풀어 주실 때에 우리 속에서 마음이 뜨겁지 아니하더냐 하고</t>
        </is>
      </c>
      <c r="L440" s="14" t="inlineStr">
        <is>
          <t>자동 입력 · 대조 필요</t>
        </is>
      </c>
      <c r="M440" s="14">
        <f>LEN(K440)</f>
        <v/>
      </c>
      <c r="N440" s="14">
        <f>IF(M440=0,"-",ROUND(3+M440/'안내'!$C$12,0))</f>
        <v/>
      </c>
      <c r="O440" s="15">
        <f>IF(K440="","(본문 입력 후 자동) | 눅 24:32",IF(LEN(K440)&gt;28,LEFT(K440,28)&amp;"…",K440)&amp;" | 눅 24:32")</f>
        <v/>
      </c>
      <c r="P440" s="15">
        <f>"#"&amp;SUBSTITUTE('안내'!$C$5," ","")&amp;" #성경구절 #말씀 #누가복음 #말씀"</f>
        <v/>
      </c>
      <c r="Q440" s="15" t="inlineStr">
        <is>
          <t>성경 본문: 개역한글판</t>
        </is>
      </c>
      <c r="R440" s="17">
        <f>'안내'!$C$6+INT((D440-1)/'안내'!$C$7)</f>
        <v/>
      </c>
      <c r="S440" s="14">
        <f>IF(MOD(D440-1,'안내'!$C$7)=0,'안내'!$C$9,'안내'!$C$11)</f>
        <v/>
      </c>
      <c r="T440" s="14">
        <f>CHOOSE(WEEKDAY(R440,2),"월","화","수","목","금","토","일")</f>
        <v/>
      </c>
      <c r="U440" s="14" t="inlineStr">
        <is>
          <t>미착수</t>
        </is>
      </c>
      <c r="V440" s="14" t="inlineStr">
        <is>
          <t>미착수</t>
        </is>
      </c>
      <c r="W440" s="18" t="n"/>
      <c r="X440" s="18" t="n"/>
      <c r="Y440" s="15" t="n"/>
      <c r="Z440" s="15" t="inlineStr">
        <is>
          <t>줄바꿈 띄어쓰기 확인</t>
        </is>
      </c>
      <c r="AA440" s="15" t="inlineStr">
        <is>
          <t>They said to one another, “Weren’t our hearts burning within us while he spoke to us along the way, and while he opened the Scriptures to us?”</t>
        </is>
      </c>
    </row>
    <row r="441">
      <c r="A441" s="14" t="n">
        <v>440</v>
      </c>
      <c r="B441" s="14" t="inlineStr">
        <is>
          <t>W0440</t>
        </is>
      </c>
      <c r="C441" s="14" t="inlineStr">
        <is>
          <t>신약</t>
        </is>
      </c>
      <c r="D441" s="14" t="n">
        <v>76</v>
      </c>
      <c r="E441" s="14">
        <f>C441&amp;"말씀 #"&amp;TEXT(D441,"000")</f>
        <v/>
      </c>
      <c r="F441" s="14" t="inlineStr">
        <is>
          <t>누가복음</t>
        </is>
      </c>
      <c r="G441" s="14" t="inlineStr">
        <is>
          <t>24:49</t>
        </is>
      </c>
      <c r="H441" s="15" t="inlineStr">
        <is>
          <t>(눅 24:49, 개역한글)</t>
        </is>
      </c>
      <c r="I441" s="14" t="inlineStr">
        <is>
          <t>성령</t>
        </is>
      </c>
      <c r="J441" s="14" t="inlineStr">
        <is>
          <t>하늘·별</t>
        </is>
      </c>
      <c r="K441" s="16" t="inlineStr">
        <is>
          <t>볼지어다 내가 내 아버지의 약속하신 것을 너희에게 보내리니 너희는 위로부터 능력을 입히울 때까지 이 성에 유하라 하시니라</t>
        </is>
      </c>
      <c r="L441" s="14" t="inlineStr">
        <is>
          <t>자동 입력</t>
        </is>
      </c>
      <c r="M441" s="14">
        <f>LEN(K441)</f>
        <v/>
      </c>
      <c r="N441" s="14">
        <f>IF(M441=0,"-",ROUND(3+M441/'안내'!$C$12,0))</f>
        <v/>
      </c>
      <c r="O441" s="15">
        <f>IF(K441="","(본문 입력 후 자동) | 눅 24:49",IF(LEN(K441)&gt;28,LEFT(K441,28)&amp;"…",K441)&amp;" | 눅 24:49")</f>
        <v/>
      </c>
      <c r="P441" s="15">
        <f>"#"&amp;SUBSTITUTE('안내'!$C$5," ","")&amp;" #성경구절 #말씀 #누가복음 #성령"</f>
        <v/>
      </c>
      <c r="Q441" s="15" t="inlineStr">
        <is>
          <t>성경 본문: 개역한글판</t>
        </is>
      </c>
      <c r="R441" s="17">
        <f>'안내'!$C$6+INT((D441-1)/'안내'!$C$7)</f>
        <v/>
      </c>
      <c r="S441" s="14">
        <f>IF(MOD(D441-1,'안내'!$C$7)=0,'안내'!$C$9,'안내'!$C$11)</f>
        <v/>
      </c>
      <c r="T441" s="14">
        <f>CHOOSE(WEEKDAY(R441,2),"월","화","수","목","금","토","일")</f>
        <v/>
      </c>
      <c r="U441" s="14" t="inlineStr">
        <is>
          <t>미착수</t>
        </is>
      </c>
      <c r="V441" s="14" t="inlineStr">
        <is>
          <t>미착수</t>
        </is>
      </c>
      <c r="W441" s="18" t="n"/>
      <c r="X441" s="18" t="n"/>
      <c r="Y441" s="15" t="n"/>
      <c r="Z441" s="15" t="inlineStr"/>
      <c r="AA441" s="15" t="inlineStr">
        <is>
          <t>Behold, I send out the promise of my Father on you. But wait in the city of Jerusalem until you are clothed with power from on high.”</t>
        </is>
      </c>
    </row>
    <row r="442">
      <c r="A442" s="14" t="n">
        <v>441</v>
      </c>
      <c r="B442" s="14" t="inlineStr">
        <is>
          <t>W0441</t>
        </is>
      </c>
      <c r="C442" s="14" t="inlineStr">
        <is>
          <t>신약</t>
        </is>
      </c>
      <c r="D442" s="14" t="n">
        <v>77</v>
      </c>
      <c r="E442" s="14">
        <f>C442&amp;"말씀 #"&amp;TEXT(D442,"000")</f>
        <v/>
      </c>
      <c r="F442" s="14" t="inlineStr">
        <is>
          <t>요한복음</t>
        </is>
      </c>
      <c r="G442" s="14" t="inlineStr">
        <is>
          <t>1:1</t>
        </is>
      </c>
      <c r="H442" s="15" t="inlineStr">
        <is>
          <t>(요 1:1, 개역한글)</t>
        </is>
      </c>
      <c r="I442" s="14" t="inlineStr">
        <is>
          <t>말씀</t>
        </is>
      </c>
      <c r="J442" s="14" t="inlineStr">
        <is>
          <t>들판·나무</t>
        </is>
      </c>
      <c r="K442" s="16" t="inlineStr">
        <is>
          <t>태초에 말씀이 계시니라 이 말씀이 하나님과 함께 계셨으니 이 말씀은 곧 하나님이시니라</t>
        </is>
      </c>
      <c r="L442" s="14" t="inlineStr">
        <is>
          <t>자동 입력</t>
        </is>
      </c>
      <c r="M442" s="14">
        <f>LEN(K442)</f>
        <v/>
      </c>
      <c r="N442" s="14">
        <f>IF(M442=0,"-",ROUND(3+M442/'안내'!$C$12,0))</f>
        <v/>
      </c>
      <c r="O442" s="15">
        <f>IF(K442="","(본문 입력 후 자동) | 요 1:1",IF(LEN(K442)&gt;28,LEFT(K442,28)&amp;"…",K442)&amp;" | 요 1:1")</f>
        <v/>
      </c>
      <c r="P442" s="15">
        <f>"#"&amp;SUBSTITUTE('안내'!$C$5," ","")&amp;" #성경구절 #말씀 #요한복음 #말씀"</f>
        <v/>
      </c>
      <c r="Q442" s="15" t="inlineStr">
        <is>
          <t>성경 본문: 개역한글판</t>
        </is>
      </c>
      <c r="R442" s="17">
        <f>'안내'!$C$6+INT((D442-1)/'안내'!$C$7)</f>
        <v/>
      </c>
      <c r="S442" s="14">
        <f>IF(MOD(D442-1,'안내'!$C$7)=0,'안내'!$C$9,'안내'!$C$11)</f>
        <v/>
      </c>
      <c r="T442" s="14">
        <f>CHOOSE(WEEKDAY(R442,2),"월","화","수","목","금","토","일")</f>
        <v/>
      </c>
      <c r="U442" s="14" t="inlineStr">
        <is>
          <t>미착수</t>
        </is>
      </c>
      <c r="V442" s="14" t="inlineStr">
        <is>
          <t>미착수</t>
        </is>
      </c>
      <c r="W442" s="18" t="n"/>
      <c r="X442" s="18" t="n"/>
      <c r="Y442" s="15" t="n"/>
      <c r="Z442" s="15" t="inlineStr"/>
      <c r="AA442" s="15" t="inlineStr">
        <is>
          <t>In the beginning was the Word, and the Word was with God, and the Word was God.</t>
        </is>
      </c>
    </row>
    <row r="443">
      <c r="A443" s="14" t="n">
        <v>442</v>
      </c>
      <c r="B443" s="14" t="inlineStr">
        <is>
          <t>W0442</t>
        </is>
      </c>
      <c r="C443" s="14" t="inlineStr">
        <is>
          <t>신약</t>
        </is>
      </c>
      <c r="D443" s="14" t="n">
        <v>78</v>
      </c>
      <c r="E443" s="14">
        <f>C443&amp;"말씀 #"&amp;TEXT(D443,"000")</f>
        <v/>
      </c>
      <c r="F443" s="14" t="inlineStr">
        <is>
          <t>요한복음</t>
        </is>
      </c>
      <c r="G443" s="14" t="inlineStr">
        <is>
          <t>1:4</t>
        </is>
      </c>
      <c r="H443" s="15" t="inlineStr">
        <is>
          <t>(요 1:4, 개역한글)</t>
        </is>
      </c>
      <c r="I443" s="14" t="inlineStr">
        <is>
          <t>생명</t>
        </is>
      </c>
      <c r="J443" s="14" t="inlineStr">
        <is>
          <t>새벽빛</t>
        </is>
      </c>
      <c r="K443" s="16" t="inlineStr">
        <is>
          <t>그 안에 생명이 있었으니 이 생명은 사람들의 빛이라</t>
        </is>
      </c>
      <c r="L443" s="14" t="inlineStr">
        <is>
          <t>자동 입력</t>
        </is>
      </c>
      <c r="M443" s="14">
        <f>LEN(K443)</f>
        <v/>
      </c>
      <c r="N443" s="14">
        <f>IF(M443=0,"-",ROUND(3+M443/'안내'!$C$12,0))</f>
        <v/>
      </c>
      <c r="O443" s="15">
        <f>IF(K443="","(본문 입력 후 자동) | 요 1:4",IF(LEN(K443)&gt;28,LEFT(K443,28)&amp;"…",K443)&amp;" | 요 1:4")</f>
        <v/>
      </c>
      <c r="P443" s="15">
        <f>"#"&amp;SUBSTITUTE('안내'!$C$5," ","")&amp;" #성경구절 #말씀 #요한복음 #생명"</f>
        <v/>
      </c>
      <c r="Q443" s="15" t="inlineStr">
        <is>
          <t>성경 본문: 개역한글판</t>
        </is>
      </c>
      <c r="R443" s="17">
        <f>'안내'!$C$6+INT((D443-1)/'안내'!$C$7)</f>
        <v/>
      </c>
      <c r="S443" s="14">
        <f>IF(MOD(D443-1,'안내'!$C$7)=0,'안내'!$C$9,'안내'!$C$11)</f>
        <v/>
      </c>
      <c r="T443" s="14">
        <f>CHOOSE(WEEKDAY(R443,2),"월","화","수","목","금","토","일")</f>
        <v/>
      </c>
      <c r="U443" s="14" t="inlineStr">
        <is>
          <t>미착수</t>
        </is>
      </c>
      <c r="V443" s="14" t="inlineStr">
        <is>
          <t>미착수</t>
        </is>
      </c>
      <c r="W443" s="18" t="n"/>
      <c r="X443" s="18" t="n"/>
      <c r="Y443" s="15" t="n"/>
      <c r="Z443" s="15" t="inlineStr"/>
      <c r="AA443" s="15" t="inlineStr">
        <is>
          <t>In him was life, and the life was the light of men.</t>
        </is>
      </c>
    </row>
    <row r="444">
      <c r="A444" s="14" t="n">
        <v>443</v>
      </c>
      <c r="B444" s="14" t="inlineStr">
        <is>
          <t>W0443</t>
        </is>
      </c>
      <c r="C444" s="14" t="inlineStr">
        <is>
          <t>신약</t>
        </is>
      </c>
      <c r="D444" s="14" t="n">
        <v>79</v>
      </c>
      <c r="E444" s="14">
        <f>C444&amp;"말씀 #"&amp;TEXT(D444,"000")</f>
        <v/>
      </c>
      <c r="F444" s="14" t="inlineStr">
        <is>
          <t>요한복음</t>
        </is>
      </c>
      <c r="G444" s="14" t="inlineStr">
        <is>
          <t>1:12</t>
        </is>
      </c>
      <c r="H444" s="15" t="inlineStr">
        <is>
          <t>(요 1:12, 개역한글)</t>
        </is>
      </c>
      <c r="I444" s="14" t="inlineStr">
        <is>
          <t>구원</t>
        </is>
      </c>
      <c r="J444" s="14" t="inlineStr">
        <is>
          <t>제단·십자가</t>
        </is>
      </c>
      <c r="K444" s="16" t="inlineStr">
        <is>
          <t>영접하는 자 곧 그 이름을 믿는 자들에게는 하나님의 자녀가 되는 권세를 주셨으니</t>
        </is>
      </c>
      <c r="L444" s="14" t="inlineStr">
        <is>
          <t>자동 입력</t>
        </is>
      </c>
      <c r="M444" s="14">
        <f>LEN(K444)</f>
        <v/>
      </c>
      <c r="N444" s="14">
        <f>IF(M444=0,"-",ROUND(3+M444/'안내'!$C$12,0))</f>
        <v/>
      </c>
      <c r="O444" s="15">
        <f>IF(K444="","(본문 입력 후 자동) | 요 1:12",IF(LEN(K444)&gt;28,LEFT(K444,28)&amp;"…",K444)&amp;" | 요 1:12")</f>
        <v/>
      </c>
      <c r="P444" s="15">
        <f>"#"&amp;SUBSTITUTE('안내'!$C$5," ","")&amp;" #성경구절 #말씀 #요한복음 #구원"</f>
        <v/>
      </c>
      <c r="Q444" s="15" t="inlineStr">
        <is>
          <t>성경 본문: 개역한글판</t>
        </is>
      </c>
      <c r="R444" s="17">
        <f>'안내'!$C$6+INT((D444-1)/'안내'!$C$7)</f>
        <v/>
      </c>
      <c r="S444" s="14">
        <f>IF(MOD(D444-1,'안내'!$C$7)=0,'안내'!$C$9,'안내'!$C$11)</f>
        <v/>
      </c>
      <c r="T444" s="14">
        <f>CHOOSE(WEEKDAY(R444,2),"월","화","수","목","금","토","일")</f>
        <v/>
      </c>
      <c r="U444" s="14" t="inlineStr">
        <is>
          <t>미착수</t>
        </is>
      </c>
      <c r="V444" s="14" t="inlineStr">
        <is>
          <t>미착수</t>
        </is>
      </c>
      <c r="W444" s="18" t="n"/>
      <c r="X444" s="18" t="n"/>
      <c r="Y444" s="15" t="n"/>
      <c r="Z444" s="15" t="inlineStr"/>
      <c r="AA444" s="15" t="inlineStr">
        <is>
          <t>But as many as received him, to them he gave the right to become God’s children, to those who believe in his name:</t>
        </is>
      </c>
    </row>
    <row r="445">
      <c r="A445" s="14" t="n">
        <v>444</v>
      </c>
      <c r="B445" s="14" t="inlineStr">
        <is>
          <t>W0444</t>
        </is>
      </c>
      <c r="C445" s="14" t="inlineStr">
        <is>
          <t>신약</t>
        </is>
      </c>
      <c r="D445" s="14" t="n">
        <v>80</v>
      </c>
      <c r="E445" s="14">
        <f>C445&amp;"말씀 #"&amp;TEXT(D445,"000")</f>
        <v/>
      </c>
      <c r="F445" s="14" t="inlineStr">
        <is>
          <t>요한복음</t>
        </is>
      </c>
      <c r="G445" s="14" t="inlineStr">
        <is>
          <t>1:14</t>
        </is>
      </c>
      <c r="H445" s="15" t="inlineStr">
        <is>
          <t>(요 1:14, 개역한글)</t>
        </is>
      </c>
      <c r="I445" s="14" t="inlineStr">
        <is>
          <t>임재</t>
        </is>
      </c>
      <c r="J445" s="14" t="inlineStr">
        <is>
          <t>하늘·별</t>
        </is>
      </c>
      <c r="K445" s="16" t="inlineStr">
        <is>
          <t>말씀이 육신이 되어 우리 가운데 거하시매 우리가 그 영광을 보니 아버지의 독생자의 영광이요 은혜와 진리가 충만하더라</t>
        </is>
      </c>
      <c r="L445" s="14" t="inlineStr">
        <is>
          <t>자동 입력</t>
        </is>
      </c>
      <c r="M445" s="14">
        <f>LEN(K445)</f>
        <v/>
      </c>
      <c r="N445" s="14">
        <f>IF(M445=0,"-",ROUND(3+M445/'안내'!$C$12,0))</f>
        <v/>
      </c>
      <c r="O445" s="15">
        <f>IF(K445="","(본문 입력 후 자동) | 요 1:14",IF(LEN(K445)&gt;28,LEFT(K445,28)&amp;"…",K445)&amp;" | 요 1:14")</f>
        <v/>
      </c>
      <c r="P445" s="15">
        <f>"#"&amp;SUBSTITUTE('안내'!$C$5," ","")&amp;" #성경구절 #말씀 #요한복음 #임재"</f>
        <v/>
      </c>
      <c r="Q445" s="15" t="inlineStr">
        <is>
          <t>성경 본문: 개역한글판</t>
        </is>
      </c>
      <c r="R445" s="17">
        <f>'안내'!$C$6+INT((D445-1)/'안내'!$C$7)</f>
        <v/>
      </c>
      <c r="S445" s="14">
        <f>IF(MOD(D445-1,'안내'!$C$7)=0,'안내'!$C$9,'안내'!$C$11)</f>
        <v/>
      </c>
      <c r="T445" s="14">
        <f>CHOOSE(WEEKDAY(R445,2),"월","화","수","목","금","토","일")</f>
        <v/>
      </c>
      <c r="U445" s="14" t="inlineStr">
        <is>
          <t>미착수</t>
        </is>
      </c>
      <c r="V445" s="14" t="inlineStr">
        <is>
          <t>미착수</t>
        </is>
      </c>
      <c r="W445" s="18" t="n"/>
      <c r="X445" s="18" t="n"/>
      <c r="Y445" s="15" t="n"/>
      <c r="Z445" s="15" t="inlineStr"/>
      <c r="AA445" s="15" t="inlineStr">
        <is>
          <t>The Word became flesh and lived among us. We saw his glory, such glory as of the only born Son of the Father, full of grace and truth.</t>
        </is>
      </c>
    </row>
    <row r="446">
      <c r="A446" s="14" t="n">
        <v>445</v>
      </c>
      <c r="B446" s="14" t="inlineStr">
        <is>
          <t>W0445</t>
        </is>
      </c>
      <c r="C446" s="14" t="inlineStr">
        <is>
          <t>신약</t>
        </is>
      </c>
      <c r="D446" s="14" t="n">
        <v>81</v>
      </c>
      <c r="E446" s="14">
        <f>C446&amp;"말씀 #"&amp;TEXT(D446,"000")</f>
        <v/>
      </c>
      <c r="F446" s="14" t="inlineStr">
        <is>
          <t>요한복음</t>
        </is>
      </c>
      <c r="G446" s="14" t="inlineStr">
        <is>
          <t>1:29</t>
        </is>
      </c>
      <c r="H446" s="15" t="inlineStr">
        <is>
          <t>(요 1:29, 개역한글)</t>
        </is>
      </c>
      <c r="I446" s="14" t="inlineStr">
        <is>
          <t>구원</t>
        </is>
      </c>
      <c r="J446" s="14" t="inlineStr">
        <is>
          <t>제단·십자가</t>
        </is>
      </c>
      <c r="K446" s="16" t="inlineStr">
        <is>
          <t>이튿날 요한이 예수께서 자기에게 나아오심을 보고 가로되 보라 세상 죄를 지고 가는 하나님의 어린 양이로다</t>
        </is>
      </c>
      <c r="L446" s="14" t="inlineStr">
        <is>
          <t>자동 입력</t>
        </is>
      </c>
      <c r="M446" s="14">
        <f>LEN(K446)</f>
        <v/>
      </c>
      <c r="N446" s="14">
        <f>IF(M446=0,"-",ROUND(3+M446/'안내'!$C$12,0))</f>
        <v/>
      </c>
      <c r="O446" s="15">
        <f>IF(K446="","(본문 입력 후 자동) | 요 1:29",IF(LEN(K446)&gt;28,LEFT(K446,28)&amp;"…",K446)&amp;" | 요 1:29")</f>
        <v/>
      </c>
      <c r="P446" s="15">
        <f>"#"&amp;SUBSTITUTE('안내'!$C$5," ","")&amp;" #성경구절 #말씀 #요한복음 #구원"</f>
        <v/>
      </c>
      <c r="Q446" s="15" t="inlineStr">
        <is>
          <t>성경 본문: 개역한글판</t>
        </is>
      </c>
      <c r="R446" s="17">
        <f>'안내'!$C$6+INT((D446-1)/'안내'!$C$7)</f>
        <v/>
      </c>
      <c r="S446" s="14">
        <f>IF(MOD(D446-1,'안내'!$C$7)=0,'안내'!$C$9,'안내'!$C$11)</f>
        <v/>
      </c>
      <c r="T446" s="14">
        <f>CHOOSE(WEEKDAY(R446,2),"월","화","수","목","금","토","일")</f>
        <v/>
      </c>
      <c r="U446" s="14" t="inlineStr">
        <is>
          <t>미착수</t>
        </is>
      </c>
      <c r="V446" s="14" t="inlineStr">
        <is>
          <t>미착수</t>
        </is>
      </c>
      <c r="W446" s="18" t="n"/>
      <c r="X446" s="18" t="n"/>
      <c r="Y446" s="15" t="n"/>
      <c r="Z446" s="15" t="inlineStr"/>
      <c r="AA446" s="15" t="inlineStr">
        <is>
          <t>The next day, he saw Jesus coming to him, and said, “Behold, the Lamb of God, who takes away the sin of the world!</t>
        </is>
      </c>
    </row>
    <row r="447">
      <c r="A447" s="14" t="n">
        <v>446</v>
      </c>
      <c r="B447" s="14" t="inlineStr">
        <is>
          <t>W0446</t>
        </is>
      </c>
      <c r="C447" s="14" t="inlineStr">
        <is>
          <t>신약</t>
        </is>
      </c>
      <c r="D447" s="14" t="n">
        <v>82</v>
      </c>
      <c r="E447" s="14">
        <f>C447&amp;"말씀 #"&amp;TEXT(D447,"000")</f>
        <v/>
      </c>
      <c r="F447" s="14" t="inlineStr">
        <is>
          <t>요한복음</t>
        </is>
      </c>
      <c r="G447" s="14" t="inlineStr">
        <is>
          <t>3:3</t>
        </is>
      </c>
      <c r="H447" s="15" t="inlineStr">
        <is>
          <t>(요 3:3, 개역한글)</t>
        </is>
      </c>
      <c r="I447" s="14" t="inlineStr">
        <is>
          <t>새 마음</t>
        </is>
      </c>
      <c r="J447" s="14" t="inlineStr">
        <is>
          <t>새벽빛</t>
        </is>
      </c>
      <c r="K447" s="16" t="inlineStr">
        <is>
          <t>예수께서 대답하여 가라사대 진실로 진실로 네게 이르노니 사람이 거듭나지 아니하면 하나님 나라를 볼 수 없느니라</t>
        </is>
      </c>
      <c r="L447" s="14" t="inlineStr">
        <is>
          <t>자동 입력</t>
        </is>
      </c>
      <c r="M447" s="14">
        <f>LEN(K447)</f>
        <v/>
      </c>
      <c r="N447" s="14">
        <f>IF(M447=0,"-",ROUND(3+M447/'안내'!$C$12,0))</f>
        <v/>
      </c>
      <c r="O447" s="15">
        <f>IF(K447="","(본문 입력 후 자동) | 요 3:3",IF(LEN(K447)&gt;28,LEFT(K447,28)&amp;"…",K447)&amp;" | 요 3:3")</f>
        <v/>
      </c>
      <c r="P447" s="15">
        <f>"#"&amp;SUBSTITUTE('안내'!$C$5," ","")&amp;" #성경구절 #말씀 #요한복음 #새마음"</f>
        <v/>
      </c>
      <c r="Q447" s="15" t="inlineStr">
        <is>
          <t>성경 본문: 개역한글판</t>
        </is>
      </c>
      <c r="R447" s="17">
        <f>'안내'!$C$6+INT((D447-1)/'안내'!$C$7)</f>
        <v/>
      </c>
      <c r="S447" s="14">
        <f>IF(MOD(D447-1,'안내'!$C$7)=0,'안내'!$C$9,'안내'!$C$11)</f>
        <v/>
      </c>
      <c r="T447" s="14">
        <f>CHOOSE(WEEKDAY(R447,2),"월","화","수","목","금","토","일")</f>
        <v/>
      </c>
      <c r="U447" s="14" t="inlineStr">
        <is>
          <t>미착수</t>
        </is>
      </c>
      <c r="V447" s="14" t="inlineStr">
        <is>
          <t>미착수</t>
        </is>
      </c>
      <c r="W447" s="18" t="n"/>
      <c r="X447" s="18" t="n"/>
      <c r="Y447" s="15" t="n"/>
      <c r="Z447" s="15" t="inlineStr"/>
      <c r="AA447" s="15" t="inlineStr">
        <is>
          <t>Jesus answered him, “Most certainly I tell you, unless one is born anew, he can’t see God’s Kingdom.”</t>
        </is>
      </c>
    </row>
    <row r="448">
      <c r="A448" s="14" t="n">
        <v>447</v>
      </c>
      <c r="B448" s="14" t="inlineStr">
        <is>
          <t>W0447</t>
        </is>
      </c>
      <c r="C448" s="14" t="inlineStr">
        <is>
          <t>신약</t>
        </is>
      </c>
      <c r="D448" s="14" t="n">
        <v>83</v>
      </c>
      <c r="E448" s="14">
        <f>C448&amp;"말씀 #"&amp;TEXT(D448,"000")</f>
        <v/>
      </c>
      <c r="F448" s="14" t="inlineStr">
        <is>
          <t>요한복음</t>
        </is>
      </c>
      <c r="G448" s="14" t="inlineStr">
        <is>
          <t>3:16</t>
        </is>
      </c>
      <c r="H448" s="15" t="inlineStr">
        <is>
          <t>(요 3:16, 개역한글)</t>
        </is>
      </c>
      <c r="I448" s="14" t="inlineStr">
        <is>
          <t>사랑</t>
        </is>
      </c>
      <c r="J448" s="14" t="inlineStr">
        <is>
          <t>창가·식탁</t>
        </is>
      </c>
      <c r="K448" s="16" t="inlineStr">
        <is>
          <t>하나님이 세상을 이처럼 사랑하사 독생자를 주셨으니 이는 저를 믿는 자마다 멸망치 않고 영생을 얻게 하려 하심이니라</t>
        </is>
      </c>
      <c r="L448" s="14" t="inlineStr">
        <is>
          <t>자동 입력</t>
        </is>
      </c>
      <c r="M448" s="14">
        <f>LEN(K448)</f>
        <v/>
      </c>
      <c r="N448" s="14">
        <f>IF(M448=0,"-",ROUND(3+M448/'안내'!$C$12,0))</f>
        <v/>
      </c>
      <c r="O448" s="15">
        <f>IF(K448="","(본문 입력 후 자동) | 요 3:16",IF(LEN(K448)&gt;28,LEFT(K448,28)&amp;"…",K448)&amp;" | 요 3:16")</f>
        <v/>
      </c>
      <c r="P448" s="15">
        <f>"#"&amp;SUBSTITUTE('안내'!$C$5," ","")&amp;" #성경구절 #말씀 #요한복음 #사랑"</f>
        <v/>
      </c>
      <c r="Q448" s="15" t="inlineStr">
        <is>
          <t>성경 본문: 개역한글판</t>
        </is>
      </c>
      <c r="R448" s="17">
        <f>'안내'!$C$6+INT((D448-1)/'안내'!$C$7)</f>
        <v/>
      </c>
      <c r="S448" s="14">
        <f>IF(MOD(D448-1,'안내'!$C$7)=0,'안내'!$C$9,'안내'!$C$11)</f>
        <v/>
      </c>
      <c r="T448" s="14">
        <f>CHOOSE(WEEKDAY(R448,2),"월","화","수","목","금","토","일")</f>
        <v/>
      </c>
      <c r="U448" s="14" t="inlineStr">
        <is>
          <t>미착수</t>
        </is>
      </c>
      <c r="V448" s="14" t="inlineStr">
        <is>
          <t>미착수</t>
        </is>
      </c>
      <c r="W448" s="18" t="n"/>
      <c r="X448" s="18" t="n"/>
      <c r="Y448" s="15" t="n"/>
      <c r="Z448" s="15" t="inlineStr"/>
      <c r="AA448" s="15" t="inlineStr">
        <is>
          <t>For God so loved the world, that he gave his only born Son, that whoever believes in him should not perish, but have eternal life.</t>
        </is>
      </c>
    </row>
    <row r="449">
      <c r="A449" s="14" t="n">
        <v>448</v>
      </c>
      <c r="B449" s="14" t="inlineStr">
        <is>
          <t>W0448</t>
        </is>
      </c>
      <c r="C449" s="14" t="inlineStr">
        <is>
          <t>신약</t>
        </is>
      </c>
      <c r="D449" s="14" t="n">
        <v>84</v>
      </c>
      <c r="E449" s="14">
        <f>C449&amp;"말씀 #"&amp;TEXT(D449,"000")</f>
        <v/>
      </c>
      <c r="F449" s="14" t="inlineStr">
        <is>
          <t>요한복음</t>
        </is>
      </c>
      <c r="G449" s="14" t="inlineStr">
        <is>
          <t>3:30</t>
        </is>
      </c>
      <c r="H449" s="15" t="inlineStr">
        <is>
          <t>(요 3:30, 개역한글)</t>
        </is>
      </c>
      <c r="I449" s="14" t="inlineStr">
        <is>
          <t>겸손</t>
        </is>
      </c>
      <c r="J449" s="14" t="inlineStr">
        <is>
          <t>창가·식탁</t>
        </is>
      </c>
      <c r="K449" s="16" t="inlineStr">
        <is>
          <t>그는 흥하여야 하겠고 나는 쇠하여야 하리라 하니라</t>
        </is>
      </c>
      <c r="L449" s="14" t="inlineStr">
        <is>
          <t>자동 입력</t>
        </is>
      </c>
      <c r="M449" s="14">
        <f>LEN(K449)</f>
        <v/>
      </c>
      <c r="N449" s="14">
        <f>IF(M449=0,"-",ROUND(3+M449/'안내'!$C$12,0))</f>
        <v/>
      </c>
      <c r="O449" s="15">
        <f>IF(K449="","(본문 입력 후 자동) | 요 3:30",IF(LEN(K449)&gt;28,LEFT(K449,28)&amp;"…",K449)&amp;" | 요 3:30")</f>
        <v/>
      </c>
      <c r="P449" s="15">
        <f>"#"&amp;SUBSTITUTE('안내'!$C$5," ","")&amp;" #성경구절 #말씀 #요한복음 #겸손"</f>
        <v/>
      </c>
      <c r="Q449" s="15" t="inlineStr">
        <is>
          <t>성경 본문: 개역한글판</t>
        </is>
      </c>
      <c r="R449" s="17">
        <f>'안내'!$C$6+INT((D449-1)/'안내'!$C$7)</f>
        <v/>
      </c>
      <c r="S449" s="14">
        <f>IF(MOD(D449-1,'안내'!$C$7)=0,'안내'!$C$9,'안내'!$C$11)</f>
        <v/>
      </c>
      <c r="T449" s="14">
        <f>CHOOSE(WEEKDAY(R449,2),"월","화","수","목","금","토","일")</f>
        <v/>
      </c>
      <c r="U449" s="14" t="inlineStr">
        <is>
          <t>미착수</t>
        </is>
      </c>
      <c r="V449" s="14" t="inlineStr">
        <is>
          <t>미착수</t>
        </is>
      </c>
      <c r="W449" s="18" t="n"/>
      <c r="X449" s="18" t="n"/>
      <c r="Y449" s="15" t="n"/>
      <c r="Z449" s="15" t="inlineStr"/>
      <c r="AA449" s="15" t="inlineStr">
        <is>
          <t>He must increase, but I must decrease.</t>
        </is>
      </c>
    </row>
    <row r="450">
      <c r="A450" s="14" t="n">
        <v>449</v>
      </c>
      <c r="B450" s="14" t="inlineStr">
        <is>
          <t>W0449</t>
        </is>
      </c>
      <c r="C450" s="14" t="inlineStr">
        <is>
          <t>신약</t>
        </is>
      </c>
      <c r="D450" s="14" t="n">
        <v>85</v>
      </c>
      <c r="E450" s="14">
        <f>C450&amp;"말씀 #"&amp;TEXT(D450,"000")</f>
        <v/>
      </c>
      <c r="F450" s="14" t="inlineStr">
        <is>
          <t>요한복음</t>
        </is>
      </c>
      <c r="G450" s="14" t="inlineStr">
        <is>
          <t>4:14</t>
        </is>
      </c>
      <c r="H450" s="15" t="inlineStr">
        <is>
          <t>(요 4:14, 개역한글)</t>
        </is>
      </c>
      <c r="I450" s="14" t="inlineStr">
        <is>
          <t>생명</t>
        </is>
      </c>
      <c r="J450" s="14" t="inlineStr">
        <is>
          <t>새벽빛</t>
        </is>
      </c>
      <c r="K450" s="16" t="inlineStr">
        <is>
          <t>내가 주는 물을 먹는 자는 영원히 목마르지 아니하리니 나의 주는 물은 그 속에서 영생하도록 솟아나는 샘물이 되리라</t>
        </is>
      </c>
      <c r="L450" s="14" t="inlineStr">
        <is>
          <t>자동 입력</t>
        </is>
      </c>
      <c r="M450" s="14">
        <f>LEN(K450)</f>
        <v/>
      </c>
      <c r="N450" s="14">
        <f>IF(M450=0,"-",ROUND(3+M450/'안내'!$C$12,0))</f>
        <v/>
      </c>
      <c r="O450" s="15">
        <f>IF(K450="","(본문 입력 후 자동) | 요 4:14",IF(LEN(K450)&gt;28,LEFT(K450,28)&amp;"…",K450)&amp;" | 요 4:14")</f>
        <v/>
      </c>
      <c r="P450" s="15">
        <f>"#"&amp;SUBSTITUTE('안내'!$C$5," ","")&amp;" #성경구절 #말씀 #요한복음 #생명"</f>
        <v/>
      </c>
      <c r="Q450" s="15" t="inlineStr">
        <is>
          <t>성경 본문: 개역한글판</t>
        </is>
      </c>
      <c r="R450" s="17">
        <f>'안내'!$C$6+INT((D450-1)/'안내'!$C$7)</f>
        <v/>
      </c>
      <c r="S450" s="14">
        <f>IF(MOD(D450-1,'안내'!$C$7)=0,'안내'!$C$9,'안내'!$C$11)</f>
        <v/>
      </c>
      <c r="T450" s="14">
        <f>CHOOSE(WEEKDAY(R450,2),"월","화","수","목","금","토","일")</f>
        <v/>
      </c>
      <c r="U450" s="14" t="inlineStr">
        <is>
          <t>미착수</t>
        </is>
      </c>
      <c r="V450" s="14" t="inlineStr">
        <is>
          <t>미착수</t>
        </is>
      </c>
      <c r="W450" s="18" t="n"/>
      <c r="X450" s="18" t="n"/>
      <c r="Y450" s="15" t="n"/>
      <c r="Z450" s="15" t="inlineStr"/>
      <c r="AA450" s="15" t="inlineStr">
        <is>
          <t>but whoever drinks of the water that I will give him will never thirst again; but the water that I will give him will become in him a well of water springing up to eternal life.”</t>
        </is>
      </c>
    </row>
    <row r="451">
      <c r="A451" s="14" t="n">
        <v>450</v>
      </c>
      <c r="B451" s="14" t="inlineStr">
        <is>
          <t>W0450</t>
        </is>
      </c>
      <c r="C451" s="14" t="inlineStr">
        <is>
          <t>신약</t>
        </is>
      </c>
      <c r="D451" s="14" t="n">
        <v>86</v>
      </c>
      <c r="E451" s="14">
        <f>C451&amp;"말씀 #"&amp;TEXT(D451,"000")</f>
        <v/>
      </c>
      <c r="F451" s="14" t="inlineStr">
        <is>
          <t>요한복음</t>
        </is>
      </c>
      <c r="G451" s="14" t="inlineStr">
        <is>
          <t>4:24</t>
        </is>
      </c>
      <c r="H451" s="15" t="inlineStr">
        <is>
          <t>(요 4:24, 개역한글)</t>
        </is>
      </c>
      <c r="I451" s="14" t="inlineStr">
        <is>
          <t>예배</t>
        </is>
      </c>
      <c r="J451" s="14" t="inlineStr">
        <is>
          <t>하늘·별</t>
        </is>
      </c>
      <c r="K451" s="16" t="inlineStr">
        <is>
          <t>하나님은 영이시니 예배하는 자가 신령과 진정으로 예배할지니라</t>
        </is>
      </c>
      <c r="L451" s="14" t="inlineStr">
        <is>
          <t>자동 입력</t>
        </is>
      </c>
      <c r="M451" s="14">
        <f>LEN(K451)</f>
        <v/>
      </c>
      <c r="N451" s="14">
        <f>IF(M451=0,"-",ROUND(3+M451/'안내'!$C$12,0))</f>
        <v/>
      </c>
      <c r="O451" s="15">
        <f>IF(K451="","(본문 입력 후 자동) | 요 4:24",IF(LEN(K451)&gt;28,LEFT(K451,28)&amp;"…",K451)&amp;" | 요 4:24")</f>
        <v/>
      </c>
      <c r="P451" s="15">
        <f>"#"&amp;SUBSTITUTE('안내'!$C$5," ","")&amp;" #성경구절 #말씀 #요한복음 #예배"</f>
        <v/>
      </c>
      <c r="Q451" s="15" t="inlineStr">
        <is>
          <t>성경 본문: 개역한글판</t>
        </is>
      </c>
      <c r="R451" s="17">
        <f>'안내'!$C$6+INT((D451-1)/'안내'!$C$7)</f>
        <v/>
      </c>
      <c r="S451" s="14">
        <f>IF(MOD(D451-1,'안내'!$C$7)=0,'안내'!$C$9,'안내'!$C$11)</f>
        <v/>
      </c>
      <c r="T451" s="14">
        <f>CHOOSE(WEEKDAY(R451,2),"월","화","수","목","금","토","일")</f>
        <v/>
      </c>
      <c r="U451" s="14" t="inlineStr">
        <is>
          <t>미착수</t>
        </is>
      </c>
      <c r="V451" s="14" t="inlineStr">
        <is>
          <t>미착수</t>
        </is>
      </c>
      <c r="W451" s="18" t="n"/>
      <c r="X451" s="18" t="n"/>
      <c r="Y451" s="15" t="n"/>
      <c r="Z451" s="15" t="inlineStr"/>
      <c r="AA451" s="15" t="inlineStr">
        <is>
          <t>God is spirit, and those who worship him must worship in spirit and truth.”</t>
        </is>
      </c>
    </row>
    <row r="452">
      <c r="A452" s="14" t="n">
        <v>451</v>
      </c>
      <c r="B452" s="14" t="inlineStr">
        <is>
          <t>W0451</t>
        </is>
      </c>
      <c r="C452" s="14" t="inlineStr">
        <is>
          <t>신약</t>
        </is>
      </c>
      <c r="D452" s="14" t="n">
        <v>87</v>
      </c>
      <c r="E452" s="14">
        <f>C452&amp;"말씀 #"&amp;TEXT(D452,"000")</f>
        <v/>
      </c>
      <c r="F452" s="14" t="inlineStr">
        <is>
          <t>요한복음</t>
        </is>
      </c>
      <c r="G452" s="14" t="inlineStr">
        <is>
          <t>5:24</t>
        </is>
      </c>
      <c r="H452" s="15" t="inlineStr">
        <is>
          <t>(요 5:24, 개역한글)</t>
        </is>
      </c>
      <c r="I452" s="14" t="inlineStr">
        <is>
          <t>생명</t>
        </is>
      </c>
      <c r="J452" s="14" t="inlineStr">
        <is>
          <t>새벽빛</t>
        </is>
      </c>
      <c r="K452" s="16" t="inlineStr">
        <is>
          <t>내가 진실로 진실로 너희에게 이르노니 내 말을 듣고 또 나 보내신 이를 믿는 자는 영생을 얻었고 심판에 이르지 아니하나니 사망에서 생명으로 옮겼느니라</t>
        </is>
      </c>
      <c r="L452" s="14" t="inlineStr">
        <is>
          <t>자동 입력 · 대조 필요</t>
        </is>
      </c>
      <c r="M452" s="14">
        <f>LEN(K452)</f>
        <v/>
      </c>
      <c r="N452" s="14">
        <f>IF(M452=0,"-",ROUND(3+M452/'안내'!$C$12,0))</f>
        <v/>
      </c>
      <c r="O452" s="15">
        <f>IF(K452="","(본문 입력 후 자동) | 요 5:24",IF(LEN(K452)&gt;28,LEFT(K452,28)&amp;"…",K452)&amp;" | 요 5:24")</f>
        <v/>
      </c>
      <c r="P452" s="15">
        <f>"#"&amp;SUBSTITUTE('안내'!$C$5," ","")&amp;" #성경구절 #말씀 #요한복음 #생명"</f>
        <v/>
      </c>
      <c r="Q452" s="15" t="inlineStr">
        <is>
          <t>성경 본문: 개역한글판</t>
        </is>
      </c>
      <c r="R452" s="17">
        <f>'안내'!$C$6+INT((D452-1)/'안내'!$C$7)</f>
        <v/>
      </c>
      <c r="S452" s="14">
        <f>IF(MOD(D452-1,'안내'!$C$7)=0,'안내'!$C$9,'안내'!$C$11)</f>
        <v/>
      </c>
      <c r="T452" s="14">
        <f>CHOOSE(WEEKDAY(R452,2),"월","화","수","목","금","토","일")</f>
        <v/>
      </c>
      <c r="U452" s="14" t="inlineStr">
        <is>
          <t>미착수</t>
        </is>
      </c>
      <c r="V452" s="14" t="inlineStr">
        <is>
          <t>미착수</t>
        </is>
      </c>
      <c r="W452" s="18" t="n"/>
      <c r="X452" s="18" t="n"/>
      <c r="Y452" s="15" t="n"/>
      <c r="Z452" s="15" t="inlineStr">
        <is>
          <t>줄바꿈 띄어쓰기 확인</t>
        </is>
      </c>
      <c r="AA452" s="15" t="inlineStr">
        <is>
          <t>“Most certainly I tell you, he who hears my word and believes him who sent me has eternal life, and doesn’t come into judgment, but has passed out of death into life.</t>
        </is>
      </c>
    </row>
    <row r="453">
      <c r="A453" s="14" t="n">
        <v>452</v>
      </c>
      <c r="B453" s="14" t="inlineStr">
        <is>
          <t>W0452</t>
        </is>
      </c>
      <c r="C453" s="14" t="inlineStr">
        <is>
          <t>신약</t>
        </is>
      </c>
      <c r="D453" s="14" t="n">
        <v>88</v>
      </c>
      <c r="E453" s="14">
        <f>C453&amp;"말씀 #"&amp;TEXT(D453,"000")</f>
        <v/>
      </c>
      <c r="F453" s="14" t="inlineStr">
        <is>
          <t>요한복음</t>
        </is>
      </c>
      <c r="G453" s="14" t="inlineStr">
        <is>
          <t>6:35</t>
        </is>
      </c>
      <c r="H453" s="15" t="inlineStr">
        <is>
          <t>(요 6:35, 개역한글)</t>
        </is>
      </c>
      <c r="I453" s="14" t="inlineStr">
        <is>
          <t>생명</t>
        </is>
      </c>
      <c r="J453" s="14" t="inlineStr">
        <is>
          <t>새벽빛</t>
        </is>
      </c>
      <c r="K453" s="16" t="inlineStr">
        <is>
          <t>예수께서 가라사대 내가 곧 생명의 떡이요 내게 오는 자는 결코 주리지 아니할 터이요 나를 믿는 자는 영원히 목마르지 아니하리라</t>
        </is>
      </c>
      <c r="L453" s="14" t="inlineStr">
        <is>
          <t>자동 입력</t>
        </is>
      </c>
      <c r="M453" s="14">
        <f>LEN(K453)</f>
        <v/>
      </c>
      <c r="N453" s="14">
        <f>IF(M453=0,"-",ROUND(3+M453/'안내'!$C$12,0))</f>
        <v/>
      </c>
      <c r="O453" s="15">
        <f>IF(K453="","(본문 입력 후 자동) | 요 6:35",IF(LEN(K453)&gt;28,LEFT(K453,28)&amp;"…",K453)&amp;" | 요 6:35")</f>
        <v/>
      </c>
      <c r="P453" s="15">
        <f>"#"&amp;SUBSTITUTE('안내'!$C$5," ","")&amp;" #성경구절 #말씀 #요한복음 #생명"</f>
        <v/>
      </c>
      <c r="Q453" s="15" t="inlineStr">
        <is>
          <t>성경 본문: 개역한글판</t>
        </is>
      </c>
      <c r="R453" s="17">
        <f>'안내'!$C$6+INT((D453-1)/'안내'!$C$7)</f>
        <v/>
      </c>
      <c r="S453" s="14">
        <f>IF(MOD(D453-1,'안내'!$C$7)=0,'안내'!$C$9,'안내'!$C$11)</f>
        <v/>
      </c>
      <c r="T453" s="14">
        <f>CHOOSE(WEEKDAY(R453,2),"월","화","수","목","금","토","일")</f>
        <v/>
      </c>
      <c r="U453" s="14" t="inlineStr">
        <is>
          <t>미착수</t>
        </is>
      </c>
      <c r="V453" s="14" t="inlineStr">
        <is>
          <t>미착수</t>
        </is>
      </c>
      <c r="W453" s="18" t="n"/>
      <c r="X453" s="18" t="n"/>
      <c r="Y453" s="15" t="n"/>
      <c r="Z453" s="15" t="inlineStr"/>
      <c r="AA453" s="15" t="inlineStr">
        <is>
          <t>Jesus said to them, “I am the bread of life. Whoever comes to me will not be ✡ § ✡ hungry, and whoever believes in me will never be thirsty.</t>
        </is>
      </c>
    </row>
    <row r="454">
      <c r="A454" s="14" t="n">
        <v>453</v>
      </c>
      <c r="B454" s="14" t="inlineStr">
        <is>
          <t>W0453</t>
        </is>
      </c>
      <c r="C454" s="14" t="inlineStr">
        <is>
          <t>신약</t>
        </is>
      </c>
      <c r="D454" s="14" t="n">
        <v>89</v>
      </c>
      <c r="E454" s="14">
        <f>C454&amp;"말씀 #"&amp;TEXT(D454,"000")</f>
        <v/>
      </c>
      <c r="F454" s="14" t="inlineStr">
        <is>
          <t>요한복음</t>
        </is>
      </c>
      <c r="G454" s="14" t="inlineStr">
        <is>
          <t>6:37</t>
        </is>
      </c>
      <c r="H454" s="15" t="inlineStr">
        <is>
          <t>(요 6:37, 개역한글)</t>
        </is>
      </c>
      <c r="I454" s="14" t="inlineStr">
        <is>
          <t>은혜</t>
        </is>
      </c>
      <c r="J454" s="14" t="inlineStr">
        <is>
          <t>잔잔한 물</t>
        </is>
      </c>
      <c r="K454" s="16" t="inlineStr">
        <is>
          <t>아버지께서 내게 주시는 자는 다 내게로 올 것이요 내게 오는 자는 내가 결코 내어쫓지 아니하리라</t>
        </is>
      </c>
      <c r="L454" s="14" t="inlineStr">
        <is>
          <t>자동 입력</t>
        </is>
      </c>
      <c r="M454" s="14">
        <f>LEN(K454)</f>
        <v/>
      </c>
      <c r="N454" s="14">
        <f>IF(M454=0,"-",ROUND(3+M454/'안내'!$C$12,0))</f>
        <v/>
      </c>
      <c r="O454" s="15">
        <f>IF(K454="","(본문 입력 후 자동) | 요 6:37",IF(LEN(K454)&gt;28,LEFT(K454,28)&amp;"…",K454)&amp;" | 요 6:37")</f>
        <v/>
      </c>
      <c r="P454" s="15">
        <f>"#"&amp;SUBSTITUTE('안내'!$C$5," ","")&amp;" #성경구절 #말씀 #요한복음 #은혜"</f>
        <v/>
      </c>
      <c r="Q454" s="15" t="inlineStr">
        <is>
          <t>성경 본문: 개역한글판</t>
        </is>
      </c>
      <c r="R454" s="17">
        <f>'안내'!$C$6+INT((D454-1)/'안내'!$C$7)</f>
        <v/>
      </c>
      <c r="S454" s="14">
        <f>IF(MOD(D454-1,'안내'!$C$7)=0,'안내'!$C$9,'안내'!$C$11)</f>
        <v/>
      </c>
      <c r="T454" s="14">
        <f>CHOOSE(WEEKDAY(R454,2),"월","화","수","목","금","토","일")</f>
        <v/>
      </c>
      <c r="U454" s="14" t="inlineStr">
        <is>
          <t>미착수</t>
        </is>
      </c>
      <c r="V454" s="14" t="inlineStr">
        <is>
          <t>미착수</t>
        </is>
      </c>
      <c r="W454" s="18" t="n"/>
      <c r="X454" s="18" t="n"/>
      <c r="Y454" s="15" t="n"/>
      <c r="Z454" s="15" t="inlineStr"/>
      <c r="AA454" s="15" t="inlineStr">
        <is>
          <t>All those whom the Father gives me will come to me. He who comes to me I will in no way throw out.</t>
        </is>
      </c>
    </row>
    <row r="455">
      <c r="A455" s="14" t="n">
        <v>454</v>
      </c>
      <c r="B455" s="14" t="inlineStr">
        <is>
          <t>W0454</t>
        </is>
      </c>
      <c r="C455" s="14" t="inlineStr">
        <is>
          <t>신약</t>
        </is>
      </c>
      <c r="D455" s="14" t="n">
        <v>90</v>
      </c>
      <c r="E455" s="14">
        <f>C455&amp;"말씀 #"&amp;TEXT(D455,"000")</f>
        <v/>
      </c>
      <c r="F455" s="14" t="inlineStr">
        <is>
          <t>요한복음</t>
        </is>
      </c>
      <c r="G455" s="14" t="inlineStr">
        <is>
          <t>7:38</t>
        </is>
      </c>
      <c r="H455" s="15" t="inlineStr">
        <is>
          <t>(요 7:38, 개역한글)</t>
        </is>
      </c>
      <c r="I455" s="14" t="inlineStr">
        <is>
          <t>성령</t>
        </is>
      </c>
      <c r="J455" s="14" t="inlineStr">
        <is>
          <t>하늘·별</t>
        </is>
      </c>
      <c r="K455" s="16" t="inlineStr">
        <is>
          <t>나를 믿는 자는 성경에 이름과 같이 그 배에서 생수의 강이 흘러나리라 하시니</t>
        </is>
      </c>
      <c r="L455" s="14" t="inlineStr">
        <is>
          <t>자동 입력</t>
        </is>
      </c>
      <c r="M455" s="14">
        <f>LEN(K455)</f>
        <v/>
      </c>
      <c r="N455" s="14">
        <f>IF(M455=0,"-",ROUND(3+M455/'안내'!$C$12,0))</f>
        <v/>
      </c>
      <c r="O455" s="15">
        <f>IF(K455="","(본문 입력 후 자동) | 요 7:38",IF(LEN(K455)&gt;28,LEFT(K455,28)&amp;"…",K455)&amp;" | 요 7:38")</f>
        <v/>
      </c>
      <c r="P455" s="15">
        <f>"#"&amp;SUBSTITUTE('안내'!$C$5," ","")&amp;" #성경구절 #말씀 #요한복음 #성령"</f>
        <v/>
      </c>
      <c r="Q455" s="15" t="inlineStr">
        <is>
          <t>성경 본문: 개역한글판</t>
        </is>
      </c>
      <c r="R455" s="17">
        <f>'안내'!$C$6+INT((D455-1)/'안내'!$C$7)</f>
        <v/>
      </c>
      <c r="S455" s="14">
        <f>IF(MOD(D455-1,'안내'!$C$7)=0,'안내'!$C$9,'안내'!$C$11)</f>
        <v/>
      </c>
      <c r="T455" s="14">
        <f>CHOOSE(WEEKDAY(R455,2),"월","화","수","목","금","토","일")</f>
        <v/>
      </c>
      <c r="U455" s="14" t="inlineStr">
        <is>
          <t>미착수</t>
        </is>
      </c>
      <c r="V455" s="14" t="inlineStr">
        <is>
          <t>미착수</t>
        </is>
      </c>
      <c r="W455" s="18" t="n"/>
      <c r="X455" s="18" t="n"/>
      <c r="Y455" s="15" t="n"/>
      <c r="Z455" s="15" t="inlineStr"/>
      <c r="AA455" s="15" t="inlineStr">
        <is>
          <t>He who believes in me, as the Scripture has said, from within him will flow rivers of living water.”</t>
        </is>
      </c>
    </row>
    <row r="456">
      <c r="A456" s="14" t="n">
        <v>455</v>
      </c>
      <c r="B456" s="14" t="inlineStr">
        <is>
          <t>W0455</t>
        </is>
      </c>
      <c r="C456" s="14" t="inlineStr">
        <is>
          <t>신약</t>
        </is>
      </c>
      <c r="D456" s="14" t="n">
        <v>91</v>
      </c>
      <c r="E456" s="14">
        <f>C456&amp;"말씀 #"&amp;TEXT(D456,"000")</f>
        <v/>
      </c>
      <c r="F456" s="14" t="inlineStr">
        <is>
          <t>요한복음</t>
        </is>
      </c>
      <c r="G456" s="14" t="inlineStr">
        <is>
          <t>8:12</t>
        </is>
      </c>
      <c r="H456" s="15" t="inlineStr">
        <is>
          <t>(요 8:12, 개역한글)</t>
        </is>
      </c>
      <c r="I456" s="14" t="inlineStr">
        <is>
          <t>빛</t>
        </is>
      </c>
      <c r="J456" s="14" t="inlineStr">
        <is>
          <t>새벽빛</t>
        </is>
      </c>
      <c r="K456" s="16" t="inlineStr">
        <is>
          <t>예수께서 또 일러 가라사대 나는 세상의 빛이니 나를 따르는 자는 어두움에 다니지 아니하고 생명의 빛을 얻으리라</t>
        </is>
      </c>
      <c r="L456" s="14" t="inlineStr">
        <is>
          <t>자동 입력 · 대조 필요</t>
        </is>
      </c>
      <c r="M456" s="14">
        <f>LEN(K456)</f>
        <v/>
      </c>
      <c r="N456" s="14">
        <f>IF(M456=0,"-",ROUND(3+M456/'안내'!$C$12,0))</f>
        <v/>
      </c>
      <c r="O456" s="15">
        <f>IF(K456="","(본문 입력 후 자동) | 요 8:12",IF(LEN(K456)&gt;28,LEFT(K456,28)&amp;"…",K456)&amp;" | 요 8:12")</f>
        <v/>
      </c>
      <c r="P456" s="15">
        <f>"#"&amp;SUBSTITUTE('안내'!$C$5," ","")&amp;" #성경구절 #말씀 #요한복음 #빛"</f>
        <v/>
      </c>
      <c r="Q456" s="15" t="inlineStr">
        <is>
          <t>성경 본문: 개역한글판</t>
        </is>
      </c>
      <c r="R456" s="17">
        <f>'안내'!$C$6+INT((D456-1)/'안내'!$C$7)</f>
        <v/>
      </c>
      <c r="S456" s="14">
        <f>IF(MOD(D456-1,'안내'!$C$7)=0,'안내'!$C$9,'안내'!$C$11)</f>
        <v/>
      </c>
      <c r="T456" s="14">
        <f>CHOOSE(WEEKDAY(R456,2),"월","화","수","목","금","토","일")</f>
        <v/>
      </c>
      <c r="U456" s="14" t="inlineStr">
        <is>
          <t>미착수</t>
        </is>
      </c>
      <c r="V456" s="14" t="inlineStr">
        <is>
          <t>미착수</t>
        </is>
      </c>
      <c r="W456" s="18" t="n"/>
      <c r="X456" s="18" t="n"/>
      <c r="Y456" s="15" t="n"/>
      <c r="Z456" s="15" t="inlineStr">
        <is>
          <t>줄바꿈 띄어쓰기 확인</t>
        </is>
      </c>
      <c r="AA456" s="15" t="inlineStr">
        <is>
          <t>Again, therefore, Jesus spoke to them, saying, “I am the light of the world. ✡ He who follows me will not walk in the dark- ness, but will have the light of life.”</t>
        </is>
      </c>
    </row>
    <row r="457">
      <c r="A457" s="14" t="n">
        <v>456</v>
      </c>
      <c r="B457" s="14" t="inlineStr">
        <is>
          <t>W0456</t>
        </is>
      </c>
      <c r="C457" s="14" t="inlineStr">
        <is>
          <t>신약</t>
        </is>
      </c>
      <c r="D457" s="14" t="n">
        <v>92</v>
      </c>
      <c r="E457" s="14">
        <f>C457&amp;"말씀 #"&amp;TEXT(D457,"000")</f>
        <v/>
      </c>
      <c r="F457" s="14" t="inlineStr">
        <is>
          <t>요한복음</t>
        </is>
      </c>
      <c r="G457" s="14" t="inlineStr">
        <is>
          <t>8:32</t>
        </is>
      </c>
      <c r="H457" s="15" t="inlineStr">
        <is>
          <t>(요 8:32, 개역한글)</t>
        </is>
      </c>
      <c r="I457" s="14" t="inlineStr">
        <is>
          <t>자유</t>
        </is>
      </c>
      <c r="J457" s="14" t="inlineStr">
        <is>
          <t>제단·십자가</t>
        </is>
      </c>
      <c r="K457" s="16" t="inlineStr">
        <is>
          <t>진리를 알지니 진리가 너희를 자유케 하리라</t>
        </is>
      </c>
      <c r="L457" s="14" t="inlineStr">
        <is>
          <t>자동 입력</t>
        </is>
      </c>
      <c r="M457" s="14">
        <f>LEN(K457)</f>
        <v/>
      </c>
      <c r="N457" s="14">
        <f>IF(M457=0,"-",ROUND(3+M457/'안내'!$C$12,0))</f>
        <v/>
      </c>
      <c r="O457" s="15">
        <f>IF(K457="","(본문 입력 후 자동) | 요 8:32",IF(LEN(K457)&gt;28,LEFT(K457,28)&amp;"…",K457)&amp;" | 요 8:32")</f>
        <v/>
      </c>
      <c r="P457" s="15">
        <f>"#"&amp;SUBSTITUTE('안내'!$C$5," ","")&amp;" #성경구절 #말씀 #요한복음 #자유"</f>
        <v/>
      </c>
      <c r="Q457" s="15" t="inlineStr">
        <is>
          <t>성경 본문: 개역한글판</t>
        </is>
      </c>
      <c r="R457" s="17">
        <f>'안내'!$C$6+INT((D457-1)/'안내'!$C$7)</f>
        <v/>
      </c>
      <c r="S457" s="14">
        <f>IF(MOD(D457-1,'안내'!$C$7)=0,'안내'!$C$9,'안내'!$C$11)</f>
        <v/>
      </c>
      <c r="T457" s="14">
        <f>CHOOSE(WEEKDAY(R457,2),"월","화","수","목","금","토","일")</f>
        <v/>
      </c>
      <c r="U457" s="14" t="inlineStr">
        <is>
          <t>미착수</t>
        </is>
      </c>
      <c r="V457" s="14" t="inlineStr">
        <is>
          <t>미착수</t>
        </is>
      </c>
      <c r="W457" s="18" t="n"/>
      <c r="X457" s="18" t="n"/>
      <c r="Y457" s="15" t="n"/>
      <c r="Z457" s="15" t="inlineStr"/>
      <c r="AA457" s="15" t="inlineStr">
        <is>
          <t>You will know the truth, and the truth will make you free.” ✡</t>
        </is>
      </c>
    </row>
    <row r="458">
      <c r="A458" s="14" t="n">
        <v>457</v>
      </c>
      <c r="B458" s="14" t="inlineStr">
        <is>
          <t>W0457</t>
        </is>
      </c>
      <c r="C458" s="14" t="inlineStr">
        <is>
          <t>신약</t>
        </is>
      </c>
      <c r="D458" s="14" t="n">
        <v>93</v>
      </c>
      <c r="E458" s="14">
        <f>C458&amp;"말씀 #"&amp;TEXT(D458,"000")</f>
        <v/>
      </c>
      <c r="F458" s="14" t="inlineStr">
        <is>
          <t>요한복음</t>
        </is>
      </c>
      <c r="G458" s="14" t="inlineStr">
        <is>
          <t>10:10</t>
        </is>
      </c>
      <c r="H458" s="15" t="inlineStr">
        <is>
          <t>(요 10:10, 개역한글)</t>
        </is>
      </c>
      <c r="I458" s="14" t="inlineStr">
        <is>
          <t>생명</t>
        </is>
      </c>
      <c r="J458" s="14" t="inlineStr">
        <is>
          <t>새벽빛</t>
        </is>
      </c>
      <c r="K458" s="16" t="inlineStr">
        <is>
          <t>도적이 오는 것은 도적질하고 죽이고 멸망시키려는 것뿐이요 내가 온 것은 양으로 생명을 얻게 하고 더 풍성히 얻게 하려는 것이라</t>
        </is>
      </c>
      <c r="L458" s="14" t="inlineStr">
        <is>
          <t>자동 입력</t>
        </is>
      </c>
      <c r="M458" s="14">
        <f>LEN(K458)</f>
        <v/>
      </c>
      <c r="N458" s="14">
        <f>IF(M458=0,"-",ROUND(3+M458/'안내'!$C$12,0))</f>
        <v/>
      </c>
      <c r="O458" s="15">
        <f>IF(K458="","(본문 입력 후 자동) | 요 10:10",IF(LEN(K458)&gt;28,LEFT(K458,28)&amp;"…",K458)&amp;" | 요 10:10")</f>
        <v/>
      </c>
      <c r="P458" s="15">
        <f>"#"&amp;SUBSTITUTE('안내'!$C$5," ","")&amp;" #성경구절 #말씀 #요한복음 #생명"</f>
        <v/>
      </c>
      <c r="Q458" s="15" t="inlineStr">
        <is>
          <t>성경 본문: 개역한글판</t>
        </is>
      </c>
      <c r="R458" s="17">
        <f>'안내'!$C$6+INT((D458-1)/'안내'!$C$7)</f>
        <v/>
      </c>
      <c r="S458" s="14">
        <f>IF(MOD(D458-1,'안내'!$C$7)=0,'안내'!$C$9,'안내'!$C$11)</f>
        <v/>
      </c>
      <c r="T458" s="14">
        <f>CHOOSE(WEEKDAY(R458,2),"월","화","수","목","금","토","일")</f>
        <v/>
      </c>
      <c r="U458" s="14" t="inlineStr">
        <is>
          <t>미착수</t>
        </is>
      </c>
      <c r="V458" s="14" t="inlineStr">
        <is>
          <t>미착수</t>
        </is>
      </c>
      <c r="W458" s="18" t="n"/>
      <c r="X458" s="18" t="n"/>
      <c r="Y458" s="15" t="n"/>
      <c r="Z458" s="15" t="inlineStr"/>
      <c r="AA458" s="15" t="inlineStr">
        <is>
          <t>The thief only comes to steal, kill, and destroy. I came that they may have life, and may have it abundantly.</t>
        </is>
      </c>
    </row>
    <row r="459">
      <c r="A459" s="14" t="n">
        <v>458</v>
      </c>
      <c r="B459" s="14" t="inlineStr">
        <is>
          <t>W0458</t>
        </is>
      </c>
      <c r="C459" s="14" t="inlineStr">
        <is>
          <t>신약</t>
        </is>
      </c>
      <c r="D459" s="14" t="n">
        <v>94</v>
      </c>
      <c r="E459" s="14">
        <f>C459&amp;"말씀 #"&amp;TEXT(D459,"000")</f>
        <v/>
      </c>
      <c r="F459" s="14" t="inlineStr">
        <is>
          <t>요한복음</t>
        </is>
      </c>
      <c r="G459" s="14" t="inlineStr">
        <is>
          <t>10:11</t>
        </is>
      </c>
      <c r="H459" s="15" t="inlineStr">
        <is>
          <t>(요 10:11, 개역한글)</t>
        </is>
      </c>
      <c r="I459" s="14" t="inlineStr">
        <is>
          <t>사랑</t>
        </is>
      </c>
      <c r="J459" s="14" t="inlineStr">
        <is>
          <t>창가·식탁</t>
        </is>
      </c>
      <c r="K459" s="16" t="inlineStr">
        <is>
          <t>나는 선한 목자라 선한 목자는 양들을 위하여 목숨을 버리거니와</t>
        </is>
      </c>
      <c r="L459" s="14" t="inlineStr">
        <is>
          <t>자동 입력</t>
        </is>
      </c>
      <c r="M459" s="14">
        <f>LEN(K459)</f>
        <v/>
      </c>
      <c r="N459" s="14">
        <f>IF(M459=0,"-",ROUND(3+M459/'안내'!$C$12,0))</f>
        <v/>
      </c>
      <c r="O459" s="15">
        <f>IF(K459="","(본문 입력 후 자동) | 요 10:11",IF(LEN(K459)&gt;28,LEFT(K459,28)&amp;"…",K459)&amp;" | 요 10:11")</f>
        <v/>
      </c>
      <c r="P459" s="15">
        <f>"#"&amp;SUBSTITUTE('안내'!$C$5," ","")&amp;" #성경구절 #말씀 #요한복음 #사랑"</f>
        <v/>
      </c>
      <c r="Q459" s="15" t="inlineStr">
        <is>
          <t>성경 본문: 개역한글판</t>
        </is>
      </c>
      <c r="R459" s="17">
        <f>'안내'!$C$6+INT((D459-1)/'안내'!$C$7)</f>
        <v/>
      </c>
      <c r="S459" s="14">
        <f>IF(MOD(D459-1,'안내'!$C$7)=0,'안내'!$C$9,'안내'!$C$11)</f>
        <v/>
      </c>
      <c r="T459" s="14">
        <f>CHOOSE(WEEKDAY(R459,2),"월","화","수","목","금","토","일")</f>
        <v/>
      </c>
      <c r="U459" s="14" t="inlineStr">
        <is>
          <t>미착수</t>
        </is>
      </c>
      <c r="V459" s="14" t="inlineStr">
        <is>
          <t>미착수</t>
        </is>
      </c>
      <c r="W459" s="18" t="n"/>
      <c r="X459" s="18" t="n"/>
      <c r="Y459" s="15" t="n"/>
      <c r="Z459" s="15" t="inlineStr"/>
      <c r="AA459" s="15" t="inlineStr">
        <is>
          <t>“I am the good shepherd. ✡ The good shepherd lays down his life for the sheep.</t>
        </is>
      </c>
    </row>
    <row r="460">
      <c r="A460" s="14" t="n">
        <v>459</v>
      </c>
      <c r="B460" s="14" t="inlineStr">
        <is>
          <t>W0459</t>
        </is>
      </c>
      <c r="C460" s="14" t="inlineStr">
        <is>
          <t>신약</t>
        </is>
      </c>
      <c r="D460" s="14" t="n">
        <v>95</v>
      </c>
      <c r="E460" s="14">
        <f>C460&amp;"말씀 #"&amp;TEXT(D460,"000")</f>
        <v/>
      </c>
      <c r="F460" s="14" t="inlineStr">
        <is>
          <t>요한복음</t>
        </is>
      </c>
      <c r="G460" s="14" t="inlineStr">
        <is>
          <t>10:27</t>
        </is>
      </c>
      <c r="H460" s="15" t="inlineStr">
        <is>
          <t>(요 10:27, 개역한글)</t>
        </is>
      </c>
      <c r="I460" s="14" t="inlineStr">
        <is>
          <t>인도</t>
        </is>
      </c>
      <c r="J460" s="14" t="inlineStr">
        <is>
          <t>길·등불</t>
        </is>
      </c>
      <c r="K460" s="16" t="inlineStr">
        <is>
          <t>내 양은 내 음성을 들으며 나는 저희를 알며 저희는 나를 따르느니라</t>
        </is>
      </c>
      <c r="L460" s="14" t="inlineStr">
        <is>
          <t>자동 입력</t>
        </is>
      </c>
      <c r="M460" s="14">
        <f>LEN(K460)</f>
        <v/>
      </c>
      <c r="N460" s="14">
        <f>IF(M460=0,"-",ROUND(3+M460/'안내'!$C$12,0))</f>
        <v/>
      </c>
      <c r="O460" s="15">
        <f>IF(K460="","(본문 입력 후 자동) | 요 10:27",IF(LEN(K460)&gt;28,LEFT(K460,28)&amp;"…",K460)&amp;" | 요 10:27")</f>
        <v/>
      </c>
      <c r="P460" s="15">
        <f>"#"&amp;SUBSTITUTE('안내'!$C$5," ","")&amp;" #성경구절 #말씀 #요한복음 #인도"</f>
        <v/>
      </c>
      <c r="Q460" s="15" t="inlineStr">
        <is>
          <t>성경 본문: 개역한글판</t>
        </is>
      </c>
      <c r="R460" s="17">
        <f>'안내'!$C$6+INT((D460-1)/'안내'!$C$7)</f>
        <v/>
      </c>
      <c r="S460" s="14">
        <f>IF(MOD(D460-1,'안내'!$C$7)=0,'안내'!$C$9,'안내'!$C$11)</f>
        <v/>
      </c>
      <c r="T460" s="14">
        <f>CHOOSE(WEEKDAY(R460,2),"월","화","수","목","금","토","일")</f>
        <v/>
      </c>
      <c r="U460" s="14" t="inlineStr">
        <is>
          <t>미착수</t>
        </is>
      </c>
      <c r="V460" s="14" t="inlineStr">
        <is>
          <t>미착수</t>
        </is>
      </c>
      <c r="W460" s="18" t="n"/>
      <c r="X460" s="18" t="n"/>
      <c r="Y460" s="15" t="n"/>
      <c r="Z460" s="15" t="inlineStr"/>
      <c r="AA460" s="15" t="inlineStr">
        <is>
          <t>My sheep hear my voice, and I know them, and they follow me.</t>
        </is>
      </c>
    </row>
    <row r="461">
      <c r="A461" s="14" t="n">
        <v>460</v>
      </c>
      <c r="B461" s="14" t="inlineStr">
        <is>
          <t>W0460</t>
        </is>
      </c>
      <c r="C461" s="14" t="inlineStr">
        <is>
          <t>신약</t>
        </is>
      </c>
      <c r="D461" s="14" t="n">
        <v>96</v>
      </c>
      <c r="E461" s="14">
        <f>C461&amp;"말씀 #"&amp;TEXT(D461,"000")</f>
        <v/>
      </c>
      <c r="F461" s="14" t="inlineStr">
        <is>
          <t>요한복음</t>
        </is>
      </c>
      <c r="G461" s="14" t="inlineStr">
        <is>
          <t>10:28</t>
        </is>
      </c>
      <c r="H461" s="15" t="inlineStr">
        <is>
          <t>(요 10:28, 개역한글)</t>
        </is>
      </c>
      <c r="I461" s="14" t="inlineStr">
        <is>
          <t>보호</t>
        </is>
      </c>
      <c r="J461" s="14" t="inlineStr">
        <is>
          <t>바위산·광야</t>
        </is>
      </c>
      <c r="K461" s="16" t="inlineStr">
        <is>
          <t>내가 저희에게 영생을 주노니 영원히 멸망치 아니할 터이요 또 저희를 내 손에서 빼앗을 자가 없느니라</t>
        </is>
      </c>
      <c r="L461" s="14" t="inlineStr">
        <is>
          <t>자동 입력</t>
        </is>
      </c>
      <c r="M461" s="14">
        <f>LEN(K461)</f>
        <v/>
      </c>
      <c r="N461" s="14">
        <f>IF(M461=0,"-",ROUND(3+M461/'안내'!$C$12,0))</f>
        <v/>
      </c>
      <c r="O461" s="15">
        <f>IF(K461="","(본문 입력 후 자동) | 요 10:28",IF(LEN(K461)&gt;28,LEFT(K461,28)&amp;"…",K461)&amp;" | 요 10:28")</f>
        <v/>
      </c>
      <c r="P461" s="15">
        <f>"#"&amp;SUBSTITUTE('안내'!$C$5," ","")&amp;" #성경구절 #말씀 #요한복음 #보호"</f>
        <v/>
      </c>
      <c r="Q461" s="15" t="inlineStr">
        <is>
          <t>성경 본문: 개역한글판</t>
        </is>
      </c>
      <c r="R461" s="17">
        <f>'안내'!$C$6+INT((D461-1)/'안내'!$C$7)</f>
        <v/>
      </c>
      <c r="S461" s="14">
        <f>IF(MOD(D461-1,'안내'!$C$7)=0,'안내'!$C$9,'안내'!$C$11)</f>
        <v/>
      </c>
      <c r="T461" s="14">
        <f>CHOOSE(WEEKDAY(R461,2),"월","화","수","목","금","토","일")</f>
        <v/>
      </c>
      <c r="U461" s="14" t="inlineStr">
        <is>
          <t>미착수</t>
        </is>
      </c>
      <c r="V461" s="14" t="inlineStr">
        <is>
          <t>미착수</t>
        </is>
      </c>
      <c r="W461" s="18" t="n"/>
      <c r="X461" s="18" t="n"/>
      <c r="Y461" s="15" t="n"/>
      <c r="Z461" s="15" t="inlineStr"/>
      <c r="AA461" s="15" t="inlineStr">
        <is>
          <t>I give eternal life to them. They will never perish, and no one will snatch them out of my hand.</t>
        </is>
      </c>
    </row>
    <row r="462">
      <c r="A462" s="14" t="n">
        <v>461</v>
      </c>
      <c r="B462" s="14" t="inlineStr">
        <is>
          <t>W0461</t>
        </is>
      </c>
      <c r="C462" s="14" t="inlineStr">
        <is>
          <t>신약</t>
        </is>
      </c>
      <c r="D462" s="14" t="n">
        <v>97</v>
      </c>
      <c r="E462" s="14">
        <f>C462&amp;"말씀 #"&amp;TEXT(D462,"000")</f>
        <v/>
      </c>
      <c r="F462" s="14" t="inlineStr">
        <is>
          <t>요한복음</t>
        </is>
      </c>
      <c r="G462" s="14" t="inlineStr">
        <is>
          <t>11:25</t>
        </is>
      </c>
      <c r="H462" s="15" t="inlineStr">
        <is>
          <t>(요 11:25, 개역한글)</t>
        </is>
      </c>
      <c r="I462" s="14" t="inlineStr">
        <is>
          <t>부활</t>
        </is>
      </c>
      <c r="J462" s="14" t="inlineStr">
        <is>
          <t>새벽빛</t>
        </is>
      </c>
      <c r="K462" s="16" t="inlineStr">
        <is>
          <t>예수께서 가라사대 나는 부활이요 생명이니 나를 믿는 자는 죽어도 살겠고</t>
        </is>
      </c>
      <c r="L462" s="14" t="inlineStr">
        <is>
          <t>자동 입력</t>
        </is>
      </c>
      <c r="M462" s="14">
        <f>LEN(K462)</f>
        <v/>
      </c>
      <c r="N462" s="14">
        <f>IF(M462=0,"-",ROUND(3+M462/'안내'!$C$12,0))</f>
        <v/>
      </c>
      <c r="O462" s="15">
        <f>IF(K462="","(본문 입력 후 자동) | 요 11:25",IF(LEN(K462)&gt;28,LEFT(K462,28)&amp;"…",K462)&amp;" | 요 11:25")</f>
        <v/>
      </c>
      <c r="P462" s="15">
        <f>"#"&amp;SUBSTITUTE('안내'!$C$5," ","")&amp;" #성경구절 #말씀 #요한복음 #부활"</f>
        <v/>
      </c>
      <c r="Q462" s="15" t="inlineStr">
        <is>
          <t>성경 본문: 개역한글판</t>
        </is>
      </c>
      <c r="R462" s="17">
        <f>'안내'!$C$6+INT((D462-1)/'안내'!$C$7)</f>
        <v/>
      </c>
      <c r="S462" s="14">
        <f>IF(MOD(D462-1,'안내'!$C$7)=0,'안내'!$C$9,'안내'!$C$11)</f>
        <v/>
      </c>
      <c r="T462" s="14">
        <f>CHOOSE(WEEKDAY(R462,2),"월","화","수","목","금","토","일")</f>
        <v/>
      </c>
      <c r="U462" s="14" t="inlineStr">
        <is>
          <t>미착수</t>
        </is>
      </c>
      <c r="V462" s="14" t="inlineStr">
        <is>
          <t>미착수</t>
        </is>
      </c>
      <c r="W462" s="18" t="n"/>
      <c r="X462" s="18" t="n"/>
      <c r="Y462" s="15" t="n"/>
      <c r="Z462" s="15" t="inlineStr"/>
      <c r="AA462" s="15" t="inlineStr">
        <is>
          <t>Jesus said to her, “I am the resurrec- tion and the life. He who believes in me will still live, even if he dies.</t>
        </is>
      </c>
    </row>
    <row r="463">
      <c r="A463" s="14" t="n">
        <v>462</v>
      </c>
      <c r="B463" s="14" t="inlineStr">
        <is>
          <t>W0462</t>
        </is>
      </c>
      <c r="C463" s="14" t="inlineStr">
        <is>
          <t>신약</t>
        </is>
      </c>
      <c r="D463" s="14" t="n">
        <v>98</v>
      </c>
      <c r="E463" s="14">
        <f>C463&amp;"말씀 #"&amp;TEXT(D463,"000")</f>
        <v/>
      </c>
      <c r="F463" s="14" t="inlineStr">
        <is>
          <t>요한복음</t>
        </is>
      </c>
      <c r="G463" s="14" t="inlineStr">
        <is>
          <t>11:35</t>
        </is>
      </c>
      <c r="H463" s="15" t="inlineStr">
        <is>
          <t>(요 11:35, 개역한글)</t>
        </is>
      </c>
      <c r="I463" s="14" t="inlineStr">
        <is>
          <t>위로</t>
        </is>
      </c>
      <c r="J463" s="14" t="inlineStr">
        <is>
          <t>잔잔한 물</t>
        </is>
      </c>
      <c r="K463" s="16" t="inlineStr">
        <is>
          <t>예수께서 눈물을 흘리시더라</t>
        </is>
      </c>
      <c r="L463" s="14" t="inlineStr">
        <is>
          <t>자동 입력</t>
        </is>
      </c>
      <c r="M463" s="14">
        <f>LEN(K463)</f>
        <v/>
      </c>
      <c r="N463" s="14">
        <f>IF(M463=0,"-",ROUND(3+M463/'안내'!$C$12,0))</f>
        <v/>
      </c>
      <c r="O463" s="15">
        <f>IF(K463="","(본문 입력 후 자동) | 요 11:35",IF(LEN(K463)&gt;28,LEFT(K463,28)&amp;"…",K463)&amp;" | 요 11:35")</f>
        <v/>
      </c>
      <c r="P463" s="15">
        <f>"#"&amp;SUBSTITUTE('안내'!$C$5," ","")&amp;" #성경구절 #말씀 #요한복음 #위로"</f>
        <v/>
      </c>
      <c r="Q463" s="15" t="inlineStr">
        <is>
          <t>성경 본문: 개역한글판</t>
        </is>
      </c>
      <c r="R463" s="17">
        <f>'안내'!$C$6+INT((D463-1)/'안내'!$C$7)</f>
        <v/>
      </c>
      <c r="S463" s="14">
        <f>IF(MOD(D463-1,'안내'!$C$7)=0,'안내'!$C$9,'안내'!$C$11)</f>
        <v/>
      </c>
      <c r="T463" s="14">
        <f>CHOOSE(WEEKDAY(R463,2),"월","화","수","목","금","토","일")</f>
        <v/>
      </c>
      <c r="U463" s="14" t="inlineStr">
        <is>
          <t>미착수</t>
        </is>
      </c>
      <c r="V463" s="14" t="inlineStr">
        <is>
          <t>미착수</t>
        </is>
      </c>
      <c r="W463" s="18" t="n"/>
      <c r="X463" s="18" t="n"/>
      <c r="Y463" s="15" t="n"/>
      <c r="Z463" s="15" t="inlineStr"/>
      <c r="AA463" s="15" t="inlineStr">
        <is>
          <t>Jesus wept.</t>
        </is>
      </c>
    </row>
    <row r="464">
      <c r="A464" s="14" t="n">
        <v>463</v>
      </c>
      <c r="B464" s="14" t="inlineStr">
        <is>
          <t>W0463</t>
        </is>
      </c>
      <c r="C464" s="14" t="inlineStr">
        <is>
          <t>신약</t>
        </is>
      </c>
      <c r="D464" s="14" t="n">
        <v>99</v>
      </c>
      <c r="E464" s="14">
        <f>C464&amp;"말씀 #"&amp;TEXT(D464,"000")</f>
        <v/>
      </c>
      <c r="F464" s="14" t="inlineStr">
        <is>
          <t>요한복음</t>
        </is>
      </c>
      <c r="G464" s="14" t="inlineStr">
        <is>
          <t>12:24</t>
        </is>
      </c>
      <c r="H464" s="15" t="inlineStr">
        <is>
          <t>(요 12:24, 개역한글)</t>
        </is>
      </c>
      <c r="I464" s="14" t="inlineStr">
        <is>
          <t>헌신</t>
        </is>
      </c>
      <c r="J464" s="14" t="inlineStr">
        <is>
          <t>길·등불</t>
        </is>
      </c>
      <c r="K464" s="16" t="inlineStr">
        <is>
          <t>내가 진실로 진실로 너희에게 이르노니 한 알의 밀이 땅에 떨어져 죽지 아니하면 한 알 그대로 있고 죽으면 많은 열매를 맺느니라</t>
        </is>
      </c>
      <c r="L464" s="14" t="inlineStr">
        <is>
          <t>자동 입력</t>
        </is>
      </c>
      <c r="M464" s="14">
        <f>LEN(K464)</f>
        <v/>
      </c>
      <c r="N464" s="14">
        <f>IF(M464=0,"-",ROUND(3+M464/'안내'!$C$12,0))</f>
        <v/>
      </c>
      <c r="O464" s="15">
        <f>IF(K464="","(본문 입력 후 자동) | 요 12:24",IF(LEN(K464)&gt;28,LEFT(K464,28)&amp;"…",K464)&amp;" | 요 12:24")</f>
        <v/>
      </c>
      <c r="P464" s="15">
        <f>"#"&amp;SUBSTITUTE('안내'!$C$5," ","")&amp;" #성경구절 #말씀 #요한복음 #헌신"</f>
        <v/>
      </c>
      <c r="Q464" s="15" t="inlineStr">
        <is>
          <t>성경 본문: 개역한글판</t>
        </is>
      </c>
      <c r="R464" s="17">
        <f>'안내'!$C$6+INT((D464-1)/'안내'!$C$7)</f>
        <v/>
      </c>
      <c r="S464" s="14">
        <f>IF(MOD(D464-1,'안내'!$C$7)=0,'안내'!$C$9,'안내'!$C$11)</f>
        <v/>
      </c>
      <c r="T464" s="14">
        <f>CHOOSE(WEEKDAY(R464,2),"월","화","수","목","금","토","일")</f>
        <v/>
      </c>
      <c r="U464" s="14" t="inlineStr">
        <is>
          <t>미착수</t>
        </is>
      </c>
      <c r="V464" s="14" t="inlineStr">
        <is>
          <t>미착수</t>
        </is>
      </c>
      <c r="W464" s="18" t="n"/>
      <c r="X464" s="18" t="n"/>
      <c r="Y464" s="15" t="n"/>
      <c r="Z464" s="15" t="inlineStr"/>
      <c r="AA464" s="15" t="inlineStr">
        <is>
          <t>Most certainly I tell you, unless a grain of wheat falls into the earth and dies, it remains by itself alone. But if it dies, it bears much fruit.</t>
        </is>
      </c>
    </row>
    <row r="465">
      <c r="A465" s="14" t="n">
        <v>464</v>
      </c>
      <c r="B465" s="14" t="inlineStr">
        <is>
          <t>W0464</t>
        </is>
      </c>
      <c r="C465" s="14" t="inlineStr">
        <is>
          <t>신약</t>
        </is>
      </c>
      <c r="D465" s="14" t="n">
        <v>100</v>
      </c>
      <c r="E465" s="14">
        <f>C465&amp;"말씀 #"&amp;TEXT(D465,"000")</f>
        <v/>
      </c>
      <c r="F465" s="14" t="inlineStr">
        <is>
          <t>요한복음</t>
        </is>
      </c>
      <c r="G465" s="14" t="inlineStr">
        <is>
          <t>13:34</t>
        </is>
      </c>
      <c r="H465" s="15" t="inlineStr">
        <is>
          <t>(요 13:34, 개역한글)</t>
        </is>
      </c>
      <c r="I465" s="14" t="inlineStr">
        <is>
          <t>사랑</t>
        </is>
      </c>
      <c r="J465" s="14" t="inlineStr">
        <is>
          <t>창가·식탁</t>
        </is>
      </c>
      <c r="K465" s="16" t="inlineStr">
        <is>
          <t>새 계명을 너희에게 주노니 서로 사랑하라 내가 너희를 사랑한 것같이 너희도 서로 사랑하라</t>
        </is>
      </c>
      <c r="L465" s="14" t="inlineStr">
        <is>
          <t>자동 입력</t>
        </is>
      </c>
      <c r="M465" s="14">
        <f>LEN(K465)</f>
        <v/>
      </c>
      <c r="N465" s="14">
        <f>IF(M465=0,"-",ROUND(3+M465/'안내'!$C$12,0))</f>
        <v/>
      </c>
      <c r="O465" s="15">
        <f>IF(K465="","(본문 입력 후 자동) | 요 13:34",IF(LEN(K465)&gt;28,LEFT(K465,28)&amp;"…",K465)&amp;" | 요 13:34")</f>
        <v/>
      </c>
      <c r="P465" s="15">
        <f>"#"&amp;SUBSTITUTE('안내'!$C$5," ","")&amp;" #성경구절 #말씀 #요한복음 #사랑"</f>
        <v/>
      </c>
      <c r="Q465" s="15" t="inlineStr">
        <is>
          <t>성경 본문: 개역한글판</t>
        </is>
      </c>
      <c r="R465" s="17">
        <f>'안내'!$C$6+INT((D465-1)/'안내'!$C$7)</f>
        <v/>
      </c>
      <c r="S465" s="14">
        <f>IF(MOD(D465-1,'안내'!$C$7)=0,'안내'!$C$9,'안내'!$C$11)</f>
        <v/>
      </c>
      <c r="T465" s="14">
        <f>CHOOSE(WEEKDAY(R465,2),"월","화","수","목","금","토","일")</f>
        <v/>
      </c>
      <c r="U465" s="14" t="inlineStr">
        <is>
          <t>미착수</t>
        </is>
      </c>
      <c r="V465" s="14" t="inlineStr">
        <is>
          <t>미착수</t>
        </is>
      </c>
      <c r="W465" s="18" t="n"/>
      <c r="X465" s="18" t="n"/>
      <c r="Y465" s="15" t="n"/>
      <c r="Z465" s="15" t="inlineStr"/>
      <c r="AA465" s="15" t="inlineStr">
        <is>
          <t>A new commandment I give to you, that you love one another. Just as I have loved you, you also love one another.</t>
        </is>
      </c>
    </row>
    <row r="466">
      <c r="A466" s="14" t="n">
        <v>465</v>
      </c>
      <c r="B466" s="14" t="inlineStr">
        <is>
          <t>W0465</t>
        </is>
      </c>
      <c r="C466" s="14" t="inlineStr">
        <is>
          <t>신약</t>
        </is>
      </c>
      <c r="D466" s="14" t="n">
        <v>101</v>
      </c>
      <c r="E466" s="14">
        <f>C466&amp;"말씀 #"&amp;TEXT(D466,"000")</f>
        <v/>
      </c>
      <c r="F466" s="14" t="inlineStr">
        <is>
          <t>요한복음</t>
        </is>
      </c>
      <c r="G466" s="14" t="inlineStr">
        <is>
          <t>13:35</t>
        </is>
      </c>
      <c r="H466" s="15" t="inlineStr">
        <is>
          <t>(요 13:35, 개역한글)</t>
        </is>
      </c>
      <c r="I466" s="14" t="inlineStr">
        <is>
          <t>사랑</t>
        </is>
      </c>
      <c r="J466" s="14" t="inlineStr">
        <is>
          <t>창가·식탁</t>
        </is>
      </c>
      <c r="K466" s="16" t="inlineStr">
        <is>
          <t>너희가 서로 사랑하면 이로써 모든 사람이 너희가 내 제자인 줄 알리라</t>
        </is>
      </c>
      <c r="L466" s="14" t="inlineStr">
        <is>
          <t>자동 입력</t>
        </is>
      </c>
      <c r="M466" s="14">
        <f>LEN(K466)</f>
        <v/>
      </c>
      <c r="N466" s="14">
        <f>IF(M466=0,"-",ROUND(3+M466/'안내'!$C$12,0))</f>
        <v/>
      </c>
      <c r="O466" s="15">
        <f>IF(K466="","(본문 입력 후 자동) | 요 13:35",IF(LEN(K466)&gt;28,LEFT(K466,28)&amp;"…",K466)&amp;" | 요 13:35")</f>
        <v/>
      </c>
      <c r="P466" s="15">
        <f>"#"&amp;SUBSTITUTE('안내'!$C$5," ","")&amp;" #성경구절 #말씀 #요한복음 #사랑"</f>
        <v/>
      </c>
      <c r="Q466" s="15" t="inlineStr">
        <is>
          <t>성경 본문: 개역한글판</t>
        </is>
      </c>
      <c r="R466" s="17">
        <f>'안내'!$C$6+INT((D466-1)/'안내'!$C$7)</f>
        <v/>
      </c>
      <c r="S466" s="14">
        <f>IF(MOD(D466-1,'안내'!$C$7)=0,'안내'!$C$9,'안내'!$C$11)</f>
        <v/>
      </c>
      <c r="T466" s="14">
        <f>CHOOSE(WEEKDAY(R466,2),"월","화","수","목","금","토","일")</f>
        <v/>
      </c>
      <c r="U466" s="14" t="inlineStr">
        <is>
          <t>미착수</t>
        </is>
      </c>
      <c r="V466" s="14" t="inlineStr">
        <is>
          <t>미착수</t>
        </is>
      </c>
      <c r="W466" s="18" t="n"/>
      <c r="X466" s="18" t="n"/>
      <c r="Y466" s="15" t="n"/>
      <c r="Z466" s="15" t="inlineStr"/>
      <c r="AA466" s="15" t="inlineStr">
        <is>
          <t>By this everyone will know that you are my disciples, if you have love for one another.”</t>
        </is>
      </c>
    </row>
    <row r="467">
      <c r="A467" s="14" t="n">
        <v>466</v>
      </c>
      <c r="B467" s="14" t="inlineStr">
        <is>
          <t>W0466</t>
        </is>
      </c>
      <c r="C467" s="14" t="inlineStr">
        <is>
          <t>신약</t>
        </is>
      </c>
      <c r="D467" s="14" t="n">
        <v>102</v>
      </c>
      <c r="E467" s="14">
        <f>C467&amp;"말씀 #"&amp;TEXT(D467,"000")</f>
        <v/>
      </c>
      <c r="F467" s="14" t="inlineStr">
        <is>
          <t>요한복음</t>
        </is>
      </c>
      <c r="G467" s="14" t="inlineStr">
        <is>
          <t>14:1</t>
        </is>
      </c>
      <c r="H467" s="15" t="inlineStr">
        <is>
          <t>(요 14:1, 개역한글)</t>
        </is>
      </c>
      <c r="I467" s="14" t="inlineStr">
        <is>
          <t>평안</t>
        </is>
      </c>
      <c r="J467" s="14" t="inlineStr">
        <is>
          <t>잔잔한 물</t>
        </is>
      </c>
      <c r="K467" s="16" t="inlineStr">
        <is>
          <t>너희는 마음에 근심하지 말라 하나님을 믿으니 또 나를 믿으라</t>
        </is>
      </c>
      <c r="L467" s="14" t="inlineStr">
        <is>
          <t>자동 입력</t>
        </is>
      </c>
      <c r="M467" s="14">
        <f>LEN(K467)</f>
        <v/>
      </c>
      <c r="N467" s="14">
        <f>IF(M467=0,"-",ROUND(3+M467/'안내'!$C$12,0))</f>
        <v/>
      </c>
      <c r="O467" s="15">
        <f>IF(K467="","(본문 입력 후 자동) | 요 14:1",IF(LEN(K467)&gt;28,LEFT(K467,28)&amp;"…",K467)&amp;" | 요 14:1")</f>
        <v/>
      </c>
      <c r="P467" s="15">
        <f>"#"&amp;SUBSTITUTE('안내'!$C$5," ","")&amp;" #성경구절 #말씀 #요한복음 #평안"</f>
        <v/>
      </c>
      <c r="Q467" s="15" t="inlineStr">
        <is>
          <t>성경 본문: 개역한글판</t>
        </is>
      </c>
      <c r="R467" s="17">
        <f>'안내'!$C$6+INT((D467-1)/'안내'!$C$7)</f>
        <v/>
      </c>
      <c r="S467" s="14">
        <f>IF(MOD(D467-1,'안내'!$C$7)=0,'안내'!$C$9,'안내'!$C$11)</f>
        <v/>
      </c>
      <c r="T467" s="14">
        <f>CHOOSE(WEEKDAY(R467,2),"월","화","수","목","금","토","일")</f>
        <v/>
      </c>
      <c r="U467" s="14" t="inlineStr">
        <is>
          <t>미착수</t>
        </is>
      </c>
      <c r="V467" s="14" t="inlineStr">
        <is>
          <t>미착수</t>
        </is>
      </c>
      <c r="W467" s="18" t="n"/>
      <c r="X467" s="18" t="n"/>
      <c r="Y467" s="15" t="n"/>
      <c r="Z467" s="15" t="inlineStr"/>
      <c r="AA467" s="15" t="inlineStr">
        <is>
          <t>“Don’t let your heart be troubled. Be- lieve in God. Believe also in me.</t>
        </is>
      </c>
    </row>
    <row r="468">
      <c r="A468" s="14" t="n">
        <v>467</v>
      </c>
      <c r="B468" s="14" t="inlineStr">
        <is>
          <t>W0467</t>
        </is>
      </c>
      <c r="C468" s="14" t="inlineStr">
        <is>
          <t>신약</t>
        </is>
      </c>
      <c r="D468" s="14" t="n">
        <v>103</v>
      </c>
      <c r="E468" s="14">
        <f>C468&amp;"말씀 #"&amp;TEXT(D468,"000")</f>
        <v/>
      </c>
      <c r="F468" s="14" t="inlineStr">
        <is>
          <t>요한복음</t>
        </is>
      </c>
      <c r="G468" s="14" t="inlineStr">
        <is>
          <t>14:6</t>
        </is>
      </c>
      <c r="H468" s="15" t="inlineStr">
        <is>
          <t>(요 14:6, 개역한글)</t>
        </is>
      </c>
      <c r="I468" s="14" t="inlineStr">
        <is>
          <t>구원</t>
        </is>
      </c>
      <c r="J468" s="14" t="inlineStr">
        <is>
          <t>제단·십자가</t>
        </is>
      </c>
      <c r="K468" s="16" t="inlineStr">
        <is>
          <t>예수께서 가라사대 내가 곧 길이요 진리요 생명이니 나로 말미암지 않고는 아버지께로 올 자가 없느니라</t>
        </is>
      </c>
      <c r="L468" s="14" t="inlineStr">
        <is>
          <t>자동 입력</t>
        </is>
      </c>
      <c r="M468" s="14">
        <f>LEN(K468)</f>
        <v/>
      </c>
      <c r="N468" s="14">
        <f>IF(M468=0,"-",ROUND(3+M468/'안내'!$C$12,0))</f>
        <v/>
      </c>
      <c r="O468" s="15">
        <f>IF(K468="","(본문 입력 후 자동) | 요 14:6",IF(LEN(K468)&gt;28,LEFT(K468,28)&amp;"…",K468)&amp;" | 요 14:6")</f>
        <v/>
      </c>
      <c r="P468" s="15">
        <f>"#"&amp;SUBSTITUTE('안내'!$C$5," ","")&amp;" #성경구절 #말씀 #요한복음 #구원"</f>
        <v/>
      </c>
      <c r="Q468" s="15" t="inlineStr">
        <is>
          <t>성경 본문: 개역한글판</t>
        </is>
      </c>
      <c r="R468" s="17">
        <f>'안내'!$C$6+INT((D468-1)/'안내'!$C$7)</f>
        <v/>
      </c>
      <c r="S468" s="14">
        <f>IF(MOD(D468-1,'안내'!$C$7)=0,'안내'!$C$9,'안내'!$C$11)</f>
        <v/>
      </c>
      <c r="T468" s="14">
        <f>CHOOSE(WEEKDAY(R468,2),"월","화","수","목","금","토","일")</f>
        <v/>
      </c>
      <c r="U468" s="14" t="inlineStr">
        <is>
          <t>미착수</t>
        </is>
      </c>
      <c r="V468" s="14" t="inlineStr">
        <is>
          <t>미착수</t>
        </is>
      </c>
      <c r="W468" s="18" t="n"/>
      <c r="X468" s="18" t="n"/>
      <c r="Y468" s="15" t="n"/>
      <c r="Z468" s="15" t="inlineStr"/>
      <c r="AA468" s="15" t="inlineStr">
        <is>
          <t>Jesus said to him, “I am the way, the truth, and the life. No one comes to the Father, except through me.</t>
        </is>
      </c>
    </row>
    <row r="469">
      <c r="A469" s="14" t="n">
        <v>468</v>
      </c>
      <c r="B469" s="14" t="inlineStr">
        <is>
          <t>W0468</t>
        </is>
      </c>
      <c r="C469" s="14" t="inlineStr">
        <is>
          <t>신약</t>
        </is>
      </c>
      <c r="D469" s="14" t="n">
        <v>104</v>
      </c>
      <c r="E469" s="14">
        <f>C469&amp;"말씀 #"&amp;TEXT(D469,"000")</f>
        <v/>
      </c>
      <c r="F469" s="14" t="inlineStr">
        <is>
          <t>요한복음</t>
        </is>
      </c>
      <c r="G469" s="14" t="inlineStr">
        <is>
          <t>14:15</t>
        </is>
      </c>
      <c r="H469" s="15" t="inlineStr">
        <is>
          <t>(요 14:15, 개역한글)</t>
        </is>
      </c>
      <c r="I469" s="14" t="inlineStr">
        <is>
          <t>순종</t>
        </is>
      </c>
      <c r="J469" s="14" t="inlineStr">
        <is>
          <t>길·등불</t>
        </is>
      </c>
      <c r="K469" s="16" t="inlineStr">
        <is>
          <t>너희가 나를 사랑하면 나의 계명을 지키리라</t>
        </is>
      </c>
      <c r="L469" s="14" t="inlineStr">
        <is>
          <t>자동 입력</t>
        </is>
      </c>
      <c r="M469" s="14">
        <f>LEN(K469)</f>
        <v/>
      </c>
      <c r="N469" s="14">
        <f>IF(M469=0,"-",ROUND(3+M469/'안내'!$C$12,0))</f>
        <v/>
      </c>
      <c r="O469" s="15">
        <f>IF(K469="","(본문 입력 후 자동) | 요 14:15",IF(LEN(K469)&gt;28,LEFT(K469,28)&amp;"…",K469)&amp;" | 요 14:15")</f>
        <v/>
      </c>
      <c r="P469" s="15">
        <f>"#"&amp;SUBSTITUTE('안내'!$C$5," ","")&amp;" #성경구절 #말씀 #요한복음 #순종"</f>
        <v/>
      </c>
      <c r="Q469" s="15" t="inlineStr">
        <is>
          <t>성경 본문: 개역한글판</t>
        </is>
      </c>
      <c r="R469" s="17">
        <f>'안내'!$C$6+INT((D469-1)/'안내'!$C$7)</f>
        <v/>
      </c>
      <c r="S469" s="14">
        <f>IF(MOD(D469-1,'안내'!$C$7)=0,'안내'!$C$9,'안내'!$C$11)</f>
        <v/>
      </c>
      <c r="T469" s="14">
        <f>CHOOSE(WEEKDAY(R469,2),"월","화","수","목","금","토","일")</f>
        <v/>
      </c>
      <c r="U469" s="14" t="inlineStr">
        <is>
          <t>미착수</t>
        </is>
      </c>
      <c r="V469" s="14" t="inlineStr">
        <is>
          <t>미착수</t>
        </is>
      </c>
      <c r="W469" s="18" t="n"/>
      <c r="X469" s="18" t="n"/>
      <c r="Y469" s="15" t="n"/>
      <c r="Z469" s="15" t="inlineStr"/>
      <c r="AA469" s="15" t="inlineStr">
        <is>
          <t>If you love me, keep my commandments.</t>
        </is>
      </c>
    </row>
    <row r="470">
      <c r="A470" s="14" t="n">
        <v>469</v>
      </c>
      <c r="B470" s="14" t="inlineStr">
        <is>
          <t>W0469</t>
        </is>
      </c>
      <c r="C470" s="14" t="inlineStr">
        <is>
          <t>신약</t>
        </is>
      </c>
      <c r="D470" s="14" t="n">
        <v>105</v>
      </c>
      <c r="E470" s="14">
        <f>C470&amp;"말씀 #"&amp;TEXT(D470,"000")</f>
        <v/>
      </c>
      <c r="F470" s="14" t="inlineStr">
        <is>
          <t>요한복음</t>
        </is>
      </c>
      <c r="G470" s="14" t="inlineStr">
        <is>
          <t>14:27</t>
        </is>
      </c>
      <c r="H470" s="15" t="inlineStr">
        <is>
          <t>(요 14:27, 개역한글)</t>
        </is>
      </c>
      <c r="I470" s="14" t="inlineStr">
        <is>
          <t>평안</t>
        </is>
      </c>
      <c r="J470" s="14" t="inlineStr">
        <is>
          <t>잔잔한 물</t>
        </is>
      </c>
      <c r="K470" s="16" t="inlineStr">
        <is>
          <t>평안을 너희에게 끼치노니 곧 나의 평안을 너희에게 주노라 내가 너희에게 주는 것은 세상이 주는 것 같지 아니하니라 너희는 마음에 근심도 말고 두려워하지도 말라</t>
        </is>
      </c>
      <c r="L470" s="14" t="inlineStr">
        <is>
          <t>자동 입력 · 대조 필요</t>
        </is>
      </c>
      <c r="M470" s="14">
        <f>LEN(K470)</f>
        <v/>
      </c>
      <c r="N470" s="14">
        <f>IF(M470=0,"-",ROUND(3+M470/'안내'!$C$12,0))</f>
        <v/>
      </c>
      <c r="O470" s="15">
        <f>IF(K470="","(본문 입력 후 자동) | 요 14:27",IF(LEN(K470)&gt;28,LEFT(K470,28)&amp;"…",K470)&amp;" | 요 14:27")</f>
        <v/>
      </c>
      <c r="P470" s="15">
        <f>"#"&amp;SUBSTITUTE('안내'!$C$5," ","")&amp;" #성경구절 #말씀 #요한복음 #평안"</f>
        <v/>
      </c>
      <c r="Q470" s="15" t="inlineStr">
        <is>
          <t>성경 본문: 개역한글판</t>
        </is>
      </c>
      <c r="R470" s="17">
        <f>'안내'!$C$6+INT((D470-1)/'안내'!$C$7)</f>
        <v/>
      </c>
      <c r="S470" s="14">
        <f>IF(MOD(D470-1,'안내'!$C$7)=0,'안내'!$C$9,'안내'!$C$11)</f>
        <v/>
      </c>
      <c r="T470" s="14">
        <f>CHOOSE(WEEKDAY(R470,2),"월","화","수","목","금","토","일")</f>
        <v/>
      </c>
      <c r="U470" s="14" t="inlineStr">
        <is>
          <t>미착수</t>
        </is>
      </c>
      <c r="V470" s="14" t="inlineStr">
        <is>
          <t>미착수</t>
        </is>
      </c>
      <c r="W470" s="18" t="n"/>
      <c r="X470" s="18" t="n"/>
      <c r="Y470" s="15" t="n"/>
      <c r="Z470" s="15" t="inlineStr">
        <is>
          <t>줄바꿈 띄어쓰기 확인</t>
        </is>
      </c>
      <c r="AA470" s="15" t="inlineStr">
        <is>
          <t>Peace I leave with you. My peace I give to you; not as the world gives, I give to you. Don’t let your heart be troubled, neither let it be fearful.</t>
        </is>
      </c>
    </row>
    <row r="471">
      <c r="A471" s="14" t="n">
        <v>470</v>
      </c>
      <c r="B471" s="14" t="inlineStr">
        <is>
          <t>W0470</t>
        </is>
      </c>
      <c r="C471" s="14" t="inlineStr">
        <is>
          <t>신약</t>
        </is>
      </c>
      <c r="D471" s="14" t="n">
        <v>106</v>
      </c>
      <c r="E471" s="14">
        <f>C471&amp;"말씀 #"&amp;TEXT(D471,"000")</f>
        <v/>
      </c>
      <c r="F471" s="14" t="inlineStr">
        <is>
          <t>요한복음</t>
        </is>
      </c>
      <c r="G471" s="14" t="inlineStr">
        <is>
          <t>15:5</t>
        </is>
      </c>
      <c r="H471" s="15" t="inlineStr">
        <is>
          <t>(요 15:5, 개역한글)</t>
        </is>
      </c>
      <c r="I471" s="14" t="inlineStr">
        <is>
          <t>동행</t>
        </is>
      </c>
      <c r="J471" s="14" t="inlineStr">
        <is>
          <t>길·등불</t>
        </is>
      </c>
      <c r="K471" s="16" t="inlineStr">
        <is>
          <t>나는 포도나무요 너희는 가지니 저가 내 안에, 내가 저 안에 있으면 이 사람은 과실을 많이 맺나니 나를 떠나서는 너희가 아무것도 할 수 없음이라</t>
        </is>
      </c>
      <c r="L471" s="14" t="inlineStr">
        <is>
          <t>자동 입력 · 대조 필요</t>
        </is>
      </c>
      <c r="M471" s="14">
        <f>LEN(K471)</f>
        <v/>
      </c>
      <c r="N471" s="14">
        <f>IF(M471=0,"-",ROUND(3+M471/'안내'!$C$12,0))</f>
        <v/>
      </c>
      <c r="O471" s="15">
        <f>IF(K471="","(본문 입력 후 자동) | 요 15:5",IF(LEN(K471)&gt;28,LEFT(K471,28)&amp;"…",K471)&amp;" | 요 15:5")</f>
        <v/>
      </c>
      <c r="P471" s="15">
        <f>"#"&amp;SUBSTITUTE('안내'!$C$5," ","")&amp;" #성경구절 #말씀 #요한복음 #동행"</f>
        <v/>
      </c>
      <c r="Q471" s="15" t="inlineStr">
        <is>
          <t>성경 본문: 개역한글판</t>
        </is>
      </c>
      <c r="R471" s="17">
        <f>'안내'!$C$6+INT((D471-1)/'안내'!$C$7)</f>
        <v/>
      </c>
      <c r="S471" s="14">
        <f>IF(MOD(D471-1,'안내'!$C$7)=0,'안내'!$C$9,'안내'!$C$11)</f>
        <v/>
      </c>
      <c r="T471" s="14">
        <f>CHOOSE(WEEKDAY(R471,2),"월","화","수","목","금","토","일")</f>
        <v/>
      </c>
      <c r="U471" s="14" t="inlineStr">
        <is>
          <t>미착수</t>
        </is>
      </c>
      <c r="V471" s="14" t="inlineStr">
        <is>
          <t>미착수</t>
        </is>
      </c>
      <c r="W471" s="18" t="n"/>
      <c r="X471" s="18" t="n"/>
      <c r="Y471" s="15" t="n"/>
      <c r="Z471" s="15" t="inlineStr">
        <is>
          <t>줄바꿈 띄어쓰기 확인</t>
        </is>
      </c>
      <c r="AA471" s="15" t="inlineStr">
        <is>
          <t>I am the vine. You are the branches. He who remains in me and I in him bears much fruit, for apart from me you can do nothing.</t>
        </is>
      </c>
    </row>
    <row r="472">
      <c r="A472" s="14" t="n">
        <v>471</v>
      </c>
      <c r="B472" s="14" t="inlineStr">
        <is>
          <t>W0471</t>
        </is>
      </c>
      <c r="C472" s="14" t="inlineStr">
        <is>
          <t>신약</t>
        </is>
      </c>
      <c r="D472" s="14" t="n">
        <v>107</v>
      </c>
      <c r="E472" s="14">
        <f>C472&amp;"말씀 #"&amp;TEXT(D472,"000")</f>
        <v/>
      </c>
      <c r="F472" s="14" t="inlineStr">
        <is>
          <t>요한복음</t>
        </is>
      </c>
      <c r="G472" s="14" t="inlineStr">
        <is>
          <t>15:13</t>
        </is>
      </c>
      <c r="H472" s="15" t="inlineStr">
        <is>
          <t>(요 15:13, 개역한글)</t>
        </is>
      </c>
      <c r="I472" s="14" t="inlineStr">
        <is>
          <t>사랑</t>
        </is>
      </c>
      <c r="J472" s="14" t="inlineStr">
        <is>
          <t>창가·식탁</t>
        </is>
      </c>
      <c r="K472" s="16" t="inlineStr">
        <is>
          <t>사람이 친구를 위하여 자기 목숨을 버리면 이에서 더 큰 사랑이 없나니</t>
        </is>
      </c>
      <c r="L472" s="14" t="inlineStr">
        <is>
          <t>자동 입력</t>
        </is>
      </c>
      <c r="M472" s="14">
        <f>LEN(K472)</f>
        <v/>
      </c>
      <c r="N472" s="14">
        <f>IF(M472=0,"-",ROUND(3+M472/'안내'!$C$12,0))</f>
        <v/>
      </c>
      <c r="O472" s="15">
        <f>IF(K472="","(본문 입력 후 자동) | 요 15:13",IF(LEN(K472)&gt;28,LEFT(K472,28)&amp;"…",K472)&amp;" | 요 15:13")</f>
        <v/>
      </c>
      <c r="P472" s="15">
        <f>"#"&amp;SUBSTITUTE('안내'!$C$5," ","")&amp;" #성경구절 #말씀 #요한복음 #사랑"</f>
        <v/>
      </c>
      <c r="Q472" s="15" t="inlineStr">
        <is>
          <t>성경 본문: 개역한글판</t>
        </is>
      </c>
      <c r="R472" s="17">
        <f>'안내'!$C$6+INT((D472-1)/'안내'!$C$7)</f>
        <v/>
      </c>
      <c r="S472" s="14">
        <f>IF(MOD(D472-1,'안내'!$C$7)=0,'안내'!$C$9,'안내'!$C$11)</f>
        <v/>
      </c>
      <c r="T472" s="14">
        <f>CHOOSE(WEEKDAY(R472,2),"월","화","수","목","금","토","일")</f>
        <v/>
      </c>
      <c r="U472" s="14" t="inlineStr">
        <is>
          <t>미착수</t>
        </is>
      </c>
      <c r="V472" s="14" t="inlineStr">
        <is>
          <t>미착수</t>
        </is>
      </c>
      <c r="W472" s="18" t="n"/>
      <c r="X472" s="18" t="n"/>
      <c r="Y472" s="15" t="n"/>
      <c r="Z472" s="15" t="inlineStr"/>
      <c r="AA472" s="15" t="inlineStr">
        <is>
          <t>Greater love has no one than this, that someone lay down his life for his friends.</t>
        </is>
      </c>
    </row>
    <row r="473">
      <c r="A473" s="14" t="n">
        <v>472</v>
      </c>
      <c r="B473" s="14" t="inlineStr">
        <is>
          <t>W0472</t>
        </is>
      </c>
      <c r="C473" s="14" t="inlineStr">
        <is>
          <t>신약</t>
        </is>
      </c>
      <c r="D473" s="14" t="n">
        <v>108</v>
      </c>
      <c r="E473" s="14">
        <f>C473&amp;"말씀 #"&amp;TEXT(D473,"000")</f>
        <v/>
      </c>
      <c r="F473" s="14" t="inlineStr">
        <is>
          <t>요한복음</t>
        </is>
      </c>
      <c r="G473" s="14" t="inlineStr">
        <is>
          <t>15:16</t>
        </is>
      </c>
      <c r="H473" s="15" t="inlineStr">
        <is>
          <t>(요 15:16, 개역한글)</t>
        </is>
      </c>
      <c r="I473" s="14" t="inlineStr">
        <is>
          <t>부르심</t>
        </is>
      </c>
      <c r="J473" s="14" t="inlineStr">
        <is>
          <t>길·등불</t>
        </is>
      </c>
      <c r="K473" s="16" t="inlineStr">
        <is>
          <t>너희가 나를 택한 것이 아니요 내가 너희를 택하여 세웠나니 이는 너희로 가서 과실을 맺게 하고 또 너희 과실이 항상 있게 하여 내 이름으로 아버지께 무엇을 구하든지 다 받게 하려 함이니라</t>
        </is>
      </c>
      <c r="L473" s="14" t="inlineStr">
        <is>
          <t>자동 입력 · 대조 필요</t>
        </is>
      </c>
      <c r="M473" s="14">
        <f>LEN(K473)</f>
        <v/>
      </c>
      <c r="N473" s="14">
        <f>IF(M473=0,"-",ROUND(3+M473/'안내'!$C$12,0))</f>
        <v/>
      </c>
      <c r="O473" s="15">
        <f>IF(K473="","(본문 입력 후 자동) | 요 15:16",IF(LEN(K473)&gt;28,LEFT(K473,28)&amp;"…",K473)&amp;" | 요 15:16")</f>
        <v/>
      </c>
      <c r="P473" s="15">
        <f>"#"&amp;SUBSTITUTE('안내'!$C$5," ","")&amp;" #성경구절 #말씀 #요한복음 #부르심"</f>
        <v/>
      </c>
      <c r="Q473" s="15" t="inlineStr">
        <is>
          <t>성경 본문: 개역한글판</t>
        </is>
      </c>
      <c r="R473" s="17">
        <f>'안내'!$C$6+INT((D473-1)/'안내'!$C$7)</f>
        <v/>
      </c>
      <c r="S473" s="14">
        <f>IF(MOD(D473-1,'안내'!$C$7)=0,'안내'!$C$9,'안내'!$C$11)</f>
        <v/>
      </c>
      <c r="T473" s="14">
        <f>CHOOSE(WEEKDAY(R473,2),"월","화","수","목","금","토","일")</f>
        <v/>
      </c>
      <c r="U473" s="14" t="inlineStr">
        <is>
          <t>미착수</t>
        </is>
      </c>
      <c r="V473" s="14" t="inlineStr">
        <is>
          <t>미착수</t>
        </is>
      </c>
      <c r="W473" s="18" t="n"/>
      <c r="X473" s="18" t="n"/>
      <c r="Y473" s="15" t="n"/>
      <c r="Z473" s="15" t="inlineStr">
        <is>
          <t>줄바꿈 띄어쓰기 확인</t>
        </is>
      </c>
      <c r="AA473" s="15" t="inlineStr">
        <is>
          <t>You didn’t choose me, but I chose you and appointed you, that you should go and bear fruit, and that your fruit should remain; that whatever you will ask of the Father in my name, he may give it to you.</t>
        </is>
      </c>
    </row>
    <row r="474">
      <c r="A474" s="14" t="n">
        <v>473</v>
      </c>
      <c r="B474" s="14" t="inlineStr">
        <is>
          <t>W0473</t>
        </is>
      </c>
      <c r="C474" s="14" t="inlineStr">
        <is>
          <t>신약</t>
        </is>
      </c>
      <c r="D474" s="14" t="n">
        <v>109</v>
      </c>
      <c r="E474" s="14">
        <f>C474&amp;"말씀 #"&amp;TEXT(D474,"000")</f>
        <v/>
      </c>
      <c r="F474" s="14" t="inlineStr">
        <is>
          <t>요한복음</t>
        </is>
      </c>
      <c r="G474" s="14" t="inlineStr">
        <is>
          <t>16:33</t>
        </is>
      </c>
      <c r="H474" s="15" t="inlineStr">
        <is>
          <t>(요 16:33, 개역한글)</t>
        </is>
      </c>
      <c r="I474" s="14" t="inlineStr">
        <is>
          <t>승리</t>
        </is>
      </c>
      <c r="J474" s="14" t="inlineStr">
        <is>
          <t>바위산·광야</t>
        </is>
      </c>
      <c r="K474" s="16" t="inlineStr">
        <is>
          <t>이것을 너희에게 이름은 너희로 내 안에서 평안을 누리게 하려 함이라 세상에서는 너희가 환난을 당하나 담대하라 내가 세상을 이기었노라 하시니라</t>
        </is>
      </c>
      <c r="L474" s="14" t="inlineStr">
        <is>
          <t>자동 입력 · 대조 필요</t>
        </is>
      </c>
      <c r="M474" s="14">
        <f>LEN(K474)</f>
        <v/>
      </c>
      <c r="N474" s="14">
        <f>IF(M474=0,"-",ROUND(3+M474/'안내'!$C$12,0))</f>
        <v/>
      </c>
      <c r="O474" s="15">
        <f>IF(K474="","(본문 입력 후 자동) | 요 16:33",IF(LEN(K474)&gt;28,LEFT(K474,28)&amp;"…",K474)&amp;" | 요 16:33")</f>
        <v/>
      </c>
      <c r="P474" s="15">
        <f>"#"&amp;SUBSTITUTE('안내'!$C$5," ","")&amp;" #성경구절 #말씀 #요한복음 #승리"</f>
        <v/>
      </c>
      <c r="Q474" s="15" t="inlineStr">
        <is>
          <t>성경 본문: 개역한글판</t>
        </is>
      </c>
      <c r="R474" s="17">
        <f>'안내'!$C$6+INT((D474-1)/'안내'!$C$7)</f>
        <v/>
      </c>
      <c r="S474" s="14">
        <f>IF(MOD(D474-1,'안내'!$C$7)=0,'안내'!$C$9,'안내'!$C$11)</f>
        <v/>
      </c>
      <c r="T474" s="14">
        <f>CHOOSE(WEEKDAY(R474,2),"월","화","수","목","금","토","일")</f>
        <v/>
      </c>
      <c r="U474" s="14" t="inlineStr">
        <is>
          <t>미착수</t>
        </is>
      </c>
      <c r="V474" s="14" t="inlineStr">
        <is>
          <t>미착수</t>
        </is>
      </c>
      <c r="W474" s="18" t="n"/>
      <c r="X474" s="18" t="n"/>
      <c r="Y474" s="15" t="n"/>
      <c r="Z474" s="15" t="inlineStr">
        <is>
          <t>줄바꿈 띄어쓰기 확인</t>
        </is>
      </c>
      <c r="AA474" s="15" t="inlineStr">
        <is>
          <t>I have told you these things, that in me you may have peace. In the world you have trouble; but cheer up! I have overcome the world.”</t>
        </is>
      </c>
    </row>
    <row r="475">
      <c r="A475" s="14" t="n">
        <v>474</v>
      </c>
      <c r="B475" s="14" t="inlineStr">
        <is>
          <t>W0474</t>
        </is>
      </c>
      <c r="C475" s="14" t="inlineStr">
        <is>
          <t>신약</t>
        </is>
      </c>
      <c r="D475" s="14" t="n">
        <v>110</v>
      </c>
      <c r="E475" s="14">
        <f>C475&amp;"말씀 #"&amp;TEXT(D475,"000")</f>
        <v/>
      </c>
      <c r="F475" s="14" t="inlineStr">
        <is>
          <t>요한복음</t>
        </is>
      </c>
      <c r="G475" s="14" t="inlineStr">
        <is>
          <t>17:17</t>
        </is>
      </c>
      <c r="H475" s="15" t="inlineStr">
        <is>
          <t>(요 17:17, 개역한글)</t>
        </is>
      </c>
      <c r="I475" s="14" t="inlineStr">
        <is>
          <t>말씀</t>
        </is>
      </c>
      <c r="J475" s="14" t="inlineStr">
        <is>
          <t>들판·나무</t>
        </is>
      </c>
      <c r="K475" s="16" t="inlineStr">
        <is>
          <t>저희를 진리로 거룩하게 하옵소서 아버지의 말씀은 진리니이다</t>
        </is>
      </c>
      <c r="L475" s="14" t="inlineStr">
        <is>
          <t>자동 입력</t>
        </is>
      </c>
      <c r="M475" s="14">
        <f>LEN(K475)</f>
        <v/>
      </c>
      <c r="N475" s="14">
        <f>IF(M475=0,"-",ROUND(3+M475/'안내'!$C$12,0))</f>
        <v/>
      </c>
      <c r="O475" s="15">
        <f>IF(K475="","(본문 입력 후 자동) | 요 17:17",IF(LEN(K475)&gt;28,LEFT(K475,28)&amp;"…",K475)&amp;" | 요 17:17")</f>
        <v/>
      </c>
      <c r="P475" s="15">
        <f>"#"&amp;SUBSTITUTE('안내'!$C$5," ","")&amp;" #성경구절 #말씀 #요한복음 #말씀"</f>
        <v/>
      </c>
      <c r="Q475" s="15" t="inlineStr">
        <is>
          <t>성경 본문: 개역한글판</t>
        </is>
      </c>
      <c r="R475" s="17">
        <f>'안내'!$C$6+INT((D475-1)/'안내'!$C$7)</f>
        <v/>
      </c>
      <c r="S475" s="14">
        <f>IF(MOD(D475-1,'안내'!$C$7)=0,'안내'!$C$9,'안내'!$C$11)</f>
        <v/>
      </c>
      <c r="T475" s="14">
        <f>CHOOSE(WEEKDAY(R475,2),"월","화","수","목","금","토","일")</f>
        <v/>
      </c>
      <c r="U475" s="14" t="inlineStr">
        <is>
          <t>미착수</t>
        </is>
      </c>
      <c r="V475" s="14" t="inlineStr">
        <is>
          <t>미착수</t>
        </is>
      </c>
      <c r="W475" s="18" t="n"/>
      <c r="X475" s="18" t="n"/>
      <c r="Y475" s="15" t="n"/>
      <c r="Z475" s="15" t="inlineStr"/>
      <c r="AA475" s="15" t="inlineStr">
        <is>
          <t>Sanctify them in your truth. Your word is truth. ✡</t>
        </is>
      </c>
    </row>
    <row r="476">
      <c r="A476" s="14" t="n">
        <v>475</v>
      </c>
      <c r="B476" s="14" t="inlineStr">
        <is>
          <t>W0475</t>
        </is>
      </c>
      <c r="C476" s="14" t="inlineStr">
        <is>
          <t>신약</t>
        </is>
      </c>
      <c r="D476" s="14" t="n">
        <v>111</v>
      </c>
      <c r="E476" s="14">
        <f>C476&amp;"말씀 #"&amp;TEXT(D476,"000")</f>
        <v/>
      </c>
      <c r="F476" s="14" t="inlineStr">
        <is>
          <t>요한복음</t>
        </is>
      </c>
      <c r="G476" s="14" t="inlineStr">
        <is>
          <t>19:30</t>
        </is>
      </c>
      <c r="H476" s="15" t="inlineStr">
        <is>
          <t>(요 19:30, 개역한글)</t>
        </is>
      </c>
      <c r="I476" s="14" t="inlineStr">
        <is>
          <t>구원</t>
        </is>
      </c>
      <c r="J476" s="14" t="inlineStr">
        <is>
          <t>제단·십자가</t>
        </is>
      </c>
      <c r="K476" s="16" t="inlineStr">
        <is>
          <t>예수께서 신 포도주를 받으신 후 가라사대 다 이루었다 하시고 머리를 숙이시고 영혼이 돌아가시니라</t>
        </is>
      </c>
      <c r="L476" s="14" t="inlineStr">
        <is>
          <t>자동 입력</t>
        </is>
      </c>
      <c r="M476" s="14">
        <f>LEN(K476)</f>
        <v/>
      </c>
      <c r="N476" s="14">
        <f>IF(M476=0,"-",ROUND(3+M476/'안내'!$C$12,0))</f>
        <v/>
      </c>
      <c r="O476" s="15">
        <f>IF(K476="","(본문 입력 후 자동) | 요 19:30",IF(LEN(K476)&gt;28,LEFT(K476,28)&amp;"…",K476)&amp;" | 요 19:30")</f>
        <v/>
      </c>
      <c r="P476" s="15">
        <f>"#"&amp;SUBSTITUTE('안내'!$C$5," ","")&amp;" #성경구절 #말씀 #요한복음 #구원"</f>
        <v/>
      </c>
      <c r="Q476" s="15" t="inlineStr">
        <is>
          <t>성경 본문: 개역한글판</t>
        </is>
      </c>
      <c r="R476" s="17">
        <f>'안내'!$C$6+INT((D476-1)/'안내'!$C$7)</f>
        <v/>
      </c>
      <c r="S476" s="14">
        <f>IF(MOD(D476-1,'안내'!$C$7)=0,'안내'!$C$9,'안내'!$C$11)</f>
        <v/>
      </c>
      <c r="T476" s="14">
        <f>CHOOSE(WEEKDAY(R476,2),"월","화","수","목","금","토","일")</f>
        <v/>
      </c>
      <c r="U476" s="14" t="inlineStr">
        <is>
          <t>미착수</t>
        </is>
      </c>
      <c r="V476" s="14" t="inlineStr">
        <is>
          <t>미착수</t>
        </is>
      </c>
      <c r="W476" s="18" t="n"/>
      <c r="X476" s="18" t="n"/>
      <c r="Y476" s="15" t="n"/>
      <c r="Z476" s="15" t="inlineStr"/>
      <c r="AA476" s="15" t="inlineStr">
        <is>
          <t>When Jesus therefore had received the vinegar, he said, “It is finished!” Then he bowed his head and gave up his spirit.</t>
        </is>
      </c>
    </row>
    <row r="477">
      <c r="A477" s="14" t="n">
        <v>476</v>
      </c>
      <c r="B477" s="14" t="inlineStr">
        <is>
          <t>W0476</t>
        </is>
      </c>
      <c r="C477" s="14" t="inlineStr">
        <is>
          <t>신약</t>
        </is>
      </c>
      <c r="D477" s="14" t="n">
        <v>112</v>
      </c>
      <c r="E477" s="14">
        <f>C477&amp;"말씀 #"&amp;TEXT(D477,"000")</f>
        <v/>
      </c>
      <c r="F477" s="14" t="inlineStr">
        <is>
          <t>요한복음</t>
        </is>
      </c>
      <c r="G477" s="14" t="inlineStr">
        <is>
          <t>20:29</t>
        </is>
      </c>
      <c r="H477" s="15" t="inlineStr">
        <is>
          <t>(요 20:29, 개역한글)</t>
        </is>
      </c>
      <c r="I477" s="14" t="inlineStr">
        <is>
          <t>믿음</t>
        </is>
      </c>
      <c r="J477" s="14" t="inlineStr">
        <is>
          <t>바위산·광야</t>
        </is>
      </c>
      <c r="K477" s="16" t="inlineStr">
        <is>
          <t>예수께서 가라사대 너는 나를 본 고로 믿느냐 보지 못하고 믿는 자들은 복되도다 하시니라</t>
        </is>
      </c>
      <c r="L477" s="14" t="inlineStr">
        <is>
          <t>자동 입력</t>
        </is>
      </c>
      <c r="M477" s="14">
        <f>LEN(K477)</f>
        <v/>
      </c>
      <c r="N477" s="14">
        <f>IF(M477=0,"-",ROUND(3+M477/'안내'!$C$12,0))</f>
        <v/>
      </c>
      <c r="O477" s="15">
        <f>IF(K477="","(본문 입력 후 자동) | 요 20:29",IF(LEN(K477)&gt;28,LEFT(K477,28)&amp;"…",K477)&amp;" | 요 20:29")</f>
        <v/>
      </c>
      <c r="P477" s="15">
        <f>"#"&amp;SUBSTITUTE('안내'!$C$5," ","")&amp;" #성경구절 #말씀 #요한복음 #믿음"</f>
        <v/>
      </c>
      <c r="Q477" s="15" t="inlineStr">
        <is>
          <t>성경 본문: 개역한글판</t>
        </is>
      </c>
      <c r="R477" s="17">
        <f>'안내'!$C$6+INT((D477-1)/'안내'!$C$7)</f>
        <v/>
      </c>
      <c r="S477" s="14">
        <f>IF(MOD(D477-1,'안내'!$C$7)=0,'안내'!$C$9,'안내'!$C$11)</f>
        <v/>
      </c>
      <c r="T477" s="14">
        <f>CHOOSE(WEEKDAY(R477,2),"월","화","수","목","금","토","일")</f>
        <v/>
      </c>
      <c r="U477" s="14" t="inlineStr">
        <is>
          <t>미착수</t>
        </is>
      </c>
      <c r="V477" s="14" t="inlineStr">
        <is>
          <t>미착수</t>
        </is>
      </c>
      <c r="W477" s="18" t="n"/>
      <c r="X477" s="18" t="n"/>
      <c r="Y477" s="15" t="n"/>
      <c r="Z477" s="15" t="inlineStr"/>
      <c r="AA477" s="15" t="inlineStr">
        <is>
          <t>Jesus said to him, “Because you have seen me,§ you have believed. Blessed are those who have not seen and have be- lieved.”</t>
        </is>
      </c>
    </row>
    <row r="478">
      <c r="A478" s="14" t="n">
        <v>477</v>
      </c>
      <c r="B478" s="14" t="inlineStr">
        <is>
          <t>W0477</t>
        </is>
      </c>
      <c r="C478" s="14" t="inlineStr">
        <is>
          <t>신약</t>
        </is>
      </c>
      <c r="D478" s="14" t="n">
        <v>113</v>
      </c>
      <c r="E478" s="14">
        <f>C478&amp;"말씀 #"&amp;TEXT(D478,"000")</f>
        <v/>
      </c>
      <c r="F478" s="14" t="inlineStr">
        <is>
          <t>요한복음</t>
        </is>
      </c>
      <c r="G478" s="14" t="inlineStr">
        <is>
          <t>20:31</t>
        </is>
      </c>
      <c r="H478" s="15" t="inlineStr">
        <is>
          <t>(요 20:31, 개역한글)</t>
        </is>
      </c>
      <c r="I478" s="14" t="inlineStr">
        <is>
          <t>믿음</t>
        </is>
      </c>
      <c r="J478" s="14" t="inlineStr">
        <is>
          <t>바위산·광야</t>
        </is>
      </c>
      <c r="K478" s="16" t="inlineStr">
        <is>
          <t>오직 이것을 기록함은 너희로 예수께서 하나님의 아들 그리스도이심을 믿게 하려 함이요 또 너희로 믿고 그 이름을 힘입어 생명을 얻게 하려 함이니라</t>
        </is>
      </c>
      <c r="L478" s="14" t="inlineStr">
        <is>
          <t>자동 입력</t>
        </is>
      </c>
      <c r="M478" s="14">
        <f>LEN(K478)</f>
        <v/>
      </c>
      <c r="N478" s="14">
        <f>IF(M478=0,"-",ROUND(3+M478/'안내'!$C$12,0))</f>
        <v/>
      </c>
      <c r="O478" s="15">
        <f>IF(K478="","(본문 입력 후 자동) | 요 20:31",IF(LEN(K478)&gt;28,LEFT(K478,28)&amp;"…",K478)&amp;" | 요 20:31")</f>
        <v/>
      </c>
      <c r="P478" s="15">
        <f>"#"&amp;SUBSTITUTE('안내'!$C$5," ","")&amp;" #성경구절 #말씀 #요한복음 #믿음"</f>
        <v/>
      </c>
      <c r="Q478" s="15" t="inlineStr">
        <is>
          <t>성경 본문: 개역한글판</t>
        </is>
      </c>
      <c r="R478" s="17">
        <f>'안내'!$C$6+INT((D478-1)/'안내'!$C$7)</f>
        <v/>
      </c>
      <c r="S478" s="14">
        <f>IF(MOD(D478-1,'안내'!$C$7)=0,'안내'!$C$9,'안내'!$C$11)</f>
        <v/>
      </c>
      <c r="T478" s="14">
        <f>CHOOSE(WEEKDAY(R478,2),"월","화","수","목","금","토","일")</f>
        <v/>
      </c>
      <c r="U478" s="14" t="inlineStr">
        <is>
          <t>미착수</t>
        </is>
      </c>
      <c r="V478" s="14" t="inlineStr">
        <is>
          <t>미착수</t>
        </is>
      </c>
      <c r="W478" s="18" t="n"/>
      <c r="X478" s="18" t="n"/>
      <c r="Y478" s="15" t="n"/>
      <c r="Z478" s="15" t="inlineStr"/>
      <c r="AA478" s="15" t="inlineStr">
        <is>
          <t>but these are written that you may believe that Jesus is the Christ, the Son of God, and that believing you may have life in his name.</t>
        </is>
      </c>
    </row>
    <row r="479">
      <c r="A479" s="14" t="n">
        <v>478</v>
      </c>
      <c r="B479" s="14" t="inlineStr">
        <is>
          <t>W0478</t>
        </is>
      </c>
      <c r="C479" s="14" t="inlineStr">
        <is>
          <t>신약</t>
        </is>
      </c>
      <c r="D479" s="14" t="n">
        <v>114</v>
      </c>
      <c r="E479" s="14">
        <f>C479&amp;"말씀 #"&amp;TEXT(D479,"000")</f>
        <v/>
      </c>
      <c r="F479" s="14" t="inlineStr">
        <is>
          <t>요한복음</t>
        </is>
      </c>
      <c r="G479" s="14" t="inlineStr">
        <is>
          <t>21:17</t>
        </is>
      </c>
      <c r="H479" s="15" t="inlineStr">
        <is>
          <t>(요 21:17, 개역한글)</t>
        </is>
      </c>
      <c r="I479" s="14" t="inlineStr">
        <is>
          <t>사랑</t>
        </is>
      </c>
      <c r="J479" s="14" t="inlineStr">
        <is>
          <t>창가·식탁</t>
        </is>
      </c>
      <c r="K479" s="16" t="inlineStr">
        <is>
          <t>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t>
        </is>
      </c>
      <c r="L479" s="14" t="inlineStr">
        <is>
          <t>자동 입력 · 대조 필요</t>
        </is>
      </c>
      <c r="M479" s="14">
        <f>LEN(K479)</f>
        <v/>
      </c>
      <c r="N479" s="14">
        <f>IF(M479=0,"-",ROUND(3+M479/'안내'!$C$12,0))</f>
        <v/>
      </c>
      <c r="O479" s="15">
        <f>IF(K479="","(본문 입력 후 자동) | 요 21:17",IF(LEN(K479)&gt;28,LEFT(K479,28)&amp;"…",K479)&amp;" | 요 21:17")</f>
        <v/>
      </c>
      <c r="P479" s="15">
        <f>"#"&amp;SUBSTITUTE('안내'!$C$5," ","")&amp;" #성경구절 #말씀 #요한복음 #사랑"</f>
        <v/>
      </c>
      <c r="Q479" s="15" t="inlineStr">
        <is>
          <t>성경 본문: 개역한글판</t>
        </is>
      </c>
      <c r="R479" s="17">
        <f>'안내'!$C$6+INT((D479-1)/'안내'!$C$7)</f>
        <v/>
      </c>
      <c r="S479" s="14">
        <f>IF(MOD(D479-1,'안내'!$C$7)=0,'안내'!$C$9,'안내'!$C$11)</f>
        <v/>
      </c>
      <c r="T479" s="14">
        <f>CHOOSE(WEEKDAY(R479,2),"월","화","수","목","금","토","일")</f>
        <v/>
      </c>
      <c r="U479" s="14" t="inlineStr">
        <is>
          <t>미착수</t>
        </is>
      </c>
      <c r="V479" s="14" t="inlineStr">
        <is>
          <t>미착수</t>
        </is>
      </c>
      <c r="W479" s="18" t="n"/>
      <c r="X479" s="18" t="n"/>
      <c r="Y479" s="15" t="n"/>
      <c r="Z479" s="15" t="inlineStr">
        <is>
          <t>줄바꿈 띄어쓰기 확인</t>
        </is>
      </c>
      <c r="AA479" s="15" t="inlineStr">
        <is>
          <t>He said to him the third time, “Simon, son of Jonah, do you have affection for me?” Peter was grieved because he asked him the third time, “Do you have affection for me?” He said to him, “Lord, you know everything. You know that I have affection for you.” Jesus said to him, “Feed my sheep.</t>
        </is>
      </c>
    </row>
    <row r="480">
      <c r="A480" s="14" t="n">
        <v>479</v>
      </c>
      <c r="B480" s="14" t="inlineStr">
        <is>
          <t>W0479</t>
        </is>
      </c>
      <c r="C480" s="14" t="inlineStr">
        <is>
          <t>신약</t>
        </is>
      </c>
      <c r="D480" s="14" t="n">
        <v>115</v>
      </c>
      <c r="E480" s="14">
        <f>C480&amp;"말씀 #"&amp;TEXT(D480,"000")</f>
        <v/>
      </c>
      <c r="F480" s="14" t="inlineStr">
        <is>
          <t>사도행전</t>
        </is>
      </c>
      <c r="G480" s="14" t="inlineStr">
        <is>
          <t>1:8</t>
        </is>
      </c>
      <c r="H480" s="15" t="inlineStr">
        <is>
          <t>(행 1:8, 개역한글)</t>
        </is>
      </c>
      <c r="I480" s="14" t="inlineStr">
        <is>
          <t>성령</t>
        </is>
      </c>
      <c r="J480" s="14" t="inlineStr">
        <is>
          <t>하늘·별</t>
        </is>
      </c>
      <c r="K480" s="16" t="inlineStr">
        <is>
          <t>오직 성령이 너희에게 임하시면 너희가 권능을 받고 예루살렘과 온 유대와 사마리아와 땅 끝까지 이르러 내 증인이 되리라 하시니라</t>
        </is>
      </c>
      <c r="L480" s="14" t="inlineStr">
        <is>
          <t>자동 입력</t>
        </is>
      </c>
      <c r="M480" s="14">
        <f>LEN(K480)</f>
        <v/>
      </c>
      <c r="N480" s="14">
        <f>IF(M480=0,"-",ROUND(3+M480/'안내'!$C$12,0))</f>
        <v/>
      </c>
      <c r="O480" s="15">
        <f>IF(K480="","(본문 입력 후 자동) | 행 1:8",IF(LEN(K480)&gt;28,LEFT(K480,28)&amp;"…",K480)&amp;" | 행 1:8")</f>
        <v/>
      </c>
      <c r="P480" s="15">
        <f>"#"&amp;SUBSTITUTE('안내'!$C$5," ","")&amp;" #성경구절 #말씀 #사도행전 #성령"</f>
        <v/>
      </c>
      <c r="Q480" s="15" t="inlineStr">
        <is>
          <t>성경 본문: 개역한글판</t>
        </is>
      </c>
      <c r="R480" s="17">
        <f>'안내'!$C$6+INT((D480-1)/'안내'!$C$7)</f>
        <v/>
      </c>
      <c r="S480" s="14">
        <f>IF(MOD(D480-1,'안내'!$C$7)=0,'안내'!$C$9,'안내'!$C$11)</f>
        <v/>
      </c>
      <c r="T480" s="14">
        <f>CHOOSE(WEEKDAY(R480,2),"월","화","수","목","금","토","일")</f>
        <v/>
      </c>
      <c r="U480" s="14" t="inlineStr">
        <is>
          <t>미착수</t>
        </is>
      </c>
      <c r="V480" s="14" t="inlineStr">
        <is>
          <t>미착수</t>
        </is>
      </c>
      <c r="W480" s="18" t="n"/>
      <c r="X480" s="18" t="n"/>
      <c r="Y480" s="15" t="n"/>
      <c r="Z480" s="15" t="inlineStr"/>
      <c r="AA480" s="15" t="inlineStr">
        <is>
          <t>But you will receive power when the Holy Spirit has come upon you. You will be witnesses to me in Jerusalem, in all Judea and Samaria, and to the uttermost parts of the earth.”</t>
        </is>
      </c>
    </row>
    <row r="481">
      <c r="A481" s="14" t="n">
        <v>480</v>
      </c>
      <c r="B481" s="14" t="inlineStr">
        <is>
          <t>W0480</t>
        </is>
      </c>
      <c r="C481" s="14" t="inlineStr">
        <is>
          <t>신약</t>
        </is>
      </c>
      <c r="D481" s="14" t="n">
        <v>116</v>
      </c>
      <c r="E481" s="14">
        <f>C481&amp;"말씀 #"&amp;TEXT(D481,"000")</f>
        <v/>
      </c>
      <c r="F481" s="14" t="inlineStr">
        <is>
          <t>사도행전</t>
        </is>
      </c>
      <c r="G481" s="14" t="inlineStr">
        <is>
          <t>2:21</t>
        </is>
      </c>
      <c r="H481" s="15" t="inlineStr">
        <is>
          <t>(행 2:21, 개역한글)</t>
        </is>
      </c>
      <c r="I481" s="14" t="inlineStr">
        <is>
          <t>구원</t>
        </is>
      </c>
      <c r="J481" s="14" t="inlineStr">
        <is>
          <t>제단·십자가</t>
        </is>
      </c>
      <c r="K481" s="16" t="inlineStr">
        <is>
          <t>누구든지 주의 이름을 부르는 자는 구원을 얻으리라 하였느니라</t>
        </is>
      </c>
      <c r="L481" s="14" t="inlineStr">
        <is>
          <t>자동 입력</t>
        </is>
      </c>
      <c r="M481" s="14">
        <f>LEN(K481)</f>
        <v/>
      </c>
      <c r="N481" s="14">
        <f>IF(M481=0,"-",ROUND(3+M481/'안내'!$C$12,0))</f>
        <v/>
      </c>
      <c r="O481" s="15">
        <f>IF(K481="","(본문 입력 후 자동) | 행 2:21",IF(LEN(K481)&gt;28,LEFT(K481,28)&amp;"…",K481)&amp;" | 행 2:21")</f>
        <v/>
      </c>
      <c r="P481" s="15">
        <f>"#"&amp;SUBSTITUTE('안내'!$C$5," ","")&amp;" #성경구절 #말씀 #사도행전 #구원"</f>
        <v/>
      </c>
      <c r="Q481" s="15" t="inlineStr">
        <is>
          <t>성경 본문: 개역한글판</t>
        </is>
      </c>
      <c r="R481" s="17">
        <f>'안내'!$C$6+INT((D481-1)/'안내'!$C$7)</f>
        <v/>
      </c>
      <c r="S481" s="14">
        <f>IF(MOD(D481-1,'안내'!$C$7)=0,'안내'!$C$9,'안내'!$C$11)</f>
        <v/>
      </c>
      <c r="T481" s="14">
        <f>CHOOSE(WEEKDAY(R481,2),"월","화","수","목","금","토","일")</f>
        <v/>
      </c>
      <c r="U481" s="14" t="inlineStr">
        <is>
          <t>미착수</t>
        </is>
      </c>
      <c r="V481" s="14" t="inlineStr">
        <is>
          <t>미착수</t>
        </is>
      </c>
      <c r="W481" s="18" t="n"/>
      <c r="X481" s="18" t="n"/>
      <c r="Y481" s="15" t="n"/>
      <c r="Z481" s="15" t="inlineStr"/>
      <c r="AA481" s="15" t="inlineStr">
        <is>
          <t>It will be that whoever will call on the name of the Lord will be saved.’ ✡</t>
        </is>
      </c>
    </row>
    <row r="482">
      <c r="A482" s="14" t="n">
        <v>481</v>
      </c>
      <c r="B482" s="14" t="inlineStr">
        <is>
          <t>W0481</t>
        </is>
      </c>
      <c r="C482" s="14" t="inlineStr">
        <is>
          <t>신약</t>
        </is>
      </c>
      <c r="D482" s="14" t="n">
        <v>117</v>
      </c>
      <c r="E482" s="14">
        <f>C482&amp;"말씀 #"&amp;TEXT(D482,"000")</f>
        <v/>
      </c>
      <c r="F482" s="14" t="inlineStr">
        <is>
          <t>사도행전</t>
        </is>
      </c>
      <c r="G482" s="14" t="inlineStr">
        <is>
          <t>2:38</t>
        </is>
      </c>
      <c r="H482" s="15" t="inlineStr">
        <is>
          <t>(행 2:38, 개역한글)</t>
        </is>
      </c>
      <c r="I482" s="14" t="inlineStr">
        <is>
          <t>회개</t>
        </is>
      </c>
      <c r="J482" s="14" t="inlineStr">
        <is>
          <t>제단·십자가</t>
        </is>
      </c>
      <c r="K482" s="16" t="inlineStr">
        <is>
          <t>베드로가 가로되 너희가 회개하여 각각 예수 그리스도의 이름으로 세례를 받고 죄 사함을 얻으라 그리하면 성령을 선물로 받으리니</t>
        </is>
      </c>
      <c r="L482" s="14" t="inlineStr">
        <is>
          <t>자동 입력 · 대조 필요</t>
        </is>
      </c>
      <c r="M482" s="14">
        <f>LEN(K482)</f>
        <v/>
      </c>
      <c r="N482" s="14">
        <f>IF(M482=0,"-",ROUND(3+M482/'안내'!$C$12,0))</f>
        <v/>
      </c>
      <c r="O482" s="15">
        <f>IF(K482="","(본문 입력 후 자동) | 행 2:38",IF(LEN(K482)&gt;28,LEFT(K482,28)&amp;"…",K482)&amp;" | 행 2:38")</f>
        <v/>
      </c>
      <c r="P482" s="15">
        <f>"#"&amp;SUBSTITUTE('안내'!$C$5," ","")&amp;" #성경구절 #말씀 #사도행전 #회개"</f>
        <v/>
      </c>
      <c r="Q482" s="15" t="inlineStr">
        <is>
          <t>성경 본문: 개역한글판</t>
        </is>
      </c>
      <c r="R482" s="17">
        <f>'안내'!$C$6+INT((D482-1)/'안내'!$C$7)</f>
        <v/>
      </c>
      <c r="S482" s="14">
        <f>IF(MOD(D482-1,'안내'!$C$7)=0,'안내'!$C$9,'안내'!$C$11)</f>
        <v/>
      </c>
      <c r="T482" s="14">
        <f>CHOOSE(WEEKDAY(R482,2),"월","화","수","목","금","토","일")</f>
        <v/>
      </c>
      <c r="U482" s="14" t="inlineStr">
        <is>
          <t>미착수</t>
        </is>
      </c>
      <c r="V482" s="14" t="inlineStr">
        <is>
          <t>미착수</t>
        </is>
      </c>
      <c r="W482" s="18" t="n"/>
      <c r="X482" s="18" t="n"/>
      <c r="Y482" s="15" t="n"/>
      <c r="Z482" s="15" t="inlineStr">
        <is>
          <t>줄바꿈 띄어쓰기 확인</t>
        </is>
      </c>
      <c r="AA482" s="15" t="inlineStr">
        <is>
          <t>Peter said to them, “Repent and be baptized, every one of you, in the name of Jesus Christ for the forgiveness of sins, and you will receive the gift of the Holy Spirit.</t>
        </is>
      </c>
    </row>
    <row r="483">
      <c r="A483" s="14" t="n">
        <v>482</v>
      </c>
      <c r="B483" s="14" t="inlineStr">
        <is>
          <t>W0482</t>
        </is>
      </c>
      <c r="C483" s="14" t="inlineStr">
        <is>
          <t>신약</t>
        </is>
      </c>
      <c r="D483" s="14" t="n">
        <v>118</v>
      </c>
      <c r="E483" s="14">
        <f>C483&amp;"말씀 #"&amp;TEXT(D483,"000")</f>
        <v/>
      </c>
      <c r="F483" s="14" t="inlineStr">
        <is>
          <t>사도행전</t>
        </is>
      </c>
      <c r="G483" s="14" t="inlineStr">
        <is>
          <t>2:42</t>
        </is>
      </c>
      <c r="H483" s="15" t="inlineStr">
        <is>
          <t>(행 2:42, 개역한글)</t>
        </is>
      </c>
      <c r="I483" s="14" t="inlineStr">
        <is>
          <t>교회</t>
        </is>
      </c>
      <c r="J483" s="14" t="inlineStr">
        <is>
          <t>창가·식탁</t>
        </is>
      </c>
      <c r="K483" s="16" t="inlineStr">
        <is>
          <t>저희가 사도의 가르침을 받아 서로 교제하며 떡을 떼며 기도하기를 전혀 힘쓰니라</t>
        </is>
      </c>
      <c r="L483" s="14" t="inlineStr">
        <is>
          <t>자동 입력</t>
        </is>
      </c>
      <c r="M483" s="14">
        <f>LEN(K483)</f>
        <v/>
      </c>
      <c r="N483" s="14">
        <f>IF(M483=0,"-",ROUND(3+M483/'안내'!$C$12,0))</f>
        <v/>
      </c>
      <c r="O483" s="15">
        <f>IF(K483="","(본문 입력 후 자동) | 행 2:42",IF(LEN(K483)&gt;28,LEFT(K483,28)&amp;"…",K483)&amp;" | 행 2:42")</f>
        <v/>
      </c>
      <c r="P483" s="15">
        <f>"#"&amp;SUBSTITUTE('안내'!$C$5," ","")&amp;" #성경구절 #말씀 #사도행전 #교회"</f>
        <v/>
      </c>
      <c r="Q483" s="15" t="inlineStr">
        <is>
          <t>성경 본문: 개역한글판</t>
        </is>
      </c>
      <c r="R483" s="17">
        <f>'안내'!$C$6+INT((D483-1)/'안내'!$C$7)</f>
        <v/>
      </c>
      <c r="S483" s="14">
        <f>IF(MOD(D483-1,'안내'!$C$7)=0,'안내'!$C$9,'안내'!$C$11)</f>
        <v/>
      </c>
      <c r="T483" s="14">
        <f>CHOOSE(WEEKDAY(R483,2),"월","화","수","목","금","토","일")</f>
        <v/>
      </c>
      <c r="U483" s="14" t="inlineStr">
        <is>
          <t>미착수</t>
        </is>
      </c>
      <c r="V483" s="14" t="inlineStr">
        <is>
          <t>미착수</t>
        </is>
      </c>
      <c r="W483" s="18" t="n"/>
      <c r="X483" s="18" t="n"/>
      <c r="Y483" s="15" t="n"/>
      <c r="Z483" s="15" t="inlineStr"/>
      <c r="AA483" s="15" t="inlineStr">
        <is>
          <t>They continued steadfastly in the apos- tles’ teaching and fellowship, in the break- ing of bread, and prayer.</t>
        </is>
      </c>
    </row>
    <row r="484">
      <c r="A484" s="14" t="n">
        <v>483</v>
      </c>
      <c r="B484" s="14" t="inlineStr">
        <is>
          <t>W0483</t>
        </is>
      </c>
      <c r="C484" s="14" t="inlineStr">
        <is>
          <t>신약</t>
        </is>
      </c>
      <c r="D484" s="14" t="n">
        <v>119</v>
      </c>
      <c r="E484" s="14">
        <f>C484&amp;"말씀 #"&amp;TEXT(D484,"000")</f>
        <v/>
      </c>
      <c r="F484" s="14" t="inlineStr">
        <is>
          <t>사도행전</t>
        </is>
      </c>
      <c r="G484" s="14" t="inlineStr">
        <is>
          <t>2:47</t>
        </is>
      </c>
      <c r="H484" s="15" t="inlineStr">
        <is>
          <t>(행 2:47, 개역한글)</t>
        </is>
      </c>
      <c r="I484" s="14" t="inlineStr">
        <is>
          <t>교회</t>
        </is>
      </c>
      <c r="J484" s="14" t="inlineStr">
        <is>
          <t>창가·식탁</t>
        </is>
      </c>
      <c r="K484" s="16" t="inlineStr">
        <is>
          <t>하나님을 찬미하며 또 온 백성에게 칭송을 받으니 주께서 구원받는 사람을 날마다 더하게 하시니라</t>
        </is>
      </c>
      <c r="L484" s="14" t="inlineStr">
        <is>
          <t>자동 입력</t>
        </is>
      </c>
      <c r="M484" s="14">
        <f>LEN(K484)</f>
        <v/>
      </c>
      <c r="N484" s="14">
        <f>IF(M484=0,"-",ROUND(3+M484/'안내'!$C$12,0))</f>
        <v/>
      </c>
      <c r="O484" s="15">
        <f>IF(K484="","(본문 입력 후 자동) | 행 2:47",IF(LEN(K484)&gt;28,LEFT(K484,28)&amp;"…",K484)&amp;" | 행 2:47")</f>
        <v/>
      </c>
      <c r="P484" s="15">
        <f>"#"&amp;SUBSTITUTE('안내'!$C$5," ","")&amp;" #성경구절 #말씀 #사도행전 #교회"</f>
        <v/>
      </c>
      <c r="Q484" s="15" t="inlineStr">
        <is>
          <t>성경 본문: 개역한글판</t>
        </is>
      </c>
      <c r="R484" s="17">
        <f>'안내'!$C$6+INT((D484-1)/'안내'!$C$7)</f>
        <v/>
      </c>
      <c r="S484" s="14">
        <f>IF(MOD(D484-1,'안내'!$C$7)=0,'안내'!$C$9,'안내'!$C$11)</f>
        <v/>
      </c>
      <c r="T484" s="14">
        <f>CHOOSE(WEEKDAY(R484,2),"월","화","수","목","금","토","일")</f>
        <v/>
      </c>
      <c r="U484" s="14" t="inlineStr">
        <is>
          <t>미착수</t>
        </is>
      </c>
      <c r="V484" s="14" t="inlineStr">
        <is>
          <t>미착수</t>
        </is>
      </c>
      <c r="W484" s="18" t="n"/>
      <c r="X484" s="18" t="n"/>
      <c r="Y484" s="15" t="n"/>
      <c r="Z484" s="15" t="inlineStr"/>
      <c r="AA484" s="15" t="inlineStr">
        <is>
          <t>praising God and having favor with all the people. The Lord added to the assembly day by day those who were being saved.</t>
        </is>
      </c>
    </row>
    <row r="485">
      <c r="A485" s="14" t="n">
        <v>484</v>
      </c>
      <c r="B485" s="14" t="inlineStr">
        <is>
          <t>W0484</t>
        </is>
      </c>
      <c r="C485" s="14" t="inlineStr">
        <is>
          <t>신약</t>
        </is>
      </c>
      <c r="D485" s="14" t="n">
        <v>120</v>
      </c>
      <c r="E485" s="14">
        <f>C485&amp;"말씀 #"&amp;TEXT(D485,"000")</f>
        <v/>
      </c>
      <c r="F485" s="14" t="inlineStr">
        <is>
          <t>사도행전</t>
        </is>
      </c>
      <c r="G485" s="14" t="inlineStr">
        <is>
          <t>3:6</t>
        </is>
      </c>
      <c r="H485" s="15" t="inlineStr">
        <is>
          <t>(행 3:6, 개역한글)</t>
        </is>
      </c>
      <c r="I485" s="14" t="inlineStr">
        <is>
          <t>능력</t>
        </is>
      </c>
      <c r="J485" s="14" t="inlineStr">
        <is>
          <t>바위산·광야</t>
        </is>
      </c>
      <c r="K485" s="16" t="inlineStr">
        <is>
          <t>베드로가 가로되 은과 금은 내게 없거니와 내게 있는 것으로 네게 주노니 곧 나사렛 예수 그리스도의 이름으로 걸으라 하고</t>
        </is>
      </c>
      <c r="L485" s="14" t="inlineStr">
        <is>
          <t>자동 입력</t>
        </is>
      </c>
      <c r="M485" s="14">
        <f>LEN(K485)</f>
        <v/>
      </c>
      <c r="N485" s="14">
        <f>IF(M485=0,"-",ROUND(3+M485/'안내'!$C$12,0))</f>
        <v/>
      </c>
      <c r="O485" s="15">
        <f>IF(K485="","(본문 입력 후 자동) | 행 3:6",IF(LEN(K485)&gt;28,LEFT(K485,28)&amp;"…",K485)&amp;" | 행 3:6")</f>
        <v/>
      </c>
      <c r="P485" s="15">
        <f>"#"&amp;SUBSTITUTE('안내'!$C$5," ","")&amp;" #성경구절 #말씀 #사도행전 #능력"</f>
        <v/>
      </c>
      <c r="Q485" s="15" t="inlineStr">
        <is>
          <t>성경 본문: 개역한글판</t>
        </is>
      </c>
      <c r="R485" s="17">
        <f>'안내'!$C$6+INT((D485-1)/'안내'!$C$7)</f>
        <v/>
      </c>
      <c r="S485" s="14">
        <f>IF(MOD(D485-1,'안내'!$C$7)=0,'안내'!$C$9,'안내'!$C$11)</f>
        <v/>
      </c>
      <c r="T485" s="14">
        <f>CHOOSE(WEEKDAY(R485,2),"월","화","수","목","금","토","일")</f>
        <v/>
      </c>
      <c r="U485" s="14" t="inlineStr">
        <is>
          <t>미착수</t>
        </is>
      </c>
      <c r="V485" s="14" t="inlineStr">
        <is>
          <t>미착수</t>
        </is>
      </c>
      <c r="W485" s="18" t="n"/>
      <c r="X485" s="18" t="n"/>
      <c r="Y485" s="15" t="n"/>
      <c r="Z485" s="15" t="inlineStr"/>
      <c r="AA485" s="15" t="inlineStr">
        <is>
          <t>But Peter said, “I have no silver or gold, but what I have, that I give you. In the name of Jesus Christ of Nazareth, get up and walk!”</t>
        </is>
      </c>
    </row>
    <row r="486">
      <c r="A486" s="14" t="n">
        <v>485</v>
      </c>
      <c r="B486" s="14" t="inlineStr">
        <is>
          <t>W0485</t>
        </is>
      </c>
      <c r="C486" s="14" t="inlineStr">
        <is>
          <t>신약</t>
        </is>
      </c>
      <c r="D486" s="14" t="n">
        <v>121</v>
      </c>
      <c r="E486" s="14">
        <f>C486&amp;"말씀 #"&amp;TEXT(D486,"000")</f>
        <v/>
      </c>
      <c r="F486" s="14" t="inlineStr">
        <is>
          <t>사도행전</t>
        </is>
      </c>
      <c r="G486" s="14" t="inlineStr">
        <is>
          <t>3:19</t>
        </is>
      </c>
      <c r="H486" s="15" t="inlineStr">
        <is>
          <t>(행 3:19, 개역한글)</t>
        </is>
      </c>
      <c r="I486" s="14" t="inlineStr">
        <is>
          <t>회개</t>
        </is>
      </c>
      <c r="J486" s="14" t="inlineStr">
        <is>
          <t>제단·십자가</t>
        </is>
      </c>
      <c r="K486" s="16" t="inlineStr">
        <is>
          <t>그러므로 너희가 회개하고 돌이켜 너희 죄 없이 함을 받으라 이같이 하면 유쾌하게 되는 날이 주 앞으로부터 이를 것이요</t>
        </is>
      </c>
      <c r="L486" s="14" t="inlineStr">
        <is>
          <t>자동 입력 · 대조 필요</t>
        </is>
      </c>
      <c r="M486" s="14">
        <f>LEN(K486)</f>
        <v/>
      </c>
      <c r="N486" s="14">
        <f>IF(M486=0,"-",ROUND(3+M486/'안내'!$C$12,0))</f>
        <v/>
      </c>
      <c r="O486" s="15">
        <f>IF(K486="","(본문 입력 후 자동) | 행 3:19",IF(LEN(K486)&gt;28,LEFT(K486,28)&amp;"…",K486)&amp;" | 행 3:19")</f>
        <v/>
      </c>
      <c r="P486" s="15">
        <f>"#"&amp;SUBSTITUTE('안내'!$C$5," ","")&amp;" #성경구절 #말씀 #사도행전 #회개"</f>
        <v/>
      </c>
      <c r="Q486" s="15" t="inlineStr">
        <is>
          <t>성경 본문: 개역한글판</t>
        </is>
      </c>
      <c r="R486" s="17">
        <f>'안내'!$C$6+INT((D486-1)/'안내'!$C$7)</f>
        <v/>
      </c>
      <c r="S486" s="14">
        <f>IF(MOD(D486-1,'안내'!$C$7)=0,'안내'!$C$9,'안내'!$C$11)</f>
        <v/>
      </c>
      <c r="T486" s="14">
        <f>CHOOSE(WEEKDAY(R486,2),"월","화","수","목","금","토","일")</f>
        <v/>
      </c>
      <c r="U486" s="14" t="inlineStr">
        <is>
          <t>미착수</t>
        </is>
      </c>
      <c r="V486" s="14" t="inlineStr">
        <is>
          <t>미착수</t>
        </is>
      </c>
      <c r="W486" s="18" t="n"/>
      <c r="X486" s="18" t="n"/>
      <c r="Y486" s="15" t="n"/>
      <c r="Z486" s="15" t="inlineStr">
        <is>
          <t>줄바꿈 띄어쓰기 확인</t>
        </is>
      </c>
      <c r="AA486" s="15" t="inlineStr">
        <is>
          <t>“Repent therefore, and turn again, that your sins may be blotted out, so that there may come times of refreshing from the presence of the Lord,</t>
        </is>
      </c>
    </row>
    <row r="487">
      <c r="A487" s="14" t="n">
        <v>486</v>
      </c>
      <c r="B487" s="14" t="inlineStr">
        <is>
          <t>W0486</t>
        </is>
      </c>
      <c r="C487" s="14" t="inlineStr">
        <is>
          <t>신약</t>
        </is>
      </c>
      <c r="D487" s="14" t="n">
        <v>122</v>
      </c>
      <c r="E487" s="14">
        <f>C487&amp;"말씀 #"&amp;TEXT(D487,"000")</f>
        <v/>
      </c>
      <c r="F487" s="14" t="inlineStr">
        <is>
          <t>사도행전</t>
        </is>
      </c>
      <c r="G487" s="14" t="inlineStr">
        <is>
          <t>4:12</t>
        </is>
      </c>
      <c r="H487" s="15" t="inlineStr">
        <is>
          <t>(행 4:12, 개역한글)</t>
        </is>
      </c>
      <c r="I487" s="14" t="inlineStr">
        <is>
          <t>구원</t>
        </is>
      </c>
      <c r="J487" s="14" t="inlineStr">
        <is>
          <t>제단·십자가</t>
        </is>
      </c>
      <c r="K487" s="16" t="inlineStr">
        <is>
          <t>다른 이로서는 구원을 얻을 수 없나니 천하 인간에 구원을 얻을 만한 다른 이름을 우리에게 주신 일이 없음이니라 하였더라</t>
        </is>
      </c>
      <c r="L487" s="14" t="inlineStr">
        <is>
          <t>자동 입력</t>
        </is>
      </c>
      <c r="M487" s="14">
        <f>LEN(K487)</f>
        <v/>
      </c>
      <c r="N487" s="14">
        <f>IF(M487=0,"-",ROUND(3+M487/'안내'!$C$12,0))</f>
        <v/>
      </c>
      <c r="O487" s="15">
        <f>IF(K487="","(본문 입력 후 자동) | 행 4:12",IF(LEN(K487)&gt;28,LEFT(K487,28)&amp;"…",K487)&amp;" | 행 4:12")</f>
        <v/>
      </c>
      <c r="P487" s="15">
        <f>"#"&amp;SUBSTITUTE('안내'!$C$5," ","")&amp;" #성경구절 #말씀 #사도행전 #구원"</f>
        <v/>
      </c>
      <c r="Q487" s="15" t="inlineStr">
        <is>
          <t>성경 본문: 개역한글판</t>
        </is>
      </c>
      <c r="R487" s="17">
        <f>'안내'!$C$6+INT((D487-1)/'안내'!$C$7)</f>
        <v/>
      </c>
      <c r="S487" s="14">
        <f>IF(MOD(D487-1,'안내'!$C$7)=0,'안내'!$C$9,'안내'!$C$11)</f>
        <v/>
      </c>
      <c r="T487" s="14">
        <f>CHOOSE(WEEKDAY(R487,2),"월","화","수","목","금","토","일")</f>
        <v/>
      </c>
      <c r="U487" s="14" t="inlineStr">
        <is>
          <t>미착수</t>
        </is>
      </c>
      <c r="V487" s="14" t="inlineStr">
        <is>
          <t>미착수</t>
        </is>
      </c>
      <c r="W487" s="18" t="n"/>
      <c r="X487" s="18" t="n"/>
      <c r="Y487" s="15" t="n"/>
      <c r="Z487" s="15" t="inlineStr"/>
      <c r="AA487" s="15" t="inlineStr">
        <is>
          <t>There is salvation in no one else, for there is no other name under heaven that is given among men, by which we must be saved!”</t>
        </is>
      </c>
    </row>
    <row r="488">
      <c r="A488" s="14" t="n">
        <v>487</v>
      </c>
      <c r="B488" s="14" t="inlineStr">
        <is>
          <t>W0487</t>
        </is>
      </c>
      <c r="C488" s="14" t="inlineStr">
        <is>
          <t>신약</t>
        </is>
      </c>
      <c r="D488" s="14" t="n">
        <v>123</v>
      </c>
      <c r="E488" s="14">
        <f>C488&amp;"말씀 #"&amp;TEXT(D488,"000")</f>
        <v/>
      </c>
      <c r="F488" s="14" t="inlineStr">
        <is>
          <t>사도행전</t>
        </is>
      </c>
      <c r="G488" s="14" t="inlineStr">
        <is>
          <t>4:20</t>
        </is>
      </c>
      <c r="H488" s="15" t="inlineStr">
        <is>
          <t>(행 4:20, 개역한글)</t>
        </is>
      </c>
      <c r="I488" s="14" t="inlineStr">
        <is>
          <t>복음</t>
        </is>
      </c>
      <c r="J488" s="14" t="inlineStr">
        <is>
          <t>제단·십자가</t>
        </is>
      </c>
      <c r="K488" s="16" t="inlineStr">
        <is>
          <t>우리는 보고 들은 것을 말하지 아니할 수 없다 하니</t>
        </is>
      </c>
      <c r="L488" s="14" t="inlineStr">
        <is>
          <t>자동 입력</t>
        </is>
      </c>
      <c r="M488" s="14">
        <f>LEN(K488)</f>
        <v/>
      </c>
      <c r="N488" s="14">
        <f>IF(M488=0,"-",ROUND(3+M488/'안내'!$C$12,0))</f>
        <v/>
      </c>
      <c r="O488" s="15">
        <f>IF(K488="","(본문 입력 후 자동) | 행 4:20",IF(LEN(K488)&gt;28,LEFT(K488,28)&amp;"…",K488)&amp;" | 행 4:20")</f>
        <v/>
      </c>
      <c r="P488" s="15">
        <f>"#"&amp;SUBSTITUTE('안내'!$C$5," ","")&amp;" #성경구절 #말씀 #사도행전 #복음"</f>
        <v/>
      </c>
      <c r="Q488" s="15" t="inlineStr">
        <is>
          <t>성경 본문: 개역한글판</t>
        </is>
      </c>
      <c r="R488" s="17">
        <f>'안내'!$C$6+INT((D488-1)/'안내'!$C$7)</f>
        <v/>
      </c>
      <c r="S488" s="14">
        <f>IF(MOD(D488-1,'안내'!$C$7)=0,'안내'!$C$9,'안내'!$C$11)</f>
        <v/>
      </c>
      <c r="T488" s="14">
        <f>CHOOSE(WEEKDAY(R488,2),"월","화","수","목","금","토","일")</f>
        <v/>
      </c>
      <c r="U488" s="14" t="inlineStr">
        <is>
          <t>미착수</t>
        </is>
      </c>
      <c r="V488" s="14" t="inlineStr">
        <is>
          <t>미착수</t>
        </is>
      </c>
      <c r="W488" s="18" t="n"/>
      <c r="X488" s="18" t="n"/>
      <c r="Y488" s="15" t="n"/>
      <c r="Z488" s="15" t="inlineStr"/>
      <c r="AA488" s="15" t="inlineStr">
        <is>
          <t>for we can’t help telling the things which we saw and heard.”</t>
        </is>
      </c>
    </row>
    <row r="489">
      <c r="A489" s="14" t="n">
        <v>488</v>
      </c>
      <c r="B489" s="14" t="inlineStr">
        <is>
          <t>W0488</t>
        </is>
      </c>
      <c r="C489" s="14" t="inlineStr">
        <is>
          <t>신약</t>
        </is>
      </c>
      <c r="D489" s="14" t="n">
        <v>124</v>
      </c>
      <c r="E489" s="14">
        <f>C489&amp;"말씀 #"&amp;TEXT(D489,"000")</f>
        <v/>
      </c>
      <c r="F489" s="14" t="inlineStr">
        <is>
          <t>사도행전</t>
        </is>
      </c>
      <c r="G489" s="14" t="inlineStr">
        <is>
          <t>5:29</t>
        </is>
      </c>
      <c r="H489" s="15" t="inlineStr">
        <is>
          <t>(행 5:29, 개역한글)</t>
        </is>
      </c>
      <c r="I489" s="14" t="inlineStr">
        <is>
          <t>순종</t>
        </is>
      </c>
      <c r="J489" s="14" t="inlineStr">
        <is>
          <t>길·등불</t>
        </is>
      </c>
      <c r="K489" s="16" t="inlineStr">
        <is>
          <t>베드로와 사도들이 대답하여 가로되 사람보다 하나님을 순종하는 것이 마땅하니라</t>
        </is>
      </c>
      <c r="L489" s="14" t="inlineStr">
        <is>
          <t>자동 입력</t>
        </is>
      </c>
      <c r="M489" s="14">
        <f>LEN(K489)</f>
        <v/>
      </c>
      <c r="N489" s="14">
        <f>IF(M489=0,"-",ROUND(3+M489/'안내'!$C$12,0))</f>
        <v/>
      </c>
      <c r="O489" s="15">
        <f>IF(K489="","(본문 입력 후 자동) | 행 5:29",IF(LEN(K489)&gt;28,LEFT(K489,28)&amp;"…",K489)&amp;" | 행 5:29")</f>
        <v/>
      </c>
      <c r="P489" s="15">
        <f>"#"&amp;SUBSTITUTE('안내'!$C$5," ","")&amp;" #성경구절 #말씀 #사도행전 #순종"</f>
        <v/>
      </c>
      <c r="Q489" s="15" t="inlineStr">
        <is>
          <t>성경 본문: 개역한글판</t>
        </is>
      </c>
      <c r="R489" s="17">
        <f>'안내'!$C$6+INT((D489-1)/'안내'!$C$7)</f>
        <v/>
      </c>
      <c r="S489" s="14">
        <f>IF(MOD(D489-1,'안내'!$C$7)=0,'안내'!$C$9,'안내'!$C$11)</f>
        <v/>
      </c>
      <c r="T489" s="14">
        <f>CHOOSE(WEEKDAY(R489,2),"월","화","수","목","금","토","일")</f>
        <v/>
      </c>
      <c r="U489" s="14" t="inlineStr">
        <is>
          <t>미착수</t>
        </is>
      </c>
      <c r="V489" s="14" t="inlineStr">
        <is>
          <t>미착수</t>
        </is>
      </c>
      <c r="W489" s="18" t="n"/>
      <c r="X489" s="18" t="n"/>
      <c r="Y489" s="15" t="n"/>
      <c r="Z489" s="15" t="inlineStr"/>
      <c r="AA489" s="15" t="inlineStr">
        <is>
          <t>But Peter and the apostles answered, “We must obey God rather than men.</t>
        </is>
      </c>
    </row>
    <row r="490">
      <c r="A490" s="14" t="n">
        <v>489</v>
      </c>
      <c r="B490" s="14" t="inlineStr">
        <is>
          <t>W0489</t>
        </is>
      </c>
      <c r="C490" s="14" t="inlineStr">
        <is>
          <t>신약</t>
        </is>
      </c>
      <c r="D490" s="14" t="n">
        <v>125</v>
      </c>
      <c r="E490" s="14">
        <f>C490&amp;"말씀 #"&amp;TEXT(D490,"000")</f>
        <v/>
      </c>
      <c r="F490" s="14" t="inlineStr">
        <is>
          <t>사도행전</t>
        </is>
      </c>
      <c r="G490" s="14" t="inlineStr">
        <is>
          <t>5:41</t>
        </is>
      </c>
      <c r="H490" s="15" t="inlineStr">
        <is>
          <t>(행 5:41, 개역한글)</t>
        </is>
      </c>
      <c r="I490" s="14" t="inlineStr">
        <is>
          <t>기쁨</t>
        </is>
      </c>
      <c r="J490" s="14" t="inlineStr">
        <is>
          <t>새벽빛</t>
        </is>
      </c>
      <c r="K490" s="16" t="inlineStr">
        <is>
          <t>사도들은 그 이름을 위하여 능욕받는 일에 합당한 자로 여기심을 기뻐하면서 공회 앞을 떠나니라</t>
        </is>
      </c>
      <c r="L490" s="14" t="inlineStr">
        <is>
          <t>자동 입력</t>
        </is>
      </c>
      <c r="M490" s="14">
        <f>LEN(K490)</f>
        <v/>
      </c>
      <c r="N490" s="14">
        <f>IF(M490=0,"-",ROUND(3+M490/'안내'!$C$12,0))</f>
        <v/>
      </c>
      <c r="O490" s="15">
        <f>IF(K490="","(본문 입력 후 자동) | 행 5:41",IF(LEN(K490)&gt;28,LEFT(K490,28)&amp;"…",K490)&amp;" | 행 5:41")</f>
        <v/>
      </c>
      <c r="P490" s="15">
        <f>"#"&amp;SUBSTITUTE('안내'!$C$5," ","")&amp;" #성경구절 #말씀 #사도행전 #기쁨"</f>
        <v/>
      </c>
      <c r="Q490" s="15" t="inlineStr">
        <is>
          <t>성경 본문: 개역한글판</t>
        </is>
      </c>
      <c r="R490" s="17">
        <f>'안내'!$C$6+INT((D490-1)/'안내'!$C$7)</f>
        <v/>
      </c>
      <c r="S490" s="14">
        <f>IF(MOD(D490-1,'안내'!$C$7)=0,'안내'!$C$9,'안내'!$C$11)</f>
        <v/>
      </c>
      <c r="T490" s="14">
        <f>CHOOSE(WEEKDAY(R490,2),"월","화","수","목","금","토","일")</f>
        <v/>
      </c>
      <c r="U490" s="14" t="inlineStr">
        <is>
          <t>미착수</t>
        </is>
      </c>
      <c r="V490" s="14" t="inlineStr">
        <is>
          <t>미착수</t>
        </is>
      </c>
      <c r="W490" s="18" t="n"/>
      <c r="X490" s="18" t="n"/>
      <c r="Y490" s="15" t="n"/>
      <c r="Z490" s="15" t="inlineStr"/>
      <c r="AA490" s="15" t="inlineStr">
        <is>
          <t>They therefore departed from the presence of the council, rejoicing that they were counted worthy to suffer dishonor for Jesus’ name.</t>
        </is>
      </c>
    </row>
    <row r="491">
      <c r="A491" s="14" t="n">
        <v>490</v>
      </c>
      <c r="B491" s="14" t="inlineStr">
        <is>
          <t>W0490</t>
        </is>
      </c>
      <c r="C491" s="14" t="inlineStr">
        <is>
          <t>신약</t>
        </is>
      </c>
      <c r="D491" s="14" t="n">
        <v>126</v>
      </c>
      <c r="E491" s="14">
        <f>C491&amp;"말씀 #"&amp;TEXT(D491,"000")</f>
        <v/>
      </c>
      <c r="F491" s="14" t="inlineStr">
        <is>
          <t>사도행전</t>
        </is>
      </c>
      <c r="G491" s="14" t="inlineStr">
        <is>
          <t>9:15</t>
        </is>
      </c>
      <c r="H491" s="15" t="inlineStr">
        <is>
          <t>(행 9:15, 개역한글)</t>
        </is>
      </c>
      <c r="I491" s="14" t="inlineStr">
        <is>
          <t>부르심</t>
        </is>
      </c>
      <c r="J491" s="14" t="inlineStr">
        <is>
          <t>길·등불</t>
        </is>
      </c>
      <c r="K491" s="16" t="inlineStr">
        <is>
          <t>주께서 가라사대 가라 이 사람은 내 이름을 이방인과 임금들과 이스라엘 자손들 앞에 전하기 위하여 택한 나의 그릇이라</t>
        </is>
      </c>
      <c r="L491" s="14" t="inlineStr">
        <is>
          <t>자동 입력 · 대조 필요</t>
        </is>
      </c>
      <c r="M491" s="14">
        <f>LEN(K491)</f>
        <v/>
      </c>
      <c r="N491" s="14">
        <f>IF(M491=0,"-",ROUND(3+M491/'안내'!$C$12,0))</f>
        <v/>
      </c>
      <c r="O491" s="15">
        <f>IF(K491="","(본문 입력 후 자동) | 행 9:15",IF(LEN(K491)&gt;28,LEFT(K491,28)&amp;"…",K491)&amp;" | 행 9:15")</f>
        <v/>
      </c>
      <c r="P491" s="15">
        <f>"#"&amp;SUBSTITUTE('안내'!$C$5," ","")&amp;" #성경구절 #말씀 #사도행전 #부르심"</f>
        <v/>
      </c>
      <c r="Q491" s="15" t="inlineStr">
        <is>
          <t>성경 본문: 개역한글판</t>
        </is>
      </c>
      <c r="R491" s="17">
        <f>'안내'!$C$6+INT((D491-1)/'안내'!$C$7)</f>
        <v/>
      </c>
      <c r="S491" s="14">
        <f>IF(MOD(D491-1,'안내'!$C$7)=0,'안내'!$C$9,'안내'!$C$11)</f>
        <v/>
      </c>
      <c r="T491" s="14">
        <f>CHOOSE(WEEKDAY(R491,2),"월","화","수","목","금","토","일")</f>
        <v/>
      </c>
      <c r="U491" s="14" t="inlineStr">
        <is>
          <t>미착수</t>
        </is>
      </c>
      <c r="V491" s="14" t="inlineStr">
        <is>
          <t>미착수</t>
        </is>
      </c>
      <c r="W491" s="18" t="n"/>
      <c r="X491" s="18" t="n"/>
      <c r="Y491" s="15" t="n"/>
      <c r="Z491" s="15" t="inlineStr">
        <is>
          <t>줄바꿈 띄어쓰기 확인</t>
        </is>
      </c>
      <c r="AA491" s="15" t="inlineStr">
        <is>
          <t>But the Lord said to him, “Go your way, for he is my chosen vessel to bear my name before the nations and kings, and the children of Israel.</t>
        </is>
      </c>
    </row>
    <row r="492">
      <c r="A492" s="14" t="n">
        <v>491</v>
      </c>
      <c r="B492" s="14" t="inlineStr">
        <is>
          <t>W0491</t>
        </is>
      </c>
      <c r="C492" s="14" t="inlineStr">
        <is>
          <t>신약</t>
        </is>
      </c>
      <c r="D492" s="14" t="n">
        <v>127</v>
      </c>
      <c r="E492" s="14">
        <f>C492&amp;"말씀 #"&amp;TEXT(D492,"000")</f>
        <v/>
      </c>
      <c r="F492" s="14" t="inlineStr">
        <is>
          <t>사도행전</t>
        </is>
      </c>
      <c r="G492" s="14" t="inlineStr">
        <is>
          <t>10:34</t>
        </is>
      </c>
      <c r="H492" s="15" t="inlineStr">
        <is>
          <t>(행 10:34, 개역한글)</t>
        </is>
      </c>
      <c r="I492" s="14" t="inlineStr">
        <is>
          <t>사랑</t>
        </is>
      </c>
      <c r="J492" s="14" t="inlineStr">
        <is>
          <t>창가·식탁</t>
        </is>
      </c>
      <c r="K492" s="16" t="inlineStr">
        <is>
          <t>베드로가 입을 열어 가로되 내가 참으로 하나님은 사람의 외모를 취하지 아니하시고</t>
        </is>
      </c>
      <c r="L492" s="14" t="inlineStr">
        <is>
          <t>자동 입력</t>
        </is>
      </c>
      <c r="M492" s="14">
        <f>LEN(K492)</f>
        <v/>
      </c>
      <c r="N492" s="14">
        <f>IF(M492=0,"-",ROUND(3+M492/'안내'!$C$12,0))</f>
        <v/>
      </c>
      <c r="O492" s="15">
        <f>IF(K492="","(본문 입력 후 자동) | 행 10:34",IF(LEN(K492)&gt;28,LEFT(K492,28)&amp;"…",K492)&amp;" | 행 10:34")</f>
        <v/>
      </c>
      <c r="P492" s="15">
        <f>"#"&amp;SUBSTITUTE('안내'!$C$5," ","")&amp;" #성경구절 #말씀 #사도행전 #사랑"</f>
        <v/>
      </c>
      <c r="Q492" s="15" t="inlineStr">
        <is>
          <t>성경 본문: 개역한글판</t>
        </is>
      </c>
      <c r="R492" s="17">
        <f>'안내'!$C$6+INT((D492-1)/'안내'!$C$7)</f>
        <v/>
      </c>
      <c r="S492" s="14">
        <f>IF(MOD(D492-1,'안내'!$C$7)=0,'안내'!$C$9,'안내'!$C$11)</f>
        <v/>
      </c>
      <c r="T492" s="14">
        <f>CHOOSE(WEEKDAY(R492,2),"월","화","수","목","금","토","일")</f>
        <v/>
      </c>
      <c r="U492" s="14" t="inlineStr">
        <is>
          <t>미착수</t>
        </is>
      </c>
      <c r="V492" s="14" t="inlineStr">
        <is>
          <t>미착수</t>
        </is>
      </c>
      <c r="W492" s="18" t="n"/>
      <c r="X492" s="18" t="n"/>
      <c r="Y492" s="15" t="n"/>
      <c r="Z492" s="15" t="inlineStr"/>
      <c r="AA492" s="15" t="inlineStr">
        <is>
          <t>Peter opened his mouth and said, “Truly I perceive that God doesn’t show favoritism;</t>
        </is>
      </c>
    </row>
    <row r="493">
      <c r="A493" s="14" t="n">
        <v>492</v>
      </c>
      <c r="B493" s="14" t="inlineStr">
        <is>
          <t>W0492</t>
        </is>
      </c>
      <c r="C493" s="14" t="inlineStr">
        <is>
          <t>신약</t>
        </is>
      </c>
      <c r="D493" s="14" t="n">
        <v>128</v>
      </c>
      <c r="E493" s="14">
        <f>C493&amp;"말씀 #"&amp;TEXT(D493,"000")</f>
        <v/>
      </c>
      <c r="F493" s="14" t="inlineStr">
        <is>
          <t>사도행전</t>
        </is>
      </c>
      <c r="G493" s="14" t="inlineStr">
        <is>
          <t>16:25</t>
        </is>
      </c>
      <c r="H493" s="15" t="inlineStr">
        <is>
          <t>(행 16:25, 개역한글)</t>
        </is>
      </c>
      <c r="I493" s="14" t="inlineStr">
        <is>
          <t>찬양</t>
        </is>
      </c>
      <c r="J493" s="14" t="inlineStr">
        <is>
          <t>하늘·별</t>
        </is>
      </c>
      <c r="K493" s="16" t="inlineStr">
        <is>
          <t>밤중쯤 되어 바울과 실라가 기도하고 하나님을 찬미하매 죄수들이 듣더라</t>
        </is>
      </c>
      <c r="L493" s="14" t="inlineStr">
        <is>
          <t>자동 입력</t>
        </is>
      </c>
      <c r="M493" s="14">
        <f>LEN(K493)</f>
        <v/>
      </c>
      <c r="N493" s="14">
        <f>IF(M493=0,"-",ROUND(3+M493/'안내'!$C$12,0))</f>
        <v/>
      </c>
      <c r="O493" s="15">
        <f>IF(K493="","(본문 입력 후 자동) | 행 16:25",IF(LEN(K493)&gt;28,LEFT(K493,28)&amp;"…",K493)&amp;" | 행 16:25")</f>
        <v/>
      </c>
      <c r="P493" s="15">
        <f>"#"&amp;SUBSTITUTE('안내'!$C$5," ","")&amp;" #성경구절 #말씀 #사도행전 #찬양"</f>
        <v/>
      </c>
      <c r="Q493" s="15" t="inlineStr">
        <is>
          <t>성경 본문: 개역한글판</t>
        </is>
      </c>
      <c r="R493" s="17">
        <f>'안내'!$C$6+INT((D493-1)/'안내'!$C$7)</f>
        <v/>
      </c>
      <c r="S493" s="14">
        <f>IF(MOD(D493-1,'안내'!$C$7)=0,'안내'!$C$9,'안내'!$C$11)</f>
        <v/>
      </c>
      <c r="T493" s="14">
        <f>CHOOSE(WEEKDAY(R493,2),"월","화","수","목","금","토","일")</f>
        <v/>
      </c>
      <c r="U493" s="14" t="inlineStr">
        <is>
          <t>미착수</t>
        </is>
      </c>
      <c r="V493" s="14" t="inlineStr">
        <is>
          <t>미착수</t>
        </is>
      </c>
      <c r="W493" s="18" t="n"/>
      <c r="X493" s="18" t="n"/>
      <c r="Y493" s="15" t="n"/>
      <c r="Z493" s="15" t="inlineStr"/>
      <c r="AA493" s="15" t="inlineStr">
        <is>
          <t>But about midnight Paul and Silas were praying and singing hymns to God, and the prisoners were listening to them.</t>
        </is>
      </c>
    </row>
    <row r="494">
      <c r="A494" s="14" t="n">
        <v>493</v>
      </c>
      <c r="B494" s="14" t="inlineStr">
        <is>
          <t>W0493</t>
        </is>
      </c>
      <c r="C494" s="14" t="inlineStr">
        <is>
          <t>신약</t>
        </is>
      </c>
      <c r="D494" s="14" t="n">
        <v>129</v>
      </c>
      <c r="E494" s="14">
        <f>C494&amp;"말씀 #"&amp;TEXT(D494,"000")</f>
        <v/>
      </c>
      <c r="F494" s="14" t="inlineStr">
        <is>
          <t>사도행전</t>
        </is>
      </c>
      <c r="G494" s="14" t="inlineStr">
        <is>
          <t>16:31</t>
        </is>
      </c>
      <c r="H494" s="15" t="inlineStr">
        <is>
          <t>(행 16:31, 개역한글)</t>
        </is>
      </c>
      <c r="I494" s="14" t="inlineStr">
        <is>
          <t>구원</t>
        </is>
      </c>
      <c r="J494" s="14" t="inlineStr">
        <is>
          <t>제단·십자가</t>
        </is>
      </c>
      <c r="K494" s="16" t="inlineStr">
        <is>
          <t>가로되 주 예수를 믿으라 그리하면 너와 네 집이 구원을 얻으리라 하고</t>
        </is>
      </c>
      <c r="L494" s="14" t="inlineStr">
        <is>
          <t>자동 입력</t>
        </is>
      </c>
      <c r="M494" s="14">
        <f>LEN(K494)</f>
        <v/>
      </c>
      <c r="N494" s="14">
        <f>IF(M494=0,"-",ROUND(3+M494/'안내'!$C$12,0))</f>
        <v/>
      </c>
      <c r="O494" s="15">
        <f>IF(K494="","(본문 입력 후 자동) | 행 16:31",IF(LEN(K494)&gt;28,LEFT(K494,28)&amp;"…",K494)&amp;" | 행 16:31")</f>
        <v/>
      </c>
      <c r="P494" s="15">
        <f>"#"&amp;SUBSTITUTE('안내'!$C$5," ","")&amp;" #성경구절 #말씀 #사도행전 #구원"</f>
        <v/>
      </c>
      <c r="Q494" s="15" t="inlineStr">
        <is>
          <t>성경 본문: 개역한글판</t>
        </is>
      </c>
      <c r="R494" s="17">
        <f>'안내'!$C$6+INT((D494-1)/'안내'!$C$7)</f>
        <v/>
      </c>
      <c r="S494" s="14">
        <f>IF(MOD(D494-1,'안내'!$C$7)=0,'안내'!$C$9,'안내'!$C$11)</f>
        <v/>
      </c>
      <c r="T494" s="14">
        <f>CHOOSE(WEEKDAY(R494,2),"월","화","수","목","금","토","일")</f>
        <v/>
      </c>
      <c r="U494" s="14" t="inlineStr">
        <is>
          <t>미착수</t>
        </is>
      </c>
      <c r="V494" s="14" t="inlineStr">
        <is>
          <t>미착수</t>
        </is>
      </c>
      <c r="W494" s="18" t="n"/>
      <c r="X494" s="18" t="n"/>
      <c r="Y494" s="15" t="n"/>
      <c r="Z494" s="15" t="inlineStr"/>
      <c r="AA494" s="15" t="inlineStr">
        <is>
          <t>They said, “Believe in the Lord Jesus Christ, and you will be saved, you and your household.”</t>
        </is>
      </c>
    </row>
    <row r="495">
      <c r="A495" s="14" t="n">
        <v>494</v>
      </c>
      <c r="B495" s="14" t="inlineStr">
        <is>
          <t>W0494</t>
        </is>
      </c>
      <c r="C495" s="14" t="inlineStr">
        <is>
          <t>신약</t>
        </is>
      </c>
      <c r="D495" s="14" t="n">
        <v>130</v>
      </c>
      <c r="E495" s="14">
        <f>C495&amp;"말씀 #"&amp;TEXT(D495,"000")</f>
        <v/>
      </c>
      <c r="F495" s="14" t="inlineStr">
        <is>
          <t>사도행전</t>
        </is>
      </c>
      <c r="G495" s="14" t="inlineStr">
        <is>
          <t>17:11</t>
        </is>
      </c>
      <c r="H495" s="15" t="inlineStr">
        <is>
          <t>(행 17:11, 개역한글)</t>
        </is>
      </c>
      <c r="I495" s="14" t="inlineStr">
        <is>
          <t>말씀</t>
        </is>
      </c>
      <c r="J495" s="14" t="inlineStr">
        <is>
          <t>들판·나무</t>
        </is>
      </c>
      <c r="K495" s="16" t="inlineStr">
        <is>
          <t>베뢰아 사람은 데살로니가에 있는 사람보다 더 신사적이어서 간절한 마음으로 말씀을 받고 이것이 그러한 가 하여 날마다 성경을 상고하므로</t>
        </is>
      </c>
      <c r="L495" s="14" t="inlineStr">
        <is>
          <t>자동 입력 · 대조 필요</t>
        </is>
      </c>
      <c r="M495" s="14">
        <f>LEN(K495)</f>
        <v/>
      </c>
      <c r="N495" s="14">
        <f>IF(M495=0,"-",ROUND(3+M495/'안내'!$C$12,0))</f>
        <v/>
      </c>
      <c r="O495" s="15">
        <f>IF(K495="","(본문 입력 후 자동) | 행 17:11",IF(LEN(K495)&gt;28,LEFT(K495,28)&amp;"…",K495)&amp;" | 행 17:11")</f>
        <v/>
      </c>
      <c r="P495" s="15">
        <f>"#"&amp;SUBSTITUTE('안내'!$C$5," ","")&amp;" #성경구절 #말씀 #사도행전 #말씀"</f>
        <v/>
      </c>
      <c r="Q495" s="15" t="inlineStr">
        <is>
          <t>성경 본문: 개역한글판</t>
        </is>
      </c>
      <c r="R495" s="17">
        <f>'안내'!$C$6+INT((D495-1)/'안내'!$C$7)</f>
        <v/>
      </c>
      <c r="S495" s="14">
        <f>IF(MOD(D495-1,'안내'!$C$7)=0,'안내'!$C$9,'안내'!$C$11)</f>
        <v/>
      </c>
      <c r="T495" s="14">
        <f>CHOOSE(WEEKDAY(R495,2),"월","화","수","목","금","토","일")</f>
        <v/>
      </c>
      <c r="U495" s="14" t="inlineStr">
        <is>
          <t>미착수</t>
        </is>
      </c>
      <c r="V495" s="14" t="inlineStr">
        <is>
          <t>미착수</t>
        </is>
      </c>
      <c r="W495" s="18" t="n"/>
      <c r="X495" s="18" t="n"/>
      <c r="Y495" s="15" t="n"/>
      <c r="Z495" s="15" t="inlineStr">
        <is>
          <t>줄바꿈 띄어쓰기 확인</t>
        </is>
      </c>
      <c r="AA495" s="15" t="inlineStr">
        <is>
          <t>Now these were more noble than those in Thessalonica, in that they received the word with all readiness of mind, exam- ining the Scriptures daily to see whether these things were so.</t>
        </is>
      </c>
    </row>
    <row r="496">
      <c r="A496" s="14" t="n">
        <v>495</v>
      </c>
      <c r="B496" s="14" t="inlineStr">
        <is>
          <t>W0495</t>
        </is>
      </c>
      <c r="C496" s="14" t="inlineStr">
        <is>
          <t>신약</t>
        </is>
      </c>
      <c r="D496" s="14" t="n">
        <v>131</v>
      </c>
      <c r="E496" s="14">
        <f>C496&amp;"말씀 #"&amp;TEXT(D496,"000")</f>
        <v/>
      </c>
      <c r="F496" s="14" t="inlineStr">
        <is>
          <t>사도행전</t>
        </is>
      </c>
      <c r="G496" s="14" t="inlineStr">
        <is>
          <t>17:28</t>
        </is>
      </c>
      <c r="H496" s="15" t="inlineStr">
        <is>
          <t>(행 17:28, 개역한글)</t>
        </is>
      </c>
      <c r="I496" s="14" t="inlineStr">
        <is>
          <t>생명</t>
        </is>
      </c>
      <c r="J496" s="14" t="inlineStr">
        <is>
          <t>새벽빛</t>
        </is>
      </c>
      <c r="K496" s="16" t="inlineStr">
        <is>
          <t>우리가 그를 힘입어 살며 기동하며 있느니라 너희 시인 중에도 어떤 사람들의 말과 같이 우리가 그의 소생이라 하니</t>
        </is>
      </c>
      <c r="L496" s="14" t="inlineStr">
        <is>
          <t>자동 입력</t>
        </is>
      </c>
      <c r="M496" s="14">
        <f>LEN(K496)</f>
        <v/>
      </c>
      <c r="N496" s="14">
        <f>IF(M496=0,"-",ROUND(3+M496/'안내'!$C$12,0))</f>
        <v/>
      </c>
      <c r="O496" s="15">
        <f>IF(K496="","(본문 입력 후 자동) | 행 17:28",IF(LEN(K496)&gt;28,LEFT(K496,28)&amp;"…",K496)&amp;" | 행 17:28")</f>
        <v/>
      </c>
      <c r="P496" s="15">
        <f>"#"&amp;SUBSTITUTE('안내'!$C$5," ","")&amp;" #성경구절 #말씀 #사도행전 #생명"</f>
        <v/>
      </c>
      <c r="Q496" s="15" t="inlineStr">
        <is>
          <t>성경 본문: 개역한글판</t>
        </is>
      </c>
      <c r="R496" s="17">
        <f>'안내'!$C$6+INT((D496-1)/'안내'!$C$7)</f>
        <v/>
      </c>
      <c r="S496" s="14">
        <f>IF(MOD(D496-1,'안내'!$C$7)=0,'안내'!$C$9,'안내'!$C$11)</f>
        <v/>
      </c>
      <c r="T496" s="14">
        <f>CHOOSE(WEEKDAY(R496,2),"월","화","수","목","금","토","일")</f>
        <v/>
      </c>
      <c r="U496" s="14" t="inlineStr">
        <is>
          <t>미착수</t>
        </is>
      </c>
      <c r="V496" s="14" t="inlineStr">
        <is>
          <t>미착수</t>
        </is>
      </c>
      <c r="W496" s="18" t="n"/>
      <c r="X496" s="18" t="n"/>
      <c r="Y496" s="15" t="n"/>
      <c r="Z496" s="15" t="inlineStr"/>
      <c r="AA496" s="15" t="inlineStr">
        <is>
          <t>‘For in him we live, move, and have our being.’ As some of your own poets have said, ‘For we are also his offspring.’</t>
        </is>
      </c>
    </row>
    <row r="497">
      <c r="A497" s="14" t="n">
        <v>496</v>
      </c>
      <c r="B497" s="14" t="inlineStr">
        <is>
          <t>W0496</t>
        </is>
      </c>
      <c r="C497" s="14" t="inlineStr">
        <is>
          <t>신약</t>
        </is>
      </c>
      <c r="D497" s="14" t="n">
        <v>132</v>
      </c>
      <c r="E497" s="14">
        <f>C497&amp;"말씀 #"&amp;TEXT(D497,"000")</f>
        <v/>
      </c>
      <c r="F497" s="14" t="inlineStr">
        <is>
          <t>사도행전</t>
        </is>
      </c>
      <c r="G497" s="14" t="inlineStr">
        <is>
          <t>20:24</t>
        </is>
      </c>
      <c r="H497" s="15" t="inlineStr">
        <is>
          <t>(행 20:24, 개역한글)</t>
        </is>
      </c>
      <c r="I497" s="14" t="inlineStr">
        <is>
          <t>헌신</t>
        </is>
      </c>
      <c r="J497" s="14" t="inlineStr">
        <is>
          <t>길·등불</t>
        </is>
      </c>
      <c r="K497" s="16" t="inlineStr">
        <is>
          <t>나의 달려갈 길과 주 예수께 받은 사명 곧 하나님의 은혜의 복음 증거하는 일을 마치려 함에는 나의 생명을 조금도 귀한 것으로 여기지 아니하노라</t>
        </is>
      </c>
      <c r="L497" s="14" t="inlineStr">
        <is>
          <t>자동 입력</t>
        </is>
      </c>
      <c r="M497" s="14">
        <f>LEN(K497)</f>
        <v/>
      </c>
      <c r="N497" s="14">
        <f>IF(M497=0,"-",ROUND(3+M497/'안내'!$C$12,0))</f>
        <v/>
      </c>
      <c r="O497" s="15">
        <f>IF(K497="","(본문 입력 후 자동) | 행 20:24",IF(LEN(K497)&gt;28,LEFT(K497,28)&amp;"…",K497)&amp;" | 행 20:24")</f>
        <v/>
      </c>
      <c r="P497" s="15">
        <f>"#"&amp;SUBSTITUTE('안내'!$C$5," ","")&amp;" #성경구절 #말씀 #사도행전 #헌신"</f>
        <v/>
      </c>
      <c r="Q497" s="15" t="inlineStr">
        <is>
          <t>성경 본문: 개역한글판</t>
        </is>
      </c>
      <c r="R497" s="17">
        <f>'안내'!$C$6+INT((D497-1)/'안내'!$C$7)</f>
        <v/>
      </c>
      <c r="S497" s="14">
        <f>IF(MOD(D497-1,'안내'!$C$7)=0,'안내'!$C$9,'안내'!$C$11)</f>
        <v/>
      </c>
      <c r="T497" s="14">
        <f>CHOOSE(WEEKDAY(R497,2),"월","화","수","목","금","토","일")</f>
        <v/>
      </c>
      <c r="U497" s="14" t="inlineStr">
        <is>
          <t>미착수</t>
        </is>
      </c>
      <c r="V497" s="14" t="inlineStr">
        <is>
          <t>미착수</t>
        </is>
      </c>
      <c r="W497" s="18" t="n"/>
      <c r="X497" s="18" t="n"/>
      <c r="Y497" s="15" t="n"/>
      <c r="Z497" s="15" t="inlineStr"/>
      <c r="AA497" s="15" t="inlineStr">
        <is>
          <t>But these things don’t count; nor do I hold my life dear to myself, so that I may finish my race with joy, and the ministry which I received from the Lord Jesus, to fully testify to the Good News of the grace of God.</t>
        </is>
      </c>
    </row>
    <row r="498">
      <c r="A498" s="14" t="n">
        <v>497</v>
      </c>
      <c r="B498" s="14" t="inlineStr">
        <is>
          <t>W0497</t>
        </is>
      </c>
      <c r="C498" s="14" t="inlineStr">
        <is>
          <t>신약</t>
        </is>
      </c>
      <c r="D498" s="14" t="n">
        <v>133</v>
      </c>
      <c r="E498" s="14">
        <f>C498&amp;"말씀 #"&amp;TEXT(D498,"000")</f>
        <v/>
      </c>
      <c r="F498" s="14" t="inlineStr">
        <is>
          <t>사도행전</t>
        </is>
      </c>
      <c r="G498" s="14" t="inlineStr">
        <is>
          <t>20:35</t>
        </is>
      </c>
      <c r="H498" s="15" t="inlineStr">
        <is>
          <t>(행 20:35, 개역한글)</t>
        </is>
      </c>
      <c r="I498" s="14" t="inlineStr">
        <is>
          <t>나눔</t>
        </is>
      </c>
      <c r="J498" s="14" t="inlineStr">
        <is>
          <t>들판·나무</t>
        </is>
      </c>
      <c r="K498" s="16" t="inlineStr">
        <is>
          <t>범사에 너희에게 모본을 보였노니 곧 이같이 수고하여 약한 사람들을 돕고 또 주 예수의 친히 말씀하신 바 주는 것이 받는 것보다 복이 있다 하심을 기억하여야 할지니라</t>
        </is>
      </c>
      <c r="L498" s="14" t="inlineStr">
        <is>
          <t>자동 입력 · 대조 필요</t>
        </is>
      </c>
      <c r="M498" s="14">
        <f>LEN(K498)</f>
        <v/>
      </c>
      <c r="N498" s="14">
        <f>IF(M498=0,"-",ROUND(3+M498/'안내'!$C$12,0))</f>
        <v/>
      </c>
      <c r="O498" s="15">
        <f>IF(K498="","(본문 입력 후 자동) | 행 20:35",IF(LEN(K498)&gt;28,LEFT(K498,28)&amp;"…",K498)&amp;" | 행 20:35")</f>
        <v/>
      </c>
      <c r="P498" s="15">
        <f>"#"&amp;SUBSTITUTE('안내'!$C$5," ","")&amp;" #성경구절 #말씀 #사도행전 #나눔"</f>
        <v/>
      </c>
      <c r="Q498" s="15" t="inlineStr">
        <is>
          <t>성경 본문: 개역한글판</t>
        </is>
      </c>
      <c r="R498" s="17">
        <f>'안내'!$C$6+INT((D498-1)/'안내'!$C$7)</f>
        <v/>
      </c>
      <c r="S498" s="14">
        <f>IF(MOD(D498-1,'안내'!$C$7)=0,'안내'!$C$9,'안내'!$C$11)</f>
        <v/>
      </c>
      <c r="T498" s="14">
        <f>CHOOSE(WEEKDAY(R498,2),"월","화","수","목","금","토","일")</f>
        <v/>
      </c>
      <c r="U498" s="14" t="inlineStr">
        <is>
          <t>미착수</t>
        </is>
      </c>
      <c r="V498" s="14" t="inlineStr">
        <is>
          <t>미착수</t>
        </is>
      </c>
      <c r="W498" s="18" t="n"/>
      <c r="X498" s="18" t="n"/>
      <c r="Y498" s="15" t="n"/>
      <c r="Z498" s="15" t="inlineStr">
        <is>
          <t>줄바꿈 띄어쓰기 확인</t>
        </is>
      </c>
      <c r="AA498" s="15" t="inlineStr">
        <is>
          <t>In all things I gave you an example, that so laboring you ought to help the weak, and to remember the words of the Lord Jesus, that he himself said, ‘It is more blessed to give than to receive.’”</t>
        </is>
      </c>
    </row>
    <row r="499">
      <c r="A499" s="14" t="n">
        <v>498</v>
      </c>
      <c r="B499" s="14" t="inlineStr">
        <is>
          <t>W0498</t>
        </is>
      </c>
      <c r="C499" s="14" t="inlineStr">
        <is>
          <t>신약</t>
        </is>
      </c>
      <c r="D499" s="14" t="n">
        <v>134</v>
      </c>
      <c r="E499" s="14">
        <f>C499&amp;"말씀 #"&amp;TEXT(D499,"000")</f>
        <v/>
      </c>
      <c r="F499" s="14" t="inlineStr">
        <is>
          <t>사도행전</t>
        </is>
      </c>
      <c r="G499" s="14" t="inlineStr">
        <is>
          <t>27:25</t>
        </is>
      </c>
      <c r="H499" s="15" t="inlineStr">
        <is>
          <t>(행 27:25, 개역한글)</t>
        </is>
      </c>
      <c r="I499" s="14" t="inlineStr">
        <is>
          <t>믿음</t>
        </is>
      </c>
      <c r="J499" s="14" t="inlineStr">
        <is>
          <t>바위산·광야</t>
        </is>
      </c>
      <c r="K499" s="16" t="inlineStr">
        <is>
          <t>그러므로 여러분이여 안심하라 나는 내게 말씀하신 그대로 되리라고 하나님을 믿노라</t>
        </is>
      </c>
      <c r="L499" s="14" t="inlineStr">
        <is>
          <t>자동 입력</t>
        </is>
      </c>
      <c r="M499" s="14">
        <f>LEN(K499)</f>
        <v/>
      </c>
      <c r="N499" s="14">
        <f>IF(M499=0,"-",ROUND(3+M499/'안내'!$C$12,0))</f>
        <v/>
      </c>
      <c r="O499" s="15">
        <f>IF(K499="","(본문 입력 후 자동) | 행 27:25",IF(LEN(K499)&gt;28,LEFT(K499,28)&amp;"…",K499)&amp;" | 행 27:25")</f>
        <v/>
      </c>
      <c r="P499" s="15">
        <f>"#"&amp;SUBSTITUTE('안내'!$C$5," ","")&amp;" #성경구절 #말씀 #사도행전 #믿음"</f>
        <v/>
      </c>
      <c r="Q499" s="15" t="inlineStr">
        <is>
          <t>성경 본문: 개역한글판</t>
        </is>
      </c>
      <c r="R499" s="17">
        <f>'안내'!$C$6+INT((D499-1)/'안내'!$C$7)</f>
        <v/>
      </c>
      <c r="S499" s="14">
        <f>IF(MOD(D499-1,'안내'!$C$7)=0,'안내'!$C$9,'안내'!$C$11)</f>
        <v/>
      </c>
      <c r="T499" s="14">
        <f>CHOOSE(WEEKDAY(R499,2),"월","화","수","목","금","토","일")</f>
        <v/>
      </c>
      <c r="U499" s="14" t="inlineStr">
        <is>
          <t>미착수</t>
        </is>
      </c>
      <c r="V499" s="14" t="inlineStr">
        <is>
          <t>미착수</t>
        </is>
      </c>
      <c r="W499" s="18" t="n"/>
      <c r="X499" s="18" t="n"/>
      <c r="Y499" s="15" t="n"/>
      <c r="Z499" s="15" t="inlineStr"/>
      <c r="AA499" s="15" t="inlineStr">
        <is>
          <t>Therefore, sirs, cheer up! For I believe God, that it will be just as it has been spoken to me.</t>
        </is>
      </c>
    </row>
    <row r="500">
      <c r="A500" s="14" t="n">
        <v>499</v>
      </c>
      <c r="B500" s="14" t="inlineStr">
        <is>
          <t>W0499</t>
        </is>
      </c>
      <c r="C500" s="14" t="inlineStr">
        <is>
          <t>신약</t>
        </is>
      </c>
      <c r="D500" s="14" t="n">
        <v>135</v>
      </c>
      <c r="E500" s="14">
        <f>C500&amp;"말씀 #"&amp;TEXT(D500,"000")</f>
        <v/>
      </c>
      <c r="F500" s="14" t="inlineStr">
        <is>
          <t>로마서</t>
        </is>
      </c>
      <c r="G500" s="14" t="inlineStr">
        <is>
          <t>1:16</t>
        </is>
      </c>
      <c r="H500" s="15" t="inlineStr">
        <is>
          <t>(롬 1:16, 개역한글)</t>
        </is>
      </c>
      <c r="I500" s="14" t="inlineStr">
        <is>
          <t>복음</t>
        </is>
      </c>
      <c r="J500" s="14" t="inlineStr">
        <is>
          <t>제단·십자가</t>
        </is>
      </c>
      <c r="K500" s="16" t="inlineStr">
        <is>
          <t>내가 복음을 부끄러워하지 아니하노니 이 복음은 모든 믿는 자에게 구원을 주시는 하나님의 능력이 됨이라 첫째는 유대인에게요 또한 헬라인에게로다</t>
        </is>
      </c>
      <c r="L500" s="14" t="inlineStr">
        <is>
          <t>자동 입력 · 대조 필요</t>
        </is>
      </c>
      <c r="M500" s="14">
        <f>LEN(K500)</f>
        <v/>
      </c>
      <c r="N500" s="14">
        <f>IF(M500=0,"-",ROUND(3+M500/'안내'!$C$12,0))</f>
        <v/>
      </c>
      <c r="O500" s="15">
        <f>IF(K500="","(본문 입력 후 자동) | 롬 1:16",IF(LEN(K500)&gt;28,LEFT(K500,28)&amp;"…",K500)&amp;" | 롬 1:16")</f>
        <v/>
      </c>
      <c r="P500" s="15">
        <f>"#"&amp;SUBSTITUTE('안내'!$C$5," ","")&amp;" #성경구절 #말씀 #로마서 #복음"</f>
        <v/>
      </c>
      <c r="Q500" s="15" t="inlineStr">
        <is>
          <t>성경 본문: 개역한글판</t>
        </is>
      </c>
      <c r="R500" s="17">
        <f>'안내'!$C$6+INT((D500-1)/'안내'!$C$7)</f>
        <v/>
      </c>
      <c r="S500" s="14">
        <f>IF(MOD(D500-1,'안내'!$C$7)=0,'안내'!$C$9,'안내'!$C$11)</f>
        <v/>
      </c>
      <c r="T500" s="14">
        <f>CHOOSE(WEEKDAY(R500,2),"월","화","수","목","금","토","일")</f>
        <v/>
      </c>
      <c r="U500" s="14" t="inlineStr">
        <is>
          <t>미착수</t>
        </is>
      </c>
      <c r="V500" s="14" t="inlineStr">
        <is>
          <t>미착수</t>
        </is>
      </c>
      <c r="W500" s="18" t="n"/>
      <c r="X500" s="18" t="n"/>
      <c r="Y500" s="15" t="n"/>
      <c r="Z500" s="15" t="inlineStr">
        <is>
          <t>줄바꿈 띄어쓰기 확인</t>
        </is>
      </c>
      <c r="AA500" s="15" t="inlineStr">
        <is>
          <t>For I am not ashamed of the Good News of Christ, because it is the power of God for salvation for everyone who believes, for the Jew first, and also for the Greek.</t>
        </is>
      </c>
    </row>
    <row r="501">
      <c r="A501" s="14" t="n">
        <v>500</v>
      </c>
      <c r="B501" s="14" t="inlineStr">
        <is>
          <t>W0500</t>
        </is>
      </c>
      <c r="C501" s="14" t="inlineStr">
        <is>
          <t>신약</t>
        </is>
      </c>
      <c r="D501" s="14" t="n">
        <v>136</v>
      </c>
      <c r="E501" s="14">
        <f>C501&amp;"말씀 #"&amp;TEXT(D501,"000")</f>
        <v/>
      </c>
      <c r="F501" s="14" t="inlineStr">
        <is>
          <t>로마서</t>
        </is>
      </c>
      <c r="G501" s="14" t="inlineStr">
        <is>
          <t>1:17</t>
        </is>
      </c>
      <c r="H501" s="15" t="inlineStr">
        <is>
          <t>(롬 1:17, 개역한글)</t>
        </is>
      </c>
      <c r="I501" s="14" t="inlineStr">
        <is>
          <t>믿음</t>
        </is>
      </c>
      <c r="J501" s="14" t="inlineStr">
        <is>
          <t>바위산·광야</t>
        </is>
      </c>
      <c r="K501" s="16" t="inlineStr">
        <is>
          <t>복음에는 하나님의 의가 나타나서 믿음으로 믿음에 이르게 하나니 기록된 바 오직 의인은 믿음으로 말미암아 살리라 함과 같으니라</t>
        </is>
      </c>
      <c r="L501" s="14" t="inlineStr">
        <is>
          <t>자동 입력</t>
        </is>
      </c>
      <c r="M501" s="14">
        <f>LEN(K501)</f>
        <v/>
      </c>
      <c r="N501" s="14">
        <f>IF(M501=0,"-",ROUND(3+M501/'안내'!$C$12,0))</f>
        <v/>
      </c>
      <c r="O501" s="15">
        <f>IF(K501="","(본문 입력 후 자동) | 롬 1:17",IF(LEN(K501)&gt;28,LEFT(K501,28)&amp;"…",K501)&amp;" | 롬 1:17")</f>
        <v/>
      </c>
      <c r="P501" s="15">
        <f>"#"&amp;SUBSTITUTE('안내'!$C$5," ","")&amp;" #성경구절 #말씀 #로마서 #믿음"</f>
        <v/>
      </c>
      <c r="Q501" s="15" t="inlineStr">
        <is>
          <t>성경 본문: 개역한글판</t>
        </is>
      </c>
      <c r="R501" s="17">
        <f>'안내'!$C$6+INT((D501-1)/'안내'!$C$7)</f>
        <v/>
      </c>
      <c r="S501" s="14">
        <f>IF(MOD(D501-1,'안내'!$C$7)=0,'안내'!$C$9,'안내'!$C$11)</f>
        <v/>
      </c>
      <c r="T501" s="14">
        <f>CHOOSE(WEEKDAY(R501,2),"월","화","수","목","금","토","일")</f>
        <v/>
      </c>
      <c r="U501" s="14" t="inlineStr">
        <is>
          <t>미착수</t>
        </is>
      </c>
      <c r="V501" s="14" t="inlineStr">
        <is>
          <t>미착수</t>
        </is>
      </c>
      <c r="W501" s="18" t="n"/>
      <c r="X501" s="18" t="n"/>
      <c r="Y501" s="15" t="n"/>
      <c r="Z501" s="15" t="inlineStr"/>
      <c r="AA501" s="15" t="inlineStr">
        <is>
          <t>For in it is revealed God’s righteousness from faith to faith. As it is written, “But the righteous shall live by faith.” ✡</t>
        </is>
      </c>
    </row>
    <row r="502">
      <c r="A502" s="14" t="n">
        <v>501</v>
      </c>
      <c r="B502" s="14" t="inlineStr">
        <is>
          <t>W0501</t>
        </is>
      </c>
      <c r="C502" s="14" t="inlineStr">
        <is>
          <t>신약</t>
        </is>
      </c>
      <c r="D502" s="14" t="n">
        <v>137</v>
      </c>
      <c r="E502" s="14">
        <f>C502&amp;"말씀 #"&amp;TEXT(D502,"000")</f>
        <v/>
      </c>
      <c r="F502" s="14" t="inlineStr">
        <is>
          <t>로마서</t>
        </is>
      </c>
      <c r="G502" s="14" t="inlineStr">
        <is>
          <t>1:20</t>
        </is>
      </c>
      <c r="H502" s="15" t="inlineStr">
        <is>
          <t>(롬 1:20, 개역한글)</t>
        </is>
      </c>
      <c r="I502" s="14" t="inlineStr">
        <is>
          <t>창조</t>
        </is>
      </c>
      <c r="J502" s="14" t="inlineStr">
        <is>
          <t>하늘·별</t>
        </is>
      </c>
      <c r="K502" s="16" t="inlineStr">
        <is>
          <t>창세로부터 그의 보이지 아니하는 것들 곧 그의 영원하신 능력과 신성이 그 만드신 만물에 분명히 보여 알게 되나니 그러므로 저희가 핑계치 못할지니라</t>
        </is>
      </c>
      <c r="L502" s="14" t="inlineStr">
        <is>
          <t>자동 입력</t>
        </is>
      </c>
      <c r="M502" s="14">
        <f>LEN(K502)</f>
        <v/>
      </c>
      <c r="N502" s="14">
        <f>IF(M502=0,"-",ROUND(3+M502/'안내'!$C$12,0))</f>
        <v/>
      </c>
      <c r="O502" s="15">
        <f>IF(K502="","(본문 입력 후 자동) | 롬 1:20",IF(LEN(K502)&gt;28,LEFT(K502,28)&amp;"…",K502)&amp;" | 롬 1:20")</f>
        <v/>
      </c>
      <c r="P502" s="15">
        <f>"#"&amp;SUBSTITUTE('안내'!$C$5," ","")&amp;" #성경구절 #말씀 #로마서 #창조"</f>
        <v/>
      </c>
      <c r="Q502" s="15" t="inlineStr">
        <is>
          <t>성경 본문: 개역한글판</t>
        </is>
      </c>
      <c r="R502" s="17">
        <f>'안내'!$C$6+INT((D502-1)/'안내'!$C$7)</f>
        <v/>
      </c>
      <c r="S502" s="14">
        <f>IF(MOD(D502-1,'안내'!$C$7)=0,'안내'!$C$9,'안내'!$C$11)</f>
        <v/>
      </c>
      <c r="T502" s="14">
        <f>CHOOSE(WEEKDAY(R502,2),"월","화","수","목","금","토","일")</f>
        <v/>
      </c>
      <c r="U502" s="14" t="inlineStr">
        <is>
          <t>미착수</t>
        </is>
      </c>
      <c r="V502" s="14" t="inlineStr">
        <is>
          <t>미착수</t>
        </is>
      </c>
      <c r="W502" s="18" t="n"/>
      <c r="X502" s="18" t="n"/>
      <c r="Y502" s="15" t="n"/>
      <c r="Z502" s="15" t="inlineStr"/>
      <c r="AA502" s="15" t="inlineStr">
        <is>
          <t>For the invisible things of him since the creation of the world are clearly seen, being perceived through the things that are made, even his everlasting power and divinity, that they may be without excuse.</t>
        </is>
      </c>
    </row>
    <row r="503">
      <c r="A503" s="14" t="n">
        <v>502</v>
      </c>
      <c r="B503" s="14" t="inlineStr">
        <is>
          <t>W0502</t>
        </is>
      </c>
      <c r="C503" s="14" t="inlineStr">
        <is>
          <t>신약</t>
        </is>
      </c>
      <c r="D503" s="14" t="n">
        <v>138</v>
      </c>
      <c r="E503" s="14">
        <f>C503&amp;"말씀 #"&amp;TEXT(D503,"000")</f>
        <v/>
      </c>
      <c r="F503" s="14" t="inlineStr">
        <is>
          <t>로마서</t>
        </is>
      </c>
      <c r="G503" s="14" t="inlineStr">
        <is>
          <t>3:10</t>
        </is>
      </c>
      <c r="H503" s="15" t="inlineStr">
        <is>
          <t>(롬 3:10, 개역한글)</t>
        </is>
      </c>
      <c r="I503" s="14" t="inlineStr">
        <is>
          <t>회개</t>
        </is>
      </c>
      <c r="J503" s="14" t="inlineStr">
        <is>
          <t>제단·십자가</t>
        </is>
      </c>
      <c r="K503" s="16" t="inlineStr">
        <is>
          <t>기록한 바 의인은 없나니 하나도 없으며</t>
        </is>
      </c>
      <c r="L503" s="14" t="inlineStr">
        <is>
          <t>자동 입력</t>
        </is>
      </c>
      <c r="M503" s="14">
        <f>LEN(K503)</f>
        <v/>
      </c>
      <c r="N503" s="14">
        <f>IF(M503=0,"-",ROUND(3+M503/'안내'!$C$12,0))</f>
        <v/>
      </c>
      <c r="O503" s="15">
        <f>IF(K503="","(본문 입력 후 자동) | 롬 3:10",IF(LEN(K503)&gt;28,LEFT(K503,28)&amp;"…",K503)&amp;" | 롬 3:10")</f>
        <v/>
      </c>
      <c r="P503" s="15">
        <f>"#"&amp;SUBSTITUTE('안내'!$C$5," ","")&amp;" #성경구절 #말씀 #로마서 #회개"</f>
        <v/>
      </c>
      <c r="Q503" s="15" t="inlineStr">
        <is>
          <t>성경 본문: 개역한글판</t>
        </is>
      </c>
      <c r="R503" s="17">
        <f>'안내'!$C$6+INT((D503-1)/'안내'!$C$7)</f>
        <v/>
      </c>
      <c r="S503" s="14">
        <f>IF(MOD(D503-1,'안내'!$C$7)=0,'안내'!$C$9,'안내'!$C$11)</f>
        <v/>
      </c>
      <c r="T503" s="14">
        <f>CHOOSE(WEEKDAY(R503,2),"월","화","수","목","금","토","일")</f>
        <v/>
      </c>
      <c r="U503" s="14" t="inlineStr">
        <is>
          <t>미착수</t>
        </is>
      </c>
      <c r="V503" s="14" t="inlineStr">
        <is>
          <t>미착수</t>
        </is>
      </c>
      <c r="W503" s="18" t="n"/>
      <c r="X503" s="18" t="n"/>
      <c r="Y503" s="15" t="n"/>
      <c r="Z503" s="15" t="inlineStr"/>
      <c r="AA503" s="15" t="inlineStr">
        <is>
          <t>As it is written, “There is no one righteous; no, not one.</t>
        </is>
      </c>
    </row>
    <row r="504">
      <c r="A504" s="14" t="n">
        <v>503</v>
      </c>
      <c r="B504" s="14" t="inlineStr">
        <is>
          <t>W0503</t>
        </is>
      </c>
      <c r="C504" s="14" t="inlineStr">
        <is>
          <t>신약</t>
        </is>
      </c>
      <c r="D504" s="14" t="n">
        <v>139</v>
      </c>
      <c r="E504" s="14">
        <f>C504&amp;"말씀 #"&amp;TEXT(D504,"000")</f>
        <v/>
      </c>
      <c r="F504" s="14" t="inlineStr">
        <is>
          <t>로마서</t>
        </is>
      </c>
      <c r="G504" s="14" t="inlineStr">
        <is>
          <t>3:23</t>
        </is>
      </c>
      <c r="H504" s="15" t="inlineStr">
        <is>
          <t>(롬 3:23, 개역한글)</t>
        </is>
      </c>
      <c r="I504" s="14" t="inlineStr">
        <is>
          <t>회개</t>
        </is>
      </c>
      <c r="J504" s="14" t="inlineStr">
        <is>
          <t>제단·십자가</t>
        </is>
      </c>
      <c r="K504" s="16" t="inlineStr">
        <is>
          <t>모든 사람이 죄를 범하였으매 하나님의 영광에 이르지 못하더니</t>
        </is>
      </c>
      <c r="L504" s="14" t="inlineStr">
        <is>
          <t>자동 입력</t>
        </is>
      </c>
      <c r="M504" s="14">
        <f>LEN(K504)</f>
        <v/>
      </c>
      <c r="N504" s="14">
        <f>IF(M504=0,"-",ROUND(3+M504/'안내'!$C$12,0))</f>
        <v/>
      </c>
      <c r="O504" s="15">
        <f>IF(K504="","(본문 입력 후 자동) | 롬 3:23",IF(LEN(K504)&gt;28,LEFT(K504,28)&amp;"…",K504)&amp;" | 롬 3:23")</f>
        <v/>
      </c>
      <c r="P504" s="15">
        <f>"#"&amp;SUBSTITUTE('안내'!$C$5," ","")&amp;" #성경구절 #말씀 #로마서 #회개"</f>
        <v/>
      </c>
      <c r="Q504" s="15" t="inlineStr">
        <is>
          <t>성경 본문: 개역한글판</t>
        </is>
      </c>
      <c r="R504" s="17">
        <f>'안내'!$C$6+INT((D504-1)/'안내'!$C$7)</f>
        <v/>
      </c>
      <c r="S504" s="14">
        <f>IF(MOD(D504-1,'안내'!$C$7)=0,'안내'!$C$9,'안내'!$C$11)</f>
        <v/>
      </c>
      <c r="T504" s="14">
        <f>CHOOSE(WEEKDAY(R504,2),"월","화","수","목","금","토","일")</f>
        <v/>
      </c>
      <c r="U504" s="14" t="inlineStr">
        <is>
          <t>미착수</t>
        </is>
      </c>
      <c r="V504" s="14" t="inlineStr">
        <is>
          <t>미착수</t>
        </is>
      </c>
      <c r="W504" s="18" t="n"/>
      <c r="X504" s="18" t="n"/>
      <c r="Y504" s="15" t="n"/>
      <c r="Z504" s="15" t="inlineStr"/>
      <c r="AA504" s="15" t="inlineStr">
        <is>
          <t>for all have sinned, and fall short of the glory of God;</t>
        </is>
      </c>
    </row>
    <row r="505">
      <c r="A505" s="14" t="n">
        <v>504</v>
      </c>
      <c r="B505" s="14" t="inlineStr">
        <is>
          <t>W0504</t>
        </is>
      </c>
      <c r="C505" s="14" t="inlineStr">
        <is>
          <t>신약</t>
        </is>
      </c>
      <c r="D505" s="14" t="n">
        <v>140</v>
      </c>
      <c r="E505" s="14">
        <f>C505&amp;"말씀 #"&amp;TEXT(D505,"000")</f>
        <v/>
      </c>
      <c r="F505" s="14" t="inlineStr">
        <is>
          <t>로마서</t>
        </is>
      </c>
      <c r="G505" s="14" t="inlineStr">
        <is>
          <t>3:24</t>
        </is>
      </c>
      <c r="H505" s="15" t="inlineStr">
        <is>
          <t>(롬 3:24, 개역한글)</t>
        </is>
      </c>
      <c r="I505" s="14" t="inlineStr">
        <is>
          <t>은혜</t>
        </is>
      </c>
      <c r="J505" s="14" t="inlineStr">
        <is>
          <t>잔잔한 물</t>
        </is>
      </c>
      <c r="K505" s="16" t="inlineStr">
        <is>
          <t>그리스도 예수 안에 있는 구속으로 말미암아 하나님의 은혜로 값없이 의롭다 하심을 얻은 자 되었느니라</t>
        </is>
      </c>
      <c r="L505" s="14" t="inlineStr">
        <is>
          <t>자동 입력</t>
        </is>
      </c>
      <c r="M505" s="14">
        <f>LEN(K505)</f>
        <v/>
      </c>
      <c r="N505" s="14">
        <f>IF(M505=0,"-",ROUND(3+M505/'안내'!$C$12,0))</f>
        <v/>
      </c>
      <c r="O505" s="15">
        <f>IF(K505="","(본문 입력 후 자동) | 롬 3:24",IF(LEN(K505)&gt;28,LEFT(K505,28)&amp;"…",K505)&amp;" | 롬 3:24")</f>
        <v/>
      </c>
      <c r="P505" s="15">
        <f>"#"&amp;SUBSTITUTE('안내'!$C$5," ","")&amp;" #성경구절 #말씀 #로마서 #은혜"</f>
        <v/>
      </c>
      <c r="Q505" s="15" t="inlineStr">
        <is>
          <t>성경 본문: 개역한글판</t>
        </is>
      </c>
      <c r="R505" s="17">
        <f>'안내'!$C$6+INT((D505-1)/'안내'!$C$7)</f>
        <v/>
      </c>
      <c r="S505" s="14">
        <f>IF(MOD(D505-1,'안내'!$C$7)=0,'안내'!$C$9,'안내'!$C$11)</f>
        <v/>
      </c>
      <c r="T505" s="14">
        <f>CHOOSE(WEEKDAY(R505,2),"월","화","수","목","금","토","일")</f>
        <v/>
      </c>
      <c r="U505" s="14" t="inlineStr">
        <is>
          <t>미착수</t>
        </is>
      </c>
      <c r="V505" s="14" t="inlineStr">
        <is>
          <t>미착수</t>
        </is>
      </c>
      <c r="W505" s="18" t="n"/>
      <c r="X505" s="18" t="n"/>
      <c r="Y505" s="15" t="n"/>
      <c r="Z505" s="15" t="inlineStr"/>
      <c r="AA505" s="15" t="inlineStr">
        <is>
          <t>being justified freely by his grace through the redemp- tion that is in Christ Jesus,</t>
        </is>
      </c>
    </row>
    <row r="506">
      <c r="A506" s="14" t="n">
        <v>505</v>
      </c>
      <c r="B506" s="14" t="inlineStr">
        <is>
          <t>W0505</t>
        </is>
      </c>
      <c r="C506" s="14" t="inlineStr">
        <is>
          <t>신약</t>
        </is>
      </c>
      <c r="D506" s="14" t="n">
        <v>141</v>
      </c>
      <c r="E506" s="14">
        <f>C506&amp;"말씀 #"&amp;TEXT(D506,"000")</f>
        <v/>
      </c>
      <c r="F506" s="14" t="inlineStr">
        <is>
          <t>로마서</t>
        </is>
      </c>
      <c r="G506" s="14" t="inlineStr">
        <is>
          <t>5:1</t>
        </is>
      </c>
      <c r="H506" s="15" t="inlineStr">
        <is>
          <t>(롬 5:1, 개역한글)</t>
        </is>
      </c>
      <c r="I506" s="14" t="inlineStr">
        <is>
          <t>평안</t>
        </is>
      </c>
      <c r="J506" s="14" t="inlineStr">
        <is>
          <t>잔잔한 물</t>
        </is>
      </c>
      <c r="K506" s="16" t="inlineStr">
        <is>
          <t>그러므로 우리가 믿음으로 의롭다 하심을 얻었은즉 우리 주 예수 그리스도로 말미암아 하나님으로 더불어 화평을 누리자</t>
        </is>
      </c>
      <c r="L506" s="14" t="inlineStr">
        <is>
          <t>자동 입력</t>
        </is>
      </c>
      <c r="M506" s="14">
        <f>LEN(K506)</f>
        <v/>
      </c>
      <c r="N506" s="14">
        <f>IF(M506=0,"-",ROUND(3+M506/'안내'!$C$12,0))</f>
        <v/>
      </c>
      <c r="O506" s="15">
        <f>IF(K506="","(본문 입력 후 자동) | 롬 5:1",IF(LEN(K506)&gt;28,LEFT(K506,28)&amp;"…",K506)&amp;" | 롬 5:1")</f>
        <v/>
      </c>
      <c r="P506" s="15">
        <f>"#"&amp;SUBSTITUTE('안내'!$C$5," ","")&amp;" #성경구절 #말씀 #로마서 #평안"</f>
        <v/>
      </c>
      <c r="Q506" s="15" t="inlineStr">
        <is>
          <t>성경 본문: 개역한글판</t>
        </is>
      </c>
      <c r="R506" s="17">
        <f>'안내'!$C$6+INT((D506-1)/'안내'!$C$7)</f>
        <v/>
      </c>
      <c r="S506" s="14">
        <f>IF(MOD(D506-1,'안내'!$C$7)=0,'안내'!$C$9,'안내'!$C$11)</f>
        <v/>
      </c>
      <c r="T506" s="14">
        <f>CHOOSE(WEEKDAY(R506,2),"월","화","수","목","금","토","일")</f>
        <v/>
      </c>
      <c r="U506" s="14" t="inlineStr">
        <is>
          <t>미착수</t>
        </is>
      </c>
      <c r="V506" s="14" t="inlineStr">
        <is>
          <t>미착수</t>
        </is>
      </c>
      <c r="W506" s="18" t="n"/>
      <c r="X506" s="18" t="n"/>
      <c r="Y506" s="15" t="n"/>
      <c r="Z506" s="15" t="inlineStr"/>
      <c r="AA506" s="15" t="inlineStr">
        <is>
          <t>Being therefore justified by faith, we have peace with God through our Lord Jesus Christ;</t>
        </is>
      </c>
    </row>
    <row r="507">
      <c r="A507" s="14" t="n">
        <v>506</v>
      </c>
      <c r="B507" s="14" t="inlineStr">
        <is>
          <t>W0506</t>
        </is>
      </c>
      <c r="C507" s="14" t="inlineStr">
        <is>
          <t>신약</t>
        </is>
      </c>
      <c r="D507" s="14" t="n">
        <v>142</v>
      </c>
      <c r="E507" s="14">
        <f>C507&amp;"말씀 #"&amp;TEXT(D507,"000")</f>
        <v/>
      </c>
      <c r="F507" s="14" t="inlineStr">
        <is>
          <t>로마서</t>
        </is>
      </c>
      <c r="G507" s="14" t="inlineStr">
        <is>
          <t>5:3</t>
        </is>
      </c>
      <c r="H507" s="15" t="inlineStr">
        <is>
          <t>(롬 5:3, 개역한글)</t>
        </is>
      </c>
      <c r="I507" s="14" t="inlineStr">
        <is>
          <t>연단</t>
        </is>
      </c>
      <c r="J507" s="14" t="inlineStr">
        <is>
          <t>바위산·광야</t>
        </is>
      </c>
      <c r="K507" s="16" t="inlineStr">
        <is>
          <t>다만 이뿐 아니라 우리가 환난 중에도 즐거워하나니 이는 환난은 인내를,</t>
        </is>
      </c>
      <c r="L507" s="14" t="inlineStr">
        <is>
          <t>자동 입력</t>
        </is>
      </c>
      <c r="M507" s="14">
        <f>LEN(K507)</f>
        <v/>
      </c>
      <c r="N507" s="14">
        <f>IF(M507=0,"-",ROUND(3+M507/'안내'!$C$12,0))</f>
        <v/>
      </c>
      <c r="O507" s="15">
        <f>IF(K507="","(본문 입력 후 자동) | 롬 5:3",IF(LEN(K507)&gt;28,LEFT(K507,28)&amp;"…",K507)&amp;" | 롬 5:3")</f>
        <v/>
      </c>
      <c r="P507" s="15">
        <f>"#"&amp;SUBSTITUTE('안내'!$C$5," ","")&amp;" #성경구절 #말씀 #로마서 #연단"</f>
        <v/>
      </c>
      <c r="Q507" s="15" t="inlineStr">
        <is>
          <t>성경 본문: 개역한글판</t>
        </is>
      </c>
      <c r="R507" s="17">
        <f>'안내'!$C$6+INT((D507-1)/'안내'!$C$7)</f>
        <v/>
      </c>
      <c r="S507" s="14">
        <f>IF(MOD(D507-1,'안내'!$C$7)=0,'안내'!$C$9,'안내'!$C$11)</f>
        <v/>
      </c>
      <c r="T507" s="14">
        <f>CHOOSE(WEEKDAY(R507,2),"월","화","수","목","금","토","일")</f>
        <v/>
      </c>
      <c r="U507" s="14" t="inlineStr">
        <is>
          <t>미착수</t>
        </is>
      </c>
      <c r="V507" s="14" t="inlineStr">
        <is>
          <t>미착수</t>
        </is>
      </c>
      <c r="W507" s="18" t="n"/>
      <c r="X507" s="18" t="n"/>
      <c r="Y507" s="15" t="n"/>
      <c r="Z507" s="15" t="inlineStr"/>
      <c r="AA507" s="15" t="inlineStr">
        <is>
          <t>Not only this, but we also rejoice in our sufferings, knowing that suffering pro- duces perseverance;</t>
        </is>
      </c>
    </row>
    <row r="508">
      <c r="A508" s="14" t="n">
        <v>507</v>
      </c>
      <c r="B508" s="14" t="inlineStr">
        <is>
          <t>W0507</t>
        </is>
      </c>
      <c r="C508" s="14" t="inlineStr">
        <is>
          <t>신약</t>
        </is>
      </c>
      <c r="D508" s="14" t="n">
        <v>143</v>
      </c>
      <c r="E508" s="14">
        <f>C508&amp;"말씀 #"&amp;TEXT(D508,"000")</f>
        <v/>
      </c>
      <c r="F508" s="14" t="inlineStr">
        <is>
          <t>로마서</t>
        </is>
      </c>
      <c r="G508" s="14" t="inlineStr">
        <is>
          <t>5:5</t>
        </is>
      </c>
      <c r="H508" s="15" t="inlineStr">
        <is>
          <t>(롬 5:5, 개역한글)</t>
        </is>
      </c>
      <c r="I508" s="14" t="inlineStr">
        <is>
          <t>소망</t>
        </is>
      </c>
      <c r="J508" s="14" t="inlineStr">
        <is>
          <t>새벽빛</t>
        </is>
      </c>
      <c r="K508" s="16" t="inlineStr">
        <is>
          <t>소망이 부끄럽게 아니함은 우리에게 주신 성령으로 말미암아 하나님의 사랑이 우리 마음에 부은 바 됨이니</t>
        </is>
      </c>
      <c r="L508" s="14" t="inlineStr">
        <is>
          <t>자동 입력</t>
        </is>
      </c>
      <c r="M508" s="14">
        <f>LEN(K508)</f>
        <v/>
      </c>
      <c r="N508" s="14">
        <f>IF(M508=0,"-",ROUND(3+M508/'안내'!$C$12,0))</f>
        <v/>
      </c>
      <c r="O508" s="15">
        <f>IF(K508="","(본문 입력 후 자동) | 롬 5:5",IF(LEN(K508)&gt;28,LEFT(K508,28)&amp;"…",K508)&amp;" | 롬 5:5")</f>
        <v/>
      </c>
      <c r="P508" s="15">
        <f>"#"&amp;SUBSTITUTE('안내'!$C$5," ","")&amp;" #성경구절 #말씀 #로마서 #소망"</f>
        <v/>
      </c>
      <c r="Q508" s="15" t="inlineStr">
        <is>
          <t>성경 본문: 개역한글판</t>
        </is>
      </c>
      <c r="R508" s="17">
        <f>'안내'!$C$6+INT((D508-1)/'안내'!$C$7)</f>
        <v/>
      </c>
      <c r="S508" s="14">
        <f>IF(MOD(D508-1,'안내'!$C$7)=0,'안내'!$C$9,'안내'!$C$11)</f>
        <v/>
      </c>
      <c r="T508" s="14">
        <f>CHOOSE(WEEKDAY(R508,2),"월","화","수","목","금","토","일")</f>
        <v/>
      </c>
      <c r="U508" s="14" t="inlineStr">
        <is>
          <t>미착수</t>
        </is>
      </c>
      <c r="V508" s="14" t="inlineStr">
        <is>
          <t>미착수</t>
        </is>
      </c>
      <c r="W508" s="18" t="n"/>
      <c r="X508" s="18" t="n"/>
      <c r="Y508" s="15" t="n"/>
      <c r="Z508" s="15" t="inlineStr"/>
      <c r="AA508" s="15" t="inlineStr">
        <is>
          <t>and hope doesn’t disappoint us, because God’s love has been poured into our hearts through the Holy Spirit who was given to us.</t>
        </is>
      </c>
    </row>
    <row r="509">
      <c r="A509" s="14" t="n">
        <v>508</v>
      </c>
      <c r="B509" s="14" t="inlineStr">
        <is>
          <t>W0508</t>
        </is>
      </c>
      <c r="C509" s="14" t="inlineStr">
        <is>
          <t>신약</t>
        </is>
      </c>
      <c r="D509" s="14" t="n">
        <v>144</v>
      </c>
      <c r="E509" s="14">
        <f>C509&amp;"말씀 #"&amp;TEXT(D509,"000")</f>
        <v/>
      </c>
      <c r="F509" s="14" t="inlineStr">
        <is>
          <t>로마서</t>
        </is>
      </c>
      <c r="G509" s="14" t="inlineStr">
        <is>
          <t>5:8</t>
        </is>
      </c>
      <c r="H509" s="15" t="inlineStr">
        <is>
          <t>(롬 5:8, 개역한글)</t>
        </is>
      </c>
      <c r="I509" s="14" t="inlineStr">
        <is>
          <t>사랑</t>
        </is>
      </c>
      <c r="J509" s="14" t="inlineStr">
        <is>
          <t>창가·식탁</t>
        </is>
      </c>
      <c r="K509" s="16" t="inlineStr">
        <is>
          <t>우리가 아직 죄인 되었을 때에 그리스도께서 우리를 위하여 죽으심으로 하나님께서 우리에게 대한 자기의 사랑을 확증하셨느니라</t>
        </is>
      </c>
      <c r="L509" s="14" t="inlineStr">
        <is>
          <t>자동 입력</t>
        </is>
      </c>
      <c r="M509" s="14">
        <f>LEN(K509)</f>
        <v/>
      </c>
      <c r="N509" s="14">
        <f>IF(M509=0,"-",ROUND(3+M509/'안내'!$C$12,0))</f>
        <v/>
      </c>
      <c r="O509" s="15">
        <f>IF(K509="","(본문 입력 후 자동) | 롬 5:8",IF(LEN(K509)&gt;28,LEFT(K509,28)&amp;"…",K509)&amp;" | 롬 5:8")</f>
        <v/>
      </c>
      <c r="P509" s="15">
        <f>"#"&amp;SUBSTITUTE('안내'!$C$5," ","")&amp;" #성경구절 #말씀 #로마서 #사랑"</f>
        <v/>
      </c>
      <c r="Q509" s="15" t="inlineStr">
        <is>
          <t>성경 본문: 개역한글판</t>
        </is>
      </c>
      <c r="R509" s="17">
        <f>'안내'!$C$6+INT((D509-1)/'안내'!$C$7)</f>
        <v/>
      </c>
      <c r="S509" s="14">
        <f>IF(MOD(D509-1,'안내'!$C$7)=0,'안내'!$C$9,'안내'!$C$11)</f>
        <v/>
      </c>
      <c r="T509" s="14">
        <f>CHOOSE(WEEKDAY(R509,2),"월","화","수","목","금","토","일")</f>
        <v/>
      </c>
      <c r="U509" s="14" t="inlineStr">
        <is>
          <t>미착수</t>
        </is>
      </c>
      <c r="V509" s="14" t="inlineStr">
        <is>
          <t>미착수</t>
        </is>
      </c>
      <c r="W509" s="18" t="n"/>
      <c r="X509" s="18" t="n"/>
      <c r="Y509" s="15" t="n"/>
      <c r="Z509" s="15" t="inlineStr"/>
      <c r="AA509" s="15" t="inlineStr">
        <is>
          <t>But God commends his own love toward us, in that while we were yet sinners, Christ died for us.</t>
        </is>
      </c>
    </row>
    <row r="510">
      <c r="A510" s="14" t="n">
        <v>509</v>
      </c>
      <c r="B510" s="14" t="inlineStr">
        <is>
          <t>W0509</t>
        </is>
      </c>
      <c r="C510" s="14" t="inlineStr">
        <is>
          <t>신약</t>
        </is>
      </c>
      <c r="D510" s="14" t="n">
        <v>145</v>
      </c>
      <c r="E510" s="14">
        <f>C510&amp;"말씀 #"&amp;TEXT(D510,"000")</f>
        <v/>
      </c>
      <c r="F510" s="14" t="inlineStr">
        <is>
          <t>로마서</t>
        </is>
      </c>
      <c r="G510" s="14" t="inlineStr">
        <is>
          <t>6:4</t>
        </is>
      </c>
      <c r="H510" s="15" t="inlineStr">
        <is>
          <t>(롬 6:4, 개역한글)</t>
        </is>
      </c>
      <c r="I510" s="14" t="inlineStr">
        <is>
          <t>새 마음</t>
        </is>
      </c>
      <c r="J510" s="14" t="inlineStr">
        <is>
          <t>새벽빛</t>
        </is>
      </c>
      <c r="K510" s="16" t="inlineStr">
        <is>
          <t>그러므로 우리가 그의 죽으심과 합하여 세례를 받음으로 그와 함께 장사되었나니 이는 아버지의 영광으로 말미암아 그리스도를 죽은 자 가운데서 살리심과 같이 우리로 또한 새 생명 가운데서 행하게 하려 함이니라</t>
        </is>
      </c>
      <c r="L510" s="14" t="inlineStr">
        <is>
          <t>자동 입력</t>
        </is>
      </c>
      <c r="M510" s="14">
        <f>LEN(K510)</f>
        <v/>
      </c>
      <c r="N510" s="14">
        <f>IF(M510=0,"-",ROUND(3+M510/'안내'!$C$12,0))</f>
        <v/>
      </c>
      <c r="O510" s="15">
        <f>IF(K510="","(본문 입력 후 자동) | 롬 6:4",IF(LEN(K510)&gt;28,LEFT(K510,28)&amp;"…",K510)&amp;" | 롬 6:4")</f>
        <v/>
      </c>
      <c r="P510" s="15">
        <f>"#"&amp;SUBSTITUTE('안내'!$C$5," ","")&amp;" #성경구절 #말씀 #로마서 #새마음"</f>
        <v/>
      </c>
      <c r="Q510" s="15" t="inlineStr">
        <is>
          <t>성경 본문: 개역한글판</t>
        </is>
      </c>
      <c r="R510" s="17">
        <f>'안내'!$C$6+INT((D510-1)/'안내'!$C$7)</f>
        <v/>
      </c>
      <c r="S510" s="14">
        <f>IF(MOD(D510-1,'안내'!$C$7)=0,'안내'!$C$9,'안내'!$C$11)</f>
        <v/>
      </c>
      <c r="T510" s="14">
        <f>CHOOSE(WEEKDAY(R510,2),"월","화","수","목","금","토","일")</f>
        <v/>
      </c>
      <c r="U510" s="14" t="inlineStr">
        <is>
          <t>미착수</t>
        </is>
      </c>
      <c r="V510" s="14" t="inlineStr">
        <is>
          <t>미착수</t>
        </is>
      </c>
      <c r="W510" s="18" t="n"/>
      <c r="X510" s="18" t="n"/>
      <c r="Y510" s="15" t="n"/>
      <c r="Z510" s="15" t="inlineStr"/>
      <c r="AA510" s="15" t="inlineStr">
        <is>
          <t>We were buried therefore with him through baptism into death, that just as Christ was raised from the dead through the glory of the Father, so we also might walk in newness of life.</t>
        </is>
      </c>
    </row>
    <row r="511">
      <c r="A511" s="14" t="n">
        <v>510</v>
      </c>
      <c r="B511" s="14" t="inlineStr">
        <is>
          <t>W0510</t>
        </is>
      </c>
      <c r="C511" s="14" t="inlineStr">
        <is>
          <t>신약</t>
        </is>
      </c>
      <c r="D511" s="14" t="n">
        <v>146</v>
      </c>
      <c r="E511" s="14">
        <f>C511&amp;"말씀 #"&amp;TEXT(D511,"000")</f>
        <v/>
      </c>
      <c r="F511" s="14" t="inlineStr">
        <is>
          <t>로마서</t>
        </is>
      </c>
      <c r="G511" s="14" t="inlineStr">
        <is>
          <t>6:23</t>
        </is>
      </c>
      <c r="H511" s="15" t="inlineStr">
        <is>
          <t>(롬 6:23, 개역한글)</t>
        </is>
      </c>
      <c r="I511" s="14" t="inlineStr">
        <is>
          <t>구원</t>
        </is>
      </c>
      <c r="J511" s="14" t="inlineStr">
        <is>
          <t>제단·십자가</t>
        </is>
      </c>
      <c r="K511" s="16" t="inlineStr">
        <is>
          <t>죄의 삯은 사망이요 하나님의 은사는 그리스도 예수 우리 주 안에 있는 영생이니라</t>
        </is>
      </c>
      <c r="L511" s="14" t="inlineStr">
        <is>
          <t>자동 입력</t>
        </is>
      </c>
      <c r="M511" s="14">
        <f>LEN(K511)</f>
        <v/>
      </c>
      <c r="N511" s="14">
        <f>IF(M511=0,"-",ROUND(3+M511/'안내'!$C$12,0))</f>
        <v/>
      </c>
      <c r="O511" s="15">
        <f>IF(K511="","(본문 입력 후 자동) | 롬 6:23",IF(LEN(K511)&gt;28,LEFT(K511,28)&amp;"…",K511)&amp;" | 롬 6:23")</f>
        <v/>
      </c>
      <c r="P511" s="15">
        <f>"#"&amp;SUBSTITUTE('안내'!$C$5," ","")&amp;" #성경구절 #말씀 #로마서 #구원"</f>
        <v/>
      </c>
      <c r="Q511" s="15" t="inlineStr">
        <is>
          <t>성경 본문: 개역한글판</t>
        </is>
      </c>
      <c r="R511" s="17">
        <f>'안내'!$C$6+INT((D511-1)/'안내'!$C$7)</f>
        <v/>
      </c>
      <c r="S511" s="14">
        <f>IF(MOD(D511-1,'안내'!$C$7)=0,'안내'!$C$9,'안내'!$C$11)</f>
        <v/>
      </c>
      <c r="T511" s="14">
        <f>CHOOSE(WEEKDAY(R511,2),"월","화","수","목","금","토","일")</f>
        <v/>
      </c>
      <c r="U511" s="14" t="inlineStr">
        <is>
          <t>미착수</t>
        </is>
      </c>
      <c r="V511" s="14" t="inlineStr">
        <is>
          <t>미착수</t>
        </is>
      </c>
      <c r="W511" s="18" t="n"/>
      <c r="X511" s="18" t="n"/>
      <c r="Y511" s="15" t="n"/>
      <c r="Z511" s="15" t="inlineStr"/>
      <c r="AA511" s="15" t="inlineStr">
        <is>
          <t>For the wages of sin is death, but the free gift of God is eternal life in Christ Jesus our Lord.</t>
        </is>
      </c>
    </row>
    <row r="512">
      <c r="A512" s="14" t="n">
        <v>511</v>
      </c>
      <c r="B512" s="14" t="inlineStr">
        <is>
          <t>W0511</t>
        </is>
      </c>
      <c r="C512" s="14" t="inlineStr">
        <is>
          <t>신약</t>
        </is>
      </c>
      <c r="D512" s="14" t="n">
        <v>147</v>
      </c>
      <c r="E512" s="14">
        <f>C512&amp;"말씀 #"&amp;TEXT(D512,"000")</f>
        <v/>
      </c>
      <c r="F512" s="14" t="inlineStr">
        <is>
          <t>로마서</t>
        </is>
      </c>
      <c r="G512" s="14" t="inlineStr">
        <is>
          <t>8:1</t>
        </is>
      </c>
      <c r="H512" s="15" t="inlineStr">
        <is>
          <t>(롬 8:1, 개역한글)</t>
        </is>
      </c>
      <c r="I512" s="14" t="inlineStr">
        <is>
          <t>자유</t>
        </is>
      </c>
      <c r="J512" s="14" t="inlineStr">
        <is>
          <t>제단·십자가</t>
        </is>
      </c>
      <c r="K512" s="16" t="inlineStr">
        <is>
          <t>그러므로 이제 그리스도 예수 안에 있는 자에게는 결코 정죄함이 없나니</t>
        </is>
      </c>
      <c r="L512" s="14" t="inlineStr">
        <is>
          <t>자동 입력</t>
        </is>
      </c>
      <c r="M512" s="14">
        <f>LEN(K512)</f>
        <v/>
      </c>
      <c r="N512" s="14">
        <f>IF(M512=0,"-",ROUND(3+M512/'안내'!$C$12,0))</f>
        <v/>
      </c>
      <c r="O512" s="15">
        <f>IF(K512="","(본문 입력 후 자동) | 롬 8:1",IF(LEN(K512)&gt;28,LEFT(K512,28)&amp;"…",K512)&amp;" | 롬 8:1")</f>
        <v/>
      </c>
      <c r="P512" s="15">
        <f>"#"&amp;SUBSTITUTE('안내'!$C$5," ","")&amp;" #성경구절 #말씀 #로마서 #자유"</f>
        <v/>
      </c>
      <c r="Q512" s="15" t="inlineStr">
        <is>
          <t>성경 본문: 개역한글판</t>
        </is>
      </c>
      <c r="R512" s="17">
        <f>'안내'!$C$6+INT((D512-1)/'안내'!$C$7)</f>
        <v/>
      </c>
      <c r="S512" s="14">
        <f>IF(MOD(D512-1,'안내'!$C$7)=0,'안내'!$C$9,'안내'!$C$11)</f>
        <v/>
      </c>
      <c r="T512" s="14">
        <f>CHOOSE(WEEKDAY(R512,2),"월","화","수","목","금","토","일")</f>
        <v/>
      </c>
      <c r="U512" s="14" t="inlineStr">
        <is>
          <t>미착수</t>
        </is>
      </c>
      <c r="V512" s="14" t="inlineStr">
        <is>
          <t>미착수</t>
        </is>
      </c>
      <c r="W512" s="18" t="n"/>
      <c r="X512" s="18" t="n"/>
      <c r="Y512" s="15" t="n"/>
      <c r="Z512" s="15" t="inlineStr"/>
      <c r="AA512" s="15" t="inlineStr">
        <is>
          <t>There is therefore now no condem- nation to those who are in Christ Jesus, who don’t walk according to the flesh, but according to the Spirit.</t>
        </is>
      </c>
    </row>
    <row r="513">
      <c r="A513" s="14" t="n">
        <v>512</v>
      </c>
      <c r="B513" s="14" t="inlineStr">
        <is>
          <t>W0512</t>
        </is>
      </c>
      <c r="C513" s="14" t="inlineStr">
        <is>
          <t>신약</t>
        </is>
      </c>
      <c r="D513" s="14" t="n">
        <v>148</v>
      </c>
      <c r="E513" s="14">
        <f>C513&amp;"말씀 #"&amp;TEXT(D513,"000")</f>
        <v/>
      </c>
      <c r="F513" s="14" t="inlineStr">
        <is>
          <t>로마서</t>
        </is>
      </c>
      <c r="G513" s="14" t="inlineStr">
        <is>
          <t>8:14</t>
        </is>
      </c>
      <c r="H513" s="15" t="inlineStr">
        <is>
          <t>(롬 8:14, 개역한글)</t>
        </is>
      </c>
      <c r="I513" s="14" t="inlineStr">
        <is>
          <t>성령</t>
        </is>
      </c>
      <c r="J513" s="14" t="inlineStr">
        <is>
          <t>하늘·별</t>
        </is>
      </c>
      <c r="K513" s="16" t="inlineStr">
        <is>
          <t>무릇 하나님의 영으로 인도함을 받는 그들은 곧 하나님의 아들이라</t>
        </is>
      </c>
      <c r="L513" s="14" t="inlineStr">
        <is>
          <t>자동 입력</t>
        </is>
      </c>
      <c r="M513" s="14">
        <f>LEN(K513)</f>
        <v/>
      </c>
      <c r="N513" s="14">
        <f>IF(M513=0,"-",ROUND(3+M513/'안내'!$C$12,0))</f>
        <v/>
      </c>
      <c r="O513" s="15">
        <f>IF(K513="","(본문 입력 후 자동) | 롬 8:14",IF(LEN(K513)&gt;28,LEFT(K513,28)&amp;"…",K513)&amp;" | 롬 8:14")</f>
        <v/>
      </c>
      <c r="P513" s="15">
        <f>"#"&amp;SUBSTITUTE('안내'!$C$5," ","")&amp;" #성경구절 #말씀 #로마서 #성령"</f>
        <v/>
      </c>
      <c r="Q513" s="15" t="inlineStr">
        <is>
          <t>성경 본문: 개역한글판</t>
        </is>
      </c>
      <c r="R513" s="17">
        <f>'안내'!$C$6+INT((D513-1)/'안내'!$C$7)</f>
        <v/>
      </c>
      <c r="S513" s="14">
        <f>IF(MOD(D513-1,'안내'!$C$7)=0,'안내'!$C$9,'안내'!$C$11)</f>
        <v/>
      </c>
      <c r="T513" s="14">
        <f>CHOOSE(WEEKDAY(R513,2),"월","화","수","목","금","토","일")</f>
        <v/>
      </c>
      <c r="U513" s="14" t="inlineStr">
        <is>
          <t>미착수</t>
        </is>
      </c>
      <c r="V513" s="14" t="inlineStr">
        <is>
          <t>미착수</t>
        </is>
      </c>
      <c r="W513" s="18" t="n"/>
      <c r="X513" s="18" t="n"/>
      <c r="Y513" s="15" t="n"/>
      <c r="Z513" s="15" t="inlineStr"/>
      <c r="AA513" s="15" t="inlineStr">
        <is>
          <t>For as many as are led by the Spirit of God, these are children of God.</t>
        </is>
      </c>
    </row>
    <row r="514">
      <c r="A514" s="14" t="n">
        <v>513</v>
      </c>
      <c r="B514" s="14" t="inlineStr">
        <is>
          <t>W0513</t>
        </is>
      </c>
      <c r="C514" s="14" t="inlineStr">
        <is>
          <t>신약</t>
        </is>
      </c>
      <c r="D514" s="14" t="n">
        <v>149</v>
      </c>
      <c r="E514" s="14">
        <f>C514&amp;"말씀 #"&amp;TEXT(D514,"000")</f>
        <v/>
      </c>
      <c r="F514" s="14" t="inlineStr">
        <is>
          <t>로마서</t>
        </is>
      </c>
      <c r="G514" s="14" t="inlineStr">
        <is>
          <t>8:18</t>
        </is>
      </c>
      <c r="H514" s="15" t="inlineStr">
        <is>
          <t>(롬 8:18, 개역한글)</t>
        </is>
      </c>
      <c r="I514" s="14" t="inlineStr">
        <is>
          <t>소망</t>
        </is>
      </c>
      <c r="J514" s="14" t="inlineStr">
        <is>
          <t>새벽빛</t>
        </is>
      </c>
      <c r="K514" s="16" t="inlineStr">
        <is>
          <t>생각건대 현재의 고난은 장차 우리에게 나타날 영광과 족히 비교할 수 없도다</t>
        </is>
      </c>
      <c r="L514" s="14" t="inlineStr">
        <is>
          <t>자동 입력</t>
        </is>
      </c>
      <c r="M514" s="14">
        <f>LEN(K514)</f>
        <v/>
      </c>
      <c r="N514" s="14">
        <f>IF(M514=0,"-",ROUND(3+M514/'안내'!$C$12,0))</f>
        <v/>
      </c>
      <c r="O514" s="15">
        <f>IF(K514="","(본문 입력 후 자동) | 롬 8:18",IF(LEN(K514)&gt;28,LEFT(K514,28)&amp;"…",K514)&amp;" | 롬 8:18")</f>
        <v/>
      </c>
      <c r="P514" s="15">
        <f>"#"&amp;SUBSTITUTE('안내'!$C$5," ","")&amp;" #성경구절 #말씀 #로마서 #소망"</f>
        <v/>
      </c>
      <c r="Q514" s="15" t="inlineStr">
        <is>
          <t>성경 본문: 개역한글판</t>
        </is>
      </c>
      <c r="R514" s="17">
        <f>'안내'!$C$6+INT((D514-1)/'안내'!$C$7)</f>
        <v/>
      </c>
      <c r="S514" s="14">
        <f>IF(MOD(D514-1,'안내'!$C$7)=0,'안내'!$C$9,'안내'!$C$11)</f>
        <v/>
      </c>
      <c r="T514" s="14">
        <f>CHOOSE(WEEKDAY(R514,2),"월","화","수","목","금","토","일")</f>
        <v/>
      </c>
      <c r="U514" s="14" t="inlineStr">
        <is>
          <t>미착수</t>
        </is>
      </c>
      <c r="V514" s="14" t="inlineStr">
        <is>
          <t>미착수</t>
        </is>
      </c>
      <c r="W514" s="18" t="n"/>
      <c r="X514" s="18" t="n"/>
      <c r="Y514" s="15" t="n"/>
      <c r="Z514" s="15" t="inlineStr"/>
      <c r="AA514" s="15" t="inlineStr">
        <is>
          <t>For I consider that the sufferings of this present time are not worthy to be com- pared with the glory which will be revealed toward us.</t>
        </is>
      </c>
    </row>
    <row r="515">
      <c r="A515" s="14" t="n">
        <v>514</v>
      </c>
      <c r="B515" s="14" t="inlineStr">
        <is>
          <t>W0514</t>
        </is>
      </c>
      <c r="C515" s="14" t="inlineStr">
        <is>
          <t>신약</t>
        </is>
      </c>
      <c r="D515" s="14" t="n">
        <v>150</v>
      </c>
      <c r="E515" s="14">
        <f>C515&amp;"말씀 #"&amp;TEXT(D515,"000")</f>
        <v/>
      </c>
      <c r="F515" s="14" t="inlineStr">
        <is>
          <t>로마서</t>
        </is>
      </c>
      <c r="G515" s="14" t="inlineStr">
        <is>
          <t>8:26</t>
        </is>
      </c>
      <c r="H515" s="15" t="inlineStr">
        <is>
          <t>(롬 8:26, 개역한글)</t>
        </is>
      </c>
      <c r="I515" s="14" t="inlineStr">
        <is>
          <t>성령</t>
        </is>
      </c>
      <c r="J515" s="14" t="inlineStr">
        <is>
          <t>하늘·별</t>
        </is>
      </c>
      <c r="K515" s="16" t="inlineStr">
        <is>
          <t>이와 같이 성령도 우리 연약함을 도우시나니 우리가 마땅히 빌 바를 알지 못하나 오직 성령이 말할 수 없는 탄식으로 우리를 위하여 친히 간구하시느니라</t>
        </is>
      </c>
      <c r="L515" s="14" t="inlineStr">
        <is>
          <t>자동 입력 · 대조 필요</t>
        </is>
      </c>
      <c r="M515" s="14">
        <f>LEN(K515)</f>
        <v/>
      </c>
      <c r="N515" s="14">
        <f>IF(M515=0,"-",ROUND(3+M515/'안내'!$C$12,0))</f>
        <v/>
      </c>
      <c r="O515" s="15">
        <f>IF(K515="","(본문 입력 후 자동) | 롬 8:26",IF(LEN(K515)&gt;28,LEFT(K515,28)&amp;"…",K515)&amp;" | 롬 8:26")</f>
        <v/>
      </c>
      <c r="P515" s="15">
        <f>"#"&amp;SUBSTITUTE('안내'!$C$5," ","")&amp;" #성경구절 #말씀 #로마서 #성령"</f>
        <v/>
      </c>
      <c r="Q515" s="15" t="inlineStr">
        <is>
          <t>성경 본문: 개역한글판</t>
        </is>
      </c>
      <c r="R515" s="17">
        <f>'안내'!$C$6+INT((D515-1)/'안내'!$C$7)</f>
        <v/>
      </c>
      <c r="S515" s="14">
        <f>IF(MOD(D515-1,'안내'!$C$7)=0,'안내'!$C$9,'안내'!$C$11)</f>
        <v/>
      </c>
      <c r="T515" s="14">
        <f>CHOOSE(WEEKDAY(R515,2),"월","화","수","목","금","토","일")</f>
        <v/>
      </c>
      <c r="U515" s="14" t="inlineStr">
        <is>
          <t>미착수</t>
        </is>
      </c>
      <c r="V515" s="14" t="inlineStr">
        <is>
          <t>미착수</t>
        </is>
      </c>
      <c r="W515" s="18" t="n"/>
      <c r="X515" s="18" t="n"/>
      <c r="Y515" s="15" t="n"/>
      <c r="Z515" s="15" t="inlineStr">
        <is>
          <t>줄바꿈 띄어쓰기 확인</t>
        </is>
      </c>
      <c r="AA515" s="15" t="inlineStr">
        <is>
          <t>In the same way, the Spirit also helps our weaknesses, for we don’t know how to pray as we ought. But the Spirit himself makes intercession for us with groanings which can’t be uttered.</t>
        </is>
      </c>
    </row>
    <row r="516">
      <c r="A516" s="14" t="n">
        <v>515</v>
      </c>
      <c r="B516" s="14" t="inlineStr">
        <is>
          <t>W0515</t>
        </is>
      </c>
      <c r="C516" s="14" t="inlineStr">
        <is>
          <t>신약</t>
        </is>
      </c>
      <c r="D516" s="14" t="n">
        <v>151</v>
      </c>
      <c r="E516" s="14">
        <f>C516&amp;"말씀 #"&amp;TEXT(D516,"000")</f>
        <v/>
      </c>
      <c r="F516" s="14" t="inlineStr">
        <is>
          <t>로마서</t>
        </is>
      </c>
      <c r="G516" s="14" t="inlineStr">
        <is>
          <t>8:28</t>
        </is>
      </c>
      <c r="H516" s="15" t="inlineStr">
        <is>
          <t>(롬 8:28, 개역한글)</t>
        </is>
      </c>
      <c r="I516" s="14" t="inlineStr">
        <is>
          <t>섭리</t>
        </is>
      </c>
      <c r="J516" s="14" t="inlineStr">
        <is>
          <t>하늘·별</t>
        </is>
      </c>
      <c r="K516" s="16" t="inlineStr">
        <is>
          <t>우리가 알거니와 하나님을 사랑하는 자 곧 그 뜻대로 부르심을 입은 자들에게는 모든 것이 합력하여 선을 이루느니라</t>
        </is>
      </c>
      <c r="L516" s="14" t="inlineStr">
        <is>
          <t>자동 입력 · 대조 필요</t>
        </is>
      </c>
      <c r="M516" s="14">
        <f>LEN(K516)</f>
        <v/>
      </c>
      <c r="N516" s="14">
        <f>IF(M516=0,"-",ROUND(3+M516/'안내'!$C$12,0))</f>
        <v/>
      </c>
      <c r="O516" s="15">
        <f>IF(K516="","(본문 입력 후 자동) | 롬 8:28",IF(LEN(K516)&gt;28,LEFT(K516,28)&amp;"…",K516)&amp;" | 롬 8:28")</f>
        <v/>
      </c>
      <c r="P516" s="15">
        <f>"#"&amp;SUBSTITUTE('안내'!$C$5," ","")&amp;" #성경구절 #말씀 #로마서 #섭리"</f>
        <v/>
      </c>
      <c r="Q516" s="15" t="inlineStr">
        <is>
          <t>성경 본문: 개역한글판</t>
        </is>
      </c>
      <c r="R516" s="17">
        <f>'안내'!$C$6+INT((D516-1)/'안내'!$C$7)</f>
        <v/>
      </c>
      <c r="S516" s="14">
        <f>IF(MOD(D516-1,'안내'!$C$7)=0,'안내'!$C$9,'안내'!$C$11)</f>
        <v/>
      </c>
      <c r="T516" s="14">
        <f>CHOOSE(WEEKDAY(R516,2),"월","화","수","목","금","토","일")</f>
        <v/>
      </c>
      <c r="U516" s="14" t="inlineStr">
        <is>
          <t>미착수</t>
        </is>
      </c>
      <c r="V516" s="14" t="inlineStr">
        <is>
          <t>미착수</t>
        </is>
      </c>
      <c r="W516" s="18" t="n"/>
      <c r="X516" s="18" t="n"/>
      <c r="Y516" s="15" t="n"/>
      <c r="Z516" s="15" t="inlineStr">
        <is>
          <t>줄바꿈 띄어쓰기 확인</t>
        </is>
      </c>
      <c r="AA516" s="15" t="inlineStr">
        <is>
          <t>We know that all things work together for good for those who love God, for those who are called according to his purpose.</t>
        </is>
      </c>
    </row>
    <row r="517">
      <c r="A517" s="14" t="n">
        <v>516</v>
      </c>
      <c r="B517" s="14" t="inlineStr">
        <is>
          <t>W0516</t>
        </is>
      </c>
      <c r="C517" s="14" t="inlineStr">
        <is>
          <t>신약</t>
        </is>
      </c>
      <c r="D517" s="14" t="n">
        <v>152</v>
      </c>
      <c r="E517" s="14">
        <f>C517&amp;"말씀 #"&amp;TEXT(D517,"000")</f>
        <v/>
      </c>
      <c r="F517" s="14" t="inlineStr">
        <is>
          <t>로마서</t>
        </is>
      </c>
      <c r="G517" s="14" t="inlineStr">
        <is>
          <t>8:31</t>
        </is>
      </c>
      <c r="H517" s="15" t="inlineStr">
        <is>
          <t>(롬 8:31, 개역한글)</t>
        </is>
      </c>
      <c r="I517" s="14" t="inlineStr">
        <is>
          <t>담대함</t>
        </is>
      </c>
      <c r="J517" s="14" t="inlineStr">
        <is>
          <t>바위산·광야</t>
        </is>
      </c>
      <c r="K517" s="16" t="inlineStr">
        <is>
          <t>그런즉 이 일에 대하여 우리가 무슨 말 하리요 만일 하나님이 우리를 위하시면 누가 우리를 대적하리요</t>
        </is>
      </c>
      <c r="L517" s="14" t="inlineStr">
        <is>
          <t>자동 입력</t>
        </is>
      </c>
      <c r="M517" s="14">
        <f>LEN(K517)</f>
        <v/>
      </c>
      <c r="N517" s="14">
        <f>IF(M517=0,"-",ROUND(3+M517/'안내'!$C$12,0))</f>
        <v/>
      </c>
      <c r="O517" s="15">
        <f>IF(K517="","(본문 입력 후 자동) | 롬 8:31",IF(LEN(K517)&gt;28,LEFT(K517,28)&amp;"…",K517)&amp;" | 롬 8:31")</f>
        <v/>
      </c>
      <c r="P517" s="15">
        <f>"#"&amp;SUBSTITUTE('안내'!$C$5," ","")&amp;" #성경구절 #말씀 #로마서 #담대함"</f>
        <v/>
      </c>
      <c r="Q517" s="15" t="inlineStr">
        <is>
          <t>성경 본문: 개역한글판</t>
        </is>
      </c>
      <c r="R517" s="17">
        <f>'안내'!$C$6+INT((D517-1)/'안내'!$C$7)</f>
        <v/>
      </c>
      <c r="S517" s="14">
        <f>IF(MOD(D517-1,'안내'!$C$7)=0,'안내'!$C$9,'안내'!$C$11)</f>
        <v/>
      </c>
      <c r="T517" s="14">
        <f>CHOOSE(WEEKDAY(R517,2),"월","화","수","목","금","토","일")</f>
        <v/>
      </c>
      <c r="U517" s="14" t="inlineStr">
        <is>
          <t>미착수</t>
        </is>
      </c>
      <c r="V517" s="14" t="inlineStr">
        <is>
          <t>미착수</t>
        </is>
      </c>
      <c r="W517" s="18" t="n"/>
      <c r="X517" s="18" t="n"/>
      <c r="Y517" s="15" t="n"/>
      <c r="Z517" s="15" t="inlineStr"/>
      <c r="AA517" s="15" t="inlineStr">
        <is>
          <t>What then shall we say about these things? If God is for us, who can be against us?</t>
        </is>
      </c>
    </row>
    <row r="518">
      <c r="A518" s="14" t="n">
        <v>517</v>
      </c>
      <c r="B518" s="14" t="inlineStr">
        <is>
          <t>W0517</t>
        </is>
      </c>
      <c r="C518" s="14" t="inlineStr">
        <is>
          <t>신약</t>
        </is>
      </c>
      <c r="D518" s="14" t="n">
        <v>153</v>
      </c>
      <c r="E518" s="14">
        <f>C518&amp;"말씀 #"&amp;TEXT(D518,"000")</f>
        <v/>
      </c>
      <c r="F518" s="14" t="inlineStr">
        <is>
          <t>로마서</t>
        </is>
      </c>
      <c r="G518" s="14" t="inlineStr">
        <is>
          <t>8:37</t>
        </is>
      </c>
      <c r="H518" s="15" t="inlineStr">
        <is>
          <t>(롬 8:37, 개역한글)</t>
        </is>
      </c>
      <c r="I518" s="14" t="inlineStr">
        <is>
          <t>승리</t>
        </is>
      </c>
      <c r="J518" s="14" t="inlineStr">
        <is>
          <t>바위산·광야</t>
        </is>
      </c>
      <c r="K518" s="16" t="inlineStr">
        <is>
          <t>그러나 이 모든 일에 우리를 사랑하시는 이로 말미암아 우리가 넉넉히 이기느니라</t>
        </is>
      </c>
      <c r="L518" s="14" t="inlineStr">
        <is>
          <t>자동 입력</t>
        </is>
      </c>
      <c r="M518" s="14">
        <f>LEN(K518)</f>
        <v/>
      </c>
      <c r="N518" s="14">
        <f>IF(M518=0,"-",ROUND(3+M518/'안내'!$C$12,0))</f>
        <v/>
      </c>
      <c r="O518" s="15">
        <f>IF(K518="","(본문 입력 후 자동) | 롬 8:37",IF(LEN(K518)&gt;28,LEFT(K518,28)&amp;"…",K518)&amp;" | 롬 8:37")</f>
        <v/>
      </c>
      <c r="P518" s="15">
        <f>"#"&amp;SUBSTITUTE('안내'!$C$5," ","")&amp;" #성경구절 #말씀 #로마서 #승리"</f>
        <v/>
      </c>
      <c r="Q518" s="15" t="inlineStr">
        <is>
          <t>성경 본문: 개역한글판</t>
        </is>
      </c>
      <c r="R518" s="17">
        <f>'안내'!$C$6+INT((D518-1)/'안내'!$C$7)</f>
        <v/>
      </c>
      <c r="S518" s="14">
        <f>IF(MOD(D518-1,'안내'!$C$7)=0,'안내'!$C$9,'안내'!$C$11)</f>
        <v/>
      </c>
      <c r="T518" s="14">
        <f>CHOOSE(WEEKDAY(R518,2),"월","화","수","목","금","토","일")</f>
        <v/>
      </c>
      <c r="U518" s="14" t="inlineStr">
        <is>
          <t>미착수</t>
        </is>
      </c>
      <c r="V518" s="14" t="inlineStr">
        <is>
          <t>미착수</t>
        </is>
      </c>
      <c r="W518" s="18" t="n"/>
      <c r="X518" s="18" t="n"/>
      <c r="Y518" s="15" t="n"/>
      <c r="Z518" s="15" t="inlineStr"/>
      <c r="AA518" s="15" t="inlineStr">
        <is>
          <t>No, in all these things we are more than conquerors through him who loved us.</t>
        </is>
      </c>
    </row>
    <row r="519">
      <c r="A519" s="14" t="n">
        <v>518</v>
      </c>
      <c r="B519" s="14" t="inlineStr">
        <is>
          <t>W0518</t>
        </is>
      </c>
      <c r="C519" s="14" t="inlineStr">
        <is>
          <t>신약</t>
        </is>
      </c>
      <c r="D519" s="14" t="n">
        <v>154</v>
      </c>
      <c r="E519" s="14">
        <f>C519&amp;"말씀 #"&amp;TEXT(D519,"000")</f>
        <v/>
      </c>
      <c r="F519" s="14" t="inlineStr">
        <is>
          <t>로마서</t>
        </is>
      </c>
      <c r="G519" s="14" t="inlineStr">
        <is>
          <t>8:39</t>
        </is>
      </c>
      <c r="H519" s="15" t="inlineStr">
        <is>
          <t>(롬 8:39, 개역한글)</t>
        </is>
      </c>
      <c r="I519" s="14" t="inlineStr">
        <is>
          <t>사랑</t>
        </is>
      </c>
      <c r="J519" s="14" t="inlineStr">
        <is>
          <t>창가·식탁</t>
        </is>
      </c>
      <c r="K519" s="16" t="inlineStr">
        <is>
          <t>높음이나 깊음이나 다른 아무 피조물이라도 우리를 우리 주 그리스도 예수 안에 있는 하나님의 사랑에서 끊을 수 없으리라</t>
        </is>
      </c>
      <c r="L519" s="14" t="inlineStr">
        <is>
          <t>자동 입력</t>
        </is>
      </c>
      <c r="M519" s="14">
        <f>LEN(K519)</f>
        <v/>
      </c>
      <c r="N519" s="14">
        <f>IF(M519=0,"-",ROUND(3+M519/'안내'!$C$12,0))</f>
        <v/>
      </c>
      <c r="O519" s="15">
        <f>IF(K519="","(본문 입력 후 자동) | 롬 8:39",IF(LEN(K519)&gt;28,LEFT(K519,28)&amp;"…",K519)&amp;" | 롬 8:39")</f>
        <v/>
      </c>
      <c r="P519" s="15">
        <f>"#"&amp;SUBSTITUTE('안내'!$C$5," ","")&amp;" #성경구절 #말씀 #로마서 #사랑"</f>
        <v/>
      </c>
      <c r="Q519" s="15" t="inlineStr">
        <is>
          <t>성경 본문: 개역한글판</t>
        </is>
      </c>
      <c r="R519" s="17">
        <f>'안내'!$C$6+INT((D519-1)/'안내'!$C$7)</f>
        <v/>
      </c>
      <c r="S519" s="14">
        <f>IF(MOD(D519-1,'안내'!$C$7)=0,'안내'!$C$9,'안내'!$C$11)</f>
        <v/>
      </c>
      <c r="T519" s="14">
        <f>CHOOSE(WEEKDAY(R519,2),"월","화","수","목","금","토","일")</f>
        <v/>
      </c>
      <c r="U519" s="14" t="inlineStr">
        <is>
          <t>미착수</t>
        </is>
      </c>
      <c r="V519" s="14" t="inlineStr">
        <is>
          <t>미착수</t>
        </is>
      </c>
      <c r="W519" s="18" t="n"/>
      <c r="X519" s="18" t="n"/>
      <c r="Y519" s="15" t="n"/>
      <c r="Z519" s="15" t="inlineStr"/>
      <c r="AA519" s="15" t="inlineStr">
        <is>
          <t>nor height, nor depth, nor any other created thing will be able to separate us from God’s love which is in Christ Jesus our Lord.</t>
        </is>
      </c>
    </row>
    <row r="520">
      <c r="A520" s="14" t="n">
        <v>519</v>
      </c>
      <c r="B520" s="14" t="inlineStr">
        <is>
          <t>W0519</t>
        </is>
      </c>
      <c r="C520" s="14" t="inlineStr">
        <is>
          <t>신약</t>
        </is>
      </c>
      <c r="D520" s="14" t="n">
        <v>155</v>
      </c>
      <c r="E520" s="14">
        <f>C520&amp;"말씀 #"&amp;TEXT(D520,"000")</f>
        <v/>
      </c>
      <c r="F520" s="14" t="inlineStr">
        <is>
          <t>로마서</t>
        </is>
      </c>
      <c r="G520" s="14" t="inlineStr">
        <is>
          <t>10:9</t>
        </is>
      </c>
      <c r="H520" s="15" t="inlineStr">
        <is>
          <t>(롬 10:9, 개역한글)</t>
        </is>
      </c>
      <c r="I520" s="14" t="inlineStr">
        <is>
          <t>구원</t>
        </is>
      </c>
      <c r="J520" s="14" t="inlineStr">
        <is>
          <t>제단·십자가</t>
        </is>
      </c>
      <c r="K520" s="16" t="inlineStr">
        <is>
          <t>네가 만일 네 입으로 예수를 주로 시인하며 또 하나님께서 그를 죽은 자 가운데서 살리신 것을 네 마음에 믿으면 구원을 얻으리니</t>
        </is>
      </c>
      <c r="L520" s="14" t="inlineStr">
        <is>
          <t>자동 입력 · 대조 필요</t>
        </is>
      </c>
      <c r="M520" s="14">
        <f>LEN(K520)</f>
        <v/>
      </c>
      <c r="N520" s="14">
        <f>IF(M520=0,"-",ROUND(3+M520/'안내'!$C$12,0))</f>
        <v/>
      </c>
      <c r="O520" s="15">
        <f>IF(K520="","(본문 입력 후 자동) | 롬 10:9",IF(LEN(K520)&gt;28,LEFT(K520,28)&amp;"…",K520)&amp;" | 롬 10:9")</f>
        <v/>
      </c>
      <c r="P520" s="15">
        <f>"#"&amp;SUBSTITUTE('안내'!$C$5," ","")&amp;" #성경구절 #말씀 #로마서 #구원"</f>
        <v/>
      </c>
      <c r="Q520" s="15" t="inlineStr">
        <is>
          <t>성경 본문: 개역한글판</t>
        </is>
      </c>
      <c r="R520" s="17">
        <f>'안내'!$C$6+INT((D520-1)/'안내'!$C$7)</f>
        <v/>
      </c>
      <c r="S520" s="14">
        <f>IF(MOD(D520-1,'안내'!$C$7)=0,'안내'!$C$9,'안내'!$C$11)</f>
        <v/>
      </c>
      <c r="T520" s="14">
        <f>CHOOSE(WEEKDAY(R520,2),"월","화","수","목","금","토","일")</f>
        <v/>
      </c>
      <c r="U520" s="14" t="inlineStr">
        <is>
          <t>미착수</t>
        </is>
      </c>
      <c r="V520" s="14" t="inlineStr">
        <is>
          <t>미착수</t>
        </is>
      </c>
      <c r="W520" s="18" t="n"/>
      <c r="X520" s="18" t="n"/>
      <c r="Y520" s="15" t="n"/>
      <c r="Z520" s="15" t="inlineStr">
        <is>
          <t>줄바꿈 띄어쓰기 확인</t>
        </is>
      </c>
      <c r="AA520" s="15" t="inlineStr">
        <is>
          <t>that if you will confess with your mouth that Jesus is Lord and believe in your heart that God raised him from the dead, you will be saved.</t>
        </is>
      </c>
    </row>
    <row r="521">
      <c r="A521" s="14" t="n">
        <v>520</v>
      </c>
      <c r="B521" s="14" t="inlineStr">
        <is>
          <t>W0520</t>
        </is>
      </c>
      <c r="C521" s="14" t="inlineStr">
        <is>
          <t>신약</t>
        </is>
      </c>
      <c r="D521" s="14" t="n">
        <v>156</v>
      </c>
      <c r="E521" s="14">
        <f>C521&amp;"말씀 #"&amp;TEXT(D521,"000")</f>
        <v/>
      </c>
      <c r="F521" s="14" t="inlineStr">
        <is>
          <t>로마서</t>
        </is>
      </c>
      <c r="G521" s="14" t="inlineStr">
        <is>
          <t>10:17</t>
        </is>
      </c>
      <c r="H521" s="15" t="inlineStr">
        <is>
          <t>(롬 10:17, 개역한글)</t>
        </is>
      </c>
      <c r="I521" s="14" t="inlineStr">
        <is>
          <t>믿음</t>
        </is>
      </c>
      <c r="J521" s="14" t="inlineStr">
        <is>
          <t>바위산·광야</t>
        </is>
      </c>
      <c r="K521" s="16" t="inlineStr">
        <is>
          <t>그러므로 믿음은 들음에서 나며 들음은 그리스도의 말씀으로 말미암았느니라</t>
        </is>
      </c>
      <c r="L521" s="14" t="inlineStr">
        <is>
          <t>자동 입력</t>
        </is>
      </c>
      <c r="M521" s="14">
        <f>LEN(K521)</f>
        <v/>
      </c>
      <c r="N521" s="14">
        <f>IF(M521=0,"-",ROUND(3+M521/'안내'!$C$12,0))</f>
        <v/>
      </c>
      <c r="O521" s="15">
        <f>IF(K521="","(본문 입력 후 자동) | 롬 10:17",IF(LEN(K521)&gt;28,LEFT(K521,28)&amp;"…",K521)&amp;" | 롬 10:17")</f>
        <v/>
      </c>
      <c r="P521" s="15">
        <f>"#"&amp;SUBSTITUTE('안내'!$C$5," ","")&amp;" #성경구절 #말씀 #로마서 #믿음"</f>
        <v/>
      </c>
      <c r="Q521" s="15" t="inlineStr">
        <is>
          <t>성경 본문: 개역한글판</t>
        </is>
      </c>
      <c r="R521" s="17">
        <f>'안내'!$C$6+INT((D521-1)/'안내'!$C$7)</f>
        <v/>
      </c>
      <c r="S521" s="14">
        <f>IF(MOD(D521-1,'안내'!$C$7)=0,'안내'!$C$9,'안내'!$C$11)</f>
        <v/>
      </c>
      <c r="T521" s="14">
        <f>CHOOSE(WEEKDAY(R521,2),"월","화","수","목","금","토","일")</f>
        <v/>
      </c>
      <c r="U521" s="14" t="inlineStr">
        <is>
          <t>미착수</t>
        </is>
      </c>
      <c r="V521" s="14" t="inlineStr">
        <is>
          <t>미착수</t>
        </is>
      </c>
      <c r="W521" s="18" t="n"/>
      <c r="X521" s="18" t="n"/>
      <c r="Y521" s="15" t="n"/>
      <c r="Z521" s="15" t="inlineStr"/>
      <c r="AA521" s="15" t="inlineStr">
        <is>
          <t>So faith comes by hearing, and hearing by the word of God.</t>
        </is>
      </c>
    </row>
    <row r="522">
      <c r="A522" s="14" t="n">
        <v>521</v>
      </c>
      <c r="B522" s="14" t="inlineStr">
        <is>
          <t>W0521</t>
        </is>
      </c>
      <c r="C522" s="14" t="inlineStr">
        <is>
          <t>신약</t>
        </is>
      </c>
      <c r="D522" s="14" t="n">
        <v>157</v>
      </c>
      <c r="E522" s="14">
        <f>C522&amp;"말씀 #"&amp;TEXT(D522,"000")</f>
        <v/>
      </c>
      <c r="F522" s="14" t="inlineStr">
        <is>
          <t>로마서</t>
        </is>
      </c>
      <c r="G522" s="14" t="inlineStr">
        <is>
          <t>11:33</t>
        </is>
      </c>
      <c r="H522" s="15" t="inlineStr">
        <is>
          <t>(롬 11:33, 개역한글)</t>
        </is>
      </c>
      <c r="I522" s="14" t="inlineStr">
        <is>
          <t>찬양</t>
        </is>
      </c>
      <c r="J522" s="14" t="inlineStr">
        <is>
          <t>하늘·별</t>
        </is>
      </c>
      <c r="K522" s="16" t="inlineStr">
        <is>
          <t>깊도다 하나님의 지혜와 지식의 부요함이여, 그의 판단은 측량치 못할 것이며 그의 길은 찾지 못할 것이로다</t>
        </is>
      </c>
      <c r="L522" s="14" t="inlineStr">
        <is>
          <t>자동 입력</t>
        </is>
      </c>
      <c r="M522" s="14">
        <f>LEN(K522)</f>
        <v/>
      </c>
      <c r="N522" s="14">
        <f>IF(M522=0,"-",ROUND(3+M522/'안내'!$C$12,0))</f>
        <v/>
      </c>
      <c r="O522" s="15">
        <f>IF(K522="","(본문 입력 후 자동) | 롬 11:33",IF(LEN(K522)&gt;28,LEFT(K522,28)&amp;"…",K522)&amp;" | 롬 11:33")</f>
        <v/>
      </c>
      <c r="P522" s="15">
        <f>"#"&amp;SUBSTITUTE('안내'!$C$5," ","")&amp;" #성경구절 #말씀 #로마서 #찬양"</f>
        <v/>
      </c>
      <c r="Q522" s="15" t="inlineStr">
        <is>
          <t>성경 본문: 개역한글판</t>
        </is>
      </c>
      <c r="R522" s="17">
        <f>'안내'!$C$6+INT((D522-1)/'안내'!$C$7)</f>
        <v/>
      </c>
      <c r="S522" s="14">
        <f>IF(MOD(D522-1,'안내'!$C$7)=0,'안내'!$C$9,'안내'!$C$11)</f>
        <v/>
      </c>
      <c r="T522" s="14">
        <f>CHOOSE(WEEKDAY(R522,2),"월","화","수","목","금","토","일")</f>
        <v/>
      </c>
      <c r="U522" s="14" t="inlineStr">
        <is>
          <t>미착수</t>
        </is>
      </c>
      <c r="V522" s="14" t="inlineStr">
        <is>
          <t>미착수</t>
        </is>
      </c>
      <c r="W522" s="18" t="n"/>
      <c r="X522" s="18" t="n"/>
      <c r="Y522" s="15" t="n"/>
      <c r="Z522" s="15" t="inlineStr"/>
      <c r="AA522" s="15" t="inlineStr">
        <is>
          <t>Oh the depth of the riches both of the wisdom and the knowledge of God! How unsearchable are his judgments, and his ways past tracing out!</t>
        </is>
      </c>
    </row>
    <row r="523">
      <c r="A523" s="14" t="n">
        <v>522</v>
      </c>
      <c r="B523" s="14" t="inlineStr">
        <is>
          <t>W0522</t>
        </is>
      </c>
      <c r="C523" s="14" t="inlineStr">
        <is>
          <t>신약</t>
        </is>
      </c>
      <c r="D523" s="14" t="n">
        <v>158</v>
      </c>
      <c r="E523" s="14">
        <f>C523&amp;"말씀 #"&amp;TEXT(D523,"000")</f>
        <v/>
      </c>
      <c r="F523" s="14" t="inlineStr">
        <is>
          <t>로마서</t>
        </is>
      </c>
      <c r="G523" s="14" t="inlineStr">
        <is>
          <t>11:36</t>
        </is>
      </c>
      <c r="H523" s="15" t="inlineStr">
        <is>
          <t>(롬 11:36, 개역한글)</t>
        </is>
      </c>
      <c r="I523" s="14" t="inlineStr">
        <is>
          <t>찬양</t>
        </is>
      </c>
      <c r="J523" s="14" t="inlineStr">
        <is>
          <t>하늘·별</t>
        </is>
      </c>
      <c r="K523" s="16" t="inlineStr">
        <is>
          <t>이는 만물이 주에게서 나오고 주로 말미암고 주에게로 돌아감이라 영광이 그에게 세세에 있으리로다 아멘</t>
        </is>
      </c>
      <c r="L523" s="14" t="inlineStr">
        <is>
          <t>자동 입력</t>
        </is>
      </c>
      <c r="M523" s="14">
        <f>LEN(K523)</f>
        <v/>
      </c>
      <c r="N523" s="14">
        <f>IF(M523=0,"-",ROUND(3+M523/'안내'!$C$12,0))</f>
        <v/>
      </c>
      <c r="O523" s="15">
        <f>IF(K523="","(본문 입력 후 자동) | 롬 11:36",IF(LEN(K523)&gt;28,LEFT(K523,28)&amp;"…",K523)&amp;" | 롬 11:36")</f>
        <v/>
      </c>
      <c r="P523" s="15">
        <f>"#"&amp;SUBSTITUTE('안내'!$C$5," ","")&amp;" #성경구절 #말씀 #로마서 #찬양"</f>
        <v/>
      </c>
      <c r="Q523" s="15" t="inlineStr">
        <is>
          <t>성경 본문: 개역한글판</t>
        </is>
      </c>
      <c r="R523" s="17">
        <f>'안내'!$C$6+INT((D523-1)/'안내'!$C$7)</f>
        <v/>
      </c>
      <c r="S523" s="14">
        <f>IF(MOD(D523-1,'안내'!$C$7)=0,'안내'!$C$9,'안내'!$C$11)</f>
        <v/>
      </c>
      <c r="T523" s="14">
        <f>CHOOSE(WEEKDAY(R523,2),"월","화","수","목","금","토","일")</f>
        <v/>
      </c>
      <c r="U523" s="14" t="inlineStr">
        <is>
          <t>미착수</t>
        </is>
      </c>
      <c r="V523" s="14" t="inlineStr">
        <is>
          <t>미착수</t>
        </is>
      </c>
      <c r="W523" s="18" t="n"/>
      <c r="X523" s="18" t="n"/>
      <c r="Y523" s="15" t="n"/>
      <c r="Z523" s="15" t="inlineStr"/>
      <c r="AA523" s="15" t="inlineStr">
        <is>
          <t>For of him and through him and to him are all things. To him be the glory for ever! Amen.</t>
        </is>
      </c>
    </row>
    <row r="524">
      <c r="A524" s="14" t="n">
        <v>523</v>
      </c>
      <c r="B524" s="14" t="inlineStr">
        <is>
          <t>W0523</t>
        </is>
      </c>
      <c r="C524" s="14" t="inlineStr">
        <is>
          <t>신약</t>
        </is>
      </c>
      <c r="D524" s="14" t="n">
        <v>159</v>
      </c>
      <c r="E524" s="14">
        <f>C524&amp;"말씀 #"&amp;TEXT(D524,"000")</f>
        <v/>
      </c>
      <c r="F524" s="14" t="inlineStr">
        <is>
          <t>로마서</t>
        </is>
      </c>
      <c r="G524" s="14" t="inlineStr">
        <is>
          <t>12:1</t>
        </is>
      </c>
      <c r="H524" s="15" t="inlineStr">
        <is>
          <t>(롬 12:1, 개역한글)</t>
        </is>
      </c>
      <c r="I524" s="14" t="inlineStr">
        <is>
          <t>예배</t>
        </is>
      </c>
      <c r="J524" s="14" t="inlineStr">
        <is>
          <t>하늘·별</t>
        </is>
      </c>
      <c r="K524" s="16" t="inlineStr">
        <is>
          <t>그러므로 형제들아 내가 하나님의 모든 자비하심으로 너희를 권하노니 너희 몸을 하나님이 기뻐하시는 거룩한 산 제사로 드리라 이는 너희의 드릴 영적 예배니라</t>
        </is>
      </c>
      <c r="L524" s="14" t="inlineStr">
        <is>
          <t>자동 입력</t>
        </is>
      </c>
      <c r="M524" s="14">
        <f>LEN(K524)</f>
        <v/>
      </c>
      <c r="N524" s="14">
        <f>IF(M524=0,"-",ROUND(3+M524/'안내'!$C$12,0))</f>
        <v/>
      </c>
      <c r="O524" s="15">
        <f>IF(K524="","(본문 입력 후 자동) | 롬 12:1",IF(LEN(K524)&gt;28,LEFT(K524,28)&amp;"…",K524)&amp;" | 롬 12:1")</f>
        <v/>
      </c>
      <c r="P524" s="15">
        <f>"#"&amp;SUBSTITUTE('안내'!$C$5," ","")&amp;" #성경구절 #말씀 #로마서 #예배"</f>
        <v/>
      </c>
      <c r="Q524" s="15" t="inlineStr">
        <is>
          <t>성경 본문: 개역한글판</t>
        </is>
      </c>
      <c r="R524" s="17">
        <f>'안내'!$C$6+INT((D524-1)/'안내'!$C$7)</f>
        <v/>
      </c>
      <c r="S524" s="14">
        <f>IF(MOD(D524-1,'안내'!$C$7)=0,'안내'!$C$9,'안내'!$C$11)</f>
        <v/>
      </c>
      <c r="T524" s="14">
        <f>CHOOSE(WEEKDAY(R524,2),"월","화","수","목","금","토","일")</f>
        <v/>
      </c>
      <c r="U524" s="14" t="inlineStr">
        <is>
          <t>미착수</t>
        </is>
      </c>
      <c r="V524" s="14" t="inlineStr">
        <is>
          <t>미착수</t>
        </is>
      </c>
      <c r="W524" s="18" t="n"/>
      <c r="X524" s="18" t="n"/>
      <c r="Y524" s="15" t="n"/>
      <c r="Z524" s="15" t="inlineStr"/>
      <c r="AA524" s="15" t="inlineStr">
        <is>
          <t>Therefore I urge you, brothers, by the mercies of God, to present your bodies a living sacrifice, holy, acceptable to God, which is your spiritual service.</t>
        </is>
      </c>
    </row>
    <row r="525">
      <c r="A525" s="14" t="n">
        <v>524</v>
      </c>
      <c r="B525" s="14" t="inlineStr">
        <is>
          <t>W0524</t>
        </is>
      </c>
      <c r="C525" s="14" t="inlineStr">
        <is>
          <t>신약</t>
        </is>
      </c>
      <c r="D525" s="14" t="n">
        <v>160</v>
      </c>
      <c r="E525" s="14">
        <f>C525&amp;"말씀 #"&amp;TEXT(D525,"000")</f>
        <v/>
      </c>
      <c r="F525" s="14" t="inlineStr">
        <is>
          <t>로마서</t>
        </is>
      </c>
      <c r="G525" s="14" t="inlineStr">
        <is>
          <t>12:2</t>
        </is>
      </c>
      <c r="H525" s="15" t="inlineStr">
        <is>
          <t>(롬 12:2, 개역한글)</t>
        </is>
      </c>
      <c r="I525" s="14" t="inlineStr">
        <is>
          <t>새 마음</t>
        </is>
      </c>
      <c r="J525" s="14" t="inlineStr">
        <is>
          <t>새벽빛</t>
        </is>
      </c>
      <c r="K525" s="16" t="inlineStr">
        <is>
          <t>너희는 이 세대를 본받지 말고 오직 마음을 새롭게 함으로 변화를 받아 하나님의 선하시고 기뻐하시고 온전하신 뜻이 무엇인지 분별하도록 하라</t>
        </is>
      </c>
      <c r="L525" s="14" t="inlineStr">
        <is>
          <t>자동 입력 · 대조 필요</t>
        </is>
      </c>
      <c r="M525" s="14">
        <f>LEN(K525)</f>
        <v/>
      </c>
      <c r="N525" s="14">
        <f>IF(M525=0,"-",ROUND(3+M525/'안내'!$C$12,0))</f>
        <v/>
      </c>
      <c r="O525" s="15">
        <f>IF(K525="","(본문 입력 후 자동) | 롬 12:2",IF(LEN(K525)&gt;28,LEFT(K525,28)&amp;"…",K525)&amp;" | 롬 12:2")</f>
        <v/>
      </c>
      <c r="P525" s="15">
        <f>"#"&amp;SUBSTITUTE('안내'!$C$5," ","")&amp;" #성경구절 #말씀 #로마서 #새마음"</f>
        <v/>
      </c>
      <c r="Q525" s="15" t="inlineStr">
        <is>
          <t>성경 본문: 개역한글판</t>
        </is>
      </c>
      <c r="R525" s="17">
        <f>'안내'!$C$6+INT((D525-1)/'안내'!$C$7)</f>
        <v/>
      </c>
      <c r="S525" s="14">
        <f>IF(MOD(D525-1,'안내'!$C$7)=0,'안내'!$C$9,'안내'!$C$11)</f>
        <v/>
      </c>
      <c r="T525" s="14">
        <f>CHOOSE(WEEKDAY(R525,2),"월","화","수","목","금","토","일")</f>
        <v/>
      </c>
      <c r="U525" s="14" t="inlineStr">
        <is>
          <t>미착수</t>
        </is>
      </c>
      <c r="V525" s="14" t="inlineStr">
        <is>
          <t>미착수</t>
        </is>
      </c>
      <c r="W525" s="18" t="n"/>
      <c r="X525" s="18" t="n"/>
      <c r="Y525" s="15" t="n"/>
      <c r="Z525" s="15" t="inlineStr">
        <is>
          <t>줄바꿈 띄어쓰기 확인</t>
        </is>
      </c>
      <c r="AA525" s="15" t="inlineStr">
        <is>
          <t>Don’t be conformed to this world, but be trans- formed by the renewing of your mind, so that you may prove what is the good, well- pleasing, and perfect will of God.</t>
        </is>
      </c>
    </row>
    <row r="526">
      <c r="A526" s="14" t="n">
        <v>525</v>
      </c>
      <c r="B526" s="14" t="inlineStr">
        <is>
          <t>W0525</t>
        </is>
      </c>
      <c r="C526" s="14" t="inlineStr">
        <is>
          <t>신약</t>
        </is>
      </c>
      <c r="D526" s="14" t="n">
        <v>161</v>
      </c>
      <c r="E526" s="14">
        <f>C526&amp;"말씀 #"&amp;TEXT(D526,"000")</f>
        <v/>
      </c>
      <c r="F526" s="14" t="inlineStr">
        <is>
          <t>로마서</t>
        </is>
      </c>
      <c r="G526" s="14" t="inlineStr">
        <is>
          <t>12:12</t>
        </is>
      </c>
      <c r="H526" s="15" t="inlineStr">
        <is>
          <t>(롬 12:12, 개역한글)</t>
        </is>
      </c>
      <c r="I526" s="14" t="inlineStr">
        <is>
          <t>소망</t>
        </is>
      </c>
      <c r="J526" s="14" t="inlineStr">
        <is>
          <t>새벽빛</t>
        </is>
      </c>
      <c r="K526" s="16" t="inlineStr">
        <is>
          <t>소망 중에 즐거워하며 환난 중에 참으며 기도에 항상 힘쓰며</t>
        </is>
      </c>
      <c r="L526" s="14" t="inlineStr">
        <is>
          <t>자동 입력</t>
        </is>
      </c>
      <c r="M526" s="14">
        <f>LEN(K526)</f>
        <v/>
      </c>
      <c r="N526" s="14">
        <f>IF(M526=0,"-",ROUND(3+M526/'안내'!$C$12,0))</f>
        <v/>
      </c>
      <c r="O526" s="15">
        <f>IF(K526="","(본문 입력 후 자동) | 롬 12:12",IF(LEN(K526)&gt;28,LEFT(K526,28)&amp;"…",K526)&amp;" | 롬 12:12")</f>
        <v/>
      </c>
      <c r="P526" s="15">
        <f>"#"&amp;SUBSTITUTE('안내'!$C$5," ","")&amp;" #성경구절 #말씀 #로마서 #소망"</f>
        <v/>
      </c>
      <c r="Q526" s="15" t="inlineStr">
        <is>
          <t>성경 본문: 개역한글판</t>
        </is>
      </c>
      <c r="R526" s="17">
        <f>'안내'!$C$6+INT((D526-1)/'안내'!$C$7)</f>
        <v/>
      </c>
      <c r="S526" s="14">
        <f>IF(MOD(D526-1,'안내'!$C$7)=0,'안내'!$C$9,'안내'!$C$11)</f>
        <v/>
      </c>
      <c r="T526" s="14">
        <f>CHOOSE(WEEKDAY(R526,2),"월","화","수","목","금","토","일")</f>
        <v/>
      </c>
      <c r="U526" s="14" t="inlineStr">
        <is>
          <t>미착수</t>
        </is>
      </c>
      <c r="V526" s="14" t="inlineStr">
        <is>
          <t>미착수</t>
        </is>
      </c>
      <c r="W526" s="18" t="n"/>
      <c r="X526" s="18" t="n"/>
      <c r="Y526" s="15" t="n"/>
      <c r="Z526" s="15" t="inlineStr"/>
      <c r="AA526" s="15" t="inlineStr">
        <is>
          <t>rejoicing in hope, enduring in troubles, continuing steadfastly in prayer,</t>
        </is>
      </c>
    </row>
    <row r="527">
      <c r="A527" s="14" t="n">
        <v>526</v>
      </c>
      <c r="B527" s="14" t="inlineStr">
        <is>
          <t>W0526</t>
        </is>
      </c>
      <c r="C527" s="14" t="inlineStr">
        <is>
          <t>신약</t>
        </is>
      </c>
      <c r="D527" s="14" t="n">
        <v>162</v>
      </c>
      <c r="E527" s="14">
        <f>C527&amp;"말씀 #"&amp;TEXT(D527,"000")</f>
        <v/>
      </c>
      <c r="F527" s="14" t="inlineStr">
        <is>
          <t>로마서</t>
        </is>
      </c>
      <c r="G527" s="14" t="inlineStr">
        <is>
          <t>12:15</t>
        </is>
      </c>
      <c r="H527" s="15" t="inlineStr">
        <is>
          <t>(롬 12:15, 개역한글)</t>
        </is>
      </c>
      <c r="I527" s="14" t="inlineStr">
        <is>
          <t>사랑</t>
        </is>
      </c>
      <c r="J527" s="14" t="inlineStr">
        <is>
          <t>창가·식탁</t>
        </is>
      </c>
      <c r="K527" s="16" t="inlineStr">
        <is>
          <t>즐거워하는 자들로 함께 즐거워하고 우는 자들로 함께 울라</t>
        </is>
      </c>
      <c r="L527" s="14" t="inlineStr">
        <is>
          <t>자동 입력</t>
        </is>
      </c>
      <c r="M527" s="14">
        <f>LEN(K527)</f>
        <v/>
      </c>
      <c r="N527" s="14">
        <f>IF(M527=0,"-",ROUND(3+M527/'안내'!$C$12,0))</f>
        <v/>
      </c>
      <c r="O527" s="15">
        <f>IF(K527="","(본문 입력 후 자동) | 롬 12:15",IF(LEN(K527)&gt;28,LEFT(K527,28)&amp;"…",K527)&amp;" | 롬 12:15")</f>
        <v/>
      </c>
      <c r="P527" s="15">
        <f>"#"&amp;SUBSTITUTE('안내'!$C$5," ","")&amp;" #성경구절 #말씀 #로마서 #사랑"</f>
        <v/>
      </c>
      <c r="Q527" s="15" t="inlineStr">
        <is>
          <t>성경 본문: 개역한글판</t>
        </is>
      </c>
      <c r="R527" s="17">
        <f>'안내'!$C$6+INT((D527-1)/'안내'!$C$7)</f>
        <v/>
      </c>
      <c r="S527" s="14">
        <f>IF(MOD(D527-1,'안내'!$C$7)=0,'안내'!$C$9,'안내'!$C$11)</f>
        <v/>
      </c>
      <c r="T527" s="14">
        <f>CHOOSE(WEEKDAY(R527,2),"월","화","수","목","금","토","일")</f>
        <v/>
      </c>
      <c r="U527" s="14" t="inlineStr">
        <is>
          <t>미착수</t>
        </is>
      </c>
      <c r="V527" s="14" t="inlineStr">
        <is>
          <t>미착수</t>
        </is>
      </c>
      <c r="W527" s="18" t="n"/>
      <c r="X527" s="18" t="n"/>
      <c r="Y527" s="15" t="n"/>
      <c r="Z527" s="15" t="inlineStr"/>
      <c r="AA527" s="15" t="inlineStr">
        <is>
          <t>Rejoice with those who rejoice. Weep with those who weep.</t>
        </is>
      </c>
    </row>
    <row r="528">
      <c r="A528" s="14" t="n">
        <v>527</v>
      </c>
      <c r="B528" s="14" t="inlineStr">
        <is>
          <t>W0527</t>
        </is>
      </c>
      <c r="C528" s="14" t="inlineStr">
        <is>
          <t>신약</t>
        </is>
      </c>
      <c r="D528" s="14" t="n">
        <v>163</v>
      </c>
      <c r="E528" s="14">
        <f>C528&amp;"말씀 #"&amp;TEXT(D528,"000")</f>
        <v/>
      </c>
      <c r="F528" s="14" t="inlineStr">
        <is>
          <t>로마서</t>
        </is>
      </c>
      <c r="G528" s="14" t="inlineStr">
        <is>
          <t>12:18</t>
        </is>
      </c>
      <c r="H528" s="15" t="inlineStr">
        <is>
          <t>(롬 12:18, 개역한글)</t>
        </is>
      </c>
      <c r="I528" s="14" t="inlineStr">
        <is>
          <t>평안</t>
        </is>
      </c>
      <c r="J528" s="14" t="inlineStr">
        <is>
          <t>잔잔한 물</t>
        </is>
      </c>
      <c r="K528" s="16" t="inlineStr">
        <is>
          <t>할 수 있거든 너희로서는 모든 사람으로 더불어 평화하라</t>
        </is>
      </c>
      <c r="L528" s="14" t="inlineStr">
        <is>
          <t>자동 입력</t>
        </is>
      </c>
      <c r="M528" s="14">
        <f>LEN(K528)</f>
        <v/>
      </c>
      <c r="N528" s="14">
        <f>IF(M528=0,"-",ROUND(3+M528/'안내'!$C$12,0))</f>
        <v/>
      </c>
      <c r="O528" s="15">
        <f>IF(K528="","(본문 입력 후 자동) | 롬 12:18",IF(LEN(K528)&gt;28,LEFT(K528,28)&amp;"…",K528)&amp;" | 롬 12:18")</f>
        <v/>
      </c>
      <c r="P528" s="15">
        <f>"#"&amp;SUBSTITUTE('안내'!$C$5," ","")&amp;" #성경구절 #말씀 #로마서 #평안"</f>
        <v/>
      </c>
      <c r="Q528" s="15" t="inlineStr">
        <is>
          <t>성경 본문: 개역한글판</t>
        </is>
      </c>
      <c r="R528" s="17">
        <f>'안내'!$C$6+INT((D528-1)/'안내'!$C$7)</f>
        <v/>
      </c>
      <c r="S528" s="14">
        <f>IF(MOD(D528-1,'안내'!$C$7)=0,'안내'!$C$9,'안내'!$C$11)</f>
        <v/>
      </c>
      <c r="T528" s="14">
        <f>CHOOSE(WEEKDAY(R528,2),"월","화","수","목","금","토","일")</f>
        <v/>
      </c>
      <c r="U528" s="14" t="inlineStr">
        <is>
          <t>미착수</t>
        </is>
      </c>
      <c r="V528" s="14" t="inlineStr">
        <is>
          <t>미착수</t>
        </is>
      </c>
      <c r="W528" s="18" t="n"/>
      <c r="X528" s="18" t="n"/>
      <c r="Y528" s="15" t="n"/>
      <c r="Z528" s="15" t="inlineStr"/>
      <c r="AA528" s="15" t="inlineStr">
        <is>
          <t>If it is possible, as much as it is up to you, be at peace with all men.</t>
        </is>
      </c>
    </row>
    <row r="529">
      <c r="A529" s="14" t="n">
        <v>528</v>
      </c>
      <c r="B529" s="14" t="inlineStr">
        <is>
          <t>W0528</t>
        </is>
      </c>
      <c r="C529" s="14" t="inlineStr">
        <is>
          <t>신약</t>
        </is>
      </c>
      <c r="D529" s="14" t="n">
        <v>164</v>
      </c>
      <c r="E529" s="14">
        <f>C529&amp;"말씀 #"&amp;TEXT(D529,"000")</f>
        <v/>
      </c>
      <c r="F529" s="14" t="inlineStr">
        <is>
          <t>로마서</t>
        </is>
      </c>
      <c r="G529" s="14" t="inlineStr">
        <is>
          <t>12:21</t>
        </is>
      </c>
      <c r="H529" s="15" t="inlineStr">
        <is>
          <t>(롬 12:21, 개역한글)</t>
        </is>
      </c>
      <c r="I529" s="14" t="inlineStr">
        <is>
          <t>승리</t>
        </is>
      </c>
      <c r="J529" s="14" t="inlineStr">
        <is>
          <t>바위산·광야</t>
        </is>
      </c>
      <c r="K529" s="16" t="inlineStr">
        <is>
          <t>악에게 지지 말고 선으로 악을 이기라</t>
        </is>
      </c>
      <c r="L529" s="14" t="inlineStr">
        <is>
          <t>자동 입력</t>
        </is>
      </c>
      <c r="M529" s="14">
        <f>LEN(K529)</f>
        <v/>
      </c>
      <c r="N529" s="14">
        <f>IF(M529=0,"-",ROUND(3+M529/'안내'!$C$12,0))</f>
        <v/>
      </c>
      <c r="O529" s="15">
        <f>IF(K529="","(본문 입력 후 자동) | 롬 12:21",IF(LEN(K529)&gt;28,LEFT(K529,28)&amp;"…",K529)&amp;" | 롬 12:21")</f>
        <v/>
      </c>
      <c r="P529" s="15">
        <f>"#"&amp;SUBSTITUTE('안내'!$C$5," ","")&amp;" #성경구절 #말씀 #로마서 #승리"</f>
        <v/>
      </c>
      <c r="Q529" s="15" t="inlineStr">
        <is>
          <t>성경 본문: 개역한글판</t>
        </is>
      </c>
      <c r="R529" s="17">
        <f>'안내'!$C$6+INT((D529-1)/'안내'!$C$7)</f>
        <v/>
      </c>
      <c r="S529" s="14">
        <f>IF(MOD(D529-1,'안내'!$C$7)=0,'안내'!$C$9,'안내'!$C$11)</f>
        <v/>
      </c>
      <c r="T529" s="14">
        <f>CHOOSE(WEEKDAY(R529,2),"월","화","수","목","금","토","일")</f>
        <v/>
      </c>
      <c r="U529" s="14" t="inlineStr">
        <is>
          <t>미착수</t>
        </is>
      </c>
      <c r="V529" s="14" t="inlineStr">
        <is>
          <t>미착수</t>
        </is>
      </c>
      <c r="W529" s="18" t="n"/>
      <c r="X529" s="18" t="n"/>
      <c r="Y529" s="15" t="n"/>
      <c r="Z529" s="15" t="inlineStr"/>
      <c r="AA529" s="15" t="inlineStr">
        <is>
          <t>Don’t be overcome by evil, but over- come evil with good.</t>
        </is>
      </c>
    </row>
    <row r="530">
      <c r="A530" s="14" t="n">
        <v>529</v>
      </c>
      <c r="B530" s="14" t="inlineStr">
        <is>
          <t>W0529</t>
        </is>
      </c>
      <c r="C530" s="14" t="inlineStr">
        <is>
          <t>신약</t>
        </is>
      </c>
      <c r="D530" s="14" t="n">
        <v>165</v>
      </c>
      <c r="E530" s="14">
        <f>C530&amp;"말씀 #"&amp;TEXT(D530,"000")</f>
        <v/>
      </c>
      <c r="F530" s="14" t="inlineStr">
        <is>
          <t>로마서</t>
        </is>
      </c>
      <c r="G530" s="14" t="inlineStr">
        <is>
          <t>13:8</t>
        </is>
      </c>
      <c r="H530" s="15" t="inlineStr">
        <is>
          <t>(롬 13:8, 개역한글)</t>
        </is>
      </c>
      <c r="I530" s="14" t="inlineStr">
        <is>
          <t>사랑</t>
        </is>
      </c>
      <c r="J530" s="14" t="inlineStr">
        <is>
          <t>창가·식탁</t>
        </is>
      </c>
      <c r="K530" s="16" t="inlineStr">
        <is>
          <t>피차 사랑의 빚 외에는 아무에게든지 아무 빚도 지지 말라 남을 사랑하는 자는 율법을 다 이루었느니라</t>
        </is>
      </c>
      <c r="L530" s="14" t="inlineStr">
        <is>
          <t>자동 입력</t>
        </is>
      </c>
      <c r="M530" s="14">
        <f>LEN(K530)</f>
        <v/>
      </c>
      <c r="N530" s="14">
        <f>IF(M530=0,"-",ROUND(3+M530/'안내'!$C$12,0))</f>
        <v/>
      </c>
      <c r="O530" s="15">
        <f>IF(K530="","(본문 입력 후 자동) | 롬 13:8",IF(LEN(K530)&gt;28,LEFT(K530,28)&amp;"…",K530)&amp;" | 롬 13:8")</f>
        <v/>
      </c>
      <c r="P530" s="15">
        <f>"#"&amp;SUBSTITUTE('안내'!$C$5," ","")&amp;" #성경구절 #말씀 #로마서 #사랑"</f>
        <v/>
      </c>
      <c r="Q530" s="15" t="inlineStr">
        <is>
          <t>성경 본문: 개역한글판</t>
        </is>
      </c>
      <c r="R530" s="17">
        <f>'안내'!$C$6+INT((D530-1)/'안내'!$C$7)</f>
        <v/>
      </c>
      <c r="S530" s="14">
        <f>IF(MOD(D530-1,'안내'!$C$7)=0,'안내'!$C$9,'안내'!$C$11)</f>
        <v/>
      </c>
      <c r="T530" s="14">
        <f>CHOOSE(WEEKDAY(R530,2),"월","화","수","목","금","토","일")</f>
        <v/>
      </c>
      <c r="U530" s="14" t="inlineStr">
        <is>
          <t>미착수</t>
        </is>
      </c>
      <c r="V530" s="14" t="inlineStr">
        <is>
          <t>미착수</t>
        </is>
      </c>
      <c r="W530" s="18" t="n"/>
      <c r="X530" s="18" t="n"/>
      <c r="Y530" s="15" t="n"/>
      <c r="Z530" s="15" t="inlineStr"/>
      <c r="AA530" s="15" t="inlineStr">
        <is>
          <t>Owe no one anything, except to love one another; for he who loves his neighbor has fulfilled the law.</t>
        </is>
      </c>
    </row>
    <row r="531">
      <c r="A531" s="14" t="n">
        <v>530</v>
      </c>
      <c r="B531" s="14" t="inlineStr">
        <is>
          <t>W0530</t>
        </is>
      </c>
      <c r="C531" s="14" t="inlineStr">
        <is>
          <t>신약</t>
        </is>
      </c>
      <c r="D531" s="14" t="n">
        <v>166</v>
      </c>
      <c r="E531" s="14">
        <f>C531&amp;"말씀 #"&amp;TEXT(D531,"000")</f>
        <v/>
      </c>
      <c r="F531" s="14" t="inlineStr">
        <is>
          <t>로마서</t>
        </is>
      </c>
      <c r="G531" s="14" t="inlineStr">
        <is>
          <t>14:8</t>
        </is>
      </c>
      <c r="H531" s="15" t="inlineStr">
        <is>
          <t>(롬 14:8, 개역한글)</t>
        </is>
      </c>
      <c r="I531" s="14" t="inlineStr">
        <is>
          <t>헌신</t>
        </is>
      </c>
      <c r="J531" s="14" t="inlineStr">
        <is>
          <t>길·등불</t>
        </is>
      </c>
      <c r="K531" s="16" t="inlineStr">
        <is>
          <t>우리가 살아도 주를 위하여 살고 죽어도 주를 위하여 죽나니 그러므로 사나 죽으나 우리가 주의 것이로라</t>
        </is>
      </c>
      <c r="L531" s="14" t="inlineStr">
        <is>
          <t>자동 입력</t>
        </is>
      </c>
      <c r="M531" s="14">
        <f>LEN(K531)</f>
        <v/>
      </c>
      <c r="N531" s="14">
        <f>IF(M531=0,"-",ROUND(3+M531/'안내'!$C$12,0))</f>
        <v/>
      </c>
      <c r="O531" s="15">
        <f>IF(K531="","(본문 입력 후 자동) | 롬 14:8",IF(LEN(K531)&gt;28,LEFT(K531,28)&amp;"…",K531)&amp;" | 롬 14:8")</f>
        <v/>
      </c>
      <c r="P531" s="15">
        <f>"#"&amp;SUBSTITUTE('안내'!$C$5," ","")&amp;" #성경구절 #말씀 #로마서 #헌신"</f>
        <v/>
      </c>
      <c r="Q531" s="15" t="inlineStr">
        <is>
          <t>성경 본문: 개역한글판</t>
        </is>
      </c>
      <c r="R531" s="17">
        <f>'안내'!$C$6+INT((D531-1)/'안내'!$C$7)</f>
        <v/>
      </c>
      <c r="S531" s="14">
        <f>IF(MOD(D531-1,'안내'!$C$7)=0,'안내'!$C$9,'안내'!$C$11)</f>
        <v/>
      </c>
      <c r="T531" s="14">
        <f>CHOOSE(WEEKDAY(R531,2),"월","화","수","목","금","토","일")</f>
        <v/>
      </c>
      <c r="U531" s="14" t="inlineStr">
        <is>
          <t>미착수</t>
        </is>
      </c>
      <c r="V531" s="14" t="inlineStr">
        <is>
          <t>미착수</t>
        </is>
      </c>
      <c r="W531" s="18" t="n"/>
      <c r="X531" s="18" t="n"/>
      <c r="Y531" s="15" t="n"/>
      <c r="Z531" s="15" t="inlineStr"/>
      <c r="AA531" s="15" t="inlineStr">
        <is>
          <t>For if we live, we live to the Lord. Or if we die, we die to the Lord. If therefore we live or die, we are the Lord’s.</t>
        </is>
      </c>
    </row>
    <row r="532">
      <c r="A532" s="14" t="n">
        <v>531</v>
      </c>
      <c r="B532" s="14" t="inlineStr">
        <is>
          <t>W0531</t>
        </is>
      </c>
      <c r="C532" s="14" t="inlineStr">
        <is>
          <t>신약</t>
        </is>
      </c>
      <c r="D532" s="14" t="n">
        <v>167</v>
      </c>
      <c r="E532" s="14">
        <f>C532&amp;"말씀 #"&amp;TEXT(D532,"000")</f>
        <v/>
      </c>
      <c r="F532" s="14" t="inlineStr">
        <is>
          <t>로마서</t>
        </is>
      </c>
      <c r="G532" s="14" t="inlineStr">
        <is>
          <t>15:7</t>
        </is>
      </c>
      <c r="H532" s="15" t="inlineStr">
        <is>
          <t>(롬 15:7, 개역한글)</t>
        </is>
      </c>
      <c r="I532" s="14" t="inlineStr">
        <is>
          <t>연합</t>
        </is>
      </c>
      <c r="J532" s="14" t="inlineStr">
        <is>
          <t>창가·식탁</t>
        </is>
      </c>
      <c r="K532" s="16" t="inlineStr">
        <is>
          <t>이러므로 그리스도께서 우리를 받아 하나님께 영광을 돌리심과 같이 너희도 서로 받으라</t>
        </is>
      </c>
      <c r="L532" s="14" t="inlineStr">
        <is>
          <t>자동 입력</t>
        </is>
      </c>
      <c r="M532" s="14">
        <f>LEN(K532)</f>
        <v/>
      </c>
      <c r="N532" s="14">
        <f>IF(M532=0,"-",ROUND(3+M532/'안내'!$C$12,0))</f>
        <v/>
      </c>
      <c r="O532" s="15">
        <f>IF(K532="","(본문 입력 후 자동) | 롬 15:7",IF(LEN(K532)&gt;28,LEFT(K532,28)&amp;"…",K532)&amp;" | 롬 15:7")</f>
        <v/>
      </c>
      <c r="P532" s="15">
        <f>"#"&amp;SUBSTITUTE('안내'!$C$5," ","")&amp;" #성경구절 #말씀 #로마서 #연합"</f>
        <v/>
      </c>
      <c r="Q532" s="15" t="inlineStr">
        <is>
          <t>성경 본문: 개역한글판</t>
        </is>
      </c>
      <c r="R532" s="17">
        <f>'안내'!$C$6+INT((D532-1)/'안내'!$C$7)</f>
        <v/>
      </c>
      <c r="S532" s="14">
        <f>IF(MOD(D532-1,'안내'!$C$7)=0,'안내'!$C$9,'안내'!$C$11)</f>
        <v/>
      </c>
      <c r="T532" s="14">
        <f>CHOOSE(WEEKDAY(R532,2),"월","화","수","목","금","토","일")</f>
        <v/>
      </c>
      <c r="U532" s="14" t="inlineStr">
        <is>
          <t>미착수</t>
        </is>
      </c>
      <c r="V532" s="14" t="inlineStr">
        <is>
          <t>미착수</t>
        </is>
      </c>
      <c r="W532" s="18" t="n"/>
      <c r="X532" s="18" t="n"/>
      <c r="Y532" s="15" t="n"/>
      <c r="Z532" s="15" t="inlineStr"/>
      <c r="AA532" s="15" t="inlineStr">
        <is>
          <t>Therefore accept one another, even as Christ also accepted you, to the glory of God.</t>
        </is>
      </c>
    </row>
    <row r="533">
      <c r="A533" s="14" t="n">
        <v>532</v>
      </c>
      <c r="B533" s="14" t="inlineStr">
        <is>
          <t>W0532</t>
        </is>
      </c>
      <c r="C533" s="14" t="inlineStr">
        <is>
          <t>신약</t>
        </is>
      </c>
      <c r="D533" s="14" t="n">
        <v>168</v>
      </c>
      <c r="E533" s="14">
        <f>C533&amp;"말씀 #"&amp;TEXT(D533,"000")</f>
        <v/>
      </c>
      <c r="F533" s="14" t="inlineStr">
        <is>
          <t>로마서</t>
        </is>
      </c>
      <c r="G533" s="14" t="inlineStr">
        <is>
          <t>15:13</t>
        </is>
      </c>
      <c r="H533" s="15" t="inlineStr">
        <is>
          <t>(롬 15:13, 개역한글)</t>
        </is>
      </c>
      <c r="I533" s="14" t="inlineStr">
        <is>
          <t>소망</t>
        </is>
      </c>
      <c r="J533" s="14" t="inlineStr">
        <is>
          <t>새벽빛</t>
        </is>
      </c>
      <c r="K533" s="16" t="inlineStr">
        <is>
          <t>소망의 하나님이 모든 기쁨과 평강을 믿음 안에서 너희에게 충만케 하사 성령의 능력으로 소망이 넘치게 하시기를 원하노라</t>
        </is>
      </c>
      <c r="L533" s="14" t="inlineStr">
        <is>
          <t>자동 입력 · 대조 필요</t>
        </is>
      </c>
      <c r="M533" s="14">
        <f>LEN(K533)</f>
        <v/>
      </c>
      <c r="N533" s="14">
        <f>IF(M533=0,"-",ROUND(3+M533/'안내'!$C$12,0))</f>
        <v/>
      </c>
      <c r="O533" s="15">
        <f>IF(K533="","(본문 입력 후 자동) | 롬 15:13",IF(LEN(K533)&gt;28,LEFT(K533,28)&amp;"…",K533)&amp;" | 롬 15:13")</f>
        <v/>
      </c>
      <c r="P533" s="15">
        <f>"#"&amp;SUBSTITUTE('안내'!$C$5," ","")&amp;" #성경구절 #말씀 #로마서 #소망"</f>
        <v/>
      </c>
      <c r="Q533" s="15" t="inlineStr">
        <is>
          <t>성경 본문: 개역한글판</t>
        </is>
      </c>
      <c r="R533" s="17">
        <f>'안내'!$C$6+INT((D533-1)/'안내'!$C$7)</f>
        <v/>
      </c>
      <c r="S533" s="14">
        <f>IF(MOD(D533-1,'안내'!$C$7)=0,'안내'!$C$9,'안내'!$C$11)</f>
        <v/>
      </c>
      <c r="T533" s="14">
        <f>CHOOSE(WEEKDAY(R533,2),"월","화","수","목","금","토","일")</f>
        <v/>
      </c>
      <c r="U533" s="14" t="inlineStr">
        <is>
          <t>미착수</t>
        </is>
      </c>
      <c r="V533" s="14" t="inlineStr">
        <is>
          <t>미착수</t>
        </is>
      </c>
      <c r="W533" s="18" t="n"/>
      <c r="X533" s="18" t="n"/>
      <c r="Y533" s="15" t="n"/>
      <c r="Z533" s="15" t="inlineStr">
        <is>
          <t>줄바꿈 띄어쓰기 확인</t>
        </is>
      </c>
      <c r="AA533" s="15" t="inlineStr">
        <is>
          <t>Now may the God of hope fill you with all joy and peace in believing, that you may abound in hope in the power of the Holy Spirit.</t>
        </is>
      </c>
    </row>
    <row r="534">
      <c r="A534" s="14" t="n">
        <v>533</v>
      </c>
      <c r="B534" s="14" t="inlineStr">
        <is>
          <t>W0533</t>
        </is>
      </c>
      <c r="C534" s="14" t="inlineStr">
        <is>
          <t>신약</t>
        </is>
      </c>
      <c r="D534" s="14" t="n">
        <v>169</v>
      </c>
      <c r="E534" s="14">
        <f>C534&amp;"말씀 #"&amp;TEXT(D534,"000")</f>
        <v/>
      </c>
      <c r="F534" s="14" t="inlineStr">
        <is>
          <t>고린도전서</t>
        </is>
      </c>
      <c r="G534" s="14" t="inlineStr">
        <is>
          <t>1:18</t>
        </is>
      </c>
      <c r="H534" s="15" t="inlineStr">
        <is>
          <t>(고전 1:18, 개역한글)</t>
        </is>
      </c>
      <c r="I534" s="14" t="inlineStr">
        <is>
          <t>복음</t>
        </is>
      </c>
      <c r="J534" s="14" t="inlineStr">
        <is>
          <t>제단·십자가</t>
        </is>
      </c>
      <c r="K534" s="16" t="inlineStr">
        <is>
          <t>십자가의 도가 멸망하는 자들에게는 미련한 것이요 구원을 얻는 우리에게는 하나님의 능력이라</t>
        </is>
      </c>
      <c r="L534" s="14" t="inlineStr">
        <is>
          <t>자동 입력</t>
        </is>
      </c>
      <c r="M534" s="14">
        <f>LEN(K534)</f>
        <v/>
      </c>
      <c r="N534" s="14">
        <f>IF(M534=0,"-",ROUND(3+M534/'안내'!$C$12,0))</f>
        <v/>
      </c>
      <c r="O534" s="15">
        <f>IF(K534="","(본문 입력 후 자동) | 고전 1:18",IF(LEN(K534)&gt;28,LEFT(K534,28)&amp;"…",K534)&amp;" | 고전 1:18")</f>
        <v/>
      </c>
      <c r="P534" s="15">
        <f>"#"&amp;SUBSTITUTE('안내'!$C$5," ","")&amp;" #성경구절 #말씀 #고린도전서 #복음"</f>
        <v/>
      </c>
      <c r="Q534" s="15" t="inlineStr">
        <is>
          <t>성경 본문: 개역한글판</t>
        </is>
      </c>
      <c r="R534" s="17">
        <f>'안내'!$C$6+INT((D534-1)/'안내'!$C$7)</f>
        <v/>
      </c>
      <c r="S534" s="14">
        <f>IF(MOD(D534-1,'안내'!$C$7)=0,'안내'!$C$9,'안내'!$C$11)</f>
        <v/>
      </c>
      <c r="T534" s="14">
        <f>CHOOSE(WEEKDAY(R534,2),"월","화","수","목","금","토","일")</f>
        <v/>
      </c>
      <c r="U534" s="14" t="inlineStr">
        <is>
          <t>미착수</t>
        </is>
      </c>
      <c r="V534" s="14" t="inlineStr">
        <is>
          <t>미착수</t>
        </is>
      </c>
      <c r="W534" s="18" t="n"/>
      <c r="X534" s="18" t="n"/>
      <c r="Y534" s="15" t="n"/>
      <c r="Z534" s="15" t="inlineStr"/>
      <c r="AA534" s="15" t="inlineStr">
        <is>
          <t>For the word of the cross is foolishness to those who are dying, but to us who are being saved it is the power of God.</t>
        </is>
      </c>
    </row>
    <row r="535">
      <c r="A535" s="14" t="n">
        <v>534</v>
      </c>
      <c r="B535" s="14" t="inlineStr">
        <is>
          <t>W0534</t>
        </is>
      </c>
      <c r="C535" s="14" t="inlineStr">
        <is>
          <t>신약</t>
        </is>
      </c>
      <c r="D535" s="14" t="n">
        <v>170</v>
      </c>
      <c r="E535" s="14">
        <f>C535&amp;"말씀 #"&amp;TEXT(D535,"000")</f>
        <v/>
      </c>
      <c r="F535" s="14" t="inlineStr">
        <is>
          <t>고린도전서</t>
        </is>
      </c>
      <c r="G535" s="14" t="inlineStr">
        <is>
          <t>1:27</t>
        </is>
      </c>
      <c r="H535" s="15" t="inlineStr">
        <is>
          <t>(고전 1:27, 개역한글)</t>
        </is>
      </c>
      <c r="I535" s="14" t="inlineStr">
        <is>
          <t>은혜</t>
        </is>
      </c>
      <c r="J535" s="14" t="inlineStr">
        <is>
          <t>잔잔한 물</t>
        </is>
      </c>
      <c r="K535" s="16" t="inlineStr">
        <is>
          <t>그러나 하나님께서 세상의 미련한 것들을 택하사 지혜 있는 자들을 부끄럽게 하려 하시고 세상의 약한 것들을 택하사 강한 것들을 부끄럽게 하려 하시며</t>
        </is>
      </c>
      <c r="L535" s="14" t="inlineStr">
        <is>
          <t>자동 입력</t>
        </is>
      </c>
      <c r="M535" s="14">
        <f>LEN(K535)</f>
        <v/>
      </c>
      <c r="N535" s="14">
        <f>IF(M535=0,"-",ROUND(3+M535/'안내'!$C$12,0))</f>
        <v/>
      </c>
      <c r="O535" s="15">
        <f>IF(K535="","(본문 입력 후 자동) | 고전 1:27",IF(LEN(K535)&gt;28,LEFT(K535,28)&amp;"…",K535)&amp;" | 고전 1:27")</f>
        <v/>
      </c>
      <c r="P535" s="15">
        <f>"#"&amp;SUBSTITUTE('안내'!$C$5," ","")&amp;" #성경구절 #말씀 #고린도전서 #은혜"</f>
        <v/>
      </c>
      <c r="Q535" s="15" t="inlineStr">
        <is>
          <t>성경 본문: 개역한글판</t>
        </is>
      </c>
      <c r="R535" s="17">
        <f>'안내'!$C$6+INT((D535-1)/'안내'!$C$7)</f>
        <v/>
      </c>
      <c r="S535" s="14">
        <f>IF(MOD(D535-1,'안내'!$C$7)=0,'안내'!$C$9,'안내'!$C$11)</f>
        <v/>
      </c>
      <c r="T535" s="14">
        <f>CHOOSE(WEEKDAY(R535,2),"월","화","수","목","금","토","일")</f>
        <v/>
      </c>
      <c r="U535" s="14" t="inlineStr">
        <is>
          <t>미착수</t>
        </is>
      </c>
      <c r="V535" s="14" t="inlineStr">
        <is>
          <t>미착수</t>
        </is>
      </c>
      <c r="W535" s="18" t="n"/>
      <c r="X535" s="18" t="n"/>
      <c r="Y535" s="15" t="n"/>
      <c r="Z535" s="15" t="inlineStr"/>
      <c r="AA535" s="15" t="inlineStr">
        <is>
          <t>but God chose the foolish things of the world that he might put to shame those who are wise. God chose the weak things of the world that he might put to shame the things that are strong.</t>
        </is>
      </c>
    </row>
    <row r="536">
      <c r="A536" s="14" t="n">
        <v>535</v>
      </c>
      <c r="B536" s="14" t="inlineStr">
        <is>
          <t>W0535</t>
        </is>
      </c>
      <c r="C536" s="14" t="inlineStr">
        <is>
          <t>신약</t>
        </is>
      </c>
      <c r="D536" s="14" t="n">
        <v>171</v>
      </c>
      <c r="E536" s="14">
        <f>C536&amp;"말씀 #"&amp;TEXT(D536,"000")</f>
        <v/>
      </c>
      <c r="F536" s="14" t="inlineStr">
        <is>
          <t>고린도전서</t>
        </is>
      </c>
      <c r="G536" s="14" t="inlineStr">
        <is>
          <t>2:9</t>
        </is>
      </c>
      <c r="H536" s="15" t="inlineStr">
        <is>
          <t>(고전 2:9, 개역한글)</t>
        </is>
      </c>
      <c r="I536" s="14" t="inlineStr">
        <is>
          <t>사랑</t>
        </is>
      </c>
      <c r="J536" s="14" t="inlineStr">
        <is>
          <t>창가·식탁</t>
        </is>
      </c>
      <c r="K536" s="16" t="inlineStr">
        <is>
          <t>기록된 바 하나님이 자기를 사랑하는 자들을 위하여 예비하신 모든 것은 눈으로 보지 못하고 귀로도 듣지 못하고 사람의 마음으로도 생각지 못하였다 함과 같으니라</t>
        </is>
      </c>
      <c r="L536" s="14" t="inlineStr">
        <is>
          <t>자동 입력 · 대조 필요</t>
        </is>
      </c>
      <c r="M536" s="14">
        <f>LEN(K536)</f>
        <v/>
      </c>
      <c r="N536" s="14">
        <f>IF(M536=0,"-",ROUND(3+M536/'안내'!$C$12,0))</f>
        <v/>
      </c>
      <c r="O536" s="15">
        <f>IF(K536="","(본문 입력 후 자동) | 고전 2:9",IF(LEN(K536)&gt;28,LEFT(K536,28)&amp;"…",K536)&amp;" | 고전 2:9")</f>
        <v/>
      </c>
      <c r="P536" s="15">
        <f>"#"&amp;SUBSTITUTE('안내'!$C$5," ","")&amp;" #성경구절 #말씀 #고린도전서 #사랑"</f>
        <v/>
      </c>
      <c r="Q536" s="15" t="inlineStr">
        <is>
          <t>성경 본문: 개역한글판</t>
        </is>
      </c>
      <c r="R536" s="17">
        <f>'안내'!$C$6+INT((D536-1)/'안내'!$C$7)</f>
        <v/>
      </c>
      <c r="S536" s="14">
        <f>IF(MOD(D536-1,'안내'!$C$7)=0,'안내'!$C$9,'안내'!$C$11)</f>
        <v/>
      </c>
      <c r="T536" s="14">
        <f>CHOOSE(WEEKDAY(R536,2),"월","화","수","목","금","토","일")</f>
        <v/>
      </c>
      <c r="U536" s="14" t="inlineStr">
        <is>
          <t>미착수</t>
        </is>
      </c>
      <c r="V536" s="14" t="inlineStr">
        <is>
          <t>미착수</t>
        </is>
      </c>
      <c r="W536" s="18" t="n"/>
      <c r="X536" s="18" t="n"/>
      <c r="Y536" s="15" t="n"/>
      <c r="Z536" s="15" t="inlineStr">
        <is>
          <t>줄바꿈 띄어쓰기 확인</t>
        </is>
      </c>
      <c r="AA536" s="15" t="inlineStr">
        <is>
          <t>But as it is written, “Things which an eye didn’t see, and an ear didn’t hear, which didn’t enter into the heart of man, these God has prepared for those who love him.” ✡</t>
        </is>
      </c>
    </row>
    <row r="537">
      <c r="A537" s="14" t="n">
        <v>536</v>
      </c>
      <c r="B537" s="14" t="inlineStr">
        <is>
          <t>W0536</t>
        </is>
      </c>
      <c r="C537" s="14" t="inlineStr">
        <is>
          <t>신약</t>
        </is>
      </c>
      <c r="D537" s="14" t="n">
        <v>172</v>
      </c>
      <c r="E537" s="14">
        <f>C537&amp;"말씀 #"&amp;TEXT(D537,"000")</f>
        <v/>
      </c>
      <c r="F537" s="14" t="inlineStr">
        <is>
          <t>고린도전서</t>
        </is>
      </c>
      <c r="G537" s="14" t="inlineStr">
        <is>
          <t>3:6</t>
        </is>
      </c>
      <c r="H537" s="15" t="inlineStr">
        <is>
          <t>(고전 3:6, 개역한글)</t>
        </is>
      </c>
      <c r="I537" s="14" t="inlineStr">
        <is>
          <t>섭리</t>
        </is>
      </c>
      <c r="J537" s="14" t="inlineStr">
        <is>
          <t>하늘·별</t>
        </is>
      </c>
      <c r="K537" s="16" t="inlineStr">
        <is>
          <t>나는 심었고 아볼로는 물을 주었으되 오직 하나님은 자라나게 하셨나니</t>
        </is>
      </c>
      <c r="L537" s="14" t="inlineStr">
        <is>
          <t>자동 입력</t>
        </is>
      </c>
      <c r="M537" s="14">
        <f>LEN(K537)</f>
        <v/>
      </c>
      <c r="N537" s="14">
        <f>IF(M537=0,"-",ROUND(3+M537/'안내'!$C$12,0))</f>
        <v/>
      </c>
      <c r="O537" s="15">
        <f>IF(K537="","(본문 입력 후 자동) | 고전 3:6",IF(LEN(K537)&gt;28,LEFT(K537,28)&amp;"…",K537)&amp;" | 고전 3:6")</f>
        <v/>
      </c>
      <c r="P537" s="15">
        <f>"#"&amp;SUBSTITUTE('안내'!$C$5," ","")&amp;" #성경구절 #말씀 #고린도전서 #섭리"</f>
        <v/>
      </c>
      <c r="Q537" s="15" t="inlineStr">
        <is>
          <t>성경 본문: 개역한글판</t>
        </is>
      </c>
      <c r="R537" s="17">
        <f>'안내'!$C$6+INT((D537-1)/'안내'!$C$7)</f>
        <v/>
      </c>
      <c r="S537" s="14">
        <f>IF(MOD(D537-1,'안내'!$C$7)=0,'안내'!$C$9,'안내'!$C$11)</f>
        <v/>
      </c>
      <c r="T537" s="14">
        <f>CHOOSE(WEEKDAY(R537,2),"월","화","수","목","금","토","일")</f>
        <v/>
      </c>
      <c r="U537" s="14" t="inlineStr">
        <is>
          <t>미착수</t>
        </is>
      </c>
      <c r="V537" s="14" t="inlineStr">
        <is>
          <t>미착수</t>
        </is>
      </c>
      <c r="W537" s="18" t="n"/>
      <c r="X537" s="18" t="n"/>
      <c r="Y537" s="15" t="n"/>
      <c r="Z537" s="15" t="inlineStr"/>
      <c r="AA537" s="15" t="inlineStr">
        <is>
          <t>I planted. Apollos watered. But God gave the increase.</t>
        </is>
      </c>
    </row>
    <row r="538">
      <c r="A538" s="14" t="n">
        <v>537</v>
      </c>
      <c r="B538" s="14" t="inlineStr">
        <is>
          <t>W0537</t>
        </is>
      </c>
      <c r="C538" s="14" t="inlineStr">
        <is>
          <t>신약</t>
        </is>
      </c>
      <c r="D538" s="14" t="n">
        <v>173</v>
      </c>
      <c r="E538" s="14">
        <f>C538&amp;"말씀 #"&amp;TEXT(D538,"000")</f>
        <v/>
      </c>
      <c r="F538" s="14" t="inlineStr">
        <is>
          <t>고린도전서</t>
        </is>
      </c>
      <c r="G538" s="14" t="inlineStr">
        <is>
          <t>3:16</t>
        </is>
      </c>
      <c r="H538" s="15" t="inlineStr">
        <is>
          <t>(고전 3:16, 개역한글)</t>
        </is>
      </c>
      <c r="I538" s="14" t="inlineStr">
        <is>
          <t>거룩</t>
        </is>
      </c>
      <c r="J538" s="14" t="inlineStr">
        <is>
          <t>하늘·별</t>
        </is>
      </c>
      <c r="K538" s="16" t="inlineStr">
        <is>
          <t>너희가 하나님의 성전인 것과 하나님의 성령이 너희 안에 거하시는 것을 알지 못하느뇨</t>
        </is>
      </c>
      <c r="L538" s="14" t="inlineStr">
        <is>
          <t>자동 입력</t>
        </is>
      </c>
      <c r="M538" s="14">
        <f>LEN(K538)</f>
        <v/>
      </c>
      <c r="N538" s="14">
        <f>IF(M538=0,"-",ROUND(3+M538/'안내'!$C$12,0))</f>
        <v/>
      </c>
      <c r="O538" s="15">
        <f>IF(K538="","(본문 입력 후 자동) | 고전 3:16",IF(LEN(K538)&gt;28,LEFT(K538,28)&amp;"…",K538)&amp;" | 고전 3:16")</f>
        <v/>
      </c>
      <c r="P538" s="15">
        <f>"#"&amp;SUBSTITUTE('안내'!$C$5," ","")&amp;" #성경구절 #말씀 #고린도전서 #거룩"</f>
        <v/>
      </c>
      <c r="Q538" s="15" t="inlineStr">
        <is>
          <t>성경 본문: 개역한글판</t>
        </is>
      </c>
      <c r="R538" s="17">
        <f>'안내'!$C$6+INT((D538-1)/'안내'!$C$7)</f>
        <v/>
      </c>
      <c r="S538" s="14">
        <f>IF(MOD(D538-1,'안내'!$C$7)=0,'안내'!$C$9,'안내'!$C$11)</f>
        <v/>
      </c>
      <c r="T538" s="14">
        <f>CHOOSE(WEEKDAY(R538,2),"월","화","수","목","금","토","일")</f>
        <v/>
      </c>
      <c r="U538" s="14" t="inlineStr">
        <is>
          <t>미착수</t>
        </is>
      </c>
      <c r="V538" s="14" t="inlineStr">
        <is>
          <t>미착수</t>
        </is>
      </c>
      <c r="W538" s="18" t="n"/>
      <c r="X538" s="18" t="n"/>
      <c r="Y538" s="15" t="n"/>
      <c r="Z538" s="15" t="inlineStr"/>
      <c r="AA538" s="15" t="inlineStr">
        <is>
          <t>Don’t you know that you are God’s temple and that God’s Spirit lives in you?</t>
        </is>
      </c>
    </row>
    <row r="539">
      <c r="A539" s="14" t="n">
        <v>538</v>
      </c>
      <c r="B539" s="14" t="inlineStr">
        <is>
          <t>W0538</t>
        </is>
      </c>
      <c r="C539" s="14" t="inlineStr">
        <is>
          <t>신약</t>
        </is>
      </c>
      <c r="D539" s="14" t="n">
        <v>174</v>
      </c>
      <c r="E539" s="14">
        <f>C539&amp;"말씀 #"&amp;TEXT(D539,"000")</f>
        <v/>
      </c>
      <c r="F539" s="14" t="inlineStr">
        <is>
          <t>고린도전서</t>
        </is>
      </c>
      <c r="G539" s="14" t="inlineStr">
        <is>
          <t>6:20</t>
        </is>
      </c>
      <c r="H539" s="15" t="inlineStr">
        <is>
          <t>(고전 6:20, 개역한글)</t>
        </is>
      </c>
      <c r="I539" s="14" t="inlineStr">
        <is>
          <t>거룩</t>
        </is>
      </c>
      <c r="J539" s="14" t="inlineStr">
        <is>
          <t>하늘·별</t>
        </is>
      </c>
      <c r="K539" s="16" t="inlineStr">
        <is>
          <t>값으로 산 것이 되었으니 그런즉 너희 몸으로 하나님께 영광을 돌리라</t>
        </is>
      </c>
      <c r="L539" s="14" t="inlineStr">
        <is>
          <t>자동 입력</t>
        </is>
      </c>
      <c r="M539" s="14">
        <f>LEN(K539)</f>
        <v/>
      </c>
      <c r="N539" s="14">
        <f>IF(M539=0,"-",ROUND(3+M539/'안내'!$C$12,0))</f>
        <v/>
      </c>
      <c r="O539" s="15">
        <f>IF(K539="","(본문 입력 후 자동) | 고전 6:20",IF(LEN(K539)&gt;28,LEFT(K539,28)&amp;"…",K539)&amp;" | 고전 6:20")</f>
        <v/>
      </c>
      <c r="P539" s="15">
        <f>"#"&amp;SUBSTITUTE('안내'!$C$5," ","")&amp;" #성경구절 #말씀 #고린도전서 #거룩"</f>
        <v/>
      </c>
      <c r="Q539" s="15" t="inlineStr">
        <is>
          <t>성경 본문: 개역한글판</t>
        </is>
      </c>
      <c r="R539" s="17">
        <f>'안내'!$C$6+INT((D539-1)/'안내'!$C$7)</f>
        <v/>
      </c>
      <c r="S539" s="14">
        <f>IF(MOD(D539-1,'안내'!$C$7)=0,'안내'!$C$9,'안내'!$C$11)</f>
        <v/>
      </c>
      <c r="T539" s="14">
        <f>CHOOSE(WEEKDAY(R539,2),"월","화","수","목","금","토","일")</f>
        <v/>
      </c>
      <c r="U539" s="14" t="inlineStr">
        <is>
          <t>미착수</t>
        </is>
      </c>
      <c r="V539" s="14" t="inlineStr">
        <is>
          <t>미착수</t>
        </is>
      </c>
      <c r="W539" s="18" t="n"/>
      <c r="X539" s="18" t="n"/>
      <c r="Y539" s="15" t="n"/>
      <c r="Z539" s="15" t="inlineStr"/>
      <c r="AA539" s="15" t="inlineStr">
        <is>
          <t>for you were bought with a price. Therefore glorify God in your body and in your spirit, which are God’s.</t>
        </is>
      </c>
    </row>
    <row r="540">
      <c r="A540" s="14" t="n">
        <v>539</v>
      </c>
      <c r="B540" s="14" t="inlineStr">
        <is>
          <t>W0539</t>
        </is>
      </c>
      <c r="C540" s="14" t="inlineStr">
        <is>
          <t>신약</t>
        </is>
      </c>
      <c r="D540" s="14" t="n">
        <v>175</v>
      </c>
      <c r="E540" s="14">
        <f>C540&amp;"말씀 #"&amp;TEXT(D540,"000")</f>
        <v/>
      </c>
      <c r="F540" s="14" t="inlineStr">
        <is>
          <t>고린도전서</t>
        </is>
      </c>
      <c r="G540" s="14" t="inlineStr">
        <is>
          <t>9:24</t>
        </is>
      </c>
      <c r="H540" s="15" t="inlineStr">
        <is>
          <t>(고전 9:24, 개역한글)</t>
        </is>
      </c>
      <c r="I540" s="14" t="inlineStr">
        <is>
          <t>헌신</t>
        </is>
      </c>
      <c r="J540" s="14" t="inlineStr">
        <is>
          <t>길·등불</t>
        </is>
      </c>
      <c r="K540" s="16" t="inlineStr">
        <is>
          <t>운동장에서 달음질하는 자들이 다 달아날지라도 오직 상 얻는 자는 하나인 줄을 너희가 알지 못하느냐 너희도 얻도록 이와 같이 달음질하라</t>
        </is>
      </c>
      <c r="L540" s="14" t="inlineStr">
        <is>
          <t>자동 입력</t>
        </is>
      </c>
      <c r="M540" s="14">
        <f>LEN(K540)</f>
        <v/>
      </c>
      <c r="N540" s="14">
        <f>IF(M540=0,"-",ROUND(3+M540/'안내'!$C$12,0))</f>
        <v/>
      </c>
      <c r="O540" s="15">
        <f>IF(K540="","(본문 입력 후 자동) | 고전 9:24",IF(LEN(K540)&gt;28,LEFT(K540,28)&amp;"…",K540)&amp;" | 고전 9:24")</f>
        <v/>
      </c>
      <c r="P540" s="15">
        <f>"#"&amp;SUBSTITUTE('안내'!$C$5," ","")&amp;" #성경구절 #말씀 #고린도전서 #헌신"</f>
        <v/>
      </c>
      <c r="Q540" s="15" t="inlineStr">
        <is>
          <t>성경 본문: 개역한글판</t>
        </is>
      </c>
      <c r="R540" s="17">
        <f>'안내'!$C$6+INT((D540-1)/'안내'!$C$7)</f>
        <v/>
      </c>
      <c r="S540" s="14">
        <f>IF(MOD(D540-1,'안내'!$C$7)=0,'안내'!$C$9,'안내'!$C$11)</f>
        <v/>
      </c>
      <c r="T540" s="14">
        <f>CHOOSE(WEEKDAY(R540,2),"월","화","수","목","금","토","일")</f>
        <v/>
      </c>
      <c r="U540" s="14" t="inlineStr">
        <is>
          <t>미착수</t>
        </is>
      </c>
      <c r="V540" s="14" t="inlineStr">
        <is>
          <t>미착수</t>
        </is>
      </c>
      <c r="W540" s="18" t="n"/>
      <c r="X540" s="18" t="n"/>
      <c r="Y540" s="15" t="n"/>
      <c r="Z540" s="15" t="inlineStr"/>
      <c r="AA540" s="15" t="inlineStr">
        <is>
          <t>Don’t you know that those who run in a race all run, but one receives the prize? Run like that, so that you may win.</t>
        </is>
      </c>
    </row>
    <row r="541">
      <c r="A541" s="14" t="n">
        <v>540</v>
      </c>
      <c r="B541" s="14" t="inlineStr">
        <is>
          <t>W0540</t>
        </is>
      </c>
      <c r="C541" s="14" t="inlineStr">
        <is>
          <t>신약</t>
        </is>
      </c>
      <c r="D541" s="14" t="n">
        <v>176</v>
      </c>
      <c r="E541" s="14">
        <f>C541&amp;"말씀 #"&amp;TEXT(D541,"000")</f>
        <v/>
      </c>
      <c r="F541" s="14" t="inlineStr">
        <is>
          <t>고린도전서</t>
        </is>
      </c>
      <c r="G541" s="14" t="inlineStr">
        <is>
          <t>10:13</t>
        </is>
      </c>
      <c r="H541" s="15" t="inlineStr">
        <is>
          <t>(고전 10:13, 개역한글)</t>
        </is>
      </c>
      <c r="I541" s="14" t="inlineStr">
        <is>
          <t>보호</t>
        </is>
      </c>
      <c r="J541" s="14" t="inlineStr">
        <is>
          <t>바위산·광야</t>
        </is>
      </c>
      <c r="K541" s="16" t="inlineStr">
        <is>
          <t>사람이 감당할 시험밖에는 너희에게 당한 것이 없나니 오직 하나님은 미쁘사 너희가 감당치 못할 시험당함을 허락지 아니하시고 시험당할 즈음에 또한 피할 길을 내사 너희로 능히 감당하게 하시느니라</t>
        </is>
      </c>
      <c r="L541" s="14" t="inlineStr">
        <is>
          <t>자동 입력 · 대조 필요</t>
        </is>
      </c>
      <c r="M541" s="14">
        <f>LEN(K541)</f>
        <v/>
      </c>
      <c r="N541" s="14">
        <f>IF(M541=0,"-",ROUND(3+M541/'안내'!$C$12,0))</f>
        <v/>
      </c>
      <c r="O541" s="15">
        <f>IF(K541="","(본문 입력 후 자동) | 고전 10:13",IF(LEN(K541)&gt;28,LEFT(K541,28)&amp;"…",K541)&amp;" | 고전 10:13")</f>
        <v/>
      </c>
      <c r="P541" s="15">
        <f>"#"&amp;SUBSTITUTE('안내'!$C$5," ","")&amp;" #성경구절 #말씀 #고린도전서 #보호"</f>
        <v/>
      </c>
      <c r="Q541" s="15" t="inlineStr">
        <is>
          <t>성경 본문: 개역한글판</t>
        </is>
      </c>
      <c r="R541" s="17">
        <f>'안내'!$C$6+INT((D541-1)/'안내'!$C$7)</f>
        <v/>
      </c>
      <c r="S541" s="14">
        <f>IF(MOD(D541-1,'안내'!$C$7)=0,'안내'!$C$9,'안내'!$C$11)</f>
        <v/>
      </c>
      <c r="T541" s="14">
        <f>CHOOSE(WEEKDAY(R541,2),"월","화","수","목","금","토","일")</f>
        <v/>
      </c>
      <c r="U541" s="14" t="inlineStr">
        <is>
          <t>미착수</t>
        </is>
      </c>
      <c r="V541" s="14" t="inlineStr">
        <is>
          <t>미착수</t>
        </is>
      </c>
      <c r="W541" s="18" t="n"/>
      <c r="X541" s="18" t="n"/>
      <c r="Y541" s="15" t="n"/>
      <c r="Z541" s="15" t="inlineStr">
        <is>
          <t>줄바꿈 띄어쓰기 확인</t>
        </is>
      </c>
      <c r="AA541" s="15" t="inlineStr">
        <is>
          <t>No temptation has taken you except what is common to man. God is faithful, who will not allow you to be tempted above what you are able, but will with the temp- tation also make the way of escape, that you may be able to endure it.</t>
        </is>
      </c>
    </row>
    <row r="542">
      <c r="A542" s="14" t="n">
        <v>541</v>
      </c>
      <c r="B542" s="14" t="inlineStr">
        <is>
          <t>W0541</t>
        </is>
      </c>
      <c r="C542" s="14" t="inlineStr">
        <is>
          <t>신약</t>
        </is>
      </c>
      <c r="D542" s="14" t="n">
        <v>177</v>
      </c>
      <c r="E542" s="14">
        <f>C542&amp;"말씀 #"&amp;TEXT(D542,"000")</f>
        <v/>
      </c>
      <c r="F542" s="14" t="inlineStr">
        <is>
          <t>고린도전서</t>
        </is>
      </c>
      <c r="G542" s="14" t="inlineStr">
        <is>
          <t>10:31</t>
        </is>
      </c>
      <c r="H542" s="15" t="inlineStr">
        <is>
          <t>(고전 10:31, 개역한글)</t>
        </is>
      </c>
      <c r="I542" s="14" t="inlineStr">
        <is>
          <t>예배</t>
        </is>
      </c>
      <c r="J542" s="14" t="inlineStr">
        <is>
          <t>하늘·별</t>
        </is>
      </c>
      <c r="K542" s="16" t="inlineStr">
        <is>
          <t>그런즉 너희가 먹든지 마시든지 무엇을 하든지 다 하나님의 영광을 위하여 하라</t>
        </is>
      </c>
      <c r="L542" s="14" t="inlineStr">
        <is>
          <t>자동 입력</t>
        </is>
      </c>
      <c r="M542" s="14">
        <f>LEN(K542)</f>
        <v/>
      </c>
      <c r="N542" s="14">
        <f>IF(M542=0,"-",ROUND(3+M542/'안내'!$C$12,0))</f>
        <v/>
      </c>
      <c r="O542" s="15">
        <f>IF(K542="","(본문 입력 후 자동) | 고전 10:31",IF(LEN(K542)&gt;28,LEFT(K542,28)&amp;"…",K542)&amp;" | 고전 10:31")</f>
        <v/>
      </c>
      <c r="P542" s="15">
        <f>"#"&amp;SUBSTITUTE('안내'!$C$5," ","")&amp;" #성경구절 #말씀 #고린도전서 #예배"</f>
        <v/>
      </c>
      <c r="Q542" s="15" t="inlineStr">
        <is>
          <t>성경 본문: 개역한글판</t>
        </is>
      </c>
      <c r="R542" s="17">
        <f>'안내'!$C$6+INT((D542-1)/'안내'!$C$7)</f>
        <v/>
      </c>
      <c r="S542" s="14">
        <f>IF(MOD(D542-1,'안내'!$C$7)=0,'안내'!$C$9,'안내'!$C$11)</f>
        <v/>
      </c>
      <c r="T542" s="14">
        <f>CHOOSE(WEEKDAY(R542,2),"월","화","수","목","금","토","일")</f>
        <v/>
      </c>
      <c r="U542" s="14" t="inlineStr">
        <is>
          <t>미착수</t>
        </is>
      </c>
      <c r="V542" s="14" t="inlineStr">
        <is>
          <t>미착수</t>
        </is>
      </c>
      <c r="W542" s="18" t="n"/>
      <c r="X542" s="18" t="n"/>
      <c r="Y542" s="15" t="n"/>
      <c r="Z542" s="15" t="inlineStr"/>
      <c r="AA542" s="15" t="inlineStr">
        <is>
          <t>Whether therefore you eat or drink, or whatever you do, do all to the glory of God.</t>
        </is>
      </c>
    </row>
    <row r="543">
      <c r="A543" s="14" t="n">
        <v>542</v>
      </c>
      <c r="B543" s="14" t="inlineStr">
        <is>
          <t>W0542</t>
        </is>
      </c>
      <c r="C543" s="14" t="inlineStr">
        <is>
          <t>신약</t>
        </is>
      </c>
      <c r="D543" s="14" t="n">
        <v>178</v>
      </c>
      <c r="E543" s="14">
        <f>C543&amp;"말씀 #"&amp;TEXT(D543,"000")</f>
        <v/>
      </c>
      <c r="F543" s="14" t="inlineStr">
        <is>
          <t>고린도전서</t>
        </is>
      </c>
      <c r="G543" s="14" t="inlineStr">
        <is>
          <t>12:27</t>
        </is>
      </c>
      <c r="H543" s="15" t="inlineStr">
        <is>
          <t>(고전 12:27, 개역한글)</t>
        </is>
      </c>
      <c r="I543" s="14" t="inlineStr">
        <is>
          <t>교회</t>
        </is>
      </c>
      <c r="J543" s="14" t="inlineStr">
        <is>
          <t>창가·식탁</t>
        </is>
      </c>
      <c r="K543" s="16" t="inlineStr">
        <is>
          <t>너희는 그리스도의 몸이요 지체의 각 부분이라</t>
        </is>
      </c>
      <c r="L543" s="14" t="inlineStr">
        <is>
          <t>자동 입력</t>
        </is>
      </c>
      <c r="M543" s="14">
        <f>LEN(K543)</f>
        <v/>
      </c>
      <c r="N543" s="14">
        <f>IF(M543=0,"-",ROUND(3+M543/'안내'!$C$12,0))</f>
        <v/>
      </c>
      <c r="O543" s="15">
        <f>IF(K543="","(본문 입력 후 자동) | 고전 12:27",IF(LEN(K543)&gt;28,LEFT(K543,28)&amp;"…",K543)&amp;" | 고전 12:27")</f>
        <v/>
      </c>
      <c r="P543" s="15">
        <f>"#"&amp;SUBSTITUTE('안내'!$C$5," ","")&amp;" #성경구절 #말씀 #고린도전서 #교회"</f>
        <v/>
      </c>
      <c r="Q543" s="15" t="inlineStr">
        <is>
          <t>성경 본문: 개역한글판</t>
        </is>
      </c>
      <c r="R543" s="17">
        <f>'안내'!$C$6+INT((D543-1)/'안내'!$C$7)</f>
        <v/>
      </c>
      <c r="S543" s="14">
        <f>IF(MOD(D543-1,'안내'!$C$7)=0,'안내'!$C$9,'안내'!$C$11)</f>
        <v/>
      </c>
      <c r="T543" s="14">
        <f>CHOOSE(WEEKDAY(R543,2),"월","화","수","목","금","토","일")</f>
        <v/>
      </c>
      <c r="U543" s="14" t="inlineStr">
        <is>
          <t>미착수</t>
        </is>
      </c>
      <c r="V543" s="14" t="inlineStr">
        <is>
          <t>미착수</t>
        </is>
      </c>
      <c r="W543" s="18" t="n"/>
      <c r="X543" s="18" t="n"/>
      <c r="Y543" s="15" t="n"/>
      <c r="Z543" s="15" t="inlineStr"/>
      <c r="AA543" s="15" t="inlineStr">
        <is>
          <t>Now you are the body of Christ, and members individually.</t>
        </is>
      </c>
    </row>
    <row r="544">
      <c r="A544" s="14" t="n">
        <v>543</v>
      </c>
      <c r="B544" s="14" t="inlineStr">
        <is>
          <t>W0543</t>
        </is>
      </c>
      <c r="C544" s="14" t="inlineStr">
        <is>
          <t>신약</t>
        </is>
      </c>
      <c r="D544" s="14" t="n">
        <v>179</v>
      </c>
      <c r="E544" s="14">
        <f>C544&amp;"말씀 #"&amp;TEXT(D544,"000")</f>
        <v/>
      </c>
      <c r="F544" s="14" t="inlineStr">
        <is>
          <t>고린도전서</t>
        </is>
      </c>
      <c r="G544" s="14" t="inlineStr">
        <is>
          <t>13:4</t>
        </is>
      </c>
      <c r="H544" s="15" t="inlineStr">
        <is>
          <t>(고전 13:4, 개역한글)</t>
        </is>
      </c>
      <c r="I544" s="14" t="inlineStr">
        <is>
          <t>사랑</t>
        </is>
      </c>
      <c r="J544" s="14" t="inlineStr">
        <is>
          <t>창가·식탁</t>
        </is>
      </c>
      <c r="K544" s="16" t="inlineStr">
        <is>
          <t>사랑은 오래 참고 사랑은 온유하며 투기하는 자가 되지 아니하며 사랑은 자랑하지 아니하며 교만하지 아니하며</t>
        </is>
      </c>
      <c r="L544" s="14" t="inlineStr">
        <is>
          <t>자동 입력</t>
        </is>
      </c>
      <c r="M544" s="14">
        <f>LEN(K544)</f>
        <v/>
      </c>
      <c r="N544" s="14">
        <f>IF(M544=0,"-",ROUND(3+M544/'안내'!$C$12,0))</f>
        <v/>
      </c>
      <c r="O544" s="15">
        <f>IF(K544="","(본문 입력 후 자동) | 고전 13:4",IF(LEN(K544)&gt;28,LEFT(K544,28)&amp;"…",K544)&amp;" | 고전 13:4")</f>
        <v/>
      </c>
      <c r="P544" s="15">
        <f>"#"&amp;SUBSTITUTE('안내'!$C$5," ","")&amp;" #성경구절 #말씀 #고린도전서 #사랑"</f>
        <v/>
      </c>
      <c r="Q544" s="15" t="inlineStr">
        <is>
          <t>성경 본문: 개역한글판</t>
        </is>
      </c>
      <c r="R544" s="17">
        <f>'안내'!$C$6+INT((D544-1)/'안내'!$C$7)</f>
        <v/>
      </c>
      <c r="S544" s="14">
        <f>IF(MOD(D544-1,'안내'!$C$7)=0,'안내'!$C$9,'안내'!$C$11)</f>
        <v/>
      </c>
      <c r="T544" s="14">
        <f>CHOOSE(WEEKDAY(R544,2),"월","화","수","목","금","토","일")</f>
        <v/>
      </c>
      <c r="U544" s="14" t="inlineStr">
        <is>
          <t>미착수</t>
        </is>
      </c>
      <c r="V544" s="14" t="inlineStr">
        <is>
          <t>미착수</t>
        </is>
      </c>
      <c r="W544" s="18" t="n"/>
      <c r="X544" s="18" t="n"/>
      <c r="Y544" s="15" t="n"/>
      <c r="Z544" s="15" t="inlineStr"/>
      <c r="AA544" s="15" t="inlineStr">
        <is>
          <t>Love is patient and is kind. Love doesn’t envy. Love doesn’t brag, is not proud,</t>
        </is>
      </c>
    </row>
    <row r="545">
      <c r="A545" s="14" t="n">
        <v>544</v>
      </c>
      <c r="B545" s="14" t="inlineStr">
        <is>
          <t>W0544</t>
        </is>
      </c>
      <c r="C545" s="14" t="inlineStr">
        <is>
          <t>신약</t>
        </is>
      </c>
      <c r="D545" s="14" t="n">
        <v>180</v>
      </c>
      <c r="E545" s="14">
        <f>C545&amp;"말씀 #"&amp;TEXT(D545,"000")</f>
        <v/>
      </c>
      <c r="F545" s="14" t="inlineStr">
        <is>
          <t>고린도전서</t>
        </is>
      </c>
      <c r="G545" s="14" t="inlineStr">
        <is>
          <t>13:7</t>
        </is>
      </c>
      <c r="H545" s="15" t="inlineStr">
        <is>
          <t>(고전 13:7, 개역한글)</t>
        </is>
      </c>
      <c r="I545" s="14" t="inlineStr">
        <is>
          <t>사랑</t>
        </is>
      </c>
      <c r="J545" s="14" t="inlineStr">
        <is>
          <t>창가·식탁</t>
        </is>
      </c>
      <c r="K545" s="16" t="inlineStr">
        <is>
          <t>모든 것을 참으며 모든 것을 믿으며 모든 것을 바라며 모든 것을 견디느니라</t>
        </is>
      </c>
      <c r="L545" s="14" t="inlineStr">
        <is>
          <t>자동 입력</t>
        </is>
      </c>
      <c r="M545" s="14">
        <f>LEN(K545)</f>
        <v/>
      </c>
      <c r="N545" s="14">
        <f>IF(M545=0,"-",ROUND(3+M545/'안내'!$C$12,0))</f>
        <v/>
      </c>
      <c r="O545" s="15">
        <f>IF(K545="","(본문 입력 후 자동) | 고전 13:7",IF(LEN(K545)&gt;28,LEFT(K545,28)&amp;"…",K545)&amp;" | 고전 13:7")</f>
        <v/>
      </c>
      <c r="P545" s="15">
        <f>"#"&amp;SUBSTITUTE('안내'!$C$5," ","")&amp;" #성경구절 #말씀 #고린도전서 #사랑"</f>
        <v/>
      </c>
      <c r="Q545" s="15" t="inlineStr">
        <is>
          <t>성경 본문: 개역한글판</t>
        </is>
      </c>
      <c r="R545" s="17">
        <f>'안내'!$C$6+INT((D545-1)/'안내'!$C$7)</f>
        <v/>
      </c>
      <c r="S545" s="14">
        <f>IF(MOD(D545-1,'안내'!$C$7)=0,'안내'!$C$9,'안내'!$C$11)</f>
        <v/>
      </c>
      <c r="T545" s="14">
        <f>CHOOSE(WEEKDAY(R545,2),"월","화","수","목","금","토","일")</f>
        <v/>
      </c>
      <c r="U545" s="14" t="inlineStr">
        <is>
          <t>미착수</t>
        </is>
      </c>
      <c r="V545" s="14" t="inlineStr">
        <is>
          <t>미착수</t>
        </is>
      </c>
      <c r="W545" s="18" t="n"/>
      <c r="X545" s="18" t="n"/>
      <c r="Y545" s="15" t="n"/>
      <c r="Z545" s="15" t="inlineStr"/>
      <c r="AA545" s="15" t="inlineStr">
        <is>
          <t>bears all things, believes all things, hopes all things, and endures all things.</t>
        </is>
      </c>
    </row>
    <row r="546">
      <c r="A546" s="14" t="n">
        <v>545</v>
      </c>
      <c r="B546" s="14" t="inlineStr">
        <is>
          <t>W0545</t>
        </is>
      </c>
      <c r="C546" s="14" t="inlineStr">
        <is>
          <t>신약</t>
        </is>
      </c>
      <c r="D546" s="14" t="n">
        <v>181</v>
      </c>
      <c r="E546" s="14">
        <f>C546&amp;"말씀 #"&amp;TEXT(D546,"000")</f>
        <v/>
      </c>
      <c r="F546" s="14" t="inlineStr">
        <is>
          <t>고린도전서</t>
        </is>
      </c>
      <c r="G546" s="14" t="inlineStr">
        <is>
          <t>13:13</t>
        </is>
      </c>
      <c r="H546" s="15" t="inlineStr">
        <is>
          <t>(고전 13:13, 개역한글)</t>
        </is>
      </c>
      <c r="I546" s="14" t="inlineStr">
        <is>
          <t>사랑</t>
        </is>
      </c>
      <c r="J546" s="14" t="inlineStr">
        <is>
          <t>창가·식탁</t>
        </is>
      </c>
      <c r="K546" s="16" t="inlineStr">
        <is>
          <t>그런즉 믿음, 소망, 사랑 이 세 가지는 항상 있을 것인데 그 중에 제일은 사랑이라</t>
        </is>
      </c>
      <c r="L546" s="14" t="inlineStr">
        <is>
          <t>자동 입력</t>
        </is>
      </c>
      <c r="M546" s="14">
        <f>LEN(K546)</f>
        <v/>
      </c>
      <c r="N546" s="14">
        <f>IF(M546=0,"-",ROUND(3+M546/'안내'!$C$12,0))</f>
        <v/>
      </c>
      <c r="O546" s="15">
        <f>IF(K546="","(본문 입력 후 자동) | 고전 13:13",IF(LEN(K546)&gt;28,LEFT(K546,28)&amp;"…",K546)&amp;" | 고전 13:13")</f>
        <v/>
      </c>
      <c r="P546" s="15">
        <f>"#"&amp;SUBSTITUTE('안내'!$C$5," ","")&amp;" #성경구절 #말씀 #고린도전서 #사랑"</f>
        <v/>
      </c>
      <c r="Q546" s="15" t="inlineStr">
        <is>
          <t>성경 본문: 개역한글판</t>
        </is>
      </c>
      <c r="R546" s="17">
        <f>'안내'!$C$6+INT((D546-1)/'안내'!$C$7)</f>
        <v/>
      </c>
      <c r="S546" s="14">
        <f>IF(MOD(D546-1,'안내'!$C$7)=0,'안내'!$C$9,'안내'!$C$11)</f>
        <v/>
      </c>
      <c r="T546" s="14">
        <f>CHOOSE(WEEKDAY(R546,2),"월","화","수","목","금","토","일")</f>
        <v/>
      </c>
      <c r="U546" s="14" t="inlineStr">
        <is>
          <t>미착수</t>
        </is>
      </c>
      <c r="V546" s="14" t="inlineStr">
        <is>
          <t>미착수</t>
        </is>
      </c>
      <c r="W546" s="18" t="n"/>
      <c r="X546" s="18" t="n"/>
      <c r="Y546" s="15" t="n"/>
      <c r="Z546" s="15" t="inlineStr"/>
      <c r="AA546" s="15" t="inlineStr">
        <is>
          <t>But now faith, hope, and love remain—these three. The greatest of these is love.</t>
        </is>
      </c>
    </row>
    <row r="547">
      <c r="A547" s="14" t="n">
        <v>546</v>
      </c>
      <c r="B547" s="14" t="inlineStr">
        <is>
          <t>W0546</t>
        </is>
      </c>
      <c r="C547" s="14" t="inlineStr">
        <is>
          <t>신약</t>
        </is>
      </c>
      <c r="D547" s="14" t="n">
        <v>182</v>
      </c>
      <c r="E547" s="14">
        <f>C547&amp;"말씀 #"&amp;TEXT(D547,"000")</f>
        <v/>
      </c>
      <c r="F547" s="14" t="inlineStr">
        <is>
          <t>고린도전서</t>
        </is>
      </c>
      <c r="G547" s="14" t="inlineStr">
        <is>
          <t>15:10</t>
        </is>
      </c>
      <c r="H547" s="15" t="inlineStr">
        <is>
          <t>(고전 15:10, 개역한글)</t>
        </is>
      </c>
      <c r="I547" s="14" t="inlineStr">
        <is>
          <t>은혜</t>
        </is>
      </c>
      <c r="J547" s="14" t="inlineStr">
        <is>
          <t>잔잔한 물</t>
        </is>
      </c>
      <c r="K547" s="16" t="inlineStr">
        <is>
          <t>그러나 나의 나 된 것은 하나님의 은혜로 된 것이니 내게 주신 그의 은혜가 헛되지 아니하여 내가 모든 사도보다 더 많이 수고하였으나 내가 아니요 오직 나와 함께 하신 하나님의 은혜로라</t>
        </is>
      </c>
      <c r="L547" s="14" t="inlineStr">
        <is>
          <t>자동 입력 · 대조 필요</t>
        </is>
      </c>
      <c r="M547" s="14">
        <f>LEN(K547)</f>
        <v/>
      </c>
      <c r="N547" s="14">
        <f>IF(M547=0,"-",ROUND(3+M547/'안내'!$C$12,0))</f>
        <v/>
      </c>
      <c r="O547" s="15">
        <f>IF(K547="","(본문 입력 후 자동) | 고전 15:10",IF(LEN(K547)&gt;28,LEFT(K547,28)&amp;"…",K547)&amp;" | 고전 15:10")</f>
        <v/>
      </c>
      <c r="P547" s="15">
        <f>"#"&amp;SUBSTITUTE('안내'!$C$5," ","")&amp;" #성경구절 #말씀 #고린도전서 #은혜"</f>
        <v/>
      </c>
      <c r="Q547" s="15" t="inlineStr">
        <is>
          <t>성경 본문: 개역한글판</t>
        </is>
      </c>
      <c r="R547" s="17">
        <f>'안내'!$C$6+INT((D547-1)/'안내'!$C$7)</f>
        <v/>
      </c>
      <c r="S547" s="14">
        <f>IF(MOD(D547-1,'안내'!$C$7)=0,'안내'!$C$9,'안내'!$C$11)</f>
        <v/>
      </c>
      <c r="T547" s="14">
        <f>CHOOSE(WEEKDAY(R547,2),"월","화","수","목","금","토","일")</f>
        <v/>
      </c>
      <c r="U547" s="14" t="inlineStr">
        <is>
          <t>미착수</t>
        </is>
      </c>
      <c r="V547" s="14" t="inlineStr">
        <is>
          <t>미착수</t>
        </is>
      </c>
      <c r="W547" s="18" t="n"/>
      <c r="X547" s="18" t="n"/>
      <c r="Y547" s="15" t="n"/>
      <c r="Z547" s="15" t="inlineStr">
        <is>
          <t>줄바꿈 띄어쓰기 확인</t>
        </is>
      </c>
      <c r="AA547" s="15" t="inlineStr">
        <is>
          <t>But by the grace of God I am what I am. His grace which was given to me was not futile, but I worked more than all of them; yet not I, but the grace of God which was with me.</t>
        </is>
      </c>
    </row>
    <row r="548">
      <c r="A548" s="14" t="n">
        <v>547</v>
      </c>
      <c r="B548" s="14" t="inlineStr">
        <is>
          <t>W0547</t>
        </is>
      </c>
      <c r="C548" s="14" t="inlineStr">
        <is>
          <t>신약</t>
        </is>
      </c>
      <c r="D548" s="14" t="n">
        <v>183</v>
      </c>
      <c r="E548" s="14">
        <f>C548&amp;"말씀 #"&amp;TEXT(D548,"000")</f>
        <v/>
      </c>
      <c r="F548" s="14" t="inlineStr">
        <is>
          <t>고린도전서</t>
        </is>
      </c>
      <c r="G548" s="14" t="inlineStr">
        <is>
          <t>15:55</t>
        </is>
      </c>
      <c r="H548" s="15" t="inlineStr">
        <is>
          <t>(고전 15:55, 개역한글)</t>
        </is>
      </c>
      <c r="I548" s="14" t="inlineStr">
        <is>
          <t>부활</t>
        </is>
      </c>
      <c r="J548" s="14" t="inlineStr">
        <is>
          <t>새벽빛</t>
        </is>
      </c>
      <c r="K548" s="16" t="inlineStr">
        <is>
          <t>사망아 너의 이기는 것이 어디 있느냐 사망아 너의 쏘는 것이 어디 있느냐</t>
        </is>
      </c>
      <c r="L548" s="14" t="inlineStr">
        <is>
          <t>자동 입력</t>
        </is>
      </c>
      <c r="M548" s="14">
        <f>LEN(K548)</f>
        <v/>
      </c>
      <c r="N548" s="14">
        <f>IF(M548=0,"-",ROUND(3+M548/'안내'!$C$12,0))</f>
        <v/>
      </c>
      <c r="O548" s="15">
        <f>IF(K548="","(본문 입력 후 자동) | 고전 15:55",IF(LEN(K548)&gt;28,LEFT(K548,28)&amp;"…",K548)&amp;" | 고전 15:55")</f>
        <v/>
      </c>
      <c r="P548" s="15">
        <f>"#"&amp;SUBSTITUTE('안내'!$C$5," ","")&amp;" #성경구절 #말씀 #고린도전서 #부활"</f>
        <v/>
      </c>
      <c r="Q548" s="15" t="inlineStr">
        <is>
          <t>성경 본문: 개역한글판</t>
        </is>
      </c>
      <c r="R548" s="17">
        <f>'안내'!$C$6+INT((D548-1)/'안내'!$C$7)</f>
        <v/>
      </c>
      <c r="S548" s="14">
        <f>IF(MOD(D548-1,'안내'!$C$7)=0,'안내'!$C$9,'안내'!$C$11)</f>
        <v/>
      </c>
      <c r="T548" s="14">
        <f>CHOOSE(WEEKDAY(R548,2),"월","화","수","목","금","토","일")</f>
        <v/>
      </c>
      <c r="U548" s="14" t="inlineStr">
        <is>
          <t>미착수</t>
        </is>
      </c>
      <c r="V548" s="14" t="inlineStr">
        <is>
          <t>미착수</t>
        </is>
      </c>
      <c r="W548" s="18" t="n"/>
      <c r="X548" s="18" t="n"/>
      <c r="Y548" s="15" t="n"/>
      <c r="Z548" s="15" t="inlineStr"/>
      <c r="AA548" s="15" t="inlineStr">
        <is>
          <t>“Death, where is your sting? Hades,§ where is your victory?” ✡</t>
        </is>
      </c>
    </row>
    <row r="549">
      <c r="A549" s="14" t="n">
        <v>548</v>
      </c>
      <c r="B549" s="14" t="inlineStr">
        <is>
          <t>W0548</t>
        </is>
      </c>
      <c r="C549" s="14" t="inlineStr">
        <is>
          <t>신약</t>
        </is>
      </c>
      <c r="D549" s="14" t="n">
        <v>184</v>
      </c>
      <c r="E549" s="14">
        <f>C549&amp;"말씀 #"&amp;TEXT(D549,"000")</f>
        <v/>
      </c>
      <c r="F549" s="14" t="inlineStr">
        <is>
          <t>고린도전서</t>
        </is>
      </c>
      <c r="G549" s="14" t="inlineStr">
        <is>
          <t>15:57</t>
        </is>
      </c>
      <c r="H549" s="15" t="inlineStr">
        <is>
          <t>(고전 15:57, 개역한글)</t>
        </is>
      </c>
      <c r="I549" s="14" t="inlineStr">
        <is>
          <t>승리</t>
        </is>
      </c>
      <c r="J549" s="14" t="inlineStr">
        <is>
          <t>바위산·광야</t>
        </is>
      </c>
      <c r="K549" s="16" t="inlineStr">
        <is>
          <t>우리 주 예수 그리스도로 말미암아 우리에게 이김을 주시는 하나님께 감사하노니</t>
        </is>
      </c>
      <c r="L549" s="14" t="inlineStr">
        <is>
          <t>자동 입력</t>
        </is>
      </c>
      <c r="M549" s="14">
        <f>LEN(K549)</f>
        <v/>
      </c>
      <c r="N549" s="14">
        <f>IF(M549=0,"-",ROUND(3+M549/'안내'!$C$12,0))</f>
        <v/>
      </c>
      <c r="O549" s="15">
        <f>IF(K549="","(본문 입력 후 자동) | 고전 15:57",IF(LEN(K549)&gt;28,LEFT(K549,28)&amp;"…",K549)&amp;" | 고전 15:57")</f>
        <v/>
      </c>
      <c r="P549" s="15">
        <f>"#"&amp;SUBSTITUTE('안내'!$C$5," ","")&amp;" #성경구절 #말씀 #고린도전서 #승리"</f>
        <v/>
      </c>
      <c r="Q549" s="15" t="inlineStr">
        <is>
          <t>성경 본문: 개역한글판</t>
        </is>
      </c>
      <c r="R549" s="17">
        <f>'안내'!$C$6+INT((D549-1)/'안내'!$C$7)</f>
        <v/>
      </c>
      <c r="S549" s="14">
        <f>IF(MOD(D549-1,'안내'!$C$7)=0,'안내'!$C$9,'안내'!$C$11)</f>
        <v/>
      </c>
      <c r="T549" s="14">
        <f>CHOOSE(WEEKDAY(R549,2),"월","화","수","목","금","토","일")</f>
        <v/>
      </c>
      <c r="U549" s="14" t="inlineStr">
        <is>
          <t>미착수</t>
        </is>
      </c>
      <c r="V549" s="14" t="inlineStr">
        <is>
          <t>미착수</t>
        </is>
      </c>
      <c r="W549" s="18" t="n"/>
      <c r="X549" s="18" t="n"/>
      <c r="Y549" s="15" t="n"/>
      <c r="Z549" s="15" t="inlineStr"/>
      <c r="AA549" s="15" t="inlineStr">
        <is>
          <t>But thanks be to God, who gives us the victory through our Lord Jesus Christ.</t>
        </is>
      </c>
    </row>
    <row r="550">
      <c r="A550" s="14" t="n">
        <v>549</v>
      </c>
      <c r="B550" s="14" t="inlineStr">
        <is>
          <t>W0549</t>
        </is>
      </c>
      <c r="C550" s="14" t="inlineStr">
        <is>
          <t>신약</t>
        </is>
      </c>
      <c r="D550" s="14" t="n">
        <v>185</v>
      </c>
      <c r="E550" s="14">
        <f>C550&amp;"말씀 #"&amp;TEXT(D550,"000")</f>
        <v/>
      </c>
      <c r="F550" s="14" t="inlineStr">
        <is>
          <t>고린도전서</t>
        </is>
      </c>
      <c r="G550" s="14" t="inlineStr">
        <is>
          <t>15:58</t>
        </is>
      </c>
      <c r="H550" s="15" t="inlineStr">
        <is>
          <t>(고전 15:58, 개역한글)</t>
        </is>
      </c>
      <c r="I550" s="14" t="inlineStr">
        <is>
          <t>헌신</t>
        </is>
      </c>
      <c r="J550" s="14" t="inlineStr">
        <is>
          <t>길·등불</t>
        </is>
      </c>
      <c r="K550" s="16" t="inlineStr">
        <is>
          <t>그러므로 내 사랑하는 형제들아 견고하며 흔들리지 말며 항상 주의 일에 더욱 힘쓰는 자들이 되라 이는 너희 수고가 주 안에서 헛되지 않은 줄을 앎이니라</t>
        </is>
      </c>
      <c r="L550" s="14" t="inlineStr">
        <is>
          <t>자동 입력</t>
        </is>
      </c>
      <c r="M550" s="14">
        <f>LEN(K550)</f>
        <v/>
      </c>
      <c r="N550" s="14">
        <f>IF(M550=0,"-",ROUND(3+M550/'안내'!$C$12,0))</f>
        <v/>
      </c>
      <c r="O550" s="15">
        <f>IF(K550="","(본문 입력 후 자동) | 고전 15:58",IF(LEN(K550)&gt;28,LEFT(K550,28)&amp;"…",K550)&amp;" | 고전 15:58")</f>
        <v/>
      </c>
      <c r="P550" s="15">
        <f>"#"&amp;SUBSTITUTE('안내'!$C$5," ","")&amp;" #성경구절 #말씀 #고린도전서 #헌신"</f>
        <v/>
      </c>
      <c r="Q550" s="15" t="inlineStr">
        <is>
          <t>성경 본문: 개역한글판</t>
        </is>
      </c>
      <c r="R550" s="17">
        <f>'안내'!$C$6+INT((D550-1)/'안내'!$C$7)</f>
        <v/>
      </c>
      <c r="S550" s="14">
        <f>IF(MOD(D550-1,'안내'!$C$7)=0,'안내'!$C$9,'안내'!$C$11)</f>
        <v/>
      </c>
      <c r="T550" s="14">
        <f>CHOOSE(WEEKDAY(R550,2),"월","화","수","목","금","토","일")</f>
        <v/>
      </c>
      <c r="U550" s="14" t="inlineStr">
        <is>
          <t>미착수</t>
        </is>
      </c>
      <c r="V550" s="14" t="inlineStr">
        <is>
          <t>미착수</t>
        </is>
      </c>
      <c r="W550" s="18" t="n"/>
      <c r="X550" s="18" t="n"/>
      <c r="Y550" s="15" t="n"/>
      <c r="Z550" s="15" t="inlineStr"/>
      <c r="AA550" s="15" t="inlineStr">
        <is>
          <t>Therefore, my beloved brothers, be steadfast, immovable, always abounding in the Lord’s work, because you know that your labor is not in vain in the Lord.</t>
        </is>
      </c>
    </row>
    <row r="551">
      <c r="A551" s="14" t="n">
        <v>550</v>
      </c>
      <c r="B551" s="14" t="inlineStr">
        <is>
          <t>W0550</t>
        </is>
      </c>
      <c r="C551" s="14" t="inlineStr">
        <is>
          <t>신약</t>
        </is>
      </c>
      <c r="D551" s="14" t="n">
        <v>186</v>
      </c>
      <c r="E551" s="14">
        <f>C551&amp;"말씀 #"&amp;TEXT(D551,"000")</f>
        <v/>
      </c>
      <c r="F551" s="14" t="inlineStr">
        <is>
          <t>고린도전서</t>
        </is>
      </c>
      <c r="G551" s="14" t="inlineStr">
        <is>
          <t>16:13</t>
        </is>
      </c>
      <c r="H551" s="15" t="inlineStr">
        <is>
          <t>(고전 16:13, 개역한글)</t>
        </is>
      </c>
      <c r="I551" s="14" t="inlineStr">
        <is>
          <t>담대함</t>
        </is>
      </c>
      <c r="J551" s="14" t="inlineStr">
        <is>
          <t>바위산·광야</t>
        </is>
      </c>
      <c r="K551" s="16" t="inlineStr">
        <is>
          <t>깨어 믿음에 굳게 서서 남자답게 강건하여라</t>
        </is>
      </c>
      <c r="L551" s="14" t="inlineStr">
        <is>
          <t>자동 입력</t>
        </is>
      </c>
      <c r="M551" s="14">
        <f>LEN(K551)</f>
        <v/>
      </c>
      <c r="N551" s="14">
        <f>IF(M551=0,"-",ROUND(3+M551/'안내'!$C$12,0))</f>
        <v/>
      </c>
      <c r="O551" s="15">
        <f>IF(K551="","(본문 입력 후 자동) | 고전 16:13",IF(LEN(K551)&gt;28,LEFT(K551,28)&amp;"…",K551)&amp;" | 고전 16:13")</f>
        <v/>
      </c>
      <c r="P551" s="15">
        <f>"#"&amp;SUBSTITUTE('안내'!$C$5," ","")&amp;" #성경구절 #말씀 #고린도전서 #담대함"</f>
        <v/>
      </c>
      <c r="Q551" s="15" t="inlineStr">
        <is>
          <t>성경 본문: 개역한글판</t>
        </is>
      </c>
      <c r="R551" s="17">
        <f>'안내'!$C$6+INT((D551-1)/'안내'!$C$7)</f>
        <v/>
      </c>
      <c r="S551" s="14">
        <f>IF(MOD(D551-1,'안내'!$C$7)=0,'안내'!$C$9,'안내'!$C$11)</f>
        <v/>
      </c>
      <c r="T551" s="14">
        <f>CHOOSE(WEEKDAY(R551,2),"월","화","수","목","금","토","일")</f>
        <v/>
      </c>
      <c r="U551" s="14" t="inlineStr">
        <is>
          <t>미착수</t>
        </is>
      </c>
      <c r="V551" s="14" t="inlineStr">
        <is>
          <t>미착수</t>
        </is>
      </c>
      <c r="W551" s="18" t="n"/>
      <c r="X551" s="18" t="n"/>
      <c r="Y551" s="15" t="n"/>
      <c r="Z551" s="15" t="inlineStr"/>
      <c r="AA551" s="15" t="inlineStr">
        <is>
          <t>Watch! Stand firm in the faith! Be courageous! Be strong!</t>
        </is>
      </c>
    </row>
    <row r="552">
      <c r="A552" s="14" t="n">
        <v>551</v>
      </c>
      <c r="B552" s="14" t="inlineStr">
        <is>
          <t>W0551</t>
        </is>
      </c>
      <c r="C552" s="14" t="inlineStr">
        <is>
          <t>신약</t>
        </is>
      </c>
      <c r="D552" s="14" t="n">
        <v>187</v>
      </c>
      <c r="E552" s="14">
        <f>C552&amp;"말씀 #"&amp;TEXT(D552,"000")</f>
        <v/>
      </c>
      <c r="F552" s="14" t="inlineStr">
        <is>
          <t>고린도전서</t>
        </is>
      </c>
      <c r="G552" s="14" t="inlineStr">
        <is>
          <t>16:14</t>
        </is>
      </c>
      <c r="H552" s="15" t="inlineStr">
        <is>
          <t>(고전 16:14, 개역한글)</t>
        </is>
      </c>
      <c r="I552" s="14" t="inlineStr">
        <is>
          <t>사랑</t>
        </is>
      </c>
      <c r="J552" s="14" t="inlineStr">
        <is>
          <t>창가·식탁</t>
        </is>
      </c>
      <c r="K552" s="16" t="inlineStr">
        <is>
          <t>너희 모든 일을 사랑으로 행하라</t>
        </is>
      </c>
      <c r="L552" s="14" t="inlineStr">
        <is>
          <t>자동 입력</t>
        </is>
      </c>
      <c r="M552" s="14">
        <f>LEN(K552)</f>
        <v/>
      </c>
      <c r="N552" s="14">
        <f>IF(M552=0,"-",ROUND(3+M552/'안내'!$C$12,0))</f>
        <v/>
      </c>
      <c r="O552" s="15">
        <f>IF(K552="","(본문 입력 후 자동) | 고전 16:14",IF(LEN(K552)&gt;28,LEFT(K552,28)&amp;"…",K552)&amp;" | 고전 16:14")</f>
        <v/>
      </c>
      <c r="P552" s="15">
        <f>"#"&amp;SUBSTITUTE('안내'!$C$5," ","")&amp;" #성경구절 #말씀 #고린도전서 #사랑"</f>
        <v/>
      </c>
      <c r="Q552" s="15" t="inlineStr">
        <is>
          <t>성경 본문: 개역한글판</t>
        </is>
      </c>
      <c r="R552" s="17">
        <f>'안내'!$C$6+INT((D552-1)/'안내'!$C$7)</f>
        <v/>
      </c>
      <c r="S552" s="14">
        <f>IF(MOD(D552-1,'안내'!$C$7)=0,'안내'!$C$9,'안내'!$C$11)</f>
        <v/>
      </c>
      <c r="T552" s="14">
        <f>CHOOSE(WEEKDAY(R552,2),"월","화","수","목","금","토","일")</f>
        <v/>
      </c>
      <c r="U552" s="14" t="inlineStr">
        <is>
          <t>미착수</t>
        </is>
      </c>
      <c r="V552" s="14" t="inlineStr">
        <is>
          <t>미착수</t>
        </is>
      </c>
      <c r="W552" s="18" t="n"/>
      <c r="X552" s="18" t="n"/>
      <c r="Y552" s="15" t="n"/>
      <c r="Z552" s="15" t="inlineStr"/>
      <c r="AA552" s="15" t="inlineStr">
        <is>
          <t>Let all that you do be done in love.</t>
        </is>
      </c>
    </row>
    <row r="553">
      <c r="A553" s="14" t="n">
        <v>552</v>
      </c>
      <c r="B553" s="14" t="inlineStr">
        <is>
          <t>W0552</t>
        </is>
      </c>
      <c r="C553" s="14" t="inlineStr">
        <is>
          <t>신약</t>
        </is>
      </c>
      <c r="D553" s="14" t="n">
        <v>188</v>
      </c>
      <c r="E553" s="14">
        <f>C553&amp;"말씀 #"&amp;TEXT(D553,"000")</f>
        <v/>
      </c>
      <c r="F553" s="14" t="inlineStr">
        <is>
          <t>고린도후서</t>
        </is>
      </c>
      <c r="G553" s="14" t="inlineStr">
        <is>
          <t>1:3</t>
        </is>
      </c>
      <c r="H553" s="15" t="inlineStr">
        <is>
          <t>(고후 1:3, 개역한글)</t>
        </is>
      </c>
      <c r="I553" s="14" t="inlineStr">
        <is>
          <t>위로</t>
        </is>
      </c>
      <c r="J553" s="14" t="inlineStr">
        <is>
          <t>잔잔한 물</t>
        </is>
      </c>
      <c r="K553" s="16" t="inlineStr">
        <is>
          <t>찬송하리로다 그는 우리 주 예수 그리스도의 하나님이시요 자비의 아버지시요 모든 위로의 하나님이시며</t>
        </is>
      </c>
      <c r="L553" s="14" t="inlineStr">
        <is>
          <t>자동 입력</t>
        </is>
      </c>
      <c r="M553" s="14">
        <f>LEN(K553)</f>
        <v/>
      </c>
      <c r="N553" s="14">
        <f>IF(M553=0,"-",ROUND(3+M553/'안내'!$C$12,0))</f>
        <v/>
      </c>
      <c r="O553" s="15">
        <f>IF(K553="","(본문 입력 후 자동) | 고후 1:3",IF(LEN(K553)&gt;28,LEFT(K553,28)&amp;"…",K553)&amp;" | 고후 1:3")</f>
        <v/>
      </c>
      <c r="P553" s="15">
        <f>"#"&amp;SUBSTITUTE('안내'!$C$5," ","")&amp;" #성경구절 #말씀 #고린도후서 #위로"</f>
        <v/>
      </c>
      <c r="Q553" s="15" t="inlineStr">
        <is>
          <t>성경 본문: 개역한글판</t>
        </is>
      </c>
      <c r="R553" s="17">
        <f>'안내'!$C$6+INT((D553-1)/'안내'!$C$7)</f>
        <v/>
      </c>
      <c r="S553" s="14">
        <f>IF(MOD(D553-1,'안내'!$C$7)=0,'안내'!$C$9,'안내'!$C$11)</f>
        <v/>
      </c>
      <c r="T553" s="14">
        <f>CHOOSE(WEEKDAY(R553,2),"월","화","수","목","금","토","일")</f>
        <v/>
      </c>
      <c r="U553" s="14" t="inlineStr">
        <is>
          <t>미착수</t>
        </is>
      </c>
      <c r="V553" s="14" t="inlineStr">
        <is>
          <t>미착수</t>
        </is>
      </c>
      <c r="W553" s="18" t="n"/>
      <c r="X553" s="18" t="n"/>
      <c r="Y553" s="15" t="n"/>
      <c r="Z553" s="15" t="inlineStr"/>
      <c r="AA553" s="15" t="inlineStr">
        <is>
          <t>Blessed be the God and Father of our Lord Jesus Christ, the Father of mercies and God of all comfort,</t>
        </is>
      </c>
    </row>
    <row r="554">
      <c r="A554" s="14" t="n">
        <v>553</v>
      </c>
      <c r="B554" s="14" t="inlineStr">
        <is>
          <t>W0553</t>
        </is>
      </c>
      <c r="C554" s="14" t="inlineStr">
        <is>
          <t>신약</t>
        </is>
      </c>
      <c r="D554" s="14" t="n">
        <v>189</v>
      </c>
      <c r="E554" s="14">
        <f>C554&amp;"말씀 #"&amp;TEXT(D554,"000")</f>
        <v/>
      </c>
      <c r="F554" s="14" t="inlineStr">
        <is>
          <t>고린도후서</t>
        </is>
      </c>
      <c r="G554" s="14" t="inlineStr">
        <is>
          <t>1:4</t>
        </is>
      </c>
      <c r="H554" s="15" t="inlineStr">
        <is>
          <t>(고후 1:4, 개역한글)</t>
        </is>
      </c>
      <c r="I554" s="14" t="inlineStr">
        <is>
          <t>위로</t>
        </is>
      </c>
      <c r="J554" s="14" t="inlineStr">
        <is>
          <t>잔잔한 물</t>
        </is>
      </c>
      <c r="K554" s="16" t="inlineStr">
        <is>
          <t>우리의 모든 환난 중에서 우리를 위로하사 우리로 하여금 하나님께 받는 위로로써 모든 환난 중에 있는 자들을 능히 위로하게 하시는 이시로다</t>
        </is>
      </c>
      <c r="L554" s="14" t="inlineStr">
        <is>
          <t>자동 입력</t>
        </is>
      </c>
      <c r="M554" s="14">
        <f>LEN(K554)</f>
        <v/>
      </c>
      <c r="N554" s="14">
        <f>IF(M554=0,"-",ROUND(3+M554/'안내'!$C$12,0))</f>
        <v/>
      </c>
      <c r="O554" s="15">
        <f>IF(K554="","(본문 입력 후 자동) | 고후 1:4",IF(LEN(K554)&gt;28,LEFT(K554,28)&amp;"…",K554)&amp;" | 고후 1:4")</f>
        <v/>
      </c>
      <c r="P554" s="15">
        <f>"#"&amp;SUBSTITUTE('안내'!$C$5," ","")&amp;" #성경구절 #말씀 #고린도후서 #위로"</f>
        <v/>
      </c>
      <c r="Q554" s="15" t="inlineStr">
        <is>
          <t>성경 본문: 개역한글판</t>
        </is>
      </c>
      <c r="R554" s="17">
        <f>'안내'!$C$6+INT((D554-1)/'안내'!$C$7)</f>
        <v/>
      </c>
      <c r="S554" s="14">
        <f>IF(MOD(D554-1,'안내'!$C$7)=0,'안내'!$C$9,'안내'!$C$11)</f>
        <v/>
      </c>
      <c r="T554" s="14">
        <f>CHOOSE(WEEKDAY(R554,2),"월","화","수","목","금","토","일")</f>
        <v/>
      </c>
      <c r="U554" s="14" t="inlineStr">
        <is>
          <t>미착수</t>
        </is>
      </c>
      <c r="V554" s="14" t="inlineStr">
        <is>
          <t>미착수</t>
        </is>
      </c>
      <c r="W554" s="18" t="n"/>
      <c r="X554" s="18" t="n"/>
      <c r="Y554" s="15" t="n"/>
      <c r="Z554" s="15" t="inlineStr"/>
      <c r="AA554" s="15" t="inlineStr">
        <is>
          <t>who comforts us in all our affliction, that we may be able to comfort those who are in any affliction, through the comfort with which we our- selves are comforted by God.</t>
        </is>
      </c>
    </row>
    <row r="555">
      <c r="A555" s="14" t="n">
        <v>554</v>
      </c>
      <c r="B555" s="14" t="inlineStr">
        <is>
          <t>W0554</t>
        </is>
      </c>
      <c r="C555" s="14" t="inlineStr">
        <is>
          <t>신약</t>
        </is>
      </c>
      <c r="D555" s="14" t="n">
        <v>190</v>
      </c>
      <c r="E555" s="14">
        <f>C555&amp;"말씀 #"&amp;TEXT(D555,"000")</f>
        <v/>
      </c>
      <c r="F555" s="14" t="inlineStr">
        <is>
          <t>고린도후서</t>
        </is>
      </c>
      <c r="G555" s="14" t="inlineStr">
        <is>
          <t>3:17</t>
        </is>
      </c>
      <c r="H555" s="15" t="inlineStr">
        <is>
          <t>(고후 3:17, 개역한글)</t>
        </is>
      </c>
      <c r="I555" s="14" t="inlineStr">
        <is>
          <t>자유</t>
        </is>
      </c>
      <c r="J555" s="14" t="inlineStr">
        <is>
          <t>제단·십자가</t>
        </is>
      </c>
      <c r="K555" s="16" t="inlineStr">
        <is>
          <t>주는 영이시니 주의 영이 계신 곳에는 자유함이 있느니라</t>
        </is>
      </c>
      <c r="L555" s="14" t="inlineStr">
        <is>
          <t>자동 입력</t>
        </is>
      </c>
      <c r="M555" s="14">
        <f>LEN(K555)</f>
        <v/>
      </c>
      <c r="N555" s="14">
        <f>IF(M555=0,"-",ROUND(3+M555/'안내'!$C$12,0))</f>
        <v/>
      </c>
      <c r="O555" s="15">
        <f>IF(K555="","(본문 입력 후 자동) | 고후 3:17",IF(LEN(K555)&gt;28,LEFT(K555,28)&amp;"…",K555)&amp;" | 고후 3:17")</f>
        <v/>
      </c>
      <c r="P555" s="15">
        <f>"#"&amp;SUBSTITUTE('안내'!$C$5," ","")&amp;" #성경구절 #말씀 #고린도후서 #자유"</f>
        <v/>
      </c>
      <c r="Q555" s="15" t="inlineStr">
        <is>
          <t>성경 본문: 개역한글판</t>
        </is>
      </c>
      <c r="R555" s="17">
        <f>'안내'!$C$6+INT((D555-1)/'안내'!$C$7)</f>
        <v/>
      </c>
      <c r="S555" s="14">
        <f>IF(MOD(D555-1,'안내'!$C$7)=0,'안내'!$C$9,'안내'!$C$11)</f>
        <v/>
      </c>
      <c r="T555" s="14">
        <f>CHOOSE(WEEKDAY(R555,2),"월","화","수","목","금","토","일")</f>
        <v/>
      </c>
      <c r="U555" s="14" t="inlineStr">
        <is>
          <t>미착수</t>
        </is>
      </c>
      <c r="V555" s="14" t="inlineStr">
        <is>
          <t>미착수</t>
        </is>
      </c>
      <c r="W555" s="18" t="n"/>
      <c r="X555" s="18" t="n"/>
      <c r="Y555" s="15" t="n"/>
      <c r="Z555" s="15" t="inlineStr"/>
      <c r="AA555" s="15" t="inlineStr">
        <is>
          <t>Now the Lord is the Spirit; and where the Spirit of the Lord is, there is liberty.</t>
        </is>
      </c>
    </row>
    <row r="556">
      <c r="A556" s="14" t="n">
        <v>555</v>
      </c>
      <c r="B556" s="14" t="inlineStr">
        <is>
          <t>W0555</t>
        </is>
      </c>
      <c r="C556" s="14" t="inlineStr">
        <is>
          <t>신약</t>
        </is>
      </c>
      <c r="D556" s="14" t="n">
        <v>191</v>
      </c>
      <c r="E556" s="14">
        <f>C556&amp;"말씀 #"&amp;TEXT(D556,"000")</f>
        <v/>
      </c>
      <c r="F556" s="14" t="inlineStr">
        <is>
          <t>고린도후서</t>
        </is>
      </c>
      <c r="G556" s="14" t="inlineStr">
        <is>
          <t>4:7</t>
        </is>
      </c>
      <c r="H556" s="15" t="inlineStr">
        <is>
          <t>(고후 4:7, 개역한글)</t>
        </is>
      </c>
      <c r="I556" s="14" t="inlineStr">
        <is>
          <t>능력</t>
        </is>
      </c>
      <c r="J556" s="14" t="inlineStr">
        <is>
          <t>바위산·광야</t>
        </is>
      </c>
      <c r="K556" s="16" t="inlineStr">
        <is>
          <t>우리가 이 보배를 질그릇에 가졌으니 이는 능력의 심히 큰 것이 하나님께 있고 우리에게 있지 아니함을 알게 하려 함이라</t>
        </is>
      </c>
      <c r="L556" s="14" t="inlineStr">
        <is>
          <t>자동 입력</t>
        </is>
      </c>
      <c r="M556" s="14">
        <f>LEN(K556)</f>
        <v/>
      </c>
      <c r="N556" s="14">
        <f>IF(M556=0,"-",ROUND(3+M556/'안내'!$C$12,0))</f>
        <v/>
      </c>
      <c r="O556" s="15">
        <f>IF(K556="","(본문 입력 후 자동) | 고후 4:7",IF(LEN(K556)&gt;28,LEFT(K556,28)&amp;"…",K556)&amp;" | 고후 4:7")</f>
        <v/>
      </c>
      <c r="P556" s="15">
        <f>"#"&amp;SUBSTITUTE('안내'!$C$5," ","")&amp;" #성경구절 #말씀 #고린도후서 #능력"</f>
        <v/>
      </c>
      <c r="Q556" s="15" t="inlineStr">
        <is>
          <t>성경 본문: 개역한글판</t>
        </is>
      </c>
      <c r="R556" s="17">
        <f>'안내'!$C$6+INT((D556-1)/'안내'!$C$7)</f>
        <v/>
      </c>
      <c r="S556" s="14">
        <f>IF(MOD(D556-1,'안내'!$C$7)=0,'안내'!$C$9,'안내'!$C$11)</f>
        <v/>
      </c>
      <c r="T556" s="14">
        <f>CHOOSE(WEEKDAY(R556,2),"월","화","수","목","금","토","일")</f>
        <v/>
      </c>
      <c r="U556" s="14" t="inlineStr">
        <is>
          <t>미착수</t>
        </is>
      </c>
      <c r="V556" s="14" t="inlineStr">
        <is>
          <t>미착수</t>
        </is>
      </c>
      <c r="W556" s="18" t="n"/>
      <c r="X556" s="18" t="n"/>
      <c r="Y556" s="15" t="n"/>
      <c r="Z556" s="15" t="inlineStr"/>
      <c r="AA556" s="15" t="inlineStr">
        <is>
          <t>But we have this treasure in clay ves- sels, that the exceeding greatness of the power may be of God and not from our- selves.</t>
        </is>
      </c>
    </row>
    <row r="557">
      <c r="A557" s="14" t="n">
        <v>556</v>
      </c>
      <c r="B557" s="14" t="inlineStr">
        <is>
          <t>W0556</t>
        </is>
      </c>
      <c r="C557" s="14" t="inlineStr">
        <is>
          <t>신약</t>
        </is>
      </c>
      <c r="D557" s="14" t="n">
        <v>192</v>
      </c>
      <c r="E557" s="14">
        <f>C557&amp;"말씀 #"&amp;TEXT(D557,"000")</f>
        <v/>
      </c>
      <c r="F557" s="14" t="inlineStr">
        <is>
          <t>고린도후서</t>
        </is>
      </c>
      <c r="G557" s="14" t="inlineStr">
        <is>
          <t>4:8</t>
        </is>
      </c>
      <c r="H557" s="15" t="inlineStr">
        <is>
          <t>(고후 4:8, 개역한글)</t>
        </is>
      </c>
      <c r="I557" s="14" t="inlineStr">
        <is>
          <t>소망</t>
        </is>
      </c>
      <c r="J557" s="14" t="inlineStr">
        <is>
          <t>새벽빛</t>
        </is>
      </c>
      <c r="K557" s="16" t="inlineStr">
        <is>
          <t>우리가 사방으로 우겨쌈을 당하여도 싸이지 아니하며 답답한 일을 당하여도 낙심하지 아니하며</t>
        </is>
      </c>
      <c r="L557" s="14" t="inlineStr">
        <is>
          <t>자동 입력</t>
        </is>
      </c>
      <c r="M557" s="14">
        <f>LEN(K557)</f>
        <v/>
      </c>
      <c r="N557" s="14">
        <f>IF(M557=0,"-",ROUND(3+M557/'안내'!$C$12,0))</f>
        <v/>
      </c>
      <c r="O557" s="15">
        <f>IF(K557="","(본문 입력 후 자동) | 고후 4:8",IF(LEN(K557)&gt;28,LEFT(K557,28)&amp;"…",K557)&amp;" | 고후 4:8")</f>
        <v/>
      </c>
      <c r="P557" s="15">
        <f>"#"&amp;SUBSTITUTE('안내'!$C$5," ","")&amp;" #성경구절 #말씀 #고린도후서 #소망"</f>
        <v/>
      </c>
      <c r="Q557" s="15" t="inlineStr">
        <is>
          <t>성경 본문: 개역한글판</t>
        </is>
      </c>
      <c r="R557" s="17">
        <f>'안내'!$C$6+INT((D557-1)/'안내'!$C$7)</f>
        <v/>
      </c>
      <c r="S557" s="14">
        <f>IF(MOD(D557-1,'안내'!$C$7)=0,'안내'!$C$9,'안내'!$C$11)</f>
        <v/>
      </c>
      <c r="T557" s="14">
        <f>CHOOSE(WEEKDAY(R557,2),"월","화","수","목","금","토","일")</f>
        <v/>
      </c>
      <c r="U557" s="14" t="inlineStr">
        <is>
          <t>미착수</t>
        </is>
      </c>
      <c r="V557" s="14" t="inlineStr">
        <is>
          <t>미착수</t>
        </is>
      </c>
      <c r="W557" s="18" t="n"/>
      <c r="X557" s="18" t="n"/>
      <c r="Y557" s="15" t="n"/>
      <c r="Z557" s="15" t="inlineStr"/>
      <c r="AA557" s="15" t="inlineStr">
        <is>
          <t>We are pressed on every side, yet not crushed; perplexed, yet not to despair;</t>
        </is>
      </c>
    </row>
    <row r="558">
      <c r="A558" s="14" t="n">
        <v>557</v>
      </c>
      <c r="B558" s="14" t="inlineStr">
        <is>
          <t>W0557</t>
        </is>
      </c>
      <c r="C558" s="14" t="inlineStr">
        <is>
          <t>신약</t>
        </is>
      </c>
      <c r="D558" s="14" t="n">
        <v>193</v>
      </c>
      <c r="E558" s="14">
        <f>C558&amp;"말씀 #"&amp;TEXT(D558,"000")</f>
        <v/>
      </c>
      <c r="F558" s="14" t="inlineStr">
        <is>
          <t>고린도후서</t>
        </is>
      </c>
      <c r="G558" s="14" t="inlineStr">
        <is>
          <t>4:16</t>
        </is>
      </c>
      <c r="H558" s="15" t="inlineStr">
        <is>
          <t>(고후 4:16, 개역한글)</t>
        </is>
      </c>
      <c r="I558" s="14" t="inlineStr">
        <is>
          <t>소망</t>
        </is>
      </c>
      <c r="J558" s="14" t="inlineStr">
        <is>
          <t>새벽빛</t>
        </is>
      </c>
      <c r="K558" s="16" t="inlineStr">
        <is>
          <t>그러므로 우리가 낙심하지 아니하노니 겉사람은 후패하나 우리의 속은 날로 새롭도다</t>
        </is>
      </c>
      <c r="L558" s="14" t="inlineStr">
        <is>
          <t>자동 입력</t>
        </is>
      </c>
      <c r="M558" s="14">
        <f>LEN(K558)</f>
        <v/>
      </c>
      <c r="N558" s="14">
        <f>IF(M558=0,"-",ROUND(3+M558/'안내'!$C$12,0))</f>
        <v/>
      </c>
      <c r="O558" s="15">
        <f>IF(K558="","(본문 입력 후 자동) | 고후 4:16",IF(LEN(K558)&gt;28,LEFT(K558,28)&amp;"…",K558)&amp;" | 고후 4:16")</f>
        <v/>
      </c>
      <c r="P558" s="15">
        <f>"#"&amp;SUBSTITUTE('안내'!$C$5," ","")&amp;" #성경구절 #말씀 #고린도후서 #소망"</f>
        <v/>
      </c>
      <c r="Q558" s="15" t="inlineStr">
        <is>
          <t>성경 본문: 개역한글판</t>
        </is>
      </c>
      <c r="R558" s="17">
        <f>'안내'!$C$6+INT((D558-1)/'안내'!$C$7)</f>
        <v/>
      </c>
      <c r="S558" s="14">
        <f>IF(MOD(D558-1,'안내'!$C$7)=0,'안내'!$C$9,'안내'!$C$11)</f>
        <v/>
      </c>
      <c r="T558" s="14">
        <f>CHOOSE(WEEKDAY(R558,2),"월","화","수","목","금","토","일")</f>
        <v/>
      </c>
      <c r="U558" s="14" t="inlineStr">
        <is>
          <t>미착수</t>
        </is>
      </c>
      <c r="V558" s="14" t="inlineStr">
        <is>
          <t>미착수</t>
        </is>
      </c>
      <c r="W558" s="18" t="n"/>
      <c r="X558" s="18" t="n"/>
      <c r="Y558" s="15" t="n"/>
      <c r="Z558" s="15" t="inlineStr"/>
      <c r="AA558" s="15" t="inlineStr">
        <is>
          <t>Therefore we don’t faint, but though our outward person is decaying, yet our in- ward person is renewed day by day.</t>
        </is>
      </c>
    </row>
    <row r="559">
      <c r="A559" s="14" t="n">
        <v>558</v>
      </c>
      <c r="B559" s="14" t="inlineStr">
        <is>
          <t>W0558</t>
        </is>
      </c>
      <c r="C559" s="14" t="inlineStr">
        <is>
          <t>신약</t>
        </is>
      </c>
      <c r="D559" s="14" t="n">
        <v>194</v>
      </c>
      <c r="E559" s="14">
        <f>C559&amp;"말씀 #"&amp;TEXT(D559,"000")</f>
        <v/>
      </c>
      <c r="F559" s="14" t="inlineStr">
        <is>
          <t>고린도후서</t>
        </is>
      </c>
      <c r="G559" s="14" t="inlineStr">
        <is>
          <t>4:18</t>
        </is>
      </c>
      <c r="H559" s="15" t="inlineStr">
        <is>
          <t>(고후 4:18, 개역한글)</t>
        </is>
      </c>
      <c r="I559" s="14" t="inlineStr">
        <is>
          <t>소망</t>
        </is>
      </c>
      <c r="J559" s="14" t="inlineStr">
        <is>
          <t>새벽빛</t>
        </is>
      </c>
      <c r="K559" s="16" t="inlineStr">
        <is>
          <t>우리의 돌아보는 것은 보이는 것이 아니요 보이지 않는 것이니 보이는 것은 잠깐이요 보이지 않는 것은 영원함이니라</t>
        </is>
      </c>
      <c r="L559" s="14" t="inlineStr">
        <is>
          <t>자동 입력 · 대조 필요</t>
        </is>
      </c>
      <c r="M559" s="14">
        <f>LEN(K559)</f>
        <v/>
      </c>
      <c r="N559" s="14">
        <f>IF(M559=0,"-",ROUND(3+M559/'안내'!$C$12,0))</f>
        <v/>
      </c>
      <c r="O559" s="15">
        <f>IF(K559="","(본문 입력 후 자동) | 고후 4:18",IF(LEN(K559)&gt;28,LEFT(K559,28)&amp;"…",K559)&amp;" | 고후 4:18")</f>
        <v/>
      </c>
      <c r="P559" s="15">
        <f>"#"&amp;SUBSTITUTE('안내'!$C$5," ","")&amp;" #성경구절 #말씀 #고린도후서 #소망"</f>
        <v/>
      </c>
      <c r="Q559" s="15" t="inlineStr">
        <is>
          <t>성경 본문: 개역한글판</t>
        </is>
      </c>
      <c r="R559" s="17">
        <f>'안내'!$C$6+INT((D559-1)/'안내'!$C$7)</f>
        <v/>
      </c>
      <c r="S559" s="14">
        <f>IF(MOD(D559-1,'안내'!$C$7)=0,'안내'!$C$9,'안내'!$C$11)</f>
        <v/>
      </c>
      <c r="T559" s="14">
        <f>CHOOSE(WEEKDAY(R559,2),"월","화","수","목","금","토","일")</f>
        <v/>
      </c>
      <c r="U559" s="14" t="inlineStr">
        <is>
          <t>미착수</t>
        </is>
      </c>
      <c r="V559" s="14" t="inlineStr">
        <is>
          <t>미착수</t>
        </is>
      </c>
      <c r="W559" s="18" t="n"/>
      <c r="X559" s="18" t="n"/>
      <c r="Y559" s="15" t="n"/>
      <c r="Z559" s="15" t="inlineStr">
        <is>
          <t>줄바꿈 띄어쓰기 확인</t>
        </is>
      </c>
      <c r="AA559" s="15" t="inlineStr">
        <is>
          <t>while we don’t look at the things which are seen, but at the things which are not seen. For the things which are seen are temporal, but the things which are not seen are eternal.</t>
        </is>
      </c>
    </row>
    <row r="560">
      <c r="A560" s="14" t="n">
        <v>559</v>
      </c>
      <c r="B560" s="14" t="inlineStr">
        <is>
          <t>W0559</t>
        </is>
      </c>
      <c r="C560" s="14" t="inlineStr">
        <is>
          <t>신약</t>
        </is>
      </c>
      <c r="D560" s="14" t="n">
        <v>195</v>
      </c>
      <c r="E560" s="14">
        <f>C560&amp;"말씀 #"&amp;TEXT(D560,"000")</f>
        <v/>
      </c>
      <c r="F560" s="14" t="inlineStr">
        <is>
          <t>고린도후서</t>
        </is>
      </c>
      <c r="G560" s="14" t="inlineStr">
        <is>
          <t>5:7</t>
        </is>
      </c>
      <c r="H560" s="15" t="inlineStr">
        <is>
          <t>(고후 5:7, 개역한글)</t>
        </is>
      </c>
      <c r="I560" s="14" t="inlineStr">
        <is>
          <t>믿음</t>
        </is>
      </c>
      <c r="J560" s="14" t="inlineStr">
        <is>
          <t>바위산·광야</t>
        </is>
      </c>
      <c r="K560" s="16" t="inlineStr">
        <is>
          <t>이는 우리가 믿음으로 행하고 보는 것으로 하지 아니함이로라</t>
        </is>
      </c>
      <c r="L560" s="14" t="inlineStr">
        <is>
          <t>자동 입력</t>
        </is>
      </c>
      <c r="M560" s="14">
        <f>LEN(K560)</f>
        <v/>
      </c>
      <c r="N560" s="14">
        <f>IF(M560=0,"-",ROUND(3+M560/'안내'!$C$12,0))</f>
        <v/>
      </c>
      <c r="O560" s="15">
        <f>IF(K560="","(본문 입력 후 자동) | 고후 5:7",IF(LEN(K560)&gt;28,LEFT(K560,28)&amp;"…",K560)&amp;" | 고후 5:7")</f>
        <v/>
      </c>
      <c r="P560" s="15">
        <f>"#"&amp;SUBSTITUTE('안내'!$C$5," ","")&amp;" #성경구절 #말씀 #고린도후서 #믿음"</f>
        <v/>
      </c>
      <c r="Q560" s="15" t="inlineStr">
        <is>
          <t>성경 본문: 개역한글판</t>
        </is>
      </c>
      <c r="R560" s="17">
        <f>'안내'!$C$6+INT((D560-1)/'안내'!$C$7)</f>
        <v/>
      </c>
      <c r="S560" s="14">
        <f>IF(MOD(D560-1,'안내'!$C$7)=0,'안내'!$C$9,'안내'!$C$11)</f>
        <v/>
      </c>
      <c r="T560" s="14">
        <f>CHOOSE(WEEKDAY(R560,2),"월","화","수","목","금","토","일")</f>
        <v/>
      </c>
      <c r="U560" s="14" t="inlineStr">
        <is>
          <t>미착수</t>
        </is>
      </c>
      <c r="V560" s="14" t="inlineStr">
        <is>
          <t>미착수</t>
        </is>
      </c>
      <c r="W560" s="18" t="n"/>
      <c r="X560" s="18" t="n"/>
      <c r="Y560" s="15" t="n"/>
      <c r="Z560" s="15" t="inlineStr"/>
      <c r="AA560" s="15" t="inlineStr">
        <is>
          <t>for we walk by faith, not by sight.</t>
        </is>
      </c>
    </row>
    <row r="561">
      <c r="A561" s="14" t="n">
        <v>560</v>
      </c>
      <c r="B561" s="14" t="inlineStr">
        <is>
          <t>W0560</t>
        </is>
      </c>
      <c r="C561" s="14" t="inlineStr">
        <is>
          <t>신약</t>
        </is>
      </c>
      <c r="D561" s="14" t="n">
        <v>196</v>
      </c>
      <c r="E561" s="14">
        <f>C561&amp;"말씀 #"&amp;TEXT(D561,"000")</f>
        <v/>
      </c>
      <c r="F561" s="14" t="inlineStr">
        <is>
          <t>고린도후서</t>
        </is>
      </c>
      <c r="G561" s="14" t="inlineStr">
        <is>
          <t>5:17</t>
        </is>
      </c>
      <c r="H561" s="15" t="inlineStr">
        <is>
          <t>(고후 5:17, 개역한글)</t>
        </is>
      </c>
      <c r="I561" s="14" t="inlineStr">
        <is>
          <t>새 마음</t>
        </is>
      </c>
      <c r="J561" s="14" t="inlineStr">
        <is>
          <t>새벽빛</t>
        </is>
      </c>
      <c r="K561" s="16" t="inlineStr">
        <is>
          <t>그런즉 누구든지 그리스도 안에 있으면 새로운 피조물이라 이전 것은 지나갔으니 보라 새 것이 되었도다</t>
        </is>
      </c>
      <c r="L561" s="14" t="inlineStr">
        <is>
          <t>자동 입력</t>
        </is>
      </c>
      <c r="M561" s="14">
        <f>LEN(K561)</f>
        <v/>
      </c>
      <c r="N561" s="14">
        <f>IF(M561=0,"-",ROUND(3+M561/'안내'!$C$12,0))</f>
        <v/>
      </c>
      <c r="O561" s="15">
        <f>IF(K561="","(본문 입력 후 자동) | 고후 5:17",IF(LEN(K561)&gt;28,LEFT(K561,28)&amp;"…",K561)&amp;" | 고후 5:17")</f>
        <v/>
      </c>
      <c r="P561" s="15">
        <f>"#"&amp;SUBSTITUTE('안내'!$C$5," ","")&amp;" #성경구절 #말씀 #고린도후서 #새마음"</f>
        <v/>
      </c>
      <c r="Q561" s="15" t="inlineStr">
        <is>
          <t>성경 본문: 개역한글판</t>
        </is>
      </c>
      <c r="R561" s="17">
        <f>'안내'!$C$6+INT((D561-1)/'안내'!$C$7)</f>
        <v/>
      </c>
      <c r="S561" s="14">
        <f>IF(MOD(D561-1,'안내'!$C$7)=0,'안내'!$C$9,'안내'!$C$11)</f>
        <v/>
      </c>
      <c r="T561" s="14">
        <f>CHOOSE(WEEKDAY(R561,2),"월","화","수","목","금","토","일")</f>
        <v/>
      </c>
      <c r="U561" s="14" t="inlineStr">
        <is>
          <t>미착수</t>
        </is>
      </c>
      <c r="V561" s="14" t="inlineStr">
        <is>
          <t>미착수</t>
        </is>
      </c>
      <c r="W561" s="18" t="n"/>
      <c r="X561" s="18" t="n"/>
      <c r="Y561" s="15" t="n"/>
      <c r="Z561" s="15" t="inlineStr"/>
      <c r="AA561" s="15" t="inlineStr">
        <is>
          <t>Therefore if anyone is in Christ, he is a new creation. The old things have passed away. Behold, all things have become new.</t>
        </is>
      </c>
    </row>
    <row r="562">
      <c r="A562" s="14" t="n">
        <v>561</v>
      </c>
      <c r="B562" s="14" t="inlineStr">
        <is>
          <t>W0561</t>
        </is>
      </c>
      <c r="C562" s="14" t="inlineStr">
        <is>
          <t>신약</t>
        </is>
      </c>
      <c r="D562" s="14" t="n">
        <v>197</v>
      </c>
      <c r="E562" s="14">
        <f>C562&amp;"말씀 #"&amp;TEXT(D562,"000")</f>
        <v/>
      </c>
      <c r="F562" s="14" t="inlineStr">
        <is>
          <t>고린도후서</t>
        </is>
      </c>
      <c r="G562" s="14" t="inlineStr">
        <is>
          <t>5:21</t>
        </is>
      </c>
      <c r="H562" s="15" t="inlineStr">
        <is>
          <t>(고후 5:21, 개역한글)</t>
        </is>
      </c>
      <c r="I562" s="14" t="inlineStr">
        <is>
          <t>구원</t>
        </is>
      </c>
      <c r="J562" s="14" t="inlineStr">
        <is>
          <t>제단·십자가</t>
        </is>
      </c>
      <c r="K562" s="16" t="inlineStr">
        <is>
          <t>하나님이 죄를 알지도 못하신 자로 우리를 대신하여 죄를 삼으신 것은 우리로 하여금 저의 안에서 하나님의 의가 되게 하려 하심이니라</t>
        </is>
      </c>
      <c r="L562" s="14" t="inlineStr">
        <is>
          <t>자동 입력</t>
        </is>
      </c>
      <c r="M562" s="14">
        <f>LEN(K562)</f>
        <v/>
      </c>
      <c r="N562" s="14">
        <f>IF(M562=0,"-",ROUND(3+M562/'안내'!$C$12,0))</f>
        <v/>
      </c>
      <c r="O562" s="15">
        <f>IF(K562="","(본문 입력 후 자동) | 고후 5:21",IF(LEN(K562)&gt;28,LEFT(K562,28)&amp;"…",K562)&amp;" | 고후 5:21")</f>
        <v/>
      </c>
      <c r="P562" s="15">
        <f>"#"&amp;SUBSTITUTE('안내'!$C$5," ","")&amp;" #성경구절 #말씀 #고린도후서 #구원"</f>
        <v/>
      </c>
      <c r="Q562" s="15" t="inlineStr">
        <is>
          <t>성경 본문: 개역한글판</t>
        </is>
      </c>
      <c r="R562" s="17">
        <f>'안내'!$C$6+INT((D562-1)/'안내'!$C$7)</f>
        <v/>
      </c>
      <c r="S562" s="14">
        <f>IF(MOD(D562-1,'안내'!$C$7)=0,'안내'!$C$9,'안내'!$C$11)</f>
        <v/>
      </c>
      <c r="T562" s="14">
        <f>CHOOSE(WEEKDAY(R562,2),"월","화","수","목","금","토","일")</f>
        <v/>
      </c>
      <c r="U562" s="14" t="inlineStr">
        <is>
          <t>미착수</t>
        </is>
      </c>
      <c r="V562" s="14" t="inlineStr">
        <is>
          <t>미착수</t>
        </is>
      </c>
      <c r="W562" s="18" t="n"/>
      <c r="X562" s="18" t="n"/>
      <c r="Y562" s="15" t="n"/>
      <c r="Z562" s="15" t="inlineStr"/>
      <c r="AA562" s="15" t="inlineStr">
        <is>
          <t>For him who knew no ✡ sin he made to be sin on our behalf, so that in him we might become the righteousness of God.</t>
        </is>
      </c>
    </row>
    <row r="563">
      <c r="A563" s="14" t="n">
        <v>562</v>
      </c>
      <c r="B563" s="14" t="inlineStr">
        <is>
          <t>W0562</t>
        </is>
      </c>
      <c r="C563" s="14" t="inlineStr">
        <is>
          <t>신약</t>
        </is>
      </c>
      <c r="D563" s="14" t="n">
        <v>198</v>
      </c>
      <c r="E563" s="14">
        <f>C563&amp;"말씀 #"&amp;TEXT(D563,"000")</f>
        <v/>
      </c>
      <c r="F563" s="14" t="inlineStr">
        <is>
          <t>고린도후서</t>
        </is>
      </c>
      <c r="G563" s="14" t="inlineStr">
        <is>
          <t>6:2</t>
        </is>
      </c>
      <c r="H563" s="15" t="inlineStr">
        <is>
          <t>(고후 6:2, 개역한글)</t>
        </is>
      </c>
      <c r="I563" s="14" t="inlineStr">
        <is>
          <t>구원</t>
        </is>
      </c>
      <c r="J563" s="14" t="inlineStr">
        <is>
          <t>제단·십자가</t>
        </is>
      </c>
      <c r="K563" s="16" t="inlineStr">
        <is>
          <t>가라사대 내가 은혜 베풀 때에 너를 듣고 구원의 날에 너를 도왔다 하셨으니 보라 지금은 은혜받을 만한 때요 보라 지금은 구원의 날이로다</t>
        </is>
      </c>
      <c r="L563" s="14" t="inlineStr">
        <is>
          <t>자동 입력 · 대조 필요</t>
        </is>
      </c>
      <c r="M563" s="14">
        <f>LEN(K563)</f>
        <v/>
      </c>
      <c r="N563" s="14">
        <f>IF(M563=0,"-",ROUND(3+M563/'안내'!$C$12,0))</f>
        <v/>
      </c>
      <c r="O563" s="15">
        <f>IF(K563="","(본문 입력 후 자동) | 고후 6:2",IF(LEN(K563)&gt;28,LEFT(K563,28)&amp;"…",K563)&amp;" | 고후 6:2")</f>
        <v/>
      </c>
      <c r="P563" s="15">
        <f>"#"&amp;SUBSTITUTE('안내'!$C$5," ","")&amp;" #성경구절 #말씀 #고린도후서 #구원"</f>
        <v/>
      </c>
      <c r="Q563" s="15" t="inlineStr">
        <is>
          <t>성경 본문: 개역한글판</t>
        </is>
      </c>
      <c r="R563" s="17">
        <f>'안내'!$C$6+INT((D563-1)/'안내'!$C$7)</f>
        <v/>
      </c>
      <c r="S563" s="14">
        <f>IF(MOD(D563-1,'안내'!$C$7)=0,'안내'!$C$9,'안내'!$C$11)</f>
        <v/>
      </c>
      <c r="T563" s="14">
        <f>CHOOSE(WEEKDAY(R563,2),"월","화","수","목","금","토","일")</f>
        <v/>
      </c>
      <c r="U563" s="14" t="inlineStr">
        <is>
          <t>미착수</t>
        </is>
      </c>
      <c r="V563" s="14" t="inlineStr">
        <is>
          <t>미착수</t>
        </is>
      </c>
      <c r="W563" s="18" t="n"/>
      <c r="X563" s="18" t="n"/>
      <c r="Y563" s="15" t="n"/>
      <c r="Z563" s="15" t="inlineStr">
        <is>
          <t>줄바꿈 띄어쓰기 확인</t>
        </is>
      </c>
      <c r="AA563" s="15" t="inlineStr">
        <is>
          <t>For he says, “At an acceptable time I listened to you. In a day of salvation I helped you.” ✡ Behold, now is the acceptable time. Be- hold, now is the day of salvation.</t>
        </is>
      </c>
    </row>
    <row r="564">
      <c r="A564" s="14" t="n">
        <v>563</v>
      </c>
      <c r="B564" s="14" t="inlineStr">
        <is>
          <t>W0563</t>
        </is>
      </c>
      <c r="C564" s="14" t="inlineStr">
        <is>
          <t>신약</t>
        </is>
      </c>
      <c r="D564" s="14" t="n">
        <v>199</v>
      </c>
      <c r="E564" s="14">
        <f>C564&amp;"말씀 #"&amp;TEXT(D564,"000")</f>
        <v/>
      </c>
      <c r="F564" s="14" t="inlineStr">
        <is>
          <t>고린도후서</t>
        </is>
      </c>
      <c r="G564" s="14" t="inlineStr">
        <is>
          <t>9:7</t>
        </is>
      </c>
      <c r="H564" s="15" t="inlineStr">
        <is>
          <t>(고후 9:7, 개역한글)</t>
        </is>
      </c>
      <c r="I564" s="14" t="inlineStr">
        <is>
          <t>나눔</t>
        </is>
      </c>
      <c r="J564" s="14" t="inlineStr">
        <is>
          <t>들판·나무</t>
        </is>
      </c>
      <c r="K564" s="16" t="inlineStr">
        <is>
          <t>각각 그 마음에 정한 대로 할 것이요 인색함으로나 억지로 하지 말지니 하나님은 즐겨 내는 자를 사랑하시느니라</t>
        </is>
      </c>
      <c r="L564" s="14" t="inlineStr">
        <is>
          <t>자동 입력 · 대조 필요</t>
        </is>
      </c>
      <c r="M564" s="14">
        <f>LEN(K564)</f>
        <v/>
      </c>
      <c r="N564" s="14">
        <f>IF(M564=0,"-",ROUND(3+M564/'안내'!$C$12,0))</f>
        <v/>
      </c>
      <c r="O564" s="15">
        <f>IF(K564="","(본문 입력 후 자동) | 고후 9:7",IF(LEN(K564)&gt;28,LEFT(K564,28)&amp;"…",K564)&amp;" | 고후 9:7")</f>
        <v/>
      </c>
      <c r="P564" s="15">
        <f>"#"&amp;SUBSTITUTE('안내'!$C$5," ","")&amp;" #성경구절 #말씀 #고린도후서 #나눔"</f>
        <v/>
      </c>
      <c r="Q564" s="15" t="inlineStr">
        <is>
          <t>성경 본문: 개역한글판</t>
        </is>
      </c>
      <c r="R564" s="17">
        <f>'안내'!$C$6+INT((D564-1)/'안내'!$C$7)</f>
        <v/>
      </c>
      <c r="S564" s="14">
        <f>IF(MOD(D564-1,'안내'!$C$7)=0,'안내'!$C$9,'안내'!$C$11)</f>
        <v/>
      </c>
      <c r="T564" s="14">
        <f>CHOOSE(WEEKDAY(R564,2),"월","화","수","목","금","토","일")</f>
        <v/>
      </c>
      <c r="U564" s="14" t="inlineStr">
        <is>
          <t>미착수</t>
        </is>
      </c>
      <c r="V564" s="14" t="inlineStr">
        <is>
          <t>미착수</t>
        </is>
      </c>
      <c r="W564" s="18" t="n"/>
      <c r="X564" s="18" t="n"/>
      <c r="Y564" s="15" t="n"/>
      <c r="Z564" s="15" t="inlineStr">
        <is>
          <t>줄바꿈 띄어쓰기 확인</t>
        </is>
      </c>
      <c r="AA564" s="15" t="inlineStr">
        <is>
          <t>Let each man give according as he has determined in his heart, not grudgingly or under compulsion, for God loves a cheerful giver.</t>
        </is>
      </c>
    </row>
    <row r="565">
      <c r="A565" s="14" t="n">
        <v>564</v>
      </c>
      <c r="B565" s="14" t="inlineStr">
        <is>
          <t>W0564</t>
        </is>
      </c>
      <c r="C565" s="14" t="inlineStr">
        <is>
          <t>신약</t>
        </is>
      </c>
      <c r="D565" s="14" t="n">
        <v>200</v>
      </c>
      <c r="E565" s="14">
        <f>C565&amp;"말씀 #"&amp;TEXT(D565,"000")</f>
        <v/>
      </c>
      <c r="F565" s="14" t="inlineStr">
        <is>
          <t>고린도후서</t>
        </is>
      </c>
      <c r="G565" s="14" t="inlineStr">
        <is>
          <t>12:9</t>
        </is>
      </c>
      <c r="H565" s="15" t="inlineStr">
        <is>
          <t>(고후 12:9, 개역한글)</t>
        </is>
      </c>
      <c r="I565" s="14" t="inlineStr">
        <is>
          <t>은혜</t>
        </is>
      </c>
      <c r="J565" s="14" t="inlineStr">
        <is>
          <t>잔잔한 물</t>
        </is>
      </c>
      <c r="K565" s="16" t="inlineStr">
        <is>
          <t>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t>
        </is>
      </c>
      <c r="L565" s="14" t="inlineStr">
        <is>
          <t>자동 입력 · 대조 필요</t>
        </is>
      </c>
      <c r="M565" s="14">
        <f>LEN(K565)</f>
        <v/>
      </c>
      <c r="N565" s="14">
        <f>IF(M565=0,"-",ROUND(3+M565/'안내'!$C$12,0))</f>
        <v/>
      </c>
      <c r="O565" s="15">
        <f>IF(K565="","(본문 입력 후 자동) | 고후 12:9",IF(LEN(K565)&gt;28,LEFT(K565,28)&amp;"…",K565)&amp;" | 고후 12:9")</f>
        <v/>
      </c>
      <c r="P565" s="15">
        <f>"#"&amp;SUBSTITUTE('안내'!$C$5," ","")&amp;" #성경구절 #말씀 #고린도후서 #은혜"</f>
        <v/>
      </c>
      <c r="Q565" s="15" t="inlineStr">
        <is>
          <t>성경 본문: 개역한글판</t>
        </is>
      </c>
      <c r="R565" s="17">
        <f>'안내'!$C$6+INT((D565-1)/'안내'!$C$7)</f>
        <v/>
      </c>
      <c r="S565" s="14">
        <f>IF(MOD(D565-1,'안내'!$C$7)=0,'안내'!$C$9,'안내'!$C$11)</f>
        <v/>
      </c>
      <c r="T565" s="14">
        <f>CHOOSE(WEEKDAY(R565,2),"월","화","수","목","금","토","일")</f>
        <v/>
      </c>
      <c r="U565" s="14" t="inlineStr">
        <is>
          <t>미착수</t>
        </is>
      </c>
      <c r="V565" s="14" t="inlineStr">
        <is>
          <t>미착수</t>
        </is>
      </c>
      <c r="W565" s="18" t="n"/>
      <c r="X565" s="18" t="n"/>
      <c r="Y565" s="15" t="n"/>
      <c r="Z565" s="15" t="inlineStr">
        <is>
          <t>줄바꿈 띄어쓰기 확인</t>
        </is>
      </c>
      <c r="AA565" s="15" t="inlineStr">
        <is>
          <t>He has said to me, “My grace is sufficient for you, for my power is made perfect in weakness.” Most gladly therefore I will rather glory in my weaknesses, that the power of Christ may rest on me.</t>
        </is>
      </c>
    </row>
    <row r="566">
      <c r="A566" s="14" t="n">
        <v>565</v>
      </c>
      <c r="B566" s="14" t="inlineStr">
        <is>
          <t>W0565</t>
        </is>
      </c>
      <c r="C566" s="14" t="inlineStr">
        <is>
          <t>신약</t>
        </is>
      </c>
      <c r="D566" s="14" t="n">
        <v>201</v>
      </c>
      <c r="E566" s="14">
        <f>C566&amp;"말씀 #"&amp;TEXT(D566,"000")</f>
        <v/>
      </c>
      <c r="F566" s="14" t="inlineStr">
        <is>
          <t>고린도후서</t>
        </is>
      </c>
      <c r="G566" s="14" t="inlineStr">
        <is>
          <t>12:10</t>
        </is>
      </c>
      <c r="H566" s="15" t="inlineStr">
        <is>
          <t>(고후 12:10, 개역한글)</t>
        </is>
      </c>
      <c r="I566" s="14" t="inlineStr">
        <is>
          <t>능력</t>
        </is>
      </c>
      <c r="J566" s="14" t="inlineStr">
        <is>
          <t>바위산·광야</t>
        </is>
      </c>
      <c r="K566" s="16" t="inlineStr">
        <is>
          <t>그러므로 내가 그리스도를 위하여 약한 것들과 능욕과 궁핍과 핍박과 곤란을 기뻐하노니 이는 내가 약할 그 때에 곧 강함이니라</t>
        </is>
      </c>
      <c r="L566" s="14" t="inlineStr">
        <is>
          <t>자동 입력 · 대조 필요</t>
        </is>
      </c>
      <c r="M566" s="14">
        <f>LEN(K566)</f>
        <v/>
      </c>
      <c r="N566" s="14">
        <f>IF(M566=0,"-",ROUND(3+M566/'안내'!$C$12,0))</f>
        <v/>
      </c>
      <c r="O566" s="15">
        <f>IF(K566="","(본문 입력 후 자동) | 고후 12:10",IF(LEN(K566)&gt;28,LEFT(K566,28)&amp;"…",K566)&amp;" | 고후 12:10")</f>
        <v/>
      </c>
      <c r="P566" s="15">
        <f>"#"&amp;SUBSTITUTE('안내'!$C$5," ","")&amp;" #성경구절 #말씀 #고린도후서 #능력"</f>
        <v/>
      </c>
      <c r="Q566" s="15" t="inlineStr">
        <is>
          <t>성경 본문: 개역한글판</t>
        </is>
      </c>
      <c r="R566" s="17">
        <f>'안내'!$C$6+INT((D566-1)/'안내'!$C$7)</f>
        <v/>
      </c>
      <c r="S566" s="14">
        <f>IF(MOD(D566-1,'안내'!$C$7)=0,'안내'!$C$9,'안내'!$C$11)</f>
        <v/>
      </c>
      <c r="T566" s="14">
        <f>CHOOSE(WEEKDAY(R566,2),"월","화","수","목","금","토","일")</f>
        <v/>
      </c>
      <c r="U566" s="14" t="inlineStr">
        <is>
          <t>미착수</t>
        </is>
      </c>
      <c r="V566" s="14" t="inlineStr">
        <is>
          <t>미착수</t>
        </is>
      </c>
      <c r="W566" s="18" t="n"/>
      <c r="X566" s="18" t="n"/>
      <c r="Y566" s="15" t="n"/>
      <c r="Z566" s="15" t="inlineStr">
        <is>
          <t>줄바꿈 띄어쓰기 확인</t>
        </is>
      </c>
      <c r="AA566" s="15" t="inlineStr">
        <is>
          <t>Therefore I take pleasure in weak- nesses, in injuries, in necessities, in per- secutions, and in distresses, for Christ’s sake. For when I am weak, then am I strong.</t>
        </is>
      </c>
    </row>
    <row r="567">
      <c r="A567" s="14" t="n">
        <v>566</v>
      </c>
      <c r="B567" s="14" t="inlineStr">
        <is>
          <t>W0566</t>
        </is>
      </c>
      <c r="C567" s="14" t="inlineStr">
        <is>
          <t>신약</t>
        </is>
      </c>
      <c r="D567" s="14" t="n">
        <v>202</v>
      </c>
      <c r="E567" s="14">
        <f>C567&amp;"말씀 #"&amp;TEXT(D567,"000")</f>
        <v/>
      </c>
      <c r="F567" s="14" t="inlineStr">
        <is>
          <t>갈라디아서</t>
        </is>
      </c>
      <c r="G567" s="14" t="inlineStr">
        <is>
          <t>2:16</t>
        </is>
      </c>
      <c r="H567" s="15" t="inlineStr">
        <is>
          <t>(갈 2:16, 개역한글)</t>
        </is>
      </c>
      <c r="I567" s="14" t="inlineStr">
        <is>
          <t>믿음</t>
        </is>
      </c>
      <c r="J567" s="14" t="inlineStr">
        <is>
          <t>바위산·광야</t>
        </is>
      </c>
      <c r="K567" s="16" t="inlineStr">
        <is>
          <t>사람이 의롭게 되는 것은 율법의 행위에서 난 것이 아니요 오직 예수 그리스도를 믿음으로 말미암는 줄 아는 고로 우리도 그리스도 예수를 믿나니 이는 우리가 율법의 행위에서 아니고 그리스도를 믿음으로서 의롭다 함을 얻으려 함이라 율법의 행위로서는 의롭다 함을 얻을 육체가 없느니라</t>
        </is>
      </c>
      <c r="L567" s="14" t="inlineStr">
        <is>
          <t>자동 입력</t>
        </is>
      </c>
      <c r="M567" s="14">
        <f>LEN(K567)</f>
        <v/>
      </c>
      <c r="N567" s="14">
        <f>IF(M567=0,"-",ROUND(3+M567/'안내'!$C$12,0))</f>
        <v/>
      </c>
      <c r="O567" s="15">
        <f>IF(K567="","(본문 입력 후 자동) | 갈 2:16",IF(LEN(K567)&gt;28,LEFT(K567,28)&amp;"…",K567)&amp;" | 갈 2:16")</f>
        <v/>
      </c>
      <c r="P567" s="15">
        <f>"#"&amp;SUBSTITUTE('안내'!$C$5," ","")&amp;" #성경구절 #말씀 #갈라디아서 #믿음"</f>
        <v/>
      </c>
      <c r="Q567" s="15" t="inlineStr">
        <is>
          <t>성경 본문: 개역한글판</t>
        </is>
      </c>
      <c r="R567" s="17">
        <f>'안내'!$C$6+INT((D567-1)/'안내'!$C$7)</f>
        <v/>
      </c>
      <c r="S567" s="14">
        <f>IF(MOD(D567-1,'안내'!$C$7)=0,'안내'!$C$9,'안내'!$C$11)</f>
        <v/>
      </c>
      <c r="T567" s="14">
        <f>CHOOSE(WEEKDAY(R567,2),"월","화","수","목","금","토","일")</f>
        <v/>
      </c>
      <c r="U567" s="14" t="inlineStr">
        <is>
          <t>미착수</t>
        </is>
      </c>
      <c r="V567" s="14" t="inlineStr">
        <is>
          <t>미착수</t>
        </is>
      </c>
      <c r="W567" s="18" t="n"/>
      <c r="X567" s="18" t="n"/>
      <c r="Y567" s="15" t="n"/>
      <c r="Z567" s="15" t="inlineStr"/>
      <c r="AA567" s="15" t="inlineStr">
        <is>
          <t>yet knowing that a man is not justified by the works of the law but through faith in Jesus Christ, even we believed in Christ Jesus, that we might be justified by faith in Christ and not by the works of the law, because no flesh will be justified by the works of the law.</t>
        </is>
      </c>
    </row>
    <row r="568">
      <c r="A568" s="14" t="n">
        <v>567</v>
      </c>
      <c r="B568" s="14" t="inlineStr">
        <is>
          <t>W0567</t>
        </is>
      </c>
      <c r="C568" s="14" t="inlineStr">
        <is>
          <t>신약</t>
        </is>
      </c>
      <c r="D568" s="14" t="n">
        <v>203</v>
      </c>
      <c r="E568" s="14">
        <f>C568&amp;"말씀 #"&amp;TEXT(D568,"000")</f>
        <v/>
      </c>
      <c r="F568" s="14" t="inlineStr">
        <is>
          <t>갈라디아서</t>
        </is>
      </c>
      <c r="G568" s="14" t="inlineStr">
        <is>
          <t>2:20</t>
        </is>
      </c>
      <c r="H568" s="15" t="inlineStr">
        <is>
          <t>(갈 2:20, 개역한글)</t>
        </is>
      </c>
      <c r="I568" s="14" t="inlineStr">
        <is>
          <t>생명</t>
        </is>
      </c>
      <c r="J568" s="14" t="inlineStr">
        <is>
          <t>새벽빛</t>
        </is>
      </c>
      <c r="K568" s="16" t="inlineStr">
        <is>
          <t>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t>
        </is>
      </c>
      <c r="L568" s="14" t="inlineStr">
        <is>
          <t>자동 입력</t>
        </is>
      </c>
      <c r="M568" s="14">
        <f>LEN(K568)</f>
        <v/>
      </c>
      <c r="N568" s="14">
        <f>IF(M568=0,"-",ROUND(3+M568/'안내'!$C$12,0))</f>
        <v/>
      </c>
      <c r="O568" s="15">
        <f>IF(K568="","(본문 입력 후 자동) | 갈 2:20",IF(LEN(K568)&gt;28,LEFT(K568,28)&amp;"…",K568)&amp;" | 갈 2:20")</f>
        <v/>
      </c>
      <c r="P568" s="15">
        <f>"#"&amp;SUBSTITUTE('안내'!$C$5," ","")&amp;" #성경구절 #말씀 #갈라디아서 #생명"</f>
        <v/>
      </c>
      <c r="Q568" s="15" t="inlineStr">
        <is>
          <t>성경 본문: 개역한글판</t>
        </is>
      </c>
      <c r="R568" s="17">
        <f>'안내'!$C$6+INT((D568-1)/'안내'!$C$7)</f>
        <v/>
      </c>
      <c r="S568" s="14">
        <f>IF(MOD(D568-1,'안내'!$C$7)=0,'안내'!$C$9,'안내'!$C$11)</f>
        <v/>
      </c>
      <c r="T568" s="14">
        <f>CHOOSE(WEEKDAY(R568,2),"월","화","수","목","금","토","일")</f>
        <v/>
      </c>
      <c r="U568" s="14" t="inlineStr">
        <is>
          <t>미착수</t>
        </is>
      </c>
      <c r="V568" s="14" t="inlineStr">
        <is>
          <t>미착수</t>
        </is>
      </c>
      <c r="W568" s="18" t="n"/>
      <c r="X568" s="18" t="n"/>
      <c r="Y568" s="15" t="n"/>
      <c r="Z568" s="15" t="inlineStr"/>
      <c r="AA568" s="15" t="inlineStr">
        <is>
          <t>I have been crucified with Christ, and it is no longer I who live, but Christ lives in me. That life which I now live in the flesh, I live by faith in the Son of God, who loved me and gave himself up for me.</t>
        </is>
      </c>
    </row>
    <row r="569">
      <c r="A569" s="14" t="n">
        <v>568</v>
      </c>
      <c r="B569" s="14" t="inlineStr">
        <is>
          <t>W0568</t>
        </is>
      </c>
      <c r="C569" s="14" t="inlineStr">
        <is>
          <t>신약</t>
        </is>
      </c>
      <c r="D569" s="14" t="n">
        <v>204</v>
      </c>
      <c r="E569" s="14">
        <f>C569&amp;"말씀 #"&amp;TEXT(D569,"000")</f>
        <v/>
      </c>
      <c r="F569" s="14" t="inlineStr">
        <is>
          <t>갈라디아서</t>
        </is>
      </c>
      <c r="G569" s="14" t="inlineStr">
        <is>
          <t>3:26</t>
        </is>
      </c>
      <c r="H569" s="15" t="inlineStr">
        <is>
          <t>(갈 3:26, 개역한글)</t>
        </is>
      </c>
      <c r="I569" s="14" t="inlineStr">
        <is>
          <t>은혜</t>
        </is>
      </c>
      <c r="J569" s="14" t="inlineStr">
        <is>
          <t>잔잔한 물</t>
        </is>
      </c>
      <c r="K569" s="16" t="inlineStr">
        <is>
          <t>너희가 다 믿음으로 말미암아 그리스도 예수 안에서 하나님의 아들이 되었으니</t>
        </is>
      </c>
      <c r="L569" s="14" t="inlineStr">
        <is>
          <t>자동 입력</t>
        </is>
      </c>
      <c r="M569" s="14">
        <f>LEN(K569)</f>
        <v/>
      </c>
      <c r="N569" s="14">
        <f>IF(M569=0,"-",ROUND(3+M569/'안내'!$C$12,0))</f>
        <v/>
      </c>
      <c r="O569" s="15">
        <f>IF(K569="","(본문 입력 후 자동) | 갈 3:26",IF(LEN(K569)&gt;28,LEFT(K569,28)&amp;"…",K569)&amp;" | 갈 3:26")</f>
        <v/>
      </c>
      <c r="P569" s="15">
        <f>"#"&amp;SUBSTITUTE('안내'!$C$5," ","")&amp;" #성경구절 #말씀 #갈라디아서 #은혜"</f>
        <v/>
      </c>
      <c r="Q569" s="15" t="inlineStr">
        <is>
          <t>성경 본문: 개역한글판</t>
        </is>
      </c>
      <c r="R569" s="17">
        <f>'안내'!$C$6+INT((D569-1)/'안내'!$C$7)</f>
        <v/>
      </c>
      <c r="S569" s="14">
        <f>IF(MOD(D569-1,'안내'!$C$7)=0,'안내'!$C$9,'안내'!$C$11)</f>
        <v/>
      </c>
      <c r="T569" s="14">
        <f>CHOOSE(WEEKDAY(R569,2),"월","화","수","목","금","토","일")</f>
        <v/>
      </c>
      <c r="U569" s="14" t="inlineStr">
        <is>
          <t>미착수</t>
        </is>
      </c>
      <c r="V569" s="14" t="inlineStr">
        <is>
          <t>미착수</t>
        </is>
      </c>
      <c r="W569" s="18" t="n"/>
      <c r="X569" s="18" t="n"/>
      <c r="Y569" s="15" t="n"/>
      <c r="Z569" s="15" t="inlineStr"/>
      <c r="AA569" s="15" t="inlineStr">
        <is>
          <t>For you are all children of God, through faith in Christ Jesus.</t>
        </is>
      </c>
    </row>
    <row r="570">
      <c r="A570" s="14" t="n">
        <v>569</v>
      </c>
      <c r="B570" s="14" t="inlineStr">
        <is>
          <t>W0569</t>
        </is>
      </c>
      <c r="C570" s="14" t="inlineStr">
        <is>
          <t>신약</t>
        </is>
      </c>
      <c r="D570" s="14" t="n">
        <v>205</v>
      </c>
      <c r="E570" s="14">
        <f>C570&amp;"말씀 #"&amp;TEXT(D570,"000")</f>
        <v/>
      </c>
      <c r="F570" s="14" t="inlineStr">
        <is>
          <t>갈라디아서</t>
        </is>
      </c>
      <c r="G570" s="14" t="inlineStr">
        <is>
          <t>3:28</t>
        </is>
      </c>
      <c r="H570" s="15" t="inlineStr">
        <is>
          <t>(갈 3:28, 개역한글)</t>
        </is>
      </c>
      <c r="I570" s="14" t="inlineStr">
        <is>
          <t>연합</t>
        </is>
      </c>
      <c r="J570" s="14" t="inlineStr">
        <is>
          <t>창가·식탁</t>
        </is>
      </c>
      <c r="K570" s="16" t="inlineStr">
        <is>
          <t>너희는 유대인이나 헬라인이나 종이나 자주자나 남자나 여자 없이 다 그리스도 예수 안에서 하나이니라</t>
        </is>
      </c>
      <c r="L570" s="14" t="inlineStr">
        <is>
          <t>자동 입력</t>
        </is>
      </c>
      <c r="M570" s="14">
        <f>LEN(K570)</f>
        <v/>
      </c>
      <c r="N570" s="14">
        <f>IF(M570=0,"-",ROUND(3+M570/'안내'!$C$12,0))</f>
        <v/>
      </c>
      <c r="O570" s="15">
        <f>IF(K570="","(본문 입력 후 자동) | 갈 3:28",IF(LEN(K570)&gt;28,LEFT(K570,28)&amp;"…",K570)&amp;" | 갈 3:28")</f>
        <v/>
      </c>
      <c r="P570" s="15">
        <f>"#"&amp;SUBSTITUTE('안내'!$C$5," ","")&amp;" #성경구절 #말씀 #갈라디아서 #연합"</f>
        <v/>
      </c>
      <c r="Q570" s="15" t="inlineStr">
        <is>
          <t>성경 본문: 개역한글판</t>
        </is>
      </c>
      <c r="R570" s="17">
        <f>'안내'!$C$6+INT((D570-1)/'안내'!$C$7)</f>
        <v/>
      </c>
      <c r="S570" s="14">
        <f>IF(MOD(D570-1,'안내'!$C$7)=0,'안내'!$C$9,'안내'!$C$11)</f>
        <v/>
      </c>
      <c r="T570" s="14">
        <f>CHOOSE(WEEKDAY(R570,2),"월","화","수","목","금","토","일")</f>
        <v/>
      </c>
      <c r="U570" s="14" t="inlineStr">
        <is>
          <t>미착수</t>
        </is>
      </c>
      <c r="V570" s="14" t="inlineStr">
        <is>
          <t>미착수</t>
        </is>
      </c>
      <c r="W570" s="18" t="n"/>
      <c r="X570" s="18" t="n"/>
      <c r="Y570" s="15" t="n"/>
      <c r="Z570" s="15" t="inlineStr"/>
      <c r="AA570" s="15" t="inlineStr">
        <is>
          <t>There is neither Jew nor Greek, there is neither slave nor free man, there is neither male nor female; for you are all one in Christ Jesus.</t>
        </is>
      </c>
    </row>
    <row r="571">
      <c r="A571" s="14" t="n">
        <v>570</v>
      </c>
      <c r="B571" s="14" t="inlineStr">
        <is>
          <t>W0570</t>
        </is>
      </c>
      <c r="C571" s="14" t="inlineStr">
        <is>
          <t>신약</t>
        </is>
      </c>
      <c r="D571" s="14" t="n">
        <v>206</v>
      </c>
      <c r="E571" s="14">
        <f>C571&amp;"말씀 #"&amp;TEXT(D571,"000")</f>
        <v/>
      </c>
      <c r="F571" s="14" t="inlineStr">
        <is>
          <t>갈라디아서</t>
        </is>
      </c>
      <c r="G571" s="14" t="inlineStr">
        <is>
          <t>4:6</t>
        </is>
      </c>
      <c r="H571" s="15" t="inlineStr">
        <is>
          <t>(갈 4:6, 개역한글)</t>
        </is>
      </c>
      <c r="I571" s="14" t="inlineStr">
        <is>
          <t>성령</t>
        </is>
      </c>
      <c r="J571" s="14" t="inlineStr">
        <is>
          <t>하늘·별</t>
        </is>
      </c>
      <c r="K571" s="16" t="inlineStr">
        <is>
          <t>너희가 아들인 고로 하나님이 그 아들의 영을 우리 마음 가운데 보내사 아바 아버지라 부르게 하셨느니라</t>
        </is>
      </c>
      <c r="L571" s="14" t="inlineStr">
        <is>
          <t>자동 입력</t>
        </is>
      </c>
      <c r="M571" s="14">
        <f>LEN(K571)</f>
        <v/>
      </c>
      <c r="N571" s="14">
        <f>IF(M571=0,"-",ROUND(3+M571/'안내'!$C$12,0))</f>
        <v/>
      </c>
      <c r="O571" s="15">
        <f>IF(K571="","(본문 입력 후 자동) | 갈 4:6",IF(LEN(K571)&gt;28,LEFT(K571,28)&amp;"…",K571)&amp;" | 갈 4:6")</f>
        <v/>
      </c>
      <c r="P571" s="15">
        <f>"#"&amp;SUBSTITUTE('안내'!$C$5," ","")&amp;" #성경구절 #말씀 #갈라디아서 #성령"</f>
        <v/>
      </c>
      <c r="Q571" s="15" t="inlineStr">
        <is>
          <t>성경 본문: 개역한글판</t>
        </is>
      </c>
      <c r="R571" s="17">
        <f>'안내'!$C$6+INT((D571-1)/'안내'!$C$7)</f>
        <v/>
      </c>
      <c r="S571" s="14">
        <f>IF(MOD(D571-1,'안내'!$C$7)=0,'안내'!$C$9,'안내'!$C$11)</f>
        <v/>
      </c>
      <c r="T571" s="14">
        <f>CHOOSE(WEEKDAY(R571,2),"월","화","수","목","금","토","일")</f>
        <v/>
      </c>
      <c r="U571" s="14" t="inlineStr">
        <is>
          <t>미착수</t>
        </is>
      </c>
      <c r="V571" s="14" t="inlineStr">
        <is>
          <t>미착수</t>
        </is>
      </c>
      <c r="W571" s="18" t="n"/>
      <c r="X571" s="18" t="n"/>
      <c r="Y571" s="15" t="n"/>
      <c r="Z571" s="15" t="inlineStr"/>
      <c r="AA571" s="15" t="inlineStr">
        <is>
          <t>And because you are children, God sent out the Spirit of his Son into your hearts, crying, “Abba, Father!”</t>
        </is>
      </c>
    </row>
    <row r="572">
      <c r="A572" s="14" t="n">
        <v>571</v>
      </c>
      <c r="B572" s="14" t="inlineStr">
        <is>
          <t>W0571</t>
        </is>
      </c>
      <c r="C572" s="14" t="inlineStr">
        <is>
          <t>신약</t>
        </is>
      </c>
      <c r="D572" s="14" t="n">
        <v>207</v>
      </c>
      <c r="E572" s="14">
        <f>C572&amp;"말씀 #"&amp;TEXT(D572,"000")</f>
        <v/>
      </c>
      <c r="F572" s="14" t="inlineStr">
        <is>
          <t>갈라디아서</t>
        </is>
      </c>
      <c r="G572" s="14" t="inlineStr">
        <is>
          <t>5:1</t>
        </is>
      </c>
      <c r="H572" s="15" t="inlineStr">
        <is>
          <t>(갈 5:1, 개역한글)</t>
        </is>
      </c>
      <c r="I572" s="14" t="inlineStr">
        <is>
          <t>자유</t>
        </is>
      </c>
      <c r="J572" s="14" t="inlineStr">
        <is>
          <t>제단·십자가</t>
        </is>
      </c>
      <c r="K572" s="16" t="inlineStr">
        <is>
          <t>그리스도께서 우리로 자유케 하려고 자유를 주셨으니 그러므로 굳세게 서서 다시는 종의 멍에를 메지 말라</t>
        </is>
      </c>
      <c r="L572" s="14" t="inlineStr">
        <is>
          <t>자동 입력</t>
        </is>
      </c>
      <c r="M572" s="14">
        <f>LEN(K572)</f>
        <v/>
      </c>
      <c r="N572" s="14">
        <f>IF(M572=0,"-",ROUND(3+M572/'안내'!$C$12,0))</f>
        <v/>
      </c>
      <c r="O572" s="15">
        <f>IF(K572="","(본문 입력 후 자동) | 갈 5:1",IF(LEN(K572)&gt;28,LEFT(K572,28)&amp;"…",K572)&amp;" | 갈 5:1")</f>
        <v/>
      </c>
      <c r="P572" s="15">
        <f>"#"&amp;SUBSTITUTE('안내'!$C$5," ","")&amp;" #성경구절 #말씀 #갈라디아서 #자유"</f>
        <v/>
      </c>
      <c r="Q572" s="15" t="inlineStr">
        <is>
          <t>성경 본문: 개역한글판</t>
        </is>
      </c>
      <c r="R572" s="17">
        <f>'안내'!$C$6+INT((D572-1)/'안내'!$C$7)</f>
        <v/>
      </c>
      <c r="S572" s="14">
        <f>IF(MOD(D572-1,'안내'!$C$7)=0,'안내'!$C$9,'안내'!$C$11)</f>
        <v/>
      </c>
      <c r="T572" s="14">
        <f>CHOOSE(WEEKDAY(R572,2),"월","화","수","목","금","토","일")</f>
        <v/>
      </c>
      <c r="U572" s="14" t="inlineStr">
        <is>
          <t>미착수</t>
        </is>
      </c>
      <c r="V572" s="14" t="inlineStr">
        <is>
          <t>미착수</t>
        </is>
      </c>
      <c r="W572" s="18" t="n"/>
      <c r="X572" s="18" t="n"/>
      <c r="Y572" s="15" t="n"/>
      <c r="Z572" s="15" t="inlineStr"/>
      <c r="AA572" s="15" t="inlineStr">
        <is>
          <t>Stand firm therefore in the liberty by which Christ has made us free, and don’t be entangled again with a yoke of bondage.</t>
        </is>
      </c>
    </row>
    <row r="573">
      <c r="A573" s="14" t="n">
        <v>572</v>
      </c>
      <c r="B573" s="14" t="inlineStr">
        <is>
          <t>W0572</t>
        </is>
      </c>
      <c r="C573" s="14" t="inlineStr">
        <is>
          <t>신약</t>
        </is>
      </c>
      <c r="D573" s="14" t="n">
        <v>208</v>
      </c>
      <c r="E573" s="14">
        <f>C573&amp;"말씀 #"&amp;TEXT(D573,"000")</f>
        <v/>
      </c>
      <c r="F573" s="14" t="inlineStr">
        <is>
          <t>갈라디아서</t>
        </is>
      </c>
      <c r="G573" s="14" t="inlineStr">
        <is>
          <t>5:13</t>
        </is>
      </c>
      <c r="H573" s="15" t="inlineStr">
        <is>
          <t>(갈 5:13, 개역한글)</t>
        </is>
      </c>
      <c r="I573" s="14" t="inlineStr">
        <is>
          <t>섬김</t>
        </is>
      </c>
      <c r="J573" s="14" t="inlineStr">
        <is>
          <t>들판·나무</t>
        </is>
      </c>
      <c r="K573" s="16" t="inlineStr">
        <is>
          <t>형제들아 너희가 자유를 위하여 부르심을 입었으나 그러나 그 자유로 육체의 기회를 삼지 말고 오직 사랑으로 서로 종 노릇 하라</t>
        </is>
      </c>
      <c r="L573" s="14" t="inlineStr">
        <is>
          <t>자동 입력</t>
        </is>
      </c>
      <c r="M573" s="14">
        <f>LEN(K573)</f>
        <v/>
      </c>
      <c r="N573" s="14">
        <f>IF(M573=0,"-",ROUND(3+M573/'안내'!$C$12,0))</f>
        <v/>
      </c>
      <c r="O573" s="15">
        <f>IF(K573="","(본문 입력 후 자동) | 갈 5:13",IF(LEN(K573)&gt;28,LEFT(K573,28)&amp;"…",K573)&amp;" | 갈 5:13")</f>
        <v/>
      </c>
      <c r="P573" s="15">
        <f>"#"&amp;SUBSTITUTE('안내'!$C$5," ","")&amp;" #성경구절 #말씀 #갈라디아서 #섬김"</f>
        <v/>
      </c>
      <c r="Q573" s="15" t="inlineStr">
        <is>
          <t>성경 본문: 개역한글판</t>
        </is>
      </c>
      <c r="R573" s="17">
        <f>'안내'!$C$6+INT((D573-1)/'안내'!$C$7)</f>
        <v/>
      </c>
      <c r="S573" s="14">
        <f>IF(MOD(D573-1,'안내'!$C$7)=0,'안내'!$C$9,'안내'!$C$11)</f>
        <v/>
      </c>
      <c r="T573" s="14">
        <f>CHOOSE(WEEKDAY(R573,2),"월","화","수","목","금","토","일")</f>
        <v/>
      </c>
      <c r="U573" s="14" t="inlineStr">
        <is>
          <t>미착수</t>
        </is>
      </c>
      <c r="V573" s="14" t="inlineStr">
        <is>
          <t>미착수</t>
        </is>
      </c>
      <c r="W573" s="18" t="n"/>
      <c r="X573" s="18" t="n"/>
      <c r="Y573" s="15" t="n"/>
      <c r="Z573" s="15" t="inlineStr"/>
      <c r="AA573" s="15" t="inlineStr">
        <is>
          <t>For you, brothers, were called for freedom. Only don’t use your freedom as an opportunity for the flesh, but through love be servants to one another.</t>
        </is>
      </c>
    </row>
    <row r="574">
      <c r="A574" s="14" t="n">
        <v>573</v>
      </c>
      <c r="B574" s="14" t="inlineStr">
        <is>
          <t>W0573</t>
        </is>
      </c>
      <c r="C574" s="14" t="inlineStr">
        <is>
          <t>신약</t>
        </is>
      </c>
      <c r="D574" s="14" t="n">
        <v>209</v>
      </c>
      <c r="E574" s="14">
        <f>C574&amp;"말씀 #"&amp;TEXT(D574,"000")</f>
        <v/>
      </c>
      <c r="F574" s="14" t="inlineStr">
        <is>
          <t>갈라디아서</t>
        </is>
      </c>
      <c r="G574" s="14" t="inlineStr">
        <is>
          <t>5:22</t>
        </is>
      </c>
      <c r="H574" s="15" t="inlineStr">
        <is>
          <t>(갈 5:22, 개역한글)</t>
        </is>
      </c>
      <c r="I574" s="14" t="inlineStr">
        <is>
          <t>성령</t>
        </is>
      </c>
      <c r="J574" s="14" t="inlineStr">
        <is>
          <t>하늘·별</t>
        </is>
      </c>
      <c r="K574" s="16" t="inlineStr">
        <is>
          <t>오직 성령의 열매는 사랑과 희락과 화평과 오래 참음과 자비와 양선과 충성과</t>
        </is>
      </c>
      <c r="L574" s="14" t="inlineStr">
        <is>
          <t>자동 입력</t>
        </is>
      </c>
      <c r="M574" s="14">
        <f>LEN(K574)</f>
        <v/>
      </c>
      <c r="N574" s="14">
        <f>IF(M574=0,"-",ROUND(3+M574/'안내'!$C$12,0))</f>
        <v/>
      </c>
      <c r="O574" s="15">
        <f>IF(K574="","(본문 입력 후 자동) | 갈 5:22",IF(LEN(K574)&gt;28,LEFT(K574,28)&amp;"…",K574)&amp;" | 갈 5:22")</f>
        <v/>
      </c>
      <c r="P574" s="15">
        <f>"#"&amp;SUBSTITUTE('안내'!$C$5," ","")&amp;" #성경구절 #말씀 #갈라디아서 #성령"</f>
        <v/>
      </c>
      <c r="Q574" s="15" t="inlineStr">
        <is>
          <t>성경 본문: 개역한글판</t>
        </is>
      </c>
      <c r="R574" s="17">
        <f>'안내'!$C$6+INT((D574-1)/'안내'!$C$7)</f>
        <v/>
      </c>
      <c r="S574" s="14">
        <f>IF(MOD(D574-1,'안내'!$C$7)=0,'안내'!$C$9,'안내'!$C$11)</f>
        <v/>
      </c>
      <c r="T574" s="14">
        <f>CHOOSE(WEEKDAY(R574,2),"월","화","수","목","금","토","일")</f>
        <v/>
      </c>
      <c r="U574" s="14" t="inlineStr">
        <is>
          <t>미착수</t>
        </is>
      </c>
      <c r="V574" s="14" t="inlineStr">
        <is>
          <t>미착수</t>
        </is>
      </c>
      <c r="W574" s="18" t="n"/>
      <c r="X574" s="18" t="n"/>
      <c r="Y574" s="15" t="n"/>
      <c r="Z574" s="15" t="inlineStr"/>
      <c r="AA574" s="15" t="inlineStr">
        <is>
          <t>But the fruit of the Spirit is love, joy, peace, patience, kindness, goodness, faith,</t>
        </is>
      </c>
    </row>
    <row r="575">
      <c r="A575" s="14" t="n">
        <v>574</v>
      </c>
      <c r="B575" s="14" t="inlineStr">
        <is>
          <t>W0574</t>
        </is>
      </c>
      <c r="C575" s="14" t="inlineStr">
        <is>
          <t>신약</t>
        </is>
      </c>
      <c r="D575" s="14" t="n">
        <v>210</v>
      </c>
      <c r="E575" s="14">
        <f>C575&amp;"말씀 #"&amp;TEXT(D575,"000")</f>
        <v/>
      </c>
      <c r="F575" s="14" t="inlineStr">
        <is>
          <t>갈라디아서</t>
        </is>
      </c>
      <c r="G575" s="14" t="inlineStr">
        <is>
          <t>6:2</t>
        </is>
      </c>
      <c r="H575" s="15" t="inlineStr">
        <is>
          <t>(갈 6:2, 개역한글)</t>
        </is>
      </c>
      <c r="I575" s="14" t="inlineStr">
        <is>
          <t>섬김</t>
        </is>
      </c>
      <c r="J575" s="14" t="inlineStr">
        <is>
          <t>들판·나무</t>
        </is>
      </c>
      <c r="K575" s="16" t="inlineStr">
        <is>
          <t>너희가 무거운 짐을 서로 지라 그리하여 그리스도의 법을 성취하라</t>
        </is>
      </c>
      <c r="L575" s="14" t="inlineStr">
        <is>
          <t>자동 입력</t>
        </is>
      </c>
      <c r="M575" s="14">
        <f>LEN(K575)</f>
        <v/>
      </c>
      <c r="N575" s="14">
        <f>IF(M575=0,"-",ROUND(3+M575/'안내'!$C$12,0))</f>
        <v/>
      </c>
      <c r="O575" s="15">
        <f>IF(K575="","(본문 입력 후 자동) | 갈 6:2",IF(LEN(K575)&gt;28,LEFT(K575,28)&amp;"…",K575)&amp;" | 갈 6:2")</f>
        <v/>
      </c>
      <c r="P575" s="15">
        <f>"#"&amp;SUBSTITUTE('안내'!$C$5," ","")&amp;" #성경구절 #말씀 #갈라디아서 #섬김"</f>
        <v/>
      </c>
      <c r="Q575" s="15" t="inlineStr">
        <is>
          <t>성경 본문: 개역한글판</t>
        </is>
      </c>
      <c r="R575" s="17">
        <f>'안내'!$C$6+INT((D575-1)/'안내'!$C$7)</f>
        <v/>
      </c>
      <c r="S575" s="14">
        <f>IF(MOD(D575-1,'안내'!$C$7)=0,'안내'!$C$9,'안내'!$C$11)</f>
        <v/>
      </c>
      <c r="T575" s="14">
        <f>CHOOSE(WEEKDAY(R575,2),"월","화","수","목","금","토","일")</f>
        <v/>
      </c>
      <c r="U575" s="14" t="inlineStr">
        <is>
          <t>미착수</t>
        </is>
      </c>
      <c r="V575" s="14" t="inlineStr">
        <is>
          <t>미착수</t>
        </is>
      </c>
      <c r="W575" s="18" t="n"/>
      <c r="X575" s="18" t="n"/>
      <c r="Y575" s="15" t="n"/>
      <c r="Z575" s="15" t="inlineStr"/>
      <c r="AA575" s="15" t="inlineStr">
        <is>
          <t>Bear one another’s burdens, and so fulfill the law of Christ.</t>
        </is>
      </c>
    </row>
    <row r="576">
      <c r="A576" s="14" t="n">
        <v>575</v>
      </c>
      <c r="B576" s="14" t="inlineStr">
        <is>
          <t>W0575</t>
        </is>
      </c>
      <c r="C576" s="14" t="inlineStr">
        <is>
          <t>신약</t>
        </is>
      </c>
      <c r="D576" s="14" t="n">
        <v>211</v>
      </c>
      <c r="E576" s="14">
        <f>C576&amp;"말씀 #"&amp;TEXT(D576,"000")</f>
        <v/>
      </c>
      <c r="F576" s="14" t="inlineStr">
        <is>
          <t>갈라디아서</t>
        </is>
      </c>
      <c r="G576" s="14" t="inlineStr">
        <is>
          <t>6:7</t>
        </is>
      </c>
      <c r="H576" s="15" t="inlineStr">
        <is>
          <t>(갈 6:7, 개역한글)</t>
        </is>
      </c>
      <c r="I576" s="14" t="inlineStr">
        <is>
          <t>경외</t>
        </is>
      </c>
      <c r="J576" s="14" t="inlineStr">
        <is>
          <t>하늘·별</t>
        </is>
      </c>
      <c r="K576" s="16" t="inlineStr">
        <is>
          <t>스스로 속이지 말라 하나님은 만홀히 여김을 받지 아니하시나니 사람이 무엇으로 심든지 그대로 거두리라</t>
        </is>
      </c>
      <c r="L576" s="14" t="inlineStr">
        <is>
          <t>자동 입력</t>
        </is>
      </c>
      <c r="M576" s="14">
        <f>LEN(K576)</f>
        <v/>
      </c>
      <c r="N576" s="14">
        <f>IF(M576=0,"-",ROUND(3+M576/'안내'!$C$12,0))</f>
        <v/>
      </c>
      <c r="O576" s="15">
        <f>IF(K576="","(본문 입력 후 자동) | 갈 6:7",IF(LEN(K576)&gt;28,LEFT(K576,28)&amp;"…",K576)&amp;" | 갈 6:7")</f>
        <v/>
      </c>
      <c r="P576" s="15">
        <f>"#"&amp;SUBSTITUTE('안내'!$C$5," ","")&amp;" #성경구절 #말씀 #갈라디아서 #경외"</f>
        <v/>
      </c>
      <c r="Q576" s="15" t="inlineStr">
        <is>
          <t>성경 본문: 개역한글판</t>
        </is>
      </c>
      <c r="R576" s="17">
        <f>'안내'!$C$6+INT((D576-1)/'안내'!$C$7)</f>
        <v/>
      </c>
      <c r="S576" s="14">
        <f>IF(MOD(D576-1,'안내'!$C$7)=0,'안내'!$C$9,'안내'!$C$11)</f>
        <v/>
      </c>
      <c r="T576" s="14">
        <f>CHOOSE(WEEKDAY(R576,2),"월","화","수","목","금","토","일")</f>
        <v/>
      </c>
      <c r="U576" s="14" t="inlineStr">
        <is>
          <t>미착수</t>
        </is>
      </c>
      <c r="V576" s="14" t="inlineStr">
        <is>
          <t>미착수</t>
        </is>
      </c>
      <c r="W576" s="18" t="n"/>
      <c r="X576" s="18" t="n"/>
      <c r="Y576" s="15" t="n"/>
      <c r="Z576" s="15" t="inlineStr"/>
      <c r="AA576" s="15" t="inlineStr">
        <is>
          <t>Don’t be deceived. God is not mocked, for whatever a man sows, that he will also reap.</t>
        </is>
      </c>
    </row>
    <row r="577">
      <c r="A577" s="14" t="n">
        <v>576</v>
      </c>
      <c r="B577" s="14" t="inlineStr">
        <is>
          <t>W0576</t>
        </is>
      </c>
      <c r="C577" s="14" t="inlineStr">
        <is>
          <t>신약</t>
        </is>
      </c>
      <c r="D577" s="14" t="n">
        <v>212</v>
      </c>
      <c r="E577" s="14">
        <f>C577&amp;"말씀 #"&amp;TEXT(D577,"000")</f>
        <v/>
      </c>
      <c r="F577" s="14" t="inlineStr">
        <is>
          <t>갈라디아서</t>
        </is>
      </c>
      <c r="G577" s="14" t="inlineStr">
        <is>
          <t>6:9</t>
        </is>
      </c>
      <c r="H577" s="15" t="inlineStr">
        <is>
          <t>(갈 6:9, 개역한글)</t>
        </is>
      </c>
      <c r="I577" s="14" t="inlineStr">
        <is>
          <t>소망</t>
        </is>
      </c>
      <c r="J577" s="14" t="inlineStr">
        <is>
          <t>새벽빛</t>
        </is>
      </c>
      <c r="K577" s="16" t="inlineStr">
        <is>
          <t>우리가 선을 행하되 낙심하지 말지니 피곤하지 아니하면 때가 이르매 거두리라</t>
        </is>
      </c>
      <c r="L577" s="14" t="inlineStr">
        <is>
          <t>자동 입력</t>
        </is>
      </c>
      <c r="M577" s="14">
        <f>LEN(K577)</f>
        <v/>
      </c>
      <c r="N577" s="14">
        <f>IF(M577=0,"-",ROUND(3+M577/'안내'!$C$12,0))</f>
        <v/>
      </c>
      <c r="O577" s="15">
        <f>IF(K577="","(본문 입력 후 자동) | 갈 6:9",IF(LEN(K577)&gt;28,LEFT(K577,28)&amp;"…",K577)&amp;" | 갈 6:9")</f>
        <v/>
      </c>
      <c r="P577" s="15">
        <f>"#"&amp;SUBSTITUTE('안내'!$C$5," ","")&amp;" #성경구절 #말씀 #갈라디아서 #소망"</f>
        <v/>
      </c>
      <c r="Q577" s="15" t="inlineStr">
        <is>
          <t>성경 본문: 개역한글판</t>
        </is>
      </c>
      <c r="R577" s="17">
        <f>'안내'!$C$6+INT((D577-1)/'안내'!$C$7)</f>
        <v/>
      </c>
      <c r="S577" s="14">
        <f>IF(MOD(D577-1,'안내'!$C$7)=0,'안내'!$C$9,'안내'!$C$11)</f>
        <v/>
      </c>
      <c r="T577" s="14">
        <f>CHOOSE(WEEKDAY(R577,2),"월","화","수","목","금","토","일")</f>
        <v/>
      </c>
      <c r="U577" s="14" t="inlineStr">
        <is>
          <t>미착수</t>
        </is>
      </c>
      <c r="V577" s="14" t="inlineStr">
        <is>
          <t>미착수</t>
        </is>
      </c>
      <c r="W577" s="18" t="n"/>
      <c r="X577" s="18" t="n"/>
      <c r="Y577" s="15" t="n"/>
      <c r="Z577" s="15" t="inlineStr"/>
      <c r="AA577" s="15" t="inlineStr">
        <is>
          <t>Let’s not be weary in doing good, for we will reap in due season if we don’t give up.</t>
        </is>
      </c>
    </row>
    <row r="578">
      <c r="A578" s="14" t="n">
        <v>577</v>
      </c>
      <c r="B578" s="14" t="inlineStr">
        <is>
          <t>W0577</t>
        </is>
      </c>
      <c r="C578" s="14" t="inlineStr">
        <is>
          <t>신약</t>
        </is>
      </c>
      <c r="D578" s="14" t="n">
        <v>213</v>
      </c>
      <c r="E578" s="14">
        <f>C578&amp;"말씀 #"&amp;TEXT(D578,"000")</f>
        <v/>
      </c>
      <c r="F578" s="14" t="inlineStr">
        <is>
          <t>갈라디아서</t>
        </is>
      </c>
      <c r="G578" s="14" t="inlineStr">
        <is>
          <t>6:14</t>
        </is>
      </c>
      <c r="H578" s="15" t="inlineStr">
        <is>
          <t>(갈 6:14, 개역한글)</t>
        </is>
      </c>
      <c r="I578" s="14" t="inlineStr">
        <is>
          <t>구원</t>
        </is>
      </c>
      <c r="J578" s="14" t="inlineStr">
        <is>
          <t>제단·십자가</t>
        </is>
      </c>
      <c r="K578" s="16" t="inlineStr">
        <is>
          <t>그러나 내게는 우리 주 예수 그리스도의 십자가 외에 결코 자랑할 것이 없으니 그리스도로 말미암아 세상이 나를 대하여 십자가에 못 박히고 내가 또한 세상을 대하여 그러하니라</t>
        </is>
      </c>
      <c r="L578" s="14" t="inlineStr">
        <is>
          <t>자동 입력 · 대조 필요</t>
        </is>
      </c>
      <c r="M578" s="14">
        <f>LEN(K578)</f>
        <v/>
      </c>
      <c r="N578" s="14">
        <f>IF(M578=0,"-",ROUND(3+M578/'안내'!$C$12,0))</f>
        <v/>
      </c>
      <c r="O578" s="15">
        <f>IF(K578="","(본문 입력 후 자동) | 갈 6:14",IF(LEN(K578)&gt;28,LEFT(K578,28)&amp;"…",K578)&amp;" | 갈 6:14")</f>
        <v/>
      </c>
      <c r="P578" s="15">
        <f>"#"&amp;SUBSTITUTE('안내'!$C$5," ","")&amp;" #성경구절 #말씀 #갈라디아서 #구원"</f>
        <v/>
      </c>
      <c r="Q578" s="15" t="inlineStr">
        <is>
          <t>성경 본문: 개역한글판</t>
        </is>
      </c>
      <c r="R578" s="17">
        <f>'안내'!$C$6+INT((D578-1)/'안내'!$C$7)</f>
        <v/>
      </c>
      <c r="S578" s="14">
        <f>IF(MOD(D578-1,'안내'!$C$7)=0,'안내'!$C$9,'안내'!$C$11)</f>
        <v/>
      </c>
      <c r="T578" s="14">
        <f>CHOOSE(WEEKDAY(R578,2),"월","화","수","목","금","토","일")</f>
        <v/>
      </c>
      <c r="U578" s="14" t="inlineStr">
        <is>
          <t>미착수</t>
        </is>
      </c>
      <c r="V578" s="14" t="inlineStr">
        <is>
          <t>미착수</t>
        </is>
      </c>
      <c r="W578" s="18" t="n"/>
      <c r="X578" s="18" t="n"/>
      <c r="Y578" s="15" t="n"/>
      <c r="Z578" s="15" t="inlineStr">
        <is>
          <t>줄바꿈 띄어쓰기 확인</t>
        </is>
      </c>
      <c r="AA578" s="15" t="inlineStr">
        <is>
          <t>But far be it from me to boast except in the cross of our Lord Jesus Christ, through which the world has been crucified to me, and I to the world.</t>
        </is>
      </c>
    </row>
    <row r="579">
      <c r="A579" s="14" t="n">
        <v>578</v>
      </c>
      <c r="B579" s="14" t="inlineStr">
        <is>
          <t>W0578</t>
        </is>
      </c>
      <c r="C579" s="14" t="inlineStr">
        <is>
          <t>신약</t>
        </is>
      </c>
      <c r="D579" s="14" t="n">
        <v>214</v>
      </c>
      <c r="E579" s="14">
        <f>C579&amp;"말씀 #"&amp;TEXT(D579,"000")</f>
        <v/>
      </c>
      <c r="F579" s="14" t="inlineStr">
        <is>
          <t>에베소서</t>
        </is>
      </c>
      <c r="G579" s="14" t="inlineStr">
        <is>
          <t>1:4</t>
        </is>
      </c>
      <c r="H579" s="15" t="inlineStr">
        <is>
          <t>(엡 1:4, 개역한글)</t>
        </is>
      </c>
      <c r="I579" s="14" t="inlineStr">
        <is>
          <t>은혜</t>
        </is>
      </c>
      <c r="J579" s="14" t="inlineStr">
        <is>
          <t>잔잔한 물</t>
        </is>
      </c>
      <c r="K579" s="16" t="inlineStr">
        <is>
          <t>곧 창세 전에 그리스도 안에서 우리를 택하사 우리로 사랑 안에서 그 앞에 거룩하고 흠이 없게 하시려고</t>
        </is>
      </c>
      <c r="L579" s="14" t="inlineStr">
        <is>
          <t>자동 입력</t>
        </is>
      </c>
      <c r="M579" s="14">
        <f>LEN(K579)</f>
        <v/>
      </c>
      <c r="N579" s="14">
        <f>IF(M579=0,"-",ROUND(3+M579/'안내'!$C$12,0))</f>
        <v/>
      </c>
      <c r="O579" s="15">
        <f>IF(K579="","(본문 입력 후 자동) | 엡 1:4",IF(LEN(K579)&gt;28,LEFT(K579,28)&amp;"…",K579)&amp;" | 엡 1:4")</f>
        <v/>
      </c>
      <c r="P579" s="15">
        <f>"#"&amp;SUBSTITUTE('안내'!$C$5," ","")&amp;" #성경구절 #말씀 #에베소서 #은혜"</f>
        <v/>
      </c>
      <c r="Q579" s="15" t="inlineStr">
        <is>
          <t>성경 본문: 개역한글판</t>
        </is>
      </c>
      <c r="R579" s="17">
        <f>'안내'!$C$6+INT((D579-1)/'안내'!$C$7)</f>
        <v/>
      </c>
      <c r="S579" s="14">
        <f>IF(MOD(D579-1,'안내'!$C$7)=0,'안내'!$C$9,'안내'!$C$11)</f>
        <v/>
      </c>
      <c r="T579" s="14">
        <f>CHOOSE(WEEKDAY(R579,2),"월","화","수","목","금","토","일")</f>
        <v/>
      </c>
      <c r="U579" s="14" t="inlineStr">
        <is>
          <t>미착수</t>
        </is>
      </c>
      <c r="V579" s="14" t="inlineStr">
        <is>
          <t>미착수</t>
        </is>
      </c>
      <c r="W579" s="18" t="n"/>
      <c r="X579" s="18" t="n"/>
      <c r="Y579" s="15" t="n"/>
      <c r="Z579" s="15" t="inlineStr"/>
      <c r="AA579" s="15" t="inlineStr">
        <is>
          <t>even as he chose us in him before the foundation of the world, that we would be holy and without defect before him in love,</t>
        </is>
      </c>
    </row>
    <row r="580">
      <c r="A580" s="14" t="n">
        <v>579</v>
      </c>
      <c r="B580" s="14" t="inlineStr">
        <is>
          <t>W0579</t>
        </is>
      </c>
      <c r="C580" s="14" t="inlineStr">
        <is>
          <t>신약</t>
        </is>
      </c>
      <c r="D580" s="14" t="n">
        <v>215</v>
      </c>
      <c r="E580" s="14">
        <f>C580&amp;"말씀 #"&amp;TEXT(D580,"000")</f>
        <v/>
      </c>
      <c r="F580" s="14" t="inlineStr">
        <is>
          <t>에베소서</t>
        </is>
      </c>
      <c r="G580" s="14" t="inlineStr">
        <is>
          <t>1:7</t>
        </is>
      </c>
      <c r="H580" s="15" t="inlineStr">
        <is>
          <t>(엡 1:7, 개역한글)</t>
        </is>
      </c>
      <c r="I580" s="14" t="inlineStr">
        <is>
          <t>용서</t>
        </is>
      </c>
      <c r="J580" s="14" t="inlineStr">
        <is>
          <t>잔잔한 물</t>
        </is>
      </c>
      <c r="K580" s="16" t="inlineStr">
        <is>
          <t>우리가 그리스도 안에서 그의 은혜의 풍성함을 따라 그의 피로 말미암아 구속 곧 죄 사함을 받았으니</t>
        </is>
      </c>
      <c r="L580" s="14" t="inlineStr">
        <is>
          <t>자동 입력</t>
        </is>
      </c>
      <c r="M580" s="14">
        <f>LEN(K580)</f>
        <v/>
      </c>
      <c r="N580" s="14">
        <f>IF(M580=0,"-",ROUND(3+M580/'안내'!$C$12,0))</f>
        <v/>
      </c>
      <c r="O580" s="15">
        <f>IF(K580="","(본문 입력 후 자동) | 엡 1:7",IF(LEN(K580)&gt;28,LEFT(K580,28)&amp;"…",K580)&amp;" | 엡 1:7")</f>
        <v/>
      </c>
      <c r="P580" s="15">
        <f>"#"&amp;SUBSTITUTE('안내'!$C$5," ","")&amp;" #성경구절 #말씀 #에베소서 #용서"</f>
        <v/>
      </c>
      <c r="Q580" s="15" t="inlineStr">
        <is>
          <t>성경 본문: 개역한글판</t>
        </is>
      </c>
      <c r="R580" s="17">
        <f>'안내'!$C$6+INT((D580-1)/'안내'!$C$7)</f>
        <v/>
      </c>
      <c r="S580" s="14">
        <f>IF(MOD(D580-1,'안내'!$C$7)=0,'안내'!$C$9,'안내'!$C$11)</f>
        <v/>
      </c>
      <c r="T580" s="14">
        <f>CHOOSE(WEEKDAY(R580,2),"월","화","수","목","금","토","일")</f>
        <v/>
      </c>
      <c r="U580" s="14" t="inlineStr">
        <is>
          <t>미착수</t>
        </is>
      </c>
      <c r="V580" s="14" t="inlineStr">
        <is>
          <t>미착수</t>
        </is>
      </c>
      <c r="W580" s="18" t="n"/>
      <c r="X580" s="18" t="n"/>
      <c r="Y580" s="15" t="n"/>
      <c r="Z580" s="15" t="inlineStr"/>
      <c r="AA580" s="15" t="inlineStr">
        <is>
          <t>In him we have our redemption through his blood, the forgiveness of our trespasses, accord- ing to the riches of his grace</t>
        </is>
      </c>
    </row>
    <row r="581">
      <c r="A581" s="14" t="n">
        <v>580</v>
      </c>
      <c r="B581" s="14" t="inlineStr">
        <is>
          <t>W0580</t>
        </is>
      </c>
      <c r="C581" s="14" t="inlineStr">
        <is>
          <t>신약</t>
        </is>
      </c>
      <c r="D581" s="14" t="n">
        <v>216</v>
      </c>
      <c r="E581" s="14">
        <f>C581&amp;"말씀 #"&amp;TEXT(D581,"000")</f>
        <v/>
      </c>
      <c r="F581" s="14" t="inlineStr">
        <is>
          <t>에베소서</t>
        </is>
      </c>
      <c r="G581" s="14" t="inlineStr">
        <is>
          <t>2:8</t>
        </is>
      </c>
      <c r="H581" s="15" t="inlineStr">
        <is>
          <t>(엡 2:8, 개역한글)</t>
        </is>
      </c>
      <c r="I581" s="14" t="inlineStr">
        <is>
          <t>은혜</t>
        </is>
      </c>
      <c r="J581" s="14" t="inlineStr">
        <is>
          <t>잔잔한 물</t>
        </is>
      </c>
      <c r="K581" s="16" t="inlineStr">
        <is>
          <t>너희가 그 은혜를 인하여 믿음으로 말미암아 구원을 얻었나니 이것이 너희에게서 난 것이 아니요 하나님의 선물이라</t>
        </is>
      </c>
      <c r="L581" s="14" t="inlineStr">
        <is>
          <t>자동 입력 · 대조 필요</t>
        </is>
      </c>
      <c r="M581" s="14">
        <f>LEN(K581)</f>
        <v/>
      </c>
      <c r="N581" s="14">
        <f>IF(M581=0,"-",ROUND(3+M581/'안내'!$C$12,0))</f>
        <v/>
      </c>
      <c r="O581" s="15">
        <f>IF(K581="","(본문 입력 후 자동) | 엡 2:8",IF(LEN(K581)&gt;28,LEFT(K581,28)&amp;"…",K581)&amp;" | 엡 2:8")</f>
        <v/>
      </c>
      <c r="P581" s="15">
        <f>"#"&amp;SUBSTITUTE('안내'!$C$5," ","")&amp;" #성경구절 #말씀 #에베소서 #은혜"</f>
        <v/>
      </c>
      <c r="Q581" s="15" t="inlineStr">
        <is>
          <t>성경 본문: 개역한글판</t>
        </is>
      </c>
      <c r="R581" s="17">
        <f>'안내'!$C$6+INT((D581-1)/'안내'!$C$7)</f>
        <v/>
      </c>
      <c r="S581" s="14">
        <f>IF(MOD(D581-1,'안내'!$C$7)=0,'안내'!$C$9,'안내'!$C$11)</f>
        <v/>
      </c>
      <c r="T581" s="14">
        <f>CHOOSE(WEEKDAY(R581,2),"월","화","수","목","금","토","일")</f>
        <v/>
      </c>
      <c r="U581" s="14" t="inlineStr">
        <is>
          <t>미착수</t>
        </is>
      </c>
      <c r="V581" s="14" t="inlineStr">
        <is>
          <t>미착수</t>
        </is>
      </c>
      <c r="W581" s="18" t="n"/>
      <c r="X581" s="18" t="n"/>
      <c r="Y581" s="15" t="n"/>
      <c r="Z581" s="15" t="inlineStr">
        <is>
          <t>줄바꿈 띄어쓰기 확인</t>
        </is>
      </c>
      <c r="AA581" s="15" t="inlineStr">
        <is>
          <t>for by grace you have been saved through faith, and that not of yourselves; it is the gift of God,</t>
        </is>
      </c>
    </row>
    <row r="582">
      <c r="A582" s="14" t="n">
        <v>581</v>
      </c>
      <c r="B582" s="14" t="inlineStr">
        <is>
          <t>W0581</t>
        </is>
      </c>
      <c r="C582" s="14" t="inlineStr">
        <is>
          <t>신약</t>
        </is>
      </c>
      <c r="D582" s="14" t="n">
        <v>217</v>
      </c>
      <c r="E582" s="14">
        <f>C582&amp;"말씀 #"&amp;TEXT(D582,"000")</f>
        <v/>
      </c>
      <c r="F582" s="14" t="inlineStr">
        <is>
          <t>에베소서</t>
        </is>
      </c>
      <c r="G582" s="14" t="inlineStr">
        <is>
          <t>2:10</t>
        </is>
      </c>
      <c r="H582" s="15" t="inlineStr">
        <is>
          <t>(엡 2:10, 개역한글)</t>
        </is>
      </c>
      <c r="I582" s="14" t="inlineStr">
        <is>
          <t>부르심</t>
        </is>
      </c>
      <c r="J582" s="14" t="inlineStr">
        <is>
          <t>길·등불</t>
        </is>
      </c>
      <c r="K582" s="16" t="inlineStr">
        <is>
          <t>우리는 그의 만드신 바라 그리스도 예수 안에서 선한 일을 위하여 지으심을 받은 자니 이 일은 하나님이 전에 예비하사 우리로 그 가운데서 행하게 하려 하심이니라</t>
        </is>
      </c>
      <c r="L582" s="14" t="inlineStr">
        <is>
          <t>자동 입력</t>
        </is>
      </c>
      <c r="M582" s="14">
        <f>LEN(K582)</f>
        <v/>
      </c>
      <c r="N582" s="14">
        <f>IF(M582=0,"-",ROUND(3+M582/'안내'!$C$12,0))</f>
        <v/>
      </c>
      <c r="O582" s="15">
        <f>IF(K582="","(본문 입력 후 자동) | 엡 2:10",IF(LEN(K582)&gt;28,LEFT(K582,28)&amp;"…",K582)&amp;" | 엡 2:10")</f>
        <v/>
      </c>
      <c r="P582" s="15">
        <f>"#"&amp;SUBSTITUTE('안내'!$C$5," ","")&amp;" #성경구절 #말씀 #에베소서 #부르심"</f>
        <v/>
      </c>
      <c r="Q582" s="15" t="inlineStr">
        <is>
          <t>성경 본문: 개역한글판</t>
        </is>
      </c>
      <c r="R582" s="17">
        <f>'안내'!$C$6+INT((D582-1)/'안내'!$C$7)</f>
        <v/>
      </c>
      <c r="S582" s="14">
        <f>IF(MOD(D582-1,'안내'!$C$7)=0,'안내'!$C$9,'안내'!$C$11)</f>
        <v/>
      </c>
      <c r="T582" s="14">
        <f>CHOOSE(WEEKDAY(R582,2),"월","화","수","목","금","토","일")</f>
        <v/>
      </c>
      <c r="U582" s="14" t="inlineStr">
        <is>
          <t>미착수</t>
        </is>
      </c>
      <c r="V582" s="14" t="inlineStr">
        <is>
          <t>미착수</t>
        </is>
      </c>
      <c r="W582" s="18" t="n"/>
      <c r="X582" s="18" t="n"/>
      <c r="Y582" s="15" t="n"/>
      <c r="Z582" s="15" t="inlineStr"/>
      <c r="AA582" s="15" t="inlineStr">
        <is>
          <t>For we are his workmanship, created in Christ Jesus for good works, which God prepared before that we would walk in them.</t>
        </is>
      </c>
    </row>
    <row r="583">
      <c r="A583" s="14" t="n">
        <v>582</v>
      </c>
      <c r="B583" s="14" t="inlineStr">
        <is>
          <t>W0582</t>
        </is>
      </c>
      <c r="C583" s="14" t="inlineStr">
        <is>
          <t>신약</t>
        </is>
      </c>
      <c r="D583" s="14" t="n">
        <v>218</v>
      </c>
      <c r="E583" s="14">
        <f>C583&amp;"말씀 #"&amp;TEXT(D583,"000")</f>
        <v/>
      </c>
      <c r="F583" s="14" t="inlineStr">
        <is>
          <t>에베소서</t>
        </is>
      </c>
      <c r="G583" s="14" t="inlineStr">
        <is>
          <t>2:14</t>
        </is>
      </c>
      <c r="H583" s="15" t="inlineStr">
        <is>
          <t>(엡 2:14, 개역한글)</t>
        </is>
      </c>
      <c r="I583" s="14" t="inlineStr">
        <is>
          <t>평안</t>
        </is>
      </c>
      <c r="J583" s="14" t="inlineStr">
        <is>
          <t>잔잔한 물</t>
        </is>
      </c>
      <c r="K583" s="16" t="inlineStr">
        <is>
          <t>그는 우리의 화평이신지라 둘로 하나를 만드사 중간에 막힌 담을 허시고</t>
        </is>
      </c>
      <c r="L583" s="14" t="inlineStr">
        <is>
          <t>자동 입력</t>
        </is>
      </c>
      <c r="M583" s="14">
        <f>LEN(K583)</f>
        <v/>
      </c>
      <c r="N583" s="14">
        <f>IF(M583=0,"-",ROUND(3+M583/'안내'!$C$12,0))</f>
        <v/>
      </c>
      <c r="O583" s="15">
        <f>IF(K583="","(본문 입력 후 자동) | 엡 2:14",IF(LEN(K583)&gt;28,LEFT(K583,28)&amp;"…",K583)&amp;" | 엡 2:14")</f>
        <v/>
      </c>
      <c r="P583" s="15">
        <f>"#"&amp;SUBSTITUTE('안내'!$C$5," ","")&amp;" #성경구절 #말씀 #에베소서 #평안"</f>
        <v/>
      </c>
      <c r="Q583" s="15" t="inlineStr">
        <is>
          <t>성경 본문: 개역한글판</t>
        </is>
      </c>
      <c r="R583" s="17">
        <f>'안내'!$C$6+INT((D583-1)/'안내'!$C$7)</f>
        <v/>
      </c>
      <c r="S583" s="14">
        <f>IF(MOD(D583-1,'안내'!$C$7)=0,'안내'!$C$9,'안내'!$C$11)</f>
        <v/>
      </c>
      <c r="T583" s="14">
        <f>CHOOSE(WEEKDAY(R583,2),"월","화","수","목","금","토","일")</f>
        <v/>
      </c>
      <c r="U583" s="14" t="inlineStr">
        <is>
          <t>미착수</t>
        </is>
      </c>
      <c r="V583" s="14" t="inlineStr">
        <is>
          <t>미착수</t>
        </is>
      </c>
      <c r="W583" s="18" t="n"/>
      <c r="X583" s="18" t="n"/>
      <c r="Y583" s="15" t="n"/>
      <c r="Z583" s="15" t="inlineStr"/>
      <c r="AA583" s="15" t="inlineStr">
        <is>
          <t>For he is our peace, who made both one, and broke down the middle wall of separation,</t>
        </is>
      </c>
    </row>
    <row r="584">
      <c r="A584" s="14" t="n">
        <v>583</v>
      </c>
      <c r="B584" s="14" t="inlineStr">
        <is>
          <t>W0583</t>
        </is>
      </c>
      <c r="C584" s="14" t="inlineStr">
        <is>
          <t>신약</t>
        </is>
      </c>
      <c r="D584" s="14" t="n">
        <v>219</v>
      </c>
      <c r="E584" s="14">
        <f>C584&amp;"말씀 #"&amp;TEXT(D584,"000")</f>
        <v/>
      </c>
      <c r="F584" s="14" t="inlineStr">
        <is>
          <t>에베소서</t>
        </is>
      </c>
      <c r="G584" s="14" t="inlineStr">
        <is>
          <t>3:20</t>
        </is>
      </c>
      <c r="H584" s="15" t="inlineStr">
        <is>
          <t>(엡 3:20, 개역한글)</t>
        </is>
      </c>
      <c r="I584" s="14" t="inlineStr">
        <is>
          <t>능력</t>
        </is>
      </c>
      <c r="J584" s="14" t="inlineStr">
        <is>
          <t>바위산·광야</t>
        </is>
      </c>
      <c r="K584" s="16" t="inlineStr">
        <is>
          <t>우리 가운데서 역사하시는 능력대로 우리의 온갖 구하는 것이나 생각하는 것에 더 넘치도록 능히 하실 이에게</t>
        </is>
      </c>
      <c r="L584" s="14" t="inlineStr">
        <is>
          <t>자동 입력</t>
        </is>
      </c>
      <c r="M584" s="14">
        <f>LEN(K584)</f>
        <v/>
      </c>
      <c r="N584" s="14">
        <f>IF(M584=0,"-",ROUND(3+M584/'안내'!$C$12,0))</f>
        <v/>
      </c>
      <c r="O584" s="15">
        <f>IF(K584="","(본문 입력 후 자동) | 엡 3:20",IF(LEN(K584)&gt;28,LEFT(K584,28)&amp;"…",K584)&amp;" | 엡 3:20")</f>
        <v/>
      </c>
      <c r="P584" s="15">
        <f>"#"&amp;SUBSTITUTE('안내'!$C$5," ","")&amp;" #성경구절 #말씀 #에베소서 #능력"</f>
        <v/>
      </c>
      <c r="Q584" s="15" t="inlineStr">
        <is>
          <t>성경 본문: 개역한글판</t>
        </is>
      </c>
      <c r="R584" s="17">
        <f>'안내'!$C$6+INT((D584-1)/'안내'!$C$7)</f>
        <v/>
      </c>
      <c r="S584" s="14">
        <f>IF(MOD(D584-1,'안내'!$C$7)=0,'안내'!$C$9,'안내'!$C$11)</f>
        <v/>
      </c>
      <c r="T584" s="14">
        <f>CHOOSE(WEEKDAY(R584,2),"월","화","수","목","금","토","일")</f>
        <v/>
      </c>
      <c r="U584" s="14" t="inlineStr">
        <is>
          <t>미착수</t>
        </is>
      </c>
      <c r="V584" s="14" t="inlineStr">
        <is>
          <t>미착수</t>
        </is>
      </c>
      <c r="W584" s="18" t="n"/>
      <c r="X584" s="18" t="n"/>
      <c r="Y584" s="15" t="n"/>
      <c r="Z584" s="15" t="inlineStr"/>
      <c r="AA584" s="15" t="inlineStr">
        <is>
          <t>Now to him who is able to do exceed- ingly abundantly above all that we ask or think, according to the power that works in us,</t>
        </is>
      </c>
    </row>
    <row r="585">
      <c r="A585" s="14" t="n">
        <v>584</v>
      </c>
      <c r="B585" s="14" t="inlineStr">
        <is>
          <t>W0584</t>
        </is>
      </c>
      <c r="C585" s="14" t="inlineStr">
        <is>
          <t>신약</t>
        </is>
      </c>
      <c r="D585" s="14" t="n">
        <v>220</v>
      </c>
      <c r="E585" s="14">
        <f>C585&amp;"말씀 #"&amp;TEXT(D585,"000")</f>
        <v/>
      </c>
      <c r="F585" s="14" t="inlineStr">
        <is>
          <t>에베소서</t>
        </is>
      </c>
      <c r="G585" s="14" t="inlineStr">
        <is>
          <t>4:2</t>
        </is>
      </c>
      <c r="H585" s="15" t="inlineStr">
        <is>
          <t>(엡 4:2, 개역한글)</t>
        </is>
      </c>
      <c r="I585" s="14" t="inlineStr">
        <is>
          <t>사랑</t>
        </is>
      </c>
      <c r="J585" s="14" t="inlineStr">
        <is>
          <t>창가·식탁</t>
        </is>
      </c>
      <c r="K585" s="16" t="inlineStr">
        <is>
          <t>모든 겸손과 온유로 하고 오래 참음으로 사랑 가운데서 서로 용납하고</t>
        </is>
      </c>
      <c r="L585" s="14" t="inlineStr">
        <is>
          <t>자동 입력</t>
        </is>
      </c>
      <c r="M585" s="14">
        <f>LEN(K585)</f>
        <v/>
      </c>
      <c r="N585" s="14">
        <f>IF(M585=0,"-",ROUND(3+M585/'안내'!$C$12,0))</f>
        <v/>
      </c>
      <c r="O585" s="15">
        <f>IF(K585="","(본문 입력 후 자동) | 엡 4:2",IF(LEN(K585)&gt;28,LEFT(K585,28)&amp;"…",K585)&amp;" | 엡 4:2")</f>
        <v/>
      </c>
      <c r="P585" s="15">
        <f>"#"&amp;SUBSTITUTE('안내'!$C$5," ","")&amp;" #성경구절 #말씀 #에베소서 #사랑"</f>
        <v/>
      </c>
      <c r="Q585" s="15" t="inlineStr">
        <is>
          <t>성경 본문: 개역한글판</t>
        </is>
      </c>
      <c r="R585" s="17">
        <f>'안내'!$C$6+INT((D585-1)/'안내'!$C$7)</f>
        <v/>
      </c>
      <c r="S585" s="14">
        <f>IF(MOD(D585-1,'안내'!$C$7)=0,'안내'!$C$9,'안내'!$C$11)</f>
        <v/>
      </c>
      <c r="T585" s="14">
        <f>CHOOSE(WEEKDAY(R585,2),"월","화","수","목","금","토","일")</f>
        <v/>
      </c>
      <c r="U585" s="14" t="inlineStr">
        <is>
          <t>미착수</t>
        </is>
      </c>
      <c r="V585" s="14" t="inlineStr">
        <is>
          <t>미착수</t>
        </is>
      </c>
      <c r="W585" s="18" t="n"/>
      <c r="X585" s="18" t="n"/>
      <c r="Y585" s="15" t="n"/>
      <c r="Z585" s="15" t="inlineStr"/>
      <c r="AA585" s="15" t="inlineStr">
        <is>
          <t>with all lowliness and humility, with patience, bearing with one another in love,</t>
        </is>
      </c>
    </row>
    <row r="586">
      <c r="A586" s="14" t="n">
        <v>585</v>
      </c>
      <c r="B586" s="14" t="inlineStr">
        <is>
          <t>W0585</t>
        </is>
      </c>
      <c r="C586" s="14" t="inlineStr">
        <is>
          <t>신약</t>
        </is>
      </c>
      <c r="D586" s="14" t="n">
        <v>221</v>
      </c>
      <c r="E586" s="14">
        <f>C586&amp;"말씀 #"&amp;TEXT(D586,"000")</f>
        <v/>
      </c>
      <c r="F586" s="14" t="inlineStr">
        <is>
          <t>에베소서</t>
        </is>
      </c>
      <c r="G586" s="14" t="inlineStr">
        <is>
          <t>4:26</t>
        </is>
      </c>
      <c r="H586" s="15" t="inlineStr">
        <is>
          <t>(엡 4:26, 개역한글)</t>
        </is>
      </c>
      <c r="I586" s="14" t="inlineStr">
        <is>
          <t>마음</t>
        </is>
      </c>
      <c r="J586" s="14" t="inlineStr">
        <is>
          <t>창가·식탁</t>
        </is>
      </c>
      <c r="K586" s="16" t="inlineStr">
        <is>
          <t>분을 내어도 죄를 짓지 말며 해가 지도록 분을 품지 말고</t>
        </is>
      </c>
      <c r="L586" s="14" t="inlineStr">
        <is>
          <t>자동 입력</t>
        </is>
      </c>
      <c r="M586" s="14">
        <f>LEN(K586)</f>
        <v/>
      </c>
      <c r="N586" s="14">
        <f>IF(M586=0,"-",ROUND(3+M586/'안내'!$C$12,0))</f>
        <v/>
      </c>
      <c r="O586" s="15">
        <f>IF(K586="","(본문 입력 후 자동) | 엡 4:26",IF(LEN(K586)&gt;28,LEFT(K586,28)&amp;"…",K586)&amp;" | 엡 4:26")</f>
        <v/>
      </c>
      <c r="P586" s="15">
        <f>"#"&amp;SUBSTITUTE('안내'!$C$5," ","")&amp;" #성경구절 #말씀 #에베소서 #마음"</f>
        <v/>
      </c>
      <c r="Q586" s="15" t="inlineStr">
        <is>
          <t>성경 본문: 개역한글판</t>
        </is>
      </c>
      <c r="R586" s="17">
        <f>'안내'!$C$6+INT((D586-1)/'안내'!$C$7)</f>
        <v/>
      </c>
      <c r="S586" s="14">
        <f>IF(MOD(D586-1,'안내'!$C$7)=0,'안내'!$C$9,'안내'!$C$11)</f>
        <v/>
      </c>
      <c r="T586" s="14">
        <f>CHOOSE(WEEKDAY(R586,2),"월","화","수","목","금","토","일")</f>
        <v/>
      </c>
      <c r="U586" s="14" t="inlineStr">
        <is>
          <t>미착수</t>
        </is>
      </c>
      <c r="V586" s="14" t="inlineStr">
        <is>
          <t>미착수</t>
        </is>
      </c>
      <c r="W586" s="18" t="n"/>
      <c r="X586" s="18" t="n"/>
      <c r="Y586" s="15" t="n"/>
      <c r="Z586" s="15" t="inlineStr"/>
      <c r="AA586" s="15" t="inlineStr">
        <is>
          <t>“Be angry, and don’t sin.” ✡ Don’t let the sun go down on your wrath,</t>
        </is>
      </c>
    </row>
    <row r="587">
      <c r="A587" s="14" t="n">
        <v>586</v>
      </c>
      <c r="B587" s="14" t="inlineStr">
        <is>
          <t>W0586</t>
        </is>
      </c>
      <c r="C587" s="14" t="inlineStr">
        <is>
          <t>신약</t>
        </is>
      </c>
      <c r="D587" s="14" t="n">
        <v>222</v>
      </c>
      <c r="E587" s="14">
        <f>C587&amp;"말씀 #"&amp;TEXT(D587,"000")</f>
        <v/>
      </c>
      <c r="F587" s="14" t="inlineStr">
        <is>
          <t>에베소서</t>
        </is>
      </c>
      <c r="G587" s="14" t="inlineStr">
        <is>
          <t>4:29</t>
        </is>
      </c>
      <c r="H587" s="15" t="inlineStr">
        <is>
          <t>(엡 4:29, 개역한글)</t>
        </is>
      </c>
      <c r="I587" s="14" t="inlineStr">
        <is>
          <t>말</t>
        </is>
      </c>
      <c r="J587" s="14" t="inlineStr">
        <is>
          <t>창가·식탁</t>
        </is>
      </c>
      <c r="K587" s="16" t="inlineStr">
        <is>
          <t>무릇 더러운 말은 너희 입 밖에도 내지 말고 오직 덕을 세우는 데 소용되는 대로 선한 말을 하여 듣는 자들에게 은혜를 끼치게 하라</t>
        </is>
      </c>
      <c r="L587" s="14" t="inlineStr">
        <is>
          <t>자동 입력</t>
        </is>
      </c>
      <c r="M587" s="14">
        <f>LEN(K587)</f>
        <v/>
      </c>
      <c r="N587" s="14">
        <f>IF(M587=0,"-",ROUND(3+M587/'안내'!$C$12,0))</f>
        <v/>
      </c>
      <c r="O587" s="15">
        <f>IF(K587="","(본문 입력 후 자동) | 엡 4:29",IF(LEN(K587)&gt;28,LEFT(K587,28)&amp;"…",K587)&amp;" | 엡 4:29")</f>
        <v/>
      </c>
      <c r="P587" s="15">
        <f>"#"&amp;SUBSTITUTE('안내'!$C$5," ","")&amp;" #성경구절 #말씀 #에베소서 #말"</f>
        <v/>
      </c>
      <c r="Q587" s="15" t="inlineStr">
        <is>
          <t>성경 본문: 개역한글판</t>
        </is>
      </c>
      <c r="R587" s="17">
        <f>'안내'!$C$6+INT((D587-1)/'안내'!$C$7)</f>
        <v/>
      </c>
      <c r="S587" s="14">
        <f>IF(MOD(D587-1,'안내'!$C$7)=0,'안내'!$C$9,'안내'!$C$11)</f>
        <v/>
      </c>
      <c r="T587" s="14">
        <f>CHOOSE(WEEKDAY(R587,2),"월","화","수","목","금","토","일")</f>
        <v/>
      </c>
      <c r="U587" s="14" t="inlineStr">
        <is>
          <t>미착수</t>
        </is>
      </c>
      <c r="V587" s="14" t="inlineStr">
        <is>
          <t>미착수</t>
        </is>
      </c>
      <c r="W587" s="18" t="n"/>
      <c r="X587" s="18" t="n"/>
      <c r="Y587" s="15" t="n"/>
      <c r="Z587" s="15" t="inlineStr"/>
      <c r="AA587" s="15" t="inlineStr">
        <is>
          <t>Let no corrupt speech proceed out of your mouth, but only what is good for building others up as the need may be, that it may give grace to those who hear.</t>
        </is>
      </c>
    </row>
    <row r="588">
      <c r="A588" s="14" t="n">
        <v>587</v>
      </c>
      <c r="B588" s="14" t="inlineStr">
        <is>
          <t>W0587</t>
        </is>
      </c>
      <c r="C588" s="14" t="inlineStr">
        <is>
          <t>신약</t>
        </is>
      </c>
      <c r="D588" s="14" t="n">
        <v>223</v>
      </c>
      <c r="E588" s="14">
        <f>C588&amp;"말씀 #"&amp;TEXT(D588,"000")</f>
        <v/>
      </c>
      <c r="F588" s="14" t="inlineStr">
        <is>
          <t>에베소서</t>
        </is>
      </c>
      <c r="G588" s="14" t="inlineStr">
        <is>
          <t>4:32</t>
        </is>
      </c>
      <c r="H588" s="15" t="inlineStr">
        <is>
          <t>(엡 4:32, 개역한글)</t>
        </is>
      </c>
      <c r="I588" s="14" t="inlineStr">
        <is>
          <t>용서</t>
        </is>
      </c>
      <c r="J588" s="14" t="inlineStr">
        <is>
          <t>잔잔한 물</t>
        </is>
      </c>
      <c r="K588" s="16" t="inlineStr">
        <is>
          <t>서로 인자하게 하며 불쌍히 여기며 서로 용서하기를 하나님이 그리스도 안에서 너희를 용서하심과 같이 하라</t>
        </is>
      </c>
      <c r="L588" s="14" t="inlineStr">
        <is>
          <t>자동 입력</t>
        </is>
      </c>
      <c r="M588" s="14">
        <f>LEN(K588)</f>
        <v/>
      </c>
      <c r="N588" s="14">
        <f>IF(M588=0,"-",ROUND(3+M588/'안내'!$C$12,0))</f>
        <v/>
      </c>
      <c r="O588" s="15">
        <f>IF(K588="","(본문 입력 후 자동) | 엡 4:32",IF(LEN(K588)&gt;28,LEFT(K588,28)&amp;"…",K588)&amp;" | 엡 4:32")</f>
        <v/>
      </c>
      <c r="P588" s="15">
        <f>"#"&amp;SUBSTITUTE('안내'!$C$5," ","")&amp;" #성경구절 #말씀 #에베소서 #용서"</f>
        <v/>
      </c>
      <c r="Q588" s="15" t="inlineStr">
        <is>
          <t>성경 본문: 개역한글판</t>
        </is>
      </c>
      <c r="R588" s="17">
        <f>'안내'!$C$6+INT((D588-1)/'안내'!$C$7)</f>
        <v/>
      </c>
      <c r="S588" s="14">
        <f>IF(MOD(D588-1,'안내'!$C$7)=0,'안내'!$C$9,'안내'!$C$11)</f>
        <v/>
      </c>
      <c r="T588" s="14">
        <f>CHOOSE(WEEKDAY(R588,2),"월","화","수","목","금","토","일")</f>
        <v/>
      </c>
      <c r="U588" s="14" t="inlineStr">
        <is>
          <t>미착수</t>
        </is>
      </c>
      <c r="V588" s="14" t="inlineStr">
        <is>
          <t>미착수</t>
        </is>
      </c>
      <c r="W588" s="18" t="n"/>
      <c r="X588" s="18" t="n"/>
      <c r="Y588" s="15" t="n"/>
      <c r="Z588" s="15" t="inlineStr"/>
      <c r="AA588" s="15" t="inlineStr">
        <is>
          <t>And be kind to one another, tender hearted, forgiving each other, just as God also in Christ forgave you.</t>
        </is>
      </c>
    </row>
    <row r="589">
      <c r="A589" s="14" t="n">
        <v>588</v>
      </c>
      <c r="B589" s="14" t="inlineStr">
        <is>
          <t>W0588</t>
        </is>
      </c>
      <c r="C589" s="14" t="inlineStr">
        <is>
          <t>신약</t>
        </is>
      </c>
      <c r="D589" s="14" t="n">
        <v>224</v>
      </c>
      <c r="E589" s="14">
        <f>C589&amp;"말씀 #"&amp;TEXT(D589,"000")</f>
        <v/>
      </c>
      <c r="F589" s="14" t="inlineStr">
        <is>
          <t>에베소서</t>
        </is>
      </c>
      <c r="G589" s="14" t="inlineStr">
        <is>
          <t>5:8</t>
        </is>
      </c>
      <c r="H589" s="15" t="inlineStr">
        <is>
          <t>(엡 5:8, 개역한글)</t>
        </is>
      </c>
      <c r="I589" s="14" t="inlineStr">
        <is>
          <t>빛</t>
        </is>
      </c>
      <c r="J589" s="14" t="inlineStr">
        <is>
          <t>새벽빛</t>
        </is>
      </c>
      <c r="K589" s="16" t="inlineStr">
        <is>
          <t>너희가 전에는 어두움이더니 이제는 주 안에서 빛이라 빛의 자녀들처럼 행하라</t>
        </is>
      </c>
      <c r="L589" s="14" t="inlineStr">
        <is>
          <t>자동 입력</t>
        </is>
      </c>
      <c r="M589" s="14">
        <f>LEN(K589)</f>
        <v/>
      </c>
      <c r="N589" s="14">
        <f>IF(M589=0,"-",ROUND(3+M589/'안내'!$C$12,0))</f>
        <v/>
      </c>
      <c r="O589" s="15">
        <f>IF(K589="","(본문 입력 후 자동) | 엡 5:8",IF(LEN(K589)&gt;28,LEFT(K589,28)&amp;"…",K589)&amp;" | 엡 5:8")</f>
        <v/>
      </c>
      <c r="P589" s="15">
        <f>"#"&amp;SUBSTITUTE('안내'!$C$5," ","")&amp;" #성경구절 #말씀 #에베소서 #빛"</f>
        <v/>
      </c>
      <c r="Q589" s="15" t="inlineStr">
        <is>
          <t>성경 본문: 개역한글판</t>
        </is>
      </c>
      <c r="R589" s="17">
        <f>'안내'!$C$6+INT((D589-1)/'안내'!$C$7)</f>
        <v/>
      </c>
      <c r="S589" s="14">
        <f>IF(MOD(D589-1,'안내'!$C$7)=0,'안내'!$C$9,'안내'!$C$11)</f>
        <v/>
      </c>
      <c r="T589" s="14">
        <f>CHOOSE(WEEKDAY(R589,2),"월","화","수","목","금","토","일")</f>
        <v/>
      </c>
      <c r="U589" s="14" t="inlineStr">
        <is>
          <t>미착수</t>
        </is>
      </c>
      <c r="V589" s="14" t="inlineStr">
        <is>
          <t>미착수</t>
        </is>
      </c>
      <c r="W589" s="18" t="n"/>
      <c r="X589" s="18" t="n"/>
      <c r="Y589" s="15" t="n"/>
      <c r="Z589" s="15" t="inlineStr"/>
      <c r="AA589" s="15" t="inlineStr">
        <is>
          <t>For you were once darkness, but are now light in the Lord. Walk as children of light,</t>
        </is>
      </c>
    </row>
    <row r="590">
      <c r="A590" s="14" t="n">
        <v>589</v>
      </c>
      <c r="B590" s="14" t="inlineStr">
        <is>
          <t>W0589</t>
        </is>
      </c>
      <c r="C590" s="14" t="inlineStr">
        <is>
          <t>신약</t>
        </is>
      </c>
      <c r="D590" s="14" t="n">
        <v>225</v>
      </c>
      <c r="E590" s="14">
        <f>C590&amp;"말씀 #"&amp;TEXT(D590,"000")</f>
        <v/>
      </c>
      <c r="F590" s="14" t="inlineStr">
        <is>
          <t>에베소서</t>
        </is>
      </c>
      <c r="G590" s="14" t="inlineStr">
        <is>
          <t>5:16</t>
        </is>
      </c>
      <c r="H590" s="15" t="inlineStr">
        <is>
          <t>(엡 5:16, 개역한글)</t>
        </is>
      </c>
      <c r="I590" s="14" t="inlineStr">
        <is>
          <t>지혜</t>
        </is>
      </c>
      <c r="J590" s="14" t="inlineStr">
        <is>
          <t>들판·나무</t>
        </is>
      </c>
      <c r="K590" s="16" t="inlineStr">
        <is>
          <t>세월을 아끼라 때가 악하니라</t>
        </is>
      </c>
      <c r="L590" s="14" t="inlineStr">
        <is>
          <t>자동 입력</t>
        </is>
      </c>
      <c r="M590" s="14">
        <f>LEN(K590)</f>
        <v/>
      </c>
      <c r="N590" s="14">
        <f>IF(M590=0,"-",ROUND(3+M590/'안내'!$C$12,0))</f>
        <v/>
      </c>
      <c r="O590" s="15">
        <f>IF(K590="","(본문 입력 후 자동) | 엡 5:16",IF(LEN(K590)&gt;28,LEFT(K590,28)&amp;"…",K590)&amp;" | 엡 5:16")</f>
        <v/>
      </c>
      <c r="P590" s="15">
        <f>"#"&amp;SUBSTITUTE('안내'!$C$5," ","")&amp;" #성경구절 #말씀 #에베소서 #지혜"</f>
        <v/>
      </c>
      <c r="Q590" s="15" t="inlineStr">
        <is>
          <t>성경 본문: 개역한글판</t>
        </is>
      </c>
      <c r="R590" s="17">
        <f>'안내'!$C$6+INT((D590-1)/'안내'!$C$7)</f>
        <v/>
      </c>
      <c r="S590" s="14">
        <f>IF(MOD(D590-1,'안내'!$C$7)=0,'안내'!$C$9,'안내'!$C$11)</f>
        <v/>
      </c>
      <c r="T590" s="14">
        <f>CHOOSE(WEEKDAY(R590,2),"월","화","수","목","금","토","일")</f>
        <v/>
      </c>
      <c r="U590" s="14" t="inlineStr">
        <is>
          <t>미착수</t>
        </is>
      </c>
      <c r="V590" s="14" t="inlineStr">
        <is>
          <t>미착수</t>
        </is>
      </c>
      <c r="W590" s="18" t="n"/>
      <c r="X590" s="18" t="n"/>
      <c r="Y590" s="15" t="n"/>
      <c r="Z590" s="15" t="inlineStr"/>
      <c r="AA590" s="15" t="inlineStr">
        <is>
          <t>redeeming the time, because the days are evil.</t>
        </is>
      </c>
    </row>
    <row r="591">
      <c r="A591" s="14" t="n">
        <v>590</v>
      </c>
      <c r="B591" s="14" t="inlineStr">
        <is>
          <t>W0590</t>
        </is>
      </c>
      <c r="C591" s="14" t="inlineStr">
        <is>
          <t>신약</t>
        </is>
      </c>
      <c r="D591" s="14" t="n">
        <v>226</v>
      </c>
      <c r="E591" s="14">
        <f>C591&amp;"말씀 #"&amp;TEXT(D591,"000")</f>
        <v/>
      </c>
      <c r="F591" s="14" t="inlineStr">
        <is>
          <t>에베소서</t>
        </is>
      </c>
      <c r="G591" s="14" t="inlineStr">
        <is>
          <t>6:1</t>
        </is>
      </c>
      <c r="H591" s="15" t="inlineStr">
        <is>
          <t>(엡 6:1, 개역한글)</t>
        </is>
      </c>
      <c r="I591" s="14" t="inlineStr">
        <is>
          <t>가정</t>
        </is>
      </c>
      <c r="J591" s="14" t="inlineStr">
        <is>
          <t>창가·식탁</t>
        </is>
      </c>
      <c r="K591" s="16" t="inlineStr">
        <is>
          <t>자녀들아 너희 부모를 주 안에서 순종하라 이것이 옳으니라</t>
        </is>
      </c>
      <c r="L591" s="14" t="inlineStr">
        <is>
          <t>자동 입력</t>
        </is>
      </c>
      <c r="M591" s="14">
        <f>LEN(K591)</f>
        <v/>
      </c>
      <c r="N591" s="14">
        <f>IF(M591=0,"-",ROUND(3+M591/'안내'!$C$12,0))</f>
        <v/>
      </c>
      <c r="O591" s="15">
        <f>IF(K591="","(본문 입력 후 자동) | 엡 6:1",IF(LEN(K591)&gt;28,LEFT(K591,28)&amp;"…",K591)&amp;" | 엡 6:1")</f>
        <v/>
      </c>
      <c r="P591" s="15">
        <f>"#"&amp;SUBSTITUTE('안내'!$C$5," ","")&amp;" #성경구절 #말씀 #에베소서 #가정"</f>
        <v/>
      </c>
      <c r="Q591" s="15" t="inlineStr">
        <is>
          <t>성경 본문: 개역한글판</t>
        </is>
      </c>
      <c r="R591" s="17">
        <f>'안내'!$C$6+INT((D591-1)/'안내'!$C$7)</f>
        <v/>
      </c>
      <c r="S591" s="14">
        <f>IF(MOD(D591-1,'안내'!$C$7)=0,'안내'!$C$9,'안내'!$C$11)</f>
        <v/>
      </c>
      <c r="T591" s="14">
        <f>CHOOSE(WEEKDAY(R591,2),"월","화","수","목","금","토","일")</f>
        <v/>
      </c>
      <c r="U591" s="14" t="inlineStr">
        <is>
          <t>미착수</t>
        </is>
      </c>
      <c r="V591" s="14" t="inlineStr">
        <is>
          <t>미착수</t>
        </is>
      </c>
      <c r="W591" s="18" t="n"/>
      <c r="X591" s="18" t="n"/>
      <c r="Y591" s="15" t="n"/>
      <c r="Z591" s="15" t="inlineStr"/>
      <c r="AA591" s="15" t="inlineStr">
        <is>
          <t>Children, obey your parents in the Lord, for this is right.</t>
        </is>
      </c>
    </row>
    <row r="592">
      <c r="A592" s="14" t="n">
        <v>591</v>
      </c>
      <c r="B592" s="14" t="inlineStr">
        <is>
          <t>W0591</t>
        </is>
      </c>
      <c r="C592" s="14" t="inlineStr">
        <is>
          <t>신약</t>
        </is>
      </c>
      <c r="D592" s="14" t="n">
        <v>227</v>
      </c>
      <c r="E592" s="14">
        <f>C592&amp;"말씀 #"&amp;TEXT(D592,"000")</f>
        <v/>
      </c>
      <c r="F592" s="14" t="inlineStr">
        <is>
          <t>에베소서</t>
        </is>
      </c>
      <c r="G592" s="14" t="inlineStr">
        <is>
          <t>6:10</t>
        </is>
      </c>
      <c r="H592" s="15" t="inlineStr">
        <is>
          <t>(엡 6:10, 개역한글)</t>
        </is>
      </c>
      <c r="I592" s="14" t="inlineStr">
        <is>
          <t>능력</t>
        </is>
      </c>
      <c r="J592" s="14" t="inlineStr">
        <is>
          <t>바위산·광야</t>
        </is>
      </c>
      <c r="K592" s="16" t="inlineStr">
        <is>
          <t>종말로 너희가 주 안에서와 그 힘의 능력으로 강건하여지고</t>
        </is>
      </c>
      <c r="L592" s="14" t="inlineStr">
        <is>
          <t>자동 입력</t>
        </is>
      </c>
      <c r="M592" s="14">
        <f>LEN(K592)</f>
        <v/>
      </c>
      <c r="N592" s="14">
        <f>IF(M592=0,"-",ROUND(3+M592/'안내'!$C$12,0))</f>
        <v/>
      </c>
      <c r="O592" s="15">
        <f>IF(K592="","(본문 입력 후 자동) | 엡 6:10",IF(LEN(K592)&gt;28,LEFT(K592,28)&amp;"…",K592)&amp;" | 엡 6:10")</f>
        <v/>
      </c>
      <c r="P592" s="15">
        <f>"#"&amp;SUBSTITUTE('안내'!$C$5," ","")&amp;" #성경구절 #말씀 #에베소서 #능력"</f>
        <v/>
      </c>
      <c r="Q592" s="15" t="inlineStr">
        <is>
          <t>성경 본문: 개역한글판</t>
        </is>
      </c>
      <c r="R592" s="17">
        <f>'안내'!$C$6+INT((D592-1)/'안내'!$C$7)</f>
        <v/>
      </c>
      <c r="S592" s="14">
        <f>IF(MOD(D592-1,'안내'!$C$7)=0,'안내'!$C$9,'안내'!$C$11)</f>
        <v/>
      </c>
      <c r="T592" s="14">
        <f>CHOOSE(WEEKDAY(R592,2),"월","화","수","목","금","토","일")</f>
        <v/>
      </c>
      <c r="U592" s="14" t="inlineStr">
        <is>
          <t>미착수</t>
        </is>
      </c>
      <c r="V592" s="14" t="inlineStr">
        <is>
          <t>미착수</t>
        </is>
      </c>
      <c r="W592" s="18" t="n"/>
      <c r="X592" s="18" t="n"/>
      <c r="Y592" s="15" t="n"/>
      <c r="Z592" s="15" t="inlineStr"/>
      <c r="AA592" s="15" t="inlineStr">
        <is>
          <t>Finally, be strong in the Lord and in the strength of his might.</t>
        </is>
      </c>
    </row>
    <row r="593">
      <c r="A593" s="14" t="n">
        <v>592</v>
      </c>
      <c r="B593" s="14" t="inlineStr">
        <is>
          <t>W0592</t>
        </is>
      </c>
      <c r="C593" s="14" t="inlineStr">
        <is>
          <t>신약</t>
        </is>
      </c>
      <c r="D593" s="14" t="n">
        <v>228</v>
      </c>
      <c r="E593" s="14">
        <f>C593&amp;"말씀 #"&amp;TEXT(D593,"000")</f>
        <v/>
      </c>
      <c r="F593" s="14" t="inlineStr">
        <is>
          <t>에베소서</t>
        </is>
      </c>
      <c r="G593" s="14" t="inlineStr">
        <is>
          <t>6:11</t>
        </is>
      </c>
      <c r="H593" s="15" t="inlineStr">
        <is>
          <t>(엡 6:11, 개역한글)</t>
        </is>
      </c>
      <c r="I593" s="14" t="inlineStr">
        <is>
          <t>승리</t>
        </is>
      </c>
      <c r="J593" s="14" t="inlineStr">
        <is>
          <t>바위산·광야</t>
        </is>
      </c>
      <c r="K593" s="16" t="inlineStr">
        <is>
          <t>마귀의 궤계를 능히 대적하기 위하여 하나님의 전신갑주를 입으라</t>
        </is>
      </c>
      <c r="L593" s="14" t="inlineStr">
        <is>
          <t>자동 입력</t>
        </is>
      </c>
      <c r="M593" s="14">
        <f>LEN(K593)</f>
        <v/>
      </c>
      <c r="N593" s="14">
        <f>IF(M593=0,"-",ROUND(3+M593/'안내'!$C$12,0))</f>
        <v/>
      </c>
      <c r="O593" s="15">
        <f>IF(K593="","(본문 입력 후 자동) | 엡 6:11",IF(LEN(K593)&gt;28,LEFT(K593,28)&amp;"…",K593)&amp;" | 엡 6:11")</f>
        <v/>
      </c>
      <c r="P593" s="15">
        <f>"#"&amp;SUBSTITUTE('안내'!$C$5," ","")&amp;" #성경구절 #말씀 #에베소서 #승리"</f>
        <v/>
      </c>
      <c r="Q593" s="15" t="inlineStr">
        <is>
          <t>성경 본문: 개역한글판</t>
        </is>
      </c>
      <c r="R593" s="17">
        <f>'안내'!$C$6+INT((D593-1)/'안내'!$C$7)</f>
        <v/>
      </c>
      <c r="S593" s="14">
        <f>IF(MOD(D593-1,'안내'!$C$7)=0,'안내'!$C$9,'안내'!$C$11)</f>
        <v/>
      </c>
      <c r="T593" s="14">
        <f>CHOOSE(WEEKDAY(R593,2),"월","화","수","목","금","토","일")</f>
        <v/>
      </c>
      <c r="U593" s="14" t="inlineStr">
        <is>
          <t>미착수</t>
        </is>
      </c>
      <c r="V593" s="14" t="inlineStr">
        <is>
          <t>미착수</t>
        </is>
      </c>
      <c r="W593" s="18" t="n"/>
      <c r="X593" s="18" t="n"/>
      <c r="Y593" s="15" t="n"/>
      <c r="Z593" s="15" t="inlineStr"/>
      <c r="AA593" s="15" t="inlineStr">
        <is>
          <t>Put on the whole armor of God, that you may be able to stand against the wiles of the devil.</t>
        </is>
      </c>
    </row>
    <row r="594">
      <c r="A594" s="14" t="n">
        <v>593</v>
      </c>
      <c r="B594" s="14" t="inlineStr">
        <is>
          <t>W0593</t>
        </is>
      </c>
      <c r="C594" s="14" t="inlineStr">
        <is>
          <t>신약</t>
        </is>
      </c>
      <c r="D594" s="14" t="n">
        <v>229</v>
      </c>
      <c r="E594" s="14">
        <f>C594&amp;"말씀 #"&amp;TEXT(D594,"000")</f>
        <v/>
      </c>
      <c r="F594" s="14" t="inlineStr">
        <is>
          <t>빌립보서</t>
        </is>
      </c>
      <c r="G594" s="14" t="inlineStr">
        <is>
          <t>1:6</t>
        </is>
      </c>
      <c r="H594" s="15" t="inlineStr">
        <is>
          <t>(빌 1:6, 개역한글)</t>
        </is>
      </c>
      <c r="I594" s="14" t="inlineStr">
        <is>
          <t>신실하심</t>
        </is>
      </c>
      <c r="J594" s="14" t="inlineStr">
        <is>
          <t>바위산·광야</t>
        </is>
      </c>
      <c r="K594" s="16" t="inlineStr">
        <is>
          <t>너희 속에 착한 일을 시작하신 이가 그리스도 예수의 날까지 이루실 줄을 우리가 확신하노라</t>
        </is>
      </c>
      <c r="L594" s="14" t="inlineStr">
        <is>
          <t>자동 입력</t>
        </is>
      </c>
      <c r="M594" s="14">
        <f>LEN(K594)</f>
        <v/>
      </c>
      <c r="N594" s="14">
        <f>IF(M594=0,"-",ROUND(3+M594/'안내'!$C$12,0))</f>
        <v/>
      </c>
      <c r="O594" s="15">
        <f>IF(K594="","(본문 입력 후 자동) | 빌 1:6",IF(LEN(K594)&gt;28,LEFT(K594,28)&amp;"…",K594)&amp;" | 빌 1:6")</f>
        <v/>
      </c>
      <c r="P594" s="15">
        <f>"#"&amp;SUBSTITUTE('안내'!$C$5," ","")&amp;" #성경구절 #말씀 #빌립보서 #신실하심"</f>
        <v/>
      </c>
      <c r="Q594" s="15" t="inlineStr">
        <is>
          <t>성경 본문: 개역한글판</t>
        </is>
      </c>
      <c r="R594" s="17">
        <f>'안내'!$C$6+INT((D594-1)/'안내'!$C$7)</f>
        <v/>
      </c>
      <c r="S594" s="14">
        <f>IF(MOD(D594-1,'안내'!$C$7)=0,'안내'!$C$9,'안내'!$C$11)</f>
        <v/>
      </c>
      <c r="T594" s="14">
        <f>CHOOSE(WEEKDAY(R594,2),"월","화","수","목","금","토","일")</f>
        <v/>
      </c>
      <c r="U594" s="14" t="inlineStr">
        <is>
          <t>미착수</t>
        </is>
      </c>
      <c r="V594" s="14" t="inlineStr">
        <is>
          <t>미착수</t>
        </is>
      </c>
      <c r="W594" s="18" t="n"/>
      <c r="X594" s="18" t="n"/>
      <c r="Y594" s="15" t="n"/>
      <c r="Z594" s="15" t="inlineStr"/>
      <c r="AA594" s="15" t="inlineStr">
        <is>
          <t>being confident of this very thing, that he who began a good work in you will complete it until the day of Jesus Christ.</t>
        </is>
      </c>
    </row>
    <row r="595">
      <c r="A595" s="14" t="n">
        <v>594</v>
      </c>
      <c r="B595" s="14" t="inlineStr">
        <is>
          <t>W0594</t>
        </is>
      </c>
      <c r="C595" s="14" t="inlineStr">
        <is>
          <t>신약</t>
        </is>
      </c>
      <c r="D595" s="14" t="n">
        <v>230</v>
      </c>
      <c r="E595" s="14">
        <f>C595&amp;"말씀 #"&amp;TEXT(D595,"000")</f>
        <v/>
      </c>
      <c r="F595" s="14" t="inlineStr">
        <is>
          <t>빌립보서</t>
        </is>
      </c>
      <c r="G595" s="14" t="inlineStr">
        <is>
          <t>1:21</t>
        </is>
      </c>
      <c r="H595" s="15" t="inlineStr">
        <is>
          <t>(빌 1:21, 개역한글)</t>
        </is>
      </c>
      <c r="I595" s="14" t="inlineStr">
        <is>
          <t>생명</t>
        </is>
      </c>
      <c r="J595" s="14" t="inlineStr">
        <is>
          <t>새벽빛</t>
        </is>
      </c>
      <c r="K595" s="16" t="inlineStr">
        <is>
          <t>이는 내게 사는 것이 그리스도니 죽는 것도 유익함이니라</t>
        </is>
      </c>
      <c r="L595" s="14" t="inlineStr">
        <is>
          <t>자동 입력</t>
        </is>
      </c>
      <c r="M595" s="14">
        <f>LEN(K595)</f>
        <v/>
      </c>
      <c r="N595" s="14">
        <f>IF(M595=0,"-",ROUND(3+M595/'안내'!$C$12,0))</f>
        <v/>
      </c>
      <c r="O595" s="15">
        <f>IF(K595="","(본문 입력 후 자동) | 빌 1:21",IF(LEN(K595)&gt;28,LEFT(K595,28)&amp;"…",K595)&amp;" | 빌 1:21")</f>
        <v/>
      </c>
      <c r="P595" s="15">
        <f>"#"&amp;SUBSTITUTE('안내'!$C$5," ","")&amp;" #성경구절 #말씀 #빌립보서 #생명"</f>
        <v/>
      </c>
      <c r="Q595" s="15" t="inlineStr">
        <is>
          <t>성경 본문: 개역한글판</t>
        </is>
      </c>
      <c r="R595" s="17">
        <f>'안내'!$C$6+INT((D595-1)/'안내'!$C$7)</f>
        <v/>
      </c>
      <c r="S595" s="14">
        <f>IF(MOD(D595-1,'안내'!$C$7)=0,'안내'!$C$9,'안내'!$C$11)</f>
        <v/>
      </c>
      <c r="T595" s="14">
        <f>CHOOSE(WEEKDAY(R595,2),"월","화","수","목","금","토","일")</f>
        <v/>
      </c>
      <c r="U595" s="14" t="inlineStr">
        <is>
          <t>미착수</t>
        </is>
      </c>
      <c r="V595" s="14" t="inlineStr">
        <is>
          <t>미착수</t>
        </is>
      </c>
      <c r="W595" s="18" t="n"/>
      <c r="X595" s="18" t="n"/>
      <c r="Y595" s="15" t="n"/>
      <c r="Z595" s="15" t="inlineStr"/>
      <c r="AA595" s="15" t="inlineStr">
        <is>
          <t>For to me to live is Christ, and to die is gain.</t>
        </is>
      </c>
    </row>
    <row r="596">
      <c r="A596" s="14" t="n">
        <v>595</v>
      </c>
      <c r="B596" s="14" t="inlineStr">
        <is>
          <t>W0595</t>
        </is>
      </c>
      <c r="C596" s="14" t="inlineStr">
        <is>
          <t>신약</t>
        </is>
      </c>
      <c r="D596" s="14" t="n">
        <v>231</v>
      </c>
      <c r="E596" s="14">
        <f>C596&amp;"말씀 #"&amp;TEXT(D596,"000")</f>
        <v/>
      </c>
      <c r="F596" s="14" t="inlineStr">
        <is>
          <t>빌립보서</t>
        </is>
      </c>
      <c r="G596" s="14" t="inlineStr">
        <is>
          <t>2:3</t>
        </is>
      </c>
      <c r="H596" s="15" t="inlineStr">
        <is>
          <t>(빌 2:3, 개역한글)</t>
        </is>
      </c>
      <c r="I596" s="14" t="inlineStr">
        <is>
          <t>겸손</t>
        </is>
      </c>
      <c r="J596" s="14" t="inlineStr">
        <is>
          <t>창가·식탁</t>
        </is>
      </c>
      <c r="K596" s="16" t="inlineStr">
        <is>
          <t>아무 일에든지 다툼이나 허영으로 하지 말고 오직 겸손한 마음으로 각각 자기보다 남을 낫게 여기고</t>
        </is>
      </c>
      <c r="L596" s="14" t="inlineStr">
        <is>
          <t>자동 입력</t>
        </is>
      </c>
      <c r="M596" s="14">
        <f>LEN(K596)</f>
        <v/>
      </c>
      <c r="N596" s="14">
        <f>IF(M596=0,"-",ROUND(3+M596/'안내'!$C$12,0))</f>
        <v/>
      </c>
      <c r="O596" s="15">
        <f>IF(K596="","(본문 입력 후 자동) | 빌 2:3",IF(LEN(K596)&gt;28,LEFT(K596,28)&amp;"…",K596)&amp;" | 빌 2:3")</f>
        <v/>
      </c>
      <c r="P596" s="15">
        <f>"#"&amp;SUBSTITUTE('안내'!$C$5," ","")&amp;" #성경구절 #말씀 #빌립보서 #겸손"</f>
        <v/>
      </c>
      <c r="Q596" s="15" t="inlineStr">
        <is>
          <t>성경 본문: 개역한글판</t>
        </is>
      </c>
      <c r="R596" s="17">
        <f>'안내'!$C$6+INT((D596-1)/'안내'!$C$7)</f>
        <v/>
      </c>
      <c r="S596" s="14">
        <f>IF(MOD(D596-1,'안내'!$C$7)=0,'안내'!$C$9,'안내'!$C$11)</f>
        <v/>
      </c>
      <c r="T596" s="14">
        <f>CHOOSE(WEEKDAY(R596,2),"월","화","수","목","금","토","일")</f>
        <v/>
      </c>
      <c r="U596" s="14" t="inlineStr">
        <is>
          <t>미착수</t>
        </is>
      </c>
      <c r="V596" s="14" t="inlineStr">
        <is>
          <t>미착수</t>
        </is>
      </c>
      <c r="W596" s="18" t="n"/>
      <c r="X596" s="18" t="n"/>
      <c r="Y596" s="15" t="n"/>
      <c r="Z596" s="15" t="inlineStr"/>
      <c r="AA596" s="15" t="inlineStr">
        <is>
          <t>doing nothing through rivalry or through § conceit, but in humility, each counting others better than himself;</t>
        </is>
      </c>
    </row>
    <row r="597">
      <c r="A597" s="14" t="n">
        <v>596</v>
      </c>
      <c r="B597" s="14" t="inlineStr">
        <is>
          <t>W0596</t>
        </is>
      </c>
      <c r="C597" s="14" t="inlineStr">
        <is>
          <t>신약</t>
        </is>
      </c>
      <c r="D597" s="14" t="n">
        <v>232</v>
      </c>
      <c r="E597" s="14">
        <f>C597&amp;"말씀 #"&amp;TEXT(D597,"000")</f>
        <v/>
      </c>
      <c r="F597" s="14" t="inlineStr">
        <is>
          <t>빌립보서</t>
        </is>
      </c>
      <c r="G597" s="14" t="inlineStr">
        <is>
          <t>2:5</t>
        </is>
      </c>
      <c r="H597" s="15" t="inlineStr">
        <is>
          <t>(빌 2:5, 개역한글)</t>
        </is>
      </c>
      <c r="I597" s="14" t="inlineStr">
        <is>
          <t>겸손</t>
        </is>
      </c>
      <c r="J597" s="14" t="inlineStr">
        <is>
          <t>창가·식탁</t>
        </is>
      </c>
      <c r="K597" s="16" t="inlineStr">
        <is>
          <t>너희 안에 이 마음을 품으라 곧 그리스도 예수의 마음이니</t>
        </is>
      </c>
      <c r="L597" s="14" t="inlineStr">
        <is>
          <t>자동 입력</t>
        </is>
      </c>
      <c r="M597" s="14">
        <f>LEN(K597)</f>
        <v/>
      </c>
      <c r="N597" s="14">
        <f>IF(M597=0,"-",ROUND(3+M597/'안내'!$C$12,0))</f>
        <v/>
      </c>
      <c r="O597" s="15">
        <f>IF(K597="","(본문 입력 후 자동) | 빌 2:5",IF(LEN(K597)&gt;28,LEFT(K597,28)&amp;"…",K597)&amp;" | 빌 2:5")</f>
        <v/>
      </c>
      <c r="P597" s="15">
        <f>"#"&amp;SUBSTITUTE('안내'!$C$5," ","")&amp;" #성경구절 #말씀 #빌립보서 #겸손"</f>
        <v/>
      </c>
      <c r="Q597" s="15" t="inlineStr">
        <is>
          <t>성경 본문: 개역한글판</t>
        </is>
      </c>
      <c r="R597" s="17">
        <f>'안내'!$C$6+INT((D597-1)/'안내'!$C$7)</f>
        <v/>
      </c>
      <c r="S597" s="14">
        <f>IF(MOD(D597-1,'안내'!$C$7)=0,'안내'!$C$9,'안내'!$C$11)</f>
        <v/>
      </c>
      <c r="T597" s="14">
        <f>CHOOSE(WEEKDAY(R597,2),"월","화","수","목","금","토","일")</f>
        <v/>
      </c>
      <c r="U597" s="14" t="inlineStr">
        <is>
          <t>미착수</t>
        </is>
      </c>
      <c r="V597" s="14" t="inlineStr">
        <is>
          <t>미착수</t>
        </is>
      </c>
      <c r="W597" s="18" t="n"/>
      <c r="X597" s="18" t="n"/>
      <c r="Y597" s="15" t="n"/>
      <c r="Z597" s="15" t="inlineStr"/>
      <c r="AA597" s="15" t="inlineStr">
        <is>
          <t>Have this in your mind, which was also in Christ Jesus,</t>
        </is>
      </c>
    </row>
    <row r="598">
      <c r="A598" s="14" t="n">
        <v>597</v>
      </c>
      <c r="B598" s="14" t="inlineStr">
        <is>
          <t>W0597</t>
        </is>
      </c>
      <c r="C598" s="14" t="inlineStr">
        <is>
          <t>신약</t>
        </is>
      </c>
      <c r="D598" s="14" t="n">
        <v>233</v>
      </c>
      <c r="E598" s="14">
        <f>C598&amp;"말씀 #"&amp;TEXT(D598,"000")</f>
        <v/>
      </c>
      <c r="F598" s="14" t="inlineStr">
        <is>
          <t>빌립보서</t>
        </is>
      </c>
      <c r="G598" s="14" t="inlineStr">
        <is>
          <t>2:13</t>
        </is>
      </c>
      <c r="H598" s="15" t="inlineStr">
        <is>
          <t>(빌 2:13, 개역한글)</t>
        </is>
      </c>
      <c r="I598" s="14" t="inlineStr">
        <is>
          <t>은혜</t>
        </is>
      </c>
      <c r="J598" s="14" t="inlineStr">
        <is>
          <t>잔잔한 물</t>
        </is>
      </c>
      <c r="K598" s="16" t="inlineStr">
        <is>
          <t>너희 안에서 행하시는 이는 하나님이시니 자기의 기쁘신 뜻을 위하여 너희로 소원을 두고 행하게 하시나니</t>
        </is>
      </c>
      <c r="L598" s="14" t="inlineStr">
        <is>
          <t>자동 입력</t>
        </is>
      </c>
      <c r="M598" s="14">
        <f>LEN(K598)</f>
        <v/>
      </c>
      <c r="N598" s="14">
        <f>IF(M598=0,"-",ROUND(3+M598/'안내'!$C$12,0))</f>
        <v/>
      </c>
      <c r="O598" s="15">
        <f>IF(K598="","(본문 입력 후 자동) | 빌 2:13",IF(LEN(K598)&gt;28,LEFT(K598,28)&amp;"…",K598)&amp;" | 빌 2:13")</f>
        <v/>
      </c>
      <c r="P598" s="15">
        <f>"#"&amp;SUBSTITUTE('안내'!$C$5," ","")&amp;" #성경구절 #말씀 #빌립보서 #은혜"</f>
        <v/>
      </c>
      <c r="Q598" s="15" t="inlineStr">
        <is>
          <t>성경 본문: 개역한글판</t>
        </is>
      </c>
      <c r="R598" s="17">
        <f>'안내'!$C$6+INT((D598-1)/'안내'!$C$7)</f>
        <v/>
      </c>
      <c r="S598" s="14">
        <f>IF(MOD(D598-1,'안내'!$C$7)=0,'안내'!$C$9,'안내'!$C$11)</f>
        <v/>
      </c>
      <c r="T598" s="14">
        <f>CHOOSE(WEEKDAY(R598,2),"월","화","수","목","금","토","일")</f>
        <v/>
      </c>
      <c r="U598" s="14" t="inlineStr">
        <is>
          <t>미착수</t>
        </is>
      </c>
      <c r="V598" s="14" t="inlineStr">
        <is>
          <t>미착수</t>
        </is>
      </c>
      <c r="W598" s="18" t="n"/>
      <c r="X598" s="18" t="n"/>
      <c r="Y598" s="15" t="n"/>
      <c r="Z598" s="15" t="inlineStr"/>
      <c r="AA598" s="15" t="inlineStr">
        <is>
          <t>For it is God who works in you both to will and to work for his good pleasure.</t>
        </is>
      </c>
    </row>
    <row r="599">
      <c r="A599" s="14" t="n">
        <v>598</v>
      </c>
      <c r="B599" s="14" t="inlineStr">
        <is>
          <t>W0598</t>
        </is>
      </c>
      <c r="C599" s="14" t="inlineStr">
        <is>
          <t>신약</t>
        </is>
      </c>
      <c r="D599" s="14" t="n">
        <v>234</v>
      </c>
      <c r="E599" s="14">
        <f>C599&amp;"말씀 #"&amp;TEXT(D599,"000")</f>
        <v/>
      </c>
      <c r="F599" s="14" t="inlineStr">
        <is>
          <t>빌립보서</t>
        </is>
      </c>
      <c r="G599" s="14" t="inlineStr">
        <is>
          <t>3:8</t>
        </is>
      </c>
      <c r="H599" s="15" t="inlineStr">
        <is>
          <t>(빌 3:8, 개역한글)</t>
        </is>
      </c>
      <c r="I599" s="14" t="inlineStr">
        <is>
          <t>헌신</t>
        </is>
      </c>
      <c r="J599" s="14" t="inlineStr">
        <is>
          <t>길·등불</t>
        </is>
      </c>
      <c r="K599" s="16" t="inlineStr">
        <is>
          <t>또한 모든 것을 해로 여김은 내 주 그리스도 예수를 아는 지식이 가장 고상함을 인함이라 내가 그를 위하여 모든 것을 잃어버리고 배설물로 여김은 그리스도를 얻고</t>
        </is>
      </c>
      <c r="L599" s="14" t="inlineStr">
        <is>
          <t>자동 입력</t>
        </is>
      </c>
      <c r="M599" s="14">
        <f>LEN(K599)</f>
        <v/>
      </c>
      <c r="N599" s="14">
        <f>IF(M599=0,"-",ROUND(3+M599/'안내'!$C$12,0))</f>
        <v/>
      </c>
      <c r="O599" s="15">
        <f>IF(K599="","(본문 입력 후 자동) | 빌 3:8",IF(LEN(K599)&gt;28,LEFT(K599,28)&amp;"…",K599)&amp;" | 빌 3:8")</f>
        <v/>
      </c>
      <c r="P599" s="15">
        <f>"#"&amp;SUBSTITUTE('안내'!$C$5," ","")&amp;" #성경구절 #말씀 #빌립보서 #헌신"</f>
        <v/>
      </c>
      <c r="Q599" s="15" t="inlineStr">
        <is>
          <t>성경 본문: 개역한글판</t>
        </is>
      </c>
      <c r="R599" s="17">
        <f>'안내'!$C$6+INT((D599-1)/'안내'!$C$7)</f>
        <v/>
      </c>
      <c r="S599" s="14">
        <f>IF(MOD(D599-1,'안내'!$C$7)=0,'안내'!$C$9,'안내'!$C$11)</f>
        <v/>
      </c>
      <c r="T599" s="14">
        <f>CHOOSE(WEEKDAY(R599,2),"월","화","수","목","금","토","일")</f>
        <v/>
      </c>
      <c r="U599" s="14" t="inlineStr">
        <is>
          <t>미착수</t>
        </is>
      </c>
      <c r="V599" s="14" t="inlineStr">
        <is>
          <t>미착수</t>
        </is>
      </c>
      <c r="W599" s="18" t="n"/>
      <c r="X599" s="18" t="n"/>
      <c r="Y599" s="15" t="n"/>
      <c r="Z599" s="15" t="inlineStr"/>
      <c r="AA599" s="15" t="inlineStr">
        <is>
          <t>Yes most certainly, and I count all things to be a loss for the excellency of the knowl- edge of Christ Jesus, my Lord, for whom I suffered the loss of all things, and count them nothing but refuse, that I may gain Christ</t>
        </is>
      </c>
    </row>
    <row r="600">
      <c r="A600" s="14" t="n">
        <v>599</v>
      </c>
      <c r="B600" s="14" t="inlineStr">
        <is>
          <t>W0599</t>
        </is>
      </c>
      <c r="C600" s="14" t="inlineStr">
        <is>
          <t>신약</t>
        </is>
      </c>
      <c r="D600" s="14" t="n">
        <v>235</v>
      </c>
      <c r="E600" s="14">
        <f>C600&amp;"말씀 #"&amp;TEXT(D600,"000")</f>
        <v/>
      </c>
      <c r="F600" s="14" t="inlineStr">
        <is>
          <t>빌립보서</t>
        </is>
      </c>
      <c r="G600" s="14" t="inlineStr">
        <is>
          <t>3:14</t>
        </is>
      </c>
      <c r="H600" s="15" t="inlineStr">
        <is>
          <t>(빌 3:14, 개역한글)</t>
        </is>
      </c>
      <c r="I600" s="14" t="inlineStr">
        <is>
          <t>소망</t>
        </is>
      </c>
      <c r="J600" s="14" t="inlineStr">
        <is>
          <t>새벽빛</t>
        </is>
      </c>
      <c r="K600" s="16" t="inlineStr">
        <is>
          <t>푯대를 향하여 그리스도 예수 안에서 하나님이 위에서 부르신 부름의 상을 위하여 좇아가노라</t>
        </is>
      </c>
      <c r="L600" s="14" t="inlineStr">
        <is>
          <t>자동 입력</t>
        </is>
      </c>
      <c r="M600" s="14">
        <f>LEN(K600)</f>
        <v/>
      </c>
      <c r="N600" s="14">
        <f>IF(M600=0,"-",ROUND(3+M600/'안내'!$C$12,0))</f>
        <v/>
      </c>
      <c r="O600" s="15">
        <f>IF(K600="","(본문 입력 후 자동) | 빌 3:14",IF(LEN(K600)&gt;28,LEFT(K600,28)&amp;"…",K600)&amp;" | 빌 3:14")</f>
        <v/>
      </c>
      <c r="P600" s="15">
        <f>"#"&amp;SUBSTITUTE('안내'!$C$5," ","")&amp;" #성경구절 #말씀 #빌립보서 #소망"</f>
        <v/>
      </c>
      <c r="Q600" s="15" t="inlineStr">
        <is>
          <t>성경 본문: 개역한글판</t>
        </is>
      </c>
      <c r="R600" s="17">
        <f>'안내'!$C$6+INT((D600-1)/'안내'!$C$7)</f>
        <v/>
      </c>
      <c r="S600" s="14">
        <f>IF(MOD(D600-1,'안내'!$C$7)=0,'안내'!$C$9,'안내'!$C$11)</f>
        <v/>
      </c>
      <c r="T600" s="14">
        <f>CHOOSE(WEEKDAY(R600,2),"월","화","수","목","금","토","일")</f>
        <v/>
      </c>
      <c r="U600" s="14" t="inlineStr">
        <is>
          <t>미착수</t>
        </is>
      </c>
      <c r="V600" s="14" t="inlineStr">
        <is>
          <t>미착수</t>
        </is>
      </c>
      <c r="W600" s="18" t="n"/>
      <c r="X600" s="18" t="n"/>
      <c r="Y600" s="15" t="n"/>
      <c r="Z600" s="15" t="inlineStr"/>
      <c r="AA600" s="15" t="inlineStr">
        <is>
          <t>I press on toward the goal for the prize of the high calling of God in Christ Jesus.</t>
        </is>
      </c>
    </row>
    <row r="601">
      <c r="A601" s="14" t="n">
        <v>600</v>
      </c>
      <c r="B601" s="14" t="inlineStr">
        <is>
          <t>W0600</t>
        </is>
      </c>
      <c r="C601" s="14" t="inlineStr">
        <is>
          <t>신약</t>
        </is>
      </c>
      <c r="D601" s="14" t="n">
        <v>236</v>
      </c>
      <c r="E601" s="14">
        <f>C601&amp;"말씀 #"&amp;TEXT(D601,"000")</f>
        <v/>
      </c>
      <c r="F601" s="14" t="inlineStr">
        <is>
          <t>빌립보서</t>
        </is>
      </c>
      <c r="G601" s="14" t="inlineStr">
        <is>
          <t>3:20</t>
        </is>
      </c>
      <c r="H601" s="15" t="inlineStr">
        <is>
          <t>(빌 3:20, 개역한글)</t>
        </is>
      </c>
      <c r="I601" s="14" t="inlineStr">
        <is>
          <t>소망</t>
        </is>
      </c>
      <c r="J601" s="14" t="inlineStr">
        <is>
          <t>새벽빛</t>
        </is>
      </c>
      <c r="K601" s="16" t="inlineStr">
        <is>
          <t>오직 우리의 시민권은 하늘에 있는지라 거기로서 구원하는 자 곧 주 예수 그리스도를 기다리노니</t>
        </is>
      </c>
      <c r="L601" s="14" t="inlineStr">
        <is>
          <t>자동 입력</t>
        </is>
      </c>
      <c r="M601" s="14">
        <f>LEN(K601)</f>
        <v/>
      </c>
      <c r="N601" s="14">
        <f>IF(M601=0,"-",ROUND(3+M601/'안내'!$C$12,0))</f>
        <v/>
      </c>
      <c r="O601" s="15">
        <f>IF(K601="","(본문 입력 후 자동) | 빌 3:20",IF(LEN(K601)&gt;28,LEFT(K601,28)&amp;"…",K601)&amp;" | 빌 3:20")</f>
        <v/>
      </c>
      <c r="P601" s="15">
        <f>"#"&amp;SUBSTITUTE('안내'!$C$5," ","")&amp;" #성경구절 #말씀 #빌립보서 #소망"</f>
        <v/>
      </c>
      <c r="Q601" s="15" t="inlineStr">
        <is>
          <t>성경 본문: 개역한글판</t>
        </is>
      </c>
      <c r="R601" s="17">
        <f>'안내'!$C$6+INT((D601-1)/'안내'!$C$7)</f>
        <v/>
      </c>
      <c r="S601" s="14">
        <f>IF(MOD(D601-1,'안내'!$C$7)=0,'안내'!$C$9,'안내'!$C$11)</f>
        <v/>
      </c>
      <c r="T601" s="14">
        <f>CHOOSE(WEEKDAY(R601,2),"월","화","수","목","금","토","일")</f>
        <v/>
      </c>
      <c r="U601" s="14" t="inlineStr">
        <is>
          <t>미착수</t>
        </is>
      </c>
      <c r="V601" s="14" t="inlineStr">
        <is>
          <t>미착수</t>
        </is>
      </c>
      <c r="W601" s="18" t="n"/>
      <c r="X601" s="18" t="n"/>
      <c r="Y601" s="15" t="n"/>
      <c r="Z601" s="15" t="inlineStr"/>
      <c r="AA601" s="15" t="inlineStr">
        <is>
          <t>For our citizenship is in heaven, from where we also wait for a Savior, the Lord Jesus Christ,</t>
        </is>
      </c>
    </row>
    <row r="602">
      <c r="A602" s="14" t="n">
        <v>601</v>
      </c>
      <c r="B602" s="14" t="inlineStr">
        <is>
          <t>W0601</t>
        </is>
      </c>
      <c r="C602" s="14" t="inlineStr">
        <is>
          <t>신약</t>
        </is>
      </c>
      <c r="D602" s="14" t="n">
        <v>237</v>
      </c>
      <c r="E602" s="14">
        <f>C602&amp;"말씀 #"&amp;TEXT(D602,"000")</f>
        <v/>
      </c>
      <c r="F602" s="14" t="inlineStr">
        <is>
          <t>빌립보서</t>
        </is>
      </c>
      <c r="G602" s="14" t="inlineStr">
        <is>
          <t>4:4</t>
        </is>
      </c>
      <c r="H602" s="15" t="inlineStr">
        <is>
          <t>(빌 4:4, 개역한글)</t>
        </is>
      </c>
      <c r="I602" s="14" t="inlineStr">
        <is>
          <t>기쁨</t>
        </is>
      </c>
      <c r="J602" s="14" t="inlineStr">
        <is>
          <t>새벽빛</t>
        </is>
      </c>
      <c r="K602" s="16" t="inlineStr">
        <is>
          <t>주 안에서 항상 기뻐하라 내가 다시 말하노니 기뻐하라</t>
        </is>
      </c>
      <c r="L602" s="14" t="inlineStr">
        <is>
          <t>자동 입력</t>
        </is>
      </c>
      <c r="M602" s="14">
        <f>LEN(K602)</f>
        <v/>
      </c>
      <c r="N602" s="14">
        <f>IF(M602=0,"-",ROUND(3+M602/'안내'!$C$12,0))</f>
        <v/>
      </c>
      <c r="O602" s="15">
        <f>IF(K602="","(본문 입력 후 자동) | 빌 4:4",IF(LEN(K602)&gt;28,LEFT(K602,28)&amp;"…",K602)&amp;" | 빌 4:4")</f>
        <v/>
      </c>
      <c r="P602" s="15">
        <f>"#"&amp;SUBSTITUTE('안내'!$C$5," ","")&amp;" #성경구절 #말씀 #빌립보서 #기쁨"</f>
        <v/>
      </c>
      <c r="Q602" s="15" t="inlineStr">
        <is>
          <t>성경 본문: 개역한글판</t>
        </is>
      </c>
      <c r="R602" s="17">
        <f>'안내'!$C$6+INT((D602-1)/'안내'!$C$7)</f>
        <v/>
      </c>
      <c r="S602" s="14">
        <f>IF(MOD(D602-1,'안내'!$C$7)=0,'안내'!$C$9,'안내'!$C$11)</f>
        <v/>
      </c>
      <c r="T602" s="14">
        <f>CHOOSE(WEEKDAY(R602,2),"월","화","수","목","금","토","일")</f>
        <v/>
      </c>
      <c r="U602" s="14" t="inlineStr">
        <is>
          <t>미착수</t>
        </is>
      </c>
      <c r="V602" s="14" t="inlineStr">
        <is>
          <t>미착수</t>
        </is>
      </c>
      <c r="W602" s="18" t="n"/>
      <c r="X602" s="18" t="n"/>
      <c r="Y602" s="15" t="n"/>
      <c r="Z602" s="15" t="inlineStr"/>
      <c r="AA602" s="15" t="inlineStr">
        <is>
          <t>Rejoice in the Lord always! Again I will say, “Rejoice!”</t>
        </is>
      </c>
    </row>
    <row r="603">
      <c r="A603" s="14" t="n">
        <v>602</v>
      </c>
      <c r="B603" s="14" t="inlineStr">
        <is>
          <t>W0602</t>
        </is>
      </c>
      <c r="C603" s="14" t="inlineStr">
        <is>
          <t>신약</t>
        </is>
      </c>
      <c r="D603" s="14" t="n">
        <v>238</v>
      </c>
      <c r="E603" s="14">
        <f>C603&amp;"말씀 #"&amp;TEXT(D603,"000")</f>
        <v/>
      </c>
      <c r="F603" s="14" t="inlineStr">
        <is>
          <t>빌립보서</t>
        </is>
      </c>
      <c r="G603" s="14" t="inlineStr">
        <is>
          <t>4:6</t>
        </is>
      </c>
      <c r="H603" s="15" t="inlineStr">
        <is>
          <t>(빌 4:6, 개역한글)</t>
        </is>
      </c>
      <c r="I603" s="14" t="inlineStr">
        <is>
          <t>기도</t>
        </is>
      </c>
      <c r="J603" s="14" t="inlineStr">
        <is>
          <t>제단·십자가</t>
        </is>
      </c>
      <c r="K603" s="16" t="inlineStr">
        <is>
          <t>아무것도 염려하지 말고 오직 모든 일에 기도와 간구로 너희 구할 것을 감사함으로 하나님께 아뢰라</t>
        </is>
      </c>
      <c r="L603" s="14" t="inlineStr">
        <is>
          <t>자동 입력</t>
        </is>
      </c>
      <c r="M603" s="14">
        <f>LEN(K603)</f>
        <v/>
      </c>
      <c r="N603" s="14">
        <f>IF(M603=0,"-",ROUND(3+M603/'안내'!$C$12,0))</f>
        <v/>
      </c>
      <c r="O603" s="15">
        <f>IF(K603="","(본문 입력 후 자동) | 빌 4:6",IF(LEN(K603)&gt;28,LEFT(K603,28)&amp;"…",K603)&amp;" | 빌 4:6")</f>
        <v/>
      </c>
      <c r="P603" s="15">
        <f>"#"&amp;SUBSTITUTE('안내'!$C$5," ","")&amp;" #성경구절 #말씀 #빌립보서 #기도"</f>
        <v/>
      </c>
      <c r="Q603" s="15" t="inlineStr">
        <is>
          <t>성경 본문: 개역한글판</t>
        </is>
      </c>
      <c r="R603" s="17">
        <f>'안내'!$C$6+INT((D603-1)/'안내'!$C$7)</f>
        <v/>
      </c>
      <c r="S603" s="14">
        <f>IF(MOD(D603-1,'안내'!$C$7)=0,'안내'!$C$9,'안내'!$C$11)</f>
        <v/>
      </c>
      <c r="T603" s="14">
        <f>CHOOSE(WEEKDAY(R603,2),"월","화","수","목","금","토","일")</f>
        <v/>
      </c>
      <c r="U603" s="14" t="inlineStr">
        <is>
          <t>미착수</t>
        </is>
      </c>
      <c r="V603" s="14" t="inlineStr">
        <is>
          <t>미착수</t>
        </is>
      </c>
      <c r="W603" s="18" t="n"/>
      <c r="X603" s="18" t="n"/>
      <c r="Y603" s="15" t="n"/>
      <c r="Z603" s="15" t="inlineStr"/>
      <c r="AA603" s="15" t="inlineStr">
        <is>
          <t>In nothing be anxious, but in everything, by prayer and petition with thanksgiving, let your requests be made known to God.</t>
        </is>
      </c>
    </row>
    <row r="604">
      <c r="A604" s="14" t="n">
        <v>603</v>
      </c>
      <c r="B604" s="14" t="inlineStr">
        <is>
          <t>W0603</t>
        </is>
      </c>
      <c r="C604" s="14" t="inlineStr">
        <is>
          <t>신약</t>
        </is>
      </c>
      <c r="D604" s="14" t="n">
        <v>239</v>
      </c>
      <c r="E604" s="14">
        <f>C604&amp;"말씀 #"&amp;TEXT(D604,"000")</f>
        <v/>
      </c>
      <c r="F604" s="14" t="inlineStr">
        <is>
          <t>빌립보서</t>
        </is>
      </c>
      <c r="G604" s="14" t="inlineStr">
        <is>
          <t>4:7</t>
        </is>
      </c>
      <c r="H604" s="15" t="inlineStr">
        <is>
          <t>(빌 4:7, 개역한글)</t>
        </is>
      </c>
      <c r="I604" s="14" t="inlineStr">
        <is>
          <t>평안</t>
        </is>
      </c>
      <c r="J604" s="14" t="inlineStr">
        <is>
          <t>잔잔한 물</t>
        </is>
      </c>
      <c r="K604" s="16" t="inlineStr">
        <is>
          <t>그리하면 모든 지각에 뛰어난 하나님의 평강이 그리스도 예수 안에서 너희 마음과 생각을 지키시리라</t>
        </is>
      </c>
      <c r="L604" s="14" t="inlineStr">
        <is>
          <t>자동 입력</t>
        </is>
      </c>
      <c r="M604" s="14">
        <f>LEN(K604)</f>
        <v/>
      </c>
      <c r="N604" s="14">
        <f>IF(M604=0,"-",ROUND(3+M604/'안내'!$C$12,0))</f>
        <v/>
      </c>
      <c r="O604" s="15">
        <f>IF(K604="","(본문 입력 후 자동) | 빌 4:7",IF(LEN(K604)&gt;28,LEFT(K604,28)&amp;"…",K604)&amp;" | 빌 4:7")</f>
        <v/>
      </c>
      <c r="P604" s="15">
        <f>"#"&amp;SUBSTITUTE('안내'!$C$5," ","")&amp;" #성경구절 #말씀 #빌립보서 #평안"</f>
        <v/>
      </c>
      <c r="Q604" s="15" t="inlineStr">
        <is>
          <t>성경 본문: 개역한글판</t>
        </is>
      </c>
      <c r="R604" s="17">
        <f>'안내'!$C$6+INT((D604-1)/'안내'!$C$7)</f>
        <v/>
      </c>
      <c r="S604" s="14">
        <f>IF(MOD(D604-1,'안내'!$C$7)=0,'안내'!$C$9,'안내'!$C$11)</f>
        <v/>
      </c>
      <c r="T604" s="14">
        <f>CHOOSE(WEEKDAY(R604,2),"월","화","수","목","금","토","일")</f>
        <v/>
      </c>
      <c r="U604" s="14" t="inlineStr">
        <is>
          <t>미착수</t>
        </is>
      </c>
      <c r="V604" s="14" t="inlineStr">
        <is>
          <t>미착수</t>
        </is>
      </c>
      <c r="W604" s="18" t="n"/>
      <c r="X604" s="18" t="n"/>
      <c r="Y604" s="15" t="n"/>
      <c r="Z604" s="15" t="inlineStr"/>
      <c r="AA604" s="15" t="inlineStr">
        <is>
          <t>And the peace of God, which surpasses all understanding, will guard your hearts and your thoughts in Christ Jesus.</t>
        </is>
      </c>
    </row>
    <row r="605">
      <c r="A605" s="14" t="n">
        <v>604</v>
      </c>
      <c r="B605" s="14" t="inlineStr">
        <is>
          <t>W0604</t>
        </is>
      </c>
      <c r="C605" s="14" t="inlineStr">
        <is>
          <t>신약</t>
        </is>
      </c>
      <c r="D605" s="14" t="n">
        <v>240</v>
      </c>
      <c r="E605" s="14">
        <f>C605&amp;"말씀 #"&amp;TEXT(D605,"000")</f>
        <v/>
      </c>
      <c r="F605" s="14" t="inlineStr">
        <is>
          <t>빌립보서</t>
        </is>
      </c>
      <c r="G605" s="14" t="inlineStr">
        <is>
          <t>4:8</t>
        </is>
      </c>
      <c r="H605" s="15" t="inlineStr">
        <is>
          <t>(빌 4:8, 개역한글)</t>
        </is>
      </c>
      <c r="I605" s="14" t="inlineStr">
        <is>
          <t>마음</t>
        </is>
      </c>
      <c r="J605" s="14" t="inlineStr">
        <is>
          <t>창가·식탁</t>
        </is>
      </c>
      <c r="K605" s="16" t="inlineStr">
        <is>
          <t>종말로 형제들아 무엇에든지 참되며 무엇에든지 경건하며 무엇에든지 옳으며 무엇에든지 정결하며 무엇에든지 사랑할 만하며 무엇에든지 칭찬할 만하며 무슨 덕이 있든지 무슨 기림이 있든지 이것들을 생각하라</t>
        </is>
      </c>
      <c r="L605" s="14" t="inlineStr">
        <is>
          <t>자동 입력</t>
        </is>
      </c>
      <c r="M605" s="14">
        <f>LEN(K605)</f>
        <v/>
      </c>
      <c r="N605" s="14">
        <f>IF(M605=0,"-",ROUND(3+M605/'안내'!$C$12,0))</f>
        <v/>
      </c>
      <c r="O605" s="15">
        <f>IF(K605="","(본문 입력 후 자동) | 빌 4:8",IF(LEN(K605)&gt;28,LEFT(K605,28)&amp;"…",K605)&amp;" | 빌 4:8")</f>
        <v/>
      </c>
      <c r="P605" s="15">
        <f>"#"&amp;SUBSTITUTE('안내'!$C$5," ","")&amp;" #성경구절 #말씀 #빌립보서 #마음"</f>
        <v/>
      </c>
      <c r="Q605" s="15" t="inlineStr">
        <is>
          <t>성경 본문: 개역한글판</t>
        </is>
      </c>
      <c r="R605" s="17">
        <f>'안내'!$C$6+INT((D605-1)/'안내'!$C$7)</f>
        <v/>
      </c>
      <c r="S605" s="14">
        <f>IF(MOD(D605-1,'안내'!$C$7)=0,'안내'!$C$9,'안내'!$C$11)</f>
        <v/>
      </c>
      <c r="T605" s="14">
        <f>CHOOSE(WEEKDAY(R605,2),"월","화","수","목","금","토","일")</f>
        <v/>
      </c>
      <c r="U605" s="14" t="inlineStr">
        <is>
          <t>미착수</t>
        </is>
      </c>
      <c r="V605" s="14" t="inlineStr">
        <is>
          <t>미착수</t>
        </is>
      </c>
      <c r="W605" s="18" t="n"/>
      <c r="X605" s="18" t="n"/>
      <c r="Y605" s="15" t="n"/>
      <c r="Z605" s="15" t="inlineStr"/>
      <c r="AA605" s="15" t="inlineStr">
        <is>
          <t>Finally, brothers, whatever things are true, whatever things are honorable, what- ever things are just, whatever things are pure, whatever things are lovely, whatever things are of good report: if there is any virtue and if there is anything worthy of praise, think about these things.</t>
        </is>
      </c>
    </row>
    <row r="606">
      <c r="A606" s="14" t="n">
        <v>605</v>
      </c>
      <c r="B606" s="14" t="inlineStr">
        <is>
          <t>W0605</t>
        </is>
      </c>
      <c r="C606" s="14" t="inlineStr">
        <is>
          <t>신약</t>
        </is>
      </c>
      <c r="D606" s="14" t="n">
        <v>241</v>
      </c>
      <c r="E606" s="14">
        <f>C606&amp;"말씀 #"&amp;TEXT(D606,"000")</f>
        <v/>
      </c>
      <c r="F606" s="14" t="inlineStr">
        <is>
          <t>빌립보서</t>
        </is>
      </c>
      <c r="G606" s="14" t="inlineStr">
        <is>
          <t>4:13</t>
        </is>
      </c>
      <c r="H606" s="15" t="inlineStr">
        <is>
          <t>(빌 4:13, 개역한글)</t>
        </is>
      </c>
      <c r="I606" s="14" t="inlineStr">
        <is>
          <t>능력</t>
        </is>
      </c>
      <c r="J606" s="14" t="inlineStr">
        <is>
          <t>바위산·광야</t>
        </is>
      </c>
      <c r="K606" s="16" t="inlineStr">
        <is>
          <t>내게 능력 주시는 자 안에서 내가 모든 것을 할 수 있느니라</t>
        </is>
      </c>
      <c r="L606" s="14" t="inlineStr">
        <is>
          <t>자동 입력</t>
        </is>
      </c>
      <c r="M606" s="14">
        <f>LEN(K606)</f>
        <v/>
      </c>
      <c r="N606" s="14">
        <f>IF(M606=0,"-",ROUND(3+M606/'안내'!$C$12,0))</f>
        <v/>
      </c>
      <c r="O606" s="15">
        <f>IF(K606="","(본문 입력 후 자동) | 빌 4:13",IF(LEN(K606)&gt;28,LEFT(K606,28)&amp;"…",K606)&amp;" | 빌 4:13")</f>
        <v/>
      </c>
      <c r="P606" s="15">
        <f>"#"&amp;SUBSTITUTE('안내'!$C$5," ","")&amp;" #성경구절 #말씀 #빌립보서 #능력"</f>
        <v/>
      </c>
      <c r="Q606" s="19" t="inlineStr">
        <is>
          <t>궁핍과 풍부 어디에서든 자족하게 하시는 그리스도의 능력에 관한 말씀입니다(빌 4:11-12).
성경 본문: 개역한글판</t>
        </is>
      </c>
      <c r="R606" s="17">
        <f>'안내'!$C$6+INT((D606-1)/'안내'!$C$7)</f>
        <v/>
      </c>
      <c r="S606" s="14">
        <f>IF(MOD(D606-1,'안내'!$C$7)=0,'안내'!$C$9,'안내'!$C$11)</f>
        <v/>
      </c>
      <c r="T606" s="14">
        <f>CHOOSE(WEEKDAY(R606,2),"월","화","수","목","금","토","일")</f>
        <v/>
      </c>
      <c r="U606" s="14" t="inlineStr">
        <is>
          <t>미착수</t>
        </is>
      </c>
      <c r="V606" s="14" t="inlineStr">
        <is>
          <t>미착수</t>
        </is>
      </c>
      <c r="W606" s="18" t="n"/>
      <c r="X606" s="18" t="n"/>
      <c r="Y606" s="15" t="n"/>
      <c r="Z606" s="15" t="inlineStr"/>
      <c r="AA606" s="15" t="inlineStr">
        <is>
          <t>I can do all things through Christ who strengthens me.</t>
        </is>
      </c>
    </row>
    <row r="607">
      <c r="A607" s="14" t="n">
        <v>606</v>
      </c>
      <c r="B607" s="14" t="inlineStr">
        <is>
          <t>W0606</t>
        </is>
      </c>
      <c r="C607" s="14" t="inlineStr">
        <is>
          <t>신약</t>
        </is>
      </c>
      <c r="D607" s="14" t="n">
        <v>242</v>
      </c>
      <c r="E607" s="14">
        <f>C607&amp;"말씀 #"&amp;TEXT(D607,"000")</f>
        <v/>
      </c>
      <c r="F607" s="14" t="inlineStr">
        <is>
          <t>빌립보서</t>
        </is>
      </c>
      <c r="G607" s="14" t="inlineStr">
        <is>
          <t>4:19</t>
        </is>
      </c>
      <c r="H607" s="15" t="inlineStr">
        <is>
          <t>(빌 4:19, 개역한글)</t>
        </is>
      </c>
      <c r="I607" s="14" t="inlineStr">
        <is>
          <t>공급하심</t>
        </is>
      </c>
      <c r="J607" s="14" t="inlineStr">
        <is>
          <t>들판·나무</t>
        </is>
      </c>
      <c r="K607" s="16" t="inlineStr">
        <is>
          <t>나의 하나님이 그리스도 예수 안에서 영광 가운데 그 풍성한 대로 너희 모든 쓸 것을 채우시리라</t>
        </is>
      </c>
      <c r="L607" s="14" t="inlineStr">
        <is>
          <t>자동 입력</t>
        </is>
      </c>
      <c r="M607" s="14">
        <f>LEN(K607)</f>
        <v/>
      </c>
      <c r="N607" s="14">
        <f>IF(M607=0,"-",ROUND(3+M607/'안내'!$C$12,0))</f>
        <v/>
      </c>
      <c r="O607" s="15">
        <f>IF(K607="","(본문 입력 후 자동) | 빌 4:19",IF(LEN(K607)&gt;28,LEFT(K607,28)&amp;"…",K607)&amp;" | 빌 4:19")</f>
        <v/>
      </c>
      <c r="P607" s="15">
        <f>"#"&amp;SUBSTITUTE('안내'!$C$5," ","")&amp;" #성경구절 #말씀 #빌립보서 #공급하심"</f>
        <v/>
      </c>
      <c r="Q607" s="19" t="inlineStr">
        <is>
          <t>선교 헌금으로 바울을 도운 교회에게 하나님이 필요를 채우신다고 한 말씀입니다.
성경 본문: 개역한글판</t>
        </is>
      </c>
      <c r="R607" s="17">
        <f>'안내'!$C$6+INT((D607-1)/'안내'!$C$7)</f>
        <v/>
      </c>
      <c r="S607" s="14">
        <f>IF(MOD(D607-1,'안내'!$C$7)=0,'안내'!$C$9,'안내'!$C$11)</f>
        <v/>
      </c>
      <c r="T607" s="14">
        <f>CHOOSE(WEEKDAY(R607,2),"월","화","수","목","금","토","일")</f>
        <v/>
      </c>
      <c r="U607" s="14" t="inlineStr">
        <is>
          <t>미착수</t>
        </is>
      </c>
      <c r="V607" s="14" t="inlineStr">
        <is>
          <t>미착수</t>
        </is>
      </c>
      <c r="W607" s="18" t="n"/>
      <c r="X607" s="18" t="n"/>
      <c r="Y607" s="15" t="n"/>
      <c r="Z607" s="15" t="inlineStr"/>
      <c r="AA607" s="15" t="inlineStr">
        <is>
          <t>My God will supply every need of yours according to his riches in glory in Christ Jesus.</t>
        </is>
      </c>
    </row>
    <row r="608">
      <c r="A608" s="14" t="n">
        <v>607</v>
      </c>
      <c r="B608" s="14" t="inlineStr">
        <is>
          <t>W0607</t>
        </is>
      </c>
      <c r="C608" s="14" t="inlineStr">
        <is>
          <t>신약</t>
        </is>
      </c>
      <c r="D608" s="14" t="n">
        <v>243</v>
      </c>
      <c r="E608" s="14">
        <f>C608&amp;"말씀 #"&amp;TEXT(D608,"000")</f>
        <v/>
      </c>
      <c r="F608" s="14" t="inlineStr">
        <is>
          <t>골로새서</t>
        </is>
      </c>
      <c r="G608" s="14" t="inlineStr">
        <is>
          <t>1:16</t>
        </is>
      </c>
      <c r="H608" s="15" t="inlineStr">
        <is>
          <t>(골 1:16, 개역한글)</t>
        </is>
      </c>
      <c r="I608" s="14" t="inlineStr">
        <is>
          <t>창조</t>
        </is>
      </c>
      <c r="J608" s="14" t="inlineStr">
        <is>
          <t>하늘·별</t>
        </is>
      </c>
      <c r="K608" s="16" t="inlineStr">
        <is>
          <t>만물이 그에게 창조되되 하늘과 땅에서 보이는 것들과 보이지 않는 것들과 혹은 보좌들이나 주관들이나 정사들이나 권세들이나 만물이 다 그로 말미암고 그를 위하여 창조되었고</t>
        </is>
      </c>
      <c r="L608" s="14" t="inlineStr">
        <is>
          <t>자동 입력 · 대조 필요</t>
        </is>
      </c>
      <c r="M608" s="14">
        <f>LEN(K608)</f>
        <v/>
      </c>
      <c r="N608" s="14">
        <f>IF(M608=0,"-",ROUND(3+M608/'안내'!$C$12,0))</f>
        <v/>
      </c>
      <c r="O608" s="15">
        <f>IF(K608="","(본문 입력 후 자동) | 골 1:16",IF(LEN(K608)&gt;28,LEFT(K608,28)&amp;"…",K608)&amp;" | 골 1:16")</f>
        <v/>
      </c>
      <c r="P608" s="15">
        <f>"#"&amp;SUBSTITUTE('안내'!$C$5," ","")&amp;" #성경구절 #말씀 #골로새서 #창조"</f>
        <v/>
      </c>
      <c r="Q608" s="15" t="inlineStr">
        <is>
          <t>성경 본문: 개역한글판</t>
        </is>
      </c>
      <c r="R608" s="17">
        <f>'안내'!$C$6+INT((D608-1)/'안내'!$C$7)</f>
        <v/>
      </c>
      <c r="S608" s="14">
        <f>IF(MOD(D608-1,'안내'!$C$7)=0,'안내'!$C$9,'안내'!$C$11)</f>
        <v/>
      </c>
      <c r="T608" s="14">
        <f>CHOOSE(WEEKDAY(R608,2),"월","화","수","목","금","토","일")</f>
        <v/>
      </c>
      <c r="U608" s="14" t="inlineStr">
        <is>
          <t>미착수</t>
        </is>
      </c>
      <c r="V608" s="14" t="inlineStr">
        <is>
          <t>미착수</t>
        </is>
      </c>
      <c r="W608" s="18" t="n"/>
      <c r="X608" s="18" t="n"/>
      <c r="Y608" s="15" t="n"/>
      <c r="Z608" s="15" t="inlineStr">
        <is>
          <t>줄바꿈 띄어쓰기 확인</t>
        </is>
      </c>
      <c r="AA608" s="15" t="inlineStr">
        <is>
          <t>For by him all things were created in the heavens and on the earth, visible things and invis- ible things, whether thrones or dominions or principalities or powers. All things have been created through him and for him.</t>
        </is>
      </c>
    </row>
    <row r="609">
      <c r="A609" s="14" t="n">
        <v>608</v>
      </c>
      <c r="B609" s="14" t="inlineStr">
        <is>
          <t>W0608</t>
        </is>
      </c>
      <c r="C609" s="14" t="inlineStr">
        <is>
          <t>신약</t>
        </is>
      </c>
      <c r="D609" s="14" t="n">
        <v>244</v>
      </c>
      <c r="E609" s="14">
        <f>C609&amp;"말씀 #"&amp;TEXT(D609,"000")</f>
        <v/>
      </c>
      <c r="F609" s="14" t="inlineStr">
        <is>
          <t>골로새서</t>
        </is>
      </c>
      <c r="G609" s="14" t="inlineStr">
        <is>
          <t>1:27</t>
        </is>
      </c>
      <c r="H609" s="15" t="inlineStr">
        <is>
          <t>(골 1:27, 개역한글)</t>
        </is>
      </c>
      <c r="I609" s="14" t="inlineStr">
        <is>
          <t>소망</t>
        </is>
      </c>
      <c r="J609" s="14" t="inlineStr">
        <is>
          <t>새벽빛</t>
        </is>
      </c>
      <c r="K609" s="16" t="inlineStr">
        <is>
          <t>하나님이 그들로 하여금 이 비밀의 영광이 이방인 가운데 어떻게 풍성한 것을 알게 하려 하심이라 이 비밀은 너희 안에 계신 그리스도시니 곧 영광의 소망이니라</t>
        </is>
      </c>
      <c r="L609" s="14" t="inlineStr">
        <is>
          <t>자동 입력</t>
        </is>
      </c>
      <c r="M609" s="14">
        <f>LEN(K609)</f>
        <v/>
      </c>
      <c r="N609" s="14">
        <f>IF(M609=0,"-",ROUND(3+M609/'안내'!$C$12,0))</f>
        <v/>
      </c>
      <c r="O609" s="15">
        <f>IF(K609="","(본문 입력 후 자동) | 골 1:27",IF(LEN(K609)&gt;28,LEFT(K609,28)&amp;"…",K609)&amp;" | 골 1:27")</f>
        <v/>
      </c>
      <c r="P609" s="15">
        <f>"#"&amp;SUBSTITUTE('안내'!$C$5," ","")&amp;" #성경구절 #말씀 #골로새서 #소망"</f>
        <v/>
      </c>
      <c r="Q609" s="15" t="inlineStr">
        <is>
          <t>성경 본문: 개역한글판</t>
        </is>
      </c>
      <c r="R609" s="17">
        <f>'안내'!$C$6+INT((D609-1)/'안내'!$C$7)</f>
        <v/>
      </c>
      <c r="S609" s="14">
        <f>IF(MOD(D609-1,'안내'!$C$7)=0,'안내'!$C$9,'안내'!$C$11)</f>
        <v/>
      </c>
      <c r="T609" s="14">
        <f>CHOOSE(WEEKDAY(R609,2),"월","화","수","목","금","토","일")</f>
        <v/>
      </c>
      <c r="U609" s="14" t="inlineStr">
        <is>
          <t>미착수</t>
        </is>
      </c>
      <c r="V609" s="14" t="inlineStr">
        <is>
          <t>미착수</t>
        </is>
      </c>
      <c r="W609" s="18" t="n"/>
      <c r="X609" s="18" t="n"/>
      <c r="Y609" s="15" t="n"/>
      <c r="Z609" s="15" t="inlineStr"/>
      <c r="AA609" s="15" t="inlineStr">
        <is>
          <t>to whom God was pleased to make known what are the riches of the glory of this mystery among the Gentiles, which is Christ in you, the hope of glory.</t>
        </is>
      </c>
    </row>
    <row r="610">
      <c r="A610" s="14" t="n">
        <v>609</v>
      </c>
      <c r="B610" s="14" t="inlineStr">
        <is>
          <t>W0609</t>
        </is>
      </c>
      <c r="C610" s="14" t="inlineStr">
        <is>
          <t>신약</t>
        </is>
      </c>
      <c r="D610" s="14" t="n">
        <v>245</v>
      </c>
      <c r="E610" s="14">
        <f>C610&amp;"말씀 #"&amp;TEXT(D610,"000")</f>
        <v/>
      </c>
      <c r="F610" s="14" t="inlineStr">
        <is>
          <t>골로새서</t>
        </is>
      </c>
      <c r="G610" s="14" t="inlineStr">
        <is>
          <t>2:7</t>
        </is>
      </c>
      <c r="H610" s="15" t="inlineStr">
        <is>
          <t>(골 2:7, 개역한글)</t>
        </is>
      </c>
      <c r="I610" s="14" t="inlineStr">
        <is>
          <t>믿음</t>
        </is>
      </c>
      <c r="J610" s="14" t="inlineStr">
        <is>
          <t>바위산·광야</t>
        </is>
      </c>
      <c r="K610" s="16" t="inlineStr">
        <is>
          <t>그 안에 뿌리를 박으며 세움을 입어 교훈을 받은 대로 믿음에 굳게 서서 감사함을 넘치게 하라</t>
        </is>
      </c>
      <c r="L610" s="14" t="inlineStr">
        <is>
          <t>자동 입력</t>
        </is>
      </c>
      <c r="M610" s="14">
        <f>LEN(K610)</f>
        <v/>
      </c>
      <c r="N610" s="14">
        <f>IF(M610=0,"-",ROUND(3+M610/'안내'!$C$12,0))</f>
        <v/>
      </c>
      <c r="O610" s="15">
        <f>IF(K610="","(본문 입력 후 자동) | 골 2:7",IF(LEN(K610)&gt;28,LEFT(K610,28)&amp;"…",K610)&amp;" | 골 2:7")</f>
        <v/>
      </c>
      <c r="P610" s="15">
        <f>"#"&amp;SUBSTITUTE('안내'!$C$5," ","")&amp;" #성경구절 #말씀 #골로새서 #믿음"</f>
        <v/>
      </c>
      <c r="Q610" s="15" t="inlineStr">
        <is>
          <t>성경 본문: 개역한글판</t>
        </is>
      </c>
      <c r="R610" s="17">
        <f>'안내'!$C$6+INT((D610-1)/'안내'!$C$7)</f>
        <v/>
      </c>
      <c r="S610" s="14">
        <f>IF(MOD(D610-1,'안내'!$C$7)=0,'안내'!$C$9,'안내'!$C$11)</f>
        <v/>
      </c>
      <c r="T610" s="14">
        <f>CHOOSE(WEEKDAY(R610,2),"월","화","수","목","금","토","일")</f>
        <v/>
      </c>
      <c r="U610" s="14" t="inlineStr">
        <is>
          <t>미착수</t>
        </is>
      </c>
      <c r="V610" s="14" t="inlineStr">
        <is>
          <t>미착수</t>
        </is>
      </c>
      <c r="W610" s="18" t="n"/>
      <c r="X610" s="18" t="n"/>
      <c r="Y610" s="15" t="n"/>
      <c r="Z610" s="15" t="inlineStr"/>
      <c r="AA610" s="15" t="inlineStr">
        <is>
          <t>rooted and built up in him and established in the faith, even as you were taught, abounding in it in thanksgiving.</t>
        </is>
      </c>
    </row>
    <row r="611">
      <c r="A611" s="14" t="n">
        <v>610</v>
      </c>
      <c r="B611" s="14" t="inlineStr">
        <is>
          <t>W0610</t>
        </is>
      </c>
      <c r="C611" s="14" t="inlineStr">
        <is>
          <t>신약</t>
        </is>
      </c>
      <c r="D611" s="14" t="n">
        <v>246</v>
      </c>
      <c r="E611" s="14">
        <f>C611&amp;"말씀 #"&amp;TEXT(D611,"000")</f>
        <v/>
      </c>
      <c r="F611" s="14" t="inlineStr">
        <is>
          <t>골로새서</t>
        </is>
      </c>
      <c r="G611" s="14" t="inlineStr">
        <is>
          <t>3:2</t>
        </is>
      </c>
      <c r="H611" s="15" t="inlineStr">
        <is>
          <t>(골 3:2, 개역한글)</t>
        </is>
      </c>
      <c r="I611" s="14" t="inlineStr">
        <is>
          <t>하나님 나라</t>
        </is>
      </c>
      <c r="J611" s="14" t="inlineStr">
        <is>
          <t>새벽빛</t>
        </is>
      </c>
      <c r="K611" s="16" t="inlineStr">
        <is>
          <t>위엣 것을 생각하고 땅엣 것을 생각지 말라</t>
        </is>
      </c>
      <c r="L611" s="14" t="inlineStr">
        <is>
          <t>자동 입력</t>
        </is>
      </c>
      <c r="M611" s="14">
        <f>LEN(K611)</f>
        <v/>
      </c>
      <c r="N611" s="14">
        <f>IF(M611=0,"-",ROUND(3+M611/'안내'!$C$12,0))</f>
        <v/>
      </c>
      <c r="O611" s="15">
        <f>IF(K611="","(본문 입력 후 자동) | 골 3:2",IF(LEN(K611)&gt;28,LEFT(K611,28)&amp;"…",K611)&amp;" | 골 3:2")</f>
        <v/>
      </c>
      <c r="P611" s="15">
        <f>"#"&amp;SUBSTITUTE('안내'!$C$5," ","")&amp;" #성경구절 #말씀 #골로새서 #하나님나라"</f>
        <v/>
      </c>
      <c r="Q611" s="15" t="inlineStr">
        <is>
          <t>성경 본문: 개역한글판</t>
        </is>
      </c>
      <c r="R611" s="17">
        <f>'안내'!$C$6+INT((D611-1)/'안내'!$C$7)</f>
        <v/>
      </c>
      <c r="S611" s="14">
        <f>IF(MOD(D611-1,'안내'!$C$7)=0,'안내'!$C$9,'안내'!$C$11)</f>
        <v/>
      </c>
      <c r="T611" s="14">
        <f>CHOOSE(WEEKDAY(R611,2),"월","화","수","목","금","토","일")</f>
        <v/>
      </c>
      <c r="U611" s="14" t="inlineStr">
        <is>
          <t>미착수</t>
        </is>
      </c>
      <c r="V611" s="14" t="inlineStr">
        <is>
          <t>미착수</t>
        </is>
      </c>
      <c r="W611" s="18" t="n"/>
      <c r="X611" s="18" t="n"/>
      <c r="Y611" s="15" t="n"/>
      <c r="Z611" s="15" t="inlineStr"/>
      <c r="AA611" s="15" t="inlineStr">
        <is>
          <t>Set your mind on the things that are above, not on the things that are on the earth.</t>
        </is>
      </c>
    </row>
    <row r="612">
      <c r="A612" s="14" t="n">
        <v>611</v>
      </c>
      <c r="B612" s="14" t="inlineStr">
        <is>
          <t>W0611</t>
        </is>
      </c>
      <c r="C612" s="14" t="inlineStr">
        <is>
          <t>신약</t>
        </is>
      </c>
      <c r="D612" s="14" t="n">
        <v>247</v>
      </c>
      <c r="E612" s="14">
        <f>C612&amp;"말씀 #"&amp;TEXT(D612,"000")</f>
        <v/>
      </c>
      <c r="F612" s="14" t="inlineStr">
        <is>
          <t>골로새서</t>
        </is>
      </c>
      <c r="G612" s="14" t="inlineStr">
        <is>
          <t>3:13</t>
        </is>
      </c>
      <c r="H612" s="15" t="inlineStr">
        <is>
          <t>(골 3:13, 개역한글)</t>
        </is>
      </c>
      <c r="I612" s="14" t="inlineStr">
        <is>
          <t>용서</t>
        </is>
      </c>
      <c r="J612" s="14" t="inlineStr">
        <is>
          <t>잔잔한 물</t>
        </is>
      </c>
      <c r="K612" s="16" t="inlineStr">
        <is>
          <t>누가 뉘게 혐의가 있거든 서로 용납하여 피차 용서하되 주께서 너희를 용서하신 것과 같이 너희도 그리하고</t>
        </is>
      </c>
      <c r="L612" s="14" t="inlineStr">
        <is>
          <t>자동 입력</t>
        </is>
      </c>
      <c r="M612" s="14">
        <f>LEN(K612)</f>
        <v/>
      </c>
      <c r="N612" s="14">
        <f>IF(M612=0,"-",ROUND(3+M612/'안내'!$C$12,0))</f>
        <v/>
      </c>
      <c r="O612" s="15">
        <f>IF(K612="","(본문 입력 후 자동) | 골 3:13",IF(LEN(K612)&gt;28,LEFT(K612,28)&amp;"…",K612)&amp;" | 골 3:13")</f>
        <v/>
      </c>
      <c r="P612" s="15">
        <f>"#"&amp;SUBSTITUTE('안내'!$C$5," ","")&amp;" #성경구절 #말씀 #골로새서 #용서"</f>
        <v/>
      </c>
      <c r="Q612" s="15" t="inlineStr">
        <is>
          <t>성경 본문: 개역한글판</t>
        </is>
      </c>
      <c r="R612" s="17">
        <f>'안내'!$C$6+INT((D612-1)/'안내'!$C$7)</f>
        <v/>
      </c>
      <c r="S612" s="14">
        <f>IF(MOD(D612-1,'안내'!$C$7)=0,'안내'!$C$9,'안내'!$C$11)</f>
        <v/>
      </c>
      <c r="T612" s="14">
        <f>CHOOSE(WEEKDAY(R612,2),"월","화","수","목","금","토","일")</f>
        <v/>
      </c>
      <c r="U612" s="14" t="inlineStr">
        <is>
          <t>미착수</t>
        </is>
      </c>
      <c r="V612" s="14" t="inlineStr">
        <is>
          <t>미착수</t>
        </is>
      </c>
      <c r="W612" s="18" t="n"/>
      <c r="X612" s="18" t="n"/>
      <c r="Y612" s="15" t="n"/>
      <c r="Z612" s="15" t="inlineStr"/>
      <c r="AA612" s="15" t="inlineStr">
        <is>
          <t>bearing with one another, and forgiving each other, if any man has a com- plaint against any; even as Christ forgave you, so you also do.</t>
        </is>
      </c>
    </row>
    <row r="613">
      <c r="A613" s="14" t="n">
        <v>612</v>
      </c>
      <c r="B613" s="14" t="inlineStr">
        <is>
          <t>W0612</t>
        </is>
      </c>
      <c r="C613" s="14" t="inlineStr">
        <is>
          <t>신약</t>
        </is>
      </c>
      <c r="D613" s="14" t="n">
        <v>248</v>
      </c>
      <c r="E613" s="14">
        <f>C613&amp;"말씀 #"&amp;TEXT(D613,"000")</f>
        <v/>
      </c>
      <c r="F613" s="14" t="inlineStr">
        <is>
          <t>골로새서</t>
        </is>
      </c>
      <c r="G613" s="14" t="inlineStr">
        <is>
          <t>3:14</t>
        </is>
      </c>
      <c r="H613" s="15" t="inlineStr">
        <is>
          <t>(골 3:14, 개역한글)</t>
        </is>
      </c>
      <c r="I613" s="14" t="inlineStr">
        <is>
          <t>사랑</t>
        </is>
      </c>
      <c r="J613" s="14" t="inlineStr">
        <is>
          <t>창가·식탁</t>
        </is>
      </c>
      <c r="K613" s="16" t="inlineStr">
        <is>
          <t>이 모든 것 위에 사랑을 더하라 이는 온전하게 매는 띠니라</t>
        </is>
      </c>
      <c r="L613" s="14" t="inlineStr">
        <is>
          <t>자동 입력</t>
        </is>
      </c>
      <c r="M613" s="14">
        <f>LEN(K613)</f>
        <v/>
      </c>
      <c r="N613" s="14">
        <f>IF(M613=0,"-",ROUND(3+M613/'안내'!$C$12,0))</f>
        <v/>
      </c>
      <c r="O613" s="15">
        <f>IF(K613="","(본문 입력 후 자동) | 골 3:14",IF(LEN(K613)&gt;28,LEFT(K613,28)&amp;"…",K613)&amp;" | 골 3:14")</f>
        <v/>
      </c>
      <c r="P613" s="15">
        <f>"#"&amp;SUBSTITUTE('안내'!$C$5," ","")&amp;" #성경구절 #말씀 #골로새서 #사랑"</f>
        <v/>
      </c>
      <c r="Q613" s="15" t="inlineStr">
        <is>
          <t>성경 본문: 개역한글판</t>
        </is>
      </c>
      <c r="R613" s="17">
        <f>'안내'!$C$6+INT((D613-1)/'안내'!$C$7)</f>
        <v/>
      </c>
      <c r="S613" s="14">
        <f>IF(MOD(D613-1,'안내'!$C$7)=0,'안내'!$C$9,'안내'!$C$11)</f>
        <v/>
      </c>
      <c r="T613" s="14">
        <f>CHOOSE(WEEKDAY(R613,2),"월","화","수","목","금","토","일")</f>
        <v/>
      </c>
      <c r="U613" s="14" t="inlineStr">
        <is>
          <t>미착수</t>
        </is>
      </c>
      <c r="V613" s="14" t="inlineStr">
        <is>
          <t>미착수</t>
        </is>
      </c>
      <c r="W613" s="18" t="n"/>
      <c r="X613" s="18" t="n"/>
      <c r="Y613" s="15" t="n"/>
      <c r="Z613" s="15" t="inlineStr"/>
      <c r="AA613" s="15" t="inlineStr">
        <is>
          <t>Above all these things, walk in love, which is the bond of perfection.</t>
        </is>
      </c>
    </row>
    <row r="614">
      <c r="A614" s="14" t="n">
        <v>613</v>
      </c>
      <c r="B614" s="14" t="inlineStr">
        <is>
          <t>W0613</t>
        </is>
      </c>
      <c r="C614" s="14" t="inlineStr">
        <is>
          <t>신약</t>
        </is>
      </c>
      <c r="D614" s="14" t="n">
        <v>249</v>
      </c>
      <c r="E614" s="14">
        <f>C614&amp;"말씀 #"&amp;TEXT(D614,"000")</f>
        <v/>
      </c>
      <c r="F614" s="14" t="inlineStr">
        <is>
          <t>골로새서</t>
        </is>
      </c>
      <c r="G614" s="14" t="inlineStr">
        <is>
          <t>3:15</t>
        </is>
      </c>
      <c r="H614" s="15" t="inlineStr">
        <is>
          <t>(골 3:15, 개역한글)</t>
        </is>
      </c>
      <c r="I614" s="14" t="inlineStr">
        <is>
          <t>평안</t>
        </is>
      </c>
      <c r="J614" s="14" t="inlineStr">
        <is>
          <t>잔잔한 물</t>
        </is>
      </c>
      <c r="K614" s="16" t="inlineStr">
        <is>
          <t>그리스도의 평강이 너희 마음을 주장하게 하라 평강을 위하여 너희가 한 몸으로 부르심을 받았나니 또한 너희는 감사하는 자가 되라</t>
        </is>
      </c>
      <c r="L614" s="14" t="inlineStr">
        <is>
          <t>자동 입력</t>
        </is>
      </c>
      <c r="M614" s="14">
        <f>LEN(K614)</f>
        <v/>
      </c>
      <c r="N614" s="14">
        <f>IF(M614=0,"-",ROUND(3+M614/'안내'!$C$12,0))</f>
        <v/>
      </c>
      <c r="O614" s="15">
        <f>IF(K614="","(본문 입력 후 자동) | 골 3:15",IF(LEN(K614)&gt;28,LEFT(K614,28)&amp;"…",K614)&amp;" | 골 3:15")</f>
        <v/>
      </c>
      <c r="P614" s="15">
        <f>"#"&amp;SUBSTITUTE('안내'!$C$5," ","")&amp;" #성경구절 #말씀 #골로새서 #평안"</f>
        <v/>
      </c>
      <c r="Q614" s="15" t="inlineStr">
        <is>
          <t>성경 본문: 개역한글판</t>
        </is>
      </c>
      <c r="R614" s="17">
        <f>'안내'!$C$6+INT((D614-1)/'안내'!$C$7)</f>
        <v/>
      </c>
      <c r="S614" s="14">
        <f>IF(MOD(D614-1,'안내'!$C$7)=0,'안내'!$C$9,'안내'!$C$11)</f>
        <v/>
      </c>
      <c r="T614" s="14">
        <f>CHOOSE(WEEKDAY(R614,2),"월","화","수","목","금","토","일")</f>
        <v/>
      </c>
      <c r="U614" s="14" t="inlineStr">
        <is>
          <t>미착수</t>
        </is>
      </c>
      <c r="V614" s="14" t="inlineStr">
        <is>
          <t>미착수</t>
        </is>
      </c>
      <c r="W614" s="18" t="n"/>
      <c r="X614" s="18" t="n"/>
      <c r="Y614" s="15" t="n"/>
      <c r="Z614" s="15" t="inlineStr"/>
      <c r="AA614" s="15" t="inlineStr">
        <is>
          <t>And let the peace of God rule in your hearts, to which also you were called in one body, and be thankful.</t>
        </is>
      </c>
    </row>
    <row r="615">
      <c r="A615" s="14" t="n">
        <v>614</v>
      </c>
      <c r="B615" s="14" t="inlineStr">
        <is>
          <t>W0614</t>
        </is>
      </c>
      <c r="C615" s="14" t="inlineStr">
        <is>
          <t>신약</t>
        </is>
      </c>
      <c r="D615" s="14" t="n">
        <v>250</v>
      </c>
      <c r="E615" s="14">
        <f>C615&amp;"말씀 #"&amp;TEXT(D615,"000")</f>
        <v/>
      </c>
      <c r="F615" s="14" t="inlineStr">
        <is>
          <t>골로새서</t>
        </is>
      </c>
      <c r="G615" s="14" t="inlineStr">
        <is>
          <t>3:16</t>
        </is>
      </c>
      <c r="H615" s="15" t="inlineStr">
        <is>
          <t>(골 3:16, 개역한글)</t>
        </is>
      </c>
      <c r="I615" s="14" t="inlineStr">
        <is>
          <t>말씀</t>
        </is>
      </c>
      <c r="J615" s="14" t="inlineStr">
        <is>
          <t>들판·나무</t>
        </is>
      </c>
      <c r="K615" s="16" t="inlineStr">
        <is>
          <t>그리스도의 말씀이 너희 속에 풍성히 거하여 모든 지혜로 피차 가르치며 권면하고 시와 찬미와 신령한 노래를 부르며 마음에 감사함으로 하나님을 찬양하고</t>
        </is>
      </c>
      <c r="L615" s="14" t="inlineStr">
        <is>
          <t>자동 입력</t>
        </is>
      </c>
      <c r="M615" s="14">
        <f>LEN(K615)</f>
        <v/>
      </c>
      <c r="N615" s="14">
        <f>IF(M615=0,"-",ROUND(3+M615/'안내'!$C$12,0))</f>
        <v/>
      </c>
      <c r="O615" s="15">
        <f>IF(K615="","(본문 입력 후 자동) | 골 3:16",IF(LEN(K615)&gt;28,LEFT(K615,28)&amp;"…",K615)&amp;" | 골 3:16")</f>
        <v/>
      </c>
      <c r="P615" s="15">
        <f>"#"&amp;SUBSTITUTE('안내'!$C$5," ","")&amp;" #성경구절 #말씀 #골로새서 #말씀"</f>
        <v/>
      </c>
      <c r="Q615" s="15" t="inlineStr">
        <is>
          <t>성경 본문: 개역한글판</t>
        </is>
      </c>
      <c r="R615" s="17">
        <f>'안내'!$C$6+INT((D615-1)/'안내'!$C$7)</f>
        <v/>
      </c>
      <c r="S615" s="14">
        <f>IF(MOD(D615-1,'안내'!$C$7)=0,'안내'!$C$9,'안내'!$C$11)</f>
        <v/>
      </c>
      <c r="T615" s="14">
        <f>CHOOSE(WEEKDAY(R615,2),"월","화","수","목","금","토","일")</f>
        <v/>
      </c>
      <c r="U615" s="14" t="inlineStr">
        <is>
          <t>미착수</t>
        </is>
      </c>
      <c r="V615" s="14" t="inlineStr">
        <is>
          <t>미착수</t>
        </is>
      </c>
      <c r="W615" s="18" t="n"/>
      <c r="X615" s="18" t="n"/>
      <c r="Y615" s="15" t="n"/>
      <c r="Z615" s="15" t="inlineStr"/>
      <c r="AA615" s="15" t="inlineStr">
        <is>
          <t>Let the word of Christ dwell in you richly; in all wisdom teaching and admonishing one another with psalms, hymns, and spiritual songs, singing with grace in your heart to the Lord.</t>
        </is>
      </c>
    </row>
    <row r="616">
      <c r="A616" s="14" t="n">
        <v>615</v>
      </c>
      <c r="B616" s="14" t="inlineStr">
        <is>
          <t>W0615</t>
        </is>
      </c>
      <c r="C616" s="14" t="inlineStr">
        <is>
          <t>신약</t>
        </is>
      </c>
      <c r="D616" s="14" t="n">
        <v>251</v>
      </c>
      <c r="E616" s="14">
        <f>C616&amp;"말씀 #"&amp;TEXT(D616,"000")</f>
        <v/>
      </c>
      <c r="F616" s="14" t="inlineStr">
        <is>
          <t>골로새서</t>
        </is>
      </c>
      <c r="G616" s="14" t="inlineStr">
        <is>
          <t>3:23</t>
        </is>
      </c>
      <c r="H616" s="15" t="inlineStr">
        <is>
          <t>(골 3:23, 개역한글)</t>
        </is>
      </c>
      <c r="I616" s="14" t="inlineStr">
        <is>
          <t>헌신</t>
        </is>
      </c>
      <c r="J616" s="14" t="inlineStr">
        <is>
          <t>길·등불</t>
        </is>
      </c>
      <c r="K616" s="16" t="inlineStr">
        <is>
          <t>무슨 일을 하든지 마음을 다하여 주께 하듯 하고 사람에게 하듯 하지 말라</t>
        </is>
      </c>
      <c r="L616" s="14" t="inlineStr">
        <is>
          <t>자동 입력</t>
        </is>
      </c>
      <c r="M616" s="14">
        <f>LEN(K616)</f>
        <v/>
      </c>
      <c r="N616" s="14">
        <f>IF(M616=0,"-",ROUND(3+M616/'안내'!$C$12,0))</f>
        <v/>
      </c>
      <c r="O616" s="15">
        <f>IF(K616="","(본문 입력 후 자동) | 골 3:23",IF(LEN(K616)&gt;28,LEFT(K616,28)&amp;"…",K616)&amp;" | 골 3:23")</f>
        <v/>
      </c>
      <c r="P616" s="15">
        <f>"#"&amp;SUBSTITUTE('안내'!$C$5," ","")&amp;" #성경구절 #말씀 #골로새서 #헌신"</f>
        <v/>
      </c>
      <c r="Q616" s="15" t="inlineStr">
        <is>
          <t>성경 본문: 개역한글판</t>
        </is>
      </c>
      <c r="R616" s="17">
        <f>'안내'!$C$6+INT((D616-1)/'안내'!$C$7)</f>
        <v/>
      </c>
      <c r="S616" s="14">
        <f>IF(MOD(D616-1,'안내'!$C$7)=0,'안내'!$C$9,'안내'!$C$11)</f>
        <v/>
      </c>
      <c r="T616" s="14">
        <f>CHOOSE(WEEKDAY(R616,2),"월","화","수","목","금","토","일")</f>
        <v/>
      </c>
      <c r="U616" s="14" t="inlineStr">
        <is>
          <t>미착수</t>
        </is>
      </c>
      <c r="V616" s="14" t="inlineStr">
        <is>
          <t>미착수</t>
        </is>
      </c>
      <c r="W616" s="18" t="n"/>
      <c r="X616" s="18" t="n"/>
      <c r="Y616" s="15" t="n"/>
      <c r="Z616" s="15" t="inlineStr"/>
      <c r="AA616" s="15" t="inlineStr">
        <is>
          <t>And whatever you do, work heartily, as for the Lord and not for men,</t>
        </is>
      </c>
    </row>
    <row r="617">
      <c r="A617" s="14" t="n">
        <v>616</v>
      </c>
      <c r="B617" s="14" t="inlineStr">
        <is>
          <t>W0616</t>
        </is>
      </c>
      <c r="C617" s="14" t="inlineStr">
        <is>
          <t>신약</t>
        </is>
      </c>
      <c r="D617" s="14" t="n">
        <v>252</v>
      </c>
      <c r="E617" s="14">
        <f>C617&amp;"말씀 #"&amp;TEXT(D617,"000")</f>
        <v/>
      </c>
      <c r="F617" s="14" t="inlineStr">
        <is>
          <t>골로새서</t>
        </is>
      </c>
      <c r="G617" s="14" t="inlineStr">
        <is>
          <t>4:2</t>
        </is>
      </c>
      <c r="H617" s="15" t="inlineStr">
        <is>
          <t>(골 4:2, 개역한글)</t>
        </is>
      </c>
      <c r="I617" s="14" t="inlineStr">
        <is>
          <t>기도</t>
        </is>
      </c>
      <c r="J617" s="14" t="inlineStr">
        <is>
          <t>제단·십자가</t>
        </is>
      </c>
      <c r="K617" s="16" t="inlineStr">
        <is>
          <t>기도를 항상 힘쓰고 기도에 감사함으로 깨어 있으라</t>
        </is>
      </c>
      <c r="L617" s="14" t="inlineStr">
        <is>
          <t>자동 입력</t>
        </is>
      </c>
      <c r="M617" s="14">
        <f>LEN(K617)</f>
        <v/>
      </c>
      <c r="N617" s="14">
        <f>IF(M617=0,"-",ROUND(3+M617/'안내'!$C$12,0))</f>
        <v/>
      </c>
      <c r="O617" s="15">
        <f>IF(K617="","(본문 입력 후 자동) | 골 4:2",IF(LEN(K617)&gt;28,LEFT(K617,28)&amp;"…",K617)&amp;" | 골 4:2")</f>
        <v/>
      </c>
      <c r="P617" s="15">
        <f>"#"&amp;SUBSTITUTE('안내'!$C$5," ","")&amp;" #성경구절 #말씀 #골로새서 #기도"</f>
        <v/>
      </c>
      <c r="Q617" s="15" t="inlineStr">
        <is>
          <t>성경 본문: 개역한글판</t>
        </is>
      </c>
      <c r="R617" s="17">
        <f>'안내'!$C$6+INT((D617-1)/'안내'!$C$7)</f>
        <v/>
      </c>
      <c r="S617" s="14">
        <f>IF(MOD(D617-1,'안내'!$C$7)=0,'안내'!$C$9,'안내'!$C$11)</f>
        <v/>
      </c>
      <c r="T617" s="14">
        <f>CHOOSE(WEEKDAY(R617,2),"월","화","수","목","금","토","일")</f>
        <v/>
      </c>
      <c r="U617" s="14" t="inlineStr">
        <is>
          <t>미착수</t>
        </is>
      </c>
      <c r="V617" s="14" t="inlineStr">
        <is>
          <t>미착수</t>
        </is>
      </c>
      <c r="W617" s="18" t="n"/>
      <c r="X617" s="18" t="n"/>
      <c r="Y617" s="15" t="n"/>
      <c r="Z617" s="15" t="inlineStr"/>
      <c r="AA617" s="15" t="inlineStr">
        <is>
          <t>Continue steadfastly in prayer, watch- ing in it with thanksgiving,</t>
        </is>
      </c>
    </row>
    <row r="618">
      <c r="A618" s="14" t="n">
        <v>617</v>
      </c>
      <c r="B618" s="14" t="inlineStr">
        <is>
          <t>W0617</t>
        </is>
      </c>
      <c r="C618" s="14" t="inlineStr">
        <is>
          <t>신약</t>
        </is>
      </c>
      <c r="D618" s="14" t="n">
        <v>253</v>
      </c>
      <c r="E618" s="14">
        <f>C618&amp;"말씀 #"&amp;TEXT(D618,"000")</f>
        <v/>
      </c>
      <c r="F618" s="14" t="inlineStr">
        <is>
          <t>데살로니가전서</t>
        </is>
      </c>
      <c r="G618" s="14" t="inlineStr">
        <is>
          <t>4:16</t>
        </is>
      </c>
      <c r="H618" s="15" t="inlineStr">
        <is>
          <t>(살전 4:16, 개역한글)</t>
        </is>
      </c>
      <c r="I618" s="14" t="inlineStr">
        <is>
          <t>부활</t>
        </is>
      </c>
      <c r="J618" s="14" t="inlineStr">
        <is>
          <t>새벽빛</t>
        </is>
      </c>
      <c r="K618" s="16" t="inlineStr">
        <is>
          <t>주께서 호령과 천사장의 소리와 하나님의 나팔로 친히 하늘로 좇아 강림하시리니 그리스도 안에서 죽은 자들이 먼저 일어나고</t>
        </is>
      </c>
      <c r="L618" s="14" t="inlineStr">
        <is>
          <t>자동 입력</t>
        </is>
      </c>
      <c r="M618" s="14">
        <f>LEN(K618)</f>
        <v/>
      </c>
      <c r="N618" s="14">
        <f>IF(M618=0,"-",ROUND(3+M618/'안내'!$C$12,0))</f>
        <v/>
      </c>
      <c r="O618" s="15">
        <f>IF(K618="","(본문 입력 후 자동) | 살전 4:16",IF(LEN(K618)&gt;28,LEFT(K618,28)&amp;"…",K618)&amp;" | 살전 4:16")</f>
        <v/>
      </c>
      <c r="P618" s="15">
        <f>"#"&amp;SUBSTITUTE('안내'!$C$5," ","")&amp;" #성경구절 #말씀 #데살로니가전서 #부활"</f>
        <v/>
      </c>
      <c r="Q618" s="15" t="inlineStr">
        <is>
          <t>성경 본문: 개역한글판</t>
        </is>
      </c>
      <c r="R618" s="17">
        <f>'안내'!$C$6+INT((D618-1)/'안내'!$C$7)</f>
        <v/>
      </c>
      <c r="S618" s="14">
        <f>IF(MOD(D618-1,'안내'!$C$7)=0,'안내'!$C$9,'안내'!$C$11)</f>
        <v/>
      </c>
      <c r="T618" s="14">
        <f>CHOOSE(WEEKDAY(R618,2),"월","화","수","목","금","토","일")</f>
        <v/>
      </c>
      <c r="U618" s="14" t="inlineStr">
        <is>
          <t>미착수</t>
        </is>
      </c>
      <c r="V618" s="14" t="inlineStr">
        <is>
          <t>미착수</t>
        </is>
      </c>
      <c r="W618" s="18" t="n"/>
      <c r="X618" s="18" t="n"/>
      <c r="Y618" s="15" t="n"/>
      <c r="Z618" s="15" t="inlineStr"/>
      <c r="AA618" s="15" t="inlineStr">
        <is>
          <t>For the Lord himself will descend from heaven with a shout, with the voice of the archangel and with God’s trumpet. The dead in Christ will rise first,</t>
        </is>
      </c>
    </row>
    <row r="619">
      <c r="A619" s="14" t="n">
        <v>618</v>
      </c>
      <c r="B619" s="14" t="inlineStr">
        <is>
          <t>W0618</t>
        </is>
      </c>
      <c r="C619" s="14" t="inlineStr">
        <is>
          <t>신약</t>
        </is>
      </c>
      <c r="D619" s="14" t="n">
        <v>254</v>
      </c>
      <c r="E619" s="14">
        <f>C619&amp;"말씀 #"&amp;TEXT(D619,"000")</f>
        <v/>
      </c>
      <c r="F619" s="14" t="inlineStr">
        <is>
          <t>데살로니가전서</t>
        </is>
      </c>
      <c r="G619" s="14" t="inlineStr">
        <is>
          <t>5:11</t>
        </is>
      </c>
      <c r="H619" s="15" t="inlineStr">
        <is>
          <t>(살전 5:11, 개역한글)</t>
        </is>
      </c>
      <c r="I619" s="14" t="inlineStr">
        <is>
          <t>교회</t>
        </is>
      </c>
      <c r="J619" s="14" t="inlineStr">
        <is>
          <t>창가·식탁</t>
        </is>
      </c>
      <c r="K619" s="16" t="inlineStr">
        <is>
          <t>그러므로 피차 권면하고 피차 덕을 세우기를 너희가 하는 것같이 하라</t>
        </is>
      </c>
      <c r="L619" s="14" t="inlineStr">
        <is>
          <t>자동 입력</t>
        </is>
      </c>
      <c r="M619" s="14">
        <f>LEN(K619)</f>
        <v/>
      </c>
      <c r="N619" s="14">
        <f>IF(M619=0,"-",ROUND(3+M619/'안내'!$C$12,0))</f>
        <v/>
      </c>
      <c r="O619" s="15">
        <f>IF(K619="","(본문 입력 후 자동) | 살전 5:11",IF(LEN(K619)&gt;28,LEFT(K619,28)&amp;"…",K619)&amp;" | 살전 5:11")</f>
        <v/>
      </c>
      <c r="P619" s="15">
        <f>"#"&amp;SUBSTITUTE('안내'!$C$5," ","")&amp;" #성경구절 #말씀 #데살로니가전서 #교회"</f>
        <v/>
      </c>
      <c r="Q619" s="15" t="inlineStr">
        <is>
          <t>성경 본문: 개역한글판</t>
        </is>
      </c>
      <c r="R619" s="17">
        <f>'안내'!$C$6+INT((D619-1)/'안내'!$C$7)</f>
        <v/>
      </c>
      <c r="S619" s="14">
        <f>IF(MOD(D619-1,'안내'!$C$7)=0,'안내'!$C$9,'안내'!$C$11)</f>
        <v/>
      </c>
      <c r="T619" s="14">
        <f>CHOOSE(WEEKDAY(R619,2),"월","화","수","목","금","토","일")</f>
        <v/>
      </c>
      <c r="U619" s="14" t="inlineStr">
        <is>
          <t>미착수</t>
        </is>
      </c>
      <c r="V619" s="14" t="inlineStr">
        <is>
          <t>미착수</t>
        </is>
      </c>
      <c r="W619" s="18" t="n"/>
      <c r="X619" s="18" t="n"/>
      <c r="Y619" s="15" t="n"/>
      <c r="Z619" s="15" t="inlineStr"/>
      <c r="AA619" s="15" t="inlineStr">
        <is>
          <t>Therefore exhort one another, and build each other up, even as you also do.</t>
        </is>
      </c>
    </row>
    <row r="620">
      <c r="A620" s="14" t="n">
        <v>619</v>
      </c>
      <c r="B620" s="14" t="inlineStr">
        <is>
          <t>W0619</t>
        </is>
      </c>
      <c r="C620" s="14" t="inlineStr">
        <is>
          <t>신약</t>
        </is>
      </c>
      <c r="D620" s="14" t="n">
        <v>255</v>
      </c>
      <c r="E620" s="14">
        <f>C620&amp;"말씀 #"&amp;TEXT(D620,"000")</f>
        <v/>
      </c>
      <c r="F620" s="14" t="inlineStr">
        <is>
          <t>데살로니가전서</t>
        </is>
      </c>
      <c r="G620" s="14" t="inlineStr">
        <is>
          <t>5:16</t>
        </is>
      </c>
      <c r="H620" s="15" t="inlineStr">
        <is>
          <t>(살전 5:16, 개역한글)</t>
        </is>
      </c>
      <c r="I620" s="14" t="inlineStr">
        <is>
          <t>기쁨</t>
        </is>
      </c>
      <c r="J620" s="14" t="inlineStr">
        <is>
          <t>새벽빛</t>
        </is>
      </c>
      <c r="K620" s="16" t="inlineStr">
        <is>
          <t>항상 기뻐하라</t>
        </is>
      </c>
      <c r="L620" s="14" t="inlineStr">
        <is>
          <t>자동 입력</t>
        </is>
      </c>
      <c r="M620" s="14">
        <f>LEN(K620)</f>
        <v/>
      </c>
      <c r="N620" s="14">
        <f>IF(M620=0,"-",ROUND(3+M620/'안내'!$C$12,0))</f>
        <v/>
      </c>
      <c r="O620" s="15">
        <f>IF(K620="","(본문 입력 후 자동) | 살전 5:16",IF(LEN(K620)&gt;28,LEFT(K620,28)&amp;"…",K620)&amp;" | 살전 5:16")</f>
        <v/>
      </c>
      <c r="P620" s="15">
        <f>"#"&amp;SUBSTITUTE('안내'!$C$5," ","")&amp;" #성경구절 #말씀 #데살로니가전서 #기쁨"</f>
        <v/>
      </c>
      <c r="Q620" s="15" t="inlineStr">
        <is>
          <t>성경 본문: 개역한글판</t>
        </is>
      </c>
      <c r="R620" s="17">
        <f>'안내'!$C$6+INT((D620-1)/'안내'!$C$7)</f>
        <v/>
      </c>
      <c r="S620" s="14">
        <f>IF(MOD(D620-1,'안내'!$C$7)=0,'안내'!$C$9,'안내'!$C$11)</f>
        <v/>
      </c>
      <c r="T620" s="14">
        <f>CHOOSE(WEEKDAY(R620,2),"월","화","수","목","금","토","일")</f>
        <v/>
      </c>
      <c r="U620" s="14" t="inlineStr">
        <is>
          <t>미착수</t>
        </is>
      </c>
      <c r="V620" s="14" t="inlineStr">
        <is>
          <t>미착수</t>
        </is>
      </c>
      <c r="W620" s="18" t="n"/>
      <c r="X620" s="18" t="n"/>
      <c r="Y620" s="15" t="n"/>
      <c r="Z620" s="15" t="inlineStr"/>
      <c r="AA620" s="15" t="inlineStr">
        <is>
          <t>Always rejoice.</t>
        </is>
      </c>
    </row>
    <row r="621">
      <c r="A621" s="14" t="n">
        <v>620</v>
      </c>
      <c r="B621" s="14" t="inlineStr">
        <is>
          <t>W0620</t>
        </is>
      </c>
      <c r="C621" s="14" t="inlineStr">
        <is>
          <t>신약</t>
        </is>
      </c>
      <c r="D621" s="14" t="n">
        <v>256</v>
      </c>
      <c r="E621" s="14">
        <f>C621&amp;"말씀 #"&amp;TEXT(D621,"000")</f>
        <v/>
      </c>
      <c r="F621" s="14" t="inlineStr">
        <is>
          <t>데살로니가전서</t>
        </is>
      </c>
      <c r="G621" s="14" t="inlineStr">
        <is>
          <t>5:17</t>
        </is>
      </c>
      <c r="H621" s="15" t="inlineStr">
        <is>
          <t>(살전 5:17, 개역한글)</t>
        </is>
      </c>
      <c r="I621" s="14" t="inlineStr">
        <is>
          <t>기도</t>
        </is>
      </c>
      <c r="J621" s="14" t="inlineStr">
        <is>
          <t>제단·십자가</t>
        </is>
      </c>
      <c r="K621" s="16" t="inlineStr">
        <is>
          <t>쉬지 말고 기도하라</t>
        </is>
      </c>
      <c r="L621" s="14" t="inlineStr">
        <is>
          <t>자동 입력</t>
        </is>
      </c>
      <c r="M621" s="14">
        <f>LEN(K621)</f>
        <v/>
      </c>
      <c r="N621" s="14">
        <f>IF(M621=0,"-",ROUND(3+M621/'안내'!$C$12,0))</f>
        <v/>
      </c>
      <c r="O621" s="15">
        <f>IF(K621="","(본문 입력 후 자동) | 살전 5:17",IF(LEN(K621)&gt;28,LEFT(K621,28)&amp;"…",K621)&amp;" | 살전 5:17")</f>
        <v/>
      </c>
      <c r="P621" s="15">
        <f>"#"&amp;SUBSTITUTE('안내'!$C$5," ","")&amp;" #성경구절 #말씀 #데살로니가전서 #기도"</f>
        <v/>
      </c>
      <c r="Q621" s="15" t="inlineStr">
        <is>
          <t>성경 본문: 개역한글판</t>
        </is>
      </c>
      <c r="R621" s="17">
        <f>'안내'!$C$6+INT((D621-1)/'안내'!$C$7)</f>
        <v/>
      </c>
      <c r="S621" s="14">
        <f>IF(MOD(D621-1,'안내'!$C$7)=0,'안내'!$C$9,'안내'!$C$11)</f>
        <v/>
      </c>
      <c r="T621" s="14">
        <f>CHOOSE(WEEKDAY(R621,2),"월","화","수","목","금","토","일")</f>
        <v/>
      </c>
      <c r="U621" s="14" t="inlineStr">
        <is>
          <t>미착수</t>
        </is>
      </c>
      <c r="V621" s="14" t="inlineStr">
        <is>
          <t>미착수</t>
        </is>
      </c>
      <c r="W621" s="18" t="n"/>
      <c r="X621" s="18" t="n"/>
      <c r="Y621" s="15" t="n"/>
      <c r="Z621" s="15" t="inlineStr"/>
      <c r="AA621" s="15" t="inlineStr">
        <is>
          <t>Pray without ceas- ing.</t>
        </is>
      </c>
    </row>
    <row r="622">
      <c r="A622" s="14" t="n">
        <v>621</v>
      </c>
      <c r="B622" s="14" t="inlineStr">
        <is>
          <t>W0621</t>
        </is>
      </c>
      <c r="C622" s="14" t="inlineStr">
        <is>
          <t>신약</t>
        </is>
      </c>
      <c r="D622" s="14" t="n">
        <v>257</v>
      </c>
      <c r="E622" s="14">
        <f>C622&amp;"말씀 #"&amp;TEXT(D622,"000")</f>
        <v/>
      </c>
      <c r="F622" s="14" t="inlineStr">
        <is>
          <t>데살로니가전서</t>
        </is>
      </c>
      <c r="G622" s="14" t="inlineStr">
        <is>
          <t>5:18</t>
        </is>
      </c>
      <c r="H622" s="15" t="inlineStr">
        <is>
          <t>(살전 5:18, 개역한글)</t>
        </is>
      </c>
      <c r="I622" s="14" t="inlineStr">
        <is>
          <t>감사</t>
        </is>
      </c>
      <c r="J622" s="14" t="inlineStr">
        <is>
          <t>들판·나무</t>
        </is>
      </c>
      <c r="K622" s="16" t="inlineStr">
        <is>
          <t>범사에 감사하라 이는 그리스도 예수 안에서 너희를 향하신 하나님의 뜻이니라</t>
        </is>
      </c>
      <c r="L622" s="14" t="inlineStr">
        <is>
          <t>자동 입력</t>
        </is>
      </c>
      <c r="M622" s="14">
        <f>LEN(K622)</f>
        <v/>
      </c>
      <c r="N622" s="14">
        <f>IF(M622=0,"-",ROUND(3+M622/'안내'!$C$12,0))</f>
        <v/>
      </c>
      <c r="O622" s="15">
        <f>IF(K622="","(본문 입력 후 자동) | 살전 5:18",IF(LEN(K622)&gt;28,LEFT(K622,28)&amp;"…",K622)&amp;" | 살전 5:18")</f>
        <v/>
      </c>
      <c r="P622" s="15">
        <f>"#"&amp;SUBSTITUTE('안내'!$C$5," ","")&amp;" #성경구절 #말씀 #데살로니가전서 #감사"</f>
        <v/>
      </c>
      <c r="Q622" s="15" t="inlineStr">
        <is>
          <t>성경 본문: 개역한글판</t>
        </is>
      </c>
      <c r="R622" s="17">
        <f>'안내'!$C$6+INT((D622-1)/'안내'!$C$7)</f>
        <v/>
      </c>
      <c r="S622" s="14">
        <f>IF(MOD(D622-1,'안내'!$C$7)=0,'안내'!$C$9,'안내'!$C$11)</f>
        <v/>
      </c>
      <c r="T622" s="14">
        <f>CHOOSE(WEEKDAY(R622,2),"월","화","수","목","금","토","일")</f>
        <v/>
      </c>
      <c r="U622" s="14" t="inlineStr">
        <is>
          <t>미착수</t>
        </is>
      </c>
      <c r="V622" s="14" t="inlineStr">
        <is>
          <t>미착수</t>
        </is>
      </c>
      <c r="W622" s="18" t="n"/>
      <c r="X622" s="18" t="n"/>
      <c r="Y622" s="15" t="n"/>
      <c r="Z622" s="15" t="inlineStr"/>
      <c r="AA622" s="15" t="inlineStr">
        <is>
          <t>In everything give thanks, for this is the will of God in Christ Jesus toward you.</t>
        </is>
      </c>
    </row>
    <row r="623">
      <c r="A623" s="14" t="n">
        <v>622</v>
      </c>
      <c r="B623" s="14" t="inlineStr">
        <is>
          <t>W0622</t>
        </is>
      </c>
      <c r="C623" s="14" t="inlineStr">
        <is>
          <t>신약</t>
        </is>
      </c>
      <c r="D623" s="14" t="n">
        <v>258</v>
      </c>
      <c r="E623" s="14">
        <f>C623&amp;"말씀 #"&amp;TEXT(D623,"000")</f>
        <v/>
      </c>
      <c r="F623" s="14" t="inlineStr">
        <is>
          <t>데살로니가전서</t>
        </is>
      </c>
      <c r="G623" s="14" t="inlineStr">
        <is>
          <t>5:21</t>
        </is>
      </c>
      <c r="H623" s="15" t="inlineStr">
        <is>
          <t>(살전 5:21, 개역한글)</t>
        </is>
      </c>
      <c r="I623" s="14" t="inlineStr">
        <is>
          <t>지혜</t>
        </is>
      </c>
      <c r="J623" s="14" t="inlineStr">
        <is>
          <t>들판·나무</t>
        </is>
      </c>
      <c r="K623" s="16" t="inlineStr">
        <is>
          <t>범사에 헤아려 좋은 것을 취하고</t>
        </is>
      </c>
      <c r="L623" s="14" t="inlineStr">
        <is>
          <t>자동 입력</t>
        </is>
      </c>
      <c r="M623" s="14">
        <f>LEN(K623)</f>
        <v/>
      </c>
      <c r="N623" s="14">
        <f>IF(M623=0,"-",ROUND(3+M623/'안내'!$C$12,0))</f>
        <v/>
      </c>
      <c r="O623" s="15">
        <f>IF(K623="","(본문 입력 후 자동) | 살전 5:21",IF(LEN(K623)&gt;28,LEFT(K623,28)&amp;"…",K623)&amp;" | 살전 5:21")</f>
        <v/>
      </c>
      <c r="P623" s="15">
        <f>"#"&amp;SUBSTITUTE('안내'!$C$5," ","")&amp;" #성경구절 #말씀 #데살로니가전서 #지혜"</f>
        <v/>
      </c>
      <c r="Q623" s="15" t="inlineStr">
        <is>
          <t>성경 본문: 개역한글판</t>
        </is>
      </c>
      <c r="R623" s="17">
        <f>'안내'!$C$6+INT((D623-1)/'안내'!$C$7)</f>
        <v/>
      </c>
      <c r="S623" s="14">
        <f>IF(MOD(D623-1,'안내'!$C$7)=0,'안내'!$C$9,'안내'!$C$11)</f>
        <v/>
      </c>
      <c r="T623" s="14">
        <f>CHOOSE(WEEKDAY(R623,2),"월","화","수","목","금","토","일")</f>
        <v/>
      </c>
      <c r="U623" s="14" t="inlineStr">
        <is>
          <t>미착수</t>
        </is>
      </c>
      <c r="V623" s="14" t="inlineStr">
        <is>
          <t>미착수</t>
        </is>
      </c>
      <c r="W623" s="18" t="n"/>
      <c r="X623" s="18" t="n"/>
      <c r="Y623" s="15" t="n"/>
      <c r="Z623" s="15" t="inlineStr"/>
      <c r="AA623" s="15" t="inlineStr">
        <is>
          <t>Test all things, and hold firmly that which is good.</t>
        </is>
      </c>
    </row>
    <row r="624">
      <c r="A624" s="14" t="n">
        <v>623</v>
      </c>
      <c r="B624" s="14" t="inlineStr">
        <is>
          <t>W0623</t>
        </is>
      </c>
      <c r="C624" s="14" t="inlineStr">
        <is>
          <t>신약</t>
        </is>
      </c>
      <c r="D624" s="14" t="n">
        <v>259</v>
      </c>
      <c r="E624" s="14">
        <f>C624&amp;"말씀 #"&amp;TEXT(D624,"000")</f>
        <v/>
      </c>
      <c r="F624" s="14" t="inlineStr">
        <is>
          <t>데살로니가전서</t>
        </is>
      </c>
      <c r="G624" s="14" t="inlineStr">
        <is>
          <t>5:24</t>
        </is>
      </c>
      <c r="H624" s="15" t="inlineStr">
        <is>
          <t>(살전 5:24, 개역한글)</t>
        </is>
      </c>
      <c r="I624" s="14" t="inlineStr">
        <is>
          <t>신실하심</t>
        </is>
      </c>
      <c r="J624" s="14" t="inlineStr">
        <is>
          <t>바위산·광야</t>
        </is>
      </c>
      <c r="K624" s="16" t="inlineStr">
        <is>
          <t>너희를 부르시는 이는 미쁘시니 그가 또한 이루시리라</t>
        </is>
      </c>
      <c r="L624" s="14" t="inlineStr">
        <is>
          <t>자동 입력</t>
        </is>
      </c>
      <c r="M624" s="14">
        <f>LEN(K624)</f>
        <v/>
      </c>
      <c r="N624" s="14">
        <f>IF(M624=0,"-",ROUND(3+M624/'안내'!$C$12,0))</f>
        <v/>
      </c>
      <c r="O624" s="15">
        <f>IF(K624="","(본문 입력 후 자동) | 살전 5:24",IF(LEN(K624)&gt;28,LEFT(K624,28)&amp;"…",K624)&amp;" | 살전 5:24")</f>
        <v/>
      </c>
      <c r="P624" s="15">
        <f>"#"&amp;SUBSTITUTE('안내'!$C$5," ","")&amp;" #성경구절 #말씀 #데살로니가전서 #신실하심"</f>
        <v/>
      </c>
      <c r="Q624" s="15" t="inlineStr">
        <is>
          <t>성경 본문: 개역한글판</t>
        </is>
      </c>
      <c r="R624" s="17">
        <f>'안내'!$C$6+INT((D624-1)/'안내'!$C$7)</f>
        <v/>
      </c>
      <c r="S624" s="14">
        <f>IF(MOD(D624-1,'안내'!$C$7)=0,'안내'!$C$9,'안내'!$C$11)</f>
        <v/>
      </c>
      <c r="T624" s="14">
        <f>CHOOSE(WEEKDAY(R624,2),"월","화","수","목","금","토","일")</f>
        <v/>
      </c>
      <c r="U624" s="14" t="inlineStr">
        <is>
          <t>미착수</t>
        </is>
      </c>
      <c r="V624" s="14" t="inlineStr">
        <is>
          <t>미착수</t>
        </is>
      </c>
      <c r="W624" s="18" t="n"/>
      <c r="X624" s="18" t="n"/>
      <c r="Y624" s="15" t="n"/>
      <c r="Z624" s="15" t="inlineStr"/>
      <c r="AA624" s="15" t="inlineStr">
        <is>
          <t>He who calls you is faithful, who will also do it.</t>
        </is>
      </c>
    </row>
    <row r="625">
      <c r="A625" s="14" t="n">
        <v>624</v>
      </c>
      <c r="B625" s="14" t="inlineStr">
        <is>
          <t>W0624</t>
        </is>
      </c>
      <c r="C625" s="14" t="inlineStr">
        <is>
          <t>신약</t>
        </is>
      </c>
      <c r="D625" s="14" t="n">
        <v>260</v>
      </c>
      <c r="E625" s="14">
        <f>C625&amp;"말씀 #"&amp;TEXT(D625,"000")</f>
        <v/>
      </c>
      <c r="F625" s="14" t="inlineStr">
        <is>
          <t>데살로니가후서</t>
        </is>
      </c>
      <c r="G625" s="14" t="inlineStr">
        <is>
          <t>3:3</t>
        </is>
      </c>
      <c r="H625" s="15" t="inlineStr">
        <is>
          <t>(살후 3:3, 개역한글)</t>
        </is>
      </c>
      <c r="I625" s="14" t="inlineStr">
        <is>
          <t>보호</t>
        </is>
      </c>
      <c r="J625" s="14" t="inlineStr">
        <is>
          <t>바위산·광야</t>
        </is>
      </c>
      <c r="K625" s="16" t="inlineStr">
        <is>
          <t>주는 미쁘사 너희를 굳게 하시고 악한 자에게서 지키시리라</t>
        </is>
      </c>
      <c r="L625" s="14" t="inlineStr">
        <is>
          <t>자동 입력</t>
        </is>
      </c>
      <c r="M625" s="14">
        <f>LEN(K625)</f>
        <v/>
      </c>
      <c r="N625" s="14">
        <f>IF(M625=0,"-",ROUND(3+M625/'안내'!$C$12,0))</f>
        <v/>
      </c>
      <c r="O625" s="15">
        <f>IF(K625="","(본문 입력 후 자동) | 살후 3:3",IF(LEN(K625)&gt;28,LEFT(K625,28)&amp;"…",K625)&amp;" | 살후 3:3")</f>
        <v/>
      </c>
      <c r="P625" s="15">
        <f>"#"&amp;SUBSTITUTE('안내'!$C$5," ","")&amp;" #성경구절 #말씀 #데살로니가후서 #보호"</f>
        <v/>
      </c>
      <c r="Q625" s="15" t="inlineStr">
        <is>
          <t>성경 본문: 개역한글판</t>
        </is>
      </c>
      <c r="R625" s="17">
        <f>'안내'!$C$6+INT((D625-1)/'안내'!$C$7)</f>
        <v/>
      </c>
      <c r="S625" s="14">
        <f>IF(MOD(D625-1,'안내'!$C$7)=0,'안내'!$C$9,'안내'!$C$11)</f>
        <v/>
      </c>
      <c r="T625" s="14">
        <f>CHOOSE(WEEKDAY(R625,2),"월","화","수","목","금","토","일")</f>
        <v/>
      </c>
      <c r="U625" s="14" t="inlineStr">
        <is>
          <t>미착수</t>
        </is>
      </c>
      <c r="V625" s="14" t="inlineStr">
        <is>
          <t>미착수</t>
        </is>
      </c>
      <c r="W625" s="18" t="n"/>
      <c r="X625" s="18" t="n"/>
      <c r="Y625" s="15" t="n"/>
      <c r="Z625" s="15" t="inlineStr"/>
      <c r="AA625" s="15" t="inlineStr">
        <is>
          <t>But the Lord is faithful, who will establish you and guard you from the evil one.</t>
        </is>
      </c>
    </row>
    <row r="626">
      <c r="A626" s="14" t="n">
        <v>625</v>
      </c>
      <c r="B626" s="14" t="inlineStr">
        <is>
          <t>W0625</t>
        </is>
      </c>
      <c r="C626" s="14" t="inlineStr">
        <is>
          <t>신약</t>
        </is>
      </c>
      <c r="D626" s="14" t="n">
        <v>261</v>
      </c>
      <c r="E626" s="14">
        <f>C626&amp;"말씀 #"&amp;TEXT(D626,"000")</f>
        <v/>
      </c>
      <c r="F626" s="14" t="inlineStr">
        <is>
          <t>데살로니가후서</t>
        </is>
      </c>
      <c r="G626" s="14" t="inlineStr">
        <is>
          <t>3:5</t>
        </is>
      </c>
      <c r="H626" s="15" t="inlineStr">
        <is>
          <t>(살후 3:5, 개역한글)</t>
        </is>
      </c>
      <c r="I626" s="14" t="inlineStr">
        <is>
          <t>사랑</t>
        </is>
      </c>
      <c r="J626" s="14" t="inlineStr">
        <is>
          <t>창가·식탁</t>
        </is>
      </c>
      <c r="K626" s="16" t="inlineStr">
        <is>
          <t>주께서 너희 마음을 인도하여 하나님의 사랑과 그리스도의 인내에 들어가게 하시기를 원하노라</t>
        </is>
      </c>
      <c r="L626" s="14" t="inlineStr">
        <is>
          <t>자동 입력</t>
        </is>
      </c>
      <c r="M626" s="14">
        <f>LEN(K626)</f>
        <v/>
      </c>
      <c r="N626" s="14">
        <f>IF(M626=0,"-",ROUND(3+M626/'안내'!$C$12,0))</f>
        <v/>
      </c>
      <c r="O626" s="15">
        <f>IF(K626="","(본문 입력 후 자동) | 살후 3:5",IF(LEN(K626)&gt;28,LEFT(K626,28)&amp;"…",K626)&amp;" | 살후 3:5")</f>
        <v/>
      </c>
      <c r="P626" s="15">
        <f>"#"&amp;SUBSTITUTE('안내'!$C$5," ","")&amp;" #성경구절 #말씀 #데살로니가후서 #사랑"</f>
        <v/>
      </c>
      <c r="Q626" s="15" t="inlineStr">
        <is>
          <t>성경 본문: 개역한글판</t>
        </is>
      </c>
      <c r="R626" s="17">
        <f>'안내'!$C$6+INT((D626-1)/'안내'!$C$7)</f>
        <v/>
      </c>
      <c r="S626" s="14">
        <f>IF(MOD(D626-1,'안내'!$C$7)=0,'안내'!$C$9,'안내'!$C$11)</f>
        <v/>
      </c>
      <c r="T626" s="14">
        <f>CHOOSE(WEEKDAY(R626,2),"월","화","수","목","금","토","일")</f>
        <v/>
      </c>
      <c r="U626" s="14" t="inlineStr">
        <is>
          <t>미착수</t>
        </is>
      </c>
      <c r="V626" s="14" t="inlineStr">
        <is>
          <t>미착수</t>
        </is>
      </c>
      <c r="W626" s="18" t="n"/>
      <c r="X626" s="18" t="n"/>
      <c r="Y626" s="15" t="n"/>
      <c r="Z626" s="15" t="inlineStr"/>
      <c r="AA626" s="15" t="inlineStr">
        <is>
          <t>May the Lord direct your hearts into God’s love and into the perseverance of Christ.</t>
        </is>
      </c>
    </row>
    <row r="627">
      <c r="A627" s="14" t="n">
        <v>626</v>
      </c>
      <c r="B627" s="14" t="inlineStr">
        <is>
          <t>W0626</t>
        </is>
      </c>
      <c r="C627" s="14" t="inlineStr">
        <is>
          <t>신약</t>
        </is>
      </c>
      <c r="D627" s="14" t="n">
        <v>262</v>
      </c>
      <c r="E627" s="14">
        <f>C627&amp;"말씀 #"&amp;TEXT(D627,"000")</f>
        <v/>
      </c>
      <c r="F627" s="14" t="inlineStr">
        <is>
          <t>데살로니가후서</t>
        </is>
      </c>
      <c r="G627" s="14" t="inlineStr">
        <is>
          <t>3:13</t>
        </is>
      </c>
      <c r="H627" s="15" t="inlineStr">
        <is>
          <t>(살후 3:13, 개역한글)</t>
        </is>
      </c>
      <c r="I627" s="14" t="inlineStr">
        <is>
          <t>소망</t>
        </is>
      </c>
      <c r="J627" s="14" t="inlineStr">
        <is>
          <t>새벽빛</t>
        </is>
      </c>
      <c r="K627" s="16" t="inlineStr">
        <is>
          <t>형제들아 너희는 선을 행하다가 낙심치 말라</t>
        </is>
      </c>
      <c r="L627" s="14" t="inlineStr">
        <is>
          <t>자동 입력</t>
        </is>
      </c>
      <c r="M627" s="14">
        <f>LEN(K627)</f>
        <v/>
      </c>
      <c r="N627" s="14">
        <f>IF(M627=0,"-",ROUND(3+M627/'안내'!$C$12,0))</f>
        <v/>
      </c>
      <c r="O627" s="15">
        <f>IF(K627="","(본문 입력 후 자동) | 살후 3:13",IF(LEN(K627)&gt;28,LEFT(K627,28)&amp;"…",K627)&amp;" | 살후 3:13")</f>
        <v/>
      </c>
      <c r="P627" s="15">
        <f>"#"&amp;SUBSTITUTE('안내'!$C$5," ","")&amp;" #성경구절 #말씀 #데살로니가후서 #소망"</f>
        <v/>
      </c>
      <c r="Q627" s="15" t="inlineStr">
        <is>
          <t>성경 본문: 개역한글판</t>
        </is>
      </c>
      <c r="R627" s="17">
        <f>'안내'!$C$6+INT((D627-1)/'안내'!$C$7)</f>
        <v/>
      </c>
      <c r="S627" s="14">
        <f>IF(MOD(D627-1,'안내'!$C$7)=0,'안내'!$C$9,'안내'!$C$11)</f>
        <v/>
      </c>
      <c r="T627" s="14">
        <f>CHOOSE(WEEKDAY(R627,2),"월","화","수","목","금","토","일")</f>
        <v/>
      </c>
      <c r="U627" s="14" t="inlineStr">
        <is>
          <t>미착수</t>
        </is>
      </c>
      <c r="V627" s="14" t="inlineStr">
        <is>
          <t>미착수</t>
        </is>
      </c>
      <c r="W627" s="18" t="n"/>
      <c r="X627" s="18" t="n"/>
      <c r="Y627" s="15" t="n"/>
      <c r="Z627" s="15" t="inlineStr"/>
      <c r="AA627" s="15" t="inlineStr">
        <is>
          <t>But you, brothers, don’t be weary in doing what is right.</t>
        </is>
      </c>
    </row>
    <row r="628">
      <c r="A628" s="14" t="n">
        <v>627</v>
      </c>
      <c r="B628" s="14" t="inlineStr">
        <is>
          <t>W0627</t>
        </is>
      </c>
      <c r="C628" s="14" t="inlineStr">
        <is>
          <t>신약</t>
        </is>
      </c>
      <c r="D628" s="14" t="n">
        <v>263</v>
      </c>
      <c r="E628" s="14">
        <f>C628&amp;"말씀 #"&amp;TEXT(D628,"000")</f>
        <v/>
      </c>
      <c r="F628" s="14" t="inlineStr">
        <is>
          <t>디모데전서</t>
        </is>
      </c>
      <c r="G628" s="14" t="inlineStr">
        <is>
          <t>1:15</t>
        </is>
      </c>
      <c r="H628" s="15" t="inlineStr">
        <is>
          <t>(딤전 1:15, 개역한글)</t>
        </is>
      </c>
      <c r="I628" s="14" t="inlineStr">
        <is>
          <t>구원</t>
        </is>
      </c>
      <c r="J628" s="14" t="inlineStr">
        <is>
          <t>제단·십자가</t>
        </is>
      </c>
      <c r="K628" s="16" t="inlineStr">
        <is>
          <t>미쁘다 모든 사람이 받을 만한 이 말이여 그리스도 예수께서 죄인을 구원하시려고 세상에 임하셨다 하였도다 죄인 중에 내가 괴수니라</t>
        </is>
      </c>
      <c r="L628" s="14" t="inlineStr">
        <is>
          <t>자동 입력</t>
        </is>
      </c>
      <c r="M628" s="14">
        <f>LEN(K628)</f>
        <v/>
      </c>
      <c r="N628" s="14">
        <f>IF(M628=0,"-",ROUND(3+M628/'안내'!$C$12,0))</f>
        <v/>
      </c>
      <c r="O628" s="15">
        <f>IF(K628="","(본문 입력 후 자동) | 딤전 1:15",IF(LEN(K628)&gt;28,LEFT(K628,28)&amp;"…",K628)&amp;" | 딤전 1:15")</f>
        <v/>
      </c>
      <c r="P628" s="15">
        <f>"#"&amp;SUBSTITUTE('안내'!$C$5," ","")&amp;" #성경구절 #말씀 #디모데전서 #구원"</f>
        <v/>
      </c>
      <c r="Q628" s="15" t="inlineStr">
        <is>
          <t>성경 본문: 개역한글판</t>
        </is>
      </c>
      <c r="R628" s="17">
        <f>'안내'!$C$6+INT((D628-1)/'안내'!$C$7)</f>
        <v/>
      </c>
      <c r="S628" s="14">
        <f>IF(MOD(D628-1,'안내'!$C$7)=0,'안내'!$C$9,'안내'!$C$11)</f>
        <v/>
      </c>
      <c r="T628" s="14">
        <f>CHOOSE(WEEKDAY(R628,2),"월","화","수","목","금","토","일")</f>
        <v/>
      </c>
      <c r="U628" s="14" t="inlineStr">
        <is>
          <t>미착수</t>
        </is>
      </c>
      <c r="V628" s="14" t="inlineStr">
        <is>
          <t>미착수</t>
        </is>
      </c>
      <c r="W628" s="18" t="n"/>
      <c r="X628" s="18" t="n"/>
      <c r="Y628" s="15" t="n"/>
      <c r="Z628" s="15" t="inlineStr"/>
      <c r="AA628" s="15" t="inlineStr">
        <is>
          <t>The saying is faithful and worthy of all acceptance, that Christ Jesus came into the world to save sinners, of whom I am chief.</t>
        </is>
      </c>
    </row>
    <row r="629">
      <c r="A629" s="14" t="n">
        <v>628</v>
      </c>
      <c r="B629" s="14" t="inlineStr">
        <is>
          <t>W0628</t>
        </is>
      </c>
      <c r="C629" s="14" t="inlineStr">
        <is>
          <t>신약</t>
        </is>
      </c>
      <c r="D629" s="14" t="n">
        <v>264</v>
      </c>
      <c r="E629" s="14">
        <f>C629&amp;"말씀 #"&amp;TEXT(D629,"000")</f>
        <v/>
      </c>
      <c r="F629" s="14" t="inlineStr">
        <is>
          <t>디모데전서</t>
        </is>
      </c>
      <c r="G629" s="14" t="inlineStr">
        <is>
          <t>2:4</t>
        </is>
      </c>
      <c r="H629" s="15" t="inlineStr">
        <is>
          <t>(딤전 2:4, 개역한글)</t>
        </is>
      </c>
      <c r="I629" s="14" t="inlineStr">
        <is>
          <t>구원</t>
        </is>
      </c>
      <c r="J629" s="14" t="inlineStr">
        <is>
          <t>제단·십자가</t>
        </is>
      </c>
      <c r="K629" s="16" t="inlineStr">
        <is>
          <t>하나님은 모든 사람이 구원을 받으며 진리를 아는 데 이르기를 원하시느니라</t>
        </is>
      </c>
      <c r="L629" s="14" t="inlineStr">
        <is>
          <t>자동 입력</t>
        </is>
      </c>
      <c r="M629" s="14">
        <f>LEN(K629)</f>
        <v/>
      </c>
      <c r="N629" s="14">
        <f>IF(M629=0,"-",ROUND(3+M629/'안내'!$C$12,0))</f>
        <v/>
      </c>
      <c r="O629" s="15">
        <f>IF(K629="","(본문 입력 후 자동) | 딤전 2:4",IF(LEN(K629)&gt;28,LEFT(K629,28)&amp;"…",K629)&amp;" | 딤전 2:4")</f>
        <v/>
      </c>
      <c r="P629" s="15">
        <f>"#"&amp;SUBSTITUTE('안내'!$C$5," ","")&amp;" #성경구절 #말씀 #디모데전서 #구원"</f>
        <v/>
      </c>
      <c r="Q629" s="15" t="inlineStr">
        <is>
          <t>성경 본문: 개역한글판</t>
        </is>
      </c>
      <c r="R629" s="17">
        <f>'안내'!$C$6+INT((D629-1)/'안내'!$C$7)</f>
        <v/>
      </c>
      <c r="S629" s="14">
        <f>IF(MOD(D629-1,'안내'!$C$7)=0,'안내'!$C$9,'안내'!$C$11)</f>
        <v/>
      </c>
      <c r="T629" s="14">
        <f>CHOOSE(WEEKDAY(R629,2),"월","화","수","목","금","토","일")</f>
        <v/>
      </c>
      <c r="U629" s="14" t="inlineStr">
        <is>
          <t>미착수</t>
        </is>
      </c>
      <c r="V629" s="14" t="inlineStr">
        <is>
          <t>미착수</t>
        </is>
      </c>
      <c r="W629" s="18" t="n"/>
      <c r="X629" s="18" t="n"/>
      <c r="Y629" s="15" t="n"/>
      <c r="Z629" s="15" t="inlineStr"/>
      <c r="AA629" s="15" t="inlineStr">
        <is>
          <t>who desires all people to be saved and come to full knowledge of the truth.</t>
        </is>
      </c>
    </row>
    <row r="630">
      <c r="A630" s="14" t="n">
        <v>629</v>
      </c>
      <c r="B630" s="14" t="inlineStr">
        <is>
          <t>W0629</t>
        </is>
      </c>
      <c r="C630" s="14" t="inlineStr">
        <is>
          <t>신약</t>
        </is>
      </c>
      <c r="D630" s="14" t="n">
        <v>265</v>
      </c>
      <c r="E630" s="14">
        <f>C630&amp;"말씀 #"&amp;TEXT(D630,"000")</f>
        <v/>
      </c>
      <c r="F630" s="14" t="inlineStr">
        <is>
          <t>디모데전서</t>
        </is>
      </c>
      <c r="G630" s="14" t="inlineStr">
        <is>
          <t>2:5</t>
        </is>
      </c>
      <c r="H630" s="15" t="inlineStr">
        <is>
          <t>(딤전 2:5, 개역한글)</t>
        </is>
      </c>
      <c r="I630" s="14" t="inlineStr">
        <is>
          <t>구원</t>
        </is>
      </c>
      <c r="J630" s="14" t="inlineStr">
        <is>
          <t>제단·십자가</t>
        </is>
      </c>
      <c r="K630" s="16" t="inlineStr">
        <is>
          <t>하나님은 한 분이시요 또 하나님과 사람 사이에 중보도 한 분이시니 곧 사람이신 그리스도 예수라</t>
        </is>
      </c>
      <c r="L630" s="14" t="inlineStr">
        <is>
          <t>자동 입력</t>
        </is>
      </c>
      <c r="M630" s="14">
        <f>LEN(K630)</f>
        <v/>
      </c>
      <c r="N630" s="14">
        <f>IF(M630=0,"-",ROUND(3+M630/'안내'!$C$12,0))</f>
        <v/>
      </c>
      <c r="O630" s="15">
        <f>IF(K630="","(본문 입력 후 자동) | 딤전 2:5",IF(LEN(K630)&gt;28,LEFT(K630,28)&amp;"…",K630)&amp;" | 딤전 2:5")</f>
        <v/>
      </c>
      <c r="P630" s="15">
        <f>"#"&amp;SUBSTITUTE('안내'!$C$5," ","")&amp;" #성경구절 #말씀 #디모데전서 #구원"</f>
        <v/>
      </c>
      <c r="Q630" s="15" t="inlineStr">
        <is>
          <t>성경 본문: 개역한글판</t>
        </is>
      </c>
      <c r="R630" s="17">
        <f>'안내'!$C$6+INT((D630-1)/'안내'!$C$7)</f>
        <v/>
      </c>
      <c r="S630" s="14">
        <f>IF(MOD(D630-1,'안내'!$C$7)=0,'안내'!$C$9,'안내'!$C$11)</f>
        <v/>
      </c>
      <c r="T630" s="14">
        <f>CHOOSE(WEEKDAY(R630,2),"월","화","수","목","금","토","일")</f>
        <v/>
      </c>
      <c r="U630" s="14" t="inlineStr">
        <is>
          <t>미착수</t>
        </is>
      </c>
      <c r="V630" s="14" t="inlineStr">
        <is>
          <t>미착수</t>
        </is>
      </c>
      <c r="W630" s="18" t="n"/>
      <c r="X630" s="18" t="n"/>
      <c r="Y630" s="15" t="n"/>
      <c r="Z630" s="15" t="inlineStr"/>
      <c r="AA630" s="15" t="inlineStr">
        <is>
          <t>For there is one God and one mediator between God and men, the man Christ Jesus,</t>
        </is>
      </c>
    </row>
    <row r="631">
      <c r="A631" s="14" t="n">
        <v>630</v>
      </c>
      <c r="B631" s="14" t="inlineStr">
        <is>
          <t>W0630</t>
        </is>
      </c>
      <c r="C631" s="14" t="inlineStr">
        <is>
          <t>신약</t>
        </is>
      </c>
      <c r="D631" s="14" t="n">
        <v>266</v>
      </c>
      <c r="E631" s="14">
        <f>C631&amp;"말씀 #"&amp;TEXT(D631,"000")</f>
        <v/>
      </c>
      <c r="F631" s="14" t="inlineStr">
        <is>
          <t>디모데전서</t>
        </is>
      </c>
      <c r="G631" s="14" t="inlineStr">
        <is>
          <t>4:8</t>
        </is>
      </c>
      <c r="H631" s="15" t="inlineStr">
        <is>
          <t>(딤전 4:8, 개역한글)</t>
        </is>
      </c>
      <c r="I631" s="14" t="inlineStr">
        <is>
          <t>경건</t>
        </is>
      </c>
      <c r="J631" s="14" t="inlineStr">
        <is>
          <t>들판·나무</t>
        </is>
      </c>
      <c r="K631" s="16" t="inlineStr">
        <is>
          <t>육체의 연습은 약간의 유익이 있으나 경건은 범사에 유익하니 금생과 내생에 약속이 있느니라</t>
        </is>
      </c>
      <c r="L631" s="14" t="inlineStr">
        <is>
          <t>자동 입력</t>
        </is>
      </c>
      <c r="M631" s="14">
        <f>LEN(K631)</f>
        <v/>
      </c>
      <c r="N631" s="14">
        <f>IF(M631=0,"-",ROUND(3+M631/'안내'!$C$12,0))</f>
        <v/>
      </c>
      <c r="O631" s="15">
        <f>IF(K631="","(본문 입력 후 자동) | 딤전 4:8",IF(LEN(K631)&gt;28,LEFT(K631,28)&amp;"…",K631)&amp;" | 딤전 4:8")</f>
        <v/>
      </c>
      <c r="P631" s="15">
        <f>"#"&amp;SUBSTITUTE('안내'!$C$5," ","")&amp;" #성경구절 #말씀 #디모데전서 #경건"</f>
        <v/>
      </c>
      <c r="Q631" s="15" t="inlineStr">
        <is>
          <t>성경 본문: 개역한글판</t>
        </is>
      </c>
      <c r="R631" s="17">
        <f>'안내'!$C$6+INT((D631-1)/'안내'!$C$7)</f>
        <v/>
      </c>
      <c r="S631" s="14">
        <f>IF(MOD(D631-1,'안내'!$C$7)=0,'안내'!$C$9,'안내'!$C$11)</f>
        <v/>
      </c>
      <c r="T631" s="14">
        <f>CHOOSE(WEEKDAY(R631,2),"월","화","수","목","금","토","일")</f>
        <v/>
      </c>
      <c r="U631" s="14" t="inlineStr">
        <is>
          <t>미착수</t>
        </is>
      </c>
      <c r="V631" s="14" t="inlineStr">
        <is>
          <t>미착수</t>
        </is>
      </c>
      <c r="W631" s="18" t="n"/>
      <c r="X631" s="18" t="n"/>
      <c r="Y631" s="15" t="n"/>
      <c r="Z631" s="15" t="inlineStr"/>
      <c r="AA631" s="15" t="inlineStr">
        <is>
          <t>For bodily exercise has some value, but godliness has value in all things, having the promise of the life which is now and of that which is to come.</t>
        </is>
      </c>
    </row>
    <row r="632">
      <c r="A632" s="14" t="n">
        <v>631</v>
      </c>
      <c r="B632" s="14" t="inlineStr">
        <is>
          <t>W0631</t>
        </is>
      </c>
      <c r="C632" s="14" t="inlineStr">
        <is>
          <t>신약</t>
        </is>
      </c>
      <c r="D632" s="14" t="n">
        <v>267</v>
      </c>
      <c r="E632" s="14">
        <f>C632&amp;"말씀 #"&amp;TEXT(D632,"000")</f>
        <v/>
      </c>
      <c r="F632" s="14" t="inlineStr">
        <is>
          <t>디모데전서</t>
        </is>
      </c>
      <c r="G632" s="14" t="inlineStr">
        <is>
          <t>4:12</t>
        </is>
      </c>
      <c r="H632" s="15" t="inlineStr">
        <is>
          <t>(딤전 4:12, 개역한글)</t>
        </is>
      </c>
      <c r="I632" s="14" t="inlineStr">
        <is>
          <t>담대함</t>
        </is>
      </c>
      <c r="J632" s="14" t="inlineStr">
        <is>
          <t>바위산·광야</t>
        </is>
      </c>
      <c r="K632" s="16" t="inlineStr">
        <is>
          <t>누구든지 네 연소함을 업신여기지 못하게 하고 오직 말과 행실과 사랑과 믿음과 정절에 대하여 믿는 자에게 본이 되어</t>
        </is>
      </c>
      <c r="L632" s="14" t="inlineStr">
        <is>
          <t>자동 입력</t>
        </is>
      </c>
      <c r="M632" s="14">
        <f>LEN(K632)</f>
        <v/>
      </c>
      <c r="N632" s="14">
        <f>IF(M632=0,"-",ROUND(3+M632/'안내'!$C$12,0))</f>
        <v/>
      </c>
      <c r="O632" s="15">
        <f>IF(K632="","(본문 입력 후 자동) | 딤전 4:12",IF(LEN(K632)&gt;28,LEFT(K632,28)&amp;"…",K632)&amp;" | 딤전 4:12")</f>
        <v/>
      </c>
      <c r="P632" s="15">
        <f>"#"&amp;SUBSTITUTE('안내'!$C$5," ","")&amp;" #성경구절 #말씀 #디모데전서 #담대함"</f>
        <v/>
      </c>
      <c r="Q632" s="15" t="inlineStr">
        <is>
          <t>성경 본문: 개역한글판</t>
        </is>
      </c>
      <c r="R632" s="17">
        <f>'안내'!$C$6+INT((D632-1)/'안내'!$C$7)</f>
        <v/>
      </c>
      <c r="S632" s="14">
        <f>IF(MOD(D632-1,'안내'!$C$7)=0,'안내'!$C$9,'안내'!$C$11)</f>
        <v/>
      </c>
      <c r="T632" s="14">
        <f>CHOOSE(WEEKDAY(R632,2),"월","화","수","목","금","토","일")</f>
        <v/>
      </c>
      <c r="U632" s="14" t="inlineStr">
        <is>
          <t>미착수</t>
        </is>
      </c>
      <c r="V632" s="14" t="inlineStr">
        <is>
          <t>미착수</t>
        </is>
      </c>
      <c r="W632" s="18" t="n"/>
      <c r="X632" s="18" t="n"/>
      <c r="Y632" s="15" t="n"/>
      <c r="Z632" s="15" t="inlineStr"/>
      <c r="AA632" s="15" t="inlineStr">
        <is>
          <t>Let no man despise your youth; but be an example to those who believe, in word, in your way of life, in love, in spirit, in faith, and in purity.</t>
        </is>
      </c>
    </row>
    <row r="633">
      <c r="A633" s="14" t="n">
        <v>632</v>
      </c>
      <c r="B633" s="14" t="inlineStr">
        <is>
          <t>W0632</t>
        </is>
      </c>
      <c r="C633" s="14" t="inlineStr">
        <is>
          <t>신약</t>
        </is>
      </c>
      <c r="D633" s="14" t="n">
        <v>268</v>
      </c>
      <c r="E633" s="14">
        <f>C633&amp;"말씀 #"&amp;TEXT(D633,"000")</f>
        <v/>
      </c>
      <c r="F633" s="14" t="inlineStr">
        <is>
          <t>디모데전서</t>
        </is>
      </c>
      <c r="G633" s="14" t="inlineStr">
        <is>
          <t>6:6</t>
        </is>
      </c>
      <c r="H633" s="15" t="inlineStr">
        <is>
          <t>(딤전 6:6, 개역한글)</t>
        </is>
      </c>
      <c r="I633" s="14" t="inlineStr">
        <is>
          <t>경건</t>
        </is>
      </c>
      <c r="J633" s="14" t="inlineStr">
        <is>
          <t>들판·나무</t>
        </is>
      </c>
      <c r="K633" s="16" t="inlineStr">
        <is>
          <t>그러나 지족하는 마음이 있으면 경건이 큰 이익이 되느니라</t>
        </is>
      </c>
      <c r="L633" s="14" t="inlineStr">
        <is>
          <t>자동 입력</t>
        </is>
      </c>
      <c r="M633" s="14">
        <f>LEN(K633)</f>
        <v/>
      </c>
      <c r="N633" s="14">
        <f>IF(M633=0,"-",ROUND(3+M633/'안내'!$C$12,0))</f>
        <v/>
      </c>
      <c r="O633" s="15">
        <f>IF(K633="","(본문 입력 후 자동) | 딤전 6:6",IF(LEN(K633)&gt;28,LEFT(K633,28)&amp;"…",K633)&amp;" | 딤전 6:6")</f>
        <v/>
      </c>
      <c r="P633" s="15">
        <f>"#"&amp;SUBSTITUTE('안내'!$C$5," ","")&amp;" #성경구절 #말씀 #디모데전서 #경건"</f>
        <v/>
      </c>
      <c r="Q633" s="15" t="inlineStr">
        <is>
          <t>성경 본문: 개역한글판</t>
        </is>
      </c>
      <c r="R633" s="17">
        <f>'안내'!$C$6+INT((D633-1)/'안내'!$C$7)</f>
        <v/>
      </c>
      <c r="S633" s="14">
        <f>IF(MOD(D633-1,'안내'!$C$7)=0,'안내'!$C$9,'안내'!$C$11)</f>
        <v/>
      </c>
      <c r="T633" s="14">
        <f>CHOOSE(WEEKDAY(R633,2),"월","화","수","목","금","토","일")</f>
        <v/>
      </c>
      <c r="U633" s="14" t="inlineStr">
        <is>
          <t>미착수</t>
        </is>
      </c>
      <c r="V633" s="14" t="inlineStr">
        <is>
          <t>미착수</t>
        </is>
      </c>
      <c r="W633" s="18" t="n"/>
      <c r="X633" s="18" t="n"/>
      <c r="Y633" s="15" t="n"/>
      <c r="Z633" s="15" t="inlineStr"/>
      <c r="AA633" s="15" t="inlineStr">
        <is>
          <t>But godliness with contentment is great gain.</t>
        </is>
      </c>
    </row>
    <row r="634">
      <c r="A634" s="14" t="n">
        <v>633</v>
      </c>
      <c r="B634" s="14" t="inlineStr">
        <is>
          <t>W0633</t>
        </is>
      </c>
      <c r="C634" s="14" t="inlineStr">
        <is>
          <t>신약</t>
        </is>
      </c>
      <c r="D634" s="14" t="n">
        <v>269</v>
      </c>
      <c r="E634" s="14">
        <f>C634&amp;"말씀 #"&amp;TEXT(D634,"000")</f>
        <v/>
      </c>
      <c r="F634" s="14" t="inlineStr">
        <is>
          <t>디모데전서</t>
        </is>
      </c>
      <c r="G634" s="14" t="inlineStr">
        <is>
          <t>6:10</t>
        </is>
      </c>
      <c r="H634" s="15" t="inlineStr">
        <is>
          <t>(딤전 6:10, 개역한글)</t>
        </is>
      </c>
      <c r="I634" s="14" t="inlineStr">
        <is>
          <t>지혜</t>
        </is>
      </c>
      <c r="J634" s="14" t="inlineStr">
        <is>
          <t>들판·나무</t>
        </is>
      </c>
      <c r="K634" s="16" t="inlineStr">
        <is>
          <t>돈을 사랑함이 일만 악의 뿌리가 되나니 이것을 사모하는 자들이 미혹을 받아 믿음에서 떠나 많은 근심으로써 자기를 찔렀도다</t>
        </is>
      </c>
      <c r="L634" s="14" t="inlineStr">
        <is>
          <t>자동 입력 · 대조 필요</t>
        </is>
      </c>
      <c r="M634" s="14">
        <f>LEN(K634)</f>
        <v/>
      </c>
      <c r="N634" s="14">
        <f>IF(M634=0,"-",ROUND(3+M634/'안내'!$C$12,0))</f>
        <v/>
      </c>
      <c r="O634" s="15">
        <f>IF(K634="","(본문 입력 후 자동) | 딤전 6:10",IF(LEN(K634)&gt;28,LEFT(K634,28)&amp;"…",K634)&amp;" | 딤전 6:10")</f>
        <v/>
      </c>
      <c r="P634" s="15">
        <f>"#"&amp;SUBSTITUTE('안내'!$C$5," ","")&amp;" #성경구절 #말씀 #디모데전서 #지혜"</f>
        <v/>
      </c>
      <c r="Q634" s="15" t="inlineStr">
        <is>
          <t>성경 본문: 개역한글판</t>
        </is>
      </c>
      <c r="R634" s="17">
        <f>'안내'!$C$6+INT((D634-1)/'안내'!$C$7)</f>
        <v/>
      </c>
      <c r="S634" s="14">
        <f>IF(MOD(D634-1,'안내'!$C$7)=0,'안내'!$C$9,'안내'!$C$11)</f>
        <v/>
      </c>
      <c r="T634" s="14">
        <f>CHOOSE(WEEKDAY(R634,2),"월","화","수","목","금","토","일")</f>
        <v/>
      </c>
      <c r="U634" s="14" t="inlineStr">
        <is>
          <t>미착수</t>
        </is>
      </c>
      <c r="V634" s="14" t="inlineStr">
        <is>
          <t>미착수</t>
        </is>
      </c>
      <c r="W634" s="18" t="n"/>
      <c r="X634" s="18" t="n"/>
      <c r="Y634" s="15" t="n"/>
      <c r="Z634" s="15" t="inlineStr">
        <is>
          <t>줄바꿈 띄어쓰기 확인</t>
        </is>
      </c>
      <c r="AA634" s="15" t="inlineStr">
        <is>
          <t>For the love of money is a root of all kinds of evil. Some have been led astray from the faith in their greed, and have pierced themselves through with many sorrows.</t>
        </is>
      </c>
    </row>
    <row r="635">
      <c r="A635" s="14" t="n">
        <v>634</v>
      </c>
      <c r="B635" s="14" t="inlineStr">
        <is>
          <t>W0634</t>
        </is>
      </c>
      <c r="C635" s="14" t="inlineStr">
        <is>
          <t>신약</t>
        </is>
      </c>
      <c r="D635" s="14" t="n">
        <v>270</v>
      </c>
      <c r="E635" s="14">
        <f>C635&amp;"말씀 #"&amp;TEXT(D635,"000")</f>
        <v/>
      </c>
      <c r="F635" s="14" t="inlineStr">
        <is>
          <t>디모데전서</t>
        </is>
      </c>
      <c r="G635" s="14" t="inlineStr">
        <is>
          <t>6:12</t>
        </is>
      </c>
      <c r="H635" s="15" t="inlineStr">
        <is>
          <t>(딤전 6:12, 개역한글)</t>
        </is>
      </c>
      <c r="I635" s="14" t="inlineStr">
        <is>
          <t>믿음</t>
        </is>
      </c>
      <c r="J635" s="14" t="inlineStr">
        <is>
          <t>바위산·광야</t>
        </is>
      </c>
      <c r="K635" s="16" t="inlineStr">
        <is>
          <t>믿음의 선한 싸움을 싸우라 영생을 취하라 이를 위하여 네가 부르심을 입었고 많은 증인 앞에서 선한 증거를 증거하였도다</t>
        </is>
      </c>
      <c r="L635" s="14" t="inlineStr">
        <is>
          <t>자동 입력</t>
        </is>
      </c>
      <c r="M635" s="14">
        <f>LEN(K635)</f>
        <v/>
      </c>
      <c r="N635" s="14">
        <f>IF(M635=0,"-",ROUND(3+M635/'안내'!$C$12,0))</f>
        <v/>
      </c>
      <c r="O635" s="15">
        <f>IF(K635="","(본문 입력 후 자동) | 딤전 6:12",IF(LEN(K635)&gt;28,LEFT(K635,28)&amp;"…",K635)&amp;" | 딤전 6:12")</f>
        <v/>
      </c>
      <c r="P635" s="15">
        <f>"#"&amp;SUBSTITUTE('안내'!$C$5," ","")&amp;" #성경구절 #말씀 #디모데전서 #믿음"</f>
        <v/>
      </c>
      <c r="Q635" s="15" t="inlineStr">
        <is>
          <t>성경 본문: 개역한글판</t>
        </is>
      </c>
      <c r="R635" s="17">
        <f>'안내'!$C$6+INT((D635-1)/'안내'!$C$7)</f>
        <v/>
      </c>
      <c r="S635" s="14">
        <f>IF(MOD(D635-1,'안내'!$C$7)=0,'안내'!$C$9,'안내'!$C$11)</f>
        <v/>
      </c>
      <c r="T635" s="14">
        <f>CHOOSE(WEEKDAY(R635,2),"월","화","수","목","금","토","일")</f>
        <v/>
      </c>
      <c r="U635" s="14" t="inlineStr">
        <is>
          <t>미착수</t>
        </is>
      </c>
      <c r="V635" s="14" t="inlineStr">
        <is>
          <t>미착수</t>
        </is>
      </c>
      <c r="W635" s="18" t="n"/>
      <c r="X635" s="18" t="n"/>
      <c r="Y635" s="15" t="n"/>
      <c r="Z635" s="15" t="inlineStr"/>
      <c r="AA635" s="15" t="inlineStr">
        <is>
          <t>Fight the good fight of faith. Take hold of the eternal life to which you were called, and you confessed the good confession in the sight of many witnesses.</t>
        </is>
      </c>
    </row>
    <row r="636">
      <c r="A636" s="14" t="n">
        <v>635</v>
      </c>
      <c r="B636" s="14" t="inlineStr">
        <is>
          <t>W0635</t>
        </is>
      </c>
      <c r="C636" s="14" t="inlineStr">
        <is>
          <t>신약</t>
        </is>
      </c>
      <c r="D636" s="14" t="n">
        <v>271</v>
      </c>
      <c r="E636" s="14">
        <f>C636&amp;"말씀 #"&amp;TEXT(D636,"000")</f>
        <v/>
      </c>
      <c r="F636" s="14" t="inlineStr">
        <is>
          <t>디모데후서</t>
        </is>
      </c>
      <c r="G636" s="14" t="inlineStr">
        <is>
          <t>1:7</t>
        </is>
      </c>
      <c r="H636" s="15" t="inlineStr">
        <is>
          <t>(딤후 1:7, 개역한글)</t>
        </is>
      </c>
      <c r="I636" s="14" t="inlineStr">
        <is>
          <t>담대함</t>
        </is>
      </c>
      <c r="J636" s="14" t="inlineStr">
        <is>
          <t>바위산·광야</t>
        </is>
      </c>
      <c r="K636" s="16" t="inlineStr">
        <is>
          <t>하나님이 우리에게 주신 것은 두려워하는 마음이 아니요 오직 능력과 사랑과 근신하는 마음이니</t>
        </is>
      </c>
      <c r="L636" s="14" t="inlineStr">
        <is>
          <t>자동 입력</t>
        </is>
      </c>
      <c r="M636" s="14">
        <f>LEN(K636)</f>
        <v/>
      </c>
      <c r="N636" s="14">
        <f>IF(M636=0,"-",ROUND(3+M636/'안내'!$C$12,0))</f>
        <v/>
      </c>
      <c r="O636" s="15">
        <f>IF(K636="","(본문 입력 후 자동) | 딤후 1:7",IF(LEN(K636)&gt;28,LEFT(K636,28)&amp;"…",K636)&amp;" | 딤후 1:7")</f>
        <v/>
      </c>
      <c r="P636" s="15">
        <f>"#"&amp;SUBSTITUTE('안내'!$C$5," ","")&amp;" #성경구절 #말씀 #디모데후서 #담대함"</f>
        <v/>
      </c>
      <c r="Q636" s="15" t="inlineStr">
        <is>
          <t>성경 본문: 개역한글판</t>
        </is>
      </c>
      <c r="R636" s="17">
        <f>'안내'!$C$6+INT((D636-1)/'안내'!$C$7)</f>
        <v/>
      </c>
      <c r="S636" s="14">
        <f>IF(MOD(D636-1,'안내'!$C$7)=0,'안내'!$C$9,'안내'!$C$11)</f>
        <v/>
      </c>
      <c r="T636" s="14">
        <f>CHOOSE(WEEKDAY(R636,2),"월","화","수","목","금","토","일")</f>
        <v/>
      </c>
      <c r="U636" s="14" t="inlineStr">
        <is>
          <t>미착수</t>
        </is>
      </c>
      <c r="V636" s="14" t="inlineStr">
        <is>
          <t>미착수</t>
        </is>
      </c>
      <c r="W636" s="18" t="n"/>
      <c r="X636" s="18" t="n"/>
      <c r="Y636" s="15" t="n"/>
      <c r="Z636" s="15" t="inlineStr"/>
      <c r="AA636" s="15" t="inlineStr">
        <is>
          <t>For God didn’t give us a spirit of fear, but of power, love, and self-control.</t>
        </is>
      </c>
    </row>
    <row r="637">
      <c r="A637" s="14" t="n">
        <v>636</v>
      </c>
      <c r="B637" s="14" t="inlineStr">
        <is>
          <t>W0636</t>
        </is>
      </c>
      <c r="C637" s="14" t="inlineStr">
        <is>
          <t>신약</t>
        </is>
      </c>
      <c r="D637" s="14" t="n">
        <v>272</v>
      </c>
      <c r="E637" s="14">
        <f>C637&amp;"말씀 #"&amp;TEXT(D637,"000")</f>
        <v/>
      </c>
      <c r="F637" s="14" t="inlineStr">
        <is>
          <t>디모데후서</t>
        </is>
      </c>
      <c r="G637" s="14" t="inlineStr">
        <is>
          <t>1:12</t>
        </is>
      </c>
      <c r="H637" s="15" t="inlineStr">
        <is>
          <t>(딤후 1:12, 개역한글)</t>
        </is>
      </c>
      <c r="I637" s="14" t="inlineStr">
        <is>
          <t>신뢰</t>
        </is>
      </c>
      <c r="J637" s="14" t="inlineStr">
        <is>
          <t>바위산·광야</t>
        </is>
      </c>
      <c r="K637" s="16" t="inlineStr">
        <is>
          <t>이를 인하여 내가 또 이 고난을 받되 부끄러워하지 아니함은 나의 의뢰한 자를 내가 알고 또한 나의 의탁한 것을 그 날까지 저가 능히 지키실 줄을 확신함이라</t>
        </is>
      </c>
      <c r="L637" s="14" t="inlineStr">
        <is>
          <t>자동 입력 · 대조 필요</t>
        </is>
      </c>
      <c r="M637" s="14">
        <f>LEN(K637)</f>
        <v/>
      </c>
      <c r="N637" s="14">
        <f>IF(M637=0,"-",ROUND(3+M637/'안내'!$C$12,0))</f>
        <v/>
      </c>
      <c r="O637" s="15">
        <f>IF(K637="","(본문 입력 후 자동) | 딤후 1:12",IF(LEN(K637)&gt;28,LEFT(K637,28)&amp;"…",K637)&amp;" | 딤후 1:12")</f>
        <v/>
      </c>
      <c r="P637" s="15">
        <f>"#"&amp;SUBSTITUTE('안내'!$C$5," ","")&amp;" #성경구절 #말씀 #디모데후서 #신뢰"</f>
        <v/>
      </c>
      <c r="Q637" s="15" t="inlineStr">
        <is>
          <t>성경 본문: 개역한글판</t>
        </is>
      </c>
      <c r="R637" s="17">
        <f>'안내'!$C$6+INT((D637-1)/'안내'!$C$7)</f>
        <v/>
      </c>
      <c r="S637" s="14">
        <f>IF(MOD(D637-1,'안내'!$C$7)=0,'안내'!$C$9,'안내'!$C$11)</f>
        <v/>
      </c>
      <c r="T637" s="14">
        <f>CHOOSE(WEEKDAY(R637,2),"월","화","수","목","금","토","일")</f>
        <v/>
      </c>
      <c r="U637" s="14" t="inlineStr">
        <is>
          <t>미착수</t>
        </is>
      </c>
      <c r="V637" s="14" t="inlineStr">
        <is>
          <t>미착수</t>
        </is>
      </c>
      <c r="W637" s="18" t="n"/>
      <c r="X637" s="18" t="n"/>
      <c r="Y637" s="15" t="n"/>
      <c r="Z637" s="15" t="inlineStr">
        <is>
          <t>줄바꿈 띄어쓰기 확인</t>
        </is>
      </c>
      <c r="AA637" s="15" t="inlineStr">
        <is>
          <t>For this cause I also suffer these things. Yet I am not ashamed, for I know him whom I have believed, and I am persuaded that he is able to guard that which I have committed to him against that day.</t>
        </is>
      </c>
    </row>
    <row r="638">
      <c r="A638" s="14" t="n">
        <v>637</v>
      </c>
      <c r="B638" s="14" t="inlineStr">
        <is>
          <t>W0637</t>
        </is>
      </c>
      <c r="C638" s="14" t="inlineStr">
        <is>
          <t>신약</t>
        </is>
      </c>
      <c r="D638" s="14" t="n">
        <v>273</v>
      </c>
      <c r="E638" s="14">
        <f>C638&amp;"말씀 #"&amp;TEXT(D638,"000")</f>
        <v/>
      </c>
      <c r="F638" s="14" t="inlineStr">
        <is>
          <t>디모데후서</t>
        </is>
      </c>
      <c r="G638" s="14" t="inlineStr">
        <is>
          <t>2:1</t>
        </is>
      </c>
      <c r="H638" s="15" t="inlineStr">
        <is>
          <t>(딤후 2:1, 개역한글)</t>
        </is>
      </c>
      <c r="I638" s="14" t="inlineStr">
        <is>
          <t>은혜</t>
        </is>
      </c>
      <c r="J638" s="14" t="inlineStr">
        <is>
          <t>잔잔한 물</t>
        </is>
      </c>
      <c r="K638" s="16" t="inlineStr">
        <is>
          <t>내 아들아 그러므로 네가 그리스도 예수 안에 있는 은혜 속에서 강하고</t>
        </is>
      </c>
      <c r="L638" s="14" t="inlineStr">
        <is>
          <t>자동 입력</t>
        </is>
      </c>
      <c r="M638" s="14">
        <f>LEN(K638)</f>
        <v/>
      </c>
      <c r="N638" s="14">
        <f>IF(M638=0,"-",ROUND(3+M638/'안내'!$C$12,0))</f>
        <v/>
      </c>
      <c r="O638" s="15">
        <f>IF(K638="","(본문 입력 후 자동) | 딤후 2:1",IF(LEN(K638)&gt;28,LEFT(K638,28)&amp;"…",K638)&amp;" | 딤후 2:1")</f>
        <v/>
      </c>
      <c r="P638" s="15">
        <f>"#"&amp;SUBSTITUTE('안내'!$C$5," ","")&amp;" #성경구절 #말씀 #디모데후서 #은혜"</f>
        <v/>
      </c>
      <c r="Q638" s="15" t="inlineStr">
        <is>
          <t>성경 본문: 개역한글판</t>
        </is>
      </c>
      <c r="R638" s="17">
        <f>'안내'!$C$6+INT((D638-1)/'안내'!$C$7)</f>
        <v/>
      </c>
      <c r="S638" s="14">
        <f>IF(MOD(D638-1,'안내'!$C$7)=0,'안내'!$C$9,'안내'!$C$11)</f>
        <v/>
      </c>
      <c r="T638" s="14">
        <f>CHOOSE(WEEKDAY(R638,2),"월","화","수","목","금","토","일")</f>
        <v/>
      </c>
      <c r="U638" s="14" t="inlineStr">
        <is>
          <t>미착수</t>
        </is>
      </c>
      <c r="V638" s="14" t="inlineStr">
        <is>
          <t>미착수</t>
        </is>
      </c>
      <c r="W638" s="18" t="n"/>
      <c r="X638" s="18" t="n"/>
      <c r="Y638" s="15" t="n"/>
      <c r="Z638" s="15" t="inlineStr"/>
      <c r="AA638" s="15" t="inlineStr">
        <is>
          <t>You therefore, my child, be strength- ened in the grace that is in Christ Jesus.</t>
        </is>
      </c>
    </row>
    <row r="639">
      <c r="A639" s="14" t="n">
        <v>638</v>
      </c>
      <c r="B639" s="14" t="inlineStr">
        <is>
          <t>W0638</t>
        </is>
      </c>
      <c r="C639" s="14" t="inlineStr">
        <is>
          <t>신약</t>
        </is>
      </c>
      <c r="D639" s="14" t="n">
        <v>274</v>
      </c>
      <c r="E639" s="14">
        <f>C639&amp;"말씀 #"&amp;TEXT(D639,"000")</f>
        <v/>
      </c>
      <c r="F639" s="14" t="inlineStr">
        <is>
          <t>디모데후서</t>
        </is>
      </c>
      <c r="G639" s="14" t="inlineStr">
        <is>
          <t>2:13</t>
        </is>
      </c>
      <c r="H639" s="15" t="inlineStr">
        <is>
          <t>(딤후 2:13, 개역한글)</t>
        </is>
      </c>
      <c r="I639" s="14" t="inlineStr">
        <is>
          <t>신실하심</t>
        </is>
      </c>
      <c r="J639" s="14" t="inlineStr">
        <is>
          <t>바위산·광야</t>
        </is>
      </c>
      <c r="K639" s="16" t="inlineStr">
        <is>
          <t>우리는 미쁨이 없을지라도 주는 일향 미쁘시니 자기를 부인하실 수 없으시리라</t>
        </is>
      </c>
      <c r="L639" s="14" t="inlineStr">
        <is>
          <t>자동 입력</t>
        </is>
      </c>
      <c r="M639" s="14">
        <f>LEN(K639)</f>
        <v/>
      </c>
      <c r="N639" s="14">
        <f>IF(M639=0,"-",ROUND(3+M639/'안내'!$C$12,0))</f>
        <v/>
      </c>
      <c r="O639" s="15">
        <f>IF(K639="","(본문 입력 후 자동) | 딤후 2:13",IF(LEN(K639)&gt;28,LEFT(K639,28)&amp;"…",K639)&amp;" | 딤후 2:13")</f>
        <v/>
      </c>
      <c r="P639" s="15">
        <f>"#"&amp;SUBSTITUTE('안내'!$C$5," ","")&amp;" #성경구절 #말씀 #디모데후서 #신실하심"</f>
        <v/>
      </c>
      <c r="Q639" s="15" t="inlineStr">
        <is>
          <t>성경 본문: 개역한글판</t>
        </is>
      </c>
      <c r="R639" s="17">
        <f>'안내'!$C$6+INT((D639-1)/'안내'!$C$7)</f>
        <v/>
      </c>
      <c r="S639" s="14">
        <f>IF(MOD(D639-1,'안내'!$C$7)=0,'안내'!$C$9,'안내'!$C$11)</f>
        <v/>
      </c>
      <c r="T639" s="14">
        <f>CHOOSE(WEEKDAY(R639,2),"월","화","수","목","금","토","일")</f>
        <v/>
      </c>
      <c r="U639" s="14" t="inlineStr">
        <is>
          <t>미착수</t>
        </is>
      </c>
      <c r="V639" s="14" t="inlineStr">
        <is>
          <t>미착수</t>
        </is>
      </c>
      <c r="W639" s="18" t="n"/>
      <c r="X639" s="18" t="n"/>
      <c r="Y639" s="15" t="n"/>
      <c r="Z639" s="15" t="inlineStr"/>
      <c r="AA639" s="15" t="inlineStr">
        <is>
          <t>If we are faithless, he remains faithful; for he can’t deny himself.”</t>
        </is>
      </c>
    </row>
    <row r="640">
      <c r="A640" s="14" t="n">
        <v>639</v>
      </c>
      <c r="B640" s="14" t="inlineStr">
        <is>
          <t>W0639</t>
        </is>
      </c>
      <c r="C640" s="14" t="inlineStr">
        <is>
          <t>신약</t>
        </is>
      </c>
      <c r="D640" s="14" t="n">
        <v>275</v>
      </c>
      <c r="E640" s="14">
        <f>C640&amp;"말씀 #"&amp;TEXT(D640,"000")</f>
        <v/>
      </c>
      <c r="F640" s="14" t="inlineStr">
        <is>
          <t>디모데후서</t>
        </is>
      </c>
      <c r="G640" s="14" t="inlineStr">
        <is>
          <t>2:15</t>
        </is>
      </c>
      <c r="H640" s="15" t="inlineStr">
        <is>
          <t>(딤후 2:15, 개역한글)</t>
        </is>
      </c>
      <c r="I640" s="14" t="inlineStr">
        <is>
          <t>말씀</t>
        </is>
      </c>
      <c r="J640" s="14" t="inlineStr">
        <is>
          <t>들판·나무</t>
        </is>
      </c>
      <c r="K640" s="16" t="inlineStr">
        <is>
          <t>네가 진리의 말씀을 옳게 분변하여 부끄러울 것이 없는 일꾼으로 인정된 자로 자신을 하나님 앞에 드리기를 힘쓰라</t>
        </is>
      </c>
      <c r="L640" s="14" t="inlineStr">
        <is>
          <t>자동 입력</t>
        </is>
      </c>
      <c r="M640" s="14">
        <f>LEN(K640)</f>
        <v/>
      </c>
      <c r="N640" s="14">
        <f>IF(M640=0,"-",ROUND(3+M640/'안내'!$C$12,0))</f>
        <v/>
      </c>
      <c r="O640" s="15">
        <f>IF(K640="","(본문 입력 후 자동) | 딤후 2:15",IF(LEN(K640)&gt;28,LEFT(K640,28)&amp;"…",K640)&amp;" | 딤후 2:15")</f>
        <v/>
      </c>
      <c r="P640" s="15">
        <f>"#"&amp;SUBSTITUTE('안내'!$C$5," ","")&amp;" #성경구절 #말씀 #디모데후서 #말씀"</f>
        <v/>
      </c>
      <c r="Q640" s="15" t="inlineStr">
        <is>
          <t>성경 본문: 개역한글판</t>
        </is>
      </c>
      <c r="R640" s="17">
        <f>'안내'!$C$6+INT((D640-1)/'안내'!$C$7)</f>
        <v/>
      </c>
      <c r="S640" s="14">
        <f>IF(MOD(D640-1,'안내'!$C$7)=0,'안내'!$C$9,'안내'!$C$11)</f>
        <v/>
      </c>
      <c r="T640" s="14">
        <f>CHOOSE(WEEKDAY(R640,2),"월","화","수","목","금","토","일")</f>
        <v/>
      </c>
      <c r="U640" s="14" t="inlineStr">
        <is>
          <t>미착수</t>
        </is>
      </c>
      <c r="V640" s="14" t="inlineStr">
        <is>
          <t>미착수</t>
        </is>
      </c>
      <c r="W640" s="18" t="n"/>
      <c r="X640" s="18" t="n"/>
      <c r="Y640" s="15" t="n"/>
      <c r="Z640" s="15" t="inlineStr"/>
      <c r="AA640" s="15" t="inlineStr">
        <is>
          <t>Give diligence to present yourself ap- proved by God, a workman who doesn’t need to be ashamed, properly handling the Word of Truth.</t>
        </is>
      </c>
    </row>
    <row r="641">
      <c r="A641" s="14" t="n">
        <v>640</v>
      </c>
      <c r="B641" s="14" t="inlineStr">
        <is>
          <t>W0640</t>
        </is>
      </c>
      <c r="C641" s="14" t="inlineStr">
        <is>
          <t>신약</t>
        </is>
      </c>
      <c r="D641" s="14" t="n">
        <v>276</v>
      </c>
      <c r="E641" s="14">
        <f>C641&amp;"말씀 #"&amp;TEXT(D641,"000")</f>
        <v/>
      </c>
      <c r="F641" s="14" t="inlineStr">
        <is>
          <t>디모데후서</t>
        </is>
      </c>
      <c r="G641" s="14" t="inlineStr">
        <is>
          <t>3:16</t>
        </is>
      </c>
      <c r="H641" s="15" t="inlineStr">
        <is>
          <t>(딤후 3:16, 개역한글)</t>
        </is>
      </c>
      <c r="I641" s="14" t="inlineStr">
        <is>
          <t>말씀</t>
        </is>
      </c>
      <c r="J641" s="14" t="inlineStr">
        <is>
          <t>들판·나무</t>
        </is>
      </c>
      <c r="K641" s="16" t="inlineStr">
        <is>
          <t>모든 성경은 하나님의 감동으로 된 것으로 교훈과 책망과 바르게 함과 의로 교육하기에 유익하니</t>
        </is>
      </c>
      <c r="L641" s="14" t="inlineStr">
        <is>
          <t>자동 입력</t>
        </is>
      </c>
      <c r="M641" s="14">
        <f>LEN(K641)</f>
        <v/>
      </c>
      <c r="N641" s="14">
        <f>IF(M641=0,"-",ROUND(3+M641/'안내'!$C$12,0))</f>
        <v/>
      </c>
      <c r="O641" s="15">
        <f>IF(K641="","(본문 입력 후 자동) | 딤후 3:16",IF(LEN(K641)&gt;28,LEFT(K641,28)&amp;"…",K641)&amp;" | 딤후 3:16")</f>
        <v/>
      </c>
      <c r="P641" s="15">
        <f>"#"&amp;SUBSTITUTE('안내'!$C$5," ","")&amp;" #성경구절 #말씀 #디모데후서 #말씀"</f>
        <v/>
      </c>
      <c r="Q641" s="15" t="inlineStr">
        <is>
          <t>성경 본문: 개역한글판</t>
        </is>
      </c>
      <c r="R641" s="17">
        <f>'안내'!$C$6+INT((D641-1)/'안내'!$C$7)</f>
        <v/>
      </c>
      <c r="S641" s="14">
        <f>IF(MOD(D641-1,'안내'!$C$7)=0,'안내'!$C$9,'안내'!$C$11)</f>
        <v/>
      </c>
      <c r="T641" s="14">
        <f>CHOOSE(WEEKDAY(R641,2),"월","화","수","목","금","토","일")</f>
        <v/>
      </c>
      <c r="U641" s="14" t="inlineStr">
        <is>
          <t>미착수</t>
        </is>
      </c>
      <c r="V641" s="14" t="inlineStr">
        <is>
          <t>미착수</t>
        </is>
      </c>
      <c r="W641" s="18" t="n"/>
      <c r="X641" s="18" t="n"/>
      <c r="Y641" s="15" t="n"/>
      <c r="Z641" s="15" t="inlineStr"/>
      <c r="AA641" s="15" t="inlineStr">
        <is>
          <t>Every Scripture is God-breathed and profitable for teaching, for reproof, for correction, and for instruction in righ- teousness,</t>
        </is>
      </c>
    </row>
    <row r="642">
      <c r="A642" s="14" t="n">
        <v>641</v>
      </c>
      <c r="B642" s="14" t="inlineStr">
        <is>
          <t>W0641</t>
        </is>
      </c>
      <c r="C642" s="14" t="inlineStr">
        <is>
          <t>신약</t>
        </is>
      </c>
      <c r="D642" s="14" t="n">
        <v>277</v>
      </c>
      <c r="E642" s="14">
        <f>C642&amp;"말씀 #"&amp;TEXT(D642,"000")</f>
        <v/>
      </c>
      <c r="F642" s="14" t="inlineStr">
        <is>
          <t>디모데후서</t>
        </is>
      </c>
      <c r="G642" s="14" t="inlineStr">
        <is>
          <t>4:2</t>
        </is>
      </c>
      <c r="H642" s="15" t="inlineStr">
        <is>
          <t>(딤후 4:2, 개역한글)</t>
        </is>
      </c>
      <c r="I642" s="14" t="inlineStr">
        <is>
          <t>복음</t>
        </is>
      </c>
      <c r="J642" s="14" t="inlineStr">
        <is>
          <t>제단·십자가</t>
        </is>
      </c>
      <c r="K642" s="16" t="inlineStr">
        <is>
          <t>너는 말씀을 전파하라 때를 얻든지 못 얻든지 항상 힘쓰라 범사에 오래 참음과 가르침으로 경책하며 경계하며 권하라</t>
        </is>
      </c>
      <c r="L642" s="14" t="inlineStr">
        <is>
          <t>자동 입력 · 대조 필요</t>
        </is>
      </c>
      <c r="M642" s="14">
        <f>LEN(K642)</f>
        <v/>
      </c>
      <c r="N642" s="14">
        <f>IF(M642=0,"-",ROUND(3+M642/'안내'!$C$12,0))</f>
        <v/>
      </c>
      <c r="O642" s="15">
        <f>IF(K642="","(본문 입력 후 자동) | 딤후 4:2",IF(LEN(K642)&gt;28,LEFT(K642,28)&amp;"…",K642)&amp;" | 딤후 4:2")</f>
        <v/>
      </c>
      <c r="P642" s="15">
        <f>"#"&amp;SUBSTITUTE('안내'!$C$5," ","")&amp;" #성경구절 #말씀 #디모데후서 #복음"</f>
        <v/>
      </c>
      <c r="Q642" s="15" t="inlineStr">
        <is>
          <t>성경 본문: 개역한글판</t>
        </is>
      </c>
      <c r="R642" s="17">
        <f>'안내'!$C$6+INT((D642-1)/'안내'!$C$7)</f>
        <v/>
      </c>
      <c r="S642" s="14">
        <f>IF(MOD(D642-1,'안내'!$C$7)=0,'안내'!$C$9,'안내'!$C$11)</f>
        <v/>
      </c>
      <c r="T642" s="14">
        <f>CHOOSE(WEEKDAY(R642,2),"월","화","수","목","금","토","일")</f>
        <v/>
      </c>
      <c r="U642" s="14" t="inlineStr">
        <is>
          <t>미착수</t>
        </is>
      </c>
      <c r="V642" s="14" t="inlineStr">
        <is>
          <t>미착수</t>
        </is>
      </c>
      <c r="W642" s="18" t="n"/>
      <c r="X642" s="18" t="n"/>
      <c r="Y642" s="15" t="n"/>
      <c r="Z642" s="15" t="inlineStr">
        <is>
          <t>줄바꿈 띄어쓰기 확인</t>
        </is>
      </c>
      <c r="AA642" s="15" t="inlineStr">
        <is>
          <t>preach the word; be ur- gent in season and out of season; reprove, rebuke, and exhort with all patience and teaching.</t>
        </is>
      </c>
    </row>
    <row r="643">
      <c r="A643" s="14" t="n">
        <v>642</v>
      </c>
      <c r="B643" s="14" t="inlineStr">
        <is>
          <t>W0642</t>
        </is>
      </c>
      <c r="C643" s="14" t="inlineStr">
        <is>
          <t>신약</t>
        </is>
      </c>
      <c r="D643" s="14" t="n">
        <v>278</v>
      </c>
      <c r="E643" s="14">
        <f>C643&amp;"말씀 #"&amp;TEXT(D643,"000")</f>
        <v/>
      </c>
      <c r="F643" s="14" t="inlineStr">
        <is>
          <t>디모데후서</t>
        </is>
      </c>
      <c r="G643" s="14" t="inlineStr">
        <is>
          <t>4:7</t>
        </is>
      </c>
      <c r="H643" s="15" t="inlineStr">
        <is>
          <t>(딤후 4:7, 개역한글)</t>
        </is>
      </c>
      <c r="I643" s="14" t="inlineStr">
        <is>
          <t>믿음</t>
        </is>
      </c>
      <c r="J643" s="14" t="inlineStr">
        <is>
          <t>바위산·광야</t>
        </is>
      </c>
      <c r="K643" s="16" t="inlineStr">
        <is>
          <t>내가 선한 싸움을 싸우고 나의 달려갈 길을 마치고 믿음을 지켰으니</t>
        </is>
      </c>
      <c r="L643" s="14" t="inlineStr">
        <is>
          <t>자동 입력</t>
        </is>
      </c>
      <c r="M643" s="14">
        <f>LEN(K643)</f>
        <v/>
      </c>
      <c r="N643" s="14">
        <f>IF(M643=0,"-",ROUND(3+M643/'안내'!$C$12,0))</f>
        <v/>
      </c>
      <c r="O643" s="15">
        <f>IF(K643="","(본문 입력 후 자동) | 딤후 4:7",IF(LEN(K643)&gt;28,LEFT(K643,28)&amp;"…",K643)&amp;" | 딤후 4:7")</f>
        <v/>
      </c>
      <c r="P643" s="15">
        <f>"#"&amp;SUBSTITUTE('안내'!$C$5," ","")&amp;" #성경구절 #말씀 #디모데후서 #믿음"</f>
        <v/>
      </c>
      <c r="Q643" s="15" t="inlineStr">
        <is>
          <t>성경 본문: 개역한글판</t>
        </is>
      </c>
      <c r="R643" s="17">
        <f>'안내'!$C$6+INT((D643-1)/'안내'!$C$7)</f>
        <v/>
      </c>
      <c r="S643" s="14">
        <f>IF(MOD(D643-1,'안내'!$C$7)=0,'안내'!$C$9,'안내'!$C$11)</f>
        <v/>
      </c>
      <c r="T643" s="14">
        <f>CHOOSE(WEEKDAY(R643,2),"월","화","수","목","금","토","일")</f>
        <v/>
      </c>
      <c r="U643" s="14" t="inlineStr">
        <is>
          <t>미착수</t>
        </is>
      </c>
      <c r="V643" s="14" t="inlineStr">
        <is>
          <t>미착수</t>
        </is>
      </c>
      <c r="W643" s="18" t="n"/>
      <c r="X643" s="18" t="n"/>
      <c r="Y643" s="15" t="n"/>
      <c r="Z643" s="15" t="inlineStr"/>
      <c r="AA643" s="15" t="inlineStr">
        <is>
          <t>I have fought the good fight. I have finished the course. I have kept the faith.</t>
        </is>
      </c>
    </row>
    <row r="644">
      <c r="A644" s="14" t="n">
        <v>643</v>
      </c>
      <c r="B644" s="14" t="inlineStr">
        <is>
          <t>W0643</t>
        </is>
      </c>
      <c r="C644" s="14" t="inlineStr">
        <is>
          <t>신약</t>
        </is>
      </c>
      <c r="D644" s="14" t="n">
        <v>279</v>
      </c>
      <c r="E644" s="14">
        <f>C644&amp;"말씀 #"&amp;TEXT(D644,"000")</f>
        <v/>
      </c>
      <c r="F644" s="14" t="inlineStr">
        <is>
          <t>디도서</t>
        </is>
      </c>
      <c r="G644" s="14" t="inlineStr">
        <is>
          <t>2:11</t>
        </is>
      </c>
      <c r="H644" s="15" t="inlineStr">
        <is>
          <t>(딛 2:11, 개역한글)</t>
        </is>
      </c>
      <c r="I644" s="14" t="inlineStr">
        <is>
          <t>은혜</t>
        </is>
      </c>
      <c r="J644" s="14" t="inlineStr">
        <is>
          <t>잔잔한 물</t>
        </is>
      </c>
      <c r="K644" s="16" t="inlineStr">
        <is>
          <t>모든 사람에게 구원을 주시는 하나님의 은혜가 나타나</t>
        </is>
      </c>
      <c r="L644" s="14" t="inlineStr">
        <is>
          <t>자동 입력</t>
        </is>
      </c>
      <c r="M644" s="14">
        <f>LEN(K644)</f>
        <v/>
      </c>
      <c r="N644" s="14">
        <f>IF(M644=0,"-",ROUND(3+M644/'안내'!$C$12,0))</f>
        <v/>
      </c>
      <c r="O644" s="15">
        <f>IF(K644="","(본문 입력 후 자동) | 딛 2:11",IF(LEN(K644)&gt;28,LEFT(K644,28)&amp;"…",K644)&amp;" | 딛 2:11")</f>
        <v/>
      </c>
      <c r="P644" s="15">
        <f>"#"&amp;SUBSTITUTE('안내'!$C$5," ","")&amp;" #성경구절 #말씀 #디도서 #은혜"</f>
        <v/>
      </c>
      <c r="Q644" s="15" t="inlineStr">
        <is>
          <t>성경 본문: 개역한글판</t>
        </is>
      </c>
      <c r="R644" s="17">
        <f>'안내'!$C$6+INT((D644-1)/'안내'!$C$7)</f>
        <v/>
      </c>
      <c r="S644" s="14">
        <f>IF(MOD(D644-1,'안내'!$C$7)=0,'안내'!$C$9,'안내'!$C$11)</f>
        <v/>
      </c>
      <c r="T644" s="14">
        <f>CHOOSE(WEEKDAY(R644,2),"월","화","수","목","금","토","일")</f>
        <v/>
      </c>
      <c r="U644" s="14" t="inlineStr">
        <is>
          <t>미착수</t>
        </is>
      </c>
      <c r="V644" s="14" t="inlineStr">
        <is>
          <t>미착수</t>
        </is>
      </c>
      <c r="W644" s="18" t="n"/>
      <c r="X644" s="18" t="n"/>
      <c r="Y644" s="15" t="n"/>
      <c r="Z644" s="15" t="inlineStr"/>
      <c r="AA644" s="15" t="inlineStr">
        <is>
          <t>For the grace of God has appeared, bringing salvation to all men,</t>
        </is>
      </c>
    </row>
    <row r="645">
      <c r="A645" s="14" t="n">
        <v>644</v>
      </c>
      <c r="B645" s="14" t="inlineStr">
        <is>
          <t>W0644</t>
        </is>
      </c>
      <c r="C645" s="14" t="inlineStr">
        <is>
          <t>신약</t>
        </is>
      </c>
      <c r="D645" s="14" t="n">
        <v>280</v>
      </c>
      <c r="E645" s="14">
        <f>C645&amp;"말씀 #"&amp;TEXT(D645,"000")</f>
        <v/>
      </c>
      <c r="F645" s="14" t="inlineStr">
        <is>
          <t>디도서</t>
        </is>
      </c>
      <c r="G645" s="14" t="inlineStr">
        <is>
          <t>3:5</t>
        </is>
      </c>
      <c r="H645" s="15" t="inlineStr">
        <is>
          <t>(딛 3:5, 개역한글)</t>
        </is>
      </c>
      <c r="I645" s="14" t="inlineStr">
        <is>
          <t>구원</t>
        </is>
      </c>
      <c r="J645" s="14" t="inlineStr">
        <is>
          <t>제단·십자가</t>
        </is>
      </c>
      <c r="K645" s="16" t="inlineStr">
        <is>
          <t>우리를 구원하시되 우리의 행한 바 의로운 행위로 말미암지 아니하고 오직 그의 긍휼하심을 좇아 중생의 씻음과 성령의 새롭게 하심으로 하셨나니</t>
        </is>
      </c>
      <c r="L645" s="14" t="inlineStr">
        <is>
          <t>자동 입력 · 대조 필요</t>
        </is>
      </c>
      <c r="M645" s="14">
        <f>LEN(K645)</f>
        <v/>
      </c>
      <c r="N645" s="14">
        <f>IF(M645=0,"-",ROUND(3+M645/'안내'!$C$12,0))</f>
        <v/>
      </c>
      <c r="O645" s="15">
        <f>IF(K645="","(본문 입력 후 자동) | 딛 3:5",IF(LEN(K645)&gt;28,LEFT(K645,28)&amp;"…",K645)&amp;" | 딛 3:5")</f>
        <v/>
      </c>
      <c r="P645" s="15">
        <f>"#"&amp;SUBSTITUTE('안내'!$C$5," ","")&amp;" #성경구절 #말씀 #디도서 #구원"</f>
        <v/>
      </c>
      <c r="Q645" s="15" t="inlineStr">
        <is>
          <t>성경 본문: 개역한글판</t>
        </is>
      </c>
      <c r="R645" s="17">
        <f>'안내'!$C$6+INT((D645-1)/'안내'!$C$7)</f>
        <v/>
      </c>
      <c r="S645" s="14">
        <f>IF(MOD(D645-1,'안내'!$C$7)=0,'안내'!$C$9,'안내'!$C$11)</f>
        <v/>
      </c>
      <c r="T645" s="14">
        <f>CHOOSE(WEEKDAY(R645,2),"월","화","수","목","금","토","일")</f>
        <v/>
      </c>
      <c r="U645" s="14" t="inlineStr">
        <is>
          <t>미착수</t>
        </is>
      </c>
      <c r="V645" s="14" t="inlineStr">
        <is>
          <t>미착수</t>
        </is>
      </c>
      <c r="W645" s="18" t="n"/>
      <c r="X645" s="18" t="n"/>
      <c r="Y645" s="15" t="n"/>
      <c r="Z645" s="15" t="inlineStr">
        <is>
          <t>줄바꿈 띄어쓰기 확인</t>
        </is>
      </c>
      <c r="AA645" s="15" t="inlineStr">
        <is>
          <t>not by works of righteousness which we did ourselves, but according to his mercy, he saved us through the washing of regen- eration and renewing by the Holy Spirit,</t>
        </is>
      </c>
    </row>
    <row r="646">
      <c r="A646" s="14" t="n">
        <v>645</v>
      </c>
      <c r="B646" s="14" t="inlineStr">
        <is>
          <t>W0645</t>
        </is>
      </c>
      <c r="C646" s="14" t="inlineStr">
        <is>
          <t>신약</t>
        </is>
      </c>
      <c r="D646" s="14" t="n">
        <v>281</v>
      </c>
      <c r="E646" s="14">
        <f>C646&amp;"말씀 #"&amp;TEXT(D646,"000")</f>
        <v/>
      </c>
      <c r="F646" s="14" t="inlineStr">
        <is>
          <t>디도서</t>
        </is>
      </c>
      <c r="G646" s="14" t="inlineStr">
        <is>
          <t>3:7</t>
        </is>
      </c>
      <c r="H646" s="15" t="inlineStr">
        <is>
          <t>(딛 3:7, 개역한글)</t>
        </is>
      </c>
      <c r="I646" s="14" t="inlineStr">
        <is>
          <t>소망</t>
        </is>
      </c>
      <c r="J646" s="14" t="inlineStr">
        <is>
          <t>새벽빛</t>
        </is>
      </c>
      <c r="K646" s="16" t="inlineStr">
        <is>
          <t>우리로 저의 은혜를 힘입어 의롭다 하심을 얻어 영생의 소망을 따라 후사가 되게 하려 하심이라</t>
        </is>
      </c>
      <c r="L646" s="14" t="inlineStr">
        <is>
          <t>자동 입력</t>
        </is>
      </c>
      <c r="M646" s="14">
        <f>LEN(K646)</f>
        <v/>
      </c>
      <c r="N646" s="14">
        <f>IF(M646=0,"-",ROUND(3+M646/'안내'!$C$12,0))</f>
        <v/>
      </c>
      <c r="O646" s="15">
        <f>IF(K646="","(본문 입력 후 자동) | 딛 3:7",IF(LEN(K646)&gt;28,LEFT(K646,28)&amp;"…",K646)&amp;" | 딛 3:7")</f>
        <v/>
      </c>
      <c r="P646" s="15">
        <f>"#"&amp;SUBSTITUTE('안내'!$C$5," ","")&amp;" #성경구절 #말씀 #디도서 #소망"</f>
        <v/>
      </c>
      <c r="Q646" s="15" t="inlineStr">
        <is>
          <t>성경 본문: 개역한글판</t>
        </is>
      </c>
      <c r="R646" s="17">
        <f>'안내'!$C$6+INT((D646-1)/'안내'!$C$7)</f>
        <v/>
      </c>
      <c r="S646" s="14">
        <f>IF(MOD(D646-1,'안내'!$C$7)=0,'안내'!$C$9,'안내'!$C$11)</f>
        <v/>
      </c>
      <c r="T646" s="14">
        <f>CHOOSE(WEEKDAY(R646,2),"월","화","수","목","금","토","일")</f>
        <v/>
      </c>
      <c r="U646" s="14" t="inlineStr">
        <is>
          <t>미착수</t>
        </is>
      </c>
      <c r="V646" s="14" t="inlineStr">
        <is>
          <t>미착수</t>
        </is>
      </c>
      <c r="W646" s="18" t="n"/>
      <c r="X646" s="18" t="n"/>
      <c r="Y646" s="15" t="n"/>
      <c r="Z646" s="15" t="inlineStr"/>
      <c r="AA646" s="15" t="inlineStr">
        <is>
          <t>that being justi- fied by his grace, we might be made heirs according to the hope of eternal life.</t>
        </is>
      </c>
    </row>
    <row r="647">
      <c r="A647" s="14" t="n">
        <v>646</v>
      </c>
      <c r="B647" s="14" t="inlineStr">
        <is>
          <t>W0646</t>
        </is>
      </c>
      <c r="C647" s="14" t="inlineStr">
        <is>
          <t>신약</t>
        </is>
      </c>
      <c r="D647" s="14" t="n">
        <v>282</v>
      </c>
      <c r="E647" s="14">
        <f>C647&amp;"말씀 #"&amp;TEXT(D647,"000")</f>
        <v/>
      </c>
      <c r="F647" s="14" t="inlineStr">
        <is>
          <t>빌레몬서</t>
        </is>
      </c>
      <c r="G647" s="14" t="inlineStr">
        <is>
          <t>1:16</t>
        </is>
      </c>
      <c r="H647" s="15" t="inlineStr">
        <is>
          <t>(몬 1:16, 개역한글)</t>
        </is>
      </c>
      <c r="I647" s="14" t="inlineStr">
        <is>
          <t>사랑</t>
        </is>
      </c>
      <c r="J647" s="14" t="inlineStr">
        <is>
          <t>창가·식탁</t>
        </is>
      </c>
      <c r="K647" s="16" t="inlineStr">
        <is>
          <t>이후로는 종과 같이 아니하고 종에서 뛰어나 곧 사랑받는 형제로 둘 자라 내게 특별히 그러하거든 하물며 육신과 주 안에서 상관된 네게랴</t>
        </is>
      </c>
      <c r="L647" s="14" t="inlineStr">
        <is>
          <t>자동 입력 · 대조 필요</t>
        </is>
      </c>
      <c r="M647" s="14">
        <f>LEN(K647)</f>
        <v/>
      </c>
      <c r="N647" s="14">
        <f>IF(M647=0,"-",ROUND(3+M647/'안내'!$C$12,0))</f>
        <v/>
      </c>
      <c r="O647" s="15">
        <f>IF(K647="","(본문 입력 후 자동) | 몬 1:16",IF(LEN(K647)&gt;28,LEFT(K647,28)&amp;"…",K647)&amp;" | 몬 1:16")</f>
        <v/>
      </c>
      <c r="P647" s="15">
        <f>"#"&amp;SUBSTITUTE('안내'!$C$5," ","")&amp;" #성경구절 #말씀 #빌레몬서 #사랑"</f>
        <v/>
      </c>
      <c r="Q647" s="15" t="inlineStr">
        <is>
          <t>성경 본문: 개역한글판</t>
        </is>
      </c>
      <c r="R647" s="17">
        <f>'안내'!$C$6+INT((D647-1)/'안내'!$C$7)</f>
        <v/>
      </c>
      <c r="S647" s="14">
        <f>IF(MOD(D647-1,'안내'!$C$7)=0,'안내'!$C$9,'안내'!$C$11)</f>
        <v/>
      </c>
      <c r="T647" s="14">
        <f>CHOOSE(WEEKDAY(R647,2),"월","화","수","목","금","토","일")</f>
        <v/>
      </c>
      <c r="U647" s="14" t="inlineStr">
        <is>
          <t>미착수</t>
        </is>
      </c>
      <c r="V647" s="14" t="inlineStr">
        <is>
          <t>미착수</t>
        </is>
      </c>
      <c r="W647" s="18" t="n"/>
      <c r="X647" s="18" t="n"/>
      <c r="Y647" s="15" t="n"/>
      <c r="Z647" s="15" t="inlineStr">
        <is>
          <t>줄바꿈 띄어쓰기 확인</t>
        </is>
      </c>
      <c r="AA647" s="15" t="inlineStr">
        <is>
          <t>no longer as a slave, but more than a slave, a beloved brother—especially to me, but how much rather to you, both in the flesh and in the Lord.</t>
        </is>
      </c>
    </row>
    <row r="648">
      <c r="A648" s="14" t="n">
        <v>647</v>
      </c>
      <c r="B648" s="14" t="inlineStr">
        <is>
          <t>W0647</t>
        </is>
      </c>
      <c r="C648" s="14" t="inlineStr">
        <is>
          <t>신약</t>
        </is>
      </c>
      <c r="D648" s="14" t="n">
        <v>283</v>
      </c>
      <c r="E648" s="14">
        <f>C648&amp;"말씀 #"&amp;TEXT(D648,"000")</f>
        <v/>
      </c>
      <c r="F648" s="14" t="inlineStr">
        <is>
          <t>히브리서</t>
        </is>
      </c>
      <c r="G648" s="14" t="inlineStr">
        <is>
          <t>1:3</t>
        </is>
      </c>
      <c r="H648" s="15" t="inlineStr">
        <is>
          <t>(히 1:3, 개역한글)</t>
        </is>
      </c>
      <c r="I648" s="14" t="inlineStr">
        <is>
          <t>하나님</t>
        </is>
      </c>
      <c r="J648" s="14" t="inlineStr">
        <is>
          <t>하늘·별</t>
        </is>
      </c>
      <c r="K648" s="16" t="inlineStr">
        <is>
          <t>이는 하나님의 영광의 광채시요 그 본체의 형상이시라 그의 능력의 말씀으로 만물을 붙드시며 죄를 정결케 하는 일을 하시고 높은 곳에 계신 위엄의 우편에 앉으셨느니라</t>
        </is>
      </c>
      <c r="L648" s="14" t="inlineStr">
        <is>
          <t>자동 입력</t>
        </is>
      </c>
      <c r="M648" s="14">
        <f>LEN(K648)</f>
        <v/>
      </c>
      <c r="N648" s="14">
        <f>IF(M648=0,"-",ROUND(3+M648/'안내'!$C$12,0))</f>
        <v/>
      </c>
      <c r="O648" s="15">
        <f>IF(K648="","(본문 입력 후 자동) | 히 1:3",IF(LEN(K648)&gt;28,LEFT(K648,28)&amp;"…",K648)&amp;" | 히 1:3")</f>
        <v/>
      </c>
      <c r="P648" s="15">
        <f>"#"&amp;SUBSTITUTE('안내'!$C$5," ","")&amp;" #성경구절 #말씀 #히브리서 #하나님"</f>
        <v/>
      </c>
      <c r="Q648" s="15" t="inlineStr">
        <is>
          <t>성경 본문: 개역한글판</t>
        </is>
      </c>
      <c r="R648" s="17">
        <f>'안내'!$C$6+INT((D648-1)/'안내'!$C$7)</f>
        <v/>
      </c>
      <c r="S648" s="14">
        <f>IF(MOD(D648-1,'안내'!$C$7)=0,'안내'!$C$9,'안내'!$C$11)</f>
        <v/>
      </c>
      <c r="T648" s="14">
        <f>CHOOSE(WEEKDAY(R648,2),"월","화","수","목","금","토","일")</f>
        <v/>
      </c>
      <c r="U648" s="14" t="inlineStr">
        <is>
          <t>미착수</t>
        </is>
      </c>
      <c r="V648" s="14" t="inlineStr">
        <is>
          <t>미착수</t>
        </is>
      </c>
      <c r="W648" s="18" t="n"/>
      <c r="X648" s="18" t="n"/>
      <c r="Y648" s="15" t="n"/>
      <c r="Z648" s="15" t="inlineStr"/>
      <c r="AA648" s="15" t="inlineStr">
        <is>
          <t>His Son is the radiance of his glory, the very image of his substance, and upholding all things by the word of his power, who, when he had by himself purified us of our sins, sat down on the right hand of the Majesty on high,</t>
        </is>
      </c>
    </row>
    <row r="649">
      <c r="A649" s="14" t="n">
        <v>648</v>
      </c>
      <c r="B649" s="14" t="inlineStr">
        <is>
          <t>W0648</t>
        </is>
      </c>
      <c r="C649" s="14" t="inlineStr">
        <is>
          <t>신약</t>
        </is>
      </c>
      <c r="D649" s="14" t="n">
        <v>284</v>
      </c>
      <c r="E649" s="14">
        <f>C649&amp;"말씀 #"&amp;TEXT(D649,"000")</f>
        <v/>
      </c>
      <c r="F649" s="14" t="inlineStr">
        <is>
          <t>히브리서</t>
        </is>
      </c>
      <c r="G649" s="14" t="inlineStr">
        <is>
          <t>2:18</t>
        </is>
      </c>
      <c r="H649" s="15" t="inlineStr">
        <is>
          <t>(히 2:18, 개역한글)</t>
        </is>
      </c>
      <c r="I649" s="14" t="inlineStr">
        <is>
          <t>위로</t>
        </is>
      </c>
      <c r="J649" s="14" t="inlineStr">
        <is>
          <t>잔잔한 물</t>
        </is>
      </c>
      <c r="K649" s="16" t="inlineStr">
        <is>
          <t>자기가 시험을 받아 고난을 당하셨은즉 시험받는 자들을 능히 도우시느니라</t>
        </is>
      </c>
      <c r="L649" s="14" t="inlineStr">
        <is>
          <t>자동 입력</t>
        </is>
      </c>
      <c r="M649" s="14">
        <f>LEN(K649)</f>
        <v/>
      </c>
      <c r="N649" s="14">
        <f>IF(M649=0,"-",ROUND(3+M649/'안내'!$C$12,0))</f>
        <v/>
      </c>
      <c r="O649" s="15">
        <f>IF(K649="","(본문 입력 후 자동) | 히 2:18",IF(LEN(K649)&gt;28,LEFT(K649,28)&amp;"…",K649)&amp;" | 히 2:18")</f>
        <v/>
      </c>
      <c r="P649" s="15">
        <f>"#"&amp;SUBSTITUTE('안내'!$C$5," ","")&amp;" #성경구절 #말씀 #히브리서 #위로"</f>
        <v/>
      </c>
      <c r="Q649" s="15" t="inlineStr">
        <is>
          <t>성경 본문: 개역한글판</t>
        </is>
      </c>
      <c r="R649" s="17">
        <f>'안내'!$C$6+INT((D649-1)/'안내'!$C$7)</f>
        <v/>
      </c>
      <c r="S649" s="14">
        <f>IF(MOD(D649-1,'안내'!$C$7)=0,'안내'!$C$9,'안내'!$C$11)</f>
        <v/>
      </c>
      <c r="T649" s="14">
        <f>CHOOSE(WEEKDAY(R649,2),"월","화","수","목","금","토","일")</f>
        <v/>
      </c>
      <c r="U649" s="14" t="inlineStr">
        <is>
          <t>미착수</t>
        </is>
      </c>
      <c r="V649" s="14" t="inlineStr">
        <is>
          <t>미착수</t>
        </is>
      </c>
      <c r="W649" s="18" t="n"/>
      <c r="X649" s="18" t="n"/>
      <c r="Y649" s="15" t="n"/>
      <c r="Z649" s="15" t="inlineStr"/>
      <c r="AA649" s="15" t="inlineStr">
        <is>
          <t>For in that he himself has suffered being tempted, he is able to help those who are tempted.</t>
        </is>
      </c>
    </row>
    <row r="650">
      <c r="A650" s="14" t="n">
        <v>649</v>
      </c>
      <c r="B650" s="14" t="inlineStr">
        <is>
          <t>W0649</t>
        </is>
      </c>
      <c r="C650" s="14" t="inlineStr">
        <is>
          <t>신약</t>
        </is>
      </c>
      <c r="D650" s="14" t="n">
        <v>285</v>
      </c>
      <c r="E650" s="14">
        <f>C650&amp;"말씀 #"&amp;TEXT(D650,"000")</f>
        <v/>
      </c>
      <c r="F650" s="14" t="inlineStr">
        <is>
          <t>히브리서</t>
        </is>
      </c>
      <c r="G650" s="14" t="inlineStr">
        <is>
          <t>4:12</t>
        </is>
      </c>
      <c r="H650" s="15" t="inlineStr">
        <is>
          <t>(히 4:12, 개역한글)</t>
        </is>
      </c>
      <c r="I650" s="14" t="inlineStr">
        <is>
          <t>말씀</t>
        </is>
      </c>
      <c r="J650" s="14" t="inlineStr">
        <is>
          <t>들판·나무</t>
        </is>
      </c>
      <c r="K650" s="16" t="inlineStr">
        <is>
          <t>하나님의 말씀은 살았고 운동력이 있어 죄우에 날선 어떤 검보다도 예리하여 혼과 영과 및 관절과 골수를 찔러 쪼개기까지 하며 또 마음의 생각과 뜻을 감찰하나니</t>
        </is>
      </c>
      <c r="L650" s="14" t="inlineStr">
        <is>
          <t>자동 입력 · 대조 필요</t>
        </is>
      </c>
      <c r="M650" s="14">
        <f>LEN(K650)</f>
        <v/>
      </c>
      <c r="N650" s="14">
        <f>IF(M650=0,"-",ROUND(3+M650/'안내'!$C$12,0))</f>
        <v/>
      </c>
      <c r="O650" s="15">
        <f>IF(K650="","(본문 입력 후 자동) | 히 4:12",IF(LEN(K650)&gt;28,LEFT(K650,28)&amp;"…",K650)&amp;" | 히 4:12")</f>
        <v/>
      </c>
      <c r="P650" s="15">
        <f>"#"&amp;SUBSTITUTE('안내'!$C$5," ","")&amp;" #성경구절 #말씀 #히브리서 #말씀"</f>
        <v/>
      </c>
      <c r="Q650" s="15" t="inlineStr">
        <is>
          <t>성경 본문: 개역한글판</t>
        </is>
      </c>
      <c r="R650" s="17">
        <f>'안내'!$C$6+INT((D650-1)/'안내'!$C$7)</f>
        <v/>
      </c>
      <c r="S650" s="14">
        <f>IF(MOD(D650-1,'안내'!$C$7)=0,'안내'!$C$9,'안내'!$C$11)</f>
        <v/>
      </c>
      <c r="T650" s="14">
        <f>CHOOSE(WEEKDAY(R650,2),"월","화","수","목","금","토","일")</f>
        <v/>
      </c>
      <c r="U650" s="14" t="inlineStr">
        <is>
          <t>미착수</t>
        </is>
      </c>
      <c r="V650" s="14" t="inlineStr">
        <is>
          <t>미착수</t>
        </is>
      </c>
      <c r="W650" s="18" t="n"/>
      <c r="X650" s="18" t="n"/>
      <c r="Y650" s="15" t="n"/>
      <c r="Z650" s="15" t="inlineStr">
        <is>
          <t>줄바꿈 띄어쓰기 확인</t>
        </is>
      </c>
      <c r="AA650" s="15" t="inlineStr">
        <is>
          <t>For the word of God is living and active, and sharper than any two-edged sword, piercing even to the dividing of soul and spirit, of both joints and marrow, and is able to discern the thoughts and intentions of the heart.</t>
        </is>
      </c>
    </row>
    <row r="651">
      <c r="A651" s="14" t="n">
        <v>650</v>
      </c>
      <c r="B651" s="14" t="inlineStr">
        <is>
          <t>W0650</t>
        </is>
      </c>
      <c r="C651" s="14" t="inlineStr">
        <is>
          <t>신약</t>
        </is>
      </c>
      <c r="D651" s="14" t="n">
        <v>286</v>
      </c>
      <c r="E651" s="14">
        <f>C651&amp;"말씀 #"&amp;TEXT(D651,"000")</f>
        <v/>
      </c>
      <c r="F651" s="14" t="inlineStr">
        <is>
          <t>히브리서</t>
        </is>
      </c>
      <c r="G651" s="14" t="inlineStr">
        <is>
          <t>4:15</t>
        </is>
      </c>
      <c r="H651" s="15" t="inlineStr">
        <is>
          <t>(히 4:15, 개역한글)</t>
        </is>
      </c>
      <c r="I651" s="14" t="inlineStr">
        <is>
          <t>위로</t>
        </is>
      </c>
      <c r="J651" s="14" t="inlineStr">
        <is>
          <t>잔잔한 물</t>
        </is>
      </c>
      <c r="K651" s="16" t="inlineStr">
        <is>
          <t>우리에게 있는 대제사장은 우리 연약함을 체휼하지 아니하는 자가 아니요 모든 일에 우리와 한결같이 시험을 받은 자로되 죄는 없으시니라</t>
        </is>
      </c>
      <c r="L651" s="14" t="inlineStr">
        <is>
          <t>자동 입력</t>
        </is>
      </c>
      <c r="M651" s="14">
        <f>LEN(K651)</f>
        <v/>
      </c>
      <c r="N651" s="14">
        <f>IF(M651=0,"-",ROUND(3+M651/'안내'!$C$12,0))</f>
        <v/>
      </c>
      <c r="O651" s="15">
        <f>IF(K651="","(본문 입력 후 자동) | 히 4:15",IF(LEN(K651)&gt;28,LEFT(K651,28)&amp;"…",K651)&amp;" | 히 4:15")</f>
        <v/>
      </c>
      <c r="P651" s="15">
        <f>"#"&amp;SUBSTITUTE('안내'!$C$5," ","")&amp;" #성경구절 #말씀 #히브리서 #위로"</f>
        <v/>
      </c>
      <c r="Q651" s="15" t="inlineStr">
        <is>
          <t>성경 본문: 개역한글판</t>
        </is>
      </c>
      <c r="R651" s="17">
        <f>'안내'!$C$6+INT((D651-1)/'안내'!$C$7)</f>
        <v/>
      </c>
      <c r="S651" s="14">
        <f>IF(MOD(D651-1,'안내'!$C$7)=0,'안내'!$C$9,'안내'!$C$11)</f>
        <v/>
      </c>
      <c r="T651" s="14">
        <f>CHOOSE(WEEKDAY(R651,2),"월","화","수","목","금","토","일")</f>
        <v/>
      </c>
      <c r="U651" s="14" t="inlineStr">
        <is>
          <t>미착수</t>
        </is>
      </c>
      <c r="V651" s="14" t="inlineStr">
        <is>
          <t>미착수</t>
        </is>
      </c>
      <c r="W651" s="18" t="n"/>
      <c r="X651" s="18" t="n"/>
      <c r="Y651" s="15" t="n"/>
      <c r="Z651" s="15" t="inlineStr"/>
      <c r="AA651" s="15" t="inlineStr">
        <is>
          <t>For we don’t have a high priest who can’t be touched with the feeling of our infirmities, but one who has been in all points tempted like we are, yet without sin.</t>
        </is>
      </c>
    </row>
    <row r="652">
      <c r="A652" s="14" t="n">
        <v>651</v>
      </c>
      <c r="B652" s="14" t="inlineStr">
        <is>
          <t>W0651</t>
        </is>
      </c>
      <c r="C652" s="14" t="inlineStr">
        <is>
          <t>신약</t>
        </is>
      </c>
      <c r="D652" s="14" t="n">
        <v>287</v>
      </c>
      <c r="E652" s="14">
        <f>C652&amp;"말씀 #"&amp;TEXT(D652,"000")</f>
        <v/>
      </c>
      <c r="F652" s="14" t="inlineStr">
        <is>
          <t>히브리서</t>
        </is>
      </c>
      <c r="G652" s="14" t="inlineStr">
        <is>
          <t>4:16</t>
        </is>
      </c>
      <c r="H652" s="15" t="inlineStr">
        <is>
          <t>(히 4:16, 개역한글)</t>
        </is>
      </c>
      <c r="I652" s="14" t="inlineStr">
        <is>
          <t>기도</t>
        </is>
      </c>
      <c r="J652" s="14" t="inlineStr">
        <is>
          <t>제단·십자가</t>
        </is>
      </c>
      <c r="K652" s="16" t="inlineStr">
        <is>
          <t>그러므로 우리가 긍휼하심을 받고 때를 따라 돕는 은혜를 얻기 위하여 은혜의 보좌 앞에 담대히 나아갈 것이니라</t>
        </is>
      </c>
      <c r="L652" s="14" t="inlineStr">
        <is>
          <t>자동 입력</t>
        </is>
      </c>
      <c r="M652" s="14">
        <f>LEN(K652)</f>
        <v/>
      </c>
      <c r="N652" s="14">
        <f>IF(M652=0,"-",ROUND(3+M652/'안내'!$C$12,0))</f>
        <v/>
      </c>
      <c r="O652" s="15">
        <f>IF(K652="","(본문 입력 후 자동) | 히 4:16",IF(LEN(K652)&gt;28,LEFT(K652,28)&amp;"…",K652)&amp;" | 히 4:16")</f>
        <v/>
      </c>
      <c r="P652" s="15">
        <f>"#"&amp;SUBSTITUTE('안내'!$C$5," ","")&amp;" #성경구절 #말씀 #히브리서 #기도"</f>
        <v/>
      </c>
      <c r="Q652" s="15" t="inlineStr">
        <is>
          <t>성경 본문: 개역한글판</t>
        </is>
      </c>
      <c r="R652" s="17">
        <f>'안내'!$C$6+INT((D652-1)/'안내'!$C$7)</f>
        <v/>
      </c>
      <c r="S652" s="14">
        <f>IF(MOD(D652-1,'안내'!$C$7)=0,'안내'!$C$9,'안내'!$C$11)</f>
        <v/>
      </c>
      <c r="T652" s="14">
        <f>CHOOSE(WEEKDAY(R652,2),"월","화","수","목","금","토","일")</f>
        <v/>
      </c>
      <c r="U652" s="14" t="inlineStr">
        <is>
          <t>미착수</t>
        </is>
      </c>
      <c r="V652" s="14" t="inlineStr">
        <is>
          <t>미착수</t>
        </is>
      </c>
      <c r="W652" s="18" t="n"/>
      <c r="X652" s="18" t="n"/>
      <c r="Y652" s="15" t="n"/>
      <c r="Z652" s="15" t="inlineStr"/>
      <c r="AA652" s="15" t="inlineStr">
        <is>
          <t>Let’s therefore draw near with boldness to the throne of grace, that we may receive mercy and may find grace for help in time of need.</t>
        </is>
      </c>
    </row>
    <row r="653">
      <c r="A653" s="14" t="n">
        <v>652</v>
      </c>
      <c r="B653" s="14" t="inlineStr">
        <is>
          <t>W0652</t>
        </is>
      </c>
      <c r="C653" s="14" t="inlineStr">
        <is>
          <t>신약</t>
        </is>
      </c>
      <c r="D653" s="14" t="n">
        <v>288</v>
      </c>
      <c r="E653" s="14">
        <f>C653&amp;"말씀 #"&amp;TEXT(D653,"000")</f>
        <v/>
      </c>
      <c r="F653" s="14" t="inlineStr">
        <is>
          <t>히브리서</t>
        </is>
      </c>
      <c r="G653" s="14" t="inlineStr">
        <is>
          <t>6:19</t>
        </is>
      </c>
      <c r="H653" s="15" t="inlineStr">
        <is>
          <t>(히 6:19, 개역한글)</t>
        </is>
      </c>
      <c r="I653" s="14" t="inlineStr">
        <is>
          <t>소망</t>
        </is>
      </c>
      <c r="J653" s="14" t="inlineStr">
        <is>
          <t>새벽빛</t>
        </is>
      </c>
      <c r="K653" s="16" t="inlineStr">
        <is>
          <t>우리가 이 소망이 있는 것은 영혼의 닻 같아서 튼튼하고 견고하여 휘장 안에 들어가나니</t>
        </is>
      </c>
      <c r="L653" s="14" t="inlineStr">
        <is>
          <t>자동 입력</t>
        </is>
      </c>
      <c r="M653" s="14">
        <f>LEN(K653)</f>
        <v/>
      </c>
      <c r="N653" s="14">
        <f>IF(M653=0,"-",ROUND(3+M653/'안내'!$C$12,0))</f>
        <v/>
      </c>
      <c r="O653" s="15">
        <f>IF(K653="","(본문 입력 후 자동) | 히 6:19",IF(LEN(K653)&gt;28,LEFT(K653,28)&amp;"…",K653)&amp;" | 히 6:19")</f>
        <v/>
      </c>
      <c r="P653" s="15">
        <f>"#"&amp;SUBSTITUTE('안내'!$C$5," ","")&amp;" #성경구절 #말씀 #히브리서 #소망"</f>
        <v/>
      </c>
      <c r="Q653" s="15" t="inlineStr">
        <is>
          <t>성경 본문: 개역한글판</t>
        </is>
      </c>
      <c r="R653" s="17">
        <f>'안내'!$C$6+INT((D653-1)/'안내'!$C$7)</f>
        <v/>
      </c>
      <c r="S653" s="14">
        <f>IF(MOD(D653-1,'안내'!$C$7)=0,'안내'!$C$9,'안내'!$C$11)</f>
        <v/>
      </c>
      <c r="T653" s="14">
        <f>CHOOSE(WEEKDAY(R653,2),"월","화","수","목","금","토","일")</f>
        <v/>
      </c>
      <c r="U653" s="14" t="inlineStr">
        <is>
          <t>미착수</t>
        </is>
      </c>
      <c r="V653" s="14" t="inlineStr">
        <is>
          <t>미착수</t>
        </is>
      </c>
      <c r="W653" s="18" t="n"/>
      <c r="X653" s="18" t="n"/>
      <c r="Y653" s="15" t="n"/>
      <c r="Z653" s="15" t="inlineStr"/>
      <c r="AA653" s="15" t="inlineStr">
        <is>
          <t>This hope we have as an anchor of the soul, a hope both sure and steadfast and entering into that which is within the veil,</t>
        </is>
      </c>
    </row>
    <row r="654">
      <c r="A654" s="14" t="n">
        <v>653</v>
      </c>
      <c r="B654" s="14" t="inlineStr">
        <is>
          <t>W0653</t>
        </is>
      </c>
      <c r="C654" s="14" t="inlineStr">
        <is>
          <t>신약</t>
        </is>
      </c>
      <c r="D654" s="14" t="n">
        <v>289</v>
      </c>
      <c r="E654" s="14">
        <f>C654&amp;"말씀 #"&amp;TEXT(D654,"000")</f>
        <v/>
      </c>
      <c r="F654" s="14" t="inlineStr">
        <is>
          <t>히브리서</t>
        </is>
      </c>
      <c r="G654" s="14" t="inlineStr">
        <is>
          <t>7:25</t>
        </is>
      </c>
      <c r="H654" s="15" t="inlineStr">
        <is>
          <t>(히 7:25, 개역한글)</t>
        </is>
      </c>
      <c r="I654" s="14" t="inlineStr">
        <is>
          <t>구원</t>
        </is>
      </c>
      <c r="J654" s="14" t="inlineStr">
        <is>
          <t>제단·십자가</t>
        </is>
      </c>
      <c r="K654" s="16" t="inlineStr">
        <is>
          <t>그러므로 자기를 힘입어 하나님께 나아가는 자들을 온전히 구원하실 수 있으니 이는 그가 항상 살아서 저희를 위하여 간구하심이니라</t>
        </is>
      </c>
      <c r="L654" s="14" t="inlineStr">
        <is>
          <t>자동 입력</t>
        </is>
      </c>
      <c r="M654" s="14">
        <f>LEN(K654)</f>
        <v/>
      </c>
      <c r="N654" s="14">
        <f>IF(M654=0,"-",ROUND(3+M654/'안내'!$C$12,0))</f>
        <v/>
      </c>
      <c r="O654" s="15">
        <f>IF(K654="","(본문 입력 후 자동) | 히 7:25",IF(LEN(K654)&gt;28,LEFT(K654,28)&amp;"…",K654)&amp;" | 히 7:25")</f>
        <v/>
      </c>
      <c r="P654" s="15">
        <f>"#"&amp;SUBSTITUTE('안내'!$C$5," ","")&amp;" #성경구절 #말씀 #히브리서 #구원"</f>
        <v/>
      </c>
      <c r="Q654" s="15" t="inlineStr">
        <is>
          <t>성경 본문: 개역한글판</t>
        </is>
      </c>
      <c r="R654" s="17">
        <f>'안내'!$C$6+INT((D654-1)/'안내'!$C$7)</f>
        <v/>
      </c>
      <c r="S654" s="14">
        <f>IF(MOD(D654-1,'안내'!$C$7)=0,'안내'!$C$9,'안내'!$C$11)</f>
        <v/>
      </c>
      <c r="T654" s="14">
        <f>CHOOSE(WEEKDAY(R654,2),"월","화","수","목","금","토","일")</f>
        <v/>
      </c>
      <c r="U654" s="14" t="inlineStr">
        <is>
          <t>미착수</t>
        </is>
      </c>
      <c r="V654" s="14" t="inlineStr">
        <is>
          <t>미착수</t>
        </is>
      </c>
      <c r="W654" s="18" t="n"/>
      <c r="X654" s="18" t="n"/>
      <c r="Y654" s="15" t="n"/>
      <c r="Z654" s="15" t="inlineStr"/>
      <c r="AA654" s="15" t="inlineStr">
        <is>
          <t>Therefore he is also able to save to the uttermost those who draw near to God through him, seeing that he lives forever to make intercession for them.</t>
        </is>
      </c>
    </row>
    <row r="655">
      <c r="A655" s="14" t="n">
        <v>654</v>
      </c>
      <c r="B655" s="14" t="inlineStr">
        <is>
          <t>W0654</t>
        </is>
      </c>
      <c r="C655" s="14" t="inlineStr">
        <is>
          <t>신약</t>
        </is>
      </c>
      <c r="D655" s="14" t="n">
        <v>290</v>
      </c>
      <c r="E655" s="14">
        <f>C655&amp;"말씀 #"&amp;TEXT(D655,"000")</f>
        <v/>
      </c>
      <c r="F655" s="14" t="inlineStr">
        <is>
          <t>히브리서</t>
        </is>
      </c>
      <c r="G655" s="14" t="inlineStr">
        <is>
          <t>10:23</t>
        </is>
      </c>
      <c r="H655" s="15" t="inlineStr">
        <is>
          <t>(히 10:23, 개역한글)</t>
        </is>
      </c>
      <c r="I655" s="14" t="inlineStr">
        <is>
          <t>신실하심</t>
        </is>
      </c>
      <c r="J655" s="14" t="inlineStr">
        <is>
          <t>바위산·광야</t>
        </is>
      </c>
      <c r="K655" s="16" t="inlineStr">
        <is>
          <t>또 약속하신 이는 미쁘시니 우리가 믿는 도리의 소망을 움직이지 말고 굳게 잡아</t>
        </is>
      </c>
      <c r="L655" s="14" t="inlineStr">
        <is>
          <t>자동 입력</t>
        </is>
      </c>
      <c r="M655" s="14">
        <f>LEN(K655)</f>
        <v/>
      </c>
      <c r="N655" s="14">
        <f>IF(M655=0,"-",ROUND(3+M655/'안내'!$C$12,0))</f>
        <v/>
      </c>
      <c r="O655" s="15">
        <f>IF(K655="","(본문 입력 후 자동) | 히 10:23",IF(LEN(K655)&gt;28,LEFT(K655,28)&amp;"…",K655)&amp;" | 히 10:23")</f>
        <v/>
      </c>
      <c r="P655" s="15">
        <f>"#"&amp;SUBSTITUTE('안내'!$C$5," ","")&amp;" #성경구절 #말씀 #히브리서 #신실하심"</f>
        <v/>
      </c>
      <c r="Q655" s="15" t="inlineStr">
        <is>
          <t>성경 본문: 개역한글판</t>
        </is>
      </c>
      <c r="R655" s="17">
        <f>'안내'!$C$6+INT((D655-1)/'안내'!$C$7)</f>
        <v/>
      </c>
      <c r="S655" s="14">
        <f>IF(MOD(D655-1,'안내'!$C$7)=0,'안내'!$C$9,'안내'!$C$11)</f>
        <v/>
      </c>
      <c r="T655" s="14">
        <f>CHOOSE(WEEKDAY(R655,2),"월","화","수","목","금","토","일")</f>
        <v/>
      </c>
      <c r="U655" s="14" t="inlineStr">
        <is>
          <t>미착수</t>
        </is>
      </c>
      <c r="V655" s="14" t="inlineStr">
        <is>
          <t>미착수</t>
        </is>
      </c>
      <c r="W655" s="18" t="n"/>
      <c r="X655" s="18" t="n"/>
      <c r="Y655" s="15" t="n"/>
      <c r="Z655" s="15" t="inlineStr"/>
      <c r="AA655" s="15" t="inlineStr">
        <is>
          <t>let’s hold fast the con- fession of our hope without wavering; for he who promised is faithful.</t>
        </is>
      </c>
    </row>
    <row r="656">
      <c r="A656" s="14" t="n">
        <v>655</v>
      </c>
      <c r="B656" s="14" t="inlineStr">
        <is>
          <t>W0655</t>
        </is>
      </c>
      <c r="C656" s="14" t="inlineStr">
        <is>
          <t>신약</t>
        </is>
      </c>
      <c r="D656" s="14" t="n">
        <v>291</v>
      </c>
      <c r="E656" s="14">
        <f>C656&amp;"말씀 #"&amp;TEXT(D656,"000")</f>
        <v/>
      </c>
      <c r="F656" s="14" t="inlineStr">
        <is>
          <t>히브리서</t>
        </is>
      </c>
      <c r="G656" s="14" t="inlineStr">
        <is>
          <t>10:24</t>
        </is>
      </c>
      <c r="H656" s="15" t="inlineStr">
        <is>
          <t>(히 10:24, 개역한글)</t>
        </is>
      </c>
      <c r="I656" s="14" t="inlineStr">
        <is>
          <t>교회</t>
        </is>
      </c>
      <c r="J656" s="14" t="inlineStr">
        <is>
          <t>창가·식탁</t>
        </is>
      </c>
      <c r="K656" s="16" t="inlineStr">
        <is>
          <t>서로 돌아보아 사랑과 선행을 격려하며</t>
        </is>
      </c>
      <c r="L656" s="14" t="inlineStr">
        <is>
          <t>자동 입력</t>
        </is>
      </c>
      <c r="M656" s="14">
        <f>LEN(K656)</f>
        <v/>
      </c>
      <c r="N656" s="14">
        <f>IF(M656=0,"-",ROUND(3+M656/'안내'!$C$12,0))</f>
        <v/>
      </c>
      <c r="O656" s="15">
        <f>IF(K656="","(본문 입력 후 자동) | 히 10:24",IF(LEN(K656)&gt;28,LEFT(K656,28)&amp;"…",K656)&amp;" | 히 10:24")</f>
        <v/>
      </c>
      <c r="P656" s="15">
        <f>"#"&amp;SUBSTITUTE('안내'!$C$5," ","")&amp;" #성경구절 #말씀 #히브리서 #교회"</f>
        <v/>
      </c>
      <c r="Q656" s="15" t="inlineStr">
        <is>
          <t>성경 본문: 개역한글판</t>
        </is>
      </c>
      <c r="R656" s="17">
        <f>'안내'!$C$6+INT((D656-1)/'안내'!$C$7)</f>
        <v/>
      </c>
      <c r="S656" s="14">
        <f>IF(MOD(D656-1,'안내'!$C$7)=0,'안내'!$C$9,'안내'!$C$11)</f>
        <v/>
      </c>
      <c r="T656" s="14">
        <f>CHOOSE(WEEKDAY(R656,2),"월","화","수","목","금","토","일")</f>
        <v/>
      </c>
      <c r="U656" s="14" t="inlineStr">
        <is>
          <t>미착수</t>
        </is>
      </c>
      <c r="V656" s="14" t="inlineStr">
        <is>
          <t>미착수</t>
        </is>
      </c>
      <c r="W656" s="18" t="n"/>
      <c r="X656" s="18" t="n"/>
      <c r="Y656" s="15" t="n"/>
      <c r="Z656" s="15" t="inlineStr"/>
      <c r="AA656" s="15" t="inlineStr">
        <is>
          <t>Let’s consider how to provoke one another to love and good works,</t>
        </is>
      </c>
    </row>
    <row r="657">
      <c r="A657" s="14" t="n">
        <v>656</v>
      </c>
      <c r="B657" s="14" t="inlineStr">
        <is>
          <t>W0656</t>
        </is>
      </c>
      <c r="C657" s="14" t="inlineStr">
        <is>
          <t>신약</t>
        </is>
      </c>
      <c r="D657" s="14" t="n">
        <v>292</v>
      </c>
      <c r="E657" s="14">
        <f>C657&amp;"말씀 #"&amp;TEXT(D657,"000")</f>
        <v/>
      </c>
      <c r="F657" s="14" t="inlineStr">
        <is>
          <t>히브리서</t>
        </is>
      </c>
      <c r="G657" s="14" t="inlineStr">
        <is>
          <t>10:25</t>
        </is>
      </c>
      <c r="H657" s="15" t="inlineStr">
        <is>
          <t>(히 10:25, 개역한글)</t>
        </is>
      </c>
      <c r="I657" s="14" t="inlineStr">
        <is>
          <t>교회</t>
        </is>
      </c>
      <c r="J657" s="14" t="inlineStr">
        <is>
          <t>창가·식탁</t>
        </is>
      </c>
      <c r="K657" s="16" t="inlineStr">
        <is>
          <t>모이기를 폐하는 어떤 사람들의 습관과 같이 하지 말고 오직 권하여 그 날이 가까움을 볼수록 더욱 그리하자</t>
        </is>
      </c>
      <c r="L657" s="14" t="inlineStr">
        <is>
          <t>자동 입력 · 대조 필요</t>
        </is>
      </c>
      <c r="M657" s="14">
        <f>LEN(K657)</f>
        <v/>
      </c>
      <c r="N657" s="14">
        <f>IF(M657=0,"-",ROUND(3+M657/'안내'!$C$12,0))</f>
        <v/>
      </c>
      <c r="O657" s="15">
        <f>IF(K657="","(본문 입력 후 자동) | 히 10:25",IF(LEN(K657)&gt;28,LEFT(K657,28)&amp;"…",K657)&amp;" | 히 10:25")</f>
        <v/>
      </c>
      <c r="P657" s="15">
        <f>"#"&amp;SUBSTITUTE('안내'!$C$5," ","")&amp;" #성경구절 #말씀 #히브리서 #교회"</f>
        <v/>
      </c>
      <c r="Q657" s="15" t="inlineStr">
        <is>
          <t>성경 본문: 개역한글판</t>
        </is>
      </c>
      <c r="R657" s="17">
        <f>'안내'!$C$6+INT((D657-1)/'안내'!$C$7)</f>
        <v/>
      </c>
      <c r="S657" s="14">
        <f>IF(MOD(D657-1,'안내'!$C$7)=0,'안내'!$C$9,'안내'!$C$11)</f>
        <v/>
      </c>
      <c r="T657" s="14">
        <f>CHOOSE(WEEKDAY(R657,2),"월","화","수","목","금","토","일")</f>
        <v/>
      </c>
      <c r="U657" s="14" t="inlineStr">
        <is>
          <t>미착수</t>
        </is>
      </c>
      <c r="V657" s="14" t="inlineStr">
        <is>
          <t>미착수</t>
        </is>
      </c>
      <c r="W657" s="18" t="n"/>
      <c r="X657" s="18" t="n"/>
      <c r="Y657" s="15" t="n"/>
      <c r="Z657" s="15" t="inlineStr">
        <is>
          <t>줄바꿈 띄어쓰기 확인</t>
        </is>
      </c>
      <c r="AA657" s="15" t="inlineStr">
        <is>
          <t>not forsaking our own assembling together, as the custom of some is, but exhorting one another, and so much the more as you see the Day approaching.</t>
        </is>
      </c>
    </row>
    <row r="658">
      <c r="A658" s="14" t="n">
        <v>657</v>
      </c>
      <c r="B658" s="14" t="inlineStr">
        <is>
          <t>W0657</t>
        </is>
      </c>
      <c r="C658" s="14" t="inlineStr">
        <is>
          <t>신약</t>
        </is>
      </c>
      <c r="D658" s="14" t="n">
        <v>293</v>
      </c>
      <c r="E658" s="14">
        <f>C658&amp;"말씀 #"&amp;TEXT(D658,"000")</f>
        <v/>
      </c>
      <c r="F658" s="14" t="inlineStr">
        <is>
          <t>히브리서</t>
        </is>
      </c>
      <c r="G658" s="14" t="inlineStr">
        <is>
          <t>11:1</t>
        </is>
      </c>
      <c r="H658" s="15" t="inlineStr">
        <is>
          <t>(히 11:1, 개역한글)</t>
        </is>
      </c>
      <c r="I658" s="14" t="inlineStr">
        <is>
          <t>믿음</t>
        </is>
      </c>
      <c r="J658" s="14" t="inlineStr">
        <is>
          <t>바위산·광야</t>
        </is>
      </c>
      <c r="K658" s="16" t="inlineStr">
        <is>
          <t>믿음은 바라는 것들의 실상이요 보지 못하는 것들의 증거니</t>
        </is>
      </c>
      <c r="L658" s="14" t="inlineStr">
        <is>
          <t>자동 입력</t>
        </is>
      </c>
      <c r="M658" s="14">
        <f>LEN(K658)</f>
        <v/>
      </c>
      <c r="N658" s="14">
        <f>IF(M658=0,"-",ROUND(3+M658/'안내'!$C$12,0))</f>
        <v/>
      </c>
      <c r="O658" s="15">
        <f>IF(K658="","(본문 입력 후 자동) | 히 11:1",IF(LEN(K658)&gt;28,LEFT(K658,28)&amp;"…",K658)&amp;" | 히 11:1")</f>
        <v/>
      </c>
      <c r="P658" s="15">
        <f>"#"&amp;SUBSTITUTE('안내'!$C$5," ","")&amp;" #성경구절 #말씀 #히브리서 #믿음"</f>
        <v/>
      </c>
      <c r="Q658" s="15" t="inlineStr">
        <is>
          <t>성경 본문: 개역한글판</t>
        </is>
      </c>
      <c r="R658" s="17">
        <f>'안내'!$C$6+INT((D658-1)/'안내'!$C$7)</f>
        <v/>
      </c>
      <c r="S658" s="14">
        <f>IF(MOD(D658-1,'안내'!$C$7)=0,'안내'!$C$9,'안내'!$C$11)</f>
        <v/>
      </c>
      <c r="T658" s="14">
        <f>CHOOSE(WEEKDAY(R658,2),"월","화","수","목","금","토","일")</f>
        <v/>
      </c>
      <c r="U658" s="14" t="inlineStr">
        <is>
          <t>미착수</t>
        </is>
      </c>
      <c r="V658" s="14" t="inlineStr">
        <is>
          <t>미착수</t>
        </is>
      </c>
      <c r="W658" s="18" t="n"/>
      <c r="X658" s="18" t="n"/>
      <c r="Y658" s="15" t="n"/>
      <c r="Z658" s="15" t="inlineStr"/>
      <c r="AA658" s="15" t="inlineStr">
        <is>
          <t>Now faith is assurance of things hoped for, proof of things not seen.</t>
        </is>
      </c>
    </row>
    <row r="659">
      <c r="A659" s="14" t="n">
        <v>658</v>
      </c>
      <c r="B659" s="14" t="inlineStr">
        <is>
          <t>W0658</t>
        </is>
      </c>
      <c r="C659" s="14" t="inlineStr">
        <is>
          <t>신약</t>
        </is>
      </c>
      <c r="D659" s="14" t="n">
        <v>294</v>
      </c>
      <c r="E659" s="14">
        <f>C659&amp;"말씀 #"&amp;TEXT(D659,"000")</f>
        <v/>
      </c>
      <c r="F659" s="14" t="inlineStr">
        <is>
          <t>히브리서</t>
        </is>
      </c>
      <c r="G659" s="14" t="inlineStr">
        <is>
          <t>11:6</t>
        </is>
      </c>
      <c r="H659" s="15" t="inlineStr">
        <is>
          <t>(히 11:6, 개역한글)</t>
        </is>
      </c>
      <c r="I659" s="14" t="inlineStr">
        <is>
          <t>믿음</t>
        </is>
      </c>
      <c r="J659" s="14" t="inlineStr">
        <is>
          <t>바위산·광야</t>
        </is>
      </c>
      <c r="K659" s="16" t="inlineStr">
        <is>
          <t>믿음이 없이는 기쁘시게 못하나니 하나님께 나아가는 자는 반드시 그가 계신 것과 또한 그가 자기를 찾는 자들에게 상 주시는 이심을 믿어야 할지니라</t>
        </is>
      </c>
      <c r="L659" s="14" t="inlineStr">
        <is>
          <t>자동 입력 · 대조 필요</t>
        </is>
      </c>
      <c r="M659" s="14">
        <f>LEN(K659)</f>
        <v/>
      </c>
      <c r="N659" s="14">
        <f>IF(M659=0,"-",ROUND(3+M659/'안내'!$C$12,0))</f>
        <v/>
      </c>
      <c r="O659" s="15">
        <f>IF(K659="","(본문 입력 후 자동) | 히 11:6",IF(LEN(K659)&gt;28,LEFT(K659,28)&amp;"…",K659)&amp;" | 히 11:6")</f>
        <v/>
      </c>
      <c r="P659" s="15">
        <f>"#"&amp;SUBSTITUTE('안내'!$C$5," ","")&amp;" #성경구절 #말씀 #히브리서 #믿음"</f>
        <v/>
      </c>
      <c r="Q659" s="15" t="inlineStr">
        <is>
          <t>성경 본문: 개역한글판</t>
        </is>
      </c>
      <c r="R659" s="17">
        <f>'안내'!$C$6+INT((D659-1)/'안내'!$C$7)</f>
        <v/>
      </c>
      <c r="S659" s="14">
        <f>IF(MOD(D659-1,'안내'!$C$7)=0,'안내'!$C$9,'안내'!$C$11)</f>
        <v/>
      </c>
      <c r="T659" s="14">
        <f>CHOOSE(WEEKDAY(R659,2),"월","화","수","목","금","토","일")</f>
        <v/>
      </c>
      <c r="U659" s="14" t="inlineStr">
        <is>
          <t>미착수</t>
        </is>
      </c>
      <c r="V659" s="14" t="inlineStr">
        <is>
          <t>미착수</t>
        </is>
      </c>
      <c r="W659" s="18" t="n"/>
      <c r="X659" s="18" t="n"/>
      <c r="Y659" s="15" t="n"/>
      <c r="Z659" s="15" t="inlineStr">
        <is>
          <t>줄바꿈 띄어쓰기 확인</t>
        </is>
      </c>
      <c r="AA659" s="15" t="inlineStr">
        <is>
          <t>Without faith it is impossible to be well pleasing to him, for he who comes to God must believe that he exists, and that he is a rewarder of those who seek him.</t>
        </is>
      </c>
    </row>
    <row r="660">
      <c r="A660" s="14" t="n">
        <v>659</v>
      </c>
      <c r="B660" s="14" t="inlineStr">
        <is>
          <t>W0659</t>
        </is>
      </c>
      <c r="C660" s="14" t="inlineStr">
        <is>
          <t>신약</t>
        </is>
      </c>
      <c r="D660" s="14" t="n">
        <v>295</v>
      </c>
      <c r="E660" s="14">
        <f>C660&amp;"말씀 #"&amp;TEXT(D660,"000")</f>
        <v/>
      </c>
      <c r="F660" s="14" t="inlineStr">
        <is>
          <t>히브리서</t>
        </is>
      </c>
      <c r="G660" s="14" t="inlineStr">
        <is>
          <t>12:1</t>
        </is>
      </c>
      <c r="H660" s="15" t="inlineStr">
        <is>
          <t>(히 12:1, 개역한글)</t>
        </is>
      </c>
      <c r="I660" s="14" t="inlineStr">
        <is>
          <t>헌신</t>
        </is>
      </c>
      <c r="J660" s="14" t="inlineStr">
        <is>
          <t>길·등불</t>
        </is>
      </c>
      <c r="K660" s="16" t="inlineStr">
        <is>
          <t>이러므로 우리에게 구름같이 둘러싼 허다한 증인들이 있으니 모든 무거운 것과 얽매이기 쉬운 죄를 벗어 버리고 인내로써 우리 앞에 당한 경주를 경주하며</t>
        </is>
      </c>
      <c r="L660" s="14" t="inlineStr">
        <is>
          <t>자동 입력</t>
        </is>
      </c>
      <c r="M660" s="14">
        <f>LEN(K660)</f>
        <v/>
      </c>
      <c r="N660" s="14">
        <f>IF(M660=0,"-",ROUND(3+M660/'안내'!$C$12,0))</f>
        <v/>
      </c>
      <c r="O660" s="15">
        <f>IF(K660="","(본문 입력 후 자동) | 히 12:1",IF(LEN(K660)&gt;28,LEFT(K660,28)&amp;"…",K660)&amp;" | 히 12:1")</f>
        <v/>
      </c>
      <c r="P660" s="15">
        <f>"#"&amp;SUBSTITUTE('안내'!$C$5," ","")&amp;" #성경구절 #말씀 #히브리서 #헌신"</f>
        <v/>
      </c>
      <c r="Q660" s="15" t="inlineStr">
        <is>
          <t>성경 본문: 개역한글판</t>
        </is>
      </c>
      <c r="R660" s="17">
        <f>'안내'!$C$6+INT((D660-1)/'안내'!$C$7)</f>
        <v/>
      </c>
      <c r="S660" s="14">
        <f>IF(MOD(D660-1,'안내'!$C$7)=0,'안내'!$C$9,'안내'!$C$11)</f>
        <v/>
      </c>
      <c r="T660" s="14">
        <f>CHOOSE(WEEKDAY(R660,2),"월","화","수","목","금","토","일")</f>
        <v/>
      </c>
      <c r="U660" s="14" t="inlineStr">
        <is>
          <t>미착수</t>
        </is>
      </c>
      <c r="V660" s="14" t="inlineStr">
        <is>
          <t>미착수</t>
        </is>
      </c>
      <c r="W660" s="18" t="n"/>
      <c r="X660" s="18" t="n"/>
      <c r="Y660" s="15" t="n"/>
      <c r="Z660" s="15" t="inlineStr"/>
      <c r="AA660" s="15" t="inlineStr">
        <is>
          <t>Therefore let’s also, seeing we are sur- rounded by so great a cloud of witnesses, lay aside every weight and the sin which so easily entangles us, and let’s run with perseverance the race that is set before us,</t>
        </is>
      </c>
    </row>
    <row r="661">
      <c r="A661" s="14" t="n">
        <v>660</v>
      </c>
      <c r="B661" s="14" t="inlineStr">
        <is>
          <t>W0660</t>
        </is>
      </c>
      <c r="C661" s="14" t="inlineStr">
        <is>
          <t>신약</t>
        </is>
      </c>
      <c r="D661" s="14" t="n">
        <v>296</v>
      </c>
      <c r="E661" s="14">
        <f>C661&amp;"말씀 #"&amp;TEXT(D661,"000")</f>
        <v/>
      </c>
      <c r="F661" s="14" t="inlineStr">
        <is>
          <t>히브리서</t>
        </is>
      </c>
      <c r="G661" s="14" t="inlineStr">
        <is>
          <t>12:2</t>
        </is>
      </c>
      <c r="H661" s="15" t="inlineStr">
        <is>
          <t>(히 12:2, 개역한글)</t>
        </is>
      </c>
      <c r="I661" s="14" t="inlineStr">
        <is>
          <t>믿음</t>
        </is>
      </c>
      <c r="J661" s="14" t="inlineStr">
        <is>
          <t>바위산·광야</t>
        </is>
      </c>
      <c r="K661" s="16" t="inlineStr">
        <is>
          <t>믿음의 주요 또 온전케 하시는 이인 예수를 바라보자 저는 그 앞에 있는 즐거움을 위하여 십자가를 참으사 부끄러움을 개의치 아니하시더니 하나님 보좌 우편에 앉으셨느니라</t>
        </is>
      </c>
      <c r="L661" s="14" t="inlineStr">
        <is>
          <t>자동 입력 · 대조 필요</t>
        </is>
      </c>
      <c r="M661" s="14">
        <f>LEN(K661)</f>
        <v/>
      </c>
      <c r="N661" s="14">
        <f>IF(M661=0,"-",ROUND(3+M661/'안내'!$C$12,0))</f>
        <v/>
      </c>
      <c r="O661" s="15">
        <f>IF(K661="","(본문 입력 후 자동) | 히 12:2",IF(LEN(K661)&gt;28,LEFT(K661,28)&amp;"…",K661)&amp;" | 히 12:2")</f>
        <v/>
      </c>
      <c r="P661" s="15">
        <f>"#"&amp;SUBSTITUTE('안내'!$C$5," ","")&amp;" #성경구절 #말씀 #히브리서 #믿음"</f>
        <v/>
      </c>
      <c r="Q661" s="15" t="inlineStr">
        <is>
          <t>성경 본문: 개역한글판</t>
        </is>
      </c>
      <c r="R661" s="17">
        <f>'안내'!$C$6+INT((D661-1)/'안내'!$C$7)</f>
        <v/>
      </c>
      <c r="S661" s="14">
        <f>IF(MOD(D661-1,'안내'!$C$7)=0,'안내'!$C$9,'안내'!$C$11)</f>
        <v/>
      </c>
      <c r="T661" s="14">
        <f>CHOOSE(WEEKDAY(R661,2),"월","화","수","목","금","토","일")</f>
        <v/>
      </c>
      <c r="U661" s="14" t="inlineStr">
        <is>
          <t>미착수</t>
        </is>
      </c>
      <c r="V661" s="14" t="inlineStr">
        <is>
          <t>미착수</t>
        </is>
      </c>
      <c r="W661" s="18" t="n"/>
      <c r="X661" s="18" t="n"/>
      <c r="Y661" s="15" t="n"/>
      <c r="Z661" s="15" t="inlineStr">
        <is>
          <t>줄바꿈 띄어쓰기 확인</t>
        </is>
      </c>
      <c r="AA661" s="15" t="inlineStr">
        <is>
          <t>looking to Jesus, the author and perfecter of faith, who for the joy that was set be- fore him endured the cross, despising its shame, and has sat down at the right hand of the throne of God.</t>
        </is>
      </c>
    </row>
    <row r="662">
      <c r="A662" s="14" t="n">
        <v>661</v>
      </c>
      <c r="B662" s="14" t="inlineStr">
        <is>
          <t>W0661</t>
        </is>
      </c>
      <c r="C662" s="14" t="inlineStr">
        <is>
          <t>신약</t>
        </is>
      </c>
      <c r="D662" s="14" t="n">
        <v>297</v>
      </c>
      <c r="E662" s="14">
        <f>C662&amp;"말씀 #"&amp;TEXT(D662,"000")</f>
        <v/>
      </c>
      <c r="F662" s="14" t="inlineStr">
        <is>
          <t>히브리서</t>
        </is>
      </c>
      <c r="G662" s="14" t="inlineStr">
        <is>
          <t>12:11</t>
        </is>
      </c>
      <c r="H662" s="15" t="inlineStr">
        <is>
          <t>(히 12:11, 개역한글)</t>
        </is>
      </c>
      <c r="I662" s="14" t="inlineStr">
        <is>
          <t>연단</t>
        </is>
      </c>
      <c r="J662" s="14" t="inlineStr">
        <is>
          <t>바위산·광야</t>
        </is>
      </c>
      <c r="K662" s="16" t="inlineStr">
        <is>
          <t>무릇 징계가 당시에는 즐거워 보이지 않고 슬퍼 보이나 후에 그로 말미암아 연달한 자에게는 의의 평강한 열매를 맺나니</t>
        </is>
      </c>
      <c r="L662" s="14" t="inlineStr">
        <is>
          <t>자동 입력 · 대조 필요</t>
        </is>
      </c>
      <c r="M662" s="14">
        <f>LEN(K662)</f>
        <v/>
      </c>
      <c r="N662" s="14">
        <f>IF(M662=0,"-",ROUND(3+M662/'안내'!$C$12,0))</f>
        <v/>
      </c>
      <c r="O662" s="15">
        <f>IF(K662="","(본문 입력 후 자동) | 히 12:11",IF(LEN(K662)&gt;28,LEFT(K662,28)&amp;"…",K662)&amp;" | 히 12:11")</f>
        <v/>
      </c>
      <c r="P662" s="15">
        <f>"#"&amp;SUBSTITUTE('안내'!$C$5," ","")&amp;" #성경구절 #말씀 #히브리서 #연단"</f>
        <v/>
      </c>
      <c r="Q662" s="15" t="inlineStr">
        <is>
          <t>성경 본문: 개역한글판</t>
        </is>
      </c>
      <c r="R662" s="17">
        <f>'안내'!$C$6+INT((D662-1)/'안내'!$C$7)</f>
        <v/>
      </c>
      <c r="S662" s="14">
        <f>IF(MOD(D662-1,'안내'!$C$7)=0,'안내'!$C$9,'안내'!$C$11)</f>
        <v/>
      </c>
      <c r="T662" s="14">
        <f>CHOOSE(WEEKDAY(R662,2),"월","화","수","목","금","토","일")</f>
        <v/>
      </c>
      <c r="U662" s="14" t="inlineStr">
        <is>
          <t>미착수</t>
        </is>
      </c>
      <c r="V662" s="14" t="inlineStr">
        <is>
          <t>미착수</t>
        </is>
      </c>
      <c r="W662" s="18" t="n"/>
      <c r="X662" s="18" t="n"/>
      <c r="Y662" s="15" t="n"/>
      <c r="Z662" s="15" t="inlineStr">
        <is>
          <t>줄바꿈 띄어쓰기 확인</t>
        </is>
      </c>
      <c r="AA662" s="15" t="inlineStr">
        <is>
          <t>All chastening seems for the present to be not joyous but grievous; yet afterward it yields the peaceful fruit of righteousness to those who have been trained by it.</t>
        </is>
      </c>
    </row>
    <row r="663">
      <c r="A663" s="14" t="n">
        <v>662</v>
      </c>
      <c r="B663" s="14" t="inlineStr">
        <is>
          <t>W0662</t>
        </is>
      </c>
      <c r="C663" s="14" t="inlineStr">
        <is>
          <t>신약</t>
        </is>
      </c>
      <c r="D663" s="14" t="n">
        <v>298</v>
      </c>
      <c r="E663" s="14">
        <f>C663&amp;"말씀 #"&amp;TEXT(D663,"000")</f>
        <v/>
      </c>
      <c r="F663" s="14" t="inlineStr">
        <is>
          <t>히브리서</t>
        </is>
      </c>
      <c r="G663" s="14" t="inlineStr">
        <is>
          <t>13:5</t>
        </is>
      </c>
      <c r="H663" s="15" t="inlineStr">
        <is>
          <t>(히 13:5, 개역한글)</t>
        </is>
      </c>
      <c r="I663" s="14" t="inlineStr">
        <is>
          <t>동행</t>
        </is>
      </c>
      <c r="J663" s="14" t="inlineStr">
        <is>
          <t>길·등불</t>
        </is>
      </c>
      <c r="K663" s="16" t="inlineStr">
        <is>
          <t>돈을 사랑치 말고 있는 바를 족한 줄로 알라 그가 친히 말씀하시기를 내가 과연 너희를 버리지 아니하고 과연 너희를 떠나지 아니하리라 하셨느니라</t>
        </is>
      </c>
      <c r="L663" s="14" t="inlineStr">
        <is>
          <t>자동 입력 · 대조 필요</t>
        </is>
      </c>
      <c r="M663" s="14">
        <f>LEN(K663)</f>
        <v/>
      </c>
      <c r="N663" s="14">
        <f>IF(M663=0,"-",ROUND(3+M663/'안내'!$C$12,0))</f>
        <v/>
      </c>
      <c r="O663" s="15">
        <f>IF(K663="","(본문 입력 후 자동) | 히 13:5",IF(LEN(K663)&gt;28,LEFT(K663,28)&amp;"…",K663)&amp;" | 히 13:5")</f>
        <v/>
      </c>
      <c r="P663" s="15">
        <f>"#"&amp;SUBSTITUTE('안내'!$C$5," ","")&amp;" #성경구절 #말씀 #히브리서 #동행"</f>
        <v/>
      </c>
      <c r="Q663" s="15" t="inlineStr">
        <is>
          <t>성경 본문: 개역한글판</t>
        </is>
      </c>
      <c r="R663" s="17">
        <f>'안내'!$C$6+INT((D663-1)/'안내'!$C$7)</f>
        <v/>
      </c>
      <c r="S663" s="14">
        <f>IF(MOD(D663-1,'안내'!$C$7)=0,'안내'!$C$9,'안내'!$C$11)</f>
        <v/>
      </c>
      <c r="T663" s="14">
        <f>CHOOSE(WEEKDAY(R663,2),"월","화","수","목","금","토","일")</f>
        <v/>
      </c>
      <c r="U663" s="14" t="inlineStr">
        <is>
          <t>미착수</t>
        </is>
      </c>
      <c r="V663" s="14" t="inlineStr">
        <is>
          <t>미착수</t>
        </is>
      </c>
      <c r="W663" s="18" t="n"/>
      <c r="X663" s="18" t="n"/>
      <c r="Y663" s="15" t="n"/>
      <c r="Z663" s="15" t="inlineStr">
        <is>
          <t>줄바꿈 띄어쓰기 확인</t>
        </is>
      </c>
      <c r="AA663" s="15" t="inlineStr">
        <is>
          <t>Be free from the love of money, content with such things as you have, for he has said, “I will in no way leave you, neither will I in any way forsake you.” ✡</t>
        </is>
      </c>
    </row>
    <row r="664">
      <c r="A664" s="14" t="n">
        <v>663</v>
      </c>
      <c r="B664" s="14" t="inlineStr">
        <is>
          <t>W0663</t>
        </is>
      </c>
      <c r="C664" s="14" t="inlineStr">
        <is>
          <t>신약</t>
        </is>
      </c>
      <c r="D664" s="14" t="n">
        <v>299</v>
      </c>
      <c r="E664" s="14">
        <f>C664&amp;"말씀 #"&amp;TEXT(D664,"000")</f>
        <v/>
      </c>
      <c r="F664" s="14" t="inlineStr">
        <is>
          <t>히브리서</t>
        </is>
      </c>
      <c r="G664" s="14" t="inlineStr">
        <is>
          <t>13:8</t>
        </is>
      </c>
      <c r="H664" s="15" t="inlineStr">
        <is>
          <t>(히 13:8, 개역한글)</t>
        </is>
      </c>
      <c r="I664" s="14" t="inlineStr">
        <is>
          <t>신실하심</t>
        </is>
      </c>
      <c r="J664" s="14" t="inlineStr">
        <is>
          <t>바위산·광야</t>
        </is>
      </c>
      <c r="K664" s="16" t="inlineStr">
        <is>
          <t>예수 그리스도는 어제나 오늘이나 영원토록 동일하시니라</t>
        </is>
      </c>
      <c r="L664" s="14" t="inlineStr">
        <is>
          <t>자동 입력</t>
        </is>
      </c>
      <c r="M664" s="14">
        <f>LEN(K664)</f>
        <v/>
      </c>
      <c r="N664" s="14">
        <f>IF(M664=0,"-",ROUND(3+M664/'안내'!$C$12,0))</f>
        <v/>
      </c>
      <c r="O664" s="15">
        <f>IF(K664="","(본문 입력 후 자동) | 히 13:8",IF(LEN(K664)&gt;28,LEFT(K664,28)&amp;"…",K664)&amp;" | 히 13:8")</f>
        <v/>
      </c>
      <c r="P664" s="15">
        <f>"#"&amp;SUBSTITUTE('안내'!$C$5," ","")&amp;" #성경구절 #말씀 #히브리서 #신실하심"</f>
        <v/>
      </c>
      <c r="Q664" s="15" t="inlineStr">
        <is>
          <t>성경 본문: 개역한글판</t>
        </is>
      </c>
      <c r="R664" s="17">
        <f>'안내'!$C$6+INT((D664-1)/'안내'!$C$7)</f>
        <v/>
      </c>
      <c r="S664" s="14">
        <f>IF(MOD(D664-1,'안내'!$C$7)=0,'안내'!$C$9,'안내'!$C$11)</f>
        <v/>
      </c>
      <c r="T664" s="14">
        <f>CHOOSE(WEEKDAY(R664,2),"월","화","수","목","금","토","일")</f>
        <v/>
      </c>
      <c r="U664" s="14" t="inlineStr">
        <is>
          <t>미착수</t>
        </is>
      </c>
      <c r="V664" s="14" t="inlineStr">
        <is>
          <t>미착수</t>
        </is>
      </c>
      <c r="W664" s="18" t="n"/>
      <c r="X664" s="18" t="n"/>
      <c r="Y664" s="15" t="n"/>
      <c r="Z664" s="15" t="inlineStr"/>
      <c r="AA664" s="15" t="inlineStr">
        <is>
          <t>Jesus Christ is the same yesterday, today, and forever.</t>
        </is>
      </c>
    </row>
    <row r="665">
      <c r="A665" s="14" t="n">
        <v>664</v>
      </c>
      <c r="B665" s="14" t="inlineStr">
        <is>
          <t>W0664</t>
        </is>
      </c>
      <c r="C665" s="14" t="inlineStr">
        <is>
          <t>신약</t>
        </is>
      </c>
      <c r="D665" s="14" t="n">
        <v>300</v>
      </c>
      <c r="E665" s="14">
        <f>C665&amp;"말씀 #"&amp;TEXT(D665,"000")</f>
        <v/>
      </c>
      <c r="F665" s="14" t="inlineStr">
        <is>
          <t>히브리서</t>
        </is>
      </c>
      <c r="G665" s="14" t="inlineStr">
        <is>
          <t>13:15</t>
        </is>
      </c>
      <c r="H665" s="15" t="inlineStr">
        <is>
          <t>(히 13:15, 개역한글)</t>
        </is>
      </c>
      <c r="I665" s="14" t="inlineStr">
        <is>
          <t>찬양</t>
        </is>
      </c>
      <c r="J665" s="14" t="inlineStr">
        <is>
          <t>하늘·별</t>
        </is>
      </c>
      <c r="K665" s="16" t="inlineStr">
        <is>
          <t>이러므로 우리가 예수로 말미암아 항상 찬미의 제사를 하나님께 드리자 이는 그 이름을 증거하는 입술의 열매니라</t>
        </is>
      </c>
      <c r="L665" s="14" t="inlineStr">
        <is>
          <t>자동 입력 · 대조 필요</t>
        </is>
      </c>
      <c r="M665" s="14">
        <f>LEN(K665)</f>
        <v/>
      </c>
      <c r="N665" s="14">
        <f>IF(M665=0,"-",ROUND(3+M665/'안내'!$C$12,0))</f>
        <v/>
      </c>
      <c r="O665" s="15">
        <f>IF(K665="","(본문 입력 후 자동) | 히 13:15",IF(LEN(K665)&gt;28,LEFT(K665,28)&amp;"…",K665)&amp;" | 히 13:15")</f>
        <v/>
      </c>
      <c r="P665" s="15">
        <f>"#"&amp;SUBSTITUTE('안내'!$C$5," ","")&amp;" #성경구절 #말씀 #히브리서 #찬양"</f>
        <v/>
      </c>
      <c r="Q665" s="15" t="inlineStr">
        <is>
          <t>성경 본문: 개역한글판</t>
        </is>
      </c>
      <c r="R665" s="17">
        <f>'안내'!$C$6+INT((D665-1)/'안내'!$C$7)</f>
        <v/>
      </c>
      <c r="S665" s="14">
        <f>IF(MOD(D665-1,'안내'!$C$7)=0,'안내'!$C$9,'안내'!$C$11)</f>
        <v/>
      </c>
      <c r="T665" s="14">
        <f>CHOOSE(WEEKDAY(R665,2),"월","화","수","목","금","토","일")</f>
        <v/>
      </c>
      <c r="U665" s="14" t="inlineStr">
        <is>
          <t>미착수</t>
        </is>
      </c>
      <c r="V665" s="14" t="inlineStr">
        <is>
          <t>미착수</t>
        </is>
      </c>
      <c r="W665" s="18" t="n"/>
      <c r="X665" s="18" t="n"/>
      <c r="Y665" s="15" t="n"/>
      <c r="Z665" s="15" t="inlineStr">
        <is>
          <t>줄바꿈 띄어쓰기 확인</t>
        </is>
      </c>
      <c r="AA665" s="15" t="inlineStr">
        <is>
          <t>Through him, then, let’s offer up a sacrifice of praise to God ✡ continually, that is, the fruit of lips which proclaim allegiance to his name.</t>
        </is>
      </c>
    </row>
    <row r="666">
      <c r="A666" s="14" t="n">
        <v>665</v>
      </c>
      <c r="B666" s="14" t="inlineStr">
        <is>
          <t>W0665</t>
        </is>
      </c>
      <c r="C666" s="14" t="inlineStr">
        <is>
          <t>신약</t>
        </is>
      </c>
      <c r="D666" s="14" t="n">
        <v>301</v>
      </c>
      <c r="E666" s="14">
        <f>C666&amp;"말씀 #"&amp;TEXT(D666,"000")</f>
        <v/>
      </c>
      <c r="F666" s="14" t="inlineStr">
        <is>
          <t>야고보서</t>
        </is>
      </c>
      <c r="G666" s="14" t="inlineStr">
        <is>
          <t>1:2</t>
        </is>
      </c>
      <c r="H666" s="15" t="inlineStr">
        <is>
          <t>(약 1:2, 개역한글)</t>
        </is>
      </c>
      <c r="I666" s="14" t="inlineStr">
        <is>
          <t>연단</t>
        </is>
      </c>
      <c r="J666" s="14" t="inlineStr">
        <is>
          <t>바위산·광야</t>
        </is>
      </c>
      <c r="K666" s="16" t="inlineStr">
        <is>
          <t>내 형제들아 너희가 여러 가지 시험을 만나거든 온전히 기쁘게 여기라</t>
        </is>
      </c>
      <c r="L666" s="14" t="inlineStr">
        <is>
          <t>자동 입력</t>
        </is>
      </c>
      <c r="M666" s="14">
        <f>LEN(K666)</f>
        <v/>
      </c>
      <c r="N666" s="14">
        <f>IF(M666=0,"-",ROUND(3+M666/'안내'!$C$12,0))</f>
        <v/>
      </c>
      <c r="O666" s="15">
        <f>IF(K666="","(본문 입력 후 자동) | 약 1:2",IF(LEN(K666)&gt;28,LEFT(K666,28)&amp;"…",K666)&amp;" | 약 1:2")</f>
        <v/>
      </c>
      <c r="P666" s="15">
        <f>"#"&amp;SUBSTITUTE('안내'!$C$5," ","")&amp;" #성경구절 #말씀 #야고보서 #연단"</f>
        <v/>
      </c>
      <c r="Q666" s="15" t="inlineStr">
        <is>
          <t>성경 본문: 개역한글판</t>
        </is>
      </c>
      <c r="R666" s="17">
        <f>'안내'!$C$6+INT((D666-1)/'안내'!$C$7)</f>
        <v/>
      </c>
      <c r="S666" s="14">
        <f>IF(MOD(D666-1,'안내'!$C$7)=0,'안내'!$C$9,'안내'!$C$11)</f>
        <v/>
      </c>
      <c r="T666" s="14">
        <f>CHOOSE(WEEKDAY(R666,2),"월","화","수","목","금","토","일")</f>
        <v/>
      </c>
      <c r="U666" s="14" t="inlineStr">
        <is>
          <t>미착수</t>
        </is>
      </c>
      <c r="V666" s="14" t="inlineStr">
        <is>
          <t>미착수</t>
        </is>
      </c>
      <c r="W666" s="18" t="n"/>
      <c r="X666" s="18" t="n"/>
      <c r="Y666" s="15" t="n"/>
      <c r="Z666" s="15" t="inlineStr"/>
      <c r="AA666" s="15" t="inlineStr">
        <is>
          <t>Count it all joy, my brothers, when you fall into various temptations,</t>
        </is>
      </c>
    </row>
    <row r="667">
      <c r="A667" s="14" t="n">
        <v>666</v>
      </c>
      <c r="B667" s="14" t="inlineStr">
        <is>
          <t>W0666</t>
        </is>
      </c>
      <c r="C667" s="14" t="inlineStr">
        <is>
          <t>신약</t>
        </is>
      </c>
      <c r="D667" s="14" t="n">
        <v>302</v>
      </c>
      <c r="E667" s="14">
        <f>C667&amp;"말씀 #"&amp;TEXT(D667,"000")</f>
        <v/>
      </c>
      <c r="F667" s="14" t="inlineStr">
        <is>
          <t>야고보서</t>
        </is>
      </c>
      <c r="G667" s="14" t="inlineStr">
        <is>
          <t>1:5</t>
        </is>
      </c>
      <c r="H667" s="15" t="inlineStr">
        <is>
          <t>(약 1:5, 개역한글)</t>
        </is>
      </c>
      <c r="I667" s="14" t="inlineStr">
        <is>
          <t>지혜</t>
        </is>
      </c>
      <c r="J667" s="14" t="inlineStr">
        <is>
          <t>들판·나무</t>
        </is>
      </c>
      <c r="K667" s="16" t="inlineStr">
        <is>
          <t>너희 중에 누구든지 지혜가 부족하거든 모든 사람에게 후히 주시고 꾸짖지 아니하시는 하나님께 구하라 그리하면 주시리라</t>
        </is>
      </c>
      <c r="L667" s="14" t="inlineStr">
        <is>
          <t>자동 입력</t>
        </is>
      </c>
      <c r="M667" s="14">
        <f>LEN(K667)</f>
        <v/>
      </c>
      <c r="N667" s="14">
        <f>IF(M667=0,"-",ROUND(3+M667/'안내'!$C$12,0))</f>
        <v/>
      </c>
      <c r="O667" s="15">
        <f>IF(K667="","(본문 입력 후 자동) | 약 1:5",IF(LEN(K667)&gt;28,LEFT(K667,28)&amp;"…",K667)&amp;" | 약 1:5")</f>
        <v/>
      </c>
      <c r="P667" s="15">
        <f>"#"&amp;SUBSTITUTE('안내'!$C$5," ","")&amp;" #성경구절 #말씀 #야고보서 #지혜"</f>
        <v/>
      </c>
      <c r="Q667" s="15" t="inlineStr">
        <is>
          <t>성경 본문: 개역한글판</t>
        </is>
      </c>
      <c r="R667" s="17">
        <f>'안내'!$C$6+INT((D667-1)/'안내'!$C$7)</f>
        <v/>
      </c>
      <c r="S667" s="14">
        <f>IF(MOD(D667-1,'안내'!$C$7)=0,'안내'!$C$9,'안내'!$C$11)</f>
        <v/>
      </c>
      <c r="T667" s="14">
        <f>CHOOSE(WEEKDAY(R667,2),"월","화","수","목","금","토","일")</f>
        <v/>
      </c>
      <c r="U667" s="14" t="inlineStr">
        <is>
          <t>미착수</t>
        </is>
      </c>
      <c r="V667" s="14" t="inlineStr">
        <is>
          <t>미착수</t>
        </is>
      </c>
      <c r="W667" s="18" t="n"/>
      <c r="X667" s="18" t="n"/>
      <c r="Y667" s="15" t="n"/>
      <c r="Z667" s="15" t="inlineStr"/>
      <c r="AA667" s="15" t="inlineStr">
        <is>
          <t>But if any of you lacks wisdom, let him ask of God, who gives to all liberally and without reproach, and it will be given to him.</t>
        </is>
      </c>
    </row>
    <row r="668">
      <c r="A668" s="14" t="n">
        <v>667</v>
      </c>
      <c r="B668" s="14" t="inlineStr">
        <is>
          <t>W0667</t>
        </is>
      </c>
      <c r="C668" s="14" t="inlineStr">
        <is>
          <t>신약</t>
        </is>
      </c>
      <c r="D668" s="14" t="n">
        <v>303</v>
      </c>
      <c r="E668" s="14">
        <f>C668&amp;"말씀 #"&amp;TEXT(D668,"000")</f>
        <v/>
      </c>
      <c r="F668" s="14" t="inlineStr">
        <is>
          <t>야고보서</t>
        </is>
      </c>
      <c r="G668" s="14" t="inlineStr">
        <is>
          <t>1:12</t>
        </is>
      </c>
      <c r="H668" s="15" t="inlineStr">
        <is>
          <t>(약 1:12, 개역한글)</t>
        </is>
      </c>
      <c r="I668" s="14" t="inlineStr">
        <is>
          <t>연단</t>
        </is>
      </c>
      <c r="J668" s="14" t="inlineStr">
        <is>
          <t>바위산·광야</t>
        </is>
      </c>
      <c r="K668" s="16" t="inlineStr">
        <is>
          <t>시험을 참는 자는 복이 있도다 이것에 옳다 인정하심을 받은 후에 주께서 자기를 사랑하는 자들에게 약속하신 생명의 면류관을 얻을 것임이니라</t>
        </is>
      </c>
      <c r="L668" s="14" t="inlineStr">
        <is>
          <t>자동 입력</t>
        </is>
      </c>
      <c r="M668" s="14">
        <f>LEN(K668)</f>
        <v/>
      </c>
      <c r="N668" s="14">
        <f>IF(M668=0,"-",ROUND(3+M668/'안내'!$C$12,0))</f>
        <v/>
      </c>
      <c r="O668" s="15">
        <f>IF(K668="","(본문 입력 후 자동) | 약 1:12",IF(LEN(K668)&gt;28,LEFT(K668,28)&amp;"…",K668)&amp;" | 약 1:12")</f>
        <v/>
      </c>
      <c r="P668" s="15">
        <f>"#"&amp;SUBSTITUTE('안내'!$C$5," ","")&amp;" #성경구절 #말씀 #야고보서 #연단"</f>
        <v/>
      </c>
      <c r="Q668" s="15" t="inlineStr">
        <is>
          <t>성경 본문: 개역한글판</t>
        </is>
      </c>
      <c r="R668" s="17">
        <f>'안내'!$C$6+INT((D668-1)/'안내'!$C$7)</f>
        <v/>
      </c>
      <c r="S668" s="14">
        <f>IF(MOD(D668-1,'안내'!$C$7)=0,'안내'!$C$9,'안내'!$C$11)</f>
        <v/>
      </c>
      <c r="T668" s="14">
        <f>CHOOSE(WEEKDAY(R668,2),"월","화","수","목","금","토","일")</f>
        <v/>
      </c>
      <c r="U668" s="14" t="inlineStr">
        <is>
          <t>미착수</t>
        </is>
      </c>
      <c r="V668" s="14" t="inlineStr">
        <is>
          <t>미착수</t>
        </is>
      </c>
      <c r="W668" s="18" t="n"/>
      <c r="X668" s="18" t="n"/>
      <c r="Y668" s="15" t="n"/>
      <c r="Z668" s="15" t="inlineStr"/>
      <c r="AA668" s="15" t="inlineStr">
        <is>
          <t>Blessed is a person who endures temp- tation, for when he has been approved, he will receive the crown of life which the Lord promised to those who love him.</t>
        </is>
      </c>
    </row>
    <row r="669">
      <c r="A669" s="14" t="n">
        <v>668</v>
      </c>
      <c r="B669" s="14" t="inlineStr">
        <is>
          <t>W0668</t>
        </is>
      </c>
      <c r="C669" s="14" t="inlineStr">
        <is>
          <t>신약</t>
        </is>
      </c>
      <c r="D669" s="14" t="n">
        <v>304</v>
      </c>
      <c r="E669" s="14">
        <f>C669&amp;"말씀 #"&amp;TEXT(D669,"000")</f>
        <v/>
      </c>
      <c r="F669" s="14" t="inlineStr">
        <is>
          <t>야고보서</t>
        </is>
      </c>
      <c r="G669" s="14" t="inlineStr">
        <is>
          <t>1:17</t>
        </is>
      </c>
      <c r="H669" s="15" t="inlineStr">
        <is>
          <t>(약 1:17, 개역한글)</t>
        </is>
      </c>
      <c r="I669" s="14" t="inlineStr">
        <is>
          <t>은혜</t>
        </is>
      </c>
      <c r="J669" s="14" t="inlineStr">
        <is>
          <t>잔잔한 물</t>
        </is>
      </c>
      <c r="K669" s="16" t="inlineStr">
        <is>
          <t>각양 좋은 은사와 온전한 선물이 다 위로부터 빛들의 아버지께로서 내려오나니 그는 변함도 없으시고 회전하는 그림자도 없으시니라</t>
        </is>
      </c>
      <c r="L669" s="14" t="inlineStr">
        <is>
          <t>자동 입력 · 대조 필요</t>
        </is>
      </c>
      <c r="M669" s="14">
        <f>LEN(K669)</f>
        <v/>
      </c>
      <c r="N669" s="14">
        <f>IF(M669=0,"-",ROUND(3+M669/'안내'!$C$12,0))</f>
        <v/>
      </c>
      <c r="O669" s="15">
        <f>IF(K669="","(본문 입력 후 자동) | 약 1:17",IF(LEN(K669)&gt;28,LEFT(K669,28)&amp;"…",K669)&amp;" | 약 1:17")</f>
        <v/>
      </c>
      <c r="P669" s="15">
        <f>"#"&amp;SUBSTITUTE('안내'!$C$5," ","")&amp;" #성경구절 #말씀 #야고보서 #은혜"</f>
        <v/>
      </c>
      <c r="Q669" s="15" t="inlineStr">
        <is>
          <t>성경 본문: 개역한글판</t>
        </is>
      </c>
      <c r="R669" s="17">
        <f>'안내'!$C$6+INT((D669-1)/'안내'!$C$7)</f>
        <v/>
      </c>
      <c r="S669" s="14">
        <f>IF(MOD(D669-1,'안내'!$C$7)=0,'안내'!$C$9,'안내'!$C$11)</f>
        <v/>
      </c>
      <c r="T669" s="14">
        <f>CHOOSE(WEEKDAY(R669,2),"월","화","수","목","금","토","일")</f>
        <v/>
      </c>
      <c r="U669" s="14" t="inlineStr">
        <is>
          <t>미착수</t>
        </is>
      </c>
      <c r="V669" s="14" t="inlineStr">
        <is>
          <t>미착수</t>
        </is>
      </c>
      <c r="W669" s="18" t="n"/>
      <c r="X669" s="18" t="n"/>
      <c r="Y669" s="15" t="n"/>
      <c r="Z669" s="15" t="inlineStr">
        <is>
          <t>줄바꿈 띄어쓰기 확인</t>
        </is>
      </c>
      <c r="AA669" s="15" t="inlineStr">
        <is>
          <t>Every good gift and every perfect gift is from above, coming down from the Father of lights, with whom can be no variation nor turning shadow.</t>
        </is>
      </c>
    </row>
    <row r="670">
      <c r="A670" s="14" t="n">
        <v>669</v>
      </c>
      <c r="B670" s="14" t="inlineStr">
        <is>
          <t>W0669</t>
        </is>
      </c>
      <c r="C670" s="14" t="inlineStr">
        <is>
          <t>신약</t>
        </is>
      </c>
      <c r="D670" s="14" t="n">
        <v>305</v>
      </c>
      <c r="E670" s="14">
        <f>C670&amp;"말씀 #"&amp;TEXT(D670,"000")</f>
        <v/>
      </c>
      <c r="F670" s="14" t="inlineStr">
        <is>
          <t>야고보서</t>
        </is>
      </c>
      <c r="G670" s="14" t="inlineStr">
        <is>
          <t>1:19</t>
        </is>
      </c>
      <c r="H670" s="15" t="inlineStr">
        <is>
          <t>(약 1:19, 개역한글)</t>
        </is>
      </c>
      <c r="I670" s="14" t="inlineStr">
        <is>
          <t>말</t>
        </is>
      </c>
      <c r="J670" s="14" t="inlineStr">
        <is>
          <t>창가·식탁</t>
        </is>
      </c>
      <c r="K670" s="16" t="inlineStr">
        <is>
          <t>내 사랑하는 형제들아 너희가 알거니와 사람마다 듣기는 속히 하고 말하기는 더디 하며 성내기도 더디 하라</t>
        </is>
      </c>
      <c r="L670" s="14" t="inlineStr">
        <is>
          <t>자동 입력</t>
        </is>
      </c>
      <c r="M670" s="14">
        <f>LEN(K670)</f>
        <v/>
      </c>
      <c r="N670" s="14">
        <f>IF(M670=0,"-",ROUND(3+M670/'안내'!$C$12,0))</f>
        <v/>
      </c>
      <c r="O670" s="15">
        <f>IF(K670="","(본문 입력 후 자동) | 약 1:19",IF(LEN(K670)&gt;28,LEFT(K670,28)&amp;"…",K670)&amp;" | 약 1:19")</f>
        <v/>
      </c>
      <c r="P670" s="15">
        <f>"#"&amp;SUBSTITUTE('안내'!$C$5," ","")&amp;" #성경구절 #말씀 #야고보서 #말"</f>
        <v/>
      </c>
      <c r="Q670" s="15" t="inlineStr">
        <is>
          <t>성경 본문: 개역한글판</t>
        </is>
      </c>
      <c r="R670" s="17">
        <f>'안내'!$C$6+INT((D670-1)/'안내'!$C$7)</f>
        <v/>
      </c>
      <c r="S670" s="14">
        <f>IF(MOD(D670-1,'안내'!$C$7)=0,'안내'!$C$9,'안내'!$C$11)</f>
        <v/>
      </c>
      <c r="T670" s="14">
        <f>CHOOSE(WEEKDAY(R670,2),"월","화","수","목","금","토","일")</f>
        <v/>
      </c>
      <c r="U670" s="14" t="inlineStr">
        <is>
          <t>미착수</t>
        </is>
      </c>
      <c r="V670" s="14" t="inlineStr">
        <is>
          <t>미착수</t>
        </is>
      </c>
      <c r="W670" s="18" t="n"/>
      <c r="X670" s="18" t="n"/>
      <c r="Y670" s="15" t="n"/>
      <c r="Z670" s="15" t="inlineStr"/>
      <c r="AA670" s="15" t="inlineStr">
        <is>
          <t>So, then, my beloved brothers, let every man be swift to hear, slow to speak, and slow to anger;</t>
        </is>
      </c>
    </row>
    <row r="671">
      <c r="A671" s="14" t="n">
        <v>670</v>
      </c>
      <c r="B671" s="14" t="inlineStr">
        <is>
          <t>W0670</t>
        </is>
      </c>
      <c r="C671" s="14" t="inlineStr">
        <is>
          <t>신약</t>
        </is>
      </c>
      <c r="D671" s="14" t="n">
        <v>306</v>
      </c>
      <c r="E671" s="14">
        <f>C671&amp;"말씀 #"&amp;TEXT(D671,"000")</f>
        <v/>
      </c>
      <c r="F671" s="14" t="inlineStr">
        <is>
          <t>야고보서</t>
        </is>
      </c>
      <c r="G671" s="14" t="inlineStr">
        <is>
          <t>1:22</t>
        </is>
      </c>
      <c r="H671" s="15" t="inlineStr">
        <is>
          <t>(약 1:22, 개역한글)</t>
        </is>
      </c>
      <c r="I671" s="14" t="inlineStr">
        <is>
          <t>순종</t>
        </is>
      </c>
      <c r="J671" s="14" t="inlineStr">
        <is>
          <t>길·등불</t>
        </is>
      </c>
      <c r="K671" s="16" t="inlineStr">
        <is>
          <t>너희는 도를 행하는 자가 되고 듣기만 하여 자신을 속이는 자가 되지 말라</t>
        </is>
      </c>
      <c r="L671" s="14" t="inlineStr">
        <is>
          <t>자동 입력</t>
        </is>
      </c>
      <c r="M671" s="14">
        <f>LEN(K671)</f>
        <v/>
      </c>
      <c r="N671" s="14">
        <f>IF(M671=0,"-",ROUND(3+M671/'안내'!$C$12,0))</f>
        <v/>
      </c>
      <c r="O671" s="15">
        <f>IF(K671="","(본문 입력 후 자동) | 약 1:22",IF(LEN(K671)&gt;28,LEFT(K671,28)&amp;"…",K671)&amp;" | 약 1:22")</f>
        <v/>
      </c>
      <c r="P671" s="15">
        <f>"#"&amp;SUBSTITUTE('안내'!$C$5," ","")&amp;" #성경구절 #말씀 #야고보서 #순종"</f>
        <v/>
      </c>
      <c r="Q671" s="15" t="inlineStr">
        <is>
          <t>성경 본문: 개역한글판</t>
        </is>
      </c>
      <c r="R671" s="17">
        <f>'안내'!$C$6+INT((D671-1)/'안내'!$C$7)</f>
        <v/>
      </c>
      <c r="S671" s="14">
        <f>IF(MOD(D671-1,'안내'!$C$7)=0,'안내'!$C$9,'안내'!$C$11)</f>
        <v/>
      </c>
      <c r="T671" s="14">
        <f>CHOOSE(WEEKDAY(R671,2),"월","화","수","목","금","토","일")</f>
        <v/>
      </c>
      <c r="U671" s="14" t="inlineStr">
        <is>
          <t>미착수</t>
        </is>
      </c>
      <c r="V671" s="14" t="inlineStr">
        <is>
          <t>미착수</t>
        </is>
      </c>
      <c r="W671" s="18" t="n"/>
      <c r="X671" s="18" t="n"/>
      <c r="Y671" s="15" t="n"/>
      <c r="Z671" s="15" t="inlineStr"/>
      <c r="AA671" s="15" t="inlineStr">
        <is>
          <t>But be doers of the word, and not only hearers, deluding your own selves.</t>
        </is>
      </c>
    </row>
    <row r="672">
      <c r="A672" s="14" t="n">
        <v>671</v>
      </c>
      <c r="B672" s="14" t="inlineStr">
        <is>
          <t>W0671</t>
        </is>
      </c>
      <c r="C672" s="14" t="inlineStr">
        <is>
          <t>신약</t>
        </is>
      </c>
      <c r="D672" s="14" t="n">
        <v>307</v>
      </c>
      <c r="E672" s="14">
        <f>C672&amp;"말씀 #"&amp;TEXT(D672,"000")</f>
        <v/>
      </c>
      <c r="F672" s="14" t="inlineStr">
        <is>
          <t>야고보서</t>
        </is>
      </c>
      <c r="G672" s="14" t="inlineStr">
        <is>
          <t>2:17</t>
        </is>
      </c>
      <c r="H672" s="15" t="inlineStr">
        <is>
          <t>(약 2:17, 개역한글)</t>
        </is>
      </c>
      <c r="I672" s="14" t="inlineStr">
        <is>
          <t>믿음</t>
        </is>
      </c>
      <c r="J672" s="14" t="inlineStr">
        <is>
          <t>바위산·광야</t>
        </is>
      </c>
      <c r="K672" s="16" t="inlineStr">
        <is>
          <t>이와 같이 행함이 없는 믿음은 그 자체가 죽은 것이라</t>
        </is>
      </c>
      <c r="L672" s="14" t="inlineStr">
        <is>
          <t>자동 입력</t>
        </is>
      </c>
      <c r="M672" s="14">
        <f>LEN(K672)</f>
        <v/>
      </c>
      <c r="N672" s="14">
        <f>IF(M672=0,"-",ROUND(3+M672/'안내'!$C$12,0))</f>
        <v/>
      </c>
      <c r="O672" s="15">
        <f>IF(K672="","(본문 입력 후 자동) | 약 2:17",IF(LEN(K672)&gt;28,LEFT(K672,28)&amp;"…",K672)&amp;" | 약 2:17")</f>
        <v/>
      </c>
      <c r="P672" s="15">
        <f>"#"&amp;SUBSTITUTE('안내'!$C$5," ","")&amp;" #성경구절 #말씀 #야고보서 #믿음"</f>
        <v/>
      </c>
      <c r="Q672" s="15" t="inlineStr">
        <is>
          <t>성경 본문: 개역한글판</t>
        </is>
      </c>
      <c r="R672" s="17">
        <f>'안내'!$C$6+INT((D672-1)/'안내'!$C$7)</f>
        <v/>
      </c>
      <c r="S672" s="14">
        <f>IF(MOD(D672-1,'안내'!$C$7)=0,'안내'!$C$9,'안내'!$C$11)</f>
        <v/>
      </c>
      <c r="T672" s="14">
        <f>CHOOSE(WEEKDAY(R672,2),"월","화","수","목","금","토","일")</f>
        <v/>
      </c>
      <c r="U672" s="14" t="inlineStr">
        <is>
          <t>미착수</t>
        </is>
      </c>
      <c r="V672" s="14" t="inlineStr">
        <is>
          <t>미착수</t>
        </is>
      </c>
      <c r="W672" s="18" t="n"/>
      <c r="X672" s="18" t="n"/>
      <c r="Y672" s="15" t="n"/>
      <c r="Z672" s="15" t="inlineStr"/>
      <c r="AA672" s="15" t="inlineStr">
        <is>
          <t>Even so faith, if it has no works, is dead in itself.</t>
        </is>
      </c>
    </row>
    <row r="673">
      <c r="A673" s="14" t="n">
        <v>672</v>
      </c>
      <c r="B673" s="14" t="inlineStr">
        <is>
          <t>W0672</t>
        </is>
      </c>
      <c r="C673" s="14" t="inlineStr">
        <is>
          <t>신약</t>
        </is>
      </c>
      <c r="D673" s="14" t="n">
        <v>308</v>
      </c>
      <c r="E673" s="14">
        <f>C673&amp;"말씀 #"&amp;TEXT(D673,"000")</f>
        <v/>
      </c>
      <c r="F673" s="14" t="inlineStr">
        <is>
          <t>야고보서</t>
        </is>
      </c>
      <c r="G673" s="14" t="inlineStr">
        <is>
          <t>3:17</t>
        </is>
      </c>
      <c r="H673" s="15" t="inlineStr">
        <is>
          <t>(약 3:17, 개역한글)</t>
        </is>
      </c>
      <c r="I673" s="14" t="inlineStr">
        <is>
          <t>지혜</t>
        </is>
      </c>
      <c r="J673" s="14" t="inlineStr">
        <is>
          <t>들판·나무</t>
        </is>
      </c>
      <c r="K673" s="16" t="inlineStr">
        <is>
          <t>오직 위로부터 난 지혜는 첫째 성결하고 다음에 화평하고 관용하고 양순하며 긍휼과 선한 열매가 가득하고 편벽과 거짓이 없나니</t>
        </is>
      </c>
      <c r="L673" s="14" t="inlineStr">
        <is>
          <t>자동 입력 · 대조 필요</t>
        </is>
      </c>
      <c r="M673" s="14">
        <f>LEN(K673)</f>
        <v/>
      </c>
      <c r="N673" s="14">
        <f>IF(M673=0,"-",ROUND(3+M673/'안내'!$C$12,0))</f>
        <v/>
      </c>
      <c r="O673" s="15">
        <f>IF(K673="","(본문 입력 후 자동) | 약 3:17",IF(LEN(K673)&gt;28,LEFT(K673,28)&amp;"…",K673)&amp;" | 약 3:17")</f>
        <v/>
      </c>
      <c r="P673" s="15">
        <f>"#"&amp;SUBSTITUTE('안내'!$C$5," ","")&amp;" #성경구절 #말씀 #야고보서 #지혜"</f>
        <v/>
      </c>
      <c r="Q673" s="15" t="inlineStr">
        <is>
          <t>성경 본문: 개역한글판</t>
        </is>
      </c>
      <c r="R673" s="17">
        <f>'안내'!$C$6+INT((D673-1)/'안내'!$C$7)</f>
        <v/>
      </c>
      <c r="S673" s="14">
        <f>IF(MOD(D673-1,'안내'!$C$7)=0,'안내'!$C$9,'안내'!$C$11)</f>
        <v/>
      </c>
      <c r="T673" s="14">
        <f>CHOOSE(WEEKDAY(R673,2),"월","화","수","목","금","토","일")</f>
        <v/>
      </c>
      <c r="U673" s="14" t="inlineStr">
        <is>
          <t>미착수</t>
        </is>
      </c>
      <c r="V673" s="14" t="inlineStr">
        <is>
          <t>미착수</t>
        </is>
      </c>
      <c r="W673" s="18" t="n"/>
      <c r="X673" s="18" t="n"/>
      <c r="Y673" s="15" t="n"/>
      <c r="Z673" s="15" t="inlineStr">
        <is>
          <t>줄바꿈 띄어쓰기 확인</t>
        </is>
      </c>
      <c r="AA673" s="15" t="inlineStr">
        <is>
          <t>But the wisdom that is from above is first pure, then peaceful, gentle, reasonable, full of mercy and good fruits, ✡ ✡ ✡ ✡ without partiality, and without hypocrisy.</t>
        </is>
      </c>
    </row>
    <row r="674">
      <c r="A674" s="14" t="n">
        <v>673</v>
      </c>
      <c r="B674" s="14" t="inlineStr">
        <is>
          <t>W0673</t>
        </is>
      </c>
      <c r="C674" s="14" t="inlineStr">
        <is>
          <t>신약</t>
        </is>
      </c>
      <c r="D674" s="14" t="n">
        <v>309</v>
      </c>
      <c r="E674" s="14">
        <f>C674&amp;"말씀 #"&amp;TEXT(D674,"000")</f>
        <v/>
      </c>
      <c r="F674" s="14" t="inlineStr">
        <is>
          <t>야고보서</t>
        </is>
      </c>
      <c r="G674" s="14" t="inlineStr">
        <is>
          <t>4:7</t>
        </is>
      </c>
      <c r="H674" s="15" t="inlineStr">
        <is>
          <t>(약 4:7, 개역한글)</t>
        </is>
      </c>
      <c r="I674" s="14" t="inlineStr">
        <is>
          <t>승리</t>
        </is>
      </c>
      <c r="J674" s="14" t="inlineStr">
        <is>
          <t>바위산·광야</t>
        </is>
      </c>
      <c r="K674" s="16" t="inlineStr">
        <is>
          <t>그런즉 너희는 하나님께 순복할지어다 마귀를 대적하라 그리하면 너희를 피하리라</t>
        </is>
      </c>
      <c r="L674" s="14" t="inlineStr">
        <is>
          <t>자동 입력</t>
        </is>
      </c>
      <c r="M674" s="14">
        <f>LEN(K674)</f>
        <v/>
      </c>
      <c r="N674" s="14">
        <f>IF(M674=0,"-",ROUND(3+M674/'안내'!$C$12,0))</f>
        <v/>
      </c>
      <c r="O674" s="15">
        <f>IF(K674="","(본문 입력 후 자동) | 약 4:7",IF(LEN(K674)&gt;28,LEFT(K674,28)&amp;"…",K674)&amp;" | 약 4:7")</f>
        <v/>
      </c>
      <c r="P674" s="15">
        <f>"#"&amp;SUBSTITUTE('안내'!$C$5," ","")&amp;" #성경구절 #말씀 #야고보서 #승리"</f>
        <v/>
      </c>
      <c r="Q674" s="15" t="inlineStr">
        <is>
          <t>성경 본문: 개역한글판</t>
        </is>
      </c>
      <c r="R674" s="17">
        <f>'안내'!$C$6+INT((D674-1)/'안내'!$C$7)</f>
        <v/>
      </c>
      <c r="S674" s="14">
        <f>IF(MOD(D674-1,'안내'!$C$7)=0,'안내'!$C$9,'안내'!$C$11)</f>
        <v/>
      </c>
      <c r="T674" s="14">
        <f>CHOOSE(WEEKDAY(R674,2),"월","화","수","목","금","토","일")</f>
        <v/>
      </c>
      <c r="U674" s="14" t="inlineStr">
        <is>
          <t>미착수</t>
        </is>
      </c>
      <c r="V674" s="14" t="inlineStr">
        <is>
          <t>미착수</t>
        </is>
      </c>
      <c r="W674" s="18" t="n"/>
      <c r="X674" s="18" t="n"/>
      <c r="Y674" s="15" t="n"/>
      <c r="Z674" s="15" t="inlineStr"/>
      <c r="AA674" s="15" t="inlineStr">
        <is>
          <t>Be subject therefore to God. Resist the devil, and he will flee from you.</t>
        </is>
      </c>
    </row>
    <row r="675">
      <c r="A675" s="14" t="n">
        <v>674</v>
      </c>
      <c r="B675" s="14" t="inlineStr">
        <is>
          <t>W0674</t>
        </is>
      </c>
      <c r="C675" s="14" t="inlineStr">
        <is>
          <t>신약</t>
        </is>
      </c>
      <c r="D675" s="14" t="n">
        <v>310</v>
      </c>
      <c r="E675" s="14">
        <f>C675&amp;"말씀 #"&amp;TEXT(D675,"000")</f>
        <v/>
      </c>
      <c r="F675" s="14" t="inlineStr">
        <is>
          <t>야고보서</t>
        </is>
      </c>
      <c r="G675" s="14" t="inlineStr">
        <is>
          <t>4:8</t>
        </is>
      </c>
      <c r="H675" s="15" t="inlineStr">
        <is>
          <t>(약 4:8, 개역한글)</t>
        </is>
      </c>
      <c r="I675" s="14" t="inlineStr">
        <is>
          <t>예배</t>
        </is>
      </c>
      <c r="J675" s="14" t="inlineStr">
        <is>
          <t>하늘·별</t>
        </is>
      </c>
      <c r="K675" s="16" t="inlineStr">
        <is>
          <t>하나님을 가까이 하라 그리하면 너희를 가까이 하시리라 죄인들아 손을 깨끗이 하라 두 마음을 품은 자들아 마음을 성결케 하라</t>
        </is>
      </c>
      <c r="L675" s="14" t="inlineStr">
        <is>
          <t>자동 입력 · 대조 필요</t>
        </is>
      </c>
      <c r="M675" s="14">
        <f>LEN(K675)</f>
        <v/>
      </c>
      <c r="N675" s="14">
        <f>IF(M675=0,"-",ROUND(3+M675/'안내'!$C$12,0))</f>
        <v/>
      </c>
      <c r="O675" s="15">
        <f>IF(K675="","(본문 입력 후 자동) | 약 4:8",IF(LEN(K675)&gt;28,LEFT(K675,28)&amp;"…",K675)&amp;" | 약 4:8")</f>
        <v/>
      </c>
      <c r="P675" s="15">
        <f>"#"&amp;SUBSTITUTE('안내'!$C$5," ","")&amp;" #성경구절 #말씀 #야고보서 #예배"</f>
        <v/>
      </c>
      <c r="Q675" s="15" t="inlineStr">
        <is>
          <t>성경 본문: 개역한글판</t>
        </is>
      </c>
      <c r="R675" s="17">
        <f>'안내'!$C$6+INT((D675-1)/'안내'!$C$7)</f>
        <v/>
      </c>
      <c r="S675" s="14">
        <f>IF(MOD(D675-1,'안내'!$C$7)=0,'안내'!$C$9,'안내'!$C$11)</f>
        <v/>
      </c>
      <c r="T675" s="14">
        <f>CHOOSE(WEEKDAY(R675,2),"월","화","수","목","금","토","일")</f>
        <v/>
      </c>
      <c r="U675" s="14" t="inlineStr">
        <is>
          <t>미착수</t>
        </is>
      </c>
      <c r="V675" s="14" t="inlineStr">
        <is>
          <t>미착수</t>
        </is>
      </c>
      <c r="W675" s="18" t="n"/>
      <c r="X675" s="18" t="n"/>
      <c r="Y675" s="15" t="n"/>
      <c r="Z675" s="15" t="inlineStr">
        <is>
          <t>줄바꿈 띄어쓰기 확인</t>
        </is>
      </c>
      <c r="AA675" s="15" t="inlineStr">
        <is>
          <t>Draw near to God, and he will draw near to you. Cleanse your hands, you sinners. Purify your hearts, you double- minded.</t>
        </is>
      </c>
    </row>
    <row r="676">
      <c r="A676" s="14" t="n">
        <v>675</v>
      </c>
      <c r="B676" s="14" t="inlineStr">
        <is>
          <t>W0675</t>
        </is>
      </c>
      <c r="C676" s="14" t="inlineStr">
        <is>
          <t>신약</t>
        </is>
      </c>
      <c r="D676" s="14" t="n">
        <v>311</v>
      </c>
      <c r="E676" s="14">
        <f>C676&amp;"말씀 #"&amp;TEXT(D676,"000")</f>
        <v/>
      </c>
      <c r="F676" s="14" t="inlineStr">
        <is>
          <t>야고보서</t>
        </is>
      </c>
      <c r="G676" s="14" t="inlineStr">
        <is>
          <t>4:14</t>
        </is>
      </c>
      <c r="H676" s="15" t="inlineStr">
        <is>
          <t>(약 4:14, 개역한글)</t>
        </is>
      </c>
      <c r="I676" s="14" t="inlineStr">
        <is>
          <t>지혜</t>
        </is>
      </c>
      <c r="J676" s="14" t="inlineStr">
        <is>
          <t>들판·나무</t>
        </is>
      </c>
      <c r="K676" s="16" t="inlineStr">
        <is>
          <t>내일 일을 너희가 알지 못하는도다 너희 생명이 무엇이뇨 너희는 잠깐 보이다가 없어지는 안개니라</t>
        </is>
      </c>
      <c r="L676" s="14" t="inlineStr">
        <is>
          <t>자동 입력</t>
        </is>
      </c>
      <c r="M676" s="14">
        <f>LEN(K676)</f>
        <v/>
      </c>
      <c r="N676" s="14">
        <f>IF(M676=0,"-",ROUND(3+M676/'안내'!$C$12,0))</f>
        <v/>
      </c>
      <c r="O676" s="15">
        <f>IF(K676="","(본문 입력 후 자동) | 약 4:14",IF(LEN(K676)&gt;28,LEFT(K676,28)&amp;"…",K676)&amp;" | 약 4:14")</f>
        <v/>
      </c>
      <c r="P676" s="15">
        <f>"#"&amp;SUBSTITUTE('안내'!$C$5," ","")&amp;" #성경구절 #말씀 #야고보서 #지혜"</f>
        <v/>
      </c>
      <c r="Q676" s="15" t="inlineStr">
        <is>
          <t>성경 본문: 개역한글판</t>
        </is>
      </c>
      <c r="R676" s="17">
        <f>'안내'!$C$6+INT((D676-1)/'안내'!$C$7)</f>
        <v/>
      </c>
      <c r="S676" s="14">
        <f>IF(MOD(D676-1,'안내'!$C$7)=0,'안내'!$C$9,'안내'!$C$11)</f>
        <v/>
      </c>
      <c r="T676" s="14">
        <f>CHOOSE(WEEKDAY(R676,2),"월","화","수","목","금","토","일")</f>
        <v/>
      </c>
      <c r="U676" s="14" t="inlineStr">
        <is>
          <t>미착수</t>
        </is>
      </c>
      <c r="V676" s="14" t="inlineStr">
        <is>
          <t>미착수</t>
        </is>
      </c>
      <c r="W676" s="18" t="n"/>
      <c r="X676" s="18" t="n"/>
      <c r="Y676" s="15" t="n"/>
      <c r="Z676" s="15" t="inlineStr"/>
      <c r="AA676" s="15" t="inlineStr">
        <is>
          <t>Yet you don’t know what your life will be like tomorrow. For what is your life? For you are a vapor that appears for a little time and then vanishes away.</t>
        </is>
      </c>
    </row>
    <row r="677">
      <c r="A677" s="14" t="n">
        <v>676</v>
      </c>
      <c r="B677" s="14" t="inlineStr">
        <is>
          <t>W0676</t>
        </is>
      </c>
      <c r="C677" s="14" t="inlineStr">
        <is>
          <t>신약</t>
        </is>
      </c>
      <c r="D677" s="14" t="n">
        <v>312</v>
      </c>
      <c r="E677" s="14">
        <f>C677&amp;"말씀 #"&amp;TEXT(D677,"000")</f>
        <v/>
      </c>
      <c r="F677" s="14" t="inlineStr">
        <is>
          <t>야고보서</t>
        </is>
      </c>
      <c r="G677" s="14" t="inlineStr">
        <is>
          <t>5:16</t>
        </is>
      </c>
      <c r="H677" s="15" t="inlineStr">
        <is>
          <t>(약 5:16, 개역한글)</t>
        </is>
      </c>
      <c r="I677" s="14" t="inlineStr">
        <is>
          <t>기도</t>
        </is>
      </c>
      <c r="J677" s="14" t="inlineStr">
        <is>
          <t>제단·십자가</t>
        </is>
      </c>
      <c r="K677" s="16" t="inlineStr">
        <is>
          <t>이러므로 너희 죄를 서로 고하며 병 낫기를 위하여 서로 기도하라 의인의 간구는 역사하는 힘이 많으니라</t>
        </is>
      </c>
      <c r="L677" s="14" t="inlineStr">
        <is>
          <t>자동 입력</t>
        </is>
      </c>
      <c r="M677" s="14">
        <f>LEN(K677)</f>
        <v/>
      </c>
      <c r="N677" s="14">
        <f>IF(M677=0,"-",ROUND(3+M677/'안내'!$C$12,0))</f>
        <v/>
      </c>
      <c r="O677" s="15">
        <f>IF(K677="","(본문 입력 후 자동) | 약 5:16",IF(LEN(K677)&gt;28,LEFT(K677,28)&amp;"…",K677)&amp;" | 약 5:16")</f>
        <v/>
      </c>
      <c r="P677" s="15">
        <f>"#"&amp;SUBSTITUTE('안내'!$C$5," ","")&amp;" #성경구절 #말씀 #야고보서 #기도"</f>
        <v/>
      </c>
      <c r="Q677" s="15" t="inlineStr">
        <is>
          <t>성경 본문: 개역한글판</t>
        </is>
      </c>
      <c r="R677" s="17">
        <f>'안내'!$C$6+INT((D677-1)/'안내'!$C$7)</f>
        <v/>
      </c>
      <c r="S677" s="14">
        <f>IF(MOD(D677-1,'안내'!$C$7)=0,'안내'!$C$9,'안내'!$C$11)</f>
        <v/>
      </c>
      <c r="T677" s="14">
        <f>CHOOSE(WEEKDAY(R677,2),"월","화","수","목","금","토","일")</f>
        <v/>
      </c>
      <c r="U677" s="14" t="inlineStr">
        <is>
          <t>미착수</t>
        </is>
      </c>
      <c r="V677" s="14" t="inlineStr">
        <is>
          <t>미착수</t>
        </is>
      </c>
      <c r="W677" s="18" t="n"/>
      <c r="X677" s="18" t="n"/>
      <c r="Y677" s="15" t="n"/>
      <c r="Z677" s="15" t="inlineStr"/>
      <c r="AA677" s="15" t="inlineStr">
        <is>
          <t>Confess your sins to one another and pray for one another, that you may be healed. The insistent prayer of a righteous person is powerfully effective.</t>
        </is>
      </c>
    </row>
    <row r="678">
      <c r="A678" s="14" t="n">
        <v>677</v>
      </c>
      <c r="B678" s="14" t="inlineStr">
        <is>
          <t>W0677</t>
        </is>
      </c>
      <c r="C678" s="14" t="inlineStr">
        <is>
          <t>신약</t>
        </is>
      </c>
      <c r="D678" s="14" t="n">
        <v>313</v>
      </c>
      <c r="E678" s="14">
        <f>C678&amp;"말씀 #"&amp;TEXT(D678,"000")</f>
        <v/>
      </c>
      <c r="F678" s="14" t="inlineStr">
        <is>
          <t>베드로전서</t>
        </is>
      </c>
      <c r="G678" s="14" t="inlineStr">
        <is>
          <t>1:3</t>
        </is>
      </c>
      <c r="H678" s="15" t="inlineStr">
        <is>
          <t>(벧전 1:3, 개역한글)</t>
        </is>
      </c>
      <c r="I678" s="14" t="inlineStr">
        <is>
          <t>소망</t>
        </is>
      </c>
      <c r="J678" s="14" t="inlineStr">
        <is>
          <t>새벽빛</t>
        </is>
      </c>
      <c r="K678" s="16" t="inlineStr">
        <is>
          <t>찬송하리로다 우리 주 예수 그리스도의 아버지 하나님이 그 많으신 긍휼대로 예수 그리스도의 죽은 자 가운데서 부활하심으로 말미암아 우리를 거듭나게 하사 산 소망이 있게 하시며</t>
        </is>
      </c>
      <c r="L678" s="14" t="inlineStr">
        <is>
          <t>자동 입력</t>
        </is>
      </c>
      <c r="M678" s="14">
        <f>LEN(K678)</f>
        <v/>
      </c>
      <c r="N678" s="14">
        <f>IF(M678=0,"-",ROUND(3+M678/'안내'!$C$12,0))</f>
        <v/>
      </c>
      <c r="O678" s="15">
        <f>IF(K678="","(본문 입력 후 자동) | 벧전 1:3",IF(LEN(K678)&gt;28,LEFT(K678,28)&amp;"…",K678)&amp;" | 벧전 1:3")</f>
        <v/>
      </c>
      <c r="P678" s="15">
        <f>"#"&amp;SUBSTITUTE('안내'!$C$5," ","")&amp;" #성경구절 #말씀 #베드로전서 #소망"</f>
        <v/>
      </c>
      <c r="Q678" s="15" t="inlineStr">
        <is>
          <t>성경 본문: 개역한글판</t>
        </is>
      </c>
      <c r="R678" s="17">
        <f>'안내'!$C$6+INT((D678-1)/'안내'!$C$7)</f>
        <v/>
      </c>
      <c r="S678" s="14">
        <f>IF(MOD(D678-1,'안내'!$C$7)=0,'안내'!$C$9,'안내'!$C$11)</f>
        <v/>
      </c>
      <c r="T678" s="14">
        <f>CHOOSE(WEEKDAY(R678,2),"월","화","수","목","금","토","일")</f>
        <v/>
      </c>
      <c r="U678" s="14" t="inlineStr">
        <is>
          <t>미착수</t>
        </is>
      </c>
      <c r="V678" s="14" t="inlineStr">
        <is>
          <t>미착수</t>
        </is>
      </c>
      <c r="W678" s="18" t="n"/>
      <c r="X678" s="18" t="n"/>
      <c r="Y678" s="15" t="n"/>
      <c r="Z678" s="15" t="inlineStr"/>
      <c r="AA678" s="15" t="inlineStr">
        <is>
          <t>Blessed be the God and Father of our Lord Jesus Christ, who according to his great mercy caused us to be born again to a living hope through the resurrection of Jesus Christ from the dead,</t>
        </is>
      </c>
    </row>
    <row r="679">
      <c r="A679" s="14" t="n">
        <v>678</v>
      </c>
      <c r="B679" s="14" t="inlineStr">
        <is>
          <t>W0678</t>
        </is>
      </c>
      <c r="C679" s="14" t="inlineStr">
        <is>
          <t>신약</t>
        </is>
      </c>
      <c r="D679" s="14" t="n">
        <v>314</v>
      </c>
      <c r="E679" s="14">
        <f>C679&amp;"말씀 #"&amp;TEXT(D679,"000")</f>
        <v/>
      </c>
      <c r="F679" s="14" t="inlineStr">
        <is>
          <t>베드로전서</t>
        </is>
      </c>
      <c r="G679" s="14" t="inlineStr">
        <is>
          <t>1:16</t>
        </is>
      </c>
      <c r="H679" s="15" t="inlineStr">
        <is>
          <t>(벧전 1:16, 개역한글)</t>
        </is>
      </c>
      <c r="I679" s="14" t="inlineStr">
        <is>
          <t>거룩</t>
        </is>
      </c>
      <c r="J679" s="14" t="inlineStr">
        <is>
          <t>하늘·별</t>
        </is>
      </c>
      <c r="K679" s="16" t="inlineStr">
        <is>
          <t>기록하였으되 내가 거룩하니 너희도 거룩할지어다 하셨느니라</t>
        </is>
      </c>
      <c r="L679" s="14" t="inlineStr">
        <is>
          <t>자동 입력</t>
        </is>
      </c>
      <c r="M679" s="14">
        <f>LEN(K679)</f>
        <v/>
      </c>
      <c r="N679" s="14">
        <f>IF(M679=0,"-",ROUND(3+M679/'안내'!$C$12,0))</f>
        <v/>
      </c>
      <c r="O679" s="15">
        <f>IF(K679="","(본문 입력 후 자동) | 벧전 1:16",IF(LEN(K679)&gt;28,LEFT(K679,28)&amp;"…",K679)&amp;" | 벧전 1:16")</f>
        <v/>
      </c>
      <c r="P679" s="15">
        <f>"#"&amp;SUBSTITUTE('안내'!$C$5," ","")&amp;" #성경구절 #말씀 #베드로전서 #거룩"</f>
        <v/>
      </c>
      <c r="Q679" s="15" t="inlineStr">
        <is>
          <t>성경 본문: 개역한글판</t>
        </is>
      </c>
      <c r="R679" s="17">
        <f>'안내'!$C$6+INT((D679-1)/'안내'!$C$7)</f>
        <v/>
      </c>
      <c r="S679" s="14">
        <f>IF(MOD(D679-1,'안내'!$C$7)=0,'안내'!$C$9,'안내'!$C$11)</f>
        <v/>
      </c>
      <c r="T679" s="14">
        <f>CHOOSE(WEEKDAY(R679,2),"월","화","수","목","금","토","일")</f>
        <v/>
      </c>
      <c r="U679" s="14" t="inlineStr">
        <is>
          <t>미착수</t>
        </is>
      </c>
      <c r="V679" s="14" t="inlineStr">
        <is>
          <t>미착수</t>
        </is>
      </c>
      <c r="W679" s="18" t="n"/>
      <c r="X679" s="18" t="n"/>
      <c r="Y679" s="15" t="n"/>
      <c r="Z679" s="15" t="inlineStr"/>
      <c r="AA679" s="15" t="inlineStr">
        <is>
          <t>because it is written, “You shall be holy, for I am holy.” ✡</t>
        </is>
      </c>
    </row>
    <row r="680">
      <c r="A680" s="14" t="n">
        <v>679</v>
      </c>
      <c r="B680" s="14" t="inlineStr">
        <is>
          <t>W0679</t>
        </is>
      </c>
      <c r="C680" s="14" t="inlineStr">
        <is>
          <t>신약</t>
        </is>
      </c>
      <c r="D680" s="14" t="n">
        <v>315</v>
      </c>
      <c r="E680" s="14">
        <f>C680&amp;"말씀 #"&amp;TEXT(D680,"000")</f>
        <v/>
      </c>
      <c r="F680" s="14" t="inlineStr">
        <is>
          <t>베드로전서</t>
        </is>
      </c>
      <c r="G680" s="14" t="inlineStr">
        <is>
          <t>1:24</t>
        </is>
      </c>
      <c r="H680" s="15" t="inlineStr">
        <is>
          <t>(벧전 1:24, 개역한글)</t>
        </is>
      </c>
      <c r="I680" s="14" t="inlineStr">
        <is>
          <t>말씀</t>
        </is>
      </c>
      <c r="J680" s="14" t="inlineStr">
        <is>
          <t>들판·나무</t>
        </is>
      </c>
      <c r="K680" s="16" t="inlineStr">
        <is>
          <t>그러므로 모든 육체는 풀과 같고 그 모든 영광이 풀의 꽃과 같으니 풀은 마르고 꽃은 떨어지되</t>
        </is>
      </c>
      <c r="L680" s="14" t="inlineStr">
        <is>
          <t>자동 입력</t>
        </is>
      </c>
      <c r="M680" s="14">
        <f>LEN(K680)</f>
        <v/>
      </c>
      <c r="N680" s="14">
        <f>IF(M680=0,"-",ROUND(3+M680/'안내'!$C$12,0))</f>
        <v/>
      </c>
      <c r="O680" s="15">
        <f>IF(K680="","(본문 입력 후 자동) | 벧전 1:24",IF(LEN(K680)&gt;28,LEFT(K680,28)&amp;"…",K680)&amp;" | 벧전 1:24")</f>
        <v/>
      </c>
      <c r="P680" s="15">
        <f>"#"&amp;SUBSTITUTE('안내'!$C$5," ","")&amp;" #성경구절 #말씀 #베드로전서 #말씀"</f>
        <v/>
      </c>
      <c r="Q680" s="15" t="inlineStr">
        <is>
          <t>성경 본문: 개역한글판</t>
        </is>
      </c>
      <c r="R680" s="17">
        <f>'안내'!$C$6+INT((D680-1)/'안내'!$C$7)</f>
        <v/>
      </c>
      <c r="S680" s="14">
        <f>IF(MOD(D680-1,'안내'!$C$7)=0,'안내'!$C$9,'안내'!$C$11)</f>
        <v/>
      </c>
      <c r="T680" s="14">
        <f>CHOOSE(WEEKDAY(R680,2),"월","화","수","목","금","토","일")</f>
        <v/>
      </c>
      <c r="U680" s="14" t="inlineStr">
        <is>
          <t>미착수</t>
        </is>
      </c>
      <c r="V680" s="14" t="inlineStr">
        <is>
          <t>미착수</t>
        </is>
      </c>
      <c r="W680" s="18" t="n"/>
      <c r="X680" s="18" t="n"/>
      <c r="Y680" s="15" t="n"/>
      <c r="Z680" s="15" t="inlineStr"/>
      <c r="AA680" s="15" t="inlineStr">
        <is>
          <t>For, “All flesh is like grass, and all of man’s glory like the flower in the grass. The grass withers, and its flower falls;</t>
        </is>
      </c>
    </row>
    <row r="681">
      <c r="A681" s="14" t="n">
        <v>680</v>
      </c>
      <c r="B681" s="14" t="inlineStr">
        <is>
          <t>W0680</t>
        </is>
      </c>
      <c r="C681" s="14" t="inlineStr">
        <is>
          <t>신약</t>
        </is>
      </c>
      <c r="D681" s="14" t="n">
        <v>316</v>
      </c>
      <c r="E681" s="14">
        <f>C681&amp;"말씀 #"&amp;TEXT(D681,"000")</f>
        <v/>
      </c>
      <c r="F681" s="14" t="inlineStr">
        <is>
          <t>베드로전서</t>
        </is>
      </c>
      <c r="G681" s="14" t="inlineStr">
        <is>
          <t>2:9</t>
        </is>
      </c>
      <c r="H681" s="15" t="inlineStr">
        <is>
          <t>(벧전 2:9, 개역한글)</t>
        </is>
      </c>
      <c r="I681" s="14" t="inlineStr">
        <is>
          <t>부르심</t>
        </is>
      </c>
      <c r="J681" s="14" t="inlineStr">
        <is>
          <t>길·등불</t>
        </is>
      </c>
      <c r="K681" s="16" t="inlineStr">
        <is>
          <t>오직 너희는 택하신 족속이요 왕 같은 제사장들이요 거룩한 나라요 그의 소유된 백성이니 이는 너희를 어두운 데서 불러 내어 그의 기이한 빛에 들어가게 하신 자의 아름다운 덕을 선전하게 하려 하심이라</t>
        </is>
      </c>
      <c r="L681" s="14" t="inlineStr">
        <is>
          <t>자동 입력</t>
        </is>
      </c>
      <c r="M681" s="14">
        <f>LEN(K681)</f>
        <v/>
      </c>
      <c r="N681" s="14">
        <f>IF(M681=0,"-",ROUND(3+M681/'안내'!$C$12,0))</f>
        <v/>
      </c>
      <c r="O681" s="15">
        <f>IF(K681="","(본문 입력 후 자동) | 벧전 2:9",IF(LEN(K681)&gt;28,LEFT(K681,28)&amp;"…",K681)&amp;" | 벧전 2:9")</f>
        <v/>
      </c>
      <c r="P681" s="15">
        <f>"#"&amp;SUBSTITUTE('안내'!$C$5," ","")&amp;" #성경구절 #말씀 #베드로전서 #부르심"</f>
        <v/>
      </c>
      <c r="Q681" s="15" t="inlineStr">
        <is>
          <t>성경 본문: 개역한글판</t>
        </is>
      </c>
      <c r="R681" s="17">
        <f>'안내'!$C$6+INT((D681-1)/'안내'!$C$7)</f>
        <v/>
      </c>
      <c r="S681" s="14">
        <f>IF(MOD(D681-1,'안내'!$C$7)=0,'안내'!$C$9,'안내'!$C$11)</f>
        <v/>
      </c>
      <c r="T681" s="14">
        <f>CHOOSE(WEEKDAY(R681,2),"월","화","수","목","금","토","일")</f>
        <v/>
      </c>
      <c r="U681" s="14" t="inlineStr">
        <is>
          <t>미착수</t>
        </is>
      </c>
      <c r="V681" s="14" t="inlineStr">
        <is>
          <t>미착수</t>
        </is>
      </c>
      <c r="W681" s="18" t="n"/>
      <c r="X681" s="18" t="n"/>
      <c r="Y681" s="15" t="n"/>
      <c r="Z681" s="15" t="inlineStr"/>
      <c r="AA681" s="15" t="inlineStr">
        <is>
          <t>But you are a chosen race, a royal priesthood, a holy nation, a people for God’s own possession, that you may proclaim the excellence of him who called you out of darkness into his marvelous light.</t>
        </is>
      </c>
    </row>
    <row r="682">
      <c r="A682" s="14" t="n">
        <v>681</v>
      </c>
      <c r="B682" s="14" t="inlineStr">
        <is>
          <t>W0681</t>
        </is>
      </c>
      <c r="C682" s="14" t="inlineStr">
        <is>
          <t>신약</t>
        </is>
      </c>
      <c r="D682" s="14" t="n">
        <v>317</v>
      </c>
      <c r="E682" s="14">
        <f>C682&amp;"말씀 #"&amp;TEXT(D682,"000")</f>
        <v/>
      </c>
      <c r="F682" s="14" t="inlineStr">
        <is>
          <t>베드로전서</t>
        </is>
      </c>
      <c r="G682" s="14" t="inlineStr">
        <is>
          <t>2:24</t>
        </is>
      </c>
      <c r="H682" s="15" t="inlineStr">
        <is>
          <t>(벧전 2:24, 개역한글)</t>
        </is>
      </c>
      <c r="I682" s="14" t="inlineStr">
        <is>
          <t>구원</t>
        </is>
      </c>
      <c r="J682" s="14" t="inlineStr">
        <is>
          <t>제단·십자가</t>
        </is>
      </c>
      <c r="K682" s="16" t="inlineStr">
        <is>
          <t>친히 나무에 달려 그 몸으로 우리 죄를 담당하셨으니 이는 우리로 죄에 대하여 죽고 의에 대하여 살게 하려 하심이라 저가 채찍에 맞음으로 너희는 나음을 얻었나니</t>
        </is>
      </c>
      <c r="L682" s="14" t="inlineStr">
        <is>
          <t>자동 입력</t>
        </is>
      </c>
      <c r="M682" s="14">
        <f>LEN(K682)</f>
        <v/>
      </c>
      <c r="N682" s="14">
        <f>IF(M682=0,"-",ROUND(3+M682/'안내'!$C$12,0))</f>
        <v/>
      </c>
      <c r="O682" s="15">
        <f>IF(K682="","(본문 입력 후 자동) | 벧전 2:24",IF(LEN(K682)&gt;28,LEFT(K682,28)&amp;"…",K682)&amp;" | 벧전 2:24")</f>
        <v/>
      </c>
      <c r="P682" s="15">
        <f>"#"&amp;SUBSTITUTE('안내'!$C$5," ","")&amp;" #성경구절 #말씀 #베드로전서 #구원"</f>
        <v/>
      </c>
      <c r="Q682" s="15" t="inlineStr">
        <is>
          <t>성경 본문: 개역한글판</t>
        </is>
      </c>
      <c r="R682" s="17">
        <f>'안내'!$C$6+INT((D682-1)/'안내'!$C$7)</f>
        <v/>
      </c>
      <c r="S682" s="14">
        <f>IF(MOD(D682-1,'안내'!$C$7)=0,'안내'!$C$9,'안내'!$C$11)</f>
        <v/>
      </c>
      <c r="T682" s="14">
        <f>CHOOSE(WEEKDAY(R682,2),"월","화","수","목","금","토","일")</f>
        <v/>
      </c>
      <c r="U682" s="14" t="inlineStr">
        <is>
          <t>미착수</t>
        </is>
      </c>
      <c r="V682" s="14" t="inlineStr">
        <is>
          <t>미착수</t>
        </is>
      </c>
      <c r="W682" s="18" t="n"/>
      <c r="X682" s="18" t="n"/>
      <c r="Y682" s="15" t="n"/>
      <c r="Z682" s="15" t="inlineStr"/>
      <c r="AA682" s="15" t="inlineStr">
        <is>
          <t>He himself bore our sins in his body on the tree, that we, having died to sins, might live to righteousness. You were healed by his wounds.</t>
        </is>
      </c>
    </row>
    <row r="683">
      <c r="A683" s="14" t="n">
        <v>682</v>
      </c>
      <c r="B683" s="14" t="inlineStr">
        <is>
          <t>W0682</t>
        </is>
      </c>
      <c r="C683" s="14" t="inlineStr">
        <is>
          <t>신약</t>
        </is>
      </c>
      <c r="D683" s="14" t="n">
        <v>318</v>
      </c>
      <c r="E683" s="14">
        <f>C683&amp;"말씀 #"&amp;TEXT(D683,"000")</f>
        <v/>
      </c>
      <c r="F683" s="14" t="inlineStr">
        <is>
          <t>베드로전서</t>
        </is>
      </c>
      <c r="G683" s="14" t="inlineStr">
        <is>
          <t>3:15</t>
        </is>
      </c>
      <c r="H683" s="15" t="inlineStr">
        <is>
          <t>(벧전 3:15, 개역한글)</t>
        </is>
      </c>
      <c r="I683" s="14" t="inlineStr">
        <is>
          <t>복음</t>
        </is>
      </c>
      <c r="J683" s="14" t="inlineStr">
        <is>
          <t>제단·십자가</t>
        </is>
      </c>
      <c r="K683" s="16" t="inlineStr">
        <is>
          <t>너희 마음에 그리스도를 주로 삼아 거룩하게 하고 너희 속에 있는 소망에 관한 이유를 묻는 자에게는 대답할 것을 항상 예비하되 온유와 두려움으로 하고</t>
        </is>
      </c>
      <c r="L683" s="14" t="inlineStr">
        <is>
          <t>자동 입력</t>
        </is>
      </c>
      <c r="M683" s="14">
        <f>LEN(K683)</f>
        <v/>
      </c>
      <c r="N683" s="14">
        <f>IF(M683=0,"-",ROUND(3+M683/'안내'!$C$12,0))</f>
        <v/>
      </c>
      <c r="O683" s="15">
        <f>IF(K683="","(본문 입력 후 자동) | 벧전 3:15",IF(LEN(K683)&gt;28,LEFT(K683,28)&amp;"…",K683)&amp;" | 벧전 3:15")</f>
        <v/>
      </c>
      <c r="P683" s="15">
        <f>"#"&amp;SUBSTITUTE('안내'!$C$5," ","")&amp;" #성경구절 #말씀 #베드로전서 #복음"</f>
        <v/>
      </c>
      <c r="Q683" s="15" t="inlineStr">
        <is>
          <t>성경 본문: 개역한글판</t>
        </is>
      </c>
      <c r="R683" s="17">
        <f>'안내'!$C$6+INT((D683-1)/'안내'!$C$7)</f>
        <v/>
      </c>
      <c r="S683" s="14">
        <f>IF(MOD(D683-1,'안내'!$C$7)=0,'안내'!$C$9,'안내'!$C$11)</f>
        <v/>
      </c>
      <c r="T683" s="14">
        <f>CHOOSE(WEEKDAY(R683,2),"월","화","수","목","금","토","일")</f>
        <v/>
      </c>
      <c r="U683" s="14" t="inlineStr">
        <is>
          <t>미착수</t>
        </is>
      </c>
      <c r="V683" s="14" t="inlineStr">
        <is>
          <t>미착수</t>
        </is>
      </c>
      <c r="W683" s="18" t="n"/>
      <c r="X683" s="18" t="n"/>
      <c r="Y683" s="15" t="n"/>
      <c r="Z683" s="15" t="inlineStr"/>
      <c r="AA683" s="15" t="inlineStr">
        <is>
          <t>But sanctify the Lord God in your hearts. Always be ready to give an answer to everyone who asks you a reason concerning the hope that is in you, with humility and fear,</t>
        </is>
      </c>
    </row>
    <row r="684">
      <c r="A684" s="14" t="n">
        <v>683</v>
      </c>
      <c r="B684" s="14" t="inlineStr">
        <is>
          <t>W0683</t>
        </is>
      </c>
      <c r="C684" s="14" t="inlineStr">
        <is>
          <t>신약</t>
        </is>
      </c>
      <c r="D684" s="14" t="n">
        <v>319</v>
      </c>
      <c r="E684" s="14">
        <f>C684&amp;"말씀 #"&amp;TEXT(D684,"000")</f>
        <v/>
      </c>
      <c r="F684" s="14" t="inlineStr">
        <is>
          <t>베드로전서</t>
        </is>
      </c>
      <c r="G684" s="14" t="inlineStr">
        <is>
          <t>4:8</t>
        </is>
      </c>
      <c r="H684" s="15" t="inlineStr">
        <is>
          <t>(벧전 4:8, 개역한글)</t>
        </is>
      </c>
      <c r="I684" s="14" t="inlineStr">
        <is>
          <t>사랑</t>
        </is>
      </c>
      <c r="J684" s="14" t="inlineStr">
        <is>
          <t>창가·식탁</t>
        </is>
      </c>
      <c r="K684" s="16" t="inlineStr">
        <is>
          <t>무엇보다도 열심으로 서로 사랑할지니 사랑은 허다한 죄를 덮느니라</t>
        </is>
      </c>
      <c r="L684" s="14" t="inlineStr">
        <is>
          <t>자동 입력</t>
        </is>
      </c>
      <c r="M684" s="14">
        <f>LEN(K684)</f>
        <v/>
      </c>
      <c r="N684" s="14">
        <f>IF(M684=0,"-",ROUND(3+M684/'안내'!$C$12,0))</f>
        <v/>
      </c>
      <c r="O684" s="15">
        <f>IF(K684="","(본문 입력 후 자동) | 벧전 4:8",IF(LEN(K684)&gt;28,LEFT(K684,28)&amp;"…",K684)&amp;" | 벧전 4:8")</f>
        <v/>
      </c>
      <c r="P684" s="15">
        <f>"#"&amp;SUBSTITUTE('안내'!$C$5," ","")&amp;" #성경구절 #말씀 #베드로전서 #사랑"</f>
        <v/>
      </c>
      <c r="Q684" s="15" t="inlineStr">
        <is>
          <t>성경 본문: 개역한글판</t>
        </is>
      </c>
      <c r="R684" s="17">
        <f>'안내'!$C$6+INT((D684-1)/'안내'!$C$7)</f>
        <v/>
      </c>
      <c r="S684" s="14">
        <f>IF(MOD(D684-1,'안내'!$C$7)=0,'안내'!$C$9,'안내'!$C$11)</f>
        <v/>
      </c>
      <c r="T684" s="14">
        <f>CHOOSE(WEEKDAY(R684,2),"월","화","수","목","금","토","일")</f>
        <v/>
      </c>
      <c r="U684" s="14" t="inlineStr">
        <is>
          <t>미착수</t>
        </is>
      </c>
      <c r="V684" s="14" t="inlineStr">
        <is>
          <t>미착수</t>
        </is>
      </c>
      <c r="W684" s="18" t="n"/>
      <c r="X684" s="18" t="n"/>
      <c r="Y684" s="15" t="n"/>
      <c r="Z684" s="15" t="inlineStr"/>
      <c r="AA684" s="15" t="inlineStr">
        <is>
          <t>And above all things be earnest in your love among yourselves, for love covers a multitude of sins.</t>
        </is>
      </c>
    </row>
    <row r="685">
      <c r="A685" s="14" t="n">
        <v>684</v>
      </c>
      <c r="B685" s="14" t="inlineStr">
        <is>
          <t>W0684</t>
        </is>
      </c>
      <c r="C685" s="14" t="inlineStr">
        <is>
          <t>신약</t>
        </is>
      </c>
      <c r="D685" s="14" t="n">
        <v>320</v>
      </c>
      <c r="E685" s="14">
        <f>C685&amp;"말씀 #"&amp;TEXT(D685,"000")</f>
        <v/>
      </c>
      <c r="F685" s="14" t="inlineStr">
        <is>
          <t>베드로전서</t>
        </is>
      </c>
      <c r="G685" s="14" t="inlineStr">
        <is>
          <t>4:10</t>
        </is>
      </c>
      <c r="H685" s="15" t="inlineStr">
        <is>
          <t>(벧전 4:10, 개역한글)</t>
        </is>
      </c>
      <c r="I685" s="14" t="inlineStr">
        <is>
          <t>섬김</t>
        </is>
      </c>
      <c r="J685" s="14" t="inlineStr">
        <is>
          <t>들판·나무</t>
        </is>
      </c>
      <c r="K685" s="16" t="inlineStr">
        <is>
          <t>각각 은사를 받은 대로 하나님의 각양 은혜를 맡은 선한 청지기같이 서로 봉사하라</t>
        </is>
      </c>
      <c r="L685" s="14" t="inlineStr">
        <is>
          <t>자동 입력</t>
        </is>
      </c>
      <c r="M685" s="14">
        <f>LEN(K685)</f>
        <v/>
      </c>
      <c r="N685" s="14">
        <f>IF(M685=0,"-",ROUND(3+M685/'안내'!$C$12,0))</f>
        <v/>
      </c>
      <c r="O685" s="15">
        <f>IF(K685="","(본문 입력 후 자동) | 벧전 4:10",IF(LEN(K685)&gt;28,LEFT(K685,28)&amp;"…",K685)&amp;" | 벧전 4:10")</f>
        <v/>
      </c>
      <c r="P685" s="15">
        <f>"#"&amp;SUBSTITUTE('안내'!$C$5," ","")&amp;" #성경구절 #말씀 #베드로전서 #섬김"</f>
        <v/>
      </c>
      <c r="Q685" s="15" t="inlineStr">
        <is>
          <t>성경 본문: 개역한글판</t>
        </is>
      </c>
      <c r="R685" s="17">
        <f>'안내'!$C$6+INT((D685-1)/'안내'!$C$7)</f>
        <v/>
      </c>
      <c r="S685" s="14">
        <f>IF(MOD(D685-1,'안내'!$C$7)=0,'안내'!$C$9,'안내'!$C$11)</f>
        <v/>
      </c>
      <c r="T685" s="14">
        <f>CHOOSE(WEEKDAY(R685,2),"월","화","수","목","금","토","일")</f>
        <v/>
      </c>
      <c r="U685" s="14" t="inlineStr">
        <is>
          <t>미착수</t>
        </is>
      </c>
      <c r="V685" s="14" t="inlineStr">
        <is>
          <t>미착수</t>
        </is>
      </c>
      <c r="W685" s="18" t="n"/>
      <c r="X685" s="18" t="n"/>
      <c r="Y685" s="15" t="n"/>
      <c r="Z685" s="15" t="inlineStr"/>
      <c r="AA685" s="15" t="inlineStr">
        <is>
          <t>As each has received a gift, employ it in serving one another, as good managers of the grace of God in its various forms.</t>
        </is>
      </c>
    </row>
    <row r="686">
      <c r="A686" s="14" t="n">
        <v>685</v>
      </c>
      <c r="B686" s="14" t="inlineStr">
        <is>
          <t>W0685</t>
        </is>
      </c>
      <c r="C686" s="14" t="inlineStr">
        <is>
          <t>신약</t>
        </is>
      </c>
      <c r="D686" s="14" t="n">
        <v>321</v>
      </c>
      <c r="E686" s="14">
        <f>C686&amp;"말씀 #"&amp;TEXT(D686,"000")</f>
        <v/>
      </c>
      <c r="F686" s="14" t="inlineStr">
        <is>
          <t>베드로전서</t>
        </is>
      </c>
      <c r="G686" s="14" t="inlineStr">
        <is>
          <t>5:5</t>
        </is>
      </c>
      <c r="H686" s="15" t="inlineStr">
        <is>
          <t>(벧전 5:5, 개역한글)</t>
        </is>
      </c>
      <c r="I686" s="14" t="inlineStr">
        <is>
          <t>겸손</t>
        </is>
      </c>
      <c r="J686" s="14" t="inlineStr">
        <is>
          <t>창가·식탁</t>
        </is>
      </c>
      <c r="K686" s="16" t="inlineStr">
        <is>
          <t>젊은 자들아 이와 같이 장로들에게 순복하고 다 서로 겸손으로 허리를 동이라 하나님이 교만한 자를 대적하시되 겸손한 자들에게는 은혜를 주시느니라</t>
        </is>
      </c>
      <c r="L686" s="14" t="inlineStr">
        <is>
          <t>자동 입력 · 대조 필요</t>
        </is>
      </c>
      <c r="M686" s="14">
        <f>LEN(K686)</f>
        <v/>
      </c>
      <c r="N686" s="14">
        <f>IF(M686=0,"-",ROUND(3+M686/'안내'!$C$12,0))</f>
        <v/>
      </c>
      <c r="O686" s="15">
        <f>IF(K686="","(본문 입력 후 자동) | 벧전 5:5",IF(LEN(K686)&gt;28,LEFT(K686,28)&amp;"…",K686)&amp;" | 벧전 5:5")</f>
        <v/>
      </c>
      <c r="P686" s="15">
        <f>"#"&amp;SUBSTITUTE('안내'!$C$5," ","")&amp;" #성경구절 #말씀 #베드로전서 #겸손"</f>
        <v/>
      </c>
      <c r="Q686" s="15" t="inlineStr">
        <is>
          <t>성경 본문: 개역한글판</t>
        </is>
      </c>
      <c r="R686" s="17">
        <f>'안내'!$C$6+INT((D686-1)/'안내'!$C$7)</f>
        <v/>
      </c>
      <c r="S686" s="14">
        <f>IF(MOD(D686-1,'안내'!$C$7)=0,'안내'!$C$9,'안내'!$C$11)</f>
        <v/>
      </c>
      <c r="T686" s="14">
        <f>CHOOSE(WEEKDAY(R686,2),"월","화","수","목","금","토","일")</f>
        <v/>
      </c>
      <c r="U686" s="14" t="inlineStr">
        <is>
          <t>미착수</t>
        </is>
      </c>
      <c r="V686" s="14" t="inlineStr">
        <is>
          <t>미착수</t>
        </is>
      </c>
      <c r="W686" s="18" t="n"/>
      <c r="X686" s="18" t="n"/>
      <c r="Y686" s="15" t="n"/>
      <c r="Z686" s="15" t="inlineStr">
        <is>
          <t>줄바꿈 띄어쓰기 확인</t>
        </is>
      </c>
      <c r="AA686" s="15" t="inlineStr">
        <is>
          <t>Likewise, you younger ones, be sub- ject to the elder. Yes, all of you clothe yourselves with humility and subject your- selves to one another; for “God resists the proud, but gives grace to the humble.” ✡</t>
        </is>
      </c>
    </row>
    <row r="687">
      <c r="A687" s="14" t="n">
        <v>686</v>
      </c>
      <c r="B687" s="14" t="inlineStr">
        <is>
          <t>W0686</t>
        </is>
      </c>
      <c r="C687" s="14" t="inlineStr">
        <is>
          <t>신약</t>
        </is>
      </c>
      <c r="D687" s="14" t="n">
        <v>322</v>
      </c>
      <c r="E687" s="14">
        <f>C687&amp;"말씀 #"&amp;TEXT(D687,"000")</f>
        <v/>
      </c>
      <c r="F687" s="14" t="inlineStr">
        <is>
          <t>베드로전서</t>
        </is>
      </c>
      <c r="G687" s="14" t="inlineStr">
        <is>
          <t>5:7</t>
        </is>
      </c>
      <c r="H687" s="15" t="inlineStr">
        <is>
          <t>(벧전 5:7, 개역한글)</t>
        </is>
      </c>
      <c r="I687" s="14" t="inlineStr">
        <is>
          <t>평안</t>
        </is>
      </c>
      <c r="J687" s="14" t="inlineStr">
        <is>
          <t>잔잔한 물</t>
        </is>
      </c>
      <c r="K687" s="16" t="inlineStr">
        <is>
          <t>너희 염려를 다 주께 맡겨 버리라 이는 저가 너희를 권고하심이니라</t>
        </is>
      </c>
      <c r="L687" s="14" t="inlineStr">
        <is>
          <t>자동 입력</t>
        </is>
      </c>
      <c r="M687" s="14">
        <f>LEN(K687)</f>
        <v/>
      </c>
      <c r="N687" s="14">
        <f>IF(M687=0,"-",ROUND(3+M687/'안내'!$C$12,0))</f>
        <v/>
      </c>
      <c r="O687" s="15">
        <f>IF(K687="","(본문 입력 후 자동) | 벧전 5:7",IF(LEN(K687)&gt;28,LEFT(K687,28)&amp;"…",K687)&amp;" | 벧전 5:7")</f>
        <v/>
      </c>
      <c r="P687" s="15">
        <f>"#"&amp;SUBSTITUTE('안내'!$C$5," ","")&amp;" #성경구절 #말씀 #베드로전서 #평안"</f>
        <v/>
      </c>
      <c r="Q687" s="15" t="inlineStr">
        <is>
          <t>성경 본문: 개역한글판</t>
        </is>
      </c>
      <c r="R687" s="17">
        <f>'안내'!$C$6+INT((D687-1)/'안내'!$C$7)</f>
        <v/>
      </c>
      <c r="S687" s="14">
        <f>IF(MOD(D687-1,'안내'!$C$7)=0,'안내'!$C$9,'안내'!$C$11)</f>
        <v/>
      </c>
      <c r="T687" s="14">
        <f>CHOOSE(WEEKDAY(R687,2),"월","화","수","목","금","토","일")</f>
        <v/>
      </c>
      <c r="U687" s="14" t="inlineStr">
        <is>
          <t>미착수</t>
        </is>
      </c>
      <c r="V687" s="14" t="inlineStr">
        <is>
          <t>미착수</t>
        </is>
      </c>
      <c r="W687" s="18" t="n"/>
      <c r="X687" s="18" t="n"/>
      <c r="Y687" s="15" t="n"/>
      <c r="Z687" s="15" t="inlineStr"/>
      <c r="AA687" s="15" t="inlineStr">
        <is>
          <t>casting all your worries on him, because he cares for you.</t>
        </is>
      </c>
    </row>
    <row r="688">
      <c r="A688" s="14" t="n">
        <v>687</v>
      </c>
      <c r="B688" s="14" t="inlineStr">
        <is>
          <t>W0687</t>
        </is>
      </c>
      <c r="C688" s="14" t="inlineStr">
        <is>
          <t>신약</t>
        </is>
      </c>
      <c r="D688" s="14" t="n">
        <v>323</v>
      </c>
      <c r="E688" s="14">
        <f>C688&amp;"말씀 #"&amp;TEXT(D688,"000")</f>
        <v/>
      </c>
      <c r="F688" s="14" t="inlineStr">
        <is>
          <t>베드로전서</t>
        </is>
      </c>
      <c r="G688" s="14" t="inlineStr">
        <is>
          <t>5:8</t>
        </is>
      </c>
      <c r="H688" s="15" t="inlineStr">
        <is>
          <t>(벧전 5:8, 개역한글)</t>
        </is>
      </c>
      <c r="I688" s="14" t="inlineStr">
        <is>
          <t>승리</t>
        </is>
      </c>
      <c r="J688" s="14" t="inlineStr">
        <is>
          <t>바위산·광야</t>
        </is>
      </c>
      <c r="K688" s="16" t="inlineStr">
        <is>
          <t>근신하라 깨어라 너희 대적 마귀가 우는 사자같이 두루 다니며 삼킬 자를 찾나니</t>
        </is>
      </c>
      <c r="L688" s="14" t="inlineStr">
        <is>
          <t>자동 입력</t>
        </is>
      </c>
      <c r="M688" s="14">
        <f>LEN(K688)</f>
        <v/>
      </c>
      <c r="N688" s="14">
        <f>IF(M688=0,"-",ROUND(3+M688/'안내'!$C$12,0))</f>
        <v/>
      </c>
      <c r="O688" s="15">
        <f>IF(K688="","(본문 입력 후 자동) | 벧전 5:8",IF(LEN(K688)&gt;28,LEFT(K688,28)&amp;"…",K688)&amp;" | 벧전 5:8")</f>
        <v/>
      </c>
      <c r="P688" s="15">
        <f>"#"&amp;SUBSTITUTE('안내'!$C$5," ","")&amp;" #성경구절 #말씀 #베드로전서 #승리"</f>
        <v/>
      </c>
      <c r="Q688" s="15" t="inlineStr">
        <is>
          <t>성경 본문: 개역한글판</t>
        </is>
      </c>
      <c r="R688" s="17">
        <f>'안내'!$C$6+INT((D688-1)/'안내'!$C$7)</f>
        <v/>
      </c>
      <c r="S688" s="14">
        <f>IF(MOD(D688-1,'안내'!$C$7)=0,'안내'!$C$9,'안내'!$C$11)</f>
        <v/>
      </c>
      <c r="T688" s="14">
        <f>CHOOSE(WEEKDAY(R688,2),"월","화","수","목","금","토","일")</f>
        <v/>
      </c>
      <c r="U688" s="14" t="inlineStr">
        <is>
          <t>미착수</t>
        </is>
      </c>
      <c r="V688" s="14" t="inlineStr">
        <is>
          <t>미착수</t>
        </is>
      </c>
      <c r="W688" s="18" t="n"/>
      <c r="X688" s="18" t="n"/>
      <c r="Y688" s="15" t="n"/>
      <c r="Z688" s="15" t="inlineStr"/>
      <c r="AA688" s="15" t="inlineStr">
        <is>
          <t>Be sober and self-controlled. Be watch- ful. Your adversary, the devil, walks around like a roaring lion, seeking whom he may devour.</t>
        </is>
      </c>
    </row>
    <row r="689">
      <c r="A689" s="14" t="n">
        <v>688</v>
      </c>
      <c r="B689" s="14" t="inlineStr">
        <is>
          <t>W0688</t>
        </is>
      </c>
      <c r="C689" s="14" t="inlineStr">
        <is>
          <t>신약</t>
        </is>
      </c>
      <c r="D689" s="14" t="n">
        <v>324</v>
      </c>
      <c r="E689" s="14">
        <f>C689&amp;"말씀 #"&amp;TEXT(D689,"000")</f>
        <v/>
      </c>
      <c r="F689" s="14" t="inlineStr">
        <is>
          <t>베드로전서</t>
        </is>
      </c>
      <c r="G689" s="14" t="inlineStr">
        <is>
          <t>5:10</t>
        </is>
      </c>
      <c r="H689" s="15" t="inlineStr">
        <is>
          <t>(벧전 5:10, 개역한글)</t>
        </is>
      </c>
      <c r="I689" s="14" t="inlineStr">
        <is>
          <t>은혜</t>
        </is>
      </c>
      <c r="J689" s="14" t="inlineStr">
        <is>
          <t>잔잔한 물</t>
        </is>
      </c>
      <c r="K689" s="16" t="inlineStr">
        <is>
          <t>모든 은혜의 하나님 곧 그리스도 안에서 너희를 부르사 자기의 영원한 영광에 들어가게 하신 이가 잠깐 고난을 받은 너희를 친히 온전케 하시며 굳게 하시며 강하게 하시며 터를 견고케 하시리라</t>
        </is>
      </c>
      <c r="L689" s="14" t="inlineStr">
        <is>
          <t>자동 입력 · 대조 필요</t>
        </is>
      </c>
      <c r="M689" s="14">
        <f>LEN(K689)</f>
        <v/>
      </c>
      <c r="N689" s="14">
        <f>IF(M689=0,"-",ROUND(3+M689/'안내'!$C$12,0))</f>
        <v/>
      </c>
      <c r="O689" s="15">
        <f>IF(K689="","(본문 입력 후 자동) | 벧전 5:10",IF(LEN(K689)&gt;28,LEFT(K689,28)&amp;"…",K689)&amp;" | 벧전 5:10")</f>
        <v/>
      </c>
      <c r="P689" s="15">
        <f>"#"&amp;SUBSTITUTE('안내'!$C$5," ","")&amp;" #성경구절 #말씀 #베드로전서 #은혜"</f>
        <v/>
      </c>
      <c r="Q689" s="15" t="inlineStr">
        <is>
          <t>성경 본문: 개역한글판</t>
        </is>
      </c>
      <c r="R689" s="17">
        <f>'안내'!$C$6+INT((D689-1)/'안내'!$C$7)</f>
        <v/>
      </c>
      <c r="S689" s="14">
        <f>IF(MOD(D689-1,'안내'!$C$7)=0,'안내'!$C$9,'안내'!$C$11)</f>
        <v/>
      </c>
      <c r="T689" s="14">
        <f>CHOOSE(WEEKDAY(R689,2),"월","화","수","목","금","토","일")</f>
        <v/>
      </c>
      <c r="U689" s="14" t="inlineStr">
        <is>
          <t>미착수</t>
        </is>
      </c>
      <c r="V689" s="14" t="inlineStr">
        <is>
          <t>미착수</t>
        </is>
      </c>
      <c r="W689" s="18" t="n"/>
      <c r="X689" s="18" t="n"/>
      <c r="Y689" s="15" t="n"/>
      <c r="Z689" s="15" t="inlineStr">
        <is>
          <t>줄바꿈 띄어쓰기 확인</t>
        </is>
      </c>
      <c r="AA689" s="15" t="inlineStr">
        <is>
          <t>But may the God of all grace, who called you to his eternal glory by Christ Jesus, after you have suffered a little while, perfect, establish, strengthen, and settle you.</t>
        </is>
      </c>
    </row>
    <row r="690">
      <c r="A690" s="14" t="n">
        <v>689</v>
      </c>
      <c r="B690" s="14" t="inlineStr">
        <is>
          <t>W0689</t>
        </is>
      </c>
      <c r="C690" s="14" t="inlineStr">
        <is>
          <t>신약</t>
        </is>
      </c>
      <c r="D690" s="14" t="n">
        <v>325</v>
      </c>
      <c r="E690" s="14">
        <f>C690&amp;"말씀 #"&amp;TEXT(D690,"000")</f>
        <v/>
      </c>
      <c r="F690" s="14" t="inlineStr">
        <is>
          <t>베드로후서</t>
        </is>
      </c>
      <c r="G690" s="14" t="inlineStr">
        <is>
          <t>1:3</t>
        </is>
      </c>
      <c r="H690" s="15" t="inlineStr">
        <is>
          <t>(벧후 1:3, 개역한글)</t>
        </is>
      </c>
      <c r="I690" s="14" t="inlineStr">
        <is>
          <t>은혜</t>
        </is>
      </c>
      <c r="J690" s="14" t="inlineStr">
        <is>
          <t>잔잔한 물</t>
        </is>
      </c>
      <c r="K690" s="16" t="inlineStr">
        <is>
          <t>그의 신기한 능력으로 생명과 경건에 속한 모든 것을 우리에게 주셨으니 이는 자기의 영광과 덕으로써 우리를 부르신 자를 앎으로 말미암음이라</t>
        </is>
      </c>
      <c r="L690" s="14" t="inlineStr">
        <is>
          <t>자동 입력</t>
        </is>
      </c>
      <c r="M690" s="14">
        <f>LEN(K690)</f>
        <v/>
      </c>
      <c r="N690" s="14">
        <f>IF(M690=0,"-",ROUND(3+M690/'안내'!$C$12,0))</f>
        <v/>
      </c>
      <c r="O690" s="15">
        <f>IF(K690="","(본문 입력 후 자동) | 벧후 1:3",IF(LEN(K690)&gt;28,LEFT(K690,28)&amp;"…",K690)&amp;" | 벧후 1:3")</f>
        <v/>
      </c>
      <c r="P690" s="15">
        <f>"#"&amp;SUBSTITUTE('안내'!$C$5," ","")&amp;" #성경구절 #말씀 #베드로후서 #은혜"</f>
        <v/>
      </c>
      <c r="Q690" s="15" t="inlineStr">
        <is>
          <t>성경 본문: 개역한글판</t>
        </is>
      </c>
      <c r="R690" s="17">
        <f>'안내'!$C$6+INT((D690-1)/'안내'!$C$7)</f>
        <v/>
      </c>
      <c r="S690" s="14">
        <f>IF(MOD(D690-1,'안내'!$C$7)=0,'안내'!$C$9,'안내'!$C$11)</f>
        <v/>
      </c>
      <c r="T690" s="14">
        <f>CHOOSE(WEEKDAY(R690,2),"월","화","수","목","금","토","일")</f>
        <v/>
      </c>
      <c r="U690" s="14" t="inlineStr">
        <is>
          <t>미착수</t>
        </is>
      </c>
      <c r="V690" s="14" t="inlineStr">
        <is>
          <t>미착수</t>
        </is>
      </c>
      <c r="W690" s="18" t="n"/>
      <c r="X690" s="18" t="n"/>
      <c r="Y690" s="15" t="n"/>
      <c r="Z690" s="15" t="inlineStr"/>
      <c r="AA690" s="15" t="inlineStr">
        <is>
          <t>seeing that his divine power has granted to us all things that pertain to life and godliness, through the knowledge of him who called us by his own glory and virtue,</t>
        </is>
      </c>
    </row>
    <row r="691">
      <c r="A691" s="14" t="n">
        <v>690</v>
      </c>
      <c r="B691" s="14" t="inlineStr">
        <is>
          <t>W0690</t>
        </is>
      </c>
      <c r="C691" s="14" t="inlineStr">
        <is>
          <t>신약</t>
        </is>
      </c>
      <c r="D691" s="14" t="n">
        <v>326</v>
      </c>
      <c r="E691" s="14">
        <f>C691&amp;"말씀 #"&amp;TEXT(D691,"000")</f>
        <v/>
      </c>
      <c r="F691" s="14" t="inlineStr">
        <is>
          <t>베드로후서</t>
        </is>
      </c>
      <c r="G691" s="14" t="inlineStr">
        <is>
          <t>1:21</t>
        </is>
      </c>
      <c r="H691" s="15" t="inlineStr">
        <is>
          <t>(벧후 1:21, 개역한글)</t>
        </is>
      </c>
      <c r="I691" s="14" t="inlineStr">
        <is>
          <t>말씀</t>
        </is>
      </c>
      <c r="J691" s="14" t="inlineStr">
        <is>
          <t>들판·나무</t>
        </is>
      </c>
      <c r="K691" s="16" t="inlineStr">
        <is>
          <t>예언은 언제든지 사람의 뜻으로 낸 것이 아니요 오직 성령의 감동하심을 입은 사람들이 하나님께 받아 말한 것임이니라</t>
        </is>
      </c>
      <c r="L691" s="14" t="inlineStr">
        <is>
          <t>자동 입력</t>
        </is>
      </c>
      <c r="M691" s="14">
        <f>LEN(K691)</f>
        <v/>
      </c>
      <c r="N691" s="14">
        <f>IF(M691=0,"-",ROUND(3+M691/'안내'!$C$12,0))</f>
        <v/>
      </c>
      <c r="O691" s="15">
        <f>IF(K691="","(본문 입력 후 자동) | 벧후 1:21",IF(LEN(K691)&gt;28,LEFT(K691,28)&amp;"…",K691)&amp;" | 벧후 1:21")</f>
        <v/>
      </c>
      <c r="P691" s="15">
        <f>"#"&amp;SUBSTITUTE('안내'!$C$5," ","")&amp;" #성경구절 #말씀 #베드로후서 #말씀"</f>
        <v/>
      </c>
      <c r="Q691" s="15" t="inlineStr">
        <is>
          <t>성경 본문: 개역한글판</t>
        </is>
      </c>
      <c r="R691" s="17">
        <f>'안내'!$C$6+INT((D691-1)/'안내'!$C$7)</f>
        <v/>
      </c>
      <c r="S691" s="14">
        <f>IF(MOD(D691-1,'안내'!$C$7)=0,'안내'!$C$9,'안내'!$C$11)</f>
        <v/>
      </c>
      <c r="T691" s="14">
        <f>CHOOSE(WEEKDAY(R691,2),"월","화","수","목","금","토","일")</f>
        <v/>
      </c>
      <c r="U691" s="14" t="inlineStr">
        <is>
          <t>미착수</t>
        </is>
      </c>
      <c r="V691" s="14" t="inlineStr">
        <is>
          <t>미착수</t>
        </is>
      </c>
      <c r="W691" s="18" t="n"/>
      <c r="X691" s="18" t="n"/>
      <c r="Y691" s="15" t="n"/>
      <c r="Z691" s="15" t="inlineStr"/>
      <c r="AA691" s="15" t="inlineStr">
        <is>
          <t>For no prophecy ever came by the will of man, but holy men of God spoke, being moved by the Holy Spirit.</t>
        </is>
      </c>
    </row>
    <row r="692">
      <c r="A692" s="14" t="n">
        <v>691</v>
      </c>
      <c r="B692" s="14" t="inlineStr">
        <is>
          <t>W0691</t>
        </is>
      </c>
      <c r="C692" s="14" t="inlineStr">
        <is>
          <t>신약</t>
        </is>
      </c>
      <c r="D692" s="14" t="n">
        <v>327</v>
      </c>
      <c r="E692" s="14">
        <f>C692&amp;"말씀 #"&amp;TEXT(D692,"000")</f>
        <v/>
      </c>
      <c r="F692" s="14" t="inlineStr">
        <is>
          <t>베드로후서</t>
        </is>
      </c>
      <c r="G692" s="14" t="inlineStr">
        <is>
          <t>3:8</t>
        </is>
      </c>
      <c r="H692" s="15" t="inlineStr">
        <is>
          <t>(벧후 3:8, 개역한글)</t>
        </is>
      </c>
      <c r="I692" s="14" t="inlineStr">
        <is>
          <t>신실하심</t>
        </is>
      </c>
      <c r="J692" s="14" t="inlineStr">
        <is>
          <t>바위산·광야</t>
        </is>
      </c>
      <c r="K692" s="16" t="inlineStr">
        <is>
          <t>사랑하는 자들아 주께는 하루가 천 년 같고 천 년이 하루 같은 이 한 가지를 잊지 말라</t>
        </is>
      </c>
      <c r="L692" s="14" t="inlineStr">
        <is>
          <t>자동 입력</t>
        </is>
      </c>
      <c r="M692" s="14">
        <f>LEN(K692)</f>
        <v/>
      </c>
      <c r="N692" s="14">
        <f>IF(M692=0,"-",ROUND(3+M692/'안내'!$C$12,0))</f>
        <v/>
      </c>
      <c r="O692" s="15">
        <f>IF(K692="","(본문 입력 후 자동) | 벧후 3:8",IF(LEN(K692)&gt;28,LEFT(K692,28)&amp;"…",K692)&amp;" | 벧후 3:8")</f>
        <v/>
      </c>
      <c r="P692" s="15">
        <f>"#"&amp;SUBSTITUTE('안내'!$C$5," ","")&amp;" #성경구절 #말씀 #베드로후서 #신실하심"</f>
        <v/>
      </c>
      <c r="Q692" s="19" t="inlineStr">
        <is>
          <t>하나님의 시간은 우리와 다르다는 뜻이며, 재림 날짜를 계산하는 공식이 아닙니다.
성경 본문: 개역한글판</t>
        </is>
      </c>
      <c r="R692" s="17">
        <f>'안내'!$C$6+INT((D692-1)/'안내'!$C$7)</f>
        <v/>
      </c>
      <c r="S692" s="14">
        <f>IF(MOD(D692-1,'안내'!$C$7)=0,'안내'!$C$9,'안내'!$C$11)</f>
        <v/>
      </c>
      <c r="T692" s="14">
        <f>CHOOSE(WEEKDAY(R692,2),"월","화","수","목","금","토","일")</f>
        <v/>
      </c>
      <c r="U692" s="14" t="inlineStr">
        <is>
          <t>미착수</t>
        </is>
      </c>
      <c r="V692" s="14" t="inlineStr">
        <is>
          <t>미착수</t>
        </is>
      </c>
      <c r="W692" s="18" t="n"/>
      <c r="X692" s="18" t="n"/>
      <c r="Y692" s="15" t="n"/>
      <c r="Z692" s="15" t="inlineStr"/>
      <c r="AA692" s="15" t="inlineStr">
        <is>
          <t>But don’t forget this one thing, beloved, that one day is with the Lord as a thousand years, and a thousand years as one day.</t>
        </is>
      </c>
    </row>
    <row r="693">
      <c r="A693" s="14" t="n">
        <v>692</v>
      </c>
      <c r="B693" s="14" t="inlineStr">
        <is>
          <t>W0692</t>
        </is>
      </c>
      <c r="C693" s="14" t="inlineStr">
        <is>
          <t>신약</t>
        </is>
      </c>
      <c r="D693" s="14" t="n">
        <v>328</v>
      </c>
      <c r="E693" s="14">
        <f>C693&amp;"말씀 #"&amp;TEXT(D693,"000")</f>
        <v/>
      </c>
      <c r="F693" s="14" t="inlineStr">
        <is>
          <t>베드로후서</t>
        </is>
      </c>
      <c r="G693" s="14" t="inlineStr">
        <is>
          <t>3:9</t>
        </is>
      </c>
      <c r="H693" s="15" t="inlineStr">
        <is>
          <t>(벧후 3:9, 개역한글)</t>
        </is>
      </c>
      <c r="I693" s="14" t="inlineStr">
        <is>
          <t>회개</t>
        </is>
      </c>
      <c r="J693" s="14" t="inlineStr">
        <is>
          <t>제단·십자가</t>
        </is>
      </c>
      <c r="K693" s="16" t="inlineStr">
        <is>
          <t>주의 약속은 어떤 이의 더디다고 생각하는 것같이 더딘 것이 아니라 오직 너희를 대하여 오래 참으사 아무도 멸망치 않고 다 회개하기에 이르기를 원하시느니라</t>
        </is>
      </c>
      <c r="L693" s="14" t="inlineStr">
        <is>
          <t>자동 입력</t>
        </is>
      </c>
      <c r="M693" s="14">
        <f>LEN(K693)</f>
        <v/>
      </c>
      <c r="N693" s="14">
        <f>IF(M693=0,"-",ROUND(3+M693/'안내'!$C$12,0))</f>
        <v/>
      </c>
      <c r="O693" s="15">
        <f>IF(K693="","(본문 입력 후 자동) | 벧후 3:9",IF(LEN(K693)&gt;28,LEFT(K693,28)&amp;"…",K693)&amp;" | 벧후 3:9")</f>
        <v/>
      </c>
      <c r="P693" s="15">
        <f>"#"&amp;SUBSTITUTE('안내'!$C$5," ","")&amp;" #성경구절 #말씀 #베드로후서 #회개"</f>
        <v/>
      </c>
      <c r="Q693" s="15" t="inlineStr">
        <is>
          <t>성경 본문: 개역한글판</t>
        </is>
      </c>
      <c r="R693" s="17">
        <f>'안내'!$C$6+INT((D693-1)/'안내'!$C$7)</f>
        <v/>
      </c>
      <c r="S693" s="14">
        <f>IF(MOD(D693-1,'안내'!$C$7)=0,'안내'!$C$9,'안내'!$C$11)</f>
        <v/>
      </c>
      <c r="T693" s="14">
        <f>CHOOSE(WEEKDAY(R693,2),"월","화","수","목","금","토","일")</f>
        <v/>
      </c>
      <c r="U693" s="14" t="inlineStr">
        <is>
          <t>미착수</t>
        </is>
      </c>
      <c r="V693" s="14" t="inlineStr">
        <is>
          <t>미착수</t>
        </is>
      </c>
      <c r="W693" s="18" t="n"/>
      <c r="X693" s="18" t="n"/>
      <c r="Y693" s="15" t="n"/>
      <c r="Z693" s="15" t="inlineStr"/>
      <c r="AA693" s="15" t="inlineStr">
        <is>
          <t>The Lord is not slow concerning his promise, as some count slowness; but he is patient with us, not wishing that anyone should perish, but that all should come to repentance.</t>
        </is>
      </c>
    </row>
    <row r="694">
      <c r="A694" s="14" t="n">
        <v>693</v>
      </c>
      <c r="B694" s="14" t="inlineStr">
        <is>
          <t>W0693</t>
        </is>
      </c>
      <c r="C694" s="14" t="inlineStr">
        <is>
          <t>신약</t>
        </is>
      </c>
      <c r="D694" s="14" t="n">
        <v>329</v>
      </c>
      <c r="E694" s="14">
        <f>C694&amp;"말씀 #"&amp;TEXT(D694,"000")</f>
        <v/>
      </c>
      <c r="F694" s="14" t="inlineStr">
        <is>
          <t>베드로후서</t>
        </is>
      </c>
      <c r="G694" s="14" t="inlineStr">
        <is>
          <t>3:18</t>
        </is>
      </c>
      <c r="H694" s="15" t="inlineStr">
        <is>
          <t>(벧후 3:18, 개역한글)</t>
        </is>
      </c>
      <c r="I694" s="14" t="inlineStr">
        <is>
          <t>성장</t>
        </is>
      </c>
      <c r="J694" s="14" t="inlineStr">
        <is>
          <t>들판·나무</t>
        </is>
      </c>
      <c r="K694" s="16" t="inlineStr">
        <is>
          <t>오직 우리 주 곧 구주 예수 그리스도의 은혜와 저를 아는 지식에서 자라가라 영광이 이제와 영원한 날까지 저에게 있을지어다 아멘</t>
        </is>
      </c>
      <c r="L694" s="14" t="inlineStr">
        <is>
          <t>자동 입력</t>
        </is>
      </c>
      <c r="M694" s="14">
        <f>LEN(K694)</f>
        <v/>
      </c>
      <c r="N694" s="14">
        <f>IF(M694=0,"-",ROUND(3+M694/'안내'!$C$12,0))</f>
        <v/>
      </c>
      <c r="O694" s="15">
        <f>IF(K694="","(본문 입력 후 자동) | 벧후 3:18",IF(LEN(K694)&gt;28,LEFT(K694,28)&amp;"…",K694)&amp;" | 벧후 3:18")</f>
        <v/>
      </c>
      <c r="P694" s="15">
        <f>"#"&amp;SUBSTITUTE('안내'!$C$5," ","")&amp;" #성경구절 #말씀 #베드로후서 #성장"</f>
        <v/>
      </c>
      <c r="Q694" s="15" t="inlineStr">
        <is>
          <t>성경 본문: 개역한글판</t>
        </is>
      </c>
      <c r="R694" s="17">
        <f>'안내'!$C$6+INT((D694-1)/'안내'!$C$7)</f>
        <v/>
      </c>
      <c r="S694" s="14">
        <f>IF(MOD(D694-1,'안내'!$C$7)=0,'안내'!$C$9,'안내'!$C$11)</f>
        <v/>
      </c>
      <c r="T694" s="14">
        <f>CHOOSE(WEEKDAY(R694,2),"월","화","수","목","금","토","일")</f>
        <v/>
      </c>
      <c r="U694" s="14" t="inlineStr">
        <is>
          <t>미착수</t>
        </is>
      </c>
      <c r="V694" s="14" t="inlineStr">
        <is>
          <t>미착수</t>
        </is>
      </c>
      <c r="W694" s="18" t="n"/>
      <c r="X694" s="18" t="n"/>
      <c r="Y694" s="15" t="n"/>
      <c r="Z694" s="15" t="inlineStr"/>
      <c r="AA694" s="15" t="inlineStr">
        <is>
          <t>But grow in the grace and knowledge of our Lord and Savior Jesus Christ. To him be the glory both now and forever. Amen.</t>
        </is>
      </c>
    </row>
    <row r="695">
      <c r="A695" s="14" t="n">
        <v>694</v>
      </c>
      <c r="B695" s="14" t="inlineStr">
        <is>
          <t>W0694</t>
        </is>
      </c>
      <c r="C695" s="14" t="inlineStr">
        <is>
          <t>신약</t>
        </is>
      </c>
      <c r="D695" s="14" t="n">
        <v>330</v>
      </c>
      <c r="E695" s="14">
        <f>C695&amp;"말씀 #"&amp;TEXT(D695,"000")</f>
        <v/>
      </c>
      <c r="F695" s="14" t="inlineStr">
        <is>
          <t>요한일서</t>
        </is>
      </c>
      <c r="G695" s="14" t="inlineStr">
        <is>
          <t>1:5</t>
        </is>
      </c>
      <c r="H695" s="15" t="inlineStr">
        <is>
          <t>(요일 1:5, 개역한글)</t>
        </is>
      </c>
      <c r="I695" s="14" t="inlineStr">
        <is>
          <t>빛</t>
        </is>
      </c>
      <c r="J695" s="14" t="inlineStr">
        <is>
          <t>새벽빛</t>
        </is>
      </c>
      <c r="K695" s="16" t="inlineStr">
        <is>
          <t>우리가 저에게서 듣고 너희에게 전하는 소식이 이것이니 곧 하나님은 빛이시라 그에게는 어두움이 조금도 없으시니라</t>
        </is>
      </c>
      <c r="L695" s="14" t="inlineStr">
        <is>
          <t>자동 입력 · 대조 필요</t>
        </is>
      </c>
      <c r="M695" s="14">
        <f>LEN(K695)</f>
        <v/>
      </c>
      <c r="N695" s="14">
        <f>IF(M695=0,"-",ROUND(3+M695/'안내'!$C$12,0))</f>
        <v/>
      </c>
      <c r="O695" s="15">
        <f>IF(K695="","(본문 입력 후 자동) | 요일 1:5",IF(LEN(K695)&gt;28,LEFT(K695,28)&amp;"…",K695)&amp;" | 요일 1:5")</f>
        <v/>
      </c>
      <c r="P695" s="15">
        <f>"#"&amp;SUBSTITUTE('안내'!$C$5," ","")&amp;" #성경구절 #말씀 #요한일서 #빛"</f>
        <v/>
      </c>
      <c r="Q695" s="15" t="inlineStr">
        <is>
          <t>성경 본문: 개역한글판</t>
        </is>
      </c>
      <c r="R695" s="17">
        <f>'안내'!$C$6+INT((D695-1)/'안내'!$C$7)</f>
        <v/>
      </c>
      <c r="S695" s="14">
        <f>IF(MOD(D695-1,'안내'!$C$7)=0,'안내'!$C$9,'안내'!$C$11)</f>
        <v/>
      </c>
      <c r="T695" s="14">
        <f>CHOOSE(WEEKDAY(R695,2),"월","화","수","목","금","토","일")</f>
        <v/>
      </c>
      <c r="U695" s="14" t="inlineStr">
        <is>
          <t>미착수</t>
        </is>
      </c>
      <c r="V695" s="14" t="inlineStr">
        <is>
          <t>미착수</t>
        </is>
      </c>
      <c r="W695" s="18" t="n"/>
      <c r="X695" s="18" t="n"/>
      <c r="Y695" s="15" t="n"/>
      <c r="Z695" s="15" t="inlineStr">
        <is>
          <t>줄바꿈 띄어쓰기 확인</t>
        </is>
      </c>
      <c r="AA695" s="15" t="inlineStr">
        <is>
          <t>This is the message which we have heard from him and announce to you, that God is light, and in him is no darkness at all.</t>
        </is>
      </c>
    </row>
    <row r="696">
      <c r="A696" s="14" t="n">
        <v>695</v>
      </c>
      <c r="B696" s="14" t="inlineStr">
        <is>
          <t>W0695</t>
        </is>
      </c>
      <c r="C696" s="14" t="inlineStr">
        <is>
          <t>신약</t>
        </is>
      </c>
      <c r="D696" s="14" t="n">
        <v>331</v>
      </c>
      <c r="E696" s="14">
        <f>C696&amp;"말씀 #"&amp;TEXT(D696,"000")</f>
        <v/>
      </c>
      <c r="F696" s="14" t="inlineStr">
        <is>
          <t>요한일서</t>
        </is>
      </c>
      <c r="G696" s="14" t="inlineStr">
        <is>
          <t>1:9</t>
        </is>
      </c>
      <c r="H696" s="15" t="inlineStr">
        <is>
          <t>(요일 1:9, 개역한글)</t>
        </is>
      </c>
      <c r="I696" s="14" t="inlineStr">
        <is>
          <t>용서</t>
        </is>
      </c>
      <c r="J696" s="14" t="inlineStr">
        <is>
          <t>잔잔한 물</t>
        </is>
      </c>
      <c r="K696" s="16" t="inlineStr">
        <is>
          <t>만일 우리가 우리 죄를 자백하면 저는 미쁘시고 의로우사 우리 죄를 사하시며 모든 불의에서 우리를 깨끗케 하실 것이요</t>
        </is>
      </c>
      <c r="L696" s="14" t="inlineStr">
        <is>
          <t>자동 입력</t>
        </is>
      </c>
      <c r="M696" s="14">
        <f>LEN(K696)</f>
        <v/>
      </c>
      <c r="N696" s="14">
        <f>IF(M696=0,"-",ROUND(3+M696/'안내'!$C$12,0))</f>
        <v/>
      </c>
      <c r="O696" s="15">
        <f>IF(K696="","(본문 입력 후 자동) | 요일 1:9",IF(LEN(K696)&gt;28,LEFT(K696,28)&amp;"…",K696)&amp;" | 요일 1:9")</f>
        <v/>
      </c>
      <c r="P696" s="15">
        <f>"#"&amp;SUBSTITUTE('안내'!$C$5," ","")&amp;" #성경구절 #말씀 #요한일서 #용서"</f>
        <v/>
      </c>
      <c r="Q696" s="15" t="inlineStr">
        <is>
          <t>성경 본문: 개역한글판</t>
        </is>
      </c>
      <c r="R696" s="17">
        <f>'안내'!$C$6+INT((D696-1)/'안내'!$C$7)</f>
        <v/>
      </c>
      <c r="S696" s="14">
        <f>IF(MOD(D696-1,'안내'!$C$7)=0,'안내'!$C$9,'안내'!$C$11)</f>
        <v/>
      </c>
      <c r="T696" s="14">
        <f>CHOOSE(WEEKDAY(R696,2),"월","화","수","목","금","토","일")</f>
        <v/>
      </c>
      <c r="U696" s="14" t="inlineStr">
        <is>
          <t>미착수</t>
        </is>
      </c>
      <c r="V696" s="14" t="inlineStr">
        <is>
          <t>미착수</t>
        </is>
      </c>
      <c r="W696" s="18" t="n"/>
      <c r="X696" s="18" t="n"/>
      <c r="Y696" s="15" t="n"/>
      <c r="Z696" s="15" t="inlineStr"/>
      <c r="AA696" s="15" t="inlineStr">
        <is>
          <t>If we confess our sins, he is faithful and righteous to forgive us the sins and to cleanse us from all unrighteousness.</t>
        </is>
      </c>
    </row>
    <row r="697">
      <c r="A697" s="14" t="n">
        <v>696</v>
      </c>
      <c r="B697" s="14" t="inlineStr">
        <is>
          <t>W0696</t>
        </is>
      </c>
      <c r="C697" s="14" t="inlineStr">
        <is>
          <t>신약</t>
        </is>
      </c>
      <c r="D697" s="14" t="n">
        <v>332</v>
      </c>
      <c r="E697" s="14">
        <f>C697&amp;"말씀 #"&amp;TEXT(D697,"000")</f>
        <v/>
      </c>
      <c r="F697" s="14" t="inlineStr">
        <is>
          <t>요한일서</t>
        </is>
      </c>
      <c r="G697" s="14" t="inlineStr">
        <is>
          <t>2:1</t>
        </is>
      </c>
      <c r="H697" s="15" t="inlineStr">
        <is>
          <t>(요일 2:1, 개역한글)</t>
        </is>
      </c>
      <c r="I697" s="14" t="inlineStr">
        <is>
          <t>구원</t>
        </is>
      </c>
      <c r="J697" s="14" t="inlineStr">
        <is>
          <t>제단·십자가</t>
        </is>
      </c>
      <c r="K697" s="16" t="inlineStr">
        <is>
          <t>나의 자녀들아 내가 이것을 너희에게 씀은 너희로 죄를 범치 않게 하려 함이라 만일 누가 죄를 범하면 아버지 앞에서 우리에게 대언자가 있으니 곧 의로우신 예수 그리스도시라</t>
        </is>
      </c>
      <c r="L697" s="14" t="inlineStr">
        <is>
          <t>자동 입력</t>
        </is>
      </c>
      <c r="M697" s="14">
        <f>LEN(K697)</f>
        <v/>
      </c>
      <c r="N697" s="14">
        <f>IF(M697=0,"-",ROUND(3+M697/'안내'!$C$12,0))</f>
        <v/>
      </c>
      <c r="O697" s="15">
        <f>IF(K697="","(본문 입력 후 자동) | 요일 2:1",IF(LEN(K697)&gt;28,LEFT(K697,28)&amp;"…",K697)&amp;" | 요일 2:1")</f>
        <v/>
      </c>
      <c r="P697" s="15">
        <f>"#"&amp;SUBSTITUTE('안내'!$C$5," ","")&amp;" #성경구절 #말씀 #요한일서 #구원"</f>
        <v/>
      </c>
      <c r="Q697" s="15" t="inlineStr">
        <is>
          <t>성경 본문: 개역한글판</t>
        </is>
      </c>
      <c r="R697" s="17">
        <f>'안내'!$C$6+INT((D697-1)/'안내'!$C$7)</f>
        <v/>
      </c>
      <c r="S697" s="14">
        <f>IF(MOD(D697-1,'안내'!$C$7)=0,'안내'!$C$9,'안내'!$C$11)</f>
        <v/>
      </c>
      <c r="T697" s="14">
        <f>CHOOSE(WEEKDAY(R697,2),"월","화","수","목","금","토","일")</f>
        <v/>
      </c>
      <c r="U697" s="14" t="inlineStr">
        <is>
          <t>미착수</t>
        </is>
      </c>
      <c r="V697" s="14" t="inlineStr">
        <is>
          <t>미착수</t>
        </is>
      </c>
      <c r="W697" s="18" t="n"/>
      <c r="X697" s="18" t="n"/>
      <c r="Y697" s="15" t="n"/>
      <c r="Z697" s="15" t="inlineStr"/>
      <c r="AA697" s="15" t="inlineStr">
        <is>
          <t>My little children, I write these things to you so that you may not sin. If anyone sins, we have a Counselor with the Father, Jesus Christ, the righteous.</t>
        </is>
      </c>
    </row>
    <row r="698">
      <c r="A698" s="14" t="n">
        <v>697</v>
      </c>
      <c r="B698" s="14" t="inlineStr">
        <is>
          <t>W0697</t>
        </is>
      </c>
      <c r="C698" s="14" t="inlineStr">
        <is>
          <t>신약</t>
        </is>
      </c>
      <c r="D698" s="14" t="n">
        <v>333</v>
      </c>
      <c r="E698" s="14">
        <f>C698&amp;"말씀 #"&amp;TEXT(D698,"000")</f>
        <v/>
      </c>
      <c r="F698" s="14" t="inlineStr">
        <is>
          <t>요한일서</t>
        </is>
      </c>
      <c r="G698" s="14" t="inlineStr">
        <is>
          <t>2:17</t>
        </is>
      </c>
      <c r="H698" s="15" t="inlineStr">
        <is>
          <t>(요일 2:17, 개역한글)</t>
        </is>
      </c>
      <c r="I698" s="14" t="inlineStr">
        <is>
          <t>하나님 나라</t>
        </is>
      </c>
      <c r="J698" s="14" t="inlineStr">
        <is>
          <t>새벽빛</t>
        </is>
      </c>
      <c r="K698" s="16" t="inlineStr">
        <is>
          <t>이 세상도, 그 정욕도 지나가되 오직 하나님의 뜻을 행하는 이는 영원히 거하느니라</t>
        </is>
      </c>
      <c r="L698" s="14" t="inlineStr">
        <is>
          <t>자동 입력</t>
        </is>
      </c>
      <c r="M698" s="14">
        <f>LEN(K698)</f>
        <v/>
      </c>
      <c r="N698" s="14">
        <f>IF(M698=0,"-",ROUND(3+M698/'안내'!$C$12,0))</f>
        <v/>
      </c>
      <c r="O698" s="15">
        <f>IF(K698="","(본문 입력 후 자동) | 요일 2:17",IF(LEN(K698)&gt;28,LEFT(K698,28)&amp;"…",K698)&amp;" | 요일 2:17")</f>
        <v/>
      </c>
      <c r="P698" s="15">
        <f>"#"&amp;SUBSTITUTE('안내'!$C$5," ","")&amp;" #성경구절 #말씀 #요한일서 #하나님나라"</f>
        <v/>
      </c>
      <c r="Q698" s="15" t="inlineStr">
        <is>
          <t>성경 본문: 개역한글판</t>
        </is>
      </c>
      <c r="R698" s="17">
        <f>'안내'!$C$6+INT((D698-1)/'안내'!$C$7)</f>
        <v/>
      </c>
      <c r="S698" s="14">
        <f>IF(MOD(D698-1,'안내'!$C$7)=0,'안내'!$C$9,'안내'!$C$11)</f>
        <v/>
      </c>
      <c r="T698" s="14">
        <f>CHOOSE(WEEKDAY(R698,2),"월","화","수","목","금","토","일")</f>
        <v/>
      </c>
      <c r="U698" s="14" t="inlineStr">
        <is>
          <t>미착수</t>
        </is>
      </c>
      <c r="V698" s="14" t="inlineStr">
        <is>
          <t>미착수</t>
        </is>
      </c>
      <c r="W698" s="18" t="n"/>
      <c r="X698" s="18" t="n"/>
      <c r="Y698" s="15" t="n"/>
      <c r="Z698" s="15" t="inlineStr"/>
      <c r="AA698" s="15" t="inlineStr">
        <is>
          <t>The world is passing away with its lusts, but he who does God’s will remains forever.</t>
        </is>
      </c>
    </row>
    <row r="699">
      <c r="A699" s="14" t="n">
        <v>698</v>
      </c>
      <c r="B699" s="14" t="inlineStr">
        <is>
          <t>W0698</t>
        </is>
      </c>
      <c r="C699" s="14" t="inlineStr">
        <is>
          <t>신약</t>
        </is>
      </c>
      <c r="D699" s="14" t="n">
        <v>334</v>
      </c>
      <c r="E699" s="14">
        <f>C699&amp;"말씀 #"&amp;TEXT(D699,"000")</f>
        <v/>
      </c>
      <c r="F699" s="14" t="inlineStr">
        <is>
          <t>요한일서</t>
        </is>
      </c>
      <c r="G699" s="14" t="inlineStr">
        <is>
          <t>3:1</t>
        </is>
      </c>
      <c r="H699" s="15" t="inlineStr">
        <is>
          <t>(요일 3:1, 개역한글)</t>
        </is>
      </c>
      <c r="I699" s="14" t="inlineStr">
        <is>
          <t>사랑</t>
        </is>
      </c>
      <c r="J699" s="14" t="inlineStr">
        <is>
          <t>창가·식탁</t>
        </is>
      </c>
      <c r="K699" s="16" t="inlineStr">
        <is>
          <t>보라 아버지께서 어떠한 사랑을 우리에게 주사 하나님의 자녀라 일컬음을 얻게 하셨는고, 우리가 그러하도다 그러므로 세상이 우리를 알지 못함은 그를 알지 못함이니라</t>
        </is>
      </c>
      <c r="L699" s="14" t="inlineStr">
        <is>
          <t>자동 입력</t>
        </is>
      </c>
      <c r="M699" s="14">
        <f>LEN(K699)</f>
        <v/>
      </c>
      <c r="N699" s="14">
        <f>IF(M699=0,"-",ROUND(3+M699/'안내'!$C$12,0))</f>
        <v/>
      </c>
      <c r="O699" s="15">
        <f>IF(K699="","(본문 입력 후 자동) | 요일 3:1",IF(LEN(K699)&gt;28,LEFT(K699,28)&amp;"…",K699)&amp;" | 요일 3:1")</f>
        <v/>
      </c>
      <c r="P699" s="15">
        <f>"#"&amp;SUBSTITUTE('안내'!$C$5," ","")&amp;" #성경구절 #말씀 #요한일서 #사랑"</f>
        <v/>
      </c>
      <c r="Q699" s="15" t="inlineStr">
        <is>
          <t>성경 본문: 개역한글판</t>
        </is>
      </c>
      <c r="R699" s="17">
        <f>'안내'!$C$6+INT((D699-1)/'안내'!$C$7)</f>
        <v/>
      </c>
      <c r="S699" s="14">
        <f>IF(MOD(D699-1,'안내'!$C$7)=0,'안내'!$C$9,'안내'!$C$11)</f>
        <v/>
      </c>
      <c r="T699" s="14">
        <f>CHOOSE(WEEKDAY(R699,2),"월","화","수","목","금","토","일")</f>
        <v/>
      </c>
      <c r="U699" s="14" t="inlineStr">
        <is>
          <t>미착수</t>
        </is>
      </c>
      <c r="V699" s="14" t="inlineStr">
        <is>
          <t>미착수</t>
        </is>
      </c>
      <c r="W699" s="18" t="n"/>
      <c r="X699" s="18" t="n"/>
      <c r="Y699" s="15" t="n"/>
      <c r="Z699" s="15" t="inlineStr"/>
      <c r="AA699" s="15" t="inlineStr">
        <is>
          <t>See how great a love the Father has given to us, that we should be called chil- dren of God! For this cause the world doesn’t know us, because it didn’t know him.</t>
        </is>
      </c>
    </row>
    <row r="700">
      <c r="A700" s="14" t="n">
        <v>699</v>
      </c>
      <c r="B700" s="14" t="inlineStr">
        <is>
          <t>W0699</t>
        </is>
      </c>
      <c r="C700" s="14" t="inlineStr">
        <is>
          <t>신약</t>
        </is>
      </c>
      <c r="D700" s="14" t="n">
        <v>335</v>
      </c>
      <c r="E700" s="14">
        <f>C700&amp;"말씀 #"&amp;TEXT(D700,"000")</f>
        <v/>
      </c>
      <c r="F700" s="14" t="inlineStr">
        <is>
          <t>요한일서</t>
        </is>
      </c>
      <c r="G700" s="14" t="inlineStr">
        <is>
          <t>3:18</t>
        </is>
      </c>
      <c r="H700" s="15" t="inlineStr">
        <is>
          <t>(요일 3:18, 개역한글)</t>
        </is>
      </c>
      <c r="I700" s="14" t="inlineStr">
        <is>
          <t>사랑</t>
        </is>
      </c>
      <c r="J700" s="14" t="inlineStr">
        <is>
          <t>창가·식탁</t>
        </is>
      </c>
      <c r="K700" s="16" t="inlineStr">
        <is>
          <t>자녀들아 우리가 말과 혀로만 사랑하지 말고 오직 행함과 진실함으로 하자</t>
        </is>
      </c>
      <c r="L700" s="14" t="inlineStr">
        <is>
          <t>자동 입력</t>
        </is>
      </c>
      <c r="M700" s="14">
        <f>LEN(K700)</f>
        <v/>
      </c>
      <c r="N700" s="14">
        <f>IF(M700=0,"-",ROUND(3+M700/'안내'!$C$12,0))</f>
        <v/>
      </c>
      <c r="O700" s="15">
        <f>IF(K700="","(본문 입력 후 자동) | 요일 3:18",IF(LEN(K700)&gt;28,LEFT(K700,28)&amp;"…",K700)&amp;" | 요일 3:18")</f>
        <v/>
      </c>
      <c r="P700" s="15">
        <f>"#"&amp;SUBSTITUTE('안내'!$C$5," ","")&amp;" #성경구절 #말씀 #요한일서 #사랑"</f>
        <v/>
      </c>
      <c r="Q700" s="15" t="inlineStr">
        <is>
          <t>성경 본문: 개역한글판</t>
        </is>
      </c>
      <c r="R700" s="17">
        <f>'안내'!$C$6+INT((D700-1)/'안내'!$C$7)</f>
        <v/>
      </c>
      <c r="S700" s="14">
        <f>IF(MOD(D700-1,'안내'!$C$7)=0,'안내'!$C$9,'안내'!$C$11)</f>
        <v/>
      </c>
      <c r="T700" s="14">
        <f>CHOOSE(WEEKDAY(R700,2),"월","화","수","목","금","토","일")</f>
        <v/>
      </c>
      <c r="U700" s="14" t="inlineStr">
        <is>
          <t>미착수</t>
        </is>
      </c>
      <c r="V700" s="14" t="inlineStr">
        <is>
          <t>미착수</t>
        </is>
      </c>
      <c r="W700" s="18" t="n"/>
      <c r="X700" s="18" t="n"/>
      <c r="Y700" s="15" t="n"/>
      <c r="Z700" s="15" t="inlineStr"/>
      <c r="AA700" s="15" t="inlineStr">
        <is>
          <t>My little children, let’s not love in word only, or with the tongue only, but in deed and truth.</t>
        </is>
      </c>
    </row>
    <row r="701">
      <c r="A701" s="14" t="n">
        <v>700</v>
      </c>
      <c r="B701" s="14" t="inlineStr">
        <is>
          <t>W0700</t>
        </is>
      </c>
      <c r="C701" s="14" t="inlineStr">
        <is>
          <t>신약</t>
        </is>
      </c>
      <c r="D701" s="14" t="n">
        <v>336</v>
      </c>
      <c r="E701" s="14">
        <f>C701&amp;"말씀 #"&amp;TEXT(D701,"000")</f>
        <v/>
      </c>
      <c r="F701" s="14" t="inlineStr">
        <is>
          <t>요한일서</t>
        </is>
      </c>
      <c r="G701" s="14" t="inlineStr">
        <is>
          <t>4:4</t>
        </is>
      </c>
      <c r="H701" s="15" t="inlineStr">
        <is>
          <t>(요일 4:4, 개역한글)</t>
        </is>
      </c>
      <c r="I701" s="14" t="inlineStr">
        <is>
          <t>승리</t>
        </is>
      </c>
      <c r="J701" s="14" t="inlineStr">
        <is>
          <t>바위산·광야</t>
        </is>
      </c>
      <c r="K701" s="16" t="inlineStr">
        <is>
          <t>자녀들아 너희는 하나님께 속하였고 또 저희를 이기었나니 이는 너희 안에 계신 이가 세상에 있는 이보다 크심이라</t>
        </is>
      </c>
      <c r="L701" s="14" t="inlineStr">
        <is>
          <t>자동 입력 · 대조 필요</t>
        </is>
      </c>
      <c r="M701" s="14">
        <f>LEN(K701)</f>
        <v/>
      </c>
      <c r="N701" s="14">
        <f>IF(M701=0,"-",ROUND(3+M701/'안내'!$C$12,0))</f>
        <v/>
      </c>
      <c r="O701" s="15">
        <f>IF(K701="","(본문 입력 후 자동) | 요일 4:4",IF(LEN(K701)&gt;28,LEFT(K701,28)&amp;"…",K701)&amp;" | 요일 4:4")</f>
        <v/>
      </c>
      <c r="P701" s="15">
        <f>"#"&amp;SUBSTITUTE('안내'!$C$5," ","")&amp;" #성경구절 #말씀 #요한일서 #승리"</f>
        <v/>
      </c>
      <c r="Q701" s="15" t="inlineStr">
        <is>
          <t>성경 본문: 개역한글판</t>
        </is>
      </c>
      <c r="R701" s="17">
        <f>'안내'!$C$6+INT((D701-1)/'안내'!$C$7)</f>
        <v/>
      </c>
      <c r="S701" s="14">
        <f>IF(MOD(D701-1,'안내'!$C$7)=0,'안내'!$C$9,'안내'!$C$11)</f>
        <v/>
      </c>
      <c r="T701" s="14">
        <f>CHOOSE(WEEKDAY(R701,2),"월","화","수","목","금","토","일")</f>
        <v/>
      </c>
      <c r="U701" s="14" t="inlineStr">
        <is>
          <t>미착수</t>
        </is>
      </c>
      <c r="V701" s="14" t="inlineStr">
        <is>
          <t>미착수</t>
        </is>
      </c>
      <c r="W701" s="18" t="n"/>
      <c r="X701" s="18" t="n"/>
      <c r="Y701" s="15" t="n"/>
      <c r="Z701" s="15" t="inlineStr">
        <is>
          <t>줄바꿈 띄어쓰기 확인</t>
        </is>
      </c>
      <c r="AA701" s="15" t="inlineStr">
        <is>
          <t>You are of God, little children, and have overcome them, because greater is he who is in you than he who is in the world.</t>
        </is>
      </c>
    </row>
    <row r="702">
      <c r="A702" s="14" t="n">
        <v>701</v>
      </c>
      <c r="B702" s="14" t="inlineStr">
        <is>
          <t>W0701</t>
        </is>
      </c>
      <c r="C702" s="14" t="inlineStr">
        <is>
          <t>신약</t>
        </is>
      </c>
      <c r="D702" s="14" t="n">
        <v>337</v>
      </c>
      <c r="E702" s="14">
        <f>C702&amp;"말씀 #"&amp;TEXT(D702,"000")</f>
        <v/>
      </c>
      <c r="F702" s="14" t="inlineStr">
        <is>
          <t>요한일서</t>
        </is>
      </c>
      <c r="G702" s="14" t="inlineStr">
        <is>
          <t>4:7</t>
        </is>
      </c>
      <c r="H702" s="15" t="inlineStr">
        <is>
          <t>(요일 4:7, 개역한글)</t>
        </is>
      </c>
      <c r="I702" s="14" t="inlineStr">
        <is>
          <t>사랑</t>
        </is>
      </c>
      <c r="J702" s="14" t="inlineStr">
        <is>
          <t>창가·식탁</t>
        </is>
      </c>
      <c r="K702" s="16" t="inlineStr">
        <is>
          <t>사랑하는 자들아 우리가 서로 사랑하자 사랑은 하나님께 속한 것이니 사랑하는 자마다 하나님께로 나서 하나님을 알고</t>
        </is>
      </c>
      <c r="L702" s="14" t="inlineStr">
        <is>
          <t>자동 입력</t>
        </is>
      </c>
      <c r="M702" s="14">
        <f>LEN(K702)</f>
        <v/>
      </c>
      <c r="N702" s="14">
        <f>IF(M702=0,"-",ROUND(3+M702/'안내'!$C$12,0))</f>
        <v/>
      </c>
      <c r="O702" s="15">
        <f>IF(K702="","(본문 입력 후 자동) | 요일 4:7",IF(LEN(K702)&gt;28,LEFT(K702,28)&amp;"…",K702)&amp;" | 요일 4:7")</f>
        <v/>
      </c>
      <c r="P702" s="15">
        <f>"#"&amp;SUBSTITUTE('안내'!$C$5," ","")&amp;" #성경구절 #말씀 #요한일서 #사랑"</f>
        <v/>
      </c>
      <c r="Q702" s="15" t="inlineStr">
        <is>
          <t>성경 본문: 개역한글판</t>
        </is>
      </c>
      <c r="R702" s="17">
        <f>'안내'!$C$6+INT((D702-1)/'안내'!$C$7)</f>
        <v/>
      </c>
      <c r="S702" s="14">
        <f>IF(MOD(D702-1,'안내'!$C$7)=0,'안내'!$C$9,'안내'!$C$11)</f>
        <v/>
      </c>
      <c r="T702" s="14">
        <f>CHOOSE(WEEKDAY(R702,2),"월","화","수","목","금","토","일")</f>
        <v/>
      </c>
      <c r="U702" s="14" t="inlineStr">
        <is>
          <t>미착수</t>
        </is>
      </c>
      <c r="V702" s="14" t="inlineStr">
        <is>
          <t>미착수</t>
        </is>
      </c>
      <c r="W702" s="18" t="n"/>
      <c r="X702" s="18" t="n"/>
      <c r="Y702" s="15" t="n"/>
      <c r="Z702" s="15" t="inlineStr"/>
      <c r="AA702" s="15" t="inlineStr">
        <is>
          <t>Beloved, let’s love one another, for love is of God; and everyone who loves has been born of God and knows God.</t>
        </is>
      </c>
    </row>
    <row r="703">
      <c r="A703" s="14" t="n">
        <v>702</v>
      </c>
      <c r="B703" s="14" t="inlineStr">
        <is>
          <t>W0702</t>
        </is>
      </c>
      <c r="C703" s="14" t="inlineStr">
        <is>
          <t>신약</t>
        </is>
      </c>
      <c r="D703" s="14" t="n">
        <v>338</v>
      </c>
      <c r="E703" s="14">
        <f>C703&amp;"말씀 #"&amp;TEXT(D703,"000")</f>
        <v/>
      </c>
      <c r="F703" s="14" t="inlineStr">
        <is>
          <t>요한일서</t>
        </is>
      </c>
      <c r="G703" s="14" t="inlineStr">
        <is>
          <t>4:8</t>
        </is>
      </c>
      <c r="H703" s="15" t="inlineStr">
        <is>
          <t>(요일 4:8, 개역한글)</t>
        </is>
      </c>
      <c r="I703" s="14" t="inlineStr">
        <is>
          <t>사랑</t>
        </is>
      </c>
      <c r="J703" s="14" t="inlineStr">
        <is>
          <t>창가·식탁</t>
        </is>
      </c>
      <c r="K703" s="16" t="inlineStr">
        <is>
          <t>사랑하지 아니하는 자는 하나님을 알지 못하나니 이는 하나님은 사랑이심이라</t>
        </is>
      </c>
      <c r="L703" s="14" t="inlineStr">
        <is>
          <t>자동 입력</t>
        </is>
      </c>
      <c r="M703" s="14">
        <f>LEN(K703)</f>
        <v/>
      </c>
      <c r="N703" s="14">
        <f>IF(M703=0,"-",ROUND(3+M703/'안내'!$C$12,0))</f>
        <v/>
      </c>
      <c r="O703" s="15">
        <f>IF(K703="","(본문 입력 후 자동) | 요일 4:8",IF(LEN(K703)&gt;28,LEFT(K703,28)&amp;"…",K703)&amp;" | 요일 4:8")</f>
        <v/>
      </c>
      <c r="P703" s="15">
        <f>"#"&amp;SUBSTITUTE('안내'!$C$5," ","")&amp;" #성경구절 #말씀 #요한일서 #사랑"</f>
        <v/>
      </c>
      <c r="Q703" s="15" t="inlineStr">
        <is>
          <t>성경 본문: 개역한글판</t>
        </is>
      </c>
      <c r="R703" s="17">
        <f>'안내'!$C$6+INT((D703-1)/'안내'!$C$7)</f>
        <v/>
      </c>
      <c r="S703" s="14">
        <f>IF(MOD(D703-1,'안내'!$C$7)=0,'안내'!$C$9,'안내'!$C$11)</f>
        <v/>
      </c>
      <c r="T703" s="14">
        <f>CHOOSE(WEEKDAY(R703,2),"월","화","수","목","금","토","일")</f>
        <v/>
      </c>
      <c r="U703" s="14" t="inlineStr">
        <is>
          <t>미착수</t>
        </is>
      </c>
      <c r="V703" s="14" t="inlineStr">
        <is>
          <t>미착수</t>
        </is>
      </c>
      <c r="W703" s="18" t="n"/>
      <c r="X703" s="18" t="n"/>
      <c r="Y703" s="15" t="n"/>
      <c r="Z703" s="15" t="inlineStr"/>
      <c r="AA703" s="15" t="inlineStr">
        <is>
          <t>He who doesn’t love doesn’t know God, for God is love.</t>
        </is>
      </c>
    </row>
    <row r="704">
      <c r="A704" s="14" t="n">
        <v>703</v>
      </c>
      <c r="B704" s="14" t="inlineStr">
        <is>
          <t>W0703</t>
        </is>
      </c>
      <c r="C704" s="14" t="inlineStr">
        <is>
          <t>신약</t>
        </is>
      </c>
      <c r="D704" s="14" t="n">
        <v>339</v>
      </c>
      <c r="E704" s="14">
        <f>C704&amp;"말씀 #"&amp;TEXT(D704,"000")</f>
        <v/>
      </c>
      <c r="F704" s="14" t="inlineStr">
        <is>
          <t>요한일서</t>
        </is>
      </c>
      <c r="G704" s="14" t="inlineStr">
        <is>
          <t>4:10</t>
        </is>
      </c>
      <c r="H704" s="15" t="inlineStr">
        <is>
          <t>(요일 4:10, 개역한글)</t>
        </is>
      </c>
      <c r="I704" s="14" t="inlineStr">
        <is>
          <t>사랑</t>
        </is>
      </c>
      <c r="J704" s="14" t="inlineStr">
        <is>
          <t>창가·식탁</t>
        </is>
      </c>
      <c r="K704" s="16" t="inlineStr">
        <is>
          <t>사랑은 여기 있으니 우리가 하나님을 사랑한 것이 아니요 오직 하나님이 우리를 사랑하사 우리 죄를 위하여 화목제로 그 아들을 보내셨음이니라</t>
        </is>
      </c>
      <c r="L704" s="14" t="inlineStr">
        <is>
          <t>자동 입력</t>
        </is>
      </c>
      <c r="M704" s="14">
        <f>LEN(K704)</f>
        <v/>
      </c>
      <c r="N704" s="14">
        <f>IF(M704=0,"-",ROUND(3+M704/'안내'!$C$12,0))</f>
        <v/>
      </c>
      <c r="O704" s="15">
        <f>IF(K704="","(본문 입력 후 자동) | 요일 4:10",IF(LEN(K704)&gt;28,LEFT(K704,28)&amp;"…",K704)&amp;" | 요일 4:10")</f>
        <v/>
      </c>
      <c r="P704" s="15">
        <f>"#"&amp;SUBSTITUTE('안내'!$C$5," ","")&amp;" #성경구절 #말씀 #요한일서 #사랑"</f>
        <v/>
      </c>
      <c r="Q704" s="15" t="inlineStr">
        <is>
          <t>성경 본문: 개역한글판</t>
        </is>
      </c>
      <c r="R704" s="17">
        <f>'안내'!$C$6+INT((D704-1)/'안내'!$C$7)</f>
        <v/>
      </c>
      <c r="S704" s="14">
        <f>IF(MOD(D704-1,'안내'!$C$7)=0,'안내'!$C$9,'안내'!$C$11)</f>
        <v/>
      </c>
      <c r="T704" s="14">
        <f>CHOOSE(WEEKDAY(R704,2),"월","화","수","목","금","토","일")</f>
        <v/>
      </c>
      <c r="U704" s="14" t="inlineStr">
        <is>
          <t>미착수</t>
        </is>
      </c>
      <c r="V704" s="14" t="inlineStr">
        <is>
          <t>미착수</t>
        </is>
      </c>
      <c r="W704" s="18" t="n"/>
      <c r="X704" s="18" t="n"/>
      <c r="Y704" s="15" t="n"/>
      <c r="Z704" s="15" t="inlineStr"/>
      <c r="AA704" s="15" t="inlineStr">
        <is>
          <t>In this is love, not that we loved God, but that he loved us, and sent his Son as the atoning sacrifice for our sins.</t>
        </is>
      </c>
    </row>
    <row r="705">
      <c r="A705" s="14" t="n">
        <v>704</v>
      </c>
      <c r="B705" s="14" t="inlineStr">
        <is>
          <t>W0704</t>
        </is>
      </c>
      <c r="C705" s="14" t="inlineStr">
        <is>
          <t>신약</t>
        </is>
      </c>
      <c r="D705" s="14" t="n">
        <v>340</v>
      </c>
      <c r="E705" s="14">
        <f>C705&amp;"말씀 #"&amp;TEXT(D705,"000")</f>
        <v/>
      </c>
      <c r="F705" s="14" t="inlineStr">
        <is>
          <t>요한일서</t>
        </is>
      </c>
      <c r="G705" s="14" t="inlineStr">
        <is>
          <t>4:18</t>
        </is>
      </c>
      <c r="H705" s="15" t="inlineStr">
        <is>
          <t>(요일 4:18, 개역한글)</t>
        </is>
      </c>
      <c r="I705" s="14" t="inlineStr">
        <is>
          <t>사랑</t>
        </is>
      </c>
      <c r="J705" s="14" t="inlineStr">
        <is>
          <t>창가·식탁</t>
        </is>
      </c>
      <c r="K705" s="16" t="inlineStr">
        <is>
          <t>사랑 안에 두려움이 없고 온전한 사랑이 두려움을 내어쫓나니 두려움에는 형벌이 있음이라 두려워하는 자는 사랑 안에서 온전히 이루지 못하였느니라</t>
        </is>
      </c>
      <c r="L705" s="14" t="inlineStr">
        <is>
          <t>자동 입력</t>
        </is>
      </c>
      <c r="M705" s="14">
        <f>LEN(K705)</f>
        <v/>
      </c>
      <c r="N705" s="14">
        <f>IF(M705=0,"-",ROUND(3+M705/'안내'!$C$12,0))</f>
        <v/>
      </c>
      <c r="O705" s="15">
        <f>IF(K705="","(본문 입력 후 자동) | 요일 4:18",IF(LEN(K705)&gt;28,LEFT(K705,28)&amp;"…",K705)&amp;" | 요일 4:18")</f>
        <v/>
      </c>
      <c r="P705" s="15">
        <f>"#"&amp;SUBSTITUTE('안내'!$C$5," ","")&amp;" #성경구절 #말씀 #요한일서 #사랑"</f>
        <v/>
      </c>
      <c r="Q705" s="15" t="inlineStr">
        <is>
          <t>성경 본문: 개역한글판</t>
        </is>
      </c>
      <c r="R705" s="17">
        <f>'안내'!$C$6+INT((D705-1)/'안내'!$C$7)</f>
        <v/>
      </c>
      <c r="S705" s="14">
        <f>IF(MOD(D705-1,'안내'!$C$7)=0,'안내'!$C$9,'안내'!$C$11)</f>
        <v/>
      </c>
      <c r="T705" s="14">
        <f>CHOOSE(WEEKDAY(R705,2),"월","화","수","목","금","토","일")</f>
        <v/>
      </c>
      <c r="U705" s="14" t="inlineStr">
        <is>
          <t>미착수</t>
        </is>
      </c>
      <c r="V705" s="14" t="inlineStr">
        <is>
          <t>미착수</t>
        </is>
      </c>
      <c r="W705" s="18" t="n"/>
      <c r="X705" s="18" t="n"/>
      <c r="Y705" s="15" t="n"/>
      <c r="Z705" s="15" t="inlineStr"/>
      <c r="AA705" s="15" t="inlineStr">
        <is>
          <t>There is no fear in love; but perfect love casts out fear, because fear has punishment. He who fears is not made perfect in love.</t>
        </is>
      </c>
    </row>
    <row r="706">
      <c r="A706" s="14" t="n">
        <v>705</v>
      </c>
      <c r="B706" s="14" t="inlineStr">
        <is>
          <t>W0705</t>
        </is>
      </c>
      <c r="C706" s="14" t="inlineStr">
        <is>
          <t>신약</t>
        </is>
      </c>
      <c r="D706" s="14" t="n">
        <v>341</v>
      </c>
      <c r="E706" s="14">
        <f>C706&amp;"말씀 #"&amp;TEXT(D706,"000")</f>
        <v/>
      </c>
      <c r="F706" s="14" t="inlineStr">
        <is>
          <t>요한일서</t>
        </is>
      </c>
      <c r="G706" s="14" t="inlineStr">
        <is>
          <t>4:19</t>
        </is>
      </c>
      <c r="H706" s="15" t="inlineStr">
        <is>
          <t>(요일 4:19, 개역한글)</t>
        </is>
      </c>
      <c r="I706" s="14" t="inlineStr">
        <is>
          <t>사랑</t>
        </is>
      </c>
      <c r="J706" s="14" t="inlineStr">
        <is>
          <t>창가·식탁</t>
        </is>
      </c>
      <c r="K706" s="16" t="inlineStr">
        <is>
          <t>우리가 사랑함은 그가 먼저 우리를 사랑하셨음이라</t>
        </is>
      </c>
      <c r="L706" s="14" t="inlineStr">
        <is>
          <t>자동 입력</t>
        </is>
      </c>
      <c r="M706" s="14">
        <f>LEN(K706)</f>
        <v/>
      </c>
      <c r="N706" s="14">
        <f>IF(M706=0,"-",ROUND(3+M706/'안내'!$C$12,0))</f>
        <v/>
      </c>
      <c r="O706" s="15">
        <f>IF(K706="","(본문 입력 후 자동) | 요일 4:19",IF(LEN(K706)&gt;28,LEFT(K706,28)&amp;"…",K706)&amp;" | 요일 4:19")</f>
        <v/>
      </c>
      <c r="P706" s="15">
        <f>"#"&amp;SUBSTITUTE('안내'!$C$5," ","")&amp;" #성경구절 #말씀 #요한일서 #사랑"</f>
        <v/>
      </c>
      <c r="Q706" s="15" t="inlineStr">
        <is>
          <t>성경 본문: 개역한글판</t>
        </is>
      </c>
      <c r="R706" s="17">
        <f>'안내'!$C$6+INT((D706-1)/'안내'!$C$7)</f>
        <v/>
      </c>
      <c r="S706" s="14">
        <f>IF(MOD(D706-1,'안내'!$C$7)=0,'안내'!$C$9,'안내'!$C$11)</f>
        <v/>
      </c>
      <c r="T706" s="14">
        <f>CHOOSE(WEEKDAY(R706,2),"월","화","수","목","금","토","일")</f>
        <v/>
      </c>
      <c r="U706" s="14" t="inlineStr">
        <is>
          <t>미착수</t>
        </is>
      </c>
      <c r="V706" s="14" t="inlineStr">
        <is>
          <t>미착수</t>
        </is>
      </c>
      <c r="W706" s="18" t="n"/>
      <c r="X706" s="18" t="n"/>
      <c r="Y706" s="15" t="n"/>
      <c r="Z706" s="15" t="inlineStr"/>
      <c r="AA706" s="15" t="inlineStr">
        <is>
          <t>We love him, because he first loved us.</t>
        </is>
      </c>
    </row>
    <row r="707">
      <c r="A707" s="14" t="n">
        <v>706</v>
      </c>
      <c r="B707" s="14" t="inlineStr">
        <is>
          <t>W0706</t>
        </is>
      </c>
      <c r="C707" s="14" t="inlineStr">
        <is>
          <t>신약</t>
        </is>
      </c>
      <c r="D707" s="14" t="n">
        <v>342</v>
      </c>
      <c r="E707" s="14">
        <f>C707&amp;"말씀 #"&amp;TEXT(D707,"000")</f>
        <v/>
      </c>
      <c r="F707" s="14" t="inlineStr">
        <is>
          <t>요한일서</t>
        </is>
      </c>
      <c r="G707" s="14" t="inlineStr">
        <is>
          <t>5:4</t>
        </is>
      </c>
      <c r="H707" s="15" t="inlineStr">
        <is>
          <t>(요일 5:4, 개역한글)</t>
        </is>
      </c>
      <c r="I707" s="14" t="inlineStr">
        <is>
          <t>승리</t>
        </is>
      </c>
      <c r="J707" s="14" t="inlineStr">
        <is>
          <t>바위산·광야</t>
        </is>
      </c>
      <c r="K707" s="16" t="inlineStr">
        <is>
          <t>대저 하나님께로서 난 자마다 세상을 이기느니라 세상을 이긴 이김은 이것이니 우리의 믿음이니라</t>
        </is>
      </c>
      <c r="L707" s="14" t="inlineStr">
        <is>
          <t>자동 입력</t>
        </is>
      </c>
      <c r="M707" s="14">
        <f>LEN(K707)</f>
        <v/>
      </c>
      <c r="N707" s="14">
        <f>IF(M707=0,"-",ROUND(3+M707/'안내'!$C$12,0))</f>
        <v/>
      </c>
      <c r="O707" s="15">
        <f>IF(K707="","(본문 입력 후 자동) | 요일 5:4",IF(LEN(K707)&gt;28,LEFT(K707,28)&amp;"…",K707)&amp;" | 요일 5:4")</f>
        <v/>
      </c>
      <c r="P707" s="15">
        <f>"#"&amp;SUBSTITUTE('안내'!$C$5," ","")&amp;" #성경구절 #말씀 #요한일서 #승리"</f>
        <v/>
      </c>
      <c r="Q707" s="15" t="inlineStr">
        <is>
          <t>성경 본문: 개역한글판</t>
        </is>
      </c>
      <c r="R707" s="17">
        <f>'안내'!$C$6+INT((D707-1)/'안내'!$C$7)</f>
        <v/>
      </c>
      <c r="S707" s="14">
        <f>IF(MOD(D707-1,'안내'!$C$7)=0,'안내'!$C$9,'안내'!$C$11)</f>
        <v/>
      </c>
      <c r="T707" s="14">
        <f>CHOOSE(WEEKDAY(R707,2),"월","화","수","목","금","토","일")</f>
        <v/>
      </c>
      <c r="U707" s="14" t="inlineStr">
        <is>
          <t>미착수</t>
        </is>
      </c>
      <c r="V707" s="14" t="inlineStr">
        <is>
          <t>미착수</t>
        </is>
      </c>
      <c r="W707" s="18" t="n"/>
      <c r="X707" s="18" t="n"/>
      <c r="Y707" s="15" t="n"/>
      <c r="Z707" s="15" t="inlineStr"/>
      <c r="AA707" s="15" t="inlineStr">
        <is>
          <t>For whatever is born of God overcomes the world. This is the victory that has overcome the world: your faith.</t>
        </is>
      </c>
    </row>
    <row r="708">
      <c r="A708" s="14" t="n">
        <v>707</v>
      </c>
      <c r="B708" s="14" t="inlineStr">
        <is>
          <t>W0707</t>
        </is>
      </c>
      <c r="C708" s="14" t="inlineStr">
        <is>
          <t>신약</t>
        </is>
      </c>
      <c r="D708" s="14" t="n">
        <v>343</v>
      </c>
      <c r="E708" s="14">
        <f>C708&amp;"말씀 #"&amp;TEXT(D708,"000")</f>
        <v/>
      </c>
      <c r="F708" s="14" t="inlineStr">
        <is>
          <t>요한일서</t>
        </is>
      </c>
      <c r="G708" s="14" t="inlineStr">
        <is>
          <t>5:13</t>
        </is>
      </c>
      <c r="H708" s="15" t="inlineStr">
        <is>
          <t>(요일 5:13, 개역한글)</t>
        </is>
      </c>
      <c r="I708" s="14" t="inlineStr">
        <is>
          <t>구원</t>
        </is>
      </c>
      <c r="J708" s="14" t="inlineStr">
        <is>
          <t>제단·십자가</t>
        </is>
      </c>
      <c r="K708" s="16" t="inlineStr">
        <is>
          <t>내가 하나님의 아들의 이름을 믿는 너희에게 이것을 쓴 것은 너희로 하여금 너희에게 영생이 있음을 알게 하려 함이라</t>
        </is>
      </c>
      <c r="L708" s="14" t="inlineStr">
        <is>
          <t>자동 입력</t>
        </is>
      </c>
      <c r="M708" s="14">
        <f>LEN(K708)</f>
        <v/>
      </c>
      <c r="N708" s="14">
        <f>IF(M708=0,"-",ROUND(3+M708/'안내'!$C$12,0))</f>
        <v/>
      </c>
      <c r="O708" s="15">
        <f>IF(K708="","(본문 입력 후 자동) | 요일 5:13",IF(LEN(K708)&gt;28,LEFT(K708,28)&amp;"…",K708)&amp;" | 요일 5:13")</f>
        <v/>
      </c>
      <c r="P708" s="15">
        <f>"#"&amp;SUBSTITUTE('안내'!$C$5," ","")&amp;" #성경구절 #말씀 #요한일서 #구원"</f>
        <v/>
      </c>
      <c r="Q708" s="15" t="inlineStr">
        <is>
          <t>성경 본문: 개역한글판</t>
        </is>
      </c>
      <c r="R708" s="17">
        <f>'안내'!$C$6+INT((D708-1)/'안내'!$C$7)</f>
        <v/>
      </c>
      <c r="S708" s="14">
        <f>IF(MOD(D708-1,'안내'!$C$7)=0,'안내'!$C$9,'안내'!$C$11)</f>
        <v/>
      </c>
      <c r="T708" s="14">
        <f>CHOOSE(WEEKDAY(R708,2),"월","화","수","목","금","토","일")</f>
        <v/>
      </c>
      <c r="U708" s="14" t="inlineStr">
        <is>
          <t>미착수</t>
        </is>
      </c>
      <c r="V708" s="14" t="inlineStr">
        <is>
          <t>미착수</t>
        </is>
      </c>
      <c r="W708" s="18" t="n"/>
      <c r="X708" s="18" t="n"/>
      <c r="Y708" s="15" t="n"/>
      <c r="Z708" s="15" t="inlineStr"/>
      <c r="AA708" s="15" t="inlineStr">
        <is>
          <t>These things I have written to you who believe in the name of the Son of God, that you may know that you have eternal life, and that you may continue to believe in the name of the Son of God.</t>
        </is>
      </c>
    </row>
    <row r="709">
      <c r="A709" s="14" t="n">
        <v>708</v>
      </c>
      <c r="B709" s="14" t="inlineStr">
        <is>
          <t>W0708</t>
        </is>
      </c>
      <c r="C709" s="14" t="inlineStr">
        <is>
          <t>신약</t>
        </is>
      </c>
      <c r="D709" s="14" t="n">
        <v>344</v>
      </c>
      <c r="E709" s="14">
        <f>C709&amp;"말씀 #"&amp;TEXT(D709,"000")</f>
        <v/>
      </c>
      <c r="F709" s="14" t="inlineStr">
        <is>
          <t>요한이서</t>
        </is>
      </c>
      <c r="G709" s="14" t="inlineStr">
        <is>
          <t>1:6</t>
        </is>
      </c>
      <c r="H709" s="15" t="inlineStr">
        <is>
          <t>(요이 1:6, 개역한글)</t>
        </is>
      </c>
      <c r="I709" s="14" t="inlineStr">
        <is>
          <t>사랑</t>
        </is>
      </c>
      <c r="J709" s="14" t="inlineStr">
        <is>
          <t>창가·식탁</t>
        </is>
      </c>
      <c r="K709" s="16" t="inlineStr">
        <is>
          <t>또 사랑은 이것이니 우리가 그 계명을 좇아 행하는 것이요 계명은 이것이니 너희가 처음부터 들은 바와 같이 그 가운데서 행하라 하심이라</t>
        </is>
      </c>
      <c r="L709" s="14" t="inlineStr">
        <is>
          <t>자동 입력</t>
        </is>
      </c>
      <c r="M709" s="14">
        <f>LEN(K709)</f>
        <v/>
      </c>
      <c r="N709" s="14">
        <f>IF(M709=0,"-",ROUND(3+M709/'안내'!$C$12,0))</f>
        <v/>
      </c>
      <c r="O709" s="15">
        <f>IF(K709="","(본문 입력 후 자동) | 요이 1:6",IF(LEN(K709)&gt;28,LEFT(K709,28)&amp;"…",K709)&amp;" | 요이 1:6")</f>
        <v/>
      </c>
      <c r="P709" s="15">
        <f>"#"&amp;SUBSTITUTE('안내'!$C$5," ","")&amp;" #성경구절 #말씀 #요한이서 #사랑"</f>
        <v/>
      </c>
      <c r="Q709" s="15" t="inlineStr">
        <is>
          <t>성경 본문: 개역한글판</t>
        </is>
      </c>
      <c r="R709" s="17">
        <f>'안내'!$C$6+INT((D709-1)/'안내'!$C$7)</f>
        <v/>
      </c>
      <c r="S709" s="14">
        <f>IF(MOD(D709-1,'안내'!$C$7)=0,'안내'!$C$9,'안내'!$C$11)</f>
        <v/>
      </c>
      <c r="T709" s="14">
        <f>CHOOSE(WEEKDAY(R709,2),"월","화","수","목","금","토","일")</f>
        <v/>
      </c>
      <c r="U709" s="14" t="inlineStr">
        <is>
          <t>미착수</t>
        </is>
      </c>
      <c r="V709" s="14" t="inlineStr">
        <is>
          <t>미착수</t>
        </is>
      </c>
      <c r="W709" s="18" t="n"/>
      <c r="X709" s="18" t="n"/>
      <c r="Y709" s="15" t="n"/>
      <c r="Z709" s="15" t="inlineStr"/>
      <c r="AA709" s="15" t="inlineStr">
        <is>
          <t>This is love, that we should walk according to his com- mandments. This is the commandment, even as you heard from the beginning, that you should walk in it.</t>
        </is>
      </c>
    </row>
    <row r="710">
      <c r="A710" s="14" t="n">
        <v>709</v>
      </c>
      <c r="B710" s="14" t="inlineStr">
        <is>
          <t>W0709</t>
        </is>
      </c>
      <c r="C710" s="14" t="inlineStr">
        <is>
          <t>신약</t>
        </is>
      </c>
      <c r="D710" s="14" t="n">
        <v>345</v>
      </c>
      <c r="E710" s="14">
        <f>C710&amp;"말씀 #"&amp;TEXT(D710,"000")</f>
        <v/>
      </c>
      <c r="F710" s="14" t="inlineStr">
        <is>
          <t>요한삼서</t>
        </is>
      </c>
      <c r="G710" s="14" t="inlineStr">
        <is>
          <t>1:4</t>
        </is>
      </c>
      <c r="H710" s="15" t="inlineStr">
        <is>
          <t>(요삼 1:4, 개역한글)</t>
        </is>
      </c>
      <c r="I710" s="14" t="inlineStr">
        <is>
          <t>기쁨</t>
        </is>
      </c>
      <c r="J710" s="14" t="inlineStr">
        <is>
          <t>새벽빛</t>
        </is>
      </c>
      <c r="K710" s="16" t="inlineStr">
        <is>
          <t>내가 내 자녀들이 진리 안에서 행한다 함을 듣는 것보다 더 즐거움이 없도다</t>
        </is>
      </c>
      <c r="L710" s="14" t="inlineStr">
        <is>
          <t>자동 입력</t>
        </is>
      </c>
      <c r="M710" s="14">
        <f>LEN(K710)</f>
        <v/>
      </c>
      <c r="N710" s="14">
        <f>IF(M710=0,"-",ROUND(3+M710/'안내'!$C$12,0))</f>
        <v/>
      </c>
      <c r="O710" s="15">
        <f>IF(K710="","(본문 입력 후 자동) | 요삼 1:4",IF(LEN(K710)&gt;28,LEFT(K710,28)&amp;"…",K710)&amp;" | 요삼 1:4")</f>
        <v/>
      </c>
      <c r="P710" s="15">
        <f>"#"&amp;SUBSTITUTE('안내'!$C$5," ","")&amp;" #성경구절 #말씀 #요한삼서 #기쁨"</f>
        <v/>
      </c>
      <c r="Q710" s="15" t="inlineStr">
        <is>
          <t>성경 본문: 개역한글판</t>
        </is>
      </c>
      <c r="R710" s="17">
        <f>'안내'!$C$6+INT((D710-1)/'안내'!$C$7)</f>
        <v/>
      </c>
      <c r="S710" s="14">
        <f>IF(MOD(D710-1,'안내'!$C$7)=0,'안내'!$C$9,'안내'!$C$11)</f>
        <v/>
      </c>
      <c r="T710" s="14">
        <f>CHOOSE(WEEKDAY(R710,2),"월","화","수","목","금","토","일")</f>
        <v/>
      </c>
      <c r="U710" s="14" t="inlineStr">
        <is>
          <t>미착수</t>
        </is>
      </c>
      <c r="V710" s="14" t="inlineStr">
        <is>
          <t>미착수</t>
        </is>
      </c>
      <c r="W710" s="18" t="n"/>
      <c r="X710" s="18" t="n"/>
      <c r="Y710" s="15" t="n"/>
      <c r="Z710" s="15" t="inlineStr"/>
      <c r="AA710" s="15" t="inlineStr">
        <is>
          <t>I have no greater joy than this: to hear about my children walking in truth.</t>
        </is>
      </c>
    </row>
    <row r="711">
      <c r="A711" s="14" t="n">
        <v>710</v>
      </c>
      <c r="B711" s="14" t="inlineStr">
        <is>
          <t>W0710</t>
        </is>
      </c>
      <c r="C711" s="14" t="inlineStr">
        <is>
          <t>신약</t>
        </is>
      </c>
      <c r="D711" s="14" t="n">
        <v>346</v>
      </c>
      <c r="E711" s="14">
        <f>C711&amp;"말씀 #"&amp;TEXT(D711,"000")</f>
        <v/>
      </c>
      <c r="F711" s="14" t="inlineStr">
        <is>
          <t>유다서</t>
        </is>
      </c>
      <c r="G711" s="14" t="inlineStr">
        <is>
          <t>1:21</t>
        </is>
      </c>
      <c r="H711" s="15" t="inlineStr">
        <is>
          <t>(유 1:21, 개역한글)</t>
        </is>
      </c>
      <c r="I711" s="14" t="inlineStr">
        <is>
          <t>사랑</t>
        </is>
      </c>
      <c r="J711" s="14" t="inlineStr">
        <is>
          <t>창가·식탁</t>
        </is>
      </c>
      <c r="K711" s="16" t="inlineStr">
        <is>
          <t>하나님의 사랑 안에서 자기를 지키며 영생에 이르도록 우리 주 예수 그리스도의 긍휼을 기다리라</t>
        </is>
      </c>
      <c r="L711" s="14" t="inlineStr">
        <is>
          <t>자동 입력</t>
        </is>
      </c>
      <c r="M711" s="14">
        <f>LEN(K711)</f>
        <v/>
      </c>
      <c r="N711" s="14">
        <f>IF(M711=0,"-",ROUND(3+M711/'안내'!$C$12,0))</f>
        <v/>
      </c>
      <c r="O711" s="15">
        <f>IF(K711="","(본문 입력 후 자동) | 유 1:21",IF(LEN(K711)&gt;28,LEFT(K711,28)&amp;"…",K711)&amp;" | 유 1:21")</f>
        <v/>
      </c>
      <c r="P711" s="15">
        <f>"#"&amp;SUBSTITUTE('안내'!$C$5," ","")&amp;" #성경구절 #말씀 #유다서 #사랑"</f>
        <v/>
      </c>
      <c r="Q711" s="15" t="inlineStr">
        <is>
          <t>성경 본문: 개역한글판</t>
        </is>
      </c>
      <c r="R711" s="17">
        <f>'안내'!$C$6+INT((D711-1)/'안내'!$C$7)</f>
        <v/>
      </c>
      <c r="S711" s="14">
        <f>IF(MOD(D711-1,'안내'!$C$7)=0,'안내'!$C$9,'안내'!$C$11)</f>
        <v/>
      </c>
      <c r="T711" s="14">
        <f>CHOOSE(WEEKDAY(R711,2),"월","화","수","목","금","토","일")</f>
        <v/>
      </c>
      <c r="U711" s="14" t="inlineStr">
        <is>
          <t>미착수</t>
        </is>
      </c>
      <c r="V711" s="14" t="inlineStr">
        <is>
          <t>미착수</t>
        </is>
      </c>
      <c r="W711" s="18" t="n"/>
      <c r="X711" s="18" t="n"/>
      <c r="Y711" s="15" t="n"/>
      <c r="Z711" s="15" t="inlineStr"/>
      <c r="AA711" s="15" t="inlineStr">
        <is>
          <t>Keep yourselves in God’s love, looking for the mercy of our Lord Jesus Christ to eternal life.</t>
        </is>
      </c>
    </row>
    <row r="712">
      <c r="A712" s="14" t="n">
        <v>711</v>
      </c>
      <c r="B712" s="14" t="inlineStr">
        <is>
          <t>W0711</t>
        </is>
      </c>
      <c r="C712" s="14" t="inlineStr">
        <is>
          <t>신약</t>
        </is>
      </c>
      <c r="D712" s="14" t="n">
        <v>347</v>
      </c>
      <c r="E712" s="14">
        <f>C712&amp;"말씀 #"&amp;TEXT(D712,"000")</f>
        <v/>
      </c>
      <c r="F712" s="14" t="inlineStr">
        <is>
          <t>유다서</t>
        </is>
      </c>
      <c r="G712" s="14" t="inlineStr">
        <is>
          <t>1:24</t>
        </is>
      </c>
      <c r="H712" s="15" t="inlineStr">
        <is>
          <t>(유 1:24, 개역한글)</t>
        </is>
      </c>
      <c r="I712" s="14" t="inlineStr">
        <is>
          <t>보호</t>
        </is>
      </c>
      <c r="J712" s="14" t="inlineStr">
        <is>
          <t>바위산·광야</t>
        </is>
      </c>
      <c r="K712" s="16" t="inlineStr">
        <is>
          <t>능히 너희를 보호하사 거침이 없게 하시고 너희로 그 영광 앞에 흠이 없이 즐거움으로 서게 하실 자</t>
        </is>
      </c>
      <c r="L712" s="14" t="inlineStr">
        <is>
          <t>자동 입력</t>
        </is>
      </c>
      <c r="M712" s="14">
        <f>LEN(K712)</f>
        <v/>
      </c>
      <c r="N712" s="14">
        <f>IF(M712=0,"-",ROUND(3+M712/'안내'!$C$12,0))</f>
        <v/>
      </c>
      <c r="O712" s="15">
        <f>IF(K712="","(본문 입력 후 자동) | 유 1:24",IF(LEN(K712)&gt;28,LEFT(K712,28)&amp;"…",K712)&amp;" | 유 1:24")</f>
        <v/>
      </c>
      <c r="P712" s="15">
        <f>"#"&amp;SUBSTITUTE('안내'!$C$5," ","")&amp;" #성경구절 #말씀 #유다서 #보호"</f>
        <v/>
      </c>
      <c r="Q712" s="15" t="inlineStr">
        <is>
          <t>성경 본문: 개역한글판</t>
        </is>
      </c>
      <c r="R712" s="17">
        <f>'안내'!$C$6+INT((D712-1)/'안내'!$C$7)</f>
        <v/>
      </c>
      <c r="S712" s="14">
        <f>IF(MOD(D712-1,'안내'!$C$7)=0,'안내'!$C$9,'안내'!$C$11)</f>
        <v/>
      </c>
      <c r="T712" s="14">
        <f>CHOOSE(WEEKDAY(R712,2),"월","화","수","목","금","토","일")</f>
        <v/>
      </c>
      <c r="U712" s="14" t="inlineStr">
        <is>
          <t>미착수</t>
        </is>
      </c>
      <c r="V712" s="14" t="inlineStr">
        <is>
          <t>미착수</t>
        </is>
      </c>
      <c r="W712" s="18" t="n"/>
      <c r="X712" s="18" t="n"/>
      <c r="Y712" s="15" t="n"/>
      <c r="Z712" s="15" t="inlineStr"/>
      <c r="AA712" s="15" t="inlineStr">
        <is>
          <t>Now to him who is able to keep them§ from stumbling, and to present you fault- less before the presence of his glory in great joy,</t>
        </is>
      </c>
    </row>
    <row r="713">
      <c r="A713" s="14" t="n">
        <v>712</v>
      </c>
      <c r="B713" s="14" t="inlineStr">
        <is>
          <t>W0712</t>
        </is>
      </c>
      <c r="C713" s="14" t="inlineStr">
        <is>
          <t>신약</t>
        </is>
      </c>
      <c r="D713" s="14" t="n">
        <v>348</v>
      </c>
      <c r="E713" s="14">
        <f>C713&amp;"말씀 #"&amp;TEXT(D713,"000")</f>
        <v/>
      </c>
      <c r="F713" s="14" t="inlineStr">
        <is>
          <t>요한계시록</t>
        </is>
      </c>
      <c r="G713" s="14" t="inlineStr">
        <is>
          <t>1:3</t>
        </is>
      </c>
      <c r="H713" s="15" t="inlineStr">
        <is>
          <t>(계 1:3, 개역한글)</t>
        </is>
      </c>
      <c r="I713" s="14" t="inlineStr">
        <is>
          <t>말씀</t>
        </is>
      </c>
      <c r="J713" s="14" t="inlineStr">
        <is>
          <t>들판·나무</t>
        </is>
      </c>
      <c r="K713" s="16" t="inlineStr">
        <is>
          <t>이 예언의 말씀을 읽는 자와 듣는 자들과 그 가운데 기록한 것을 지키는 자들이 복이 있나니 때가 가까움이라</t>
        </is>
      </c>
      <c r="L713" s="14" t="inlineStr">
        <is>
          <t>자동 입력 · 대조 필요</t>
        </is>
      </c>
      <c r="M713" s="14">
        <f>LEN(K713)</f>
        <v/>
      </c>
      <c r="N713" s="14">
        <f>IF(M713=0,"-",ROUND(3+M713/'안내'!$C$12,0))</f>
        <v/>
      </c>
      <c r="O713" s="15">
        <f>IF(K713="","(본문 입력 후 자동) | 계 1:3",IF(LEN(K713)&gt;28,LEFT(K713,28)&amp;"…",K713)&amp;" | 계 1:3")</f>
        <v/>
      </c>
      <c r="P713" s="15">
        <f>"#"&amp;SUBSTITUTE('안내'!$C$5," ","")&amp;" #성경구절 #말씀 #요한계시록 #말씀"</f>
        <v/>
      </c>
      <c r="Q713" s="15" t="inlineStr">
        <is>
          <t>성경 본문: 개역한글판</t>
        </is>
      </c>
      <c r="R713" s="17">
        <f>'안내'!$C$6+INT((D713-1)/'안내'!$C$7)</f>
        <v/>
      </c>
      <c r="S713" s="14">
        <f>IF(MOD(D713-1,'안내'!$C$7)=0,'안내'!$C$9,'안내'!$C$11)</f>
        <v/>
      </c>
      <c r="T713" s="14">
        <f>CHOOSE(WEEKDAY(R713,2),"월","화","수","목","금","토","일")</f>
        <v/>
      </c>
      <c r="U713" s="14" t="inlineStr">
        <is>
          <t>미착수</t>
        </is>
      </c>
      <c r="V713" s="14" t="inlineStr">
        <is>
          <t>미착수</t>
        </is>
      </c>
      <c r="W713" s="18" t="n"/>
      <c r="X713" s="18" t="n"/>
      <c r="Y713" s="15" t="n"/>
      <c r="Z713" s="15" t="inlineStr">
        <is>
          <t>줄바꿈 띄어쓰기 확인</t>
        </is>
      </c>
      <c r="AA713" s="15" t="inlineStr">
        <is>
          <t>Blessed is he who reads and those who hear the words of the prophecy, and keep the things that are written in it, for the time is near.</t>
        </is>
      </c>
    </row>
    <row r="714">
      <c r="A714" s="14" t="n">
        <v>713</v>
      </c>
      <c r="B714" s="14" t="inlineStr">
        <is>
          <t>W0713</t>
        </is>
      </c>
      <c r="C714" s="14" t="inlineStr">
        <is>
          <t>신약</t>
        </is>
      </c>
      <c r="D714" s="14" t="n">
        <v>349</v>
      </c>
      <c r="E714" s="14">
        <f>C714&amp;"말씀 #"&amp;TEXT(D714,"000")</f>
        <v/>
      </c>
      <c r="F714" s="14" t="inlineStr">
        <is>
          <t>요한계시록</t>
        </is>
      </c>
      <c r="G714" s="14" t="inlineStr">
        <is>
          <t>2:10</t>
        </is>
      </c>
      <c r="H714" s="15" t="inlineStr">
        <is>
          <t>(계 2:10, 개역한글)</t>
        </is>
      </c>
      <c r="I714" s="14" t="inlineStr">
        <is>
          <t>헌신</t>
        </is>
      </c>
      <c r="J714" s="14" t="inlineStr">
        <is>
          <t>길·등불</t>
        </is>
      </c>
      <c r="K714" s="16" t="inlineStr">
        <is>
          <t>네가 장차 받을 고난을 두려워 말라 볼지어다 마귀가 장차 너희 가운데서 몇 사람을 옥에 던져 시험을 받게 하리니 너희가 십 일 동안 환난을 받으리라 네가 죽도록 충성하라 그리하면 내가 생명의 면류관을 네게 주리라</t>
        </is>
      </c>
      <c r="L714" s="14" t="inlineStr">
        <is>
          <t>자동 입력 · 대조 필요</t>
        </is>
      </c>
      <c r="M714" s="14">
        <f>LEN(K714)</f>
        <v/>
      </c>
      <c r="N714" s="14">
        <f>IF(M714=0,"-",ROUND(3+M714/'안내'!$C$12,0))</f>
        <v/>
      </c>
      <c r="O714" s="15">
        <f>IF(K714="","(본문 입력 후 자동) | 계 2:10",IF(LEN(K714)&gt;28,LEFT(K714,28)&amp;"…",K714)&amp;" | 계 2:10")</f>
        <v/>
      </c>
      <c r="P714" s="15">
        <f>"#"&amp;SUBSTITUTE('안내'!$C$5," ","")&amp;" #성경구절 #말씀 #요한계시록 #헌신"</f>
        <v/>
      </c>
      <c r="Q714" s="15" t="inlineStr">
        <is>
          <t>성경 본문: 개역한글판</t>
        </is>
      </c>
      <c r="R714" s="17">
        <f>'안내'!$C$6+INT((D714-1)/'안내'!$C$7)</f>
        <v/>
      </c>
      <c r="S714" s="14">
        <f>IF(MOD(D714-1,'안내'!$C$7)=0,'안내'!$C$9,'안내'!$C$11)</f>
        <v/>
      </c>
      <c r="T714" s="14">
        <f>CHOOSE(WEEKDAY(R714,2),"월","화","수","목","금","토","일")</f>
        <v/>
      </c>
      <c r="U714" s="14" t="inlineStr">
        <is>
          <t>미착수</t>
        </is>
      </c>
      <c r="V714" s="14" t="inlineStr">
        <is>
          <t>미착수</t>
        </is>
      </c>
      <c r="W714" s="18" t="n"/>
      <c r="X714" s="18" t="n"/>
      <c r="Y714" s="15" t="n"/>
      <c r="Z714" s="15" t="inlineStr">
        <is>
          <t>줄바꿈 띄어쓰기 확인</t>
        </is>
      </c>
      <c r="AA714" s="15" t="inlineStr">
        <is>
          <t>Don’t be afraid of the things which you are about to suffer. Behold, the devil is about to throw some of you into prison, that you may be tested; and you will have oppression for ten days. Be faithful to death, and I will give you the crown of life.</t>
        </is>
      </c>
    </row>
    <row r="715">
      <c r="A715" s="14" t="n">
        <v>714</v>
      </c>
      <c r="B715" s="14" t="inlineStr">
        <is>
          <t>W0714</t>
        </is>
      </c>
      <c r="C715" s="14" t="inlineStr">
        <is>
          <t>신약</t>
        </is>
      </c>
      <c r="D715" s="14" t="n">
        <v>350</v>
      </c>
      <c r="E715" s="14">
        <f>C715&amp;"말씀 #"&amp;TEXT(D715,"000")</f>
        <v/>
      </c>
      <c r="F715" s="14" t="inlineStr">
        <is>
          <t>요한계시록</t>
        </is>
      </c>
      <c r="G715" s="14" t="inlineStr">
        <is>
          <t>3:20</t>
        </is>
      </c>
      <c r="H715" s="15" t="inlineStr">
        <is>
          <t>(계 3:20, 개역한글)</t>
        </is>
      </c>
      <c r="I715" s="14" t="inlineStr">
        <is>
          <t>은혜</t>
        </is>
      </c>
      <c r="J715" s="14" t="inlineStr">
        <is>
          <t>잔잔한 물</t>
        </is>
      </c>
      <c r="K715" s="16" t="inlineStr">
        <is>
          <t>볼지어다 내가 문 밖에 서서 두드리노니 누구든지 내 음성을 듣고 문을 열면 내가 그에게로 들어가 그로 더불어 먹고 그는 나로 더불어 먹으리라</t>
        </is>
      </c>
      <c r="L715" s="14" t="inlineStr">
        <is>
          <t>자동 입력</t>
        </is>
      </c>
      <c r="M715" s="14">
        <f>LEN(K715)</f>
        <v/>
      </c>
      <c r="N715" s="14">
        <f>IF(M715=0,"-",ROUND(3+M715/'안내'!$C$12,0))</f>
        <v/>
      </c>
      <c r="O715" s="15">
        <f>IF(K715="","(본문 입력 후 자동) | 계 3:20",IF(LEN(K715)&gt;28,LEFT(K715,28)&amp;"…",K715)&amp;" | 계 3:20")</f>
        <v/>
      </c>
      <c r="P715" s="15">
        <f>"#"&amp;SUBSTITUTE('안내'!$C$5," ","")&amp;" #성경구절 #말씀 #요한계시록 #은혜"</f>
        <v/>
      </c>
      <c r="Q715" s="15" t="inlineStr">
        <is>
          <t>성경 본문: 개역한글판</t>
        </is>
      </c>
      <c r="R715" s="17">
        <f>'안내'!$C$6+INT((D715-1)/'안내'!$C$7)</f>
        <v/>
      </c>
      <c r="S715" s="14">
        <f>IF(MOD(D715-1,'안내'!$C$7)=0,'안내'!$C$9,'안내'!$C$11)</f>
        <v/>
      </c>
      <c r="T715" s="14">
        <f>CHOOSE(WEEKDAY(R715,2),"월","화","수","목","금","토","일")</f>
        <v/>
      </c>
      <c r="U715" s="14" t="inlineStr">
        <is>
          <t>미착수</t>
        </is>
      </c>
      <c r="V715" s="14" t="inlineStr">
        <is>
          <t>미착수</t>
        </is>
      </c>
      <c r="W715" s="18" t="n"/>
      <c r="X715" s="18" t="n"/>
      <c r="Y715" s="15" t="n"/>
      <c r="Z715" s="15" t="inlineStr"/>
      <c r="AA715" s="15" t="inlineStr">
        <is>
          <t>Behold, I stand at the door and knock. If anyone hears my voice and opens the door, then I will come in to him and will dine with him, and he with me.</t>
        </is>
      </c>
    </row>
    <row r="716">
      <c r="A716" s="14" t="n">
        <v>715</v>
      </c>
      <c r="B716" s="14" t="inlineStr">
        <is>
          <t>W0715</t>
        </is>
      </c>
      <c r="C716" s="14" t="inlineStr">
        <is>
          <t>신약</t>
        </is>
      </c>
      <c r="D716" s="14" t="n">
        <v>351</v>
      </c>
      <c r="E716" s="14">
        <f>C716&amp;"말씀 #"&amp;TEXT(D716,"000")</f>
        <v/>
      </c>
      <c r="F716" s="14" t="inlineStr">
        <is>
          <t>요한계시록</t>
        </is>
      </c>
      <c r="G716" s="14" t="inlineStr">
        <is>
          <t>4:8</t>
        </is>
      </c>
      <c r="H716" s="15" t="inlineStr">
        <is>
          <t>(계 4:8, 개역한글)</t>
        </is>
      </c>
      <c r="I716" s="14" t="inlineStr">
        <is>
          <t>거룩</t>
        </is>
      </c>
      <c r="J716" s="14" t="inlineStr">
        <is>
          <t>하늘·별</t>
        </is>
      </c>
      <c r="K716" s="16" t="inlineStr">
        <is>
          <t>네 생물이 각각 여섯 날개가 있고 그 안과 주위에 눈이 가득하더라 그들이 밤낮 쉬지 않고 이르기를 거룩하다 거룩하다 거룩하다 주 하나님 곧 전능하신 이여 전에도 계셨고 이제도 계시고 장차 오실 자라 하고</t>
        </is>
      </c>
      <c r="L716" s="14" t="inlineStr">
        <is>
          <t>자동 입력</t>
        </is>
      </c>
      <c r="M716" s="14">
        <f>LEN(K716)</f>
        <v/>
      </c>
      <c r="N716" s="14">
        <f>IF(M716=0,"-",ROUND(3+M716/'안내'!$C$12,0))</f>
        <v/>
      </c>
      <c r="O716" s="15">
        <f>IF(K716="","(본문 입력 후 자동) | 계 4:8",IF(LEN(K716)&gt;28,LEFT(K716,28)&amp;"…",K716)&amp;" | 계 4:8")</f>
        <v/>
      </c>
      <c r="P716" s="15">
        <f>"#"&amp;SUBSTITUTE('안내'!$C$5," ","")&amp;" #성경구절 #말씀 #요한계시록 #거룩"</f>
        <v/>
      </c>
      <c r="Q716" s="15" t="inlineStr">
        <is>
          <t>성경 본문: 개역한글판</t>
        </is>
      </c>
      <c r="R716" s="17">
        <f>'안내'!$C$6+INT((D716-1)/'안내'!$C$7)</f>
        <v/>
      </c>
      <c r="S716" s="14">
        <f>IF(MOD(D716-1,'안내'!$C$7)=0,'안내'!$C$9,'안내'!$C$11)</f>
        <v/>
      </c>
      <c r="T716" s="14">
        <f>CHOOSE(WEEKDAY(R716,2),"월","화","수","목","금","토","일")</f>
        <v/>
      </c>
      <c r="U716" s="14" t="inlineStr">
        <is>
          <t>미착수</t>
        </is>
      </c>
      <c r="V716" s="14" t="inlineStr">
        <is>
          <t>미착수</t>
        </is>
      </c>
      <c r="W716" s="18" t="n"/>
      <c r="X716" s="18" t="n"/>
      <c r="Y716" s="15" t="n"/>
      <c r="Z716" s="15" t="inlineStr"/>
      <c r="AA716" s="15" t="inlineStr">
        <is>
          <t>The four living creatures, each one of them having six wings, are full of eyes around and within. They have no rest day and night, saying, “Holy, holy, holy is the Lord God, the Almighty, who was and who is and who is to come!”</t>
        </is>
      </c>
    </row>
    <row r="717">
      <c r="A717" s="14" t="n">
        <v>716</v>
      </c>
      <c r="B717" s="14" t="inlineStr">
        <is>
          <t>W0716</t>
        </is>
      </c>
      <c r="C717" s="14" t="inlineStr">
        <is>
          <t>신약</t>
        </is>
      </c>
      <c r="D717" s="14" t="n">
        <v>352</v>
      </c>
      <c r="E717" s="14">
        <f>C717&amp;"말씀 #"&amp;TEXT(D717,"000")</f>
        <v/>
      </c>
      <c r="F717" s="14" t="inlineStr">
        <is>
          <t>요한계시록</t>
        </is>
      </c>
      <c r="G717" s="14" t="inlineStr">
        <is>
          <t>4:11</t>
        </is>
      </c>
      <c r="H717" s="15" t="inlineStr">
        <is>
          <t>(계 4:11, 개역한글)</t>
        </is>
      </c>
      <c r="I717" s="14" t="inlineStr">
        <is>
          <t>찬양</t>
        </is>
      </c>
      <c r="J717" s="14" t="inlineStr">
        <is>
          <t>하늘·별</t>
        </is>
      </c>
      <c r="K717" s="16" t="inlineStr">
        <is>
          <t>우리 주 하나님이여 영광과 존귀와 능력을 받으시는 것이 합당하오니 주께서 만물을 지으신지라 만물이 주의 뜻대로 있었고 또 지으심을 받았나이다 하더라</t>
        </is>
      </c>
      <c r="L717" s="14" t="inlineStr">
        <is>
          <t>자동 입력</t>
        </is>
      </c>
      <c r="M717" s="14">
        <f>LEN(K717)</f>
        <v/>
      </c>
      <c r="N717" s="14">
        <f>IF(M717=0,"-",ROUND(3+M717/'안내'!$C$12,0))</f>
        <v/>
      </c>
      <c r="O717" s="15">
        <f>IF(K717="","(본문 입력 후 자동) | 계 4:11",IF(LEN(K717)&gt;28,LEFT(K717,28)&amp;"…",K717)&amp;" | 계 4:11")</f>
        <v/>
      </c>
      <c r="P717" s="15">
        <f>"#"&amp;SUBSTITUTE('안내'!$C$5," ","")&amp;" #성경구절 #말씀 #요한계시록 #찬양"</f>
        <v/>
      </c>
      <c r="Q717" s="15" t="inlineStr">
        <is>
          <t>성경 본문: 개역한글판</t>
        </is>
      </c>
      <c r="R717" s="17">
        <f>'안내'!$C$6+INT((D717-1)/'안내'!$C$7)</f>
        <v/>
      </c>
      <c r="S717" s="14">
        <f>IF(MOD(D717-1,'안내'!$C$7)=0,'안내'!$C$9,'안내'!$C$11)</f>
        <v/>
      </c>
      <c r="T717" s="14">
        <f>CHOOSE(WEEKDAY(R717,2),"월","화","수","목","금","토","일")</f>
        <v/>
      </c>
      <c r="U717" s="14" t="inlineStr">
        <is>
          <t>미착수</t>
        </is>
      </c>
      <c r="V717" s="14" t="inlineStr">
        <is>
          <t>미착수</t>
        </is>
      </c>
      <c r="W717" s="18" t="n"/>
      <c r="X717" s="18" t="n"/>
      <c r="Y717" s="15" t="n"/>
      <c r="Z717" s="15" t="inlineStr"/>
      <c r="AA717" s="15" t="inlineStr">
        <is>
          <t>“Worthy are you, our Lord and God, the Holy One, to receive the glory, the honor, and the power, for you created all things, and because of your desire they existed and were created!”</t>
        </is>
      </c>
    </row>
    <row r="718">
      <c r="A718" s="14" t="n">
        <v>717</v>
      </c>
      <c r="B718" s="14" t="inlineStr">
        <is>
          <t>W0717</t>
        </is>
      </c>
      <c r="C718" s="14" t="inlineStr">
        <is>
          <t>신약</t>
        </is>
      </c>
      <c r="D718" s="14" t="n">
        <v>353</v>
      </c>
      <c r="E718" s="14">
        <f>C718&amp;"말씀 #"&amp;TEXT(D718,"000")</f>
        <v/>
      </c>
      <c r="F718" s="14" t="inlineStr">
        <is>
          <t>요한계시록</t>
        </is>
      </c>
      <c r="G718" s="14" t="inlineStr">
        <is>
          <t>5:12</t>
        </is>
      </c>
      <c r="H718" s="15" t="inlineStr">
        <is>
          <t>(계 5:12, 개역한글)</t>
        </is>
      </c>
      <c r="I718" s="14" t="inlineStr">
        <is>
          <t>찬양</t>
        </is>
      </c>
      <c r="J718" s="14" t="inlineStr">
        <is>
          <t>하늘·별</t>
        </is>
      </c>
      <c r="K718" s="16" t="inlineStr">
        <is>
          <t>큰 음성으로 가로되 죽임을 당하신 어린 양이 능력과 부와 지혜와 힘과 존귀와 영광과 찬송을 받으시기에 합당하도다 하더라</t>
        </is>
      </c>
      <c r="L718" s="14" t="inlineStr">
        <is>
          <t>자동 입력 · 대조 필요</t>
        </is>
      </c>
      <c r="M718" s="14">
        <f>LEN(K718)</f>
        <v/>
      </c>
      <c r="N718" s="14">
        <f>IF(M718=0,"-",ROUND(3+M718/'안내'!$C$12,0))</f>
        <v/>
      </c>
      <c r="O718" s="15">
        <f>IF(K718="","(본문 입력 후 자동) | 계 5:12",IF(LEN(K718)&gt;28,LEFT(K718,28)&amp;"…",K718)&amp;" | 계 5:12")</f>
        <v/>
      </c>
      <c r="P718" s="15">
        <f>"#"&amp;SUBSTITUTE('안내'!$C$5," ","")&amp;" #성경구절 #말씀 #요한계시록 #찬양"</f>
        <v/>
      </c>
      <c r="Q718" s="15" t="inlineStr">
        <is>
          <t>성경 본문: 개역한글판</t>
        </is>
      </c>
      <c r="R718" s="17">
        <f>'안내'!$C$6+INT((D718-1)/'안내'!$C$7)</f>
        <v/>
      </c>
      <c r="S718" s="14">
        <f>IF(MOD(D718-1,'안내'!$C$7)=0,'안내'!$C$9,'안내'!$C$11)</f>
        <v/>
      </c>
      <c r="T718" s="14">
        <f>CHOOSE(WEEKDAY(R718,2),"월","화","수","목","금","토","일")</f>
        <v/>
      </c>
      <c r="U718" s="14" t="inlineStr">
        <is>
          <t>미착수</t>
        </is>
      </c>
      <c r="V718" s="14" t="inlineStr">
        <is>
          <t>미착수</t>
        </is>
      </c>
      <c r="W718" s="18" t="n"/>
      <c r="X718" s="18" t="n"/>
      <c r="Y718" s="15" t="n"/>
      <c r="Z718" s="15" t="inlineStr">
        <is>
          <t>줄바꿈 띄어쓰기 확인</t>
        </is>
      </c>
      <c r="AA718" s="15" t="inlineStr">
        <is>
          <t>saying with a loud voice, “Worthy is the Lamb who has been killed to receive the power, wealth, wisdom, strength, honor, glory, and blessing!”</t>
        </is>
      </c>
    </row>
    <row r="719">
      <c r="A719" s="14" t="n">
        <v>718</v>
      </c>
      <c r="B719" s="14" t="inlineStr">
        <is>
          <t>W0718</t>
        </is>
      </c>
      <c r="C719" s="14" t="inlineStr">
        <is>
          <t>신약</t>
        </is>
      </c>
      <c r="D719" s="14" t="n">
        <v>354</v>
      </c>
      <c r="E719" s="14">
        <f>C719&amp;"말씀 #"&amp;TEXT(D719,"000")</f>
        <v/>
      </c>
      <c r="F719" s="14" t="inlineStr">
        <is>
          <t>요한계시록</t>
        </is>
      </c>
      <c r="G719" s="14" t="inlineStr">
        <is>
          <t>7:17</t>
        </is>
      </c>
      <c r="H719" s="15" t="inlineStr">
        <is>
          <t>(계 7:17, 개역한글)</t>
        </is>
      </c>
      <c r="I719" s="14" t="inlineStr">
        <is>
          <t>위로</t>
        </is>
      </c>
      <c r="J719" s="14" t="inlineStr">
        <is>
          <t>잔잔한 물</t>
        </is>
      </c>
      <c r="K719" s="16" t="inlineStr">
        <is>
          <t>이는 보좌 가운데 계신 어린 양이 저희의 목자가 되사 생명수 샘으로 인도하시고 하나님께서 저희 눈에서 모든 눈물을 씻어 주실 것임이러라</t>
        </is>
      </c>
      <c r="L719" s="14" t="inlineStr">
        <is>
          <t>자동 입력 · 대조 필요</t>
        </is>
      </c>
      <c r="M719" s="14">
        <f>LEN(K719)</f>
        <v/>
      </c>
      <c r="N719" s="14">
        <f>IF(M719=0,"-",ROUND(3+M719/'안내'!$C$12,0))</f>
        <v/>
      </c>
      <c r="O719" s="15">
        <f>IF(K719="","(본문 입력 후 자동) | 계 7:17",IF(LEN(K719)&gt;28,LEFT(K719,28)&amp;"…",K719)&amp;" | 계 7:17")</f>
        <v/>
      </c>
      <c r="P719" s="15">
        <f>"#"&amp;SUBSTITUTE('안내'!$C$5," ","")&amp;" #성경구절 #말씀 #요한계시록 #위로"</f>
        <v/>
      </c>
      <c r="Q719" s="15" t="inlineStr">
        <is>
          <t>성경 본문: 개역한글판</t>
        </is>
      </c>
      <c r="R719" s="17">
        <f>'안내'!$C$6+INT((D719-1)/'안내'!$C$7)</f>
        <v/>
      </c>
      <c r="S719" s="14">
        <f>IF(MOD(D719-1,'안내'!$C$7)=0,'안내'!$C$9,'안내'!$C$11)</f>
        <v/>
      </c>
      <c r="T719" s="14">
        <f>CHOOSE(WEEKDAY(R719,2),"월","화","수","목","금","토","일")</f>
        <v/>
      </c>
      <c r="U719" s="14" t="inlineStr">
        <is>
          <t>미착수</t>
        </is>
      </c>
      <c r="V719" s="14" t="inlineStr">
        <is>
          <t>미착수</t>
        </is>
      </c>
      <c r="W719" s="18" t="n"/>
      <c r="X719" s="18" t="n"/>
      <c r="Y719" s="15" t="n"/>
      <c r="Z719" s="15" t="inlineStr">
        <is>
          <t>줄바꿈 띄어쓰기 확인</t>
        </is>
      </c>
      <c r="AA719" s="15" t="inlineStr">
        <is>
          <t>for the Lamb who is in the middle of the throne shepherds them and leads them to springs of life-giving waters. And God will wipe away every tear from their eyes.”</t>
        </is>
      </c>
    </row>
    <row r="720">
      <c r="A720" s="14" t="n">
        <v>719</v>
      </c>
      <c r="B720" s="14" t="inlineStr">
        <is>
          <t>W0719</t>
        </is>
      </c>
      <c r="C720" s="14" t="inlineStr">
        <is>
          <t>신약</t>
        </is>
      </c>
      <c r="D720" s="14" t="n">
        <v>355</v>
      </c>
      <c r="E720" s="14">
        <f>C720&amp;"말씀 #"&amp;TEXT(D720,"000")</f>
        <v/>
      </c>
      <c r="F720" s="14" t="inlineStr">
        <is>
          <t>요한계시록</t>
        </is>
      </c>
      <c r="G720" s="14" t="inlineStr">
        <is>
          <t>11:15</t>
        </is>
      </c>
      <c r="H720" s="15" t="inlineStr">
        <is>
          <t>(계 11:15, 개역한글)</t>
        </is>
      </c>
      <c r="I720" s="14" t="inlineStr">
        <is>
          <t>하나님 나라</t>
        </is>
      </c>
      <c r="J720" s="14" t="inlineStr">
        <is>
          <t>새벽빛</t>
        </is>
      </c>
      <c r="K720" s="16" t="inlineStr">
        <is>
          <t>일곱째 천사가 나팔을 불매 하늘에 큰 음성들이 나서 가로되 세상 나라가 우리 주와 그 그리스도의 나라가 되어 그가 세세토록 왕 노릇 하시리로다 하니</t>
        </is>
      </c>
      <c r="L720" s="14" t="inlineStr">
        <is>
          <t>자동 입력 · 대조 필요</t>
        </is>
      </c>
      <c r="M720" s="14">
        <f>LEN(K720)</f>
        <v/>
      </c>
      <c r="N720" s="14">
        <f>IF(M720=0,"-",ROUND(3+M720/'안내'!$C$12,0))</f>
        <v/>
      </c>
      <c r="O720" s="15">
        <f>IF(K720="","(본문 입력 후 자동) | 계 11:15",IF(LEN(K720)&gt;28,LEFT(K720,28)&amp;"…",K720)&amp;" | 계 11:15")</f>
        <v/>
      </c>
      <c r="P720" s="15">
        <f>"#"&amp;SUBSTITUTE('안내'!$C$5," ","")&amp;" #성경구절 #말씀 #요한계시록 #하나님나라"</f>
        <v/>
      </c>
      <c r="Q720" s="15" t="inlineStr">
        <is>
          <t>성경 본문: 개역한글판</t>
        </is>
      </c>
      <c r="R720" s="17">
        <f>'안내'!$C$6+INT((D720-1)/'안내'!$C$7)</f>
        <v/>
      </c>
      <c r="S720" s="14">
        <f>IF(MOD(D720-1,'안내'!$C$7)=0,'안내'!$C$9,'안내'!$C$11)</f>
        <v/>
      </c>
      <c r="T720" s="14">
        <f>CHOOSE(WEEKDAY(R720,2),"월","화","수","목","금","토","일")</f>
        <v/>
      </c>
      <c r="U720" s="14" t="inlineStr">
        <is>
          <t>미착수</t>
        </is>
      </c>
      <c r="V720" s="14" t="inlineStr">
        <is>
          <t>미착수</t>
        </is>
      </c>
      <c r="W720" s="18" t="n"/>
      <c r="X720" s="18" t="n"/>
      <c r="Y720" s="15" t="n"/>
      <c r="Z720" s="15" t="inlineStr">
        <is>
          <t>줄바꿈 띄어쓰기 확인</t>
        </is>
      </c>
      <c r="AA720" s="15" t="inlineStr">
        <is>
          <t>The seventh angel sounded, and great voices in heaven followed, saying, “The kingdom of the world has become the Kingdom of our Lord and of his Christ. He will reign forever and ever!”</t>
        </is>
      </c>
    </row>
    <row r="721">
      <c r="A721" s="14" t="n">
        <v>720</v>
      </c>
      <c r="B721" s="14" t="inlineStr">
        <is>
          <t>W0720</t>
        </is>
      </c>
      <c r="C721" s="14" t="inlineStr">
        <is>
          <t>신약</t>
        </is>
      </c>
      <c r="D721" s="14" t="n">
        <v>356</v>
      </c>
      <c r="E721" s="14">
        <f>C721&amp;"말씀 #"&amp;TEXT(D721,"000")</f>
        <v/>
      </c>
      <c r="F721" s="14" t="inlineStr">
        <is>
          <t>요한계시록</t>
        </is>
      </c>
      <c r="G721" s="14" t="inlineStr">
        <is>
          <t>12:11</t>
        </is>
      </c>
      <c r="H721" s="15" t="inlineStr">
        <is>
          <t>(계 12:11, 개역한글)</t>
        </is>
      </c>
      <c r="I721" s="14" t="inlineStr">
        <is>
          <t>승리</t>
        </is>
      </c>
      <c r="J721" s="14" t="inlineStr">
        <is>
          <t>바위산·광야</t>
        </is>
      </c>
      <c r="K721" s="16" t="inlineStr">
        <is>
          <t>또 여러 형제가 어린 양의 피와 자기의 증거하는 말을 인하여 저를 이기었으니 그들은 죽기까지 자기 생명을 아끼지 아니하였도다</t>
        </is>
      </c>
      <c r="L721" s="14" t="inlineStr">
        <is>
          <t>자동 입력</t>
        </is>
      </c>
      <c r="M721" s="14">
        <f>LEN(K721)</f>
        <v/>
      </c>
      <c r="N721" s="14">
        <f>IF(M721=0,"-",ROUND(3+M721/'안내'!$C$12,0))</f>
        <v/>
      </c>
      <c r="O721" s="15">
        <f>IF(K721="","(본문 입력 후 자동) | 계 12:11",IF(LEN(K721)&gt;28,LEFT(K721,28)&amp;"…",K721)&amp;" | 계 12:11")</f>
        <v/>
      </c>
      <c r="P721" s="15">
        <f>"#"&amp;SUBSTITUTE('안내'!$C$5," ","")&amp;" #성경구절 #말씀 #요한계시록 #승리"</f>
        <v/>
      </c>
      <c r="Q721" s="15" t="inlineStr">
        <is>
          <t>성경 본문: 개역한글판</t>
        </is>
      </c>
      <c r="R721" s="17">
        <f>'안내'!$C$6+INT((D721-1)/'안내'!$C$7)</f>
        <v/>
      </c>
      <c r="S721" s="14">
        <f>IF(MOD(D721-1,'안내'!$C$7)=0,'안내'!$C$9,'안내'!$C$11)</f>
        <v/>
      </c>
      <c r="T721" s="14">
        <f>CHOOSE(WEEKDAY(R721,2),"월","화","수","목","금","토","일")</f>
        <v/>
      </c>
      <c r="U721" s="14" t="inlineStr">
        <is>
          <t>미착수</t>
        </is>
      </c>
      <c r="V721" s="14" t="inlineStr">
        <is>
          <t>미착수</t>
        </is>
      </c>
      <c r="W721" s="18" t="n"/>
      <c r="X721" s="18" t="n"/>
      <c r="Y721" s="15" t="n"/>
      <c r="Z721" s="15" t="inlineStr"/>
      <c r="AA721" s="15" t="inlineStr">
        <is>
          <t>They overcame him because of the Lamb’s blood, and because of the word of their testimony. They didn’t love their life, even to death.</t>
        </is>
      </c>
    </row>
    <row r="722">
      <c r="A722" s="14" t="n">
        <v>721</v>
      </c>
      <c r="B722" s="14" t="inlineStr">
        <is>
          <t>W0721</t>
        </is>
      </c>
      <c r="C722" s="14" t="inlineStr">
        <is>
          <t>신약</t>
        </is>
      </c>
      <c r="D722" s="14" t="n">
        <v>357</v>
      </c>
      <c r="E722" s="14">
        <f>C722&amp;"말씀 #"&amp;TEXT(D722,"000")</f>
        <v/>
      </c>
      <c r="F722" s="14" t="inlineStr">
        <is>
          <t>요한계시록</t>
        </is>
      </c>
      <c r="G722" s="14" t="inlineStr">
        <is>
          <t>14:13</t>
        </is>
      </c>
      <c r="H722" s="15" t="inlineStr">
        <is>
          <t>(계 14:13, 개역한글)</t>
        </is>
      </c>
      <c r="I722" s="14" t="inlineStr">
        <is>
          <t>소망</t>
        </is>
      </c>
      <c r="J722" s="14" t="inlineStr">
        <is>
          <t>새벽빛</t>
        </is>
      </c>
      <c r="K722" s="16" t="inlineStr">
        <is>
          <t>또 내가 들으니 하늘에서 음성이 나서 가로되 기록하라 자금 이후로 주 안에서 죽는 자들은 복이 있도다 하시매 성령이 가라사대 그러하다 저희 수고를 그치고 쉬리니 이는 저희의 행한 일이 따름이라 하시더라</t>
        </is>
      </c>
      <c r="L722" s="14" t="inlineStr">
        <is>
          <t>자동 입력 · 대조 필요</t>
        </is>
      </c>
      <c r="M722" s="14">
        <f>LEN(K722)</f>
        <v/>
      </c>
      <c r="N722" s="14">
        <f>IF(M722=0,"-",ROUND(3+M722/'안내'!$C$12,0))</f>
        <v/>
      </c>
      <c r="O722" s="15">
        <f>IF(K722="","(본문 입력 후 자동) | 계 14:13",IF(LEN(K722)&gt;28,LEFT(K722,28)&amp;"…",K722)&amp;" | 계 14:13")</f>
        <v/>
      </c>
      <c r="P722" s="15">
        <f>"#"&amp;SUBSTITUTE('안내'!$C$5," ","")&amp;" #성경구절 #말씀 #요한계시록 #소망"</f>
        <v/>
      </c>
      <c r="Q722" s="15" t="inlineStr">
        <is>
          <t>성경 본문: 개역한글판</t>
        </is>
      </c>
      <c r="R722" s="17">
        <f>'안내'!$C$6+INT((D722-1)/'안내'!$C$7)</f>
        <v/>
      </c>
      <c r="S722" s="14">
        <f>IF(MOD(D722-1,'안내'!$C$7)=0,'안내'!$C$9,'안내'!$C$11)</f>
        <v/>
      </c>
      <c r="T722" s="14">
        <f>CHOOSE(WEEKDAY(R722,2),"월","화","수","목","금","토","일")</f>
        <v/>
      </c>
      <c r="U722" s="14" t="inlineStr">
        <is>
          <t>미착수</t>
        </is>
      </c>
      <c r="V722" s="14" t="inlineStr">
        <is>
          <t>미착수</t>
        </is>
      </c>
      <c r="W722" s="18" t="n"/>
      <c r="X722" s="18" t="n"/>
      <c r="Y722" s="15" t="n"/>
      <c r="Z722" s="15" t="inlineStr">
        <is>
          <t>줄바꿈 띄어쓰기 확인</t>
        </is>
      </c>
      <c r="AA722" s="15" t="inlineStr">
        <is>
          <t>I heard a voice from heaven saying, “Write, ‘Blessed are the dead who die in the Lord from now on.’ ” “Yes,” says the Spirit, “that they may rest from their labors, for their works fol- low with them.”</t>
        </is>
      </c>
    </row>
    <row r="723">
      <c r="A723" s="14" t="n">
        <v>722</v>
      </c>
      <c r="B723" s="14" t="inlineStr">
        <is>
          <t>W0722</t>
        </is>
      </c>
      <c r="C723" s="14" t="inlineStr">
        <is>
          <t>신약</t>
        </is>
      </c>
      <c r="D723" s="14" t="n">
        <v>358</v>
      </c>
      <c r="E723" s="14">
        <f>C723&amp;"말씀 #"&amp;TEXT(D723,"000")</f>
        <v/>
      </c>
      <c r="F723" s="14" t="inlineStr">
        <is>
          <t>요한계시록</t>
        </is>
      </c>
      <c r="G723" s="14" t="inlineStr">
        <is>
          <t>19:6</t>
        </is>
      </c>
      <c r="H723" s="15" t="inlineStr">
        <is>
          <t>(계 19:6, 개역한글)</t>
        </is>
      </c>
      <c r="I723" s="14" t="inlineStr">
        <is>
          <t>찬양</t>
        </is>
      </c>
      <c r="J723" s="14" t="inlineStr">
        <is>
          <t>하늘·별</t>
        </is>
      </c>
      <c r="K723" s="16" t="inlineStr">
        <is>
          <t>또 내가 들으니 허다한 무리의 음성도 같고 많은 물 소리도 같고 큰 뇌성도 같아서 가로되 할렐루야 주 우리 하나님 곧 전능하신 이가 통치하시도다</t>
        </is>
      </c>
      <c r="L723" s="14" t="inlineStr">
        <is>
          <t>자동 입력</t>
        </is>
      </c>
      <c r="M723" s="14">
        <f>LEN(K723)</f>
        <v/>
      </c>
      <c r="N723" s="14">
        <f>IF(M723=0,"-",ROUND(3+M723/'안내'!$C$12,0))</f>
        <v/>
      </c>
      <c r="O723" s="15">
        <f>IF(K723="","(본문 입력 후 자동) | 계 19:6",IF(LEN(K723)&gt;28,LEFT(K723,28)&amp;"…",K723)&amp;" | 계 19:6")</f>
        <v/>
      </c>
      <c r="P723" s="15">
        <f>"#"&amp;SUBSTITUTE('안내'!$C$5," ","")&amp;" #성경구절 #말씀 #요한계시록 #찬양"</f>
        <v/>
      </c>
      <c r="Q723" s="15" t="inlineStr">
        <is>
          <t>성경 본문: 개역한글판</t>
        </is>
      </c>
      <c r="R723" s="17">
        <f>'안내'!$C$6+INT((D723-1)/'안내'!$C$7)</f>
        <v/>
      </c>
      <c r="S723" s="14">
        <f>IF(MOD(D723-1,'안내'!$C$7)=0,'안내'!$C$9,'안내'!$C$11)</f>
        <v/>
      </c>
      <c r="T723" s="14">
        <f>CHOOSE(WEEKDAY(R723,2),"월","화","수","목","금","토","일")</f>
        <v/>
      </c>
      <c r="U723" s="14" t="inlineStr">
        <is>
          <t>미착수</t>
        </is>
      </c>
      <c r="V723" s="14" t="inlineStr">
        <is>
          <t>미착수</t>
        </is>
      </c>
      <c r="W723" s="18" t="n"/>
      <c r="X723" s="18" t="n"/>
      <c r="Y723" s="15" t="n"/>
      <c r="Z723" s="15" t="inlineStr"/>
      <c r="AA723" s="15" t="inlineStr">
        <is>
          <t>I heard something like the voice of a great multitude, and like the voice of many waters, and like the voice of mighty thun- ders, saying, “Hallelujah! For the Lord our God, the Almighty, reigns!</t>
        </is>
      </c>
    </row>
    <row r="724">
      <c r="A724" s="14" t="n">
        <v>723</v>
      </c>
      <c r="B724" s="14" t="inlineStr">
        <is>
          <t>W0723</t>
        </is>
      </c>
      <c r="C724" s="14" t="inlineStr">
        <is>
          <t>신약</t>
        </is>
      </c>
      <c r="D724" s="14" t="n">
        <v>359</v>
      </c>
      <c r="E724" s="14">
        <f>C724&amp;"말씀 #"&amp;TEXT(D724,"000")</f>
        <v/>
      </c>
      <c r="F724" s="14" t="inlineStr">
        <is>
          <t>요한계시록</t>
        </is>
      </c>
      <c r="G724" s="14" t="inlineStr">
        <is>
          <t>19:16</t>
        </is>
      </c>
      <c r="H724" s="15" t="inlineStr">
        <is>
          <t>(계 19:16, 개역한글)</t>
        </is>
      </c>
      <c r="I724" s="14" t="inlineStr">
        <is>
          <t>하나님</t>
        </is>
      </c>
      <c r="J724" s="14" t="inlineStr">
        <is>
          <t>하늘·별</t>
        </is>
      </c>
      <c r="K724" s="16" t="inlineStr">
        <is>
          <t>그 옷과 그 다리에 이름 쓴 것이 있으니 만왕의 왕이요 만주의 주라 하였더라</t>
        </is>
      </c>
      <c r="L724" s="14" t="inlineStr">
        <is>
          <t>자동 입력</t>
        </is>
      </c>
      <c r="M724" s="14">
        <f>LEN(K724)</f>
        <v/>
      </c>
      <c r="N724" s="14">
        <f>IF(M724=0,"-",ROUND(3+M724/'안내'!$C$12,0))</f>
        <v/>
      </c>
      <c r="O724" s="15">
        <f>IF(K724="","(본문 입력 후 자동) | 계 19:16",IF(LEN(K724)&gt;28,LEFT(K724,28)&amp;"…",K724)&amp;" | 계 19:16")</f>
        <v/>
      </c>
      <c r="P724" s="15">
        <f>"#"&amp;SUBSTITUTE('안내'!$C$5," ","")&amp;" #성경구절 #말씀 #요한계시록 #하나님"</f>
        <v/>
      </c>
      <c r="Q724" s="15" t="inlineStr">
        <is>
          <t>성경 본문: 개역한글판</t>
        </is>
      </c>
      <c r="R724" s="17">
        <f>'안내'!$C$6+INT((D724-1)/'안내'!$C$7)</f>
        <v/>
      </c>
      <c r="S724" s="14">
        <f>IF(MOD(D724-1,'안내'!$C$7)=0,'안내'!$C$9,'안내'!$C$11)</f>
        <v/>
      </c>
      <c r="T724" s="14">
        <f>CHOOSE(WEEKDAY(R724,2),"월","화","수","목","금","토","일")</f>
        <v/>
      </c>
      <c r="U724" s="14" t="inlineStr">
        <is>
          <t>미착수</t>
        </is>
      </c>
      <c r="V724" s="14" t="inlineStr">
        <is>
          <t>미착수</t>
        </is>
      </c>
      <c r="W724" s="18" t="n"/>
      <c r="X724" s="18" t="n"/>
      <c r="Y724" s="15" t="n"/>
      <c r="Z724" s="15" t="inlineStr"/>
      <c r="AA724" s="15" t="inlineStr">
        <is>
          <t>He has on his garment and on his thigh a name written, “KING OF KINGS AND LORD OF LORDS.”</t>
        </is>
      </c>
    </row>
    <row r="725">
      <c r="A725" s="14" t="n">
        <v>724</v>
      </c>
      <c r="B725" s="14" t="inlineStr">
        <is>
          <t>W0724</t>
        </is>
      </c>
      <c r="C725" s="14" t="inlineStr">
        <is>
          <t>신약</t>
        </is>
      </c>
      <c r="D725" s="14" t="n">
        <v>360</v>
      </c>
      <c r="E725" s="14">
        <f>C725&amp;"말씀 #"&amp;TEXT(D725,"000")</f>
        <v/>
      </c>
      <c r="F725" s="14" t="inlineStr">
        <is>
          <t>요한계시록</t>
        </is>
      </c>
      <c r="G725" s="14" t="inlineStr">
        <is>
          <t>21:3</t>
        </is>
      </c>
      <c r="H725" s="15" t="inlineStr">
        <is>
          <t>(계 21:3, 개역한글)</t>
        </is>
      </c>
      <c r="I725" s="14" t="inlineStr">
        <is>
          <t>임재</t>
        </is>
      </c>
      <c r="J725" s="14" t="inlineStr">
        <is>
          <t>하늘·별</t>
        </is>
      </c>
      <c r="K725" s="16" t="inlineStr">
        <is>
          <t>내가 들으니 보좌에서 큰 음성이 나서 가로되 보라 하나님의 장막이 사람들과 함께 있으매 하나님이 저희와 함께 거하시리니 저희는 하나님의 백성이 되고 하나님은 친히 저희와 함께 계셔서 저희 하나님이 되시고</t>
        </is>
      </c>
      <c r="L725" s="14" t="inlineStr">
        <is>
          <t>자동 입력</t>
        </is>
      </c>
      <c r="M725" s="14">
        <f>LEN(K725)</f>
        <v/>
      </c>
      <c r="N725" s="14">
        <f>IF(M725=0,"-",ROUND(3+M725/'안내'!$C$12,0))</f>
        <v/>
      </c>
      <c r="O725" s="15">
        <f>IF(K725="","(본문 입력 후 자동) | 계 21:3",IF(LEN(K725)&gt;28,LEFT(K725,28)&amp;"…",K725)&amp;" | 계 21:3")</f>
        <v/>
      </c>
      <c r="P725" s="15">
        <f>"#"&amp;SUBSTITUTE('안내'!$C$5," ","")&amp;" #성경구절 #말씀 #요한계시록 #임재"</f>
        <v/>
      </c>
      <c r="Q725" s="15" t="inlineStr">
        <is>
          <t>성경 본문: 개역한글판</t>
        </is>
      </c>
      <c r="R725" s="17">
        <f>'안내'!$C$6+INT((D725-1)/'안내'!$C$7)</f>
        <v/>
      </c>
      <c r="S725" s="14">
        <f>IF(MOD(D725-1,'안내'!$C$7)=0,'안내'!$C$9,'안내'!$C$11)</f>
        <v/>
      </c>
      <c r="T725" s="14">
        <f>CHOOSE(WEEKDAY(R725,2),"월","화","수","목","금","토","일")</f>
        <v/>
      </c>
      <c r="U725" s="14" t="inlineStr">
        <is>
          <t>미착수</t>
        </is>
      </c>
      <c r="V725" s="14" t="inlineStr">
        <is>
          <t>미착수</t>
        </is>
      </c>
      <c r="W725" s="18" t="n"/>
      <c r="X725" s="18" t="n"/>
      <c r="Y725" s="15" t="n"/>
      <c r="Z725" s="15" t="inlineStr"/>
      <c r="AA725" s="15" t="inlineStr">
        <is>
          <t>I heard a loud voice out of heaven saying, “Behold, God’s dwelling is with people; and he will dwell with them, and they will be his people, and God himself will be with them as their God.</t>
        </is>
      </c>
    </row>
    <row r="726">
      <c r="A726" s="14" t="n">
        <v>725</v>
      </c>
      <c r="B726" s="14" t="inlineStr">
        <is>
          <t>W0725</t>
        </is>
      </c>
      <c r="C726" s="14" t="inlineStr">
        <is>
          <t>신약</t>
        </is>
      </c>
      <c r="D726" s="14" t="n">
        <v>361</v>
      </c>
      <c r="E726" s="14">
        <f>C726&amp;"말씀 #"&amp;TEXT(D726,"000")</f>
        <v/>
      </c>
      <c r="F726" s="14" t="inlineStr">
        <is>
          <t>요한계시록</t>
        </is>
      </c>
      <c r="G726" s="14" t="inlineStr">
        <is>
          <t>21:4</t>
        </is>
      </c>
      <c r="H726" s="15" t="inlineStr">
        <is>
          <t>(계 21:4, 개역한글)</t>
        </is>
      </c>
      <c r="I726" s="14" t="inlineStr">
        <is>
          <t>소망</t>
        </is>
      </c>
      <c r="J726" s="14" t="inlineStr">
        <is>
          <t>새벽빛</t>
        </is>
      </c>
      <c r="K726" s="16" t="inlineStr">
        <is>
          <t>모든 눈물을 그 눈에서 씻기시매 다시 사망이 없고 애통하는 것이나 곡하는 것이나 아픈 것이 다시 있지 아니하리니 처음 것들이 다 지나갔음이러라</t>
        </is>
      </c>
      <c r="L726" s="14" t="inlineStr">
        <is>
          <t>자동 입력</t>
        </is>
      </c>
      <c r="M726" s="14">
        <f>LEN(K726)</f>
        <v/>
      </c>
      <c r="N726" s="14">
        <f>IF(M726=0,"-",ROUND(3+M726/'안내'!$C$12,0))</f>
        <v/>
      </c>
      <c r="O726" s="15">
        <f>IF(K726="","(본문 입력 후 자동) | 계 21:4",IF(LEN(K726)&gt;28,LEFT(K726,28)&amp;"…",K726)&amp;" | 계 21:4")</f>
        <v/>
      </c>
      <c r="P726" s="15">
        <f>"#"&amp;SUBSTITUTE('안내'!$C$5," ","")&amp;" #성경구절 #말씀 #요한계시록 #소망"</f>
        <v/>
      </c>
      <c r="Q726" s="15" t="inlineStr">
        <is>
          <t>성경 본문: 개역한글판</t>
        </is>
      </c>
      <c r="R726" s="17">
        <f>'안내'!$C$6+INT((D726-1)/'안내'!$C$7)</f>
        <v/>
      </c>
      <c r="S726" s="14">
        <f>IF(MOD(D726-1,'안내'!$C$7)=0,'안내'!$C$9,'안내'!$C$11)</f>
        <v/>
      </c>
      <c r="T726" s="14">
        <f>CHOOSE(WEEKDAY(R726,2),"월","화","수","목","금","토","일")</f>
        <v/>
      </c>
      <c r="U726" s="14" t="inlineStr">
        <is>
          <t>미착수</t>
        </is>
      </c>
      <c r="V726" s="14" t="inlineStr">
        <is>
          <t>미착수</t>
        </is>
      </c>
      <c r="W726" s="18" t="n"/>
      <c r="X726" s="18" t="n"/>
      <c r="Y726" s="15" t="n"/>
      <c r="Z726" s="15" t="inlineStr"/>
      <c r="AA726" s="15" t="inlineStr">
        <is>
          <t>He will wipe away every tear from their eyes. Death will be no more; neither will there be mourning, nor crying, nor pain any more. The first things have passed away.”</t>
        </is>
      </c>
    </row>
    <row r="727">
      <c r="A727" s="14" t="n">
        <v>726</v>
      </c>
      <c r="B727" s="14" t="inlineStr">
        <is>
          <t>W0726</t>
        </is>
      </c>
      <c r="C727" s="14" t="inlineStr">
        <is>
          <t>신약</t>
        </is>
      </c>
      <c r="D727" s="14" t="n">
        <v>362</v>
      </c>
      <c r="E727" s="14">
        <f>C727&amp;"말씀 #"&amp;TEXT(D727,"000")</f>
        <v/>
      </c>
      <c r="F727" s="14" t="inlineStr">
        <is>
          <t>요한계시록</t>
        </is>
      </c>
      <c r="G727" s="14" t="inlineStr">
        <is>
          <t>21:5</t>
        </is>
      </c>
      <c r="H727" s="15" t="inlineStr">
        <is>
          <t>(계 21:5, 개역한글)</t>
        </is>
      </c>
      <c r="I727" s="14" t="inlineStr">
        <is>
          <t>소망</t>
        </is>
      </c>
      <c r="J727" s="14" t="inlineStr">
        <is>
          <t>새벽빛</t>
        </is>
      </c>
      <c r="K727" s="16" t="inlineStr">
        <is>
          <t>보좌에 앉으신 이가 가라사대 보라 내가 만물을 새롭게 하노라 하시고 또 가라사대 이 말은 신실하고 참되니 기록하라 하시고</t>
        </is>
      </c>
      <c r="L727" s="14" t="inlineStr">
        <is>
          <t>자동 입력</t>
        </is>
      </c>
      <c r="M727" s="14">
        <f>LEN(K727)</f>
        <v/>
      </c>
      <c r="N727" s="14">
        <f>IF(M727=0,"-",ROUND(3+M727/'안내'!$C$12,0))</f>
        <v/>
      </c>
      <c r="O727" s="15">
        <f>IF(K727="","(본문 입력 후 자동) | 계 21:5",IF(LEN(K727)&gt;28,LEFT(K727,28)&amp;"…",K727)&amp;" | 계 21:5")</f>
        <v/>
      </c>
      <c r="P727" s="15">
        <f>"#"&amp;SUBSTITUTE('안내'!$C$5," ","")&amp;" #성경구절 #말씀 #요한계시록 #소망"</f>
        <v/>
      </c>
      <c r="Q727" s="15" t="inlineStr">
        <is>
          <t>성경 본문: 개역한글판</t>
        </is>
      </c>
      <c r="R727" s="17">
        <f>'안내'!$C$6+INT((D727-1)/'안내'!$C$7)</f>
        <v/>
      </c>
      <c r="S727" s="14">
        <f>IF(MOD(D727-1,'안내'!$C$7)=0,'안내'!$C$9,'안내'!$C$11)</f>
        <v/>
      </c>
      <c r="T727" s="14">
        <f>CHOOSE(WEEKDAY(R727,2),"월","화","수","목","금","토","일")</f>
        <v/>
      </c>
      <c r="U727" s="14" t="inlineStr">
        <is>
          <t>미착수</t>
        </is>
      </c>
      <c r="V727" s="14" t="inlineStr">
        <is>
          <t>미착수</t>
        </is>
      </c>
      <c r="W727" s="18" t="n"/>
      <c r="X727" s="18" t="n"/>
      <c r="Y727" s="15" t="n"/>
      <c r="Z727" s="15" t="inlineStr"/>
      <c r="AA727" s="15" t="inlineStr">
        <is>
          <t>He who sits on the throne said, “Be- hold, I am making all things new.” He said, “Write, for these words of God are faithful and true.”</t>
        </is>
      </c>
    </row>
    <row r="728">
      <c r="A728" s="14" t="n">
        <v>727</v>
      </c>
      <c r="B728" s="14" t="inlineStr">
        <is>
          <t>W0727</t>
        </is>
      </c>
      <c r="C728" s="14" t="inlineStr">
        <is>
          <t>신약</t>
        </is>
      </c>
      <c r="D728" s="14" t="n">
        <v>363</v>
      </c>
      <c r="E728" s="14">
        <f>C728&amp;"말씀 #"&amp;TEXT(D728,"000")</f>
        <v/>
      </c>
      <c r="F728" s="14" t="inlineStr">
        <is>
          <t>요한계시록</t>
        </is>
      </c>
      <c r="G728" s="14" t="inlineStr">
        <is>
          <t>22:13</t>
        </is>
      </c>
      <c r="H728" s="15" t="inlineStr">
        <is>
          <t>(계 22:13, 개역한글)</t>
        </is>
      </c>
      <c r="I728" s="14" t="inlineStr">
        <is>
          <t>하나님</t>
        </is>
      </c>
      <c r="J728" s="14" t="inlineStr">
        <is>
          <t>하늘·별</t>
        </is>
      </c>
      <c r="K728" s="16" t="inlineStr">
        <is>
          <t>나는 알파와 오메가요 처음과 나중이요 시작과 끝이라</t>
        </is>
      </c>
      <c r="L728" s="14" t="inlineStr">
        <is>
          <t>자동 입력</t>
        </is>
      </c>
      <c r="M728" s="14">
        <f>LEN(K728)</f>
        <v/>
      </c>
      <c r="N728" s="14">
        <f>IF(M728=0,"-",ROUND(3+M728/'안내'!$C$12,0))</f>
        <v/>
      </c>
      <c r="O728" s="15">
        <f>IF(K728="","(본문 입력 후 자동) | 계 22:13",IF(LEN(K728)&gt;28,LEFT(K728,28)&amp;"…",K728)&amp;" | 계 22:13")</f>
        <v/>
      </c>
      <c r="P728" s="15">
        <f>"#"&amp;SUBSTITUTE('안내'!$C$5," ","")&amp;" #성경구절 #말씀 #요한계시록 #하나님"</f>
        <v/>
      </c>
      <c r="Q728" s="15" t="inlineStr">
        <is>
          <t>성경 본문: 개역한글판</t>
        </is>
      </c>
      <c r="R728" s="17">
        <f>'안내'!$C$6+INT((D728-1)/'안내'!$C$7)</f>
        <v/>
      </c>
      <c r="S728" s="14">
        <f>IF(MOD(D728-1,'안내'!$C$7)=0,'안내'!$C$9,'안내'!$C$11)</f>
        <v/>
      </c>
      <c r="T728" s="14">
        <f>CHOOSE(WEEKDAY(R728,2),"월","화","수","목","금","토","일")</f>
        <v/>
      </c>
      <c r="U728" s="14" t="inlineStr">
        <is>
          <t>미착수</t>
        </is>
      </c>
      <c r="V728" s="14" t="inlineStr">
        <is>
          <t>미착수</t>
        </is>
      </c>
      <c r="W728" s="18" t="n"/>
      <c r="X728" s="18" t="n"/>
      <c r="Y728" s="15" t="n"/>
      <c r="Z728" s="15" t="inlineStr"/>
      <c r="AA728" s="15" t="inlineStr">
        <is>
          <t>I am the Alpha and the Omega, the First and the Last, the Beginning and the End.</t>
        </is>
      </c>
    </row>
    <row r="729">
      <c r="A729" s="14" t="n">
        <v>728</v>
      </c>
      <c r="B729" s="14" t="inlineStr">
        <is>
          <t>W0728</t>
        </is>
      </c>
      <c r="C729" s="14" t="inlineStr">
        <is>
          <t>신약</t>
        </is>
      </c>
      <c r="D729" s="14" t="n">
        <v>364</v>
      </c>
      <c r="E729" s="14">
        <f>C729&amp;"말씀 #"&amp;TEXT(D729,"000")</f>
        <v/>
      </c>
      <c r="F729" s="14" t="inlineStr">
        <is>
          <t>요한계시록</t>
        </is>
      </c>
      <c r="G729" s="14" t="inlineStr">
        <is>
          <t>22:20</t>
        </is>
      </c>
      <c r="H729" s="15" t="inlineStr">
        <is>
          <t>(계 22:20, 개역한글)</t>
        </is>
      </c>
      <c r="I729" s="14" t="inlineStr">
        <is>
          <t>소망</t>
        </is>
      </c>
      <c r="J729" s="14" t="inlineStr">
        <is>
          <t>새벽빛</t>
        </is>
      </c>
      <c r="K729" s="16" t="inlineStr">
        <is>
          <t>이것들을 증거하신 이가 가라사대 내가 진실로 속히 오리라 하시거늘 아멘 주 예수여 오시옵소서</t>
        </is>
      </c>
      <c r="L729" s="14" t="inlineStr">
        <is>
          <t>자동 입력</t>
        </is>
      </c>
      <c r="M729" s="14">
        <f>LEN(K729)</f>
        <v/>
      </c>
      <c r="N729" s="14">
        <f>IF(M729=0,"-",ROUND(3+M729/'안내'!$C$12,0))</f>
        <v/>
      </c>
      <c r="O729" s="15">
        <f>IF(K729="","(본문 입력 후 자동) | 계 22:20",IF(LEN(K729)&gt;28,LEFT(K729,28)&amp;"…",K729)&amp;" | 계 22:20")</f>
        <v/>
      </c>
      <c r="P729" s="15">
        <f>"#"&amp;SUBSTITUTE('안내'!$C$5," ","")&amp;" #성경구절 #말씀 #요한계시록 #소망"</f>
        <v/>
      </c>
      <c r="Q729" s="15" t="inlineStr">
        <is>
          <t>성경 본문: 개역한글판</t>
        </is>
      </c>
      <c r="R729" s="17">
        <f>'안내'!$C$6+INT((D729-1)/'안내'!$C$7)</f>
        <v/>
      </c>
      <c r="S729" s="14">
        <f>IF(MOD(D729-1,'안내'!$C$7)=0,'안내'!$C$9,'안내'!$C$11)</f>
        <v/>
      </c>
      <c r="T729" s="14">
        <f>CHOOSE(WEEKDAY(R729,2),"월","화","수","목","금","토","일")</f>
        <v/>
      </c>
      <c r="U729" s="14" t="inlineStr">
        <is>
          <t>미착수</t>
        </is>
      </c>
      <c r="V729" s="14" t="inlineStr">
        <is>
          <t>미착수</t>
        </is>
      </c>
      <c r="W729" s="18" t="n"/>
      <c r="X729" s="18" t="n"/>
      <c r="Y729" s="15" t="n"/>
      <c r="Z729" s="15" t="inlineStr"/>
      <c r="AA729" s="15" t="inlineStr">
        <is>
          <t>He who testifies these things says, “Yes, I am coming soon.” Amen! Yes, come, Lord Jesus!</t>
        </is>
      </c>
    </row>
  </sheetData>
  <autoFilter ref="A1:AA729"/>
  <dataValidations count="2">
    <dataValidation sqref="L2:L729" showDropDown="0" showInputMessage="0" showErrorMessage="0" allowBlank="1" type="list">
      <formula1>"미입력,자동 입력,자동 입력 · 대조 필요,대조 완료"</formula1>
    </dataValidation>
    <dataValidation sqref="U2:V729" showDropDown="0" showInputMessage="0" showErrorMessage="0" allowBlank="1" type="list">
      <formula1>"미착수,진행중,완료,보류"</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7" customWidth="1" min="4" max="4"/>
    <col width="12" customWidth="1" min="5" max="5"/>
    <col width="14" customWidth="1" min="6" max="6"/>
    <col width="10" customWidth="1" min="7" max="7"/>
  </cols>
  <sheetData>
    <row r="1" ht="30" customHeight="1">
      <c r="A1" s="12" t="inlineStr">
        <is>
          <t>책</t>
        </is>
      </c>
      <c r="B1" s="12" t="inlineStr">
        <is>
          <t>구약/신약</t>
        </is>
      </c>
      <c r="C1" s="12" t="inlineStr">
        <is>
          <t>구절 수</t>
        </is>
      </c>
      <c r="D1" s="12" t="inlineStr">
        <is>
          <t>장 수</t>
        </is>
      </c>
      <c r="E1" s="12" t="inlineStr">
        <is>
          <t>첫 업로드일</t>
        </is>
      </c>
      <c r="F1" s="12" t="inlineStr">
        <is>
          <t>마지막 업로드일</t>
        </is>
      </c>
      <c r="G1" s="12" t="inlineStr">
        <is>
          <t>결과</t>
        </is>
      </c>
    </row>
    <row r="2">
      <c r="A2" s="15" t="inlineStr">
        <is>
          <t>창세기</t>
        </is>
      </c>
      <c r="B2" s="14" t="inlineStr">
        <is>
          <t>구약</t>
        </is>
      </c>
      <c r="C2" s="14">
        <f>COUNTIF('구절목록'!$F$2:$F$729,A2)</f>
        <v/>
      </c>
      <c r="D2" s="14" t="n">
        <v>50</v>
      </c>
      <c r="E2" s="17">
        <f>_xlfn.MINIFS('구절목록'!$R$2:$R$729,'구절목록'!$F$2:$F$729,A2)</f>
        <v/>
      </c>
      <c r="F2" s="17">
        <f>_xlfn.MAXIFS('구절목록'!$R$2:$R$729,'구절목록'!$F$2:$F$729,A2)</f>
        <v/>
      </c>
      <c r="G2" s="14">
        <f>IF(C2&gt;0,"정상","구절 없음")</f>
        <v/>
      </c>
    </row>
    <row r="3">
      <c r="A3" s="15" t="inlineStr">
        <is>
          <t>출애굽기</t>
        </is>
      </c>
      <c r="B3" s="14" t="inlineStr">
        <is>
          <t>구약</t>
        </is>
      </c>
      <c r="C3" s="14">
        <f>COUNTIF('구절목록'!$F$2:$F$729,A3)</f>
        <v/>
      </c>
      <c r="D3" s="14" t="n">
        <v>40</v>
      </c>
      <c r="E3" s="17">
        <f>_xlfn.MINIFS('구절목록'!$R$2:$R$729,'구절목록'!$F$2:$F$729,A3)</f>
        <v/>
      </c>
      <c r="F3" s="17">
        <f>_xlfn.MAXIFS('구절목록'!$R$2:$R$729,'구절목록'!$F$2:$F$729,A3)</f>
        <v/>
      </c>
      <c r="G3" s="14">
        <f>IF(C3&gt;0,"정상","구절 없음")</f>
        <v/>
      </c>
    </row>
    <row r="4">
      <c r="A4" s="15" t="inlineStr">
        <is>
          <t>레위기</t>
        </is>
      </c>
      <c r="B4" s="14" t="inlineStr">
        <is>
          <t>구약</t>
        </is>
      </c>
      <c r="C4" s="14">
        <f>COUNTIF('구절목록'!$F$2:$F$729,A4)</f>
        <v/>
      </c>
      <c r="D4" s="14" t="n">
        <v>27</v>
      </c>
      <c r="E4" s="17">
        <f>_xlfn.MINIFS('구절목록'!$R$2:$R$729,'구절목록'!$F$2:$F$729,A4)</f>
        <v/>
      </c>
      <c r="F4" s="17">
        <f>_xlfn.MAXIFS('구절목록'!$R$2:$R$729,'구절목록'!$F$2:$F$729,A4)</f>
        <v/>
      </c>
      <c r="G4" s="14">
        <f>IF(C4&gt;0,"정상","구절 없음")</f>
        <v/>
      </c>
    </row>
    <row r="5">
      <c r="A5" s="15" t="inlineStr">
        <is>
          <t>민수기</t>
        </is>
      </c>
      <c r="B5" s="14" t="inlineStr">
        <is>
          <t>구약</t>
        </is>
      </c>
      <c r="C5" s="14">
        <f>COUNTIF('구절목록'!$F$2:$F$729,A5)</f>
        <v/>
      </c>
      <c r="D5" s="14" t="n">
        <v>36</v>
      </c>
      <c r="E5" s="17">
        <f>_xlfn.MINIFS('구절목록'!$R$2:$R$729,'구절목록'!$F$2:$F$729,A5)</f>
        <v/>
      </c>
      <c r="F5" s="17">
        <f>_xlfn.MAXIFS('구절목록'!$R$2:$R$729,'구절목록'!$F$2:$F$729,A5)</f>
        <v/>
      </c>
      <c r="G5" s="14">
        <f>IF(C5&gt;0,"정상","구절 없음")</f>
        <v/>
      </c>
    </row>
    <row r="6">
      <c r="A6" s="15" t="inlineStr">
        <is>
          <t>신명기</t>
        </is>
      </c>
      <c r="B6" s="14" t="inlineStr">
        <is>
          <t>구약</t>
        </is>
      </c>
      <c r="C6" s="14">
        <f>COUNTIF('구절목록'!$F$2:$F$729,A6)</f>
        <v/>
      </c>
      <c r="D6" s="14" t="n">
        <v>34</v>
      </c>
      <c r="E6" s="17">
        <f>_xlfn.MINIFS('구절목록'!$R$2:$R$729,'구절목록'!$F$2:$F$729,A6)</f>
        <v/>
      </c>
      <c r="F6" s="17">
        <f>_xlfn.MAXIFS('구절목록'!$R$2:$R$729,'구절목록'!$F$2:$F$729,A6)</f>
        <v/>
      </c>
      <c r="G6" s="14">
        <f>IF(C6&gt;0,"정상","구절 없음")</f>
        <v/>
      </c>
    </row>
    <row r="7">
      <c r="A7" s="15" t="inlineStr">
        <is>
          <t>여호수아</t>
        </is>
      </c>
      <c r="B7" s="14" t="inlineStr">
        <is>
          <t>구약</t>
        </is>
      </c>
      <c r="C7" s="14">
        <f>COUNTIF('구절목록'!$F$2:$F$729,A7)</f>
        <v/>
      </c>
      <c r="D7" s="14" t="n">
        <v>24</v>
      </c>
      <c r="E7" s="17">
        <f>_xlfn.MINIFS('구절목록'!$R$2:$R$729,'구절목록'!$F$2:$F$729,A7)</f>
        <v/>
      </c>
      <c r="F7" s="17">
        <f>_xlfn.MAXIFS('구절목록'!$R$2:$R$729,'구절목록'!$F$2:$F$729,A7)</f>
        <v/>
      </c>
      <c r="G7" s="14">
        <f>IF(C7&gt;0,"정상","구절 없음")</f>
        <v/>
      </c>
    </row>
    <row r="8">
      <c r="A8" s="15" t="inlineStr">
        <is>
          <t>사사기</t>
        </is>
      </c>
      <c r="B8" s="14" t="inlineStr">
        <is>
          <t>구약</t>
        </is>
      </c>
      <c r="C8" s="14">
        <f>COUNTIF('구절목록'!$F$2:$F$729,A8)</f>
        <v/>
      </c>
      <c r="D8" s="14" t="n">
        <v>21</v>
      </c>
      <c r="E8" s="17">
        <f>_xlfn.MINIFS('구절목록'!$R$2:$R$729,'구절목록'!$F$2:$F$729,A8)</f>
        <v/>
      </c>
      <c r="F8" s="17">
        <f>_xlfn.MAXIFS('구절목록'!$R$2:$R$729,'구절목록'!$F$2:$F$729,A8)</f>
        <v/>
      </c>
      <c r="G8" s="14">
        <f>IF(C8&gt;0,"정상","구절 없음")</f>
        <v/>
      </c>
    </row>
    <row r="9">
      <c r="A9" s="15" t="inlineStr">
        <is>
          <t>룻기</t>
        </is>
      </c>
      <c r="B9" s="14" t="inlineStr">
        <is>
          <t>구약</t>
        </is>
      </c>
      <c r="C9" s="14">
        <f>COUNTIF('구절목록'!$F$2:$F$729,A9)</f>
        <v/>
      </c>
      <c r="D9" s="14" t="n">
        <v>4</v>
      </c>
      <c r="E9" s="17">
        <f>_xlfn.MINIFS('구절목록'!$R$2:$R$729,'구절목록'!$F$2:$F$729,A9)</f>
        <v/>
      </c>
      <c r="F9" s="17">
        <f>_xlfn.MAXIFS('구절목록'!$R$2:$R$729,'구절목록'!$F$2:$F$729,A9)</f>
        <v/>
      </c>
      <c r="G9" s="14">
        <f>IF(C9&gt;0,"정상","구절 없음")</f>
        <v/>
      </c>
    </row>
    <row r="10">
      <c r="A10" s="15" t="inlineStr">
        <is>
          <t>사무엘상</t>
        </is>
      </c>
      <c r="B10" s="14" t="inlineStr">
        <is>
          <t>구약</t>
        </is>
      </c>
      <c r="C10" s="14">
        <f>COUNTIF('구절목록'!$F$2:$F$729,A10)</f>
        <v/>
      </c>
      <c r="D10" s="14" t="n">
        <v>31</v>
      </c>
      <c r="E10" s="17">
        <f>_xlfn.MINIFS('구절목록'!$R$2:$R$729,'구절목록'!$F$2:$F$729,A10)</f>
        <v/>
      </c>
      <c r="F10" s="17">
        <f>_xlfn.MAXIFS('구절목록'!$R$2:$R$729,'구절목록'!$F$2:$F$729,A10)</f>
        <v/>
      </c>
      <c r="G10" s="14">
        <f>IF(C10&gt;0,"정상","구절 없음")</f>
        <v/>
      </c>
    </row>
    <row r="11">
      <c r="A11" s="15" t="inlineStr">
        <is>
          <t>사무엘하</t>
        </is>
      </c>
      <c r="B11" s="14" t="inlineStr">
        <is>
          <t>구약</t>
        </is>
      </c>
      <c r="C11" s="14">
        <f>COUNTIF('구절목록'!$F$2:$F$729,A11)</f>
        <v/>
      </c>
      <c r="D11" s="14" t="n">
        <v>24</v>
      </c>
      <c r="E11" s="17">
        <f>_xlfn.MINIFS('구절목록'!$R$2:$R$729,'구절목록'!$F$2:$F$729,A11)</f>
        <v/>
      </c>
      <c r="F11" s="17">
        <f>_xlfn.MAXIFS('구절목록'!$R$2:$R$729,'구절목록'!$F$2:$F$729,A11)</f>
        <v/>
      </c>
      <c r="G11" s="14">
        <f>IF(C11&gt;0,"정상","구절 없음")</f>
        <v/>
      </c>
    </row>
    <row r="12">
      <c r="A12" s="15" t="inlineStr">
        <is>
          <t>열왕기상</t>
        </is>
      </c>
      <c r="B12" s="14" t="inlineStr">
        <is>
          <t>구약</t>
        </is>
      </c>
      <c r="C12" s="14">
        <f>COUNTIF('구절목록'!$F$2:$F$729,A12)</f>
        <v/>
      </c>
      <c r="D12" s="14" t="n">
        <v>22</v>
      </c>
      <c r="E12" s="17">
        <f>_xlfn.MINIFS('구절목록'!$R$2:$R$729,'구절목록'!$F$2:$F$729,A12)</f>
        <v/>
      </c>
      <c r="F12" s="17">
        <f>_xlfn.MAXIFS('구절목록'!$R$2:$R$729,'구절목록'!$F$2:$F$729,A12)</f>
        <v/>
      </c>
      <c r="G12" s="14">
        <f>IF(C12&gt;0,"정상","구절 없음")</f>
        <v/>
      </c>
    </row>
    <row r="13">
      <c r="A13" s="15" t="inlineStr">
        <is>
          <t>열왕기하</t>
        </is>
      </c>
      <c r="B13" s="14" t="inlineStr">
        <is>
          <t>구약</t>
        </is>
      </c>
      <c r="C13" s="14">
        <f>COUNTIF('구절목록'!$F$2:$F$729,A13)</f>
        <v/>
      </c>
      <c r="D13" s="14" t="n">
        <v>25</v>
      </c>
      <c r="E13" s="17">
        <f>_xlfn.MINIFS('구절목록'!$R$2:$R$729,'구절목록'!$F$2:$F$729,A13)</f>
        <v/>
      </c>
      <c r="F13" s="17">
        <f>_xlfn.MAXIFS('구절목록'!$R$2:$R$729,'구절목록'!$F$2:$F$729,A13)</f>
        <v/>
      </c>
      <c r="G13" s="14">
        <f>IF(C13&gt;0,"정상","구절 없음")</f>
        <v/>
      </c>
    </row>
    <row r="14">
      <c r="A14" s="15" t="inlineStr">
        <is>
          <t>역대상</t>
        </is>
      </c>
      <c r="B14" s="14" t="inlineStr">
        <is>
          <t>구약</t>
        </is>
      </c>
      <c r="C14" s="14">
        <f>COUNTIF('구절목록'!$F$2:$F$729,A14)</f>
        <v/>
      </c>
      <c r="D14" s="14" t="n">
        <v>29</v>
      </c>
      <c r="E14" s="17">
        <f>_xlfn.MINIFS('구절목록'!$R$2:$R$729,'구절목록'!$F$2:$F$729,A14)</f>
        <v/>
      </c>
      <c r="F14" s="17">
        <f>_xlfn.MAXIFS('구절목록'!$R$2:$R$729,'구절목록'!$F$2:$F$729,A14)</f>
        <v/>
      </c>
      <c r="G14" s="14">
        <f>IF(C14&gt;0,"정상","구절 없음")</f>
        <v/>
      </c>
    </row>
    <row r="15">
      <c r="A15" s="15" t="inlineStr">
        <is>
          <t>역대하</t>
        </is>
      </c>
      <c r="B15" s="14" t="inlineStr">
        <is>
          <t>구약</t>
        </is>
      </c>
      <c r="C15" s="14">
        <f>COUNTIF('구절목록'!$F$2:$F$729,A15)</f>
        <v/>
      </c>
      <c r="D15" s="14" t="n">
        <v>36</v>
      </c>
      <c r="E15" s="17">
        <f>_xlfn.MINIFS('구절목록'!$R$2:$R$729,'구절목록'!$F$2:$F$729,A15)</f>
        <v/>
      </c>
      <c r="F15" s="17">
        <f>_xlfn.MAXIFS('구절목록'!$R$2:$R$729,'구절목록'!$F$2:$F$729,A15)</f>
        <v/>
      </c>
      <c r="G15" s="14">
        <f>IF(C15&gt;0,"정상","구절 없음")</f>
        <v/>
      </c>
    </row>
    <row r="16">
      <c r="A16" s="15" t="inlineStr">
        <is>
          <t>에스라</t>
        </is>
      </c>
      <c r="B16" s="14" t="inlineStr">
        <is>
          <t>구약</t>
        </is>
      </c>
      <c r="C16" s="14">
        <f>COUNTIF('구절목록'!$F$2:$F$729,A16)</f>
        <v/>
      </c>
      <c r="D16" s="14" t="n">
        <v>10</v>
      </c>
      <c r="E16" s="17">
        <f>_xlfn.MINIFS('구절목록'!$R$2:$R$729,'구절목록'!$F$2:$F$729,A16)</f>
        <v/>
      </c>
      <c r="F16" s="17">
        <f>_xlfn.MAXIFS('구절목록'!$R$2:$R$729,'구절목록'!$F$2:$F$729,A16)</f>
        <v/>
      </c>
      <c r="G16" s="14">
        <f>IF(C16&gt;0,"정상","구절 없음")</f>
        <v/>
      </c>
    </row>
    <row r="17">
      <c r="A17" s="15" t="inlineStr">
        <is>
          <t>느헤미야</t>
        </is>
      </c>
      <c r="B17" s="14" t="inlineStr">
        <is>
          <t>구약</t>
        </is>
      </c>
      <c r="C17" s="14">
        <f>COUNTIF('구절목록'!$F$2:$F$729,A17)</f>
        <v/>
      </c>
      <c r="D17" s="14" t="n">
        <v>13</v>
      </c>
      <c r="E17" s="17">
        <f>_xlfn.MINIFS('구절목록'!$R$2:$R$729,'구절목록'!$F$2:$F$729,A17)</f>
        <v/>
      </c>
      <c r="F17" s="17">
        <f>_xlfn.MAXIFS('구절목록'!$R$2:$R$729,'구절목록'!$F$2:$F$729,A17)</f>
        <v/>
      </c>
      <c r="G17" s="14">
        <f>IF(C17&gt;0,"정상","구절 없음")</f>
        <v/>
      </c>
    </row>
    <row r="18">
      <c r="A18" s="15" t="inlineStr">
        <is>
          <t>에스더</t>
        </is>
      </c>
      <c r="B18" s="14" t="inlineStr">
        <is>
          <t>구약</t>
        </is>
      </c>
      <c r="C18" s="14">
        <f>COUNTIF('구절목록'!$F$2:$F$729,A18)</f>
        <v/>
      </c>
      <c r="D18" s="14" t="n">
        <v>10</v>
      </c>
      <c r="E18" s="17">
        <f>_xlfn.MINIFS('구절목록'!$R$2:$R$729,'구절목록'!$F$2:$F$729,A18)</f>
        <v/>
      </c>
      <c r="F18" s="17">
        <f>_xlfn.MAXIFS('구절목록'!$R$2:$R$729,'구절목록'!$F$2:$F$729,A18)</f>
        <v/>
      </c>
      <c r="G18" s="14">
        <f>IF(C18&gt;0,"정상","구절 없음")</f>
        <v/>
      </c>
    </row>
    <row r="19">
      <c r="A19" s="15" t="inlineStr">
        <is>
          <t>욥기</t>
        </is>
      </c>
      <c r="B19" s="14" t="inlineStr">
        <is>
          <t>구약</t>
        </is>
      </c>
      <c r="C19" s="14">
        <f>COUNTIF('구절목록'!$F$2:$F$729,A19)</f>
        <v/>
      </c>
      <c r="D19" s="14" t="n">
        <v>42</v>
      </c>
      <c r="E19" s="17">
        <f>_xlfn.MINIFS('구절목록'!$R$2:$R$729,'구절목록'!$F$2:$F$729,A19)</f>
        <v/>
      </c>
      <c r="F19" s="17">
        <f>_xlfn.MAXIFS('구절목록'!$R$2:$R$729,'구절목록'!$F$2:$F$729,A19)</f>
        <v/>
      </c>
      <c r="G19" s="14">
        <f>IF(C19&gt;0,"정상","구절 없음")</f>
        <v/>
      </c>
    </row>
    <row r="20">
      <c r="A20" s="15" t="inlineStr">
        <is>
          <t>시편</t>
        </is>
      </c>
      <c r="B20" s="14" t="inlineStr">
        <is>
          <t>구약</t>
        </is>
      </c>
      <c r="C20" s="14">
        <f>COUNTIF('구절목록'!$F$2:$F$729,A20)</f>
        <v/>
      </c>
      <c r="D20" s="14" t="n">
        <v>150</v>
      </c>
      <c r="E20" s="17">
        <f>_xlfn.MINIFS('구절목록'!$R$2:$R$729,'구절목록'!$F$2:$F$729,A20)</f>
        <v/>
      </c>
      <c r="F20" s="17">
        <f>_xlfn.MAXIFS('구절목록'!$R$2:$R$729,'구절목록'!$F$2:$F$729,A20)</f>
        <v/>
      </c>
      <c r="G20" s="14">
        <f>IF(C20&gt;0,"정상","구절 없음")</f>
        <v/>
      </c>
    </row>
    <row r="21">
      <c r="A21" s="15" t="inlineStr">
        <is>
          <t>잠언</t>
        </is>
      </c>
      <c r="B21" s="14" t="inlineStr">
        <is>
          <t>구약</t>
        </is>
      </c>
      <c r="C21" s="14">
        <f>COUNTIF('구절목록'!$F$2:$F$729,A21)</f>
        <v/>
      </c>
      <c r="D21" s="14" t="n">
        <v>31</v>
      </c>
      <c r="E21" s="17">
        <f>_xlfn.MINIFS('구절목록'!$R$2:$R$729,'구절목록'!$F$2:$F$729,A21)</f>
        <v/>
      </c>
      <c r="F21" s="17">
        <f>_xlfn.MAXIFS('구절목록'!$R$2:$R$729,'구절목록'!$F$2:$F$729,A21)</f>
        <v/>
      </c>
      <c r="G21" s="14">
        <f>IF(C21&gt;0,"정상","구절 없음")</f>
        <v/>
      </c>
    </row>
    <row r="22">
      <c r="A22" s="15" t="inlineStr">
        <is>
          <t>전도서</t>
        </is>
      </c>
      <c r="B22" s="14" t="inlineStr">
        <is>
          <t>구약</t>
        </is>
      </c>
      <c r="C22" s="14">
        <f>COUNTIF('구절목록'!$F$2:$F$729,A22)</f>
        <v/>
      </c>
      <c r="D22" s="14" t="n">
        <v>12</v>
      </c>
      <c r="E22" s="17">
        <f>_xlfn.MINIFS('구절목록'!$R$2:$R$729,'구절목록'!$F$2:$F$729,A22)</f>
        <v/>
      </c>
      <c r="F22" s="17">
        <f>_xlfn.MAXIFS('구절목록'!$R$2:$R$729,'구절목록'!$F$2:$F$729,A22)</f>
        <v/>
      </c>
      <c r="G22" s="14">
        <f>IF(C22&gt;0,"정상","구절 없음")</f>
        <v/>
      </c>
    </row>
    <row r="23">
      <c r="A23" s="15" t="inlineStr">
        <is>
          <t>아가</t>
        </is>
      </c>
      <c r="B23" s="14" t="inlineStr">
        <is>
          <t>구약</t>
        </is>
      </c>
      <c r="C23" s="14">
        <f>COUNTIF('구절목록'!$F$2:$F$729,A23)</f>
        <v/>
      </c>
      <c r="D23" s="14" t="n">
        <v>8</v>
      </c>
      <c r="E23" s="17">
        <f>_xlfn.MINIFS('구절목록'!$R$2:$R$729,'구절목록'!$F$2:$F$729,A23)</f>
        <v/>
      </c>
      <c r="F23" s="17">
        <f>_xlfn.MAXIFS('구절목록'!$R$2:$R$729,'구절목록'!$F$2:$F$729,A23)</f>
        <v/>
      </c>
      <c r="G23" s="14">
        <f>IF(C23&gt;0,"정상","구절 없음")</f>
        <v/>
      </c>
    </row>
    <row r="24">
      <c r="A24" s="15" t="inlineStr">
        <is>
          <t>이사야</t>
        </is>
      </c>
      <c r="B24" s="14" t="inlineStr">
        <is>
          <t>구약</t>
        </is>
      </c>
      <c r="C24" s="14">
        <f>COUNTIF('구절목록'!$F$2:$F$729,A24)</f>
        <v/>
      </c>
      <c r="D24" s="14" t="n">
        <v>66</v>
      </c>
      <c r="E24" s="17">
        <f>_xlfn.MINIFS('구절목록'!$R$2:$R$729,'구절목록'!$F$2:$F$729,A24)</f>
        <v/>
      </c>
      <c r="F24" s="17">
        <f>_xlfn.MAXIFS('구절목록'!$R$2:$R$729,'구절목록'!$F$2:$F$729,A24)</f>
        <v/>
      </c>
      <c r="G24" s="14">
        <f>IF(C24&gt;0,"정상","구절 없음")</f>
        <v/>
      </c>
    </row>
    <row r="25">
      <c r="A25" s="15" t="inlineStr">
        <is>
          <t>예레미야</t>
        </is>
      </c>
      <c r="B25" s="14" t="inlineStr">
        <is>
          <t>구약</t>
        </is>
      </c>
      <c r="C25" s="14">
        <f>COUNTIF('구절목록'!$F$2:$F$729,A25)</f>
        <v/>
      </c>
      <c r="D25" s="14" t="n">
        <v>52</v>
      </c>
      <c r="E25" s="17">
        <f>_xlfn.MINIFS('구절목록'!$R$2:$R$729,'구절목록'!$F$2:$F$729,A25)</f>
        <v/>
      </c>
      <c r="F25" s="17">
        <f>_xlfn.MAXIFS('구절목록'!$R$2:$R$729,'구절목록'!$F$2:$F$729,A25)</f>
        <v/>
      </c>
      <c r="G25" s="14">
        <f>IF(C25&gt;0,"정상","구절 없음")</f>
        <v/>
      </c>
    </row>
    <row r="26">
      <c r="A26" s="15" t="inlineStr">
        <is>
          <t>예레미야애가</t>
        </is>
      </c>
      <c r="B26" s="14" t="inlineStr">
        <is>
          <t>구약</t>
        </is>
      </c>
      <c r="C26" s="14">
        <f>COUNTIF('구절목록'!$F$2:$F$729,A26)</f>
        <v/>
      </c>
      <c r="D26" s="14" t="n">
        <v>5</v>
      </c>
      <c r="E26" s="17">
        <f>_xlfn.MINIFS('구절목록'!$R$2:$R$729,'구절목록'!$F$2:$F$729,A26)</f>
        <v/>
      </c>
      <c r="F26" s="17">
        <f>_xlfn.MAXIFS('구절목록'!$R$2:$R$729,'구절목록'!$F$2:$F$729,A26)</f>
        <v/>
      </c>
      <c r="G26" s="14">
        <f>IF(C26&gt;0,"정상","구절 없음")</f>
        <v/>
      </c>
    </row>
    <row r="27">
      <c r="A27" s="15" t="inlineStr">
        <is>
          <t>에스겔</t>
        </is>
      </c>
      <c r="B27" s="14" t="inlineStr">
        <is>
          <t>구약</t>
        </is>
      </c>
      <c r="C27" s="14">
        <f>COUNTIF('구절목록'!$F$2:$F$729,A27)</f>
        <v/>
      </c>
      <c r="D27" s="14" t="n">
        <v>48</v>
      </c>
      <c r="E27" s="17">
        <f>_xlfn.MINIFS('구절목록'!$R$2:$R$729,'구절목록'!$F$2:$F$729,A27)</f>
        <v/>
      </c>
      <c r="F27" s="17">
        <f>_xlfn.MAXIFS('구절목록'!$R$2:$R$729,'구절목록'!$F$2:$F$729,A27)</f>
        <v/>
      </c>
      <c r="G27" s="14">
        <f>IF(C27&gt;0,"정상","구절 없음")</f>
        <v/>
      </c>
    </row>
    <row r="28">
      <c r="A28" s="15" t="inlineStr">
        <is>
          <t>다니엘</t>
        </is>
      </c>
      <c r="B28" s="14" t="inlineStr">
        <is>
          <t>구약</t>
        </is>
      </c>
      <c r="C28" s="14">
        <f>COUNTIF('구절목록'!$F$2:$F$729,A28)</f>
        <v/>
      </c>
      <c r="D28" s="14" t="n">
        <v>12</v>
      </c>
      <c r="E28" s="17">
        <f>_xlfn.MINIFS('구절목록'!$R$2:$R$729,'구절목록'!$F$2:$F$729,A28)</f>
        <v/>
      </c>
      <c r="F28" s="17">
        <f>_xlfn.MAXIFS('구절목록'!$R$2:$R$729,'구절목록'!$F$2:$F$729,A28)</f>
        <v/>
      </c>
      <c r="G28" s="14">
        <f>IF(C28&gt;0,"정상","구절 없음")</f>
        <v/>
      </c>
    </row>
    <row r="29">
      <c r="A29" s="15" t="inlineStr">
        <is>
          <t>호세아</t>
        </is>
      </c>
      <c r="B29" s="14" t="inlineStr">
        <is>
          <t>구약</t>
        </is>
      </c>
      <c r="C29" s="14">
        <f>COUNTIF('구절목록'!$F$2:$F$729,A29)</f>
        <v/>
      </c>
      <c r="D29" s="14" t="n">
        <v>14</v>
      </c>
      <c r="E29" s="17">
        <f>_xlfn.MINIFS('구절목록'!$R$2:$R$729,'구절목록'!$F$2:$F$729,A29)</f>
        <v/>
      </c>
      <c r="F29" s="17">
        <f>_xlfn.MAXIFS('구절목록'!$R$2:$R$729,'구절목록'!$F$2:$F$729,A29)</f>
        <v/>
      </c>
      <c r="G29" s="14">
        <f>IF(C29&gt;0,"정상","구절 없음")</f>
        <v/>
      </c>
    </row>
    <row r="30">
      <c r="A30" s="15" t="inlineStr">
        <is>
          <t>요엘</t>
        </is>
      </c>
      <c r="B30" s="14" t="inlineStr">
        <is>
          <t>구약</t>
        </is>
      </c>
      <c r="C30" s="14">
        <f>COUNTIF('구절목록'!$F$2:$F$729,A30)</f>
        <v/>
      </c>
      <c r="D30" s="14" t="n">
        <v>3</v>
      </c>
      <c r="E30" s="17">
        <f>_xlfn.MINIFS('구절목록'!$R$2:$R$729,'구절목록'!$F$2:$F$729,A30)</f>
        <v/>
      </c>
      <c r="F30" s="17">
        <f>_xlfn.MAXIFS('구절목록'!$R$2:$R$729,'구절목록'!$F$2:$F$729,A30)</f>
        <v/>
      </c>
      <c r="G30" s="14">
        <f>IF(C30&gt;0,"정상","구절 없음")</f>
        <v/>
      </c>
    </row>
    <row r="31">
      <c r="A31" s="15" t="inlineStr">
        <is>
          <t>아모스</t>
        </is>
      </c>
      <c r="B31" s="14" t="inlineStr">
        <is>
          <t>구약</t>
        </is>
      </c>
      <c r="C31" s="14">
        <f>COUNTIF('구절목록'!$F$2:$F$729,A31)</f>
        <v/>
      </c>
      <c r="D31" s="14" t="n">
        <v>9</v>
      </c>
      <c r="E31" s="17">
        <f>_xlfn.MINIFS('구절목록'!$R$2:$R$729,'구절목록'!$F$2:$F$729,A31)</f>
        <v/>
      </c>
      <c r="F31" s="17">
        <f>_xlfn.MAXIFS('구절목록'!$R$2:$R$729,'구절목록'!$F$2:$F$729,A31)</f>
        <v/>
      </c>
      <c r="G31" s="14">
        <f>IF(C31&gt;0,"정상","구절 없음")</f>
        <v/>
      </c>
    </row>
    <row r="32">
      <c r="A32" s="15" t="inlineStr">
        <is>
          <t>오바댜</t>
        </is>
      </c>
      <c r="B32" s="14" t="inlineStr">
        <is>
          <t>구약</t>
        </is>
      </c>
      <c r="C32" s="14">
        <f>COUNTIF('구절목록'!$F$2:$F$729,A32)</f>
        <v/>
      </c>
      <c r="D32" s="14" t="n">
        <v>1</v>
      </c>
      <c r="E32" s="17">
        <f>_xlfn.MINIFS('구절목록'!$R$2:$R$729,'구절목록'!$F$2:$F$729,A32)</f>
        <v/>
      </c>
      <c r="F32" s="17">
        <f>_xlfn.MAXIFS('구절목록'!$R$2:$R$729,'구절목록'!$F$2:$F$729,A32)</f>
        <v/>
      </c>
      <c r="G32" s="14">
        <f>IF(C32&gt;0,"정상","구절 없음")</f>
        <v/>
      </c>
    </row>
    <row r="33">
      <c r="A33" s="15" t="inlineStr">
        <is>
          <t>요나</t>
        </is>
      </c>
      <c r="B33" s="14" t="inlineStr">
        <is>
          <t>구약</t>
        </is>
      </c>
      <c r="C33" s="14">
        <f>COUNTIF('구절목록'!$F$2:$F$729,A33)</f>
        <v/>
      </c>
      <c r="D33" s="14" t="n">
        <v>4</v>
      </c>
      <c r="E33" s="17">
        <f>_xlfn.MINIFS('구절목록'!$R$2:$R$729,'구절목록'!$F$2:$F$729,A33)</f>
        <v/>
      </c>
      <c r="F33" s="17">
        <f>_xlfn.MAXIFS('구절목록'!$R$2:$R$729,'구절목록'!$F$2:$F$729,A33)</f>
        <v/>
      </c>
      <c r="G33" s="14">
        <f>IF(C33&gt;0,"정상","구절 없음")</f>
        <v/>
      </c>
    </row>
    <row r="34">
      <c r="A34" s="15" t="inlineStr">
        <is>
          <t>미가</t>
        </is>
      </c>
      <c r="B34" s="14" t="inlineStr">
        <is>
          <t>구약</t>
        </is>
      </c>
      <c r="C34" s="14">
        <f>COUNTIF('구절목록'!$F$2:$F$729,A34)</f>
        <v/>
      </c>
      <c r="D34" s="14" t="n">
        <v>7</v>
      </c>
      <c r="E34" s="17">
        <f>_xlfn.MINIFS('구절목록'!$R$2:$R$729,'구절목록'!$F$2:$F$729,A34)</f>
        <v/>
      </c>
      <c r="F34" s="17">
        <f>_xlfn.MAXIFS('구절목록'!$R$2:$R$729,'구절목록'!$F$2:$F$729,A34)</f>
        <v/>
      </c>
      <c r="G34" s="14">
        <f>IF(C34&gt;0,"정상","구절 없음")</f>
        <v/>
      </c>
    </row>
    <row r="35">
      <c r="A35" s="15" t="inlineStr">
        <is>
          <t>나훔</t>
        </is>
      </c>
      <c r="B35" s="14" t="inlineStr">
        <is>
          <t>구약</t>
        </is>
      </c>
      <c r="C35" s="14">
        <f>COUNTIF('구절목록'!$F$2:$F$729,A35)</f>
        <v/>
      </c>
      <c r="D35" s="14" t="n">
        <v>3</v>
      </c>
      <c r="E35" s="17">
        <f>_xlfn.MINIFS('구절목록'!$R$2:$R$729,'구절목록'!$F$2:$F$729,A35)</f>
        <v/>
      </c>
      <c r="F35" s="17">
        <f>_xlfn.MAXIFS('구절목록'!$R$2:$R$729,'구절목록'!$F$2:$F$729,A35)</f>
        <v/>
      </c>
      <c r="G35" s="14">
        <f>IF(C35&gt;0,"정상","구절 없음")</f>
        <v/>
      </c>
    </row>
    <row r="36">
      <c r="A36" s="15" t="inlineStr">
        <is>
          <t>하박국</t>
        </is>
      </c>
      <c r="B36" s="14" t="inlineStr">
        <is>
          <t>구약</t>
        </is>
      </c>
      <c r="C36" s="14">
        <f>COUNTIF('구절목록'!$F$2:$F$729,A36)</f>
        <v/>
      </c>
      <c r="D36" s="14" t="n">
        <v>3</v>
      </c>
      <c r="E36" s="17">
        <f>_xlfn.MINIFS('구절목록'!$R$2:$R$729,'구절목록'!$F$2:$F$729,A36)</f>
        <v/>
      </c>
      <c r="F36" s="17">
        <f>_xlfn.MAXIFS('구절목록'!$R$2:$R$729,'구절목록'!$F$2:$F$729,A36)</f>
        <v/>
      </c>
      <c r="G36" s="14">
        <f>IF(C36&gt;0,"정상","구절 없음")</f>
        <v/>
      </c>
    </row>
    <row r="37">
      <c r="A37" s="15" t="inlineStr">
        <is>
          <t>스바냐</t>
        </is>
      </c>
      <c r="B37" s="14" t="inlineStr">
        <is>
          <t>구약</t>
        </is>
      </c>
      <c r="C37" s="14">
        <f>COUNTIF('구절목록'!$F$2:$F$729,A37)</f>
        <v/>
      </c>
      <c r="D37" s="14" t="n">
        <v>3</v>
      </c>
      <c r="E37" s="17">
        <f>_xlfn.MINIFS('구절목록'!$R$2:$R$729,'구절목록'!$F$2:$F$729,A37)</f>
        <v/>
      </c>
      <c r="F37" s="17">
        <f>_xlfn.MAXIFS('구절목록'!$R$2:$R$729,'구절목록'!$F$2:$F$729,A37)</f>
        <v/>
      </c>
      <c r="G37" s="14">
        <f>IF(C37&gt;0,"정상","구절 없음")</f>
        <v/>
      </c>
    </row>
    <row r="38">
      <c r="A38" s="15" t="inlineStr">
        <is>
          <t>학개</t>
        </is>
      </c>
      <c r="B38" s="14" t="inlineStr">
        <is>
          <t>구약</t>
        </is>
      </c>
      <c r="C38" s="14">
        <f>COUNTIF('구절목록'!$F$2:$F$729,A38)</f>
        <v/>
      </c>
      <c r="D38" s="14" t="n">
        <v>2</v>
      </c>
      <c r="E38" s="17">
        <f>_xlfn.MINIFS('구절목록'!$R$2:$R$729,'구절목록'!$F$2:$F$729,A38)</f>
        <v/>
      </c>
      <c r="F38" s="17">
        <f>_xlfn.MAXIFS('구절목록'!$R$2:$R$729,'구절목록'!$F$2:$F$729,A38)</f>
        <v/>
      </c>
      <c r="G38" s="14">
        <f>IF(C38&gt;0,"정상","구절 없음")</f>
        <v/>
      </c>
    </row>
    <row r="39">
      <c r="A39" s="15" t="inlineStr">
        <is>
          <t>스가랴</t>
        </is>
      </c>
      <c r="B39" s="14" t="inlineStr">
        <is>
          <t>구약</t>
        </is>
      </c>
      <c r="C39" s="14">
        <f>COUNTIF('구절목록'!$F$2:$F$729,A39)</f>
        <v/>
      </c>
      <c r="D39" s="14" t="n">
        <v>14</v>
      </c>
      <c r="E39" s="17">
        <f>_xlfn.MINIFS('구절목록'!$R$2:$R$729,'구절목록'!$F$2:$F$729,A39)</f>
        <v/>
      </c>
      <c r="F39" s="17">
        <f>_xlfn.MAXIFS('구절목록'!$R$2:$R$729,'구절목록'!$F$2:$F$729,A39)</f>
        <v/>
      </c>
      <c r="G39" s="14">
        <f>IF(C39&gt;0,"정상","구절 없음")</f>
        <v/>
      </c>
    </row>
    <row r="40">
      <c r="A40" s="15" t="inlineStr">
        <is>
          <t>말라기</t>
        </is>
      </c>
      <c r="B40" s="14" t="inlineStr">
        <is>
          <t>구약</t>
        </is>
      </c>
      <c r="C40" s="14">
        <f>COUNTIF('구절목록'!$F$2:$F$729,A40)</f>
        <v/>
      </c>
      <c r="D40" s="14" t="n">
        <v>4</v>
      </c>
      <c r="E40" s="17">
        <f>_xlfn.MINIFS('구절목록'!$R$2:$R$729,'구절목록'!$F$2:$F$729,A40)</f>
        <v/>
      </c>
      <c r="F40" s="17">
        <f>_xlfn.MAXIFS('구절목록'!$R$2:$R$729,'구절목록'!$F$2:$F$729,A40)</f>
        <v/>
      </c>
      <c r="G40" s="14">
        <f>IF(C40&gt;0,"정상","구절 없음")</f>
        <v/>
      </c>
    </row>
    <row r="41">
      <c r="A41" s="15" t="inlineStr">
        <is>
          <t>마태복음</t>
        </is>
      </c>
      <c r="B41" s="14" t="inlineStr">
        <is>
          <t>신약</t>
        </is>
      </c>
      <c r="C41" s="14">
        <f>COUNTIF('구절목록'!$F$2:$F$729,A41)</f>
        <v/>
      </c>
      <c r="D41" s="14" t="n">
        <v>28</v>
      </c>
      <c r="E41" s="17">
        <f>_xlfn.MINIFS('구절목록'!$R$2:$R$729,'구절목록'!$F$2:$F$729,A41)</f>
        <v/>
      </c>
      <c r="F41" s="17">
        <f>_xlfn.MAXIFS('구절목록'!$R$2:$R$729,'구절목록'!$F$2:$F$729,A41)</f>
        <v/>
      </c>
      <c r="G41" s="14">
        <f>IF(C41&gt;0,"정상","구절 없음")</f>
        <v/>
      </c>
    </row>
    <row r="42">
      <c r="A42" s="15" t="inlineStr">
        <is>
          <t>마가복음</t>
        </is>
      </c>
      <c r="B42" s="14" t="inlineStr">
        <is>
          <t>신약</t>
        </is>
      </c>
      <c r="C42" s="14">
        <f>COUNTIF('구절목록'!$F$2:$F$729,A42)</f>
        <v/>
      </c>
      <c r="D42" s="14" t="n">
        <v>16</v>
      </c>
      <c r="E42" s="17">
        <f>_xlfn.MINIFS('구절목록'!$R$2:$R$729,'구절목록'!$F$2:$F$729,A42)</f>
        <v/>
      </c>
      <c r="F42" s="17">
        <f>_xlfn.MAXIFS('구절목록'!$R$2:$R$729,'구절목록'!$F$2:$F$729,A42)</f>
        <v/>
      </c>
      <c r="G42" s="14">
        <f>IF(C42&gt;0,"정상","구절 없음")</f>
        <v/>
      </c>
    </row>
    <row r="43">
      <c r="A43" s="15" t="inlineStr">
        <is>
          <t>누가복음</t>
        </is>
      </c>
      <c r="B43" s="14" t="inlineStr">
        <is>
          <t>신약</t>
        </is>
      </c>
      <c r="C43" s="14">
        <f>COUNTIF('구절목록'!$F$2:$F$729,A43)</f>
        <v/>
      </c>
      <c r="D43" s="14" t="n">
        <v>24</v>
      </c>
      <c r="E43" s="17">
        <f>_xlfn.MINIFS('구절목록'!$R$2:$R$729,'구절목록'!$F$2:$F$729,A43)</f>
        <v/>
      </c>
      <c r="F43" s="17">
        <f>_xlfn.MAXIFS('구절목록'!$R$2:$R$729,'구절목록'!$F$2:$F$729,A43)</f>
        <v/>
      </c>
      <c r="G43" s="14">
        <f>IF(C43&gt;0,"정상","구절 없음")</f>
        <v/>
      </c>
    </row>
    <row r="44">
      <c r="A44" s="15" t="inlineStr">
        <is>
          <t>요한복음</t>
        </is>
      </c>
      <c r="B44" s="14" t="inlineStr">
        <is>
          <t>신약</t>
        </is>
      </c>
      <c r="C44" s="14">
        <f>COUNTIF('구절목록'!$F$2:$F$729,A44)</f>
        <v/>
      </c>
      <c r="D44" s="14" t="n">
        <v>21</v>
      </c>
      <c r="E44" s="17">
        <f>_xlfn.MINIFS('구절목록'!$R$2:$R$729,'구절목록'!$F$2:$F$729,A44)</f>
        <v/>
      </c>
      <c r="F44" s="17">
        <f>_xlfn.MAXIFS('구절목록'!$R$2:$R$729,'구절목록'!$F$2:$F$729,A44)</f>
        <v/>
      </c>
      <c r="G44" s="14">
        <f>IF(C44&gt;0,"정상","구절 없음")</f>
        <v/>
      </c>
    </row>
    <row r="45">
      <c r="A45" s="15" t="inlineStr">
        <is>
          <t>사도행전</t>
        </is>
      </c>
      <c r="B45" s="14" t="inlineStr">
        <is>
          <t>신약</t>
        </is>
      </c>
      <c r="C45" s="14">
        <f>COUNTIF('구절목록'!$F$2:$F$729,A45)</f>
        <v/>
      </c>
      <c r="D45" s="14" t="n">
        <v>28</v>
      </c>
      <c r="E45" s="17">
        <f>_xlfn.MINIFS('구절목록'!$R$2:$R$729,'구절목록'!$F$2:$F$729,A45)</f>
        <v/>
      </c>
      <c r="F45" s="17">
        <f>_xlfn.MAXIFS('구절목록'!$R$2:$R$729,'구절목록'!$F$2:$F$729,A45)</f>
        <v/>
      </c>
      <c r="G45" s="14">
        <f>IF(C45&gt;0,"정상","구절 없음")</f>
        <v/>
      </c>
    </row>
    <row r="46">
      <c r="A46" s="15" t="inlineStr">
        <is>
          <t>로마서</t>
        </is>
      </c>
      <c r="B46" s="14" t="inlineStr">
        <is>
          <t>신약</t>
        </is>
      </c>
      <c r="C46" s="14">
        <f>COUNTIF('구절목록'!$F$2:$F$729,A46)</f>
        <v/>
      </c>
      <c r="D46" s="14" t="n">
        <v>16</v>
      </c>
      <c r="E46" s="17">
        <f>_xlfn.MINIFS('구절목록'!$R$2:$R$729,'구절목록'!$F$2:$F$729,A46)</f>
        <v/>
      </c>
      <c r="F46" s="17">
        <f>_xlfn.MAXIFS('구절목록'!$R$2:$R$729,'구절목록'!$F$2:$F$729,A46)</f>
        <v/>
      </c>
      <c r="G46" s="14">
        <f>IF(C46&gt;0,"정상","구절 없음")</f>
        <v/>
      </c>
    </row>
    <row r="47">
      <c r="A47" s="15" t="inlineStr">
        <is>
          <t>고린도전서</t>
        </is>
      </c>
      <c r="B47" s="14" t="inlineStr">
        <is>
          <t>신약</t>
        </is>
      </c>
      <c r="C47" s="14">
        <f>COUNTIF('구절목록'!$F$2:$F$729,A47)</f>
        <v/>
      </c>
      <c r="D47" s="14" t="n">
        <v>16</v>
      </c>
      <c r="E47" s="17">
        <f>_xlfn.MINIFS('구절목록'!$R$2:$R$729,'구절목록'!$F$2:$F$729,A47)</f>
        <v/>
      </c>
      <c r="F47" s="17">
        <f>_xlfn.MAXIFS('구절목록'!$R$2:$R$729,'구절목록'!$F$2:$F$729,A47)</f>
        <v/>
      </c>
      <c r="G47" s="14">
        <f>IF(C47&gt;0,"정상","구절 없음")</f>
        <v/>
      </c>
    </row>
    <row r="48">
      <c r="A48" s="15" t="inlineStr">
        <is>
          <t>고린도후서</t>
        </is>
      </c>
      <c r="B48" s="14" t="inlineStr">
        <is>
          <t>신약</t>
        </is>
      </c>
      <c r="C48" s="14">
        <f>COUNTIF('구절목록'!$F$2:$F$729,A48)</f>
        <v/>
      </c>
      <c r="D48" s="14" t="n">
        <v>13</v>
      </c>
      <c r="E48" s="17">
        <f>_xlfn.MINIFS('구절목록'!$R$2:$R$729,'구절목록'!$F$2:$F$729,A48)</f>
        <v/>
      </c>
      <c r="F48" s="17">
        <f>_xlfn.MAXIFS('구절목록'!$R$2:$R$729,'구절목록'!$F$2:$F$729,A48)</f>
        <v/>
      </c>
      <c r="G48" s="14">
        <f>IF(C48&gt;0,"정상","구절 없음")</f>
        <v/>
      </c>
    </row>
    <row r="49">
      <c r="A49" s="15" t="inlineStr">
        <is>
          <t>갈라디아서</t>
        </is>
      </c>
      <c r="B49" s="14" t="inlineStr">
        <is>
          <t>신약</t>
        </is>
      </c>
      <c r="C49" s="14">
        <f>COUNTIF('구절목록'!$F$2:$F$729,A49)</f>
        <v/>
      </c>
      <c r="D49" s="14" t="n">
        <v>6</v>
      </c>
      <c r="E49" s="17">
        <f>_xlfn.MINIFS('구절목록'!$R$2:$R$729,'구절목록'!$F$2:$F$729,A49)</f>
        <v/>
      </c>
      <c r="F49" s="17">
        <f>_xlfn.MAXIFS('구절목록'!$R$2:$R$729,'구절목록'!$F$2:$F$729,A49)</f>
        <v/>
      </c>
      <c r="G49" s="14">
        <f>IF(C49&gt;0,"정상","구절 없음")</f>
        <v/>
      </c>
    </row>
    <row r="50">
      <c r="A50" s="15" t="inlineStr">
        <is>
          <t>에베소서</t>
        </is>
      </c>
      <c r="B50" s="14" t="inlineStr">
        <is>
          <t>신약</t>
        </is>
      </c>
      <c r="C50" s="14">
        <f>COUNTIF('구절목록'!$F$2:$F$729,A50)</f>
        <v/>
      </c>
      <c r="D50" s="14" t="n">
        <v>6</v>
      </c>
      <c r="E50" s="17">
        <f>_xlfn.MINIFS('구절목록'!$R$2:$R$729,'구절목록'!$F$2:$F$729,A50)</f>
        <v/>
      </c>
      <c r="F50" s="17">
        <f>_xlfn.MAXIFS('구절목록'!$R$2:$R$729,'구절목록'!$F$2:$F$729,A50)</f>
        <v/>
      </c>
      <c r="G50" s="14">
        <f>IF(C50&gt;0,"정상","구절 없음")</f>
        <v/>
      </c>
    </row>
    <row r="51">
      <c r="A51" s="15" t="inlineStr">
        <is>
          <t>빌립보서</t>
        </is>
      </c>
      <c r="B51" s="14" t="inlineStr">
        <is>
          <t>신약</t>
        </is>
      </c>
      <c r="C51" s="14">
        <f>COUNTIF('구절목록'!$F$2:$F$729,A51)</f>
        <v/>
      </c>
      <c r="D51" s="14" t="n">
        <v>4</v>
      </c>
      <c r="E51" s="17">
        <f>_xlfn.MINIFS('구절목록'!$R$2:$R$729,'구절목록'!$F$2:$F$729,A51)</f>
        <v/>
      </c>
      <c r="F51" s="17">
        <f>_xlfn.MAXIFS('구절목록'!$R$2:$R$729,'구절목록'!$F$2:$F$729,A51)</f>
        <v/>
      </c>
      <c r="G51" s="14">
        <f>IF(C51&gt;0,"정상","구절 없음")</f>
        <v/>
      </c>
    </row>
    <row r="52">
      <c r="A52" s="15" t="inlineStr">
        <is>
          <t>골로새서</t>
        </is>
      </c>
      <c r="B52" s="14" t="inlineStr">
        <is>
          <t>신약</t>
        </is>
      </c>
      <c r="C52" s="14">
        <f>COUNTIF('구절목록'!$F$2:$F$729,A52)</f>
        <v/>
      </c>
      <c r="D52" s="14" t="n">
        <v>4</v>
      </c>
      <c r="E52" s="17">
        <f>_xlfn.MINIFS('구절목록'!$R$2:$R$729,'구절목록'!$F$2:$F$729,A52)</f>
        <v/>
      </c>
      <c r="F52" s="17">
        <f>_xlfn.MAXIFS('구절목록'!$R$2:$R$729,'구절목록'!$F$2:$F$729,A52)</f>
        <v/>
      </c>
      <c r="G52" s="14">
        <f>IF(C52&gt;0,"정상","구절 없음")</f>
        <v/>
      </c>
    </row>
    <row r="53">
      <c r="A53" s="15" t="inlineStr">
        <is>
          <t>데살로니가전서</t>
        </is>
      </c>
      <c r="B53" s="14" t="inlineStr">
        <is>
          <t>신약</t>
        </is>
      </c>
      <c r="C53" s="14">
        <f>COUNTIF('구절목록'!$F$2:$F$729,A53)</f>
        <v/>
      </c>
      <c r="D53" s="14" t="n">
        <v>5</v>
      </c>
      <c r="E53" s="17">
        <f>_xlfn.MINIFS('구절목록'!$R$2:$R$729,'구절목록'!$F$2:$F$729,A53)</f>
        <v/>
      </c>
      <c r="F53" s="17">
        <f>_xlfn.MAXIFS('구절목록'!$R$2:$R$729,'구절목록'!$F$2:$F$729,A53)</f>
        <v/>
      </c>
      <c r="G53" s="14">
        <f>IF(C53&gt;0,"정상","구절 없음")</f>
        <v/>
      </c>
    </row>
    <row r="54">
      <c r="A54" s="15" t="inlineStr">
        <is>
          <t>데살로니가후서</t>
        </is>
      </c>
      <c r="B54" s="14" t="inlineStr">
        <is>
          <t>신약</t>
        </is>
      </c>
      <c r="C54" s="14">
        <f>COUNTIF('구절목록'!$F$2:$F$729,A54)</f>
        <v/>
      </c>
      <c r="D54" s="14" t="n">
        <v>3</v>
      </c>
      <c r="E54" s="17">
        <f>_xlfn.MINIFS('구절목록'!$R$2:$R$729,'구절목록'!$F$2:$F$729,A54)</f>
        <v/>
      </c>
      <c r="F54" s="17">
        <f>_xlfn.MAXIFS('구절목록'!$R$2:$R$729,'구절목록'!$F$2:$F$729,A54)</f>
        <v/>
      </c>
      <c r="G54" s="14">
        <f>IF(C54&gt;0,"정상","구절 없음")</f>
        <v/>
      </c>
    </row>
    <row r="55">
      <c r="A55" s="15" t="inlineStr">
        <is>
          <t>디모데전서</t>
        </is>
      </c>
      <c r="B55" s="14" t="inlineStr">
        <is>
          <t>신약</t>
        </is>
      </c>
      <c r="C55" s="14">
        <f>COUNTIF('구절목록'!$F$2:$F$729,A55)</f>
        <v/>
      </c>
      <c r="D55" s="14" t="n">
        <v>6</v>
      </c>
      <c r="E55" s="17">
        <f>_xlfn.MINIFS('구절목록'!$R$2:$R$729,'구절목록'!$F$2:$F$729,A55)</f>
        <v/>
      </c>
      <c r="F55" s="17">
        <f>_xlfn.MAXIFS('구절목록'!$R$2:$R$729,'구절목록'!$F$2:$F$729,A55)</f>
        <v/>
      </c>
      <c r="G55" s="14">
        <f>IF(C55&gt;0,"정상","구절 없음")</f>
        <v/>
      </c>
    </row>
    <row r="56">
      <c r="A56" s="15" t="inlineStr">
        <is>
          <t>디모데후서</t>
        </is>
      </c>
      <c r="B56" s="14" t="inlineStr">
        <is>
          <t>신약</t>
        </is>
      </c>
      <c r="C56" s="14">
        <f>COUNTIF('구절목록'!$F$2:$F$729,A56)</f>
        <v/>
      </c>
      <c r="D56" s="14" t="n">
        <v>4</v>
      </c>
      <c r="E56" s="17">
        <f>_xlfn.MINIFS('구절목록'!$R$2:$R$729,'구절목록'!$F$2:$F$729,A56)</f>
        <v/>
      </c>
      <c r="F56" s="17">
        <f>_xlfn.MAXIFS('구절목록'!$R$2:$R$729,'구절목록'!$F$2:$F$729,A56)</f>
        <v/>
      </c>
      <c r="G56" s="14">
        <f>IF(C56&gt;0,"정상","구절 없음")</f>
        <v/>
      </c>
    </row>
    <row r="57">
      <c r="A57" s="15" t="inlineStr">
        <is>
          <t>디도서</t>
        </is>
      </c>
      <c r="B57" s="14" t="inlineStr">
        <is>
          <t>신약</t>
        </is>
      </c>
      <c r="C57" s="14">
        <f>COUNTIF('구절목록'!$F$2:$F$729,A57)</f>
        <v/>
      </c>
      <c r="D57" s="14" t="n">
        <v>3</v>
      </c>
      <c r="E57" s="17">
        <f>_xlfn.MINIFS('구절목록'!$R$2:$R$729,'구절목록'!$F$2:$F$729,A57)</f>
        <v/>
      </c>
      <c r="F57" s="17">
        <f>_xlfn.MAXIFS('구절목록'!$R$2:$R$729,'구절목록'!$F$2:$F$729,A57)</f>
        <v/>
      </c>
      <c r="G57" s="14">
        <f>IF(C57&gt;0,"정상","구절 없음")</f>
        <v/>
      </c>
    </row>
    <row r="58">
      <c r="A58" s="15" t="inlineStr">
        <is>
          <t>빌레몬서</t>
        </is>
      </c>
      <c r="B58" s="14" t="inlineStr">
        <is>
          <t>신약</t>
        </is>
      </c>
      <c r="C58" s="14">
        <f>COUNTIF('구절목록'!$F$2:$F$729,A58)</f>
        <v/>
      </c>
      <c r="D58" s="14" t="n">
        <v>1</v>
      </c>
      <c r="E58" s="17">
        <f>_xlfn.MINIFS('구절목록'!$R$2:$R$729,'구절목록'!$F$2:$F$729,A58)</f>
        <v/>
      </c>
      <c r="F58" s="17">
        <f>_xlfn.MAXIFS('구절목록'!$R$2:$R$729,'구절목록'!$F$2:$F$729,A58)</f>
        <v/>
      </c>
      <c r="G58" s="14">
        <f>IF(C58&gt;0,"정상","구절 없음")</f>
        <v/>
      </c>
    </row>
    <row r="59">
      <c r="A59" s="15" t="inlineStr">
        <is>
          <t>히브리서</t>
        </is>
      </c>
      <c r="B59" s="14" t="inlineStr">
        <is>
          <t>신약</t>
        </is>
      </c>
      <c r="C59" s="14">
        <f>COUNTIF('구절목록'!$F$2:$F$729,A59)</f>
        <v/>
      </c>
      <c r="D59" s="14" t="n">
        <v>13</v>
      </c>
      <c r="E59" s="17">
        <f>_xlfn.MINIFS('구절목록'!$R$2:$R$729,'구절목록'!$F$2:$F$729,A59)</f>
        <v/>
      </c>
      <c r="F59" s="17">
        <f>_xlfn.MAXIFS('구절목록'!$R$2:$R$729,'구절목록'!$F$2:$F$729,A59)</f>
        <v/>
      </c>
      <c r="G59" s="14">
        <f>IF(C59&gt;0,"정상","구절 없음")</f>
        <v/>
      </c>
    </row>
    <row r="60">
      <c r="A60" s="15" t="inlineStr">
        <is>
          <t>야고보서</t>
        </is>
      </c>
      <c r="B60" s="14" t="inlineStr">
        <is>
          <t>신약</t>
        </is>
      </c>
      <c r="C60" s="14">
        <f>COUNTIF('구절목록'!$F$2:$F$729,A60)</f>
        <v/>
      </c>
      <c r="D60" s="14" t="n">
        <v>5</v>
      </c>
      <c r="E60" s="17">
        <f>_xlfn.MINIFS('구절목록'!$R$2:$R$729,'구절목록'!$F$2:$F$729,A60)</f>
        <v/>
      </c>
      <c r="F60" s="17">
        <f>_xlfn.MAXIFS('구절목록'!$R$2:$R$729,'구절목록'!$F$2:$F$729,A60)</f>
        <v/>
      </c>
      <c r="G60" s="14">
        <f>IF(C60&gt;0,"정상","구절 없음")</f>
        <v/>
      </c>
    </row>
    <row r="61">
      <c r="A61" s="15" t="inlineStr">
        <is>
          <t>베드로전서</t>
        </is>
      </c>
      <c r="B61" s="14" t="inlineStr">
        <is>
          <t>신약</t>
        </is>
      </c>
      <c r="C61" s="14">
        <f>COUNTIF('구절목록'!$F$2:$F$729,A61)</f>
        <v/>
      </c>
      <c r="D61" s="14" t="n">
        <v>5</v>
      </c>
      <c r="E61" s="17">
        <f>_xlfn.MINIFS('구절목록'!$R$2:$R$729,'구절목록'!$F$2:$F$729,A61)</f>
        <v/>
      </c>
      <c r="F61" s="17">
        <f>_xlfn.MAXIFS('구절목록'!$R$2:$R$729,'구절목록'!$F$2:$F$729,A61)</f>
        <v/>
      </c>
      <c r="G61" s="14">
        <f>IF(C61&gt;0,"정상","구절 없음")</f>
        <v/>
      </c>
    </row>
    <row r="62">
      <c r="A62" s="15" t="inlineStr">
        <is>
          <t>베드로후서</t>
        </is>
      </c>
      <c r="B62" s="14" t="inlineStr">
        <is>
          <t>신약</t>
        </is>
      </c>
      <c r="C62" s="14">
        <f>COUNTIF('구절목록'!$F$2:$F$729,A62)</f>
        <v/>
      </c>
      <c r="D62" s="14" t="n">
        <v>3</v>
      </c>
      <c r="E62" s="17">
        <f>_xlfn.MINIFS('구절목록'!$R$2:$R$729,'구절목록'!$F$2:$F$729,A62)</f>
        <v/>
      </c>
      <c r="F62" s="17">
        <f>_xlfn.MAXIFS('구절목록'!$R$2:$R$729,'구절목록'!$F$2:$F$729,A62)</f>
        <v/>
      </c>
      <c r="G62" s="14">
        <f>IF(C62&gt;0,"정상","구절 없음")</f>
        <v/>
      </c>
    </row>
    <row r="63">
      <c r="A63" s="15" t="inlineStr">
        <is>
          <t>요한일서</t>
        </is>
      </c>
      <c r="B63" s="14" t="inlineStr">
        <is>
          <t>신약</t>
        </is>
      </c>
      <c r="C63" s="14">
        <f>COUNTIF('구절목록'!$F$2:$F$729,A63)</f>
        <v/>
      </c>
      <c r="D63" s="14" t="n">
        <v>5</v>
      </c>
      <c r="E63" s="17">
        <f>_xlfn.MINIFS('구절목록'!$R$2:$R$729,'구절목록'!$F$2:$F$729,A63)</f>
        <v/>
      </c>
      <c r="F63" s="17">
        <f>_xlfn.MAXIFS('구절목록'!$R$2:$R$729,'구절목록'!$F$2:$F$729,A63)</f>
        <v/>
      </c>
      <c r="G63" s="14">
        <f>IF(C63&gt;0,"정상","구절 없음")</f>
        <v/>
      </c>
    </row>
    <row r="64">
      <c r="A64" s="15" t="inlineStr">
        <is>
          <t>요한이서</t>
        </is>
      </c>
      <c r="B64" s="14" t="inlineStr">
        <is>
          <t>신약</t>
        </is>
      </c>
      <c r="C64" s="14">
        <f>COUNTIF('구절목록'!$F$2:$F$729,A64)</f>
        <v/>
      </c>
      <c r="D64" s="14" t="n">
        <v>1</v>
      </c>
      <c r="E64" s="17">
        <f>_xlfn.MINIFS('구절목록'!$R$2:$R$729,'구절목록'!$F$2:$F$729,A64)</f>
        <v/>
      </c>
      <c r="F64" s="17">
        <f>_xlfn.MAXIFS('구절목록'!$R$2:$R$729,'구절목록'!$F$2:$F$729,A64)</f>
        <v/>
      </c>
      <c r="G64" s="14">
        <f>IF(C64&gt;0,"정상","구절 없음")</f>
        <v/>
      </c>
    </row>
    <row r="65">
      <c r="A65" s="15" t="inlineStr">
        <is>
          <t>요한삼서</t>
        </is>
      </c>
      <c r="B65" s="14" t="inlineStr">
        <is>
          <t>신약</t>
        </is>
      </c>
      <c r="C65" s="14">
        <f>COUNTIF('구절목록'!$F$2:$F$729,A65)</f>
        <v/>
      </c>
      <c r="D65" s="14" t="n">
        <v>1</v>
      </c>
      <c r="E65" s="17">
        <f>_xlfn.MINIFS('구절목록'!$R$2:$R$729,'구절목록'!$F$2:$F$729,A65)</f>
        <v/>
      </c>
      <c r="F65" s="17">
        <f>_xlfn.MAXIFS('구절목록'!$R$2:$R$729,'구절목록'!$F$2:$F$729,A65)</f>
        <v/>
      </c>
      <c r="G65" s="14">
        <f>IF(C65&gt;0,"정상","구절 없음")</f>
        <v/>
      </c>
    </row>
    <row r="66">
      <c r="A66" s="15" t="inlineStr">
        <is>
          <t>유다서</t>
        </is>
      </c>
      <c r="B66" s="14" t="inlineStr">
        <is>
          <t>신약</t>
        </is>
      </c>
      <c r="C66" s="14">
        <f>COUNTIF('구절목록'!$F$2:$F$729,A66)</f>
        <v/>
      </c>
      <c r="D66" s="14" t="n">
        <v>1</v>
      </c>
      <c r="E66" s="17">
        <f>_xlfn.MINIFS('구절목록'!$R$2:$R$729,'구절목록'!$F$2:$F$729,A66)</f>
        <v/>
      </c>
      <c r="F66" s="17">
        <f>_xlfn.MAXIFS('구절목록'!$R$2:$R$729,'구절목록'!$F$2:$F$729,A66)</f>
        <v/>
      </c>
      <c r="G66" s="14">
        <f>IF(C66&gt;0,"정상","구절 없음")</f>
        <v/>
      </c>
    </row>
    <row r="67">
      <c r="A67" s="15" t="inlineStr">
        <is>
          <t>요한계시록</t>
        </is>
      </c>
      <c r="B67" s="14" t="inlineStr">
        <is>
          <t>신약</t>
        </is>
      </c>
      <c r="C67" s="14">
        <f>COUNTIF('구절목록'!$F$2:$F$729,A67)</f>
        <v/>
      </c>
      <c r="D67" s="14" t="n">
        <v>22</v>
      </c>
      <c r="E67" s="17">
        <f>_xlfn.MINIFS('구절목록'!$R$2:$R$729,'구절목록'!$F$2:$F$729,A67)</f>
        <v/>
      </c>
      <c r="F67" s="17">
        <f>_xlfn.MAXIFS('구절목록'!$R$2:$R$729,'구절목록'!$F$2:$F$729,A67)</f>
        <v/>
      </c>
      <c r="G67" s="14">
        <f>IF(C67&gt;0,"정상","구절 없음")</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44" customWidth="1" min="1" max="1"/>
    <col width="14" customWidth="1" min="2" max="2"/>
    <col width="14" customWidth="1" min="3" max="3"/>
    <col width="12" customWidth="1" min="4" max="4"/>
  </cols>
  <sheetData>
    <row r="1">
      <c r="A1" s="1" t="inlineStr">
        <is>
          <t>누락 점검</t>
        </is>
      </c>
    </row>
    <row r="2">
      <c r="A2" s="2" t="inlineStr">
        <is>
          <t>결과가 모두 '정상'이어야 합니다.</t>
        </is>
      </c>
    </row>
    <row r="4">
      <c r="A4" s="3" t="inlineStr">
        <is>
          <t>점검 항목</t>
        </is>
      </c>
      <c r="B4" s="4" t="n"/>
      <c r="C4" s="4" t="n"/>
      <c r="D4" s="4" t="n"/>
    </row>
    <row r="5">
      <c r="A5" s="20" t="inlineStr">
        <is>
          <t>항목</t>
        </is>
      </c>
      <c r="B5" s="20" t="inlineStr">
        <is>
          <t>현재 값</t>
        </is>
      </c>
      <c r="C5" s="20" t="inlineStr">
        <is>
          <t>기대 값</t>
        </is>
      </c>
      <c r="D5" s="20" t="inlineStr">
        <is>
          <t>결과</t>
        </is>
      </c>
    </row>
    <row r="6">
      <c r="A6" s="21" t="inlineStr">
        <is>
          <t>전체 편수</t>
        </is>
      </c>
      <c r="B6" s="21">
        <f>COUNTA('구절목록'!$B$2:$B$729)</f>
        <v/>
      </c>
      <c r="C6" s="21" t="n">
        <v>728</v>
      </c>
      <c r="D6" s="22">
        <f>IF(B6=C6,"정상","확인 필요")</f>
        <v/>
      </c>
    </row>
    <row r="7">
      <c r="A7" s="21" t="inlineStr">
        <is>
          <t>구약 편수</t>
        </is>
      </c>
      <c r="B7" s="21">
        <f>COUNTIF('구절목록'!$C$2:$C$729,"구약")</f>
        <v/>
      </c>
      <c r="C7" s="21" t="n">
        <v>364</v>
      </c>
      <c r="D7" s="22">
        <f>IF(B7=C7,"정상","확인 필요")</f>
        <v/>
      </c>
    </row>
    <row r="8">
      <c r="A8" s="21" t="inlineStr">
        <is>
          <t>신약 편수</t>
        </is>
      </c>
      <c r="B8" s="21">
        <f>COUNTIF('구절목록'!$C$2:$C$729,"신약")</f>
        <v/>
      </c>
      <c r="C8" s="21" t="n">
        <v>364</v>
      </c>
      <c r="D8" s="22">
        <f>IF(B8=C8,"정상","확인 필요")</f>
        <v/>
      </c>
    </row>
    <row r="9">
      <c r="A9" s="21" t="inlineStr">
        <is>
          <t>구절이 없는 책</t>
        </is>
      </c>
      <c r="B9" s="21">
        <f>COUNTIF('권별점검'!$C$2:$C$67,0)</f>
        <v/>
      </c>
      <c r="C9" s="21" t="n">
        <v>0</v>
      </c>
      <c r="D9" s="22">
        <f>IF(B9=C9,"정상","확인 필요")</f>
        <v/>
      </c>
    </row>
    <row r="10">
      <c r="A10" s="21" t="inlineStr">
        <is>
          <t>포함된 책 수</t>
        </is>
      </c>
      <c r="B10" s="21">
        <f>COUNTIF('권별점검'!$C$2:$C$67,"&gt;0")</f>
        <v/>
      </c>
      <c r="C10" s="21" t="n">
        <v>66</v>
      </c>
      <c r="D10" s="22">
        <f>IF(B10=C10,"정상","확인 필요")</f>
        <v/>
      </c>
    </row>
    <row r="11">
      <c r="A11" s="21" t="inlineStr">
        <is>
          <t>중복 구절</t>
        </is>
      </c>
      <c r="B11" s="21">
        <f>SUMPRODUCT((COUNTIF('구절목록'!$H$2:$H$729,'구절목록'!$H$2:$H$729)&gt;1)*1)</f>
        <v/>
      </c>
      <c r="C11" s="21" t="n">
        <v>0</v>
      </c>
      <c r="D11" s="22">
        <f>IF(B11=C11,"정상","확인 필요")</f>
        <v/>
      </c>
    </row>
    <row r="12">
      <c r="A12" s="21" t="inlineStr">
        <is>
          <t>같은 날·같은 시간 겹친 업로드</t>
        </is>
      </c>
      <c r="B12" s="21">
        <f>SUMPRODUCT((COUNTIFS('구절목록'!$R$2:$R$729,'구절목록'!$R$2:$R$729,'구절목록'!$S$2:$S$729,'구절목록'!$S$2:$S$729)&gt;1)*1)</f>
        <v/>
      </c>
      <c r="C12" s="21" t="n">
        <v>0</v>
      </c>
      <c r="D12" s="22">
        <f>IF(B12=C12,"정상","확인 필요")</f>
        <v/>
      </c>
    </row>
    <row r="13">
      <c r="A13" s="21" t="inlineStr">
        <is>
          <t>6개월(182일) 안에 끝나는가 (1 = 예)</t>
        </is>
      </c>
      <c r="B13" s="21">
        <f>IF(MAX('구절목록'!$R$2:$R$729)-'안내'!$C$6+1&lt;=182,1,0)</f>
        <v/>
      </c>
      <c r="C13" s="21" t="n">
        <v>1</v>
      </c>
      <c r="D13" s="22">
        <f>IF(B13=C13,"정상","확인 필요")</f>
        <v/>
      </c>
    </row>
    <row r="14">
      <c r="A14" s="21" t="inlineStr">
        <is>
          <t>트랙 회차 중복</t>
        </is>
      </c>
      <c r="B14" s="21">
        <f>SUMPRODUCT((COUNTIFS('구절목록'!$C$2:$C$729,'구절목록'!$C$2:$C$729,'구절목록'!$D$2:$D$729,'구절목록'!$D$2:$D$729)&gt;1)*1)</f>
        <v/>
      </c>
      <c r="C14" s="21" t="n">
        <v>0</v>
      </c>
      <c r="D14" s="22">
        <f>IF(B14=C14,"정상","확인 필요")</f>
        <v/>
      </c>
    </row>
    <row r="15">
      <c r="A15" s="21" t="inlineStr">
        <is>
          <t>화면 배경이 정해지지 않은 구절</t>
        </is>
      </c>
      <c r="B15" s="21">
        <f>COUNTBLANK('구절목록'!$J$2:$J$729)</f>
        <v/>
      </c>
      <c r="C15" s="21" t="n">
        <v>0</v>
      </c>
      <c r="D15" s="22">
        <f>IF(B15=C15,"정상","확인 필요")</f>
        <v/>
      </c>
    </row>
    <row r="16">
      <c r="A16" s="5" t="inlineStr">
        <is>
          <t>전체 결과</t>
        </is>
      </c>
      <c r="D16" s="23">
        <f>IF(COUNTIF(D6:D15,"정상")=10,"모두 정상","확인 필요 있음")</f>
        <v/>
      </c>
    </row>
    <row r="18">
      <c r="A18" s="5" t="inlineStr">
        <is>
          <t>참고: 본문 입력 진행</t>
        </is>
      </c>
    </row>
    <row r="19">
      <c r="A19" t="inlineStr">
        <is>
          <t>본문이 아직 입력되지 않은 구절</t>
        </is>
      </c>
      <c r="B19">
        <f>COUNTBLANK('구절목록'!$K$2:$K$729)</f>
        <v/>
      </c>
    </row>
    <row r="20">
      <c r="A20" t="inlineStr">
        <is>
          <t>본문 대조 완료</t>
        </is>
      </c>
      <c r="B20">
        <f>COUNTIF('구절목록'!$L$2:$L$729,"대조 완료")</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24" customWidth="1" min="1" max="1"/>
    <col width="60" customWidth="1" min="2" max="2"/>
    <col width="40" customWidth="1" min="3" max="3"/>
    <col width="30" customWidth="1" min="4" max="4"/>
  </cols>
  <sheetData>
    <row r="1">
      <c r="A1" s="1" t="inlineStr">
        <is>
          <t>말씀 숏폼 제작 템플릿</t>
        </is>
      </c>
    </row>
    <row r="2">
      <c r="A2" s="2" t="inlineStr">
        <is>
          <t>말씀에만 집중: 해설·진행자 없이 구절과 낭독만</t>
        </is>
      </c>
    </row>
    <row r="4">
      <c r="A4" s="3" t="inlineStr">
        <is>
          <t>1. 영상 구성 (15~25초)</t>
        </is>
      </c>
      <c r="B4" s="4" t="n"/>
      <c r="C4" s="4" t="n"/>
      <c r="D4" s="4" t="n"/>
    </row>
    <row r="5">
      <c r="A5" s="24" t="inlineStr">
        <is>
          <t>구간</t>
        </is>
      </c>
      <c r="B5" s="24" t="inlineStr">
        <is>
          <t>내용</t>
        </is>
      </c>
      <c r="C5" s="24" t="inlineStr">
        <is>
          <t>연결 칸</t>
        </is>
      </c>
      <c r="D5" s="24" t="inlineStr">
        <is>
          <t>비고</t>
        </is>
      </c>
    </row>
    <row r="6">
      <c r="A6" s="15" t="inlineStr">
        <is>
          <t>0~1초</t>
        </is>
      </c>
      <c r="B6" s="15" t="inlineStr">
        <is>
          <t>배경 화면이 열리며 시그니처 사운드(프로젝트1과 다른 짧은 소리)</t>
        </is>
      </c>
      <c r="C6" s="15" t="inlineStr">
        <is>
          <t>화면 배경</t>
        </is>
      </c>
      <c r="D6" s="15" t="inlineStr">
        <is>
          <t>첫 프레임부터 구절 첫 줄이 보이게 해 넘김을 줄임</t>
        </is>
      </c>
    </row>
    <row r="7">
      <c r="A7" s="15" t="inlineStr">
        <is>
          <t>1초~끝 3초 전</t>
        </is>
      </c>
      <c r="B7" s="15" t="inlineStr">
        <is>
          <t>구절을 한 줄씩 자막으로 띄우며 차분히 낭독. 해설·배경 설명 없음</t>
        </is>
      </c>
      <c r="C7" s="15" t="inlineStr">
        <is>
          <t>본문 (개역한글)</t>
        </is>
      </c>
      <c r="D7" s="15" t="inlineStr">
        <is>
          <t>권장 길이(초) 칸 참고</t>
        </is>
      </c>
    </row>
    <row r="8">
      <c r="A8" s="15" t="inlineStr">
        <is>
          <t>마지막 3초</t>
        </is>
      </c>
      <c r="B8" s="15" t="inlineStr">
        <is>
          <t>구절 전체 자막 + 출처 '(창 1:1, 개역한글)'</t>
        </is>
      </c>
      <c r="C8" s="15" t="inlineStr">
        <is>
          <t>자막 출처 표기</t>
        </is>
      </c>
      <c r="D8" s="15" t="inlineStr">
        <is>
          <t>멈춰서 다시 읽을 시간</t>
        </is>
      </c>
    </row>
    <row r="9">
      <c r="A9" s="15" t="inlineStr">
        <is>
          <t>반복 재생</t>
        </is>
      </c>
      <c r="B9" s="15" t="inlineStr">
        <is>
          <t>마지막 화면에서 첫 화면으로 자연스럽게 이어지게</t>
        </is>
      </c>
      <c r="C9" s="15" t="inlineStr">
        <is>
          <t>-</t>
        </is>
      </c>
      <c r="D9" s="15" t="inlineStr">
        <is>
          <t>반복 시청 유도</t>
        </is>
      </c>
    </row>
    <row r="11">
      <c r="A11" s="3" t="inlineStr">
        <is>
          <t>2. 화면 배경 기준 (사람 얼굴·하나님 형상 없이 풍경과 빛)</t>
        </is>
      </c>
      <c r="B11" s="4" t="n"/>
      <c r="C11" s="4" t="n"/>
      <c r="D11" s="4" t="n"/>
    </row>
    <row r="12">
      <c r="A12" s="24" t="inlineStr">
        <is>
          <t>배경 분류</t>
        </is>
      </c>
      <c r="B12" s="24" t="inlineStr">
        <is>
          <t>장면</t>
        </is>
      </c>
      <c r="C12" s="24" t="inlineStr">
        <is>
          <t>해당 주제</t>
        </is>
      </c>
      <c r="D12" s="24" t="inlineStr">
        <is>
          <t>구절 수</t>
        </is>
      </c>
    </row>
    <row r="13">
      <c r="A13" s="15" t="inlineStr">
        <is>
          <t>새벽빛</t>
        </is>
      </c>
      <c r="B13" s="15" t="inlineStr">
        <is>
          <t>해 뜨는 지평선, 구름 사이로 퍼지는 새벽빛</t>
        </is>
      </c>
      <c r="C13" s="15" t="inlineStr">
        <is>
          <t>빛, 소망, 부활, 새 마음, 생명, 회복, 하나님 나라, 기쁨</t>
        </is>
      </c>
      <c r="D13" s="15">
        <f>COUNTIF('구절목록'!$J$2:$J$729,"새벽빛")</f>
        <v/>
      </c>
    </row>
    <row r="14">
      <c r="A14" s="15" t="inlineStr">
        <is>
          <t>잔잔한 물</t>
        </is>
      </c>
      <c r="B14" s="15" t="inlineStr">
        <is>
          <t>잔잔한 호수, 맑은 시냇물, 물 위의 햇빛</t>
        </is>
      </c>
      <c r="C14" s="15" t="inlineStr">
        <is>
          <t>평안, 쉼, 위로, 치료, 은혜, 용서</t>
        </is>
      </c>
      <c r="D14" s="15">
        <f>COUNTIF('구절목록'!$J$2:$J$729,"잔잔한 물")</f>
        <v/>
      </c>
    </row>
    <row r="15">
      <c r="A15" s="15" t="inlineStr">
        <is>
          <t>바위산·광야</t>
        </is>
      </c>
      <c r="B15" s="15" t="inlineStr">
        <is>
          <t>바위산, 광야 길, 견고한 바위와 넓은 하늘</t>
        </is>
      </c>
      <c r="C15" s="15" t="inlineStr">
        <is>
          <t>믿음, 신뢰, 담대함, 능력, 승리, 보호, 피난처, 연단, 신실하심</t>
        </is>
      </c>
      <c r="D15" s="15">
        <f>COUNTIF('구절목록'!$J$2:$J$729,"바위산·광야")</f>
        <v/>
      </c>
    </row>
    <row r="16">
      <c r="A16" s="15" t="inlineStr">
        <is>
          <t>들판·나무</t>
        </is>
      </c>
      <c r="B16" s="15" t="inlineStr">
        <is>
          <t>밀밭, 올리브 나무, 열매 맺은 가지, 씨앗과 새싹</t>
        </is>
      </c>
      <c r="C16" s="15" t="inlineStr">
        <is>
          <t>말씀, 지혜, 성장, 나눔, 섬김, 공급하심, 복, 축복, 감사, 정의, 경건</t>
        </is>
      </c>
      <c r="D16" s="15">
        <f>COUNTIF('구절목록'!$J$2:$J$729,"들판·나무")</f>
        <v/>
      </c>
    </row>
    <row r="17">
      <c r="A17" s="15" t="inlineStr">
        <is>
          <t>하늘·별</t>
        </is>
      </c>
      <c r="B17" s="15" t="inlineStr">
        <is>
          <t>별이 가득한 밤하늘, 구름 위 빛줄기, 은하수</t>
        </is>
      </c>
      <c r="C17" s="15" t="inlineStr">
        <is>
          <t>창조, 하나님, 섭리, 거룩, 찬양, 예배, 경외, 임재, 성령</t>
        </is>
      </c>
      <c r="D17" s="15">
        <f>COUNTIF('구절목록'!$J$2:$J$729,"하늘·별")</f>
        <v/>
      </c>
    </row>
    <row r="18">
      <c r="A18" s="15" t="inlineStr">
        <is>
          <t>길·등불</t>
        </is>
      </c>
      <c r="B18" s="15" t="inlineStr">
        <is>
          <t>굽이진 오솔길, 밤길을 밝히는 등불, 먼 곳으로 이어진 길</t>
        </is>
      </c>
      <c r="C18" s="15" t="inlineStr">
        <is>
          <t>인도, 동행, 순종, 부르심, 헌신, 결단</t>
        </is>
      </c>
      <c r="D18" s="15">
        <f>COUNTIF('구절목록'!$J$2:$J$729,"길·등불")</f>
        <v/>
      </c>
    </row>
    <row r="19">
      <c r="A19" s="15" t="inlineStr">
        <is>
          <t>창가·식탁</t>
        </is>
      </c>
      <c r="B19" s="15" t="inlineStr">
        <is>
          <t>따뜻한 햇살이 드는 창가, 빵과 잔이 놓인 나무 식탁 (사람 없이)</t>
        </is>
      </c>
      <c r="C19" s="15" t="inlineStr">
        <is>
          <t>가정, 사랑, 연합, 교회, 마음, 말, 겸손</t>
        </is>
      </c>
      <c r="D19" s="15">
        <f>COUNTIF('구절목록'!$J$2:$J$729,"창가·식탁")</f>
        <v/>
      </c>
    </row>
    <row r="20">
      <c r="A20" s="15" t="inlineStr">
        <is>
          <t>제단·십자가</t>
        </is>
      </c>
      <c r="B20" s="15" t="inlineStr">
        <is>
          <t>돌 제단, 언덕 위 십자가 실루엣과 빛, 열린 두루마리</t>
        </is>
      </c>
      <c r="C20" s="15" t="inlineStr">
        <is>
          <t>기도, 회개, 언약, 속죄, 구원, 복음, 자유, 계명</t>
        </is>
      </c>
      <c r="D20" s="15">
        <f>COUNTIF('구절목록'!$J$2:$J$729,"제단·십자가")</f>
        <v/>
      </c>
    </row>
    <row r="22">
      <c r="A22" s="3" t="inlineStr">
        <is>
          <t>3. 자막·음성</t>
        </is>
      </c>
      <c r="B22" s="4" t="n"/>
      <c r="C22" s="4" t="n"/>
      <c r="D22" s="4" t="n"/>
    </row>
    <row r="23">
      <c r="A23" s="24" t="inlineStr">
        <is>
          <t>항목</t>
        </is>
      </c>
      <c r="B23" s="24" t="inlineStr">
        <is>
          <t>기준</t>
        </is>
      </c>
      <c r="C23" s="24" t="inlineStr">
        <is>
          <t>비고</t>
        </is>
      </c>
    </row>
    <row r="24">
      <c r="A24" s="15" t="inlineStr">
        <is>
          <t>자막</t>
        </is>
      </c>
      <c r="B24" s="15" t="inlineStr">
        <is>
          <t>굵은 명조 또는 고딕, 한 줄 12~14자, 화면 가운데</t>
        </is>
      </c>
      <c r="C24" s="15" t="inlineStr">
        <is>
          <t>개역한글 원문 그대로. 띄어쓰기·맞춤법을 현대식으로 고치지 않음</t>
        </is>
      </c>
    </row>
    <row r="25">
      <c r="A25" s="15" t="inlineStr">
        <is>
          <t>낭독</t>
        </is>
      </c>
      <c r="B25" s="15" t="inlineStr">
        <is>
          <t>차분하고 또렷한 목소리 1명으로 고정</t>
        </is>
      </c>
      <c r="C25" s="15" t="inlineStr">
        <is>
          <t>AI 음성은 상업 이용 허용 여부 확인</t>
        </is>
      </c>
    </row>
    <row r="26">
      <c r="A26" s="15" t="inlineStr">
        <is>
          <t>배경음악</t>
        </is>
      </c>
      <c r="B26" s="15" t="inlineStr">
        <is>
          <t>잔잔한 저작권 무료 음원. 낭독보다 충분히 작게</t>
        </is>
      </c>
      <c r="C26" s="15" t="inlineStr">
        <is>
          <t>찬송가·CCM 사용 금지</t>
        </is>
      </c>
    </row>
    <row r="27">
      <c r="A27" s="15" t="inlineStr">
        <is>
          <t>화면 비율</t>
        </is>
      </c>
      <c r="B27" s="15" t="inlineStr">
        <is>
          <t>1080×1920 (9:16)</t>
        </is>
      </c>
      <c r="C27" s="15" t="inlineStr">
        <is>
          <t>상단·하단 플랫폼 UI 영역에는 자막을 두지 않음</t>
        </is>
      </c>
    </row>
    <row r="29">
      <c r="A29" s="3" t="inlineStr">
        <is>
          <t>4. 설명란·게시글</t>
        </is>
      </c>
      <c r="B29" s="4" t="n"/>
      <c r="C29" s="4" t="n"/>
      <c r="D29" s="4" t="n"/>
    </row>
    <row r="30">
      <c r="A30" s="24" t="inlineStr">
        <is>
          <t>항목</t>
        </is>
      </c>
      <c r="B30" s="24" t="inlineStr">
        <is>
          <t>형식</t>
        </is>
      </c>
      <c r="C30" s="24" t="inlineStr">
        <is>
          <t>비고</t>
        </is>
      </c>
    </row>
    <row r="31">
      <c r="A31" s="15" t="inlineStr">
        <is>
          <t>유튜브 제목</t>
        </is>
      </c>
      <c r="B31" s="15" t="inlineStr">
        <is>
          <t>구절 앞부분… | 장절</t>
        </is>
      </c>
      <c r="C31" s="15" t="inlineStr">
        <is>
          <t>'제목안' 칸 자동 생성</t>
        </is>
      </c>
    </row>
    <row r="32">
      <c r="A32" s="15" t="inlineStr">
        <is>
          <t>설명란 / 인스타 게시글</t>
        </is>
      </c>
      <c r="B32" s="15" t="inlineStr">
        <is>
          <t>구절 전문 + 장절 + (필요한 구절만) 설명란 문구 + '성경 본문: 개역한글판'</t>
        </is>
      </c>
      <c r="C32" s="15" t="inlineStr">
        <is>
          <t>'설명란 문구' 칸이 빨간 글씨인 구절은 문맥 설명을 꼭 넣기</t>
        </is>
      </c>
    </row>
    <row r="33">
      <c r="A33" s="15" t="inlineStr">
        <is>
          <t>해시태그</t>
        </is>
      </c>
      <c r="B33" s="15" t="inlineStr">
        <is>
          <t>#시리즈명 #성경구절 #말씀 #책이름 #주제</t>
        </is>
      </c>
      <c r="C33" s="15" t="inlineStr">
        <is>
          <t>'해시태그' 칸 자동 생성</t>
        </is>
      </c>
    </row>
    <row r="35">
      <c r="A35" s="3" t="inlineStr">
        <is>
          <t>5. 저작권·교리 원칙</t>
        </is>
      </c>
      <c r="B35" s="4" t="n"/>
      <c r="C35" s="4" t="n"/>
      <c r="D35" s="4" t="n"/>
    </row>
    <row r="36">
      <c r="A36" s="24" t="inlineStr">
        <is>
          <t>원칙</t>
        </is>
      </c>
      <c r="B36" s="24" t="inlineStr">
        <is>
          <t>내용</t>
        </is>
      </c>
    </row>
    <row r="37">
      <c r="A37" s="15" t="inlineStr">
        <is>
          <t>본문</t>
        </is>
      </c>
      <c r="B37" s="15" t="inlineStr">
        <is>
          <t>개역한글판만 사용(저작재산권 보호기간 만료). 개역개정·새번역 등 다른 번역 문장을 섞지 않음</t>
        </is>
      </c>
    </row>
    <row r="38">
      <c r="A38" s="15" t="inlineStr">
        <is>
          <t>원문 확보</t>
        </is>
      </c>
      <c r="B38" s="15" t="inlineStr">
        <is>
          <t>공개된 개역한글 원문에서 장절별로 붙여 넣고 '본문 상태'를 '대조 완료'로 표시</t>
        </is>
      </c>
    </row>
    <row r="39">
      <c r="A39" s="15" t="inlineStr">
        <is>
          <t>문맥</t>
        </is>
      </c>
      <c r="B39" s="15" t="inlineStr">
        <is>
          <t>한 절만 떼어 쓰면 뜻이 달라질 수 있는 구절은 설명란 문구를 붙임 (예: 빌 4:13, 렘 29:11)</t>
        </is>
      </c>
    </row>
    <row r="40">
      <c r="A40" s="15" t="inlineStr">
        <is>
          <t>감수</t>
        </is>
      </c>
      <c r="B40" s="15" t="inlineStr">
        <is>
          <t>프로젝트1의 교리감수 기준(합동측)을 그대로 적용</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4" customWidth="1" min="1" max="1"/>
    <col width="9" customWidth="1" min="2" max="2"/>
    <col width="10" customWidth="1" min="3" max="3"/>
    <col width="12" customWidth="1" min="4" max="4"/>
    <col width="18" customWidth="1" min="5" max="5"/>
  </cols>
  <sheetData>
    <row r="1">
      <c r="A1" s="1" t="inlineStr">
        <is>
          <t>성과 기록</t>
        </is>
      </c>
    </row>
    <row r="2">
      <c r="A2" s="2" t="inlineStr">
        <is>
          <t>구절목록의 노란 칸(조회수·시청 vs 넘김)에 입력하면 자동 집계됩니다.</t>
        </is>
      </c>
    </row>
    <row r="4">
      <c r="A4" s="20" t="inlineStr">
        <is>
          <t>주제</t>
        </is>
      </c>
      <c r="B4" s="20" t="inlineStr">
        <is>
          <t>구절 수</t>
        </is>
      </c>
      <c r="C4" s="20" t="inlineStr">
        <is>
          <t>입력된 편</t>
        </is>
      </c>
      <c r="D4" s="20" t="inlineStr">
        <is>
          <t>평균 조회수</t>
        </is>
      </c>
      <c r="E4" s="20" t="inlineStr">
        <is>
          <t>평균 시청 vs 넘김(%)</t>
        </is>
      </c>
    </row>
    <row r="5">
      <c r="A5" t="inlineStr">
        <is>
          <t>가정</t>
        </is>
      </c>
      <c r="B5">
        <f>COUNTIF('구절목록'!$I$2:$I$729,A5)</f>
        <v/>
      </c>
      <c r="C5">
        <f>COUNTIFS('구절목록'!$I$2:$I$729,A5,'구절목록'!$W$2:$W$729,"&lt;&gt;")</f>
        <v/>
      </c>
      <c r="D5">
        <f>IFERROR(AVERAGEIFS('구절목록'!$W$2:$W$729,'구절목록'!$I$2:$I$729,A5),"-")</f>
        <v/>
      </c>
      <c r="E5">
        <f>IFERROR(AVERAGEIFS('구절목록'!$X$2:$X$729,'구절목록'!$I$2:$I$729,A5),"-")</f>
        <v/>
      </c>
    </row>
    <row r="6">
      <c r="A6" t="inlineStr">
        <is>
          <t>감사</t>
        </is>
      </c>
      <c r="B6">
        <f>COUNTIF('구절목록'!$I$2:$I$729,A6)</f>
        <v/>
      </c>
      <c r="C6">
        <f>COUNTIFS('구절목록'!$I$2:$I$729,A6,'구절목록'!$W$2:$W$729,"&lt;&gt;")</f>
        <v/>
      </c>
      <c r="D6">
        <f>IFERROR(AVERAGEIFS('구절목록'!$W$2:$W$729,'구절목록'!$I$2:$I$729,A6),"-")</f>
        <v/>
      </c>
      <c r="E6">
        <f>IFERROR(AVERAGEIFS('구절목록'!$X$2:$X$729,'구절목록'!$I$2:$I$729,A6),"-")</f>
        <v/>
      </c>
    </row>
    <row r="7">
      <c r="A7" t="inlineStr">
        <is>
          <t>거룩</t>
        </is>
      </c>
      <c r="B7">
        <f>COUNTIF('구절목록'!$I$2:$I$729,A7)</f>
        <v/>
      </c>
      <c r="C7">
        <f>COUNTIFS('구절목록'!$I$2:$I$729,A7,'구절목록'!$W$2:$W$729,"&lt;&gt;")</f>
        <v/>
      </c>
      <c r="D7">
        <f>IFERROR(AVERAGEIFS('구절목록'!$W$2:$W$729,'구절목록'!$I$2:$I$729,A7),"-")</f>
        <v/>
      </c>
      <c r="E7">
        <f>IFERROR(AVERAGEIFS('구절목록'!$X$2:$X$729,'구절목록'!$I$2:$I$729,A7),"-")</f>
        <v/>
      </c>
    </row>
    <row r="8">
      <c r="A8" t="inlineStr">
        <is>
          <t>결단</t>
        </is>
      </c>
      <c r="B8">
        <f>COUNTIF('구절목록'!$I$2:$I$729,A8)</f>
        <v/>
      </c>
      <c r="C8">
        <f>COUNTIFS('구절목록'!$I$2:$I$729,A8,'구절목록'!$W$2:$W$729,"&lt;&gt;")</f>
        <v/>
      </c>
      <c r="D8">
        <f>IFERROR(AVERAGEIFS('구절목록'!$W$2:$W$729,'구절목록'!$I$2:$I$729,A8),"-")</f>
        <v/>
      </c>
      <c r="E8">
        <f>IFERROR(AVERAGEIFS('구절목록'!$X$2:$X$729,'구절목록'!$I$2:$I$729,A8),"-")</f>
        <v/>
      </c>
    </row>
    <row r="9">
      <c r="A9" t="inlineStr">
        <is>
          <t>겸손</t>
        </is>
      </c>
      <c r="B9">
        <f>COUNTIF('구절목록'!$I$2:$I$729,A9)</f>
        <v/>
      </c>
      <c r="C9">
        <f>COUNTIFS('구절목록'!$I$2:$I$729,A9,'구절목록'!$W$2:$W$729,"&lt;&gt;")</f>
        <v/>
      </c>
      <c r="D9">
        <f>IFERROR(AVERAGEIFS('구절목록'!$W$2:$W$729,'구절목록'!$I$2:$I$729,A9),"-")</f>
        <v/>
      </c>
      <c r="E9">
        <f>IFERROR(AVERAGEIFS('구절목록'!$X$2:$X$729,'구절목록'!$I$2:$I$729,A9),"-")</f>
        <v/>
      </c>
    </row>
    <row r="10">
      <c r="A10" t="inlineStr">
        <is>
          <t>경건</t>
        </is>
      </c>
      <c r="B10">
        <f>COUNTIF('구절목록'!$I$2:$I$729,A10)</f>
        <v/>
      </c>
      <c r="C10">
        <f>COUNTIFS('구절목록'!$I$2:$I$729,A10,'구절목록'!$W$2:$W$729,"&lt;&gt;")</f>
        <v/>
      </c>
      <c r="D10">
        <f>IFERROR(AVERAGEIFS('구절목록'!$W$2:$W$729,'구절목록'!$I$2:$I$729,A10),"-")</f>
        <v/>
      </c>
      <c r="E10">
        <f>IFERROR(AVERAGEIFS('구절목록'!$X$2:$X$729,'구절목록'!$I$2:$I$729,A10),"-")</f>
        <v/>
      </c>
    </row>
    <row r="11">
      <c r="A11" t="inlineStr">
        <is>
          <t>경외</t>
        </is>
      </c>
      <c r="B11">
        <f>COUNTIF('구절목록'!$I$2:$I$729,A11)</f>
        <v/>
      </c>
      <c r="C11">
        <f>COUNTIFS('구절목록'!$I$2:$I$729,A11,'구절목록'!$W$2:$W$729,"&lt;&gt;")</f>
        <v/>
      </c>
      <c r="D11">
        <f>IFERROR(AVERAGEIFS('구절목록'!$W$2:$W$729,'구절목록'!$I$2:$I$729,A11),"-")</f>
        <v/>
      </c>
      <c r="E11">
        <f>IFERROR(AVERAGEIFS('구절목록'!$X$2:$X$729,'구절목록'!$I$2:$I$729,A11),"-")</f>
        <v/>
      </c>
    </row>
    <row r="12">
      <c r="A12" t="inlineStr">
        <is>
          <t>계명</t>
        </is>
      </c>
      <c r="B12">
        <f>COUNTIF('구절목록'!$I$2:$I$729,A12)</f>
        <v/>
      </c>
      <c r="C12">
        <f>COUNTIFS('구절목록'!$I$2:$I$729,A12,'구절목록'!$W$2:$W$729,"&lt;&gt;")</f>
        <v/>
      </c>
      <c r="D12">
        <f>IFERROR(AVERAGEIFS('구절목록'!$W$2:$W$729,'구절목록'!$I$2:$I$729,A12),"-")</f>
        <v/>
      </c>
      <c r="E12">
        <f>IFERROR(AVERAGEIFS('구절목록'!$X$2:$X$729,'구절목록'!$I$2:$I$729,A12),"-")</f>
        <v/>
      </c>
    </row>
    <row r="13">
      <c r="A13" t="inlineStr">
        <is>
          <t>공급하심</t>
        </is>
      </c>
      <c r="B13">
        <f>COUNTIF('구절목록'!$I$2:$I$729,A13)</f>
        <v/>
      </c>
      <c r="C13">
        <f>COUNTIFS('구절목록'!$I$2:$I$729,A13,'구절목록'!$W$2:$W$729,"&lt;&gt;")</f>
        <v/>
      </c>
      <c r="D13">
        <f>IFERROR(AVERAGEIFS('구절목록'!$W$2:$W$729,'구절목록'!$I$2:$I$729,A13),"-")</f>
        <v/>
      </c>
      <c r="E13">
        <f>IFERROR(AVERAGEIFS('구절목록'!$X$2:$X$729,'구절목록'!$I$2:$I$729,A13),"-")</f>
        <v/>
      </c>
    </row>
    <row r="14">
      <c r="A14" t="inlineStr">
        <is>
          <t>교회</t>
        </is>
      </c>
      <c r="B14">
        <f>COUNTIF('구절목록'!$I$2:$I$729,A14)</f>
        <v/>
      </c>
      <c r="C14">
        <f>COUNTIFS('구절목록'!$I$2:$I$729,A14,'구절목록'!$W$2:$W$729,"&lt;&gt;")</f>
        <v/>
      </c>
      <c r="D14">
        <f>IFERROR(AVERAGEIFS('구절목록'!$W$2:$W$729,'구절목록'!$I$2:$I$729,A14),"-")</f>
        <v/>
      </c>
      <c r="E14">
        <f>IFERROR(AVERAGEIFS('구절목록'!$X$2:$X$729,'구절목록'!$I$2:$I$729,A14),"-")</f>
        <v/>
      </c>
    </row>
    <row r="15">
      <c r="A15" t="inlineStr">
        <is>
          <t>구원</t>
        </is>
      </c>
      <c r="B15">
        <f>COUNTIF('구절목록'!$I$2:$I$729,A15)</f>
        <v/>
      </c>
      <c r="C15">
        <f>COUNTIFS('구절목록'!$I$2:$I$729,A15,'구절목록'!$W$2:$W$729,"&lt;&gt;")</f>
        <v/>
      </c>
      <c r="D15">
        <f>IFERROR(AVERAGEIFS('구절목록'!$W$2:$W$729,'구절목록'!$I$2:$I$729,A15),"-")</f>
        <v/>
      </c>
      <c r="E15">
        <f>IFERROR(AVERAGEIFS('구절목록'!$X$2:$X$729,'구절목록'!$I$2:$I$729,A15),"-")</f>
        <v/>
      </c>
    </row>
    <row r="16">
      <c r="A16" t="inlineStr">
        <is>
          <t>기도</t>
        </is>
      </c>
      <c r="B16">
        <f>COUNTIF('구절목록'!$I$2:$I$729,A16)</f>
        <v/>
      </c>
      <c r="C16">
        <f>COUNTIFS('구절목록'!$I$2:$I$729,A16,'구절목록'!$W$2:$W$729,"&lt;&gt;")</f>
        <v/>
      </c>
      <c r="D16">
        <f>IFERROR(AVERAGEIFS('구절목록'!$W$2:$W$729,'구절목록'!$I$2:$I$729,A16),"-")</f>
        <v/>
      </c>
      <c r="E16">
        <f>IFERROR(AVERAGEIFS('구절목록'!$X$2:$X$729,'구절목록'!$I$2:$I$729,A16),"-")</f>
        <v/>
      </c>
    </row>
    <row r="17">
      <c r="A17" t="inlineStr">
        <is>
          <t>기쁨</t>
        </is>
      </c>
      <c r="B17">
        <f>COUNTIF('구절목록'!$I$2:$I$729,A17)</f>
        <v/>
      </c>
      <c r="C17">
        <f>COUNTIFS('구절목록'!$I$2:$I$729,A17,'구절목록'!$W$2:$W$729,"&lt;&gt;")</f>
        <v/>
      </c>
      <c r="D17">
        <f>IFERROR(AVERAGEIFS('구절목록'!$W$2:$W$729,'구절목록'!$I$2:$I$729,A17),"-")</f>
        <v/>
      </c>
      <c r="E17">
        <f>IFERROR(AVERAGEIFS('구절목록'!$X$2:$X$729,'구절목록'!$I$2:$I$729,A17),"-")</f>
        <v/>
      </c>
    </row>
    <row r="18">
      <c r="A18" t="inlineStr">
        <is>
          <t>나눔</t>
        </is>
      </c>
      <c r="B18">
        <f>COUNTIF('구절목록'!$I$2:$I$729,A18)</f>
        <v/>
      </c>
      <c r="C18">
        <f>COUNTIFS('구절목록'!$I$2:$I$729,A18,'구절목록'!$W$2:$W$729,"&lt;&gt;")</f>
        <v/>
      </c>
      <c r="D18">
        <f>IFERROR(AVERAGEIFS('구절목록'!$W$2:$W$729,'구절목록'!$I$2:$I$729,A18),"-")</f>
        <v/>
      </c>
      <c r="E18">
        <f>IFERROR(AVERAGEIFS('구절목록'!$X$2:$X$729,'구절목록'!$I$2:$I$729,A18),"-")</f>
        <v/>
      </c>
    </row>
    <row r="19">
      <c r="A19" t="inlineStr">
        <is>
          <t>능력</t>
        </is>
      </c>
      <c r="B19">
        <f>COUNTIF('구절목록'!$I$2:$I$729,A19)</f>
        <v/>
      </c>
      <c r="C19">
        <f>COUNTIFS('구절목록'!$I$2:$I$729,A19,'구절목록'!$W$2:$W$729,"&lt;&gt;")</f>
        <v/>
      </c>
      <c r="D19">
        <f>IFERROR(AVERAGEIFS('구절목록'!$W$2:$W$729,'구절목록'!$I$2:$I$729,A19),"-")</f>
        <v/>
      </c>
      <c r="E19">
        <f>IFERROR(AVERAGEIFS('구절목록'!$X$2:$X$729,'구절목록'!$I$2:$I$729,A19),"-")</f>
        <v/>
      </c>
    </row>
    <row r="20">
      <c r="A20" t="inlineStr">
        <is>
          <t>담대함</t>
        </is>
      </c>
      <c r="B20">
        <f>COUNTIF('구절목록'!$I$2:$I$729,A20)</f>
        <v/>
      </c>
      <c r="C20">
        <f>COUNTIFS('구절목록'!$I$2:$I$729,A20,'구절목록'!$W$2:$W$729,"&lt;&gt;")</f>
        <v/>
      </c>
      <c r="D20">
        <f>IFERROR(AVERAGEIFS('구절목록'!$W$2:$W$729,'구절목록'!$I$2:$I$729,A20),"-")</f>
        <v/>
      </c>
      <c r="E20">
        <f>IFERROR(AVERAGEIFS('구절목록'!$X$2:$X$729,'구절목록'!$I$2:$I$729,A20),"-")</f>
        <v/>
      </c>
    </row>
    <row r="21">
      <c r="A21" t="inlineStr">
        <is>
          <t>동행</t>
        </is>
      </c>
      <c r="B21">
        <f>COUNTIF('구절목록'!$I$2:$I$729,A21)</f>
        <v/>
      </c>
      <c r="C21">
        <f>COUNTIFS('구절목록'!$I$2:$I$729,A21,'구절목록'!$W$2:$W$729,"&lt;&gt;")</f>
        <v/>
      </c>
      <c r="D21">
        <f>IFERROR(AVERAGEIFS('구절목록'!$W$2:$W$729,'구절목록'!$I$2:$I$729,A21),"-")</f>
        <v/>
      </c>
      <c r="E21">
        <f>IFERROR(AVERAGEIFS('구절목록'!$X$2:$X$729,'구절목록'!$I$2:$I$729,A21),"-")</f>
        <v/>
      </c>
    </row>
    <row r="22">
      <c r="A22" t="inlineStr">
        <is>
          <t>마음</t>
        </is>
      </c>
      <c r="B22">
        <f>COUNTIF('구절목록'!$I$2:$I$729,A22)</f>
        <v/>
      </c>
      <c r="C22">
        <f>COUNTIFS('구절목록'!$I$2:$I$729,A22,'구절목록'!$W$2:$W$729,"&lt;&gt;")</f>
        <v/>
      </c>
      <c r="D22">
        <f>IFERROR(AVERAGEIFS('구절목록'!$W$2:$W$729,'구절목록'!$I$2:$I$729,A22),"-")</f>
        <v/>
      </c>
      <c r="E22">
        <f>IFERROR(AVERAGEIFS('구절목록'!$X$2:$X$729,'구절목록'!$I$2:$I$729,A22),"-")</f>
        <v/>
      </c>
    </row>
    <row r="23">
      <c r="A23" t="inlineStr">
        <is>
          <t>말</t>
        </is>
      </c>
      <c r="B23">
        <f>COUNTIF('구절목록'!$I$2:$I$729,A23)</f>
        <v/>
      </c>
      <c r="C23">
        <f>COUNTIFS('구절목록'!$I$2:$I$729,A23,'구절목록'!$W$2:$W$729,"&lt;&gt;")</f>
        <v/>
      </c>
      <c r="D23">
        <f>IFERROR(AVERAGEIFS('구절목록'!$W$2:$W$729,'구절목록'!$I$2:$I$729,A23),"-")</f>
        <v/>
      </c>
      <c r="E23">
        <f>IFERROR(AVERAGEIFS('구절목록'!$X$2:$X$729,'구절목록'!$I$2:$I$729,A23),"-")</f>
        <v/>
      </c>
    </row>
    <row r="24">
      <c r="A24" t="inlineStr">
        <is>
          <t>말씀</t>
        </is>
      </c>
      <c r="B24">
        <f>COUNTIF('구절목록'!$I$2:$I$729,A24)</f>
        <v/>
      </c>
      <c r="C24">
        <f>COUNTIFS('구절목록'!$I$2:$I$729,A24,'구절목록'!$W$2:$W$729,"&lt;&gt;")</f>
        <v/>
      </c>
      <c r="D24">
        <f>IFERROR(AVERAGEIFS('구절목록'!$W$2:$W$729,'구절목록'!$I$2:$I$729,A24),"-")</f>
        <v/>
      </c>
      <c r="E24">
        <f>IFERROR(AVERAGEIFS('구절목록'!$X$2:$X$729,'구절목록'!$I$2:$I$729,A24),"-")</f>
        <v/>
      </c>
    </row>
    <row r="25">
      <c r="A25" t="inlineStr">
        <is>
          <t>믿음</t>
        </is>
      </c>
      <c r="B25">
        <f>COUNTIF('구절목록'!$I$2:$I$729,A25)</f>
        <v/>
      </c>
      <c r="C25">
        <f>COUNTIFS('구절목록'!$I$2:$I$729,A25,'구절목록'!$W$2:$W$729,"&lt;&gt;")</f>
        <v/>
      </c>
      <c r="D25">
        <f>IFERROR(AVERAGEIFS('구절목록'!$W$2:$W$729,'구절목록'!$I$2:$I$729,A25),"-")</f>
        <v/>
      </c>
      <c r="E25">
        <f>IFERROR(AVERAGEIFS('구절목록'!$X$2:$X$729,'구절목록'!$I$2:$I$729,A25),"-")</f>
        <v/>
      </c>
    </row>
    <row r="26">
      <c r="A26" t="inlineStr">
        <is>
          <t>보호</t>
        </is>
      </c>
      <c r="B26">
        <f>COUNTIF('구절목록'!$I$2:$I$729,A26)</f>
        <v/>
      </c>
      <c r="C26">
        <f>COUNTIFS('구절목록'!$I$2:$I$729,A26,'구절목록'!$W$2:$W$729,"&lt;&gt;")</f>
        <v/>
      </c>
      <c r="D26">
        <f>IFERROR(AVERAGEIFS('구절목록'!$W$2:$W$729,'구절목록'!$I$2:$I$729,A26),"-")</f>
        <v/>
      </c>
      <c r="E26">
        <f>IFERROR(AVERAGEIFS('구절목록'!$X$2:$X$729,'구절목록'!$I$2:$I$729,A26),"-")</f>
        <v/>
      </c>
    </row>
    <row r="27">
      <c r="A27" t="inlineStr">
        <is>
          <t>복</t>
        </is>
      </c>
      <c r="B27">
        <f>COUNTIF('구절목록'!$I$2:$I$729,A27)</f>
        <v/>
      </c>
      <c r="C27">
        <f>COUNTIFS('구절목록'!$I$2:$I$729,A27,'구절목록'!$W$2:$W$729,"&lt;&gt;")</f>
        <v/>
      </c>
      <c r="D27">
        <f>IFERROR(AVERAGEIFS('구절목록'!$W$2:$W$729,'구절목록'!$I$2:$I$729,A27),"-")</f>
        <v/>
      </c>
      <c r="E27">
        <f>IFERROR(AVERAGEIFS('구절목록'!$X$2:$X$729,'구절목록'!$I$2:$I$729,A27),"-")</f>
        <v/>
      </c>
    </row>
    <row r="28">
      <c r="A28" t="inlineStr">
        <is>
          <t>복음</t>
        </is>
      </c>
      <c r="B28">
        <f>COUNTIF('구절목록'!$I$2:$I$729,A28)</f>
        <v/>
      </c>
      <c r="C28">
        <f>COUNTIFS('구절목록'!$I$2:$I$729,A28,'구절목록'!$W$2:$W$729,"&lt;&gt;")</f>
        <v/>
      </c>
      <c r="D28">
        <f>IFERROR(AVERAGEIFS('구절목록'!$W$2:$W$729,'구절목록'!$I$2:$I$729,A28),"-")</f>
        <v/>
      </c>
      <c r="E28">
        <f>IFERROR(AVERAGEIFS('구절목록'!$X$2:$X$729,'구절목록'!$I$2:$I$729,A28),"-")</f>
        <v/>
      </c>
    </row>
    <row r="29">
      <c r="A29" t="inlineStr">
        <is>
          <t>부르심</t>
        </is>
      </c>
      <c r="B29">
        <f>COUNTIF('구절목록'!$I$2:$I$729,A29)</f>
        <v/>
      </c>
      <c r="C29">
        <f>COUNTIFS('구절목록'!$I$2:$I$729,A29,'구절목록'!$W$2:$W$729,"&lt;&gt;")</f>
        <v/>
      </c>
      <c r="D29">
        <f>IFERROR(AVERAGEIFS('구절목록'!$W$2:$W$729,'구절목록'!$I$2:$I$729,A29),"-")</f>
        <v/>
      </c>
      <c r="E29">
        <f>IFERROR(AVERAGEIFS('구절목록'!$X$2:$X$729,'구절목록'!$I$2:$I$729,A29),"-")</f>
        <v/>
      </c>
    </row>
    <row r="30">
      <c r="A30" t="inlineStr">
        <is>
          <t>부활</t>
        </is>
      </c>
      <c r="B30">
        <f>COUNTIF('구절목록'!$I$2:$I$729,A30)</f>
        <v/>
      </c>
      <c r="C30">
        <f>COUNTIFS('구절목록'!$I$2:$I$729,A30,'구절목록'!$W$2:$W$729,"&lt;&gt;")</f>
        <v/>
      </c>
      <c r="D30">
        <f>IFERROR(AVERAGEIFS('구절목록'!$W$2:$W$729,'구절목록'!$I$2:$I$729,A30),"-")</f>
        <v/>
      </c>
      <c r="E30">
        <f>IFERROR(AVERAGEIFS('구절목록'!$X$2:$X$729,'구절목록'!$I$2:$I$729,A30),"-")</f>
        <v/>
      </c>
    </row>
    <row r="31">
      <c r="A31" t="inlineStr">
        <is>
          <t>빛</t>
        </is>
      </c>
      <c r="B31">
        <f>COUNTIF('구절목록'!$I$2:$I$729,A31)</f>
        <v/>
      </c>
      <c r="C31">
        <f>COUNTIFS('구절목록'!$I$2:$I$729,A31,'구절목록'!$W$2:$W$729,"&lt;&gt;")</f>
        <v/>
      </c>
      <c r="D31">
        <f>IFERROR(AVERAGEIFS('구절목록'!$W$2:$W$729,'구절목록'!$I$2:$I$729,A31),"-")</f>
        <v/>
      </c>
      <c r="E31">
        <f>IFERROR(AVERAGEIFS('구절목록'!$X$2:$X$729,'구절목록'!$I$2:$I$729,A31),"-")</f>
        <v/>
      </c>
    </row>
    <row r="32">
      <c r="A32" t="inlineStr">
        <is>
          <t>사랑</t>
        </is>
      </c>
      <c r="B32">
        <f>COUNTIF('구절목록'!$I$2:$I$729,A32)</f>
        <v/>
      </c>
      <c r="C32">
        <f>COUNTIFS('구절목록'!$I$2:$I$729,A32,'구절목록'!$W$2:$W$729,"&lt;&gt;")</f>
        <v/>
      </c>
      <c r="D32">
        <f>IFERROR(AVERAGEIFS('구절목록'!$W$2:$W$729,'구절목록'!$I$2:$I$729,A32),"-")</f>
        <v/>
      </c>
      <c r="E32">
        <f>IFERROR(AVERAGEIFS('구절목록'!$X$2:$X$729,'구절목록'!$I$2:$I$729,A32),"-")</f>
        <v/>
      </c>
    </row>
    <row r="33">
      <c r="A33" t="inlineStr">
        <is>
          <t>새 마음</t>
        </is>
      </c>
      <c r="B33">
        <f>COUNTIF('구절목록'!$I$2:$I$729,A33)</f>
        <v/>
      </c>
      <c r="C33">
        <f>COUNTIFS('구절목록'!$I$2:$I$729,A33,'구절목록'!$W$2:$W$729,"&lt;&gt;")</f>
        <v/>
      </c>
      <c r="D33">
        <f>IFERROR(AVERAGEIFS('구절목록'!$W$2:$W$729,'구절목록'!$I$2:$I$729,A33),"-")</f>
        <v/>
      </c>
      <c r="E33">
        <f>IFERROR(AVERAGEIFS('구절목록'!$X$2:$X$729,'구절목록'!$I$2:$I$729,A33),"-")</f>
        <v/>
      </c>
    </row>
    <row r="34">
      <c r="A34" t="inlineStr">
        <is>
          <t>생명</t>
        </is>
      </c>
      <c r="B34">
        <f>COUNTIF('구절목록'!$I$2:$I$729,A34)</f>
        <v/>
      </c>
      <c r="C34">
        <f>COUNTIFS('구절목록'!$I$2:$I$729,A34,'구절목록'!$W$2:$W$729,"&lt;&gt;")</f>
        <v/>
      </c>
      <c r="D34">
        <f>IFERROR(AVERAGEIFS('구절목록'!$W$2:$W$729,'구절목록'!$I$2:$I$729,A34),"-")</f>
        <v/>
      </c>
      <c r="E34">
        <f>IFERROR(AVERAGEIFS('구절목록'!$X$2:$X$729,'구절목록'!$I$2:$I$729,A34),"-")</f>
        <v/>
      </c>
    </row>
    <row r="35">
      <c r="A35" t="inlineStr">
        <is>
          <t>섬김</t>
        </is>
      </c>
      <c r="B35">
        <f>COUNTIF('구절목록'!$I$2:$I$729,A35)</f>
        <v/>
      </c>
      <c r="C35">
        <f>COUNTIFS('구절목록'!$I$2:$I$729,A35,'구절목록'!$W$2:$W$729,"&lt;&gt;")</f>
        <v/>
      </c>
      <c r="D35">
        <f>IFERROR(AVERAGEIFS('구절목록'!$W$2:$W$729,'구절목록'!$I$2:$I$729,A35),"-")</f>
        <v/>
      </c>
      <c r="E35">
        <f>IFERROR(AVERAGEIFS('구절목록'!$X$2:$X$729,'구절목록'!$I$2:$I$729,A35),"-")</f>
        <v/>
      </c>
    </row>
    <row r="36">
      <c r="A36" t="inlineStr">
        <is>
          <t>섭리</t>
        </is>
      </c>
      <c r="B36">
        <f>COUNTIF('구절목록'!$I$2:$I$729,A36)</f>
        <v/>
      </c>
      <c r="C36">
        <f>COUNTIFS('구절목록'!$I$2:$I$729,A36,'구절목록'!$W$2:$W$729,"&lt;&gt;")</f>
        <v/>
      </c>
      <c r="D36">
        <f>IFERROR(AVERAGEIFS('구절목록'!$W$2:$W$729,'구절목록'!$I$2:$I$729,A36),"-")</f>
        <v/>
      </c>
      <c r="E36">
        <f>IFERROR(AVERAGEIFS('구절목록'!$X$2:$X$729,'구절목록'!$I$2:$I$729,A36),"-")</f>
        <v/>
      </c>
    </row>
    <row r="37">
      <c r="A37" t="inlineStr">
        <is>
          <t>성령</t>
        </is>
      </c>
      <c r="B37">
        <f>COUNTIF('구절목록'!$I$2:$I$729,A37)</f>
        <v/>
      </c>
      <c r="C37">
        <f>COUNTIFS('구절목록'!$I$2:$I$729,A37,'구절목록'!$W$2:$W$729,"&lt;&gt;")</f>
        <v/>
      </c>
      <c r="D37">
        <f>IFERROR(AVERAGEIFS('구절목록'!$W$2:$W$729,'구절목록'!$I$2:$I$729,A37),"-")</f>
        <v/>
      </c>
      <c r="E37">
        <f>IFERROR(AVERAGEIFS('구절목록'!$X$2:$X$729,'구절목록'!$I$2:$I$729,A37),"-")</f>
        <v/>
      </c>
    </row>
    <row r="38">
      <c r="A38" t="inlineStr">
        <is>
          <t>성장</t>
        </is>
      </c>
      <c r="B38">
        <f>COUNTIF('구절목록'!$I$2:$I$729,A38)</f>
        <v/>
      </c>
      <c r="C38">
        <f>COUNTIFS('구절목록'!$I$2:$I$729,A38,'구절목록'!$W$2:$W$729,"&lt;&gt;")</f>
        <v/>
      </c>
      <c r="D38">
        <f>IFERROR(AVERAGEIFS('구절목록'!$W$2:$W$729,'구절목록'!$I$2:$I$729,A38),"-")</f>
        <v/>
      </c>
      <c r="E38">
        <f>IFERROR(AVERAGEIFS('구절목록'!$X$2:$X$729,'구절목록'!$I$2:$I$729,A38),"-")</f>
        <v/>
      </c>
    </row>
    <row r="39">
      <c r="A39" t="inlineStr">
        <is>
          <t>소망</t>
        </is>
      </c>
      <c r="B39">
        <f>COUNTIF('구절목록'!$I$2:$I$729,A39)</f>
        <v/>
      </c>
      <c r="C39">
        <f>COUNTIFS('구절목록'!$I$2:$I$729,A39,'구절목록'!$W$2:$W$729,"&lt;&gt;")</f>
        <v/>
      </c>
      <c r="D39">
        <f>IFERROR(AVERAGEIFS('구절목록'!$W$2:$W$729,'구절목록'!$I$2:$I$729,A39),"-")</f>
        <v/>
      </c>
      <c r="E39">
        <f>IFERROR(AVERAGEIFS('구절목록'!$X$2:$X$729,'구절목록'!$I$2:$I$729,A39),"-")</f>
        <v/>
      </c>
    </row>
    <row r="40">
      <c r="A40" t="inlineStr">
        <is>
          <t>속죄</t>
        </is>
      </c>
      <c r="B40">
        <f>COUNTIF('구절목록'!$I$2:$I$729,A40)</f>
        <v/>
      </c>
      <c r="C40">
        <f>COUNTIFS('구절목록'!$I$2:$I$729,A40,'구절목록'!$W$2:$W$729,"&lt;&gt;")</f>
        <v/>
      </c>
      <c r="D40">
        <f>IFERROR(AVERAGEIFS('구절목록'!$W$2:$W$729,'구절목록'!$I$2:$I$729,A40),"-")</f>
        <v/>
      </c>
      <c r="E40">
        <f>IFERROR(AVERAGEIFS('구절목록'!$X$2:$X$729,'구절목록'!$I$2:$I$729,A40),"-")</f>
        <v/>
      </c>
    </row>
    <row r="41">
      <c r="A41" t="inlineStr">
        <is>
          <t>순종</t>
        </is>
      </c>
      <c r="B41">
        <f>COUNTIF('구절목록'!$I$2:$I$729,A41)</f>
        <v/>
      </c>
      <c r="C41">
        <f>COUNTIFS('구절목록'!$I$2:$I$729,A41,'구절목록'!$W$2:$W$729,"&lt;&gt;")</f>
        <v/>
      </c>
      <c r="D41">
        <f>IFERROR(AVERAGEIFS('구절목록'!$W$2:$W$729,'구절목록'!$I$2:$I$729,A41),"-")</f>
        <v/>
      </c>
      <c r="E41">
        <f>IFERROR(AVERAGEIFS('구절목록'!$X$2:$X$729,'구절목록'!$I$2:$I$729,A41),"-")</f>
        <v/>
      </c>
    </row>
    <row r="42">
      <c r="A42" t="inlineStr">
        <is>
          <t>쉼</t>
        </is>
      </c>
      <c r="B42">
        <f>COUNTIF('구절목록'!$I$2:$I$729,A42)</f>
        <v/>
      </c>
      <c r="C42">
        <f>COUNTIFS('구절목록'!$I$2:$I$729,A42,'구절목록'!$W$2:$W$729,"&lt;&gt;")</f>
        <v/>
      </c>
      <c r="D42">
        <f>IFERROR(AVERAGEIFS('구절목록'!$W$2:$W$729,'구절목록'!$I$2:$I$729,A42),"-")</f>
        <v/>
      </c>
      <c r="E42">
        <f>IFERROR(AVERAGEIFS('구절목록'!$X$2:$X$729,'구절목록'!$I$2:$I$729,A42),"-")</f>
        <v/>
      </c>
    </row>
    <row r="43">
      <c r="A43" t="inlineStr">
        <is>
          <t>승리</t>
        </is>
      </c>
      <c r="B43">
        <f>COUNTIF('구절목록'!$I$2:$I$729,A43)</f>
        <v/>
      </c>
      <c r="C43">
        <f>COUNTIFS('구절목록'!$I$2:$I$729,A43,'구절목록'!$W$2:$W$729,"&lt;&gt;")</f>
        <v/>
      </c>
      <c r="D43">
        <f>IFERROR(AVERAGEIFS('구절목록'!$W$2:$W$729,'구절목록'!$I$2:$I$729,A43),"-")</f>
        <v/>
      </c>
      <c r="E43">
        <f>IFERROR(AVERAGEIFS('구절목록'!$X$2:$X$729,'구절목록'!$I$2:$I$729,A43),"-")</f>
        <v/>
      </c>
    </row>
    <row r="44">
      <c r="A44" t="inlineStr">
        <is>
          <t>신뢰</t>
        </is>
      </c>
      <c r="B44">
        <f>COUNTIF('구절목록'!$I$2:$I$729,A44)</f>
        <v/>
      </c>
      <c r="C44">
        <f>COUNTIFS('구절목록'!$I$2:$I$729,A44,'구절목록'!$W$2:$W$729,"&lt;&gt;")</f>
        <v/>
      </c>
      <c r="D44">
        <f>IFERROR(AVERAGEIFS('구절목록'!$W$2:$W$729,'구절목록'!$I$2:$I$729,A44),"-")</f>
        <v/>
      </c>
      <c r="E44">
        <f>IFERROR(AVERAGEIFS('구절목록'!$X$2:$X$729,'구절목록'!$I$2:$I$729,A44),"-")</f>
        <v/>
      </c>
    </row>
    <row r="45">
      <c r="A45" t="inlineStr">
        <is>
          <t>신실하심</t>
        </is>
      </c>
      <c r="B45">
        <f>COUNTIF('구절목록'!$I$2:$I$729,A45)</f>
        <v/>
      </c>
      <c r="C45">
        <f>COUNTIFS('구절목록'!$I$2:$I$729,A45,'구절목록'!$W$2:$W$729,"&lt;&gt;")</f>
        <v/>
      </c>
      <c r="D45">
        <f>IFERROR(AVERAGEIFS('구절목록'!$W$2:$W$729,'구절목록'!$I$2:$I$729,A45),"-")</f>
        <v/>
      </c>
      <c r="E45">
        <f>IFERROR(AVERAGEIFS('구절목록'!$X$2:$X$729,'구절목록'!$I$2:$I$729,A45),"-")</f>
        <v/>
      </c>
    </row>
    <row r="46">
      <c r="A46" t="inlineStr">
        <is>
          <t>언약</t>
        </is>
      </c>
      <c r="B46">
        <f>COUNTIF('구절목록'!$I$2:$I$729,A46)</f>
        <v/>
      </c>
      <c r="C46">
        <f>COUNTIFS('구절목록'!$I$2:$I$729,A46,'구절목록'!$W$2:$W$729,"&lt;&gt;")</f>
        <v/>
      </c>
      <c r="D46">
        <f>IFERROR(AVERAGEIFS('구절목록'!$W$2:$W$729,'구절목록'!$I$2:$I$729,A46),"-")</f>
        <v/>
      </c>
      <c r="E46">
        <f>IFERROR(AVERAGEIFS('구절목록'!$X$2:$X$729,'구절목록'!$I$2:$I$729,A46),"-")</f>
        <v/>
      </c>
    </row>
    <row r="47">
      <c r="A47" t="inlineStr">
        <is>
          <t>연단</t>
        </is>
      </c>
      <c r="B47">
        <f>COUNTIF('구절목록'!$I$2:$I$729,A47)</f>
        <v/>
      </c>
      <c r="C47">
        <f>COUNTIFS('구절목록'!$I$2:$I$729,A47,'구절목록'!$W$2:$W$729,"&lt;&gt;")</f>
        <v/>
      </c>
      <c r="D47">
        <f>IFERROR(AVERAGEIFS('구절목록'!$W$2:$W$729,'구절목록'!$I$2:$I$729,A47),"-")</f>
        <v/>
      </c>
      <c r="E47">
        <f>IFERROR(AVERAGEIFS('구절목록'!$X$2:$X$729,'구절목록'!$I$2:$I$729,A47),"-")</f>
        <v/>
      </c>
    </row>
    <row r="48">
      <c r="A48" t="inlineStr">
        <is>
          <t>연합</t>
        </is>
      </c>
      <c r="B48">
        <f>COUNTIF('구절목록'!$I$2:$I$729,A48)</f>
        <v/>
      </c>
      <c r="C48">
        <f>COUNTIFS('구절목록'!$I$2:$I$729,A48,'구절목록'!$W$2:$W$729,"&lt;&gt;")</f>
        <v/>
      </c>
      <c r="D48">
        <f>IFERROR(AVERAGEIFS('구절목록'!$W$2:$W$729,'구절목록'!$I$2:$I$729,A48),"-")</f>
        <v/>
      </c>
      <c r="E48">
        <f>IFERROR(AVERAGEIFS('구절목록'!$X$2:$X$729,'구절목록'!$I$2:$I$729,A48),"-")</f>
        <v/>
      </c>
    </row>
    <row r="49">
      <c r="A49" t="inlineStr">
        <is>
          <t>예배</t>
        </is>
      </c>
      <c r="B49">
        <f>COUNTIF('구절목록'!$I$2:$I$729,A49)</f>
        <v/>
      </c>
      <c r="C49">
        <f>COUNTIFS('구절목록'!$I$2:$I$729,A49,'구절목록'!$W$2:$W$729,"&lt;&gt;")</f>
        <v/>
      </c>
      <c r="D49">
        <f>IFERROR(AVERAGEIFS('구절목록'!$W$2:$W$729,'구절목록'!$I$2:$I$729,A49),"-")</f>
        <v/>
      </c>
      <c r="E49">
        <f>IFERROR(AVERAGEIFS('구절목록'!$X$2:$X$729,'구절목록'!$I$2:$I$729,A49),"-")</f>
        <v/>
      </c>
    </row>
    <row r="50">
      <c r="A50" t="inlineStr">
        <is>
          <t>용서</t>
        </is>
      </c>
      <c r="B50">
        <f>COUNTIF('구절목록'!$I$2:$I$729,A50)</f>
        <v/>
      </c>
      <c r="C50">
        <f>COUNTIFS('구절목록'!$I$2:$I$729,A50,'구절목록'!$W$2:$W$729,"&lt;&gt;")</f>
        <v/>
      </c>
      <c r="D50">
        <f>IFERROR(AVERAGEIFS('구절목록'!$W$2:$W$729,'구절목록'!$I$2:$I$729,A50),"-")</f>
        <v/>
      </c>
      <c r="E50">
        <f>IFERROR(AVERAGEIFS('구절목록'!$X$2:$X$729,'구절목록'!$I$2:$I$729,A50),"-")</f>
        <v/>
      </c>
    </row>
    <row r="51">
      <c r="A51" t="inlineStr">
        <is>
          <t>위로</t>
        </is>
      </c>
      <c r="B51">
        <f>COUNTIF('구절목록'!$I$2:$I$729,A51)</f>
        <v/>
      </c>
      <c r="C51">
        <f>COUNTIFS('구절목록'!$I$2:$I$729,A51,'구절목록'!$W$2:$W$729,"&lt;&gt;")</f>
        <v/>
      </c>
      <c r="D51">
        <f>IFERROR(AVERAGEIFS('구절목록'!$W$2:$W$729,'구절목록'!$I$2:$I$729,A51),"-")</f>
        <v/>
      </c>
      <c r="E51">
        <f>IFERROR(AVERAGEIFS('구절목록'!$X$2:$X$729,'구절목록'!$I$2:$I$729,A51),"-")</f>
        <v/>
      </c>
    </row>
    <row r="52">
      <c r="A52" t="inlineStr">
        <is>
          <t>은혜</t>
        </is>
      </c>
      <c r="B52">
        <f>COUNTIF('구절목록'!$I$2:$I$729,A52)</f>
        <v/>
      </c>
      <c r="C52">
        <f>COUNTIFS('구절목록'!$I$2:$I$729,A52,'구절목록'!$W$2:$W$729,"&lt;&gt;")</f>
        <v/>
      </c>
      <c r="D52">
        <f>IFERROR(AVERAGEIFS('구절목록'!$W$2:$W$729,'구절목록'!$I$2:$I$729,A52),"-")</f>
        <v/>
      </c>
      <c r="E52">
        <f>IFERROR(AVERAGEIFS('구절목록'!$X$2:$X$729,'구절목록'!$I$2:$I$729,A52),"-")</f>
        <v/>
      </c>
    </row>
    <row r="53">
      <c r="A53" t="inlineStr">
        <is>
          <t>인도</t>
        </is>
      </c>
      <c r="B53">
        <f>COUNTIF('구절목록'!$I$2:$I$729,A53)</f>
        <v/>
      </c>
      <c r="C53">
        <f>COUNTIFS('구절목록'!$I$2:$I$729,A53,'구절목록'!$W$2:$W$729,"&lt;&gt;")</f>
        <v/>
      </c>
      <c r="D53">
        <f>IFERROR(AVERAGEIFS('구절목록'!$W$2:$W$729,'구절목록'!$I$2:$I$729,A53),"-")</f>
        <v/>
      </c>
      <c r="E53">
        <f>IFERROR(AVERAGEIFS('구절목록'!$X$2:$X$729,'구절목록'!$I$2:$I$729,A53),"-")</f>
        <v/>
      </c>
    </row>
    <row r="54">
      <c r="A54" t="inlineStr">
        <is>
          <t>임재</t>
        </is>
      </c>
      <c r="B54">
        <f>COUNTIF('구절목록'!$I$2:$I$729,A54)</f>
        <v/>
      </c>
      <c r="C54">
        <f>COUNTIFS('구절목록'!$I$2:$I$729,A54,'구절목록'!$W$2:$W$729,"&lt;&gt;")</f>
        <v/>
      </c>
      <c r="D54">
        <f>IFERROR(AVERAGEIFS('구절목록'!$W$2:$W$729,'구절목록'!$I$2:$I$729,A54),"-")</f>
        <v/>
      </c>
      <c r="E54">
        <f>IFERROR(AVERAGEIFS('구절목록'!$X$2:$X$729,'구절목록'!$I$2:$I$729,A54),"-")</f>
        <v/>
      </c>
    </row>
    <row r="55">
      <c r="A55" t="inlineStr">
        <is>
          <t>자유</t>
        </is>
      </c>
      <c r="B55">
        <f>COUNTIF('구절목록'!$I$2:$I$729,A55)</f>
        <v/>
      </c>
      <c r="C55">
        <f>COUNTIFS('구절목록'!$I$2:$I$729,A55,'구절목록'!$W$2:$W$729,"&lt;&gt;")</f>
        <v/>
      </c>
      <c r="D55">
        <f>IFERROR(AVERAGEIFS('구절목록'!$W$2:$W$729,'구절목록'!$I$2:$I$729,A55),"-")</f>
        <v/>
      </c>
      <c r="E55">
        <f>IFERROR(AVERAGEIFS('구절목록'!$X$2:$X$729,'구절목록'!$I$2:$I$729,A55),"-")</f>
        <v/>
      </c>
    </row>
    <row r="56">
      <c r="A56" t="inlineStr">
        <is>
          <t>정의</t>
        </is>
      </c>
      <c r="B56">
        <f>COUNTIF('구절목록'!$I$2:$I$729,A56)</f>
        <v/>
      </c>
      <c r="C56">
        <f>COUNTIFS('구절목록'!$I$2:$I$729,A56,'구절목록'!$W$2:$W$729,"&lt;&gt;")</f>
        <v/>
      </c>
      <c r="D56">
        <f>IFERROR(AVERAGEIFS('구절목록'!$W$2:$W$729,'구절목록'!$I$2:$I$729,A56),"-")</f>
        <v/>
      </c>
      <c r="E56">
        <f>IFERROR(AVERAGEIFS('구절목록'!$X$2:$X$729,'구절목록'!$I$2:$I$729,A56),"-")</f>
        <v/>
      </c>
    </row>
    <row r="57">
      <c r="A57" t="inlineStr">
        <is>
          <t>지혜</t>
        </is>
      </c>
      <c r="B57">
        <f>COUNTIF('구절목록'!$I$2:$I$729,A57)</f>
        <v/>
      </c>
      <c r="C57">
        <f>COUNTIFS('구절목록'!$I$2:$I$729,A57,'구절목록'!$W$2:$W$729,"&lt;&gt;")</f>
        <v/>
      </c>
      <c r="D57">
        <f>IFERROR(AVERAGEIFS('구절목록'!$W$2:$W$729,'구절목록'!$I$2:$I$729,A57),"-")</f>
        <v/>
      </c>
      <c r="E57">
        <f>IFERROR(AVERAGEIFS('구절목록'!$X$2:$X$729,'구절목록'!$I$2:$I$729,A57),"-")</f>
        <v/>
      </c>
    </row>
    <row r="58">
      <c r="A58" t="inlineStr">
        <is>
          <t>찬양</t>
        </is>
      </c>
      <c r="B58">
        <f>COUNTIF('구절목록'!$I$2:$I$729,A58)</f>
        <v/>
      </c>
      <c r="C58">
        <f>COUNTIFS('구절목록'!$I$2:$I$729,A58,'구절목록'!$W$2:$W$729,"&lt;&gt;")</f>
        <v/>
      </c>
      <c r="D58">
        <f>IFERROR(AVERAGEIFS('구절목록'!$W$2:$W$729,'구절목록'!$I$2:$I$729,A58),"-")</f>
        <v/>
      </c>
      <c r="E58">
        <f>IFERROR(AVERAGEIFS('구절목록'!$X$2:$X$729,'구절목록'!$I$2:$I$729,A58),"-")</f>
        <v/>
      </c>
    </row>
    <row r="59">
      <c r="A59" t="inlineStr">
        <is>
          <t>창조</t>
        </is>
      </c>
      <c r="B59">
        <f>COUNTIF('구절목록'!$I$2:$I$729,A59)</f>
        <v/>
      </c>
      <c r="C59">
        <f>COUNTIFS('구절목록'!$I$2:$I$729,A59,'구절목록'!$W$2:$W$729,"&lt;&gt;")</f>
        <v/>
      </c>
      <c r="D59">
        <f>IFERROR(AVERAGEIFS('구절목록'!$W$2:$W$729,'구절목록'!$I$2:$I$729,A59),"-")</f>
        <v/>
      </c>
      <c r="E59">
        <f>IFERROR(AVERAGEIFS('구절목록'!$X$2:$X$729,'구절목록'!$I$2:$I$729,A59),"-")</f>
        <v/>
      </c>
    </row>
    <row r="60">
      <c r="A60" t="inlineStr">
        <is>
          <t>축복</t>
        </is>
      </c>
      <c r="B60">
        <f>COUNTIF('구절목록'!$I$2:$I$729,A60)</f>
        <v/>
      </c>
      <c r="C60">
        <f>COUNTIFS('구절목록'!$I$2:$I$729,A60,'구절목록'!$W$2:$W$729,"&lt;&gt;")</f>
        <v/>
      </c>
      <c r="D60">
        <f>IFERROR(AVERAGEIFS('구절목록'!$W$2:$W$729,'구절목록'!$I$2:$I$729,A60),"-")</f>
        <v/>
      </c>
      <c r="E60">
        <f>IFERROR(AVERAGEIFS('구절목록'!$X$2:$X$729,'구절목록'!$I$2:$I$729,A60),"-")</f>
        <v/>
      </c>
    </row>
    <row r="61">
      <c r="A61" t="inlineStr">
        <is>
          <t>치료</t>
        </is>
      </c>
      <c r="B61">
        <f>COUNTIF('구절목록'!$I$2:$I$729,A61)</f>
        <v/>
      </c>
      <c r="C61">
        <f>COUNTIFS('구절목록'!$I$2:$I$729,A61,'구절목록'!$W$2:$W$729,"&lt;&gt;")</f>
        <v/>
      </c>
      <c r="D61">
        <f>IFERROR(AVERAGEIFS('구절목록'!$W$2:$W$729,'구절목록'!$I$2:$I$729,A61),"-")</f>
        <v/>
      </c>
      <c r="E61">
        <f>IFERROR(AVERAGEIFS('구절목록'!$X$2:$X$729,'구절목록'!$I$2:$I$729,A61),"-")</f>
        <v/>
      </c>
    </row>
    <row r="62">
      <c r="A62" t="inlineStr">
        <is>
          <t>평안</t>
        </is>
      </c>
      <c r="B62">
        <f>COUNTIF('구절목록'!$I$2:$I$729,A62)</f>
        <v/>
      </c>
      <c r="C62">
        <f>COUNTIFS('구절목록'!$I$2:$I$729,A62,'구절목록'!$W$2:$W$729,"&lt;&gt;")</f>
        <v/>
      </c>
      <c r="D62">
        <f>IFERROR(AVERAGEIFS('구절목록'!$W$2:$W$729,'구절목록'!$I$2:$I$729,A62),"-")</f>
        <v/>
      </c>
      <c r="E62">
        <f>IFERROR(AVERAGEIFS('구절목록'!$X$2:$X$729,'구절목록'!$I$2:$I$729,A62),"-")</f>
        <v/>
      </c>
    </row>
    <row r="63">
      <c r="A63" t="inlineStr">
        <is>
          <t>피난처</t>
        </is>
      </c>
      <c r="B63">
        <f>COUNTIF('구절목록'!$I$2:$I$729,A63)</f>
        <v/>
      </c>
      <c r="C63">
        <f>COUNTIFS('구절목록'!$I$2:$I$729,A63,'구절목록'!$W$2:$W$729,"&lt;&gt;")</f>
        <v/>
      </c>
      <c r="D63">
        <f>IFERROR(AVERAGEIFS('구절목록'!$W$2:$W$729,'구절목록'!$I$2:$I$729,A63),"-")</f>
        <v/>
      </c>
      <c r="E63">
        <f>IFERROR(AVERAGEIFS('구절목록'!$X$2:$X$729,'구절목록'!$I$2:$I$729,A63),"-")</f>
        <v/>
      </c>
    </row>
    <row r="64">
      <c r="A64" t="inlineStr">
        <is>
          <t>하나님</t>
        </is>
      </c>
      <c r="B64">
        <f>COUNTIF('구절목록'!$I$2:$I$729,A64)</f>
        <v/>
      </c>
      <c r="C64">
        <f>COUNTIFS('구절목록'!$I$2:$I$729,A64,'구절목록'!$W$2:$W$729,"&lt;&gt;")</f>
        <v/>
      </c>
      <c r="D64">
        <f>IFERROR(AVERAGEIFS('구절목록'!$W$2:$W$729,'구절목록'!$I$2:$I$729,A64),"-")</f>
        <v/>
      </c>
      <c r="E64">
        <f>IFERROR(AVERAGEIFS('구절목록'!$X$2:$X$729,'구절목록'!$I$2:$I$729,A64),"-")</f>
        <v/>
      </c>
    </row>
    <row r="65">
      <c r="A65" t="inlineStr">
        <is>
          <t>하나님 나라</t>
        </is>
      </c>
      <c r="B65">
        <f>COUNTIF('구절목록'!$I$2:$I$729,A65)</f>
        <v/>
      </c>
      <c r="C65">
        <f>COUNTIFS('구절목록'!$I$2:$I$729,A65,'구절목록'!$W$2:$W$729,"&lt;&gt;")</f>
        <v/>
      </c>
      <c r="D65">
        <f>IFERROR(AVERAGEIFS('구절목록'!$W$2:$W$729,'구절목록'!$I$2:$I$729,A65),"-")</f>
        <v/>
      </c>
      <c r="E65">
        <f>IFERROR(AVERAGEIFS('구절목록'!$X$2:$X$729,'구절목록'!$I$2:$I$729,A65),"-")</f>
        <v/>
      </c>
    </row>
    <row r="66">
      <c r="A66" t="inlineStr">
        <is>
          <t>헌신</t>
        </is>
      </c>
      <c r="B66">
        <f>COUNTIF('구절목록'!$I$2:$I$729,A66)</f>
        <v/>
      </c>
      <c r="C66">
        <f>COUNTIFS('구절목록'!$I$2:$I$729,A66,'구절목록'!$W$2:$W$729,"&lt;&gt;")</f>
        <v/>
      </c>
      <c r="D66">
        <f>IFERROR(AVERAGEIFS('구절목록'!$W$2:$W$729,'구절목록'!$I$2:$I$729,A66),"-")</f>
        <v/>
      </c>
      <c r="E66">
        <f>IFERROR(AVERAGEIFS('구절목록'!$X$2:$X$729,'구절목록'!$I$2:$I$729,A66),"-")</f>
        <v/>
      </c>
    </row>
    <row r="67">
      <c r="A67" t="inlineStr">
        <is>
          <t>회개</t>
        </is>
      </c>
      <c r="B67">
        <f>COUNTIF('구절목록'!$I$2:$I$729,A67)</f>
        <v/>
      </c>
      <c r="C67">
        <f>COUNTIFS('구절목록'!$I$2:$I$729,A67,'구절목록'!$W$2:$W$729,"&lt;&gt;")</f>
        <v/>
      </c>
      <c r="D67">
        <f>IFERROR(AVERAGEIFS('구절목록'!$W$2:$W$729,'구절목록'!$I$2:$I$729,A67),"-")</f>
        <v/>
      </c>
      <c r="E67">
        <f>IFERROR(AVERAGEIFS('구절목록'!$X$2:$X$729,'구절목록'!$I$2:$I$729,A67),"-")</f>
        <v/>
      </c>
    </row>
    <row r="68">
      <c r="A68" t="inlineStr">
        <is>
          <t>회복</t>
        </is>
      </c>
      <c r="B68">
        <f>COUNTIF('구절목록'!$I$2:$I$729,A68)</f>
        <v/>
      </c>
      <c r="C68">
        <f>COUNTIFS('구절목록'!$I$2:$I$729,A68,'구절목록'!$W$2:$W$729,"&lt;&gt;")</f>
        <v/>
      </c>
      <c r="D68">
        <f>IFERROR(AVERAGEIFS('구절목록'!$W$2:$W$729,'구절목록'!$I$2:$I$729,A68),"-")</f>
        <v/>
      </c>
      <c r="E68">
        <f>IFERROR(AVERAGEIFS('구절목록'!$X$2:$X$729,'구절목록'!$I$2:$I$729,A68),"-")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2026-10-27T17:02:54Z</dcterms:created>
  <dcterms:modified xmlns:dcterms="http://purl.org/dc/terms/" xmlns:xsi="http://www.w3.org/2001/XMLSchema-instance" xsi:type="dcterms:W3CDTF">2026-10-27T17:02:56Z</dcterms:modified>
</cp:coreProperties>
</file>