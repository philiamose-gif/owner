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통독챌린지" sheetId="9" state="visible" r:id="rId11"/>
    <sheet name="성과기록" sheetId="10" state="visible" r:id="rId12"/>
    <sheet name="채널_재생목록" sheetId="11" state="visible" r:id="rId13"/>
    <sheet name="인물_캐릭터시트" sheetId="12" state="visible" r:id="rId14"/>
    <sheet name="교리감수_기준" sheetId="13" state="visible" r:id="rId15"/>
    <sheet name="제작템플릿" sheetId="14" state="visible" r:id="rId16"/>
    <sheet name="절기특집" sheetId="15" state="visible" r:id="rId17"/>
    <sheet name="표기통일" sheetId="16" state="visible" r:id="rId18"/>
  </sheets>
  <definedNames>
    <definedName function="false" hidden="true" localSheetId="1" name="_xlnm._FilterDatabase" vbProcedure="false">A타입_제작표!$A$1:$AS$799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시편_시리즈!$A$1:$AC$151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  <comment ref="AE1" authorId="0">
      <text>
        <r>
          <rPr>
            <sz val="10"/>
            <rFont val="WenQuanYi Zen Hei"/>
            <family val="2"/>
          </rPr>
          <t xml:space="preserve">도입 문구를 앞세운 제목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초기에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안과 번갈아 써 보고 성과기록 시트에서 비교</t>
        </r>
      </text>
    </comment>
    <comment ref="AF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은 작성 완료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나머지는 대본 작성 때 확정</t>
        </r>
      </text>
    </comment>
    <comment ref="AG1" authorId="0">
      <text>
        <r>
          <rPr>
            <sz val="10"/>
            <rFont val="WenQuanYi Zen Hei"/>
            <family val="2"/>
          </rPr>
          <t xml:space="preserve">다음 편과 같은 인물의 연속 장면이면 궁금한 순간에서 끊고 다음 편으로 연결</t>
        </r>
      </text>
    </comment>
    <comment ref="AL1" authorId="0">
      <text>
        <r>
          <rPr>
            <sz val="10"/>
            <rFont val="WenQuanYi Zen Hei"/>
            <family val="2"/>
          </rPr>
          <t xml:space="preserve">노란 칸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업로드 후 유튜브 스튜디오 수치를 입력 → 성과기록 시트에 자동 집계</t>
        </r>
      </text>
    </comment>
    <comment ref="AQ1" authorId="0">
      <text>
        <r>
          <rPr>
            <sz val="10"/>
            <rFont val="WenQuanYi Zen Hei"/>
            <family val="2"/>
          </rPr>
          <t xml:space="preserve">통독챌린지 달력용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<sst xmlns="http://schemas.openxmlformats.org/spreadsheetml/2006/main" count="25209" uniqueCount="11399">
  <si>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</si>
  <si>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2026-10-31 | </t>
    </r>
    <r>
      <rPr>
        <sz val="10"/>
        <color rgb="FF595959"/>
        <rFont val="WenQuanYi Zen Hei"/>
        <family val="2"/>
      </rPr>
      <t xml:space="preserve">성경 인용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개역한글판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</si>
  <si>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</si>
  <si>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</si>
  <si>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</si>
  <si>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</si>
  <si>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</si>
  <si>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</si>
  <si>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</si>
  <si>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</si>
  <si>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</si>
  <si>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</si>
  <si>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</si>
  <si>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</si>
  <si>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</si>
  <si>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</si>
  <si>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</si>
  <si>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</si>
  <si>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사전 제작 여유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</si>
  <si>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업로드보다 며칠 먼저 완성해 둘지</t>
    </r>
    <r>
      <rPr>
        <sz val="9"/>
        <color rgb="FF595959"/>
        <rFont val="Arial"/>
        <family val="0"/>
        <charset val="1"/>
      </rPr>
      <t xml:space="preserve">. 28</t>
    </r>
    <r>
      <rPr>
        <sz val="9"/>
        <color rgb="FF595959"/>
        <rFont val="WenQuanYi Zen Hei"/>
        <family val="2"/>
      </rPr>
      <t xml:space="preserve">일 </t>
    </r>
    <r>
      <rPr>
        <sz val="9"/>
        <color rgb="FF595959"/>
        <rFont val="Arial"/>
        <family val="0"/>
        <charset val="1"/>
      </rPr>
      <t xml:space="preserve">= 4</t>
    </r>
    <r>
      <rPr>
        <sz val="9"/>
        <color rgb="FF595959"/>
        <rFont val="WenQuanYi Zen Hei"/>
        <family val="2"/>
      </rPr>
      <t xml:space="preserve">주치를 미리 비축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</si>
  <si>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</si>
  <si>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</si>
  <si>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</si>
  <si>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</si>
  <si>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</si>
  <si>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</si>
  <si>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</si>
  <si>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</si>
  <si>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</si>
  <si>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</si>
  <si>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</si>
  <si>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</si>
  <si>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</si>
  <si>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</si>
  <si>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</si>
  <si>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통독 챌린지</t>
  </si>
  <si>
    <r>
      <rPr>
        <sz val="10"/>
        <color rgb="FF000000"/>
        <rFont val="WenQuanYi Zen Hei"/>
        <family val="2"/>
      </rPr>
      <t xml:space="preserve">업로드 일정 그대로 </t>
    </r>
    <r>
      <rPr>
        <sz val="10"/>
        <color rgb="FF000000"/>
        <rFont val="Arial"/>
        <family val="0"/>
        <charset val="1"/>
      </rPr>
      <t xml:space="preserve">'1</t>
    </r>
    <r>
      <rPr>
        <sz val="10"/>
        <color rgb="FF000000"/>
        <rFont val="WenQuanYi Zen Hei"/>
        <family val="2"/>
      </rPr>
      <t xml:space="preserve">분성경 통독 챌린지</t>
    </r>
    <r>
      <rPr>
        <sz val="10"/>
        <color rgb="FF000000"/>
        <rFont val="Arial"/>
        <family val="0"/>
        <charset val="1"/>
      </rPr>
      <t xml:space="preserve">'(#1</t>
    </r>
    <r>
      <rPr>
        <sz val="10"/>
        <color rgb="FF000000"/>
        <rFont val="WenQuanYi Zen Hei"/>
        <family val="2"/>
      </rPr>
      <t xml:space="preserve">분성경챌린지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운영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날짜별 본문은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통독챌린지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</si>
  <si>
    <t xml:space="preserve">채널 운영</t>
  </si>
  <si>
    <r>
      <rPr>
        <sz val="10"/>
        <color rgb="FF000000"/>
        <rFont val="WenQuanYi Zen Hei"/>
        <family val="2"/>
      </rPr>
      <t xml:space="preserve">한 채널에서 본편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롱폼을 모두 운영하고 재생목록으로 구분 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채널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Arial"/>
        <family val="0"/>
        <charset val="1"/>
      </rPr>
      <t xml:space="preserve">)</t>
    </r>
  </si>
  <si>
    <t xml:space="preserve">사전 제작</t>
  </si>
  <si>
    <r>
      <rPr>
        <sz val="10"/>
        <color rgb="FF000000"/>
        <rFont val="WenQuanYi Zen Hei"/>
        <family val="2"/>
      </rPr>
      <t xml:space="preserve">업로드 시작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를 미리 완성</t>
    </r>
    <r>
      <rPr>
        <sz val="10"/>
        <color rgb="FF000000"/>
        <rFont val="Arial"/>
        <family val="0"/>
        <charset val="1"/>
      </rPr>
      <t xml:space="preserve">.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사전 제작분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제작 완료 목표일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</si>
  <si>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</si>
  <si>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</si>
  <si>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</si>
  <si>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</si>
  <si>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</si>
  <si>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</si>
  <si>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</si>
  <si>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</si>
  <si>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</si>
  <si>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</si>
  <si>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</si>
  <si>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</si>
  <si>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</si>
  <si>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</si>
  <si>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</si>
  <si>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</si>
  <si>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</si>
  <si>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</si>
  <si>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</si>
  <si>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</si>
  <si>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 전 미리 만들 편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본편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</si>
  <si>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시편 시리즈 시작 전 미리 만들 편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</si>
  <si>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</si>
  <si>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</si>
  <si>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</si>
  <si>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</si>
  <si>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</si>
  <si>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</si>
  <si>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</si>
  <si>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</si>
  <si>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</si>
  <si>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우리 문장으로 새로 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핵심 구절은 개역한글판 원문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</si>
  <si>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</si>
  <si>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</si>
  <si>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</si>
  <si>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</si>
  <si>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</si>
  <si>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</si>
  <si>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</si>
  <si>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</si>
  <si>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</si>
  <si>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</si>
  <si>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</si>
  <si>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</si>
  <si>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</si>
  <si>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</si>
  <si>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</si>
  <si>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</si>
  <si>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</si>
  <si>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통독챌린지</t>
  </si>
  <si>
    <r>
      <rPr>
        <sz val="10"/>
        <color rgb="FF000000"/>
        <rFont val="WenQuanYi Zen Hei"/>
        <family val="2"/>
      </rPr>
      <t xml:space="preserve">날짜별 구약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본문 달력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배포용</t>
    </r>
    <r>
      <rPr>
        <sz val="10"/>
        <color rgb="FF000000"/>
        <rFont val="Arial"/>
        <family val="0"/>
        <charset val="1"/>
      </rPr>
      <t xml:space="preserve">)</t>
    </r>
  </si>
  <si>
    <t xml:space="preserve">성과기록</t>
  </si>
  <si>
    <r>
      <rPr>
        <sz val="10"/>
        <color rgb="FF000000"/>
        <rFont val="WenQuanYi Zen Hei"/>
        <family val="2"/>
      </rPr>
      <t xml:space="preserve">주간 성과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도입 유형별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 방식별 비교</t>
    </r>
  </si>
  <si>
    <r>
      <rPr>
        <b val="true"/>
        <sz val="10"/>
        <color rgb="FF000000"/>
        <rFont val="WenQuanYi Zen Hei"/>
        <family val="2"/>
      </rPr>
      <t xml:space="preserve">채널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재생목록</t>
    </r>
  </si>
  <si>
    <r>
      <rPr>
        <sz val="10"/>
        <color rgb="FF000000"/>
        <rFont val="WenQuanYi Zen Hei"/>
        <family val="2"/>
      </rPr>
      <t xml:space="preserve">한 채널 운영 기준 재생목록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편수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</si>
  <si>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</si>
  <si>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</si>
  <si>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</si>
  <si>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</si>
  <si>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</si>
  <si>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</si>
  <si>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</si>
  <si>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</si>
  <si>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</si>
  <si>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</si>
  <si>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</si>
  <si>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</si>
  <si>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</si>
  <si>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 표기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</si>
  <si>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원칙</t>
  </si>
  <si>
    <r>
      <rPr>
        <sz val="10"/>
        <color rgb="FF000000"/>
        <rFont val="WenQuanYi Zen Hei"/>
        <family val="2"/>
      </rPr>
      <t xml:space="preserve">제작템플릿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개역한글만 원문 인용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다른 번역 문장 모방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 규칙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</si>
  <si>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</si>
  <si>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</si>
  <si>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</si>
  <si>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</si>
  <si>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</si>
  <si>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</si>
  <si>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</si>
  <si>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</si>
  <si>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</si>
  <si>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</si>
  <si>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</si>
  <si>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</si>
  <si>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</si>
  <si>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</si>
  <si>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</si>
  <si>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</si>
  <si>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</si>
  <si>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</si>
  <si>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</si>
  <si>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</si>
  <si>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</si>
  <si>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회차형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</si>
  <si>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</si>
  <si>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</si>
  <si>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</si>
  <si>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</si>
  <si>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</si>
  <si>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</si>
  <si>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</si>
  <si>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</si>
  <si>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</si>
  <si>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</si>
  <si>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도입형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</si>
  <si>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컷 장면</t>
  </si>
  <si>
    <r>
      <rPr>
        <b val="true"/>
        <sz val="10"/>
        <color rgb="FFFFFFFF"/>
        <rFont val="WenQuanYi Zen Hei"/>
        <family val="2"/>
      </rPr>
      <t xml:space="preserve">이어지는 이야기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끊는 지점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</si>
  <si>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도입 유형</t>
  </si>
  <si>
    <t xml:space="preserve">제작 완료 목표일</t>
  </si>
  <si>
    <t xml:space="preserve">사전 제작분</t>
  </si>
  <si>
    <t xml:space="preserve">인물 재생목록</t>
  </si>
  <si>
    <t xml:space="preserve">조회수</t>
  </si>
  <si>
    <r>
      <rPr>
        <b val="true"/>
        <sz val="10"/>
        <color rgb="FFFFFFFF"/>
        <rFont val="WenQuanYi Zen Hei"/>
        <family val="2"/>
      </rPr>
      <t xml:space="preserve">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</si>
  <si>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WenQuanYi Zen Hei"/>
        <family val="2"/>
      </rPr>
      <t xml:space="preserve">평균 시청률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</si>
  <si>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</t>
  </si>
  <si>
    <r>
      <rPr>
        <b val="true"/>
        <sz val="10"/>
        <color rgb="FFFFFFFF"/>
        <rFont val="WenQuanYi Zen Hei"/>
        <family val="2"/>
      </rPr>
      <t xml:space="preserve">사용한 제목안 </t>
    </r>
    <r>
      <rPr>
        <b val="true"/>
        <sz val="10"/>
        <color rgb="FFFFFFFF"/>
        <rFont val="Arial"/>
        <family val="0"/>
        <charset val="1"/>
      </rPr>
      <t xml:space="preserve">(A/B)</t>
    </r>
  </si>
  <si>
    <t xml:space="preserve">일자키</t>
  </si>
  <si>
    <r>
      <rPr>
        <b val="true"/>
        <sz val="10"/>
        <color rgb="FFFFFFFF"/>
        <rFont val="WenQuanYi Zen Hei"/>
        <family val="2"/>
      </rPr>
      <t xml:space="preserve">핵심 구절 본문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개역한글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</si>
  <si>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본문 확인 표시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</si>
  <si>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</si>
  <si>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</si>
  <si>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</si>
  <si>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</si>
  <si>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</si>
  <si>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</si>
  <si>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</si>
  <si>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</si>
  <si>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</si>
  <si>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</si>
  <si>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</si>
  <si>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</si>
  <si>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</si>
  <si>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</si>
  <si>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</si>
  <si>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</si>
  <si>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완전한 어둠 속에서 한 줄기 빛이 폭발하듯 퍼지는 순간</t>
  </si>
  <si>
    <t xml:space="preserve">질문형</t>
  </si>
  <si>
    <t xml:space="preserve">태초에 하나님이 천지를 창조하시니라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</si>
  <si>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</si>
  <si>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</si>
  <si>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</si>
  <si>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</si>
  <si>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</si>
  <si>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</si>
  <si>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</si>
  <si>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</si>
  <si>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</si>
  <si>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바닷물이 거대한 벽처럼 물러나며 처음 땅이 솟아오르는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</si>
  <si>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</si>
  <si>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뭍을 땅이라 칭하시고 모인 물을 바다라 칭하시니라 하나님의 보시기에 좋았더라</t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</si>
  <si>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</si>
  <si>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</si>
  <si>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</si>
  <si>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</si>
  <si>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</si>
  <si>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</si>
  <si>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</si>
  <si>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텅 빈 하늘에 해와 별이 한꺼번에 켜지는 순간</t>
  </si>
  <si>
    <r>
      <rPr>
        <sz val="10"/>
        <color rgb="FF000000"/>
        <rFont val="WenQuanYi Zen Hei"/>
        <family val="2"/>
      </rPr>
      <t xml:space="preserve">하나님이 땅의 짐승을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육축을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땅에 기는 모든 것을 그 종류대로 만드시니 하나님의 보시기에 좋았더라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</si>
  <si>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</si>
  <si>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</si>
  <si>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</si>
  <si>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</si>
  <si>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</si>
  <si>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</si>
  <si>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</si>
  <si>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</si>
  <si>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</si>
  <si>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흙 위에 처음 눈을 뜨는 사람의 눈동자 클로즈업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</si>
  <si>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에덴동산과 한 가지 명령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</si>
  <si>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자기 형상 곧 하나님의 형상대로 사람을 창조하시되 남자와 여자를 창조하시고</t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</si>
  <si>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</si>
  <si>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</si>
  <si>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</si>
  <si>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</si>
  <si>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</si>
  <si>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</si>
  <si>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</si>
  <si>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</si>
  <si>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</si>
  <si>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빛나는 열매가 달린 나무 앞에서 멈춰 선 아담의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</si>
  <si>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가정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</si>
  <si>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선악을 알게 하는 나무의 실과는 먹지 말라 네가 먹는 날에는 정녕 죽으리라 하시니라</t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</si>
  <si>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</si>
  <si>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</si>
  <si>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</si>
  <si>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</si>
  <si>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</si>
  <si>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</si>
  <si>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</si>
  <si>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잠에서 깬 아담이 하와를 처음 바라보는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</si>
  <si>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뱀의 유혹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</si>
  <si>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이러므로 남자가 부모를 떠나 그 아내와 연합하여 둘이 한 몸을 이룰지로다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</si>
  <si>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</si>
  <si>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</si>
  <si>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</si>
  <si>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</si>
  <si>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</si>
  <si>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</si>
  <si>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</si>
  <si>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</si>
  <si>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</si>
  <si>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나뭇가지를 타고 내려오는 뱀의 눈이 하와를 바라봄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</si>
  <si>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네가 어디 있느냐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</si>
  <si>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여자가 그 나무를 본즉 먹음직도 하고 보암직도 하고 지혜롭게 할 만큼 탐스럽기도 한 나무인지라 여자가 그 실과를 따먹고 자기와 함께한 남편에게도 주매 그도 먹은지라</t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</si>
  <si>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</si>
  <si>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</si>
  <si>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</si>
  <si>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</si>
  <si>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</si>
  <si>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</si>
  <si>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</si>
  <si>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</si>
  <si>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r>
      <rPr>
        <sz val="10"/>
        <color rgb="FF000000"/>
        <rFont val="WenQuanYi Zen Hei"/>
        <family val="2"/>
      </rPr>
      <t xml:space="preserve">나무 뒤에 숨은 두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바람에 흔들리는 잎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</si>
  <si>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복음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</si>
  <si>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하나님이 아담을 부르시며 그에게 이르시되 네가 어디 있느냐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</si>
  <si>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</si>
  <si>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</si>
  <si>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</si>
  <si>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</si>
  <si>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</si>
  <si>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</si>
  <si>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</si>
  <si>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</si>
  <si>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흙바닥을 기어가는 뱀과 땅을 내려다보는 하와의 눈물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</si>
  <si>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가죽옷과 에덴 밖으로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</si>
  <si>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여자와 원수가 되게 하고 너의 후손도 여자의 후손과 원수가 되게 하리니 여자의 후손은 네 머리를 상하게 할 것이요 너는 그의 발꿈치를 상하게 할 것이니라 하시고</t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</si>
  <si>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</si>
  <si>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</si>
  <si>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</si>
  <si>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</si>
  <si>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</si>
  <si>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</si>
  <si>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</si>
  <si>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</si>
  <si>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</si>
  <si>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동산 입구를 막아선 불 칼의 빛</t>
  </si>
  <si>
    <t xml:space="preserve">여호와 하나님이 아담과 그 아내를 위하여 가죽옷을 지어 입히시니라</t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</si>
  <si>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</si>
  <si>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</si>
  <si>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</si>
  <si>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</si>
  <si>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</si>
  <si>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</si>
  <si>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</si>
  <si>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</si>
  <si>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</si>
  <si>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</si>
  <si>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</si>
  <si>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제단에서 하나는 연기가 하늘로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하나는 땅으로 깔리는 장면</t>
    </r>
  </si>
  <si>
    <r>
      <rPr>
        <sz val="10"/>
        <color rgb="FF000000"/>
        <rFont val="WenQuanYi Zen Hei"/>
        <family val="2"/>
      </rPr>
      <t xml:space="preserve">사실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반전형</t>
    </r>
  </si>
  <si>
    <t xml:space="preserve">네가 선을 행하면 어찌 낯을 들지 못하겠느냐 선을 행치 아니하면 죄가 문에 엎드리느니라 죄의 소원은 네게 있으나 너는 죄를 다스릴지니라</t>
  </si>
  <si>
    <t xml:space="preserve">줄바꿈 띄어쓰기 확인</t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</si>
  <si>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</si>
  <si>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</si>
  <si>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</si>
  <si>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</si>
  <si>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</si>
  <si>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</si>
  <si>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</si>
  <si>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</si>
  <si>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</si>
  <si>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</si>
  <si>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</si>
  <si>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대본 작성 시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원칙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강한 장면을 먼저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</si>
  <si>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가라사대 네가 무엇을 하였느냐 네 아우의 핏소리가 땅에서부터 내게 호소하느니라</t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</si>
  <si>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</si>
  <si>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</si>
  <si>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</si>
  <si>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</si>
  <si>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</si>
  <si>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</si>
  <si>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</si>
  <si>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</si>
  <si>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셋도 아들을 낳고 그 이름을 에노스라 하였으며 그 때에 사람들이 비로소 여호와의 이름을 불렀더라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</si>
  <si>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</si>
  <si>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</si>
  <si>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</si>
  <si>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</si>
  <si>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</si>
  <si>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</si>
  <si>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</si>
  <si>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</si>
  <si>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</si>
  <si>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</si>
  <si>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함께 걷던 에녹의 발자국이 갑자기 끊긴 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</si>
  <si>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은혜를 입은 노아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</si>
  <si>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노아</t>
  </si>
  <si>
    <t xml:space="preserve">에녹이 하나님과 동행하더니 하나님이 그를 데려가시므로 세상에 있지 아니하였더라</t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</si>
  <si>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</si>
  <si>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</si>
  <si>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</si>
  <si>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</si>
  <si>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</si>
  <si>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</si>
  <si>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</si>
  <si>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</si>
  <si>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어두운 세상 속에 홀로 빛을 받는 노아의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</si>
  <si>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방주를 지어라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</si>
  <si>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노아는 여호와께 은혜를 입었더라</t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</si>
  <si>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</si>
  <si>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</si>
  <si>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</si>
  <si>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</si>
  <si>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</si>
  <si>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</si>
  <si>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</si>
  <si>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</si>
  <si>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마른 땅 위에 산처럼 솟은 거대한 방주 뼈대</t>
  </si>
  <si>
    <t xml:space="preserve">노아가 그와 같이 하되 하나님이 자기에게 명하신 대로 다 준행 하였더라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</si>
  <si>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</si>
  <si>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</si>
  <si>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</si>
  <si>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</si>
  <si>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</si>
  <si>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</si>
  <si>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</si>
  <si>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</si>
  <si>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</si>
  <si>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하늘이 갈라지듯 쏟아지는 첫 빗줄기와 닫히는 방주 문</t>
  </si>
  <si>
    <t xml:space="preserve">숫자형</t>
  </si>
  <si>
    <t xml:space="preserve">지면의 모든 생물을 쓸어 버리시니 곧 사람과 짐승과 기는 것과 공중의 새까지라 이들은 땅에서 쓸어 버림을 당하였으되 홀로 노아와 그와 함께 방주에 있던 자만 남았더라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</si>
  <si>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</si>
  <si>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</si>
  <si>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</si>
  <si>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</si>
  <si>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</si>
  <si>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</si>
  <si>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</si>
  <si>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</si>
  <si>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창문 밖으로 날아가는 비둘기의 날갯짓</t>
  </si>
  <si>
    <t xml:space="preserve">저녁때에 비둘기가 그에게로 돌아왔는데 그 입에 감람 새 잎사귀가 있는지라 이에 노아가 땅에 물이 감한 줄 알았으며</t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</si>
  <si>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</si>
  <si>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</si>
  <si>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</si>
  <si>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</si>
  <si>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</si>
  <si>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</si>
  <si>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</si>
  <si>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</si>
  <si>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</si>
  <si>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구름을 가로질러 떠오르는 첫 무지개</t>
  </si>
  <si>
    <t xml:space="preserve">내가 내 무지개를 구름 속에 두었나니 이것이 나의 세상과의 언약의 증거니라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</si>
  <si>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</si>
  <si>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</si>
  <si>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</si>
  <si>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</si>
  <si>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</si>
  <si>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</si>
  <si>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</si>
  <si>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</si>
  <si>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</si>
  <si>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가로되 셈의 하나님 여호와를 찬송하리로다 가나안은 셈의 종이 되고</t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</si>
  <si>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</si>
  <si>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</si>
  <si>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</si>
  <si>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</si>
  <si>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</si>
  <si>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</si>
  <si>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</si>
  <si>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</si>
  <si>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이들은 노아 자손의 족속들이요 그 세계와 나라대로라 홍수 후에 이들에게서 땅의 열국 백성이 나뉘었더라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</si>
  <si>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</si>
  <si>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</si>
  <si>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</si>
  <si>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</si>
  <si>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</si>
  <si>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</si>
  <si>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</si>
  <si>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</si>
  <si>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</si>
  <si>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구름을 뚫고 올라가는 벽돌 탑 꼭대기</t>
  </si>
  <si>
    <t xml:space="preserve">그러므로 그 이름을 바벨이라 하니 이는 여호와께서 거기서 온 땅의 언어를 혼잡케 하셨음이라 여호와께서 거기서 그들을 온 지면에 흩으셨더라</t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</si>
  <si>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</si>
  <si>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</si>
  <si>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</si>
  <si>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</si>
  <si>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</si>
  <si>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</si>
  <si>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</si>
  <si>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</si>
  <si>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</si>
  <si>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아브라함</t>
  </si>
  <si>
    <t xml:space="preserve">데라가 그 아들 아브람과 하란의 아들 그 손자 롯과 그 자부 아브람의 아내 사래를 데리고 갈대아 우르에서 떠나 가나안 땅으로 가고자 하더니 하란에 이르러 거기 거하였으며</t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</si>
  <si>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</si>
  <si>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</si>
  <si>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</si>
  <si>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</si>
  <si>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</si>
  <si>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</si>
  <si>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</si>
  <si>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</si>
  <si>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</si>
  <si>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</si>
  <si>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</si>
  <si>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짐을 실은 낙타 행렬 앞에서 뒤를 돌아보는 아브람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</si>
  <si>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</si>
  <si>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큰 민족을 이루고 네게 복을 주어 네 이름을 창대케 하리니 너는 복의 근원이 될지라</t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</si>
  <si>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</si>
  <si>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</si>
  <si>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</si>
  <si>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</si>
  <si>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</si>
  <si>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</si>
  <si>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</si>
  <si>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</si>
  <si>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</si>
  <si>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롯과 갈라서다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</si>
  <si>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아브람의 아내 사래의 연고로 바로와 그 집에 큰 재앙을 내리신지라</t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</si>
  <si>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</si>
  <si>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</si>
  <si>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</si>
  <si>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</si>
  <si>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</si>
  <si>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</si>
  <si>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</si>
  <si>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</si>
  <si>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롯을 구하고 멜기세덱을 만나다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</si>
  <si>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앞에 온 땅이 있지 아니하냐 나를 떠나라 네가 좌하면 나는 우하고 네가 우하면 나는 좌하리라</t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</si>
  <si>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</si>
  <si>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</si>
  <si>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</si>
  <si>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</si>
  <si>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</si>
  <si>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</si>
  <si>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</si>
  <si>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</si>
  <si>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</si>
  <si>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하갈과 이스마엘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</si>
  <si>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 대적을 네 손에 붙이신 지극히 높으신 하나님을 찬송할지로다 하매 아브람이 그 얻은 것에서 십분 일을 멜기세덱에게 주었더라</t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</si>
  <si>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</si>
  <si>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</si>
  <si>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</si>
  <si>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</si>
  <si>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</si>
  <si>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</si>
  <si>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</si>
  <si>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</si>
  <si>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</si>
  <si>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</si>
  <si>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밤하늘 가득한 별을 올려다보는 노인의 얼굴</t>
  </si>
  <si>
    <t xml:space="preserve">아브람이 여호와를 믿으니 여호와께서 이를 그의 의로 여기시고</t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</si>
  <si>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</si>
  <si>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</si>
  <si>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</si>
  <si>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</si>
  <si>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</si>
  <si>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</si>
  <si>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</si>
  <si>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</si>
  <si>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</si>
  <si>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</si>
  <si>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하갈이 자기에게 이르신 여호와의 이름을 감찰하시는 하나님이라 하였으니 이는 내가 어떻게 여기서 나를 감찰하시는 하나님을 뵈었는고 함이라</t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</si>
  <si>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</si>
  <si>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</si>
  <si>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</si>
  <si>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</si>
  <si>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</si>
  <si>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</si>
  <si>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</si>
  <si>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</si>
  <si>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</si>
  <si>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이제 후로는 네 이름을 아브람이라 하지 아니하고 아브라함이라 하리니 이는 내가 너로 열국의 아비가 되게 함이니라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</si>
  <si>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</si>
  <si>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</si>
  <si>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</si>
  <si>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</si>
  <si>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</si>
  <si>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</si>
  <si>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</si>
  <si>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</si>
  <si>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</si>
  <si>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</si>
  <si>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</si>
  <si>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장막 안에서 몰래 웃다가 입을 가리는 사라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</si>
  <si>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</si>
  <si>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 능치 못한 일이 있겠느냐 기한이 이를 때에 내가 네게로 돌아오리니 사라에게 아들이 있으리라</t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</si>
  <si>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</si>
  <si>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</si>
  <si>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</si>
  <si>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</si>
  <si>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</si>
  <si>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</si>
  <si>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</si>
  <si>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</si>
  <si>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</si>
  <si>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주께서 이같이 하사 의인을 악인과 함께 죽이심은 불가하오며 의인과 악인을 균등히 하심도 불가하니이다 세상을 심판하시는 이가 공의를 행하실 것이 아니니이까</t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</si>
  <si>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</si>
  <si>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19:1-38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</si>
  <si>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</si>
  <si>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</si>
  <si>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</si>
  <si>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</si>
  <si>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</si>
  <si>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</si>
  <si>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</si>
  <si>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롯의 아내는 뒤를 돌아본 고로 소금 기둥이 되었더라</t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</si>
  <si>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</si>
  <si>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</si>
  <si>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</si>
  <si>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</si>
  <si>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</si>
  <si>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</si>
  <si>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</si>
  <si>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</si>
  <si>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광야에서 우는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</si>
  <si>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꿈에 또 그에게 이르시되 네가 온전한 마음으로 이렇게 한 줄을 나도 알았으므로 너를 막아 내게 범죄하지 않게 하였나니 여인에게 가까이 못하게 함이 이 까닭이니라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</si>
  <si>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</si>
  <si>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</si>
  <si>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</si>
  <si>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</si>
  <si>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</si>
  <si>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</si>
  <si>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</si>
  <si>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19:1-38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</si>
  <si>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백 살 노인의 품에 안긴 갓난아기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</si>
  <si>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</si>
  <si>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사라가 가로되 하나님이 나로 웃게 하시니 듣는 자가 다 나와 함께 웃으리로다</t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</si>
  <si>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</si>
  <si>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</si>
  <si>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</si>
  <si>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</si>
  <si>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</si>
  <si>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</si>
  <si>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</si>
  <si>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</si>
  <si>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</si>
  <si>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그 아이의 소리를 들으시므로 하나님의 사자가 하늘에서부터 하갈을 불러 가라사대 하갈아 무슨 일이냐 두려워 말라 하나님이 거기 있는 아이의 소리를 들으셨나니</t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</si>
  <si>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</si>
  <si>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</si>
  <si>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</si>
  <si>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</si>
  <si>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</si>
  <si>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</si>
  <si>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</si>
  <si>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</si>
  <si>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</si>
  <si>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</si>
  <si>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 정상의 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덤불에 뿔이 걸린 숫양</t>
    </r>
  </si>
  <si>
    <t xml:space="preserve">아브라함이 그 땅 이름을 여호와이레라 하였으므로 오늘까지 사람들이 이르기를 여호와의 산에서 준비되리라 하더라</t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</si>
  <si>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</si>
  <si>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</si>
  <si>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</si>
  <si>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</si>
  <si>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</si>
  <si>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</si>
  <si>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</si>
  <si>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</si>
  <si>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</si>
  <si>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그 후에 아브라함이 그 아내 사라를 가나안 땅 마므레 앞 막벨라 밭 굴에 장사하였더라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마므레는 곧 헤브론이라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</si>
  <si>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</si>
  <si>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</si>
  <si>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</si>
  <si>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</si>
  <si>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</si>
  <si>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</si>
  <si>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</si>
  <si>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</si>
  <si>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</si>
  <si>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</si>
  <si>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우물가에서 낙타 열 마리에게 물을 퍼 주는 소녀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</si>
  <si>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배 속에서부터 싸운 쌍둥이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</si>
  <si>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우리 주인 아브라함의 하나님 여호와여 원컨대 오늘날 나로 순적히 만나게 하사 나의 주인 아브라함에게 은혜를 베푸시옵소서</t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</si>
  <si>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</si>
  <si>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</si>
  <si>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</si>
  <si>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</si>
  <si>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</si>
  <si>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</si>
  <si>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</si>
  <si>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</si>
  <si>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</si>
  <si>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아브라함의 죽음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</si>
  <si>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리브가를 불러 그에게 이르되 네가 이 사람과 함께 가려느냐 그가 대답하되 가겠나이다</t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</si>
  <si>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</si>
  <si>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</si>
  <si>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</si>
  <si>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</si>
  <si>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</si>
  <si>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</si>
  <si>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</si>
  <si>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</si>
  <si>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아버지의 실수를 아들도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</si>
  <si>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수가 높고 나이 많아 기운이 진하여 죽어 자기 열조에게로 돌아가매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</si>
  <si>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</si>
  <si>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</si>
  <si>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</si>
  <si>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</si>
  <si>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</si>
  <si>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</si>
  <si>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</si>
  <si>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</si>
  <si>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</si>
  <si>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형의 발꿈치를 잡고 태어나는 아기의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</si>
  <si>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</si>
  <si>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</t>
  </si>
  <si>
    <t xml:space="preserve">여호와께서 그에게 이르시되 두 국민이 네 태중에 있구나 두 민족이 네 복중에서부터 나누이리라 이 족속이 저 족속보다 강하겠고 큰 자는 어린 자를 섬기리라 하셨더라</t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</si>
  <si>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</si>
  <si>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</si>
  <si>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</si>
  <si>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</si>
  <si>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</si>
  <si>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</si>
  <si>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</si>
  <si>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</si>
  <si>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김이 오르는 붉은 팥죽 한 그릇 클로즈업</t>
  </si>
  <si>
    <t xml:space="preserve">야곱이 떡과 팥죽을 에서에게 주매 에서가 먹으며 마시고 일어나서 갔으니 에서가 장자의 명분을 경홀히 여김이었더라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</si>
  <si>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</si>
  <si>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</si>
  <si>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</si>
  <si>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</si>
  <si>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</si>
  <si>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</si>
  <si>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</si>
  <si>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</si>
  <si>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우물을 빼앗겨도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</si>
  <si>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땅에 유하면 내가 너와 함께 있어 네게 복을 주고 내가 이 모든 땅을 너와 네 자손에게 주리라 내가 네 아비 아브라함에게 맹세한 것을 이루어</t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</si>
  <si>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</si>
  <si>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</si>
  <si>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</si>
  <si>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</si>
  <si>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</si>
  <si>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</si>
  <si>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</si>
  <si>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</si>
  <si>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이삭이 거기서 옮겨 다른 우물을 팠더니 그들이 다투지 아니하였으므로 그 이름을 르호봇이라 하여 가로되 이제는 여호와께서 우리의 장소를 넓게 하셨으니 이 땅에서 우리가 번성하리로다 하였더라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</si>
  <si>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</si>
  <si>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</si>
  <si>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</si>
  <si>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</si>
  <si>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</si>
  <si>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</si>
  <si>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</si>
  <si>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</si>
  <si>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</si>
  <si>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</si>
  <si>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털 많은 염소 가죽을 팔에 두르는 야곱의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</si>
  <si>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돌베개와 하늘 사다리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</si>
  <si>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그 아비 이삭에게 가까이 가니 이삭이 만지며 가로되 음성은 야곱의 음성이나 손은 에서의 손이로다 하며</t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</si>
  <si>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</si>
  <si>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</si>
  <si>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</si>
  <si>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</si>
  <si>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</si>
  <si>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</si>
  <si>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</si>
  <si>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</si>
  <si>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</si>
  <si>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아비가 야곱에게 축복한 그 축복을 인하여 에서가 야곱을 미워하여 심중에 이르기를 아버지를 곡할 때가 가까왔은즉 내가 내 아우 야곱을 죽이리라 하였더니</t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</si>
  <si>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</si>
  <si>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</si>
  <si>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</si>
  <si>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</si>
  <si>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</si>
  <si>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</si>
  <si>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</si>
  <si>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</si>
  <si>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</si>
  <si>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</si>
  <si>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돌베개를 베고 잠든 야곱 위로 열리는 빛의 사다리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</si>
  <si>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</si>
  <si>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너와 함께 있어 네가 어디로 가든지 너를 지키며 너를 이끌어 이 땅으로 돌아오게 할지라 내가 네게 허락한 것을 다 이루기까지 너를 떠나지 아니하리라 하신지라</t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</si>
  <si>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</si>
  <si>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</si>
  <si>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</si>
  <si>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</si>
  <si>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</si>
  <si>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</si>
  <si>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</si>
  <si>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</si>
  <si>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혼인 다음 날 아침 면사포를 걷고 놀라는 야곱</t>
  </si>
  <si>
    <t xml:space="preserve">야곱이 아침에 보니 레아라 라반에게 이르되 외삼촌이 어찌하여 내게 이같이 행하셨나이까 내가 라헬을 위하여 외삼촌께 봉사하지 아니하였나이까 외삼촌이 나를 속이심은 어찜이니이까</t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</si>
  <si>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</si>
  <si>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</si>
  <si>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</si>
  <si>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</si>
  <si>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</si>
  <si>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</si>
  <si>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</si>
  <si>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</si>
  <si>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</si>
  <si>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</si>
  <si>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또 잉태하여 아들을 낳고 가로되 내가 이제는 여호와를 찬송하리로다 하고 이로 인하여 그가 그 이름을 유다라 하였고 그의 생산이 멈추었더라</t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</si>
  <si>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</si>
  <si>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</si>
  <si>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</si>
  <si>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</si>
  <si>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</si>
  <si>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</si>
  <si>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</si>
  <si>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</si>
  <si>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</si>
  <si>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'20</t>
    </r>
    <r>
      <rPr>
        <sz val="10"/>
        <color rgb="FF000000"/>
        <rFont val="WenQuanYi Zen Hei"/>
        <family val="2"/>
      </rPr>
      <t xml:space="preserve">년 만의 귀향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</si>
  <si>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라반이 그에게 이르되 여호와께서 너로 인하여 내게 복 주신 줄을 내가 깨달았노니 네가 나를 사랑스럽게 여기거든 유하라</t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</si>
  <si>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</si>
  <si>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</si>
  <si>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</si>
  <si>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</si>
  <si>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</si>
  <si>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</si>
  <si>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</si>
  <si>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</si>
  <si>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</si>
  <si>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</si>
  <si>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여호와께서 야곱에게 이르시되 네 조상의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네 족속에게로 돌아가라 내가 너와 함께 있으리라 하신지라</t>
    </r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</si>
  <si>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</si>
  <si>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</si>
  <si>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</si>
  <si>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</si>
  <si>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</si>
  <si>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</si>
  <si>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</si>
  <si>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또 미스바라 하였으니 이는 그의 말에 우리 피차 떠나 있을 때에 여호와께서 너와 나 사이에 감찰하옵소서 함이라</t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</si>
  <si>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</si>
  <si>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</si>
  <si>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</si>
  <si>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</si>
  <si>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</si>
  <si>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</si>
  <si>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</si>
  <si>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</si>
  <si>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</si>
  <si>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세겜의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</si>
  <si>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내가 주께 간구하오니 내 형의 손에서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에서의 손에서 나를 건져내시옵소서 내가 그를 두려워하옴은 그가 와서 나와 내 처자들을 칠까 겁냄이니이다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</si>
  <si>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</si>
  <si>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</si>
  <si>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</si>
  <si>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</si>
  <si>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</si>
  <si>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</si>
  <si>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</si>
  <si>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</si>
  <si>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</si>
  <si>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</si>
  <si>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강가에서 밤새 엉켜 씨름하는 두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</si>
  <si>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</si>
  <si>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사람이 가로되 네 이름을 다시는 야곱이라 부를 것이 아니요 이스라엘이라 부를 것이니 이는 네가 하나님과 사람으로 더불어 겨루어 이기었음이니라</t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</si>
  <si>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</si>
  <si>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</si>
  <si>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</si>
  <si>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</si>
  <si>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</si>
  <si>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</si>
  <si>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</si>
  <si>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</si>
  <si>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r>
      <rPr>
        <sz val="10"/>
        <color rgb="FF000000"/>
        <rFont val="WenQuanYi Zen Hei"/>
        <family val="2"/>
      </rPr>
      <t xml:space="preserve">멀리서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이끌고 달려오는 에서</t>
    </r>
  </si>
  <si>
    <t xml:space="preserve">에서가 달려와서 그를 맞아서 안고 목을 어긋맞기고 그와 입맞추고 피차 우니라</t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</si>
  <si>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</si>
  <si>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</si>
  <si>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</si>
  <si>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</si>
  <si>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</si>
  <si>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</si>
  <si>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</si>
  <si>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</si>
  <si>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</si>
  <si>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</si>
  <si>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야곱이 시므온과 레위에게 이르되 너희가 내게 화를 끼쳐 나로 이 땅 사람 곧 가나안 족속과 브리스 족속에게 냄새를 내게 하였도다 나는 수가 적은즉 그들이 모여 나를 치고 나를 죽이리니 그리하면 나와 내 집이 멸망하리라</t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</si>
  <si>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</si>
  <si>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</si>
  <si>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</si>
  <si>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</si>
  <si>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</si>
  <si>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</si>
  <si>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</si>
  <si>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</si>
  <si>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야곱이 이에 자기 집 사람과 자기와 함께한 모든 자에게 이르되 너희 중의 이방 신상을 버리고 자신을 정결케 하고 의복을 바꾸라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</si>
  <si>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</si>
  <si>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</si>
  <si>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</si>
  <si>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</si>
  <si>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</si>
  <si>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</si>
  <si>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</si>
  <si>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</si>
  <si>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에서의 후손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</si>
  <si>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죽기에 임하여 그 혼이 떠나려 할 때에 아들의 이름은 베노니라 불렀으나 그 아비가 그를 베냐민이라 불렀더라</t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</si>
  <si>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</si>
  <si>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</si>
  <si>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</si>
  <si>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</si>
  <si>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</si>
  <si>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</si>
  <si>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</si>
  <si>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</si>
  <si>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이에 에서 곧 에돔이 세일 산에 거하니라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</si>
  <si>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</si>
  <si>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</si>
  <si>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</si>
  <si>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</si>
  <si>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</si>
  <si>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</si>
  <si>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</si>
  <si>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</si>
  <si>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</si>
  <si>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</si>
  <si>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별 열한 개와 해와 달이 절하는 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</si>
  <si>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</si>
  <si>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</t>
    </r>
  </si>
  <si>
    <t xml:space="preserve">요셉이 꿈을 꾸고 자기 형들에게 고하매 그들이 그를 더욱 미워하였더라</t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</si>
  <si>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</si>
  <si>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</si>
  <si>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</si>
  <si>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</si>
  <si>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</si>
  <si>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</si>
  <si>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</si>
  <si>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</si>
  <si>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구덩이 바닥에서 위를 올려다보는 소년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</si>
  <si>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아무도 없는 집에서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</si>
  <si>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</t>
  </si>
  <si>
    <t xml:space="preserve">때에 미디안 사람 상고들이 지나는지라 그들이 요셉을 구덩이에서 끌어올리고 은 이십 개에 그를 이스마엘 사람들에게 팔매 그 상고들이 요셉을 데리고 애굽으로 갔더라</t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</si>
  <si>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</si>
  <si>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</si>
  <si>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</si>
  <si>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</si>
  <si>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</si>
  <si>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</si>
  <si>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</si>
  <si>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</si>
  <si>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</si>
  <si>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</si>
  <si>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</si>
  <si>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유다가 그것들을 알아보고 가로되 그는 나보다 옳도다 내가 그를 내 아들 셀라에게 주지 아니하였음이로다 하고 다시는 그를 가까이 하지 아니하였더라</t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</si>
  <si>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</si>
  <si>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</si>
  <si>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</si>
  <si>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</si>
  <si>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</si>
  <si>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</si>
  <si>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</si>
  <si>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</si>
  <si>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</si>
  <si>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</si>
  <si>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빈집에서 옷자락을 남기고 뛰쳐나가는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</si>
  <si>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감옥의 두 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</si>
  <si>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집에는 나보다 큰 이가 없으며 주인이 아무것도 내게 금하지 아니하였어도 금한 것은 당신뿐이니 당신은 자기 아내임이라 그런즉 내가 어찌 이 큰 악을 행하여 하나님께 득죄하리이까</t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</si>
  <si>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</si>
  <si>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</si>
  <si>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</si>
  <si>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</si>
  <si>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</si>
  <si>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</si>
  <si>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</si>
  <si>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</si>
  <si>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</si>
  <si>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감옥 창살 사이로 비치는 빛 아래 꿈 이야기를 듣는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</si>
  <si>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살진 소와 마른 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</si>
  <si>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그에게 이르되 우리가 꿈을 꾸었으나 이를 해석할 자가 없도다 요셉이 그들에게 이르되 해석은 하나님께 있지 아니하니이까 청컨대 내게 고하소서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</si>
  <si>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</si>
  <si>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</si>
  <si>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</si>
  <si>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</si>
  <si>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</si>
  <si>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</si>
  <si>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</si>
  <si>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</si>
  <si>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강에서 올라와 살진 소를 삼키는 마른 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</si>
  <si>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만에 총리로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</si>
  <si>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바로에게 대답하여 가로되 이는 내게 있는 것이 아니라 하나님이 바로에게 평안한 대답을 하시리이다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</si>
  <si>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</si>
  <si>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</si>
  <si>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</si>
  <si>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</si>
  <si>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</si>
  <si>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</si>
  <si>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</si>
  <si>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</si>
  <si>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죄수복에서 금 목걸이를 건 총리로 바뀌는 장면</t>
  </si>
  <si>
    <t xml:space="preserve">차자의 이름을 에브라임이라 하였으니 하나님이 나로 나의 수고한 땅에서 창성하게 하셨다 함이었더라</t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</si>
  <si>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</si>
  <si>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</si>
  <si>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</si>
  <si>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</si>
  <si>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</si>
  <si>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</si>
  <si>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</si>
  <si>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</si>
  <si>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</si>
  <si>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</si>
  <si>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총리 앞에 엎드린 열 명의 형들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</si>
  <si>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은잔 사건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</si>
  <si>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요셉이 나라의 총리로서 그 땅 모든 백성에게 팔더니 요셉의 형들이 와서 그 앞에서 땅에 엎드려 절하매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</si>
  <si>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</si>
  <si>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</si>
  <si>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</si>
  <si>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</si>
  <si>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</si>
  <si>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</si>
  <si>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</si>
  <si>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</si>
  <si>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</si>
  <si>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요셉이 살아 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</si>
  <si>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아우를 인하여 마음이 타는 듯하므로 급히 울 곳을 찾아 안방으로 들어가서 울고</t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</si>
  <si>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</si>
  <si>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</si>
  <si>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</si>
  <si>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</si>
  <si>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</si>
  <si>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</si>
  <si>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</si>
  <si>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</si>
  <si>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</si>
  <si>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</si>
  <si>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베냐민의 자루에서 굴러 나오는 은잔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</si>
  <si>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</si>
  <si>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청컨대 주의 종으로 아이를 대신하여 있어서 주의 종이 되게 하시고 아이는 형제와 함께 도로 올려 보내소서</t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</si>
  <si>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</si>
  <si>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</si>
  <si>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</si>
  <si>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</si>
  <si>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</si>
  <si>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</si>
  <si>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</si>
  <si>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r>
      <rPr>
        <sz val="10"/>
        <color rgb="FF000000"/>
        <rFont val="WenQuanYi Zen Hei"/>
        <family val="2"/>
      </rPr>
      <t xml:space="preserve">총리가 소리 내어 울며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순간</t>
    </r>
  </si>
  <si>
    <t xml:space="preserve">당신들이 나를 이 곳에 팔았으므로 근심하지 마소서 한탄하지 마소서 하나님이 생명을 구원하시려고 나를 당신들 앞서 보내셨나이다</t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</si>
  <si>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</si>
  <si>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</si>
  <si>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</si>
  <si>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</si>
  <si>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</si>
  <si>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</si>
  <si>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</si>
  <si>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</si>
  <si>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</si>
  <si>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바로를 축복한 노인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</si>
  <si>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나는 하나님이라 네 아비의 하나님이니 애굽으로 내려가기를 두려워 말라 내가 거기서 너로 큰 민족을 이루게 하리라</t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</si>
  <si>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</si>
  <si>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</si>
  <si>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</si>
  <si>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</si>
  <si>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</si>
  <si>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</si>
  <si>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</si>
  <si>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</si>
  <si>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기근 속의 총리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</si>
  <si>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바로에게 고하되 내 나그네 길의 세월이 일백삼십 년이니이다 나의 연세가 얼마 못되니 우리 조상의 나그네 길의 세월에 미치지 못하나 험악한 세월을 보내었나이다 하고</t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</si>
  <si>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</si>
  <si>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</si>
  <si>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</si>
  <si>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</si>
  <si>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</si>
  <si>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</si>
  <si>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</si>
  <si>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엇갈린 두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</si>
  <si>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가로되 주께서 우리를 살리셨사오니 우리가 주께 은혜를 입고 바로의 종이 되겠나이다</t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</si>
  <si>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</si>
  <si>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</si>
  <si>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</si>
  <si>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</si>
  <si>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</si>
  <si>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</si>
  <si>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</si>
  <si>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</si>
  <si>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야곱의 장례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</si>
  <si>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이스라엘이 우수를 펴서 차자 에브라임의 머리에 얹고 좌수를 펴서 므낫세의 머리에 얹으니 므낫세는 장자라도 팔을 어긋맞겨 얹었더라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</si>
  <si>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</si>
  <si>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</si>
  <si>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</si>
  <si>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</si>
  <si>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</si>
  <si>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</si>
  <si>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</si>
  <si>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</si>
  <si>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</si>
  <si>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</si>
  <si>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임종 자리에서 열두 아들에게 손을 뻗는 야곱</t>
  </si>
  <si>
    <t xml:space="preserve">홀이 유다를 떠나지 아니하며 치리자의 지팡이가 그 발 사이에서 떠나지 아니하시기를 실로가 오시기까지 미치리니 그에게 모든 백성이 복종하리로다</t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</si>
  <si>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</si>
  <si>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</si>
  <si>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</si>
  <si>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</si>
  <si>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</si>
  <si>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</si>
  <si>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</si>
  <si>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</si>
  <si>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</si>
  <si>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사십 일이 걸렸으니 향 재료를 넣는 데는 이 날수가 걸림이며 애굽 사람들은 칠십 일 동안 그를 위하여 곡하였더라</t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</si>
  <si>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</si>
  <si>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</si>
  <si>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</si>
  <si>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</si>
  <si>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</si>
  <si>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</si>
  <si>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</si>
  <si>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</si>
  <si>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</si>
  <si>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무릎 꿇은 형들을 일으켜 세우는 요셉의 손</t>
  </si>
  <si>
    <t xml:space="preserve">당신들은 나를 해하려 하였으나 하나님은 그것을 선으로 바꾸사 오늘과 같이 만민의 생명을 구원하게 하시려 하셨나니</t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</si>
  <si>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</si>
  <si>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</si>
  <si>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</si>
  <si>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</si>
  <si>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</si>
  <si>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</si>
  <si>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</si>
  <si>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</si>
  <si>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</si>
  <si>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</si>
  <si>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</si>
  <si>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벽돌을 나르는 노예들 위로 내리치는 감독의 그림자</t>
  </si>
  <si>
    <t xml:space="preserve">그러나 산파들이 하나님을 두려워하여 애굽 왕의 명을 어기고 남자를 살린지라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</si>
  <si>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</si>
  <si>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</si>
  <si>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</si>
  <si>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</si>
  <si>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</si>
  <si>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</si>
  <si>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</si>
  <si>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</si>
  <si>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갈대 사이로 떠내려가는 작은 바구니</t>
  </si>
  <si>
    <t xml:space="preserve">그 아이가 자라매 바로의 딸에게로 데려가니 그의 아들이 되니라 그가 그 이름을 모세라 하여 가로되 이는 내가 그를 물에서 건져내었음이라 하였더라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</si>
  <si>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</si>
  <si>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</si>
  <si>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</si>
  <si>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</si>
  <si>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</si>
  <si>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</si>
  <si>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</si>
  <si>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</si>
  <si>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</si>
  <si>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광야로 홀로 도망치는 왕자의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</si>
  <si>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불붙은 떨기나무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</si>
  <si>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</t>
  </si>
  <si>
    <t xml:space="preserve">하나님이 그 고통 소리를 들으시고 아브라함과 이삭과 야곱에게 세운 그 언약을 기억하사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</si>
  <si>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</si>
  <si>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</si>
  <si>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</si>
  <si>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</si>
  <si>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</si>
  <si>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</si>
  <si>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</si>
  <si>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</si>
  <si>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</si>
  <si>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불타는데 타지 않는 떨기나무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</si>
  <si>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</si>
  <si>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이리로 가까이 하지 말라 너의 선 곳은 거룩한 땅이니 네 발에서 신을 벗으라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</si>
  <si>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</si>
  <si>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</si>
  <si>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</si>
  <si>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</si>
  <si>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</si>
  <si>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</si>
  <si>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</si>
  <si>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</si>
  <si>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모세가 던진 지팡이가 뱀으로 변하는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</si>
  <si>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</si>
  <si>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모세에게 이르시되 나는 스스로 있는 자니라 또 이르시되 너는 이스라엘 자손에게 이같이 이르기를 스스로 있는 자가 나를 너희에게 보내셨다 하라</t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</si>
  <si>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</si>
  <si>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</si>
  <si>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</si>
  <si>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</si>
  <si>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</si>
  <si>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</si>
  <si>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</si>
  <si>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</si>
  <si>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</si>
  <si>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</si>
  <si>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여호와니라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</si>
  <si>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백성이 믿으며 여호와께서 이스라엘 자손을 돌아보시고 그 고난을 감찰하셨다 함을 듣고 머리 숙여 경배하였더라</t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</si>
  <si>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</si>
  <si>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</si>
  <si>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</si>
  <si>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</si>
  <si>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</si>
  <si>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</si>
  <si>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</si>
  <si>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</si>
  <si>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</si>
  <si>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바로의 왕좌 앞에 선 두 노인</t>
  </si>
  <si>
    <t xml:space="preserve">바로가 가로되 여호와가 누구관대 내가 그 말을 듣고 이스라엘을 보내겠느냐 나는 여호와를 알지 못하니 이스라엘도 보내지 아니하리라</t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</si>
  <si>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</si>
  <si>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</si>
  <si>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</si>
  <si>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</si>
  <si>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</si>
  <si>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</si>
  <si>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</si>
  <si>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</si>
  <si>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너희로 내 백성을 삼고 나는 너희 하나님이 되리니 나는 애굽 사람의 무거운 짐 밑에서 너희를 빼어낸 너희 하나님 여호와인 줄 너희가 알지라</t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</si>
  <si>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</si>
  <si>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</si>
  <si>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</si>
  <si>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</si>
  <si>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</si>
  <si>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</si>
  <si>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</si>
  <si>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</si>
  <si>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</si>
  <si>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</si>
  <si>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</si>
  <si>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술사들의 뱀을 삼키는 아론의 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</si>
  <si>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피로 변한 나일강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</si>
  <si>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각 사람이 지팡이를 던지매 뱀이 되었으나 아론의 지팡이가 그들의 지팡이를 삼키니라</t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</si>
  <si>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</si>
  <si>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</si>
  <si>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</si>
  <si>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</si>
  <si>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</si>
  <si>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</si>
  <si>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</si>
  <si>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</si>
  <si>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지팡이가 닿자 붉게 변하는 나일강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</si>
  <si>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</si>
  <si>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이같이 이르노니 네가 이로 인하여 나를 여호와인 줄 알리라 하셨느니라 볼지어다 내가 내 손의 지팡이로 하수를 치면 그것이 피로 변하고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</si>
  <si>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</si>
  <si>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</si>
  <si>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</si>
  <si>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</si>
  <si>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</si>
  <si>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</si>
  <si>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</si>
  <si>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</si>
  <si>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왕의 침대 위로 뛰어오르는 개구리 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</si>
  <si>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문설주의 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</si>
  <si>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내일이니라 모세가 가로되 왕의 말씀대로 하여 왕으로 우리 하나님 여호와와 같은 이가 없는 줄을 알게 하리니</t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</si>
  <si>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</si>
  <si>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</si>
  <si>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</si>
  <si>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</si>
  <si>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</si>
  <si>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</si>
  <si>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</si>
  <si>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</si>
  <si>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</si>
  <si>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</si>
  <si>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가축 돌림병과 악성 종기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</si>
  <si>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술객이 바로에게 고하되 이는 하나님의 권능이니이다 하나 바로의 마음이 강퍅케 되어 그들을 듣지 아니하였으니 여호와의 말씀과 같더라</t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</si>
  <si>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</si>
  <si>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</si>
  <si>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</si>
  <si>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</si>
  <si>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</si>
  <si>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</si>
  <si>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</si>
  <si>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불덩이 섞인 우박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</si>
  <si>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이스라엘의 생축과 애굽의 생축을 구별하리니 이스라엘 자손에 속한 것은 하나도 죽지 아니하리라 하셨다 하라 하시고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</si>
  <si>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</si>
  <si>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</si>
  <si>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</si>
  <si>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</si>
  <si>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</si>
  <si>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</si>
  <si>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</si>
  <si>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</si>
  <si>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너를 세웠음은 나의 능력을 네게 보이고 내 이름이 온 천하에 전파되게 하려 하였음이니라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</si>
  <si>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</si>
  <si>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</si>
  <si>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</si>
  <si>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</si>
  <si>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</si>
  <si>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</si>
  <si>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</si>
  <si>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</si>
  <si>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사흘간의 흑암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</si>
  <si>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너로 내가 애굽에서 행한 일들 곧 내가 그 가운데서 행한 표징을 네 아들과 네 자손의 귀에 전하게 하려 함이라 너희가 나를 여호와인 줄 알리라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</si>
  <si>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</si>
  <si>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</si>
  <si>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</si>
  <si>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</si>
  <si>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</si>
  <si>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</si>
  <si>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</si>
  <si>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구름 기둥과 불 기둥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</si>
  <si>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동안은 사람 사람이 서로 볼 수 없으며 자기 처소에서 일어나는 자가 없으되 이스라엘 자손의 거하는 곳에는 광명이 있었더라</t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</si>
  <si>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</si>
  <si>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</si>
  <si>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</si>
  <si>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</si>
  <si>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</si>
  <si>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</si>
  <si>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</si>
  <si>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</si>
  <si>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</si>
  <si>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</si>
  <si>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어린양의 피가 칠해진 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한밤의 정적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</si>
  <si>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</si>
  <si>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애굽 땅을 칠 때에 그 피가 너희의 거하는 집에 있어서 너희를 위하여 표적이 될지라 내가 피를 볼 때에 너희를 넘어가리니 재앙이 너희에게 내려 멸하지 아니하리라</t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</si>
  <si>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</si>
  <si>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</si>
  <si>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</si>
  <si>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</si>
  <si>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</si>
  <si>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</si>
  <si>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</si>
  <si>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</si>
  <si>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</si>
  <si>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새벽에 애굽을 떠나는 끝없는 행렬</t>
  </si>
  <si>
    <t xml:space="preserve">사백삼십 년이 마치는 그 날에 여호와의 군대가 다 애굽 땅에서 나왔은즉</t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</si>
  <si>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</si>
  <si>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</si>
  <si>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</si>
  <si>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</si>
  <si>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</si>
  <si>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</si>
  <si>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</si>
  <si>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</si>
  <si>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</si>
  <si>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</si>
  <si>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그들 앞에 행하사 낮에는 구름기둥으로 그들의 길을 인도하시고 밤에는 불기둥으로 그들에게 비취사 주야로 진행하게 하시니</t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</si>
  <si>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</si>
  <si>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</si>
  <si>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</si>
  <si>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</si>
  <si>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</si>
  <si>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</si>
  <si>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</si>
  <si>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</si>
  <si>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</si>
  <si>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</si>
  <si>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뒤로는 먼지를 일으키며 달려오는 병거들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</si>
  <si>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바다가 갈라지다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</si>
  <si>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너희를 위하여 싸우시리니 너희는 가만히 있을지니라</t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</si>
  <si>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</si>
  <si>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</si>
  <si>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</si>
  <si>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</si>
  <si>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</si>
  <si>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</si>
  <si>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</si>
  <si>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</si>
  <si>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</si>
  <si>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바다가 양쪽으로 벽처럼 갈라지는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</si>
  <si>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</si>
  <si>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바다 위로 손을 내어민대 여호와께서 큰 동풍으로 밤새도록 바닷물을 물러가게 하시니 물이 갈라져 바다가 마른 땅이 된지라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</si>
  <si>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</si>
  <si>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</si>
  <si>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</si>
  <si>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</si>
  <si>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</si>
  <si>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</si>
  <si>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</si>
  <si>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</si>
  <si>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소고를 들고 춤추는 미리암과 여인들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</si>
  <si>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</si>
  <si>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여호와는 나의 힘이요 노래시며 나의 구원이시로다 그는 나의 하나님이시니 내가 그를 찬송할 것이요 내 아비의 하나님이시니 내가 그를 높이리로다</t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</si>
  <si>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</si>
  <si>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</si>
  <si>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</si>
  <si>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</si>
  <si>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</si>
  <si>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</si>
  <si>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</si>
  <si>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</si>
  <si>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혼자 다 하려다 지친 리더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</si>
  <si>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</t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</si>
  <si>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</si>
  <si>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</si>
  <si>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</si>
  <si>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</si>
  <si>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</si>
  <si>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</si>
  <si>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</si>
  <si>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</si>
  <si>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</si>
  <si>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</si>
  <si>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아침 이슬 위에 하얗게 깔린 만나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</si>
  <si>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반석에서 물이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</si>
  <si>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</t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</si>
  <si>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</si>
  <si>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</si>
  <si>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</si>
  <si>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</si>
  <si>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</si>
  <si>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</si>
  <si>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</si>
  <si>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</si>
  <si>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</si>
  <si>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지팡이로 친 바위에서 물이 터져 나오는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</si>
  <si>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</si>
  <si>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거기서 호렙 산 반석 위에 너를 대하여 서리니 너는 반석을 치라 그것에서 물이 나리니 백성이 마시리라 모세가 이스라엘 장로들의 목전에서 그대로 행하니라</t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</si>
  <si>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</si>
  <si>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</si>
  <si>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</si>
  <si>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</si>
  <si>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</si>
  <si>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</si>
  <si>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</si>
  <si>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</si>
  <si>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</si>
  <si>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돌 위에 앉아 두 사람에게 팔을 붙들린 모세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</si>
  <si>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여호수아</t>
    </r>
  </si>
  <si>
    <t xml:space="preserve">모세가 손을 들면 이스라엘이 이기고 손을 내리면 아말렉이 이기더니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</si>
  <si>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</si>
  <si>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</si>
  <si>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</si>
  <si>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</si>
  <si>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</si>
  <si>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</si>
  <si>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</si>
  <si>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</si>
  <si>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</si>
  <si>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그대와 그대와 함께한 이 백성이 필연 기력이 쇠하리니 이 일이 그대에게 너무 중함이라 그대가 혼자 할 수 없으리라</t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</si>
  <si>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</si>
  <si>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</si>
  <si>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</si>
  <si>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</si>
  <si>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</si>
  <si>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</si>
  <si>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</si>
  <si>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</si>
  <si>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</si>
  <si>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</si>
  <si>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</si>
  <si>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번개와 연기로 뒤덮여 흔들리는 시내산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</si>
  <si>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① 하나님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</si>
  <si>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세계가 다 내게 속하였나니 너희가 내 말을 잘 듣고 내 언약을 지키면 너희는 열국 중에서 내 소유가 되겠고</t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</si>
  <si>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</si>
  <si>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</si>
  <si>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</si>
  <si>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</si>
  <si>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</si>
  <si>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</si>
  <si>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</si>
  <si>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</si>
  <si>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불꽃 속에서 돌판에 새겨지는 첫 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</si>
  <si>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</si>
  <si>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너는 나 외에는 다른 신들을 네게 있게 말지니라</t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</si>
  <si>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</si>
  <si>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</si>
  <si>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</si>
  <si>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</si>
  <si>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</si>
  <si>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</si>
  <si>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</si>
  <si>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두 돌판을 품에 안고 산을 내려오는 모세</t>
  </si>
  <si>
    <t xml:space="preserve">네 부모를 공경하라 그리하면 너의 하나님 나 여호와가 네게 준 땅에서 네 생명이 길리라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</si>
  <si>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</si>
  <si>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</si>
  <si>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</si>
  <si>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</si>
  <si>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</si>
  <si>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</si>
  <si>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</si>
  <si>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</si>
  <si>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</si>
  <si>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</si>
  <si>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이방 나그네를 압제하지 말라 너희가 애굽 땅에서 나그네 되었었은즉 나그네의 정경을 아느니라</t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</si>
  <si>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</si>
  <si>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</si>
  <si>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</si>
  <si>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</si>
  <si>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</si>
  <si>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</si>
  <si>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</si>
  <si>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</si>
  <si>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</si>
  <si>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모세가 그 피를 취하여 백성에게 뿌려 가로되 이는 여호와께서 이 모든 말씀에 대하여 너희와 세우신 언약의 피니라</t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</si>
  <si>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</si>
  <si>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</si>
  <si>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</si>
  <si>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</si>
  <si>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</si>
  <si>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</si>
  <si>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</si>
  <si>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</si>
  <si>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</si>
  <si>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한가운데 빛나는 언약궤</t>
  </si>
  <si>
    <t xml:space="preserve">내가 그들 중에 거할 성소를 그들을 시켜 나를 위하여 짓되</t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</si>
  <si>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</si>
  <si>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</si>
  <si>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</si>
  <si>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</si>
  <si>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</si>
  <si>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</si>
  <si>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</si>
  <si>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</si>
  <si>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</si>
  <si>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</si>
  <si>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아론이 성소에 들어갈 때에는 이스라엘 아들들의 이름을 기록한 이 판결 흉패를 가슴에 붙여 여호와 앞에 영원한 기념을 삼을 것이니라</t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</si>
  <si>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</si>
  <si>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</si>
  <si>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</si>
  <si>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</si>
  <si>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</si>
  <si>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</si>
  <si>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</si>
  <si>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</si>
  <si>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</si>
  <si>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하나님의 신을 그에게 충만하게 하여 지혜와 총명과 지식과 여러 가지 재주로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</si>
  <si>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</si>
  <si>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</si>
  <si>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</si>
  <si>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</si>
  <si>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</si>
  <si>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</si>
  <si>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</si>
  <si>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</si>
  <si>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</si>
  <si>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</si>
  <si>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</si>
  <si>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 속에서 녹아내린 금이 송아지 모양이 되는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</si>
  <si>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</si>
  <si>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아론이 그들의 손에서 그 고리를 받아 부어서 각도로 새겨 송아지 형상을 만드니 그들이 말하되 이스라엘아 이는 너희를 애굽 땅에서 인도하여 낸 너희 신이로다 하는지라</t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</si>
  <si>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</si>
  <si>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</si>
  <si>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</si>
  <si>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</si>
  <si>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</si>
  <si>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</si>
  <si>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</si>
  <si>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</si>
  <si>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</si>
  <si>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</si>
  <si>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 영광을 보여 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</si>
  <si>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모세가 진문에 서서 가로되 누구든지 여호와의 편에 있는 자는 내게로 나아오라 하매 레위 자손이 다 모여 그에게로 오는지라</t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</si>
  <si>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</si>
  <si>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</si>
  <si>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</si>
  <si>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</si>
  <si>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</si>
  <si>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</si>
  <si>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</si>
  <si>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</si>
  <si>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</si>
  <si>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</si>
  <si>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가라사대 내가 친히 가리라 내가 너로 편케 하리라</t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</si>
  <si>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</si>
  <si>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</si>
  <si>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</si>
  <si>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</si>
  <si>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</si>
  <si>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</si>
  <si>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</si>
  <si>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여호와께서 그의 앞으로 지나시며 반포하시되 여호와로라 여호와로라 자비롭고 은혜롭고 노하기를 더디하고 인자와 진실이 많은 하나님이로라</t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</si>
  <si>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</si>
  <si>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</si>
  <si>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</si>
  <si>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</si>
  <si>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</si>
  <si>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</si>
  <si>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</si>
  <si>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</si>
  <si>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모세에게 고하여 가로되 백성이 너무 많이 가져오므로 여호와의 명하신 일에 쓰기에 남음이 있나이다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</si>
  <si>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</si>
  <si>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</si>
  <si>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</si>
  <si>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</si>
  <si>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</si>
  <si>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</si>
  <si>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</si>
  <si>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</si>
  <si>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모세가 그 필한 모든 것을 본즉 여호와께서 명하신 대로 되었으므로 그들에게 축복하였더라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</si>
  <si>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</si>
  <si>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</si>
  <si>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</si>
  <si>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</si>
  <si>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</si>
  <si>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</si>
  <si>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</si>
  <si>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</si>
  <si>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완성된 성막 위로 내려앉는 구름</t>
  </si>
  <si>
    <t xml:space="preserve">그 후에 구름이 회막에 덮이고 여호와의 영광이 성막에 충만하매</t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</si>
  <si>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</si>
  <si>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</si>
  <si>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</si>
  <si>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</si>
  <si>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</si>
  <si>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</si>
  <si>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</si>
  <si>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</si>
  <si>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</si>
  <si>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</si>
  <si>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</si>
  <si>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</si>
  <si>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</si>
  <si>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번제물의 머리에 안수할지니 그리하면 열납되어 그를 위하여 속죄가 될 것이라</t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</si>
  <si>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</si>
  <si>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</si>
  <si>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</si>
  <si>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</si>
  <si>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</si>
  <si>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</si>
  <si>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</si>
  <si>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</si>
  <si>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그 송아지를 속죄제의 수송아지에게 한 것같이 할지며 제사장이 그것으로 회중을 위하여 속죄한즉 그들이 사함을 얻으리라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</si>
  <si>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</si>
  <si>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8:1-10:20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</si>
  <si>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</si>
  <si>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</si>
  <si>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</si>
  <si>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</si>
  <si>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</si>
  <si>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</si>
  <si>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</si>
  <si>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모세가 아론에게 이르되 이는 여호와의 말씀이라 이르시기를 나는 나를 가까이 하는 자 중에 내가 거룩하다 함을 얻겠고 온 백성 앞에 내가 영광을 얻으리라 하셨느니라 아론이 잠잠하니</t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</si>
  <si>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</si>
  <si>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</si>
  <si>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</si>
  <si>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</si>
  <si>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</si>
  <si>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</si>
  <si>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</si>
  <si>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나는 너희의 하나님이 되려고 너희를 애굽 땅에서 인도하여 낸 여호와라 내가 거룩하니 너희도 거룩할지어다</t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</si>
  <si>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</si>
  <si>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</si>
  <si>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</si>
  <si>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</si>
  <si>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</si>
  <si>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</si>
  <si>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</si>
  <si>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</si>
  <si>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</si>
  <si>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8:1-10:20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</si>
  <si>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휘장을 걷고 홀로 지성소로 들어가는 대제사장</t>
  </si>
  <si>
    <t xml:space="preserve">이 날에 너희를 위하여 속죄하여 너희로 정결케 하리니 너희 모든 죄에서 너희가 여호와 앞에 정결하리라</t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</si>
  <si>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</si>
  <si>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</si>
  <si>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</si>
  <si>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</si>
  <si>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</si>
  <si>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</si>
  <si>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</si>
  <si>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</si>
  <si>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육체의 생명은 피에 있음이라 내가 이 피를 너희에게 주어 단에 뿌려 너희의 생명을 위하여 속하게 하였나니 생명이 피에 있으므로 피가 죄를 속하느니라</t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</si>
  <si>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</si>
  <si>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</si>
  <si>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</si>
  <si>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</si>
  <si>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</si>
  <si>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</si>
  <si>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</si>
  <si>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원수를 갚지 말며 동포를 원망하지 말며 이웃 사랑하기를 네 몸과 같이 하라 나는 여호와니라</t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</si>
  <si>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</si>
  <si>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</si>
  <si>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</si>
  <si>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</si>
  <si>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</si>
  <si>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</si>
  <si>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</si>
  <si>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</si>
  <si>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너희는 내게 거룩할지어다 이는 나 여호와가 거룩하고 내가 또 너희로 나의 소유를 삼으려고 너희를 만민 중에서 구별하였음이니라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</si>
  <si>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</si>
  <si>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</si>
  <si>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</si>
  <si>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</si>
  <si>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</si>
  <si>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</si>
  <si>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</si>
  <si>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</si>
  <si>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</si>
  <si>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이스라엘 자손에게 고하여 이르라 너희가 공포하여 성회를 삼을 여호와의 절기는 이러하니라</t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</si>
  <si>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</si>
  <si>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</si>
  <si>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</si>
  <si>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</si>
  <si>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</si>
  <si>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</si>
  <si>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</si>
  <si>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이스라엘 자손에게 명하여 감람을 찧어 낸 순결한 기름을 켜기 위하여 네게로 가져오게 하고 끊이지 말고 등잔불을 켤지며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</si>
  <si>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</si>
  <si>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</si>
  <si>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</si>
  <si>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</si>
  <si>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</si>
  <si>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</si>
  <si>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</si>
  <si>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</si>
  <si>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제 오십 년을 거룩하게 하여 전국 거민에게 자유를 공포하라 이 해는 너희에게 희년이니 너희는 각각 그 기업으로 돌아가며 각각 그 가족에게로 돌아갈지며</t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</si>
  <si>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</si>
  <si>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</si>
  <si>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</si>
  <si>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</si>
  <si>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</si>
  <si>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</si>
  <si>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</si>
  <si>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나는 너희 중에 행하여 너희 하나님이 되고 너희는 나의 백성이 될 것이니라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</si>
  <si>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</si>
  <si>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</si>
  <si>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</si>
  <si>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</si>
  <si>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</si>
  <si>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</si>
  <si>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</si>
  <si>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</si>
  <si>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</si>
  <si>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</si>
  <si>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</si>
  <si>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이스라엘 자손은 각각 그 기와 그 종족의 기호 곁에 진을 치되 회막을 사면으로 대하여 치라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</si>
  <si>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</si>
  <si>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</si>
  <si>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</si>
  <si>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</si>
  <si>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</si>
  <si>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</si>
  <si>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</si>
  <si>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</si>
  <si>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여호와는 네게 복을 주시고 너를 지키시기를 원하며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</si>
  <si>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</si>
  <si>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</si>
  <si>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</si>
  <si>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</si>
  <si>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</si>
  <si>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</si>
  <si>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</si>
  <si>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나팔과 출발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</si>
  <si>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구름이 성막에서 떠오르는 때에는 이스라엘 자손이 곧 진행하였고 구름이 머무는 곳에 이스라엘 자손이 진을 쳤으니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</si>
  <si>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</si>
  <si>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</si>
  <si>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</si>
  <si>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</si>
  <si>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</si>
  <si>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</si>
  <si>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</si>
  <si>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</si>
  <si>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만나가 지겹다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</si>
  <si>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궤가 떠날 때에는 모세가 가로되 여호와여 일어나사 주의 대적들을 흩으시고 주를 미워하는 자로 주의 앞에서 도망하게 하소서 하였고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</si>
  <si>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</si>
  <si>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</si>
  <si>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</si>
  <si>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</si>
  <si>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</si>
  <si>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</si>
  <si>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</si>
  <si>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</si>
  <si>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모세를 비방한 누나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</si>
  <si>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모세에게 이르시되 여호와의 손이 짧아졌느냐 네가 이제 내 말이 네게 응하는 여부를 보리라</t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</si>
  <si>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</si>
  <si>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</si>
  <si>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</si>
  <si>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</si>
  <si>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</si>
  <si>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</si>
  <si>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</si>
  <si>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</si>
  <si>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</si>
  <si>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이 사람 모세는 온유함이 지면의 모든 사람보다 승하더라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</si>
  <si>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</si>
  <si>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</si>
  <si>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</si>
  <si>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</si>
  <si>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</si>
  <si>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</si>
  <si>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</si>
  <si>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</si>
  <si>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</si>
  <si>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 사람이 장대에 메고 오는 거대한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</si>
  <si>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</si>
  <si>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여호수아</t>
  </si>
  <si>
    <t xml:space="preserve">갈렙이 모세 앞에서 백성을 안돈시켜 가로되 우리가 곧 올라가서 그 땅을 취하자 능히 이기리라 하나</t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</si>
  <si>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</si>
  <si>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</si>
  <si>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</si>
  <si>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</si>
  <si>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</si>
  <si>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</si>
  <si>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</si>
  <si>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</si>
  <si>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약속의 땅을 등지고 다시 광야로 돌아서는 행렬</t>
  </si>
  <si>
    <t xml:space="preserve">오직 내 종 갈렙은 그 마음이 그들과 달라서 나를 온전히 좇았은즉 그의 갔던 땅으로 내가 그를 인도하여 들이리니 그 자손이 그 땅을 차지하리라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</si>
  <si>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</si>
  <si>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</si>
  <si>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</si>
  <si>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</si>
  <si>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</si>
  <si>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</si>
  <si>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</si>
  <si>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</si>
  <si>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 술은 너희로 보고 여호와의 모든 계명을 기억하여 준행하고 너희로 방종케 하는 자기의 마음과 눈의 욕심을 좇지 않게 하기 위함이라</t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</si>
  <si>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</si>
  <si>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</si>
  <si>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</si>
  <si>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</si>
  <si>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</si>
  <si>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</si>
  <si>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</si>
  <si>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</si>
  <si>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</si>
  <si>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싹 난 지팡이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</si>
  <si>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가로되 여호와께서 나를 보내사 이 모든 일을 행케 하신 것이요 나의 임의로 함이 아닌 줄을 이 일로 인하여 알리라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</si>
  <si>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</si>
  <si>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</si>
  <si>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</si>
  <si>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</si>
  <si>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</si>
  <si>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</si>
  <si>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</si>
  <si>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</si>
  <si>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이튿날 모세가 증거의 장막에 들어가 본즉 레위 집을 위하여 낸 아론의 지팡이에 움이 돋고 순이 나고 꽃이 피어서 살구 열매가 열렸더라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</si>
  <si>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</si>
  <si>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</si>
  <si>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</si>
  <si>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</si>
  <si>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</si>
  <si>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</si>
  <si>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</si>
  <si>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</si>
  <si>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</si>
  <si>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이에 정한 자가 암송아지의 재를 거두어 진 밖 정한 곳에 둘지니 이것은 이스라엘 자손 회중을 위하여 간직하였다가 부정을 깨끗케 하는 물을 만드는 데 쓸 것이니 곧 속죄제니라</t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</si>
  <si>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</si>
  <si>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</si>
  <si>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</si>
  <si>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</si>
  <si>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</si>
  <si>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</si>
  <si>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</si>
  <si>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시혼과 옥을 이기다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</si>
  <si>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모세와 아론에게 이르시되 너희가 나를 믿지 아니하고 이스라엘 자손의 목전에 나의 거룩함을 나타내지 아니한 고로 너희는 이 총회를 내가 그들에게 준 땅으로 인도하여 들이지 못하리라 하시니라</t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</si>
  <si>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</si>
  <si>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</si>
  <si>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</si>
  <si>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</si>
  <si>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</si>
  <si>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</si>
  <si>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</si>
  <si>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</si>
  <si>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</si>
  <si>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</si>
  <si>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장대 위에 높이 들린 놋뱀</t>
  </si>
  <si>
    <t xml:space="preserve">여호와께서 모세에게 이르시되 불뱀을 만들어 장대 위에 달라 물린 자마다 그것을 보면 살리라</t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</si>
  <si>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</si>
  <si>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</si>
  <si>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</si>
  <si>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</si>
  <si>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</si>
  <si>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</si>
  <si>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</si>
  <si>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</si>
  <si>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</si>
  <si>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</si>
  <si>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모세에게 이르시되 그를 두려워 말라 내가 그와 그 백성과 그 땅을 네 손에 붙였나니 너는 헤스본에 거하던 아모리인의 왕 시혼에게 행한 것같이 그에게도 행할지니라</t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</si>
  <si>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</si>
  <si>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</si>
  <si>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</si>
  <si>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</si>
  <si>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</si>
  <si>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</si>
  <si>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</si>
  <si>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</si>
  <si>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</si>
  <si>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</si>
  <si>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길에 주저앉은 나귀가 주인을 돌아보며 입을 여는 순간</t>
  </si>
  <si>
    <t xml:space="preserve">여호와께서 나귀 입을 여시니 발람에게 이르되 내가 네게 무엇을 하였기에 나를 이같이 세 번을 때리느뇨</t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</si>
  <si>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</si>
  <si>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</si>
  <si>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</si>
  <si>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</si>
  <si>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</si>
  <si>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</si>
  <si>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</si>
  <si>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</si>
  <si>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</si>
  <si>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</si>
  <si>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그를 보아도 이 때의 일이 아니며 내가 그를 바라보아도 가까운 일이 아니로다 한 별이 야곱에게서 나오며 한 홀이 이스라엘에게서 일어나서 모압을 이편에서 저편까지 쳐서 파하고 또 소동하는 자식들을 다 멸하리로다</t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</si>
  <si>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</si>
  <si>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</si>
  <si>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</si>
  <si>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</si>
  <si>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</si>
  <si>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</si>
  <si>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</si>
  <si>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</si>
  <si>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</si>
  <si>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제사장 아론의 손자 엘르아살의 아들 비느하스가 나의 질투심으로 질투하여 이스라엘 자손 중에서 나의 노를 돌이켜서 나의 질투심으로 그들을 진멸하지 않게 하였도다</t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</si>
  <si>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</si>
  <si>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</si>
  <si>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</si>
  <si>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</si>
  <si>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</si>
  <si>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</si>
  <si>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</si>
  <si>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</si>
  <si>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여호와께서 모세에게 이르시되 눈의 아들 여호수아는 신에 감동된 자니 너는 데려다가 그에게 안수하고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</si>
  <si>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</si>
  <si>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</si>
  <si>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</si>
  <si>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</si>
  <si>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</si>
  <si>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</si>
  <si>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사람이 여호와께 서원하였거나 마음을 제어하기로 서약하였거든 파약하지 말고 그 입에서 나온 대로 다 행할 것이니라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</si>
  <si>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</si>
  <si>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</si>
  <si>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</si>
  <si>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</si>
  <si>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</si>
  <si>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</si>
  <si>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</si>
  <si>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</si>
  <si>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</si>
  <si>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너희가 만일 그같이 아니하면 여호와께 범죄함이니 너희 죄가 정녕 너희를 찾아낼 줄 알라</t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</si>
  <si>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</si>
  <si>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</si>
  <si>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</si>
  <si>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</si>
  <si>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</si>
  <si>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</si>
  <si>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</si>
  <si>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</si>
  <si>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너희를 위하여 성읍을 도피성으로 정하여 그릇 살인한 자로 그리로 피하게 하라</t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</si>
  <si>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</si>
  <si>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</si>
  <si>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</si>
  <si>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</si>
  <si>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</si>
  <si>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</si>
  <si>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</si>
  <si>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</si>
  <si>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</si>
  <si>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광야에서도 너희가 당하였거니와 사람이 자기 아들을 안음같이 너희 하나님 여호와께서 너희의 행로 중에 너희를 안으사 이 곳까지 이르게 하셨느니라 하나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</si>
  <si>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</si>
  <si>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</si>
  <si>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</si>
  <si>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</si>
  <si>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</si>
  <si>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</si>
  <si>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</si>
  <si>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그런즉 너는 오늘날 상천 하지에 오직 여호와는 하나님이시요 다른 신이 없는 줄을 알아 명심하고</t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</si>
  <si>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</si>
  <si>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</si>
  <si>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</si>
  <si>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</si>
  <si>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</si>
  <si>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</si>
  <si>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</si>
  <si>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다만 그들이 항상 이같은 마음을 품어 나를 경외하며 나의 모든 명령을 지켜서 그들과 그 자손이 영원히 복 받기를 원하노라</t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</si>
  <si>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</si>
  <si>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</si>
  <si>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</si>
  <si>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</si>
  <si>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</si>
  <si>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</si>
  <si>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</si>
  <si>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</si>
  <si>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</si>
  <si>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</si>
  <si>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문설주에 말씀을 새기는 아버지와 지켜보는 아이</t>
  </si>
  <si>
    <t xml:space="preserve">너는 마음을 다하고 성품을 다하고 힘을 다하여 네 하나님 여호와를 사랑하라</t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</si>
  <si>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</si>
  <si>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</si>
  <si>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</si>
  <si>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</si>
  <si>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</si>
  <si>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</si>
  <si>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</si>
  <si>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</si>
  <si>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여호와께서 다만 너희를 사랑하심을 인하여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또는 너희 열조에게 하신 맹세를 지키려 하심을 인하여 자기의 권능의 손으로 너희를 인도하여 내시되 너희를 그 종 되었던 집에서 애굽 왕 바로의 손에서 속량하셨나니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</si>
  <si>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</si>
  <si>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</si>
  <si>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</si>
  <si>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</si>
  <si>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</si>
  <si>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</si>
  <si>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</si>
  <si>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</si>
  <si>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</t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</si>
  <si>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</si>
  <si>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</si>
  <si>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</si>
  <si>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</si>
  <si>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</si>
  <si>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</si>
  <si>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</si>
  <si>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그러므로 네가 알 것은 네 하나님 여호와께서 네게 이 아름다운 땅을 기업으로 주신 것이 네 의로움을 인함이 아니니라 너는 목이 곧은 백성이니라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</si>
  <si>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</si>
  <si>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</si>
  <si>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</si>
  <si>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</si>
  <si>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</si>
  <si>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</si>
  <si>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</si>
  <si>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너의 중 모든 남자는 일 년 삼차 곧 무교절과 칠칠절과 초막절에 네 하나님 여호와의 택하신 곳에서 여호와께 보이되 공수로 여호와께 보이지 말고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</si>
  <si>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</si>
  <si>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</si>
  <si>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</si>
  <si>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</si>
  <si>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</si>
  <si>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</si>
  <si>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</si>
  <si>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네 하나님 여호와께서 너의 중 네 형제 중에서 나와 같은 선지자 하나를 너를 위하여 일으키시리니 너희는 그를 들을지니라</t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</si>
  <si>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</si>
  <si>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</si>
  <si>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</si>
  <si>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</si>
  <si>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</si>
  <si>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</si>
  <si>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</si>
  <si>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네가 밭에서 곡식을 벨 때에 그 한 뭇을 밭에 잊어버렸거든 다시 가서 취하지 말고 객과 고아와 과부를 위하여 버려 두라 그리하면 네 하나님 여호와께서 네 손으로 하는 범사에 복을 내리시리라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</si>
  <si>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</si>
  <si>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</si>
  <si>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</si>
  <si>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</si>
  <si>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</si>
  <si>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</si>
  <si>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</si>
  <si>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네가 네 하나님 여호와의 말씀을 순종하면 이 모든 복이 네게 임하며 네게 미치리니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</si>
  <si>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</si>
  <si>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</si>
  <si>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</si>
  <si>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</si>
  <si>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</si>
  <si>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</si>
  <si>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</si>
  <si>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오늘날 천지를 불러서 너희에게 증거를 삼노라 내가 생명과 사망과 복과 저주를 네 앞에 두었은즉 너와 네 자손이 살기 위하여 생명을 택하고</t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</si>
  <si>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</si>
  <si>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</si>
  <si>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</si>
  <si>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</si>
  <si>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</si>
  <si>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</si>
  <si>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</si>
  <si>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</si>
  <si>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너는 마음을 강하게 하고 담대히 하라 그들을 두려워 말라 그들 앞에서 떨지 말라 이는 네 하나님 여호와 그가 너와 함께 행하실 것임이라 반드시 너를 떠나지 아니하시며 버리지 아니하시리라 하고</t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</si>
  <si>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</si>
  <si>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</si>
  <si>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</si>
  <si>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</si>
  <si>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</si>
  <si>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</si>
  <si>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</si>
  <si>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</si>
  <si>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</si>
  <si>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산꼭대기에서 약속의 땅을 내려다보는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</t>
    </r>
  </si>
  <si>
    <t xml:space="preserve">그 후에는 이스라엘에 모세와 같은 선지자가 일어나지 못하였나니 모세는 여호와께서 대면하여 아시던 자요</t>
  </si>
  <si>
    <t xml:space="preserve">A0169</t>
  </si>
  <si>
    <t xml:space="preserve">B019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</si>
  <si>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</si>
  <si>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</si>
  <si>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</si>
  <si>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</si>
  <si>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</si>
  <si>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</si>
  <si>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모세의 지팡이를 이어받아 요단강을 바라보는 여호수아</t>
  </si>
  <si>
    <t xml:space="preserve">내가 네게 명한 것이 아니냐 마음을 강하게 하고 담대히 하라 두려워 말며 놀라지 말라 네가 어디로 가든지 네 하나님 나 여호와가 너와 함께 하느니라 하시니라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</si>
  <si>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</si>
  <si>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</si>
  <si>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</si>
  <si>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</si>
  <si>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</si>
  <si>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</si>
  <si>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</si>
  <si>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</si>
  <si>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</si>
  <si>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성벽 창문에 매달린 붉은 줄</t>
  </si>
  <si>
    <t xml:space="preserve">우리가 듣자 곧 마음이 녹았고 너희의 연고로 사람이 정신을 잃었나니 너희 하나님 여호와는 상천하지에 하나님이시니라</t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</si>
  <si>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</si>
  <si>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</si>
  <si>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</si>
  <si>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</si>
  <si>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</si>
  <si>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</si>
  <si>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</si>
  <si>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</si>
  <si>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제사장의 발이 닿자 멈춰 선 강물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</si>
  <si>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무너진 여리고 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</si>
  <si>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언약궤를 멘 제사장들은 요단 가운데 마른 땅에 굳게 섰고 온 이스라엘 백성은 마른 땅으로 행하여 요단을 건너니라</t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</si>
  <si>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</si>
  <si>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</si>
  <si>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</si>
  <si>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</si>
  <si>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</si>
  <si>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</si>
  <si>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</si>
  <si>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</si>
  <si>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</si>
  <si>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</si>
  <si>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</si>
  <si>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일어서다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</si>
  <si>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아니라 나는 여호와의 군대장관으로 이제 왔느니라 여호수아가 땅에 엎드려 절하고 가로되 나의 주여 종에게 무슨 말씀을 하려 하시나이까</t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</si>
  <si>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</si>
  <si>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</si>
  <si>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</si>
  <si>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</si>
  <si>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</si>
  <si>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</si>
  <si>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</si>
  <si>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</si>
  <si>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</si>
  <si>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</si>
  <si>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나팔 소리와 함성에 무너져 내리는 성벽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</si>
  <si>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</si>
  <si>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백성은 외치고 제사장들은 나팔을 불매 백성이 나팔 소리를 듣는 동시에 크게 소리질러 외치니 성벽이 무너져 내린지라 백성이 각기 앞으로 나아가 성에 들어가서 그 성을 취하고</t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</si>
  <si>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</si>
  <si>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</si>
  <si>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</si>
  <si>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</si>
  <si>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</si>
  <si>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</si>
  <si>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</si>
  <si>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</si>
  <si>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장막 바닥 흙 속에서 드러나는 금덩이와 외투</t>
  </si>
  <si>
    <t xml:space="preserve">이스라엘이 범죄하여 내가 그들에게 명한 나의 언약을 어기었나니 곧 그들이 바친 물건을 취하고 도적하고 사기하여 자기 기구 가운데 두었느니라</t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</si>
  <si>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</si>
  <si>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</si>
  <si>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</si>
  <si>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</si>
  <si>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</si>
  <si>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</si>
  <si>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</si>
  <si>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</si>
  <si>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</si>
  <si>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여호수아에게 이르시되 두려워 말라 놀라지 말라 군사를 다 거느리고 일어나 아이로 올라가라 보라 내가 아이 왕과 그 백성과 그 성읍과 그 땅을 다 네 손에 주었노니</t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</si>
  <si>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</si>
  <si>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</si>
  <si>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</si>
  <si>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</si>
  <si>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</si>
  <si>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</si>
  <si>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</si>
  <si>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</si>
  <si>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</si>
  <si>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무리가 그들의 양식을 취하고 어떻게 할 것을 여호와께 묻지 아니하고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</si>
  <si>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</si>
  <si>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</si>
  <si>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</si>
  <si>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</si>
  <si>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</si>
  <si>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</si>
  <si>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</si>
  <si>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</si>
  <si>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</si>
  <si>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</si>
  <si>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한가운데 멈춰 선 태양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</si>
  <si>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</si>
  <si>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태양이 머물고 달이 그치기를 백성이 그 대적에게 원수를 갚도록 하였느니라 야살의 책에 기록되기를 태양이 중천에 머물러서 거의 종일토록 속히 내려가지 아니하였다 하지 아니하였느냐</t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</si>
  <si>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</si>
  <si>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</si>
  <si>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</si>
  <si>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</si>
  <si>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</si>
  <si>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</si>
  <si>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</si>
  <si>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</si>
  <si>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</si>
  <si>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</si>
  <si>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여호수아가 여호와께서 모세에게 이르신 말씀대로 그 온 땅을 취하여 이스라엘 지파의 구별을 따라 기업으로 주었더라 그 땅에 전쟁이 그쳤더라</t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</si>
  <si>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</si>
  <si>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</si>
  <si>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</si>
  <si>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</si>
  <si>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</si>
  <si>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</si>
  <si>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</si>
  <si>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</si>
  <si>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여호수아가 나이 많아 늙으매 여호와께서 그에게 이르시되 너는 나이 많아 늙었고 얻을 땅의 남은 것은 매우 많도다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</si>
  <si>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</si>
  <si>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</si>
  <si>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</si>
  <si>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</si>
  <si>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</si>
  <si>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</si>
  <si>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</si>
  <si>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</si>
  <si>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그 날에 여호와께서 말씀하신 이 산지를 내게 주소서 당신도 그 날에 들으셨거니와 그 곳에는 아낙 사람이 있고 그 성읍들은 크고 견고할지라도 여호와께서 혹시 나와 함께 하시면 내가 필경 여호와의 말씀하신 대로 그들을 쫓아내리이다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</si>
  <si>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</si>
  <si>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</si>
  <si>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</si>
  <si>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</si>
  <si>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</si>
  <si>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</si>
  <si>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</si>
  <si>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</si>
  <si>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이스라엘 자손의 온 회중이 실로에 모여서 거기 회막을 세웠으니 그 땅이 이미 그들의 앞에 돌아와 복종하였음이나</t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</si>
  <si>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</si>
  <si>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</si>
  <si>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</si>
  <si>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</si>
  <si>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</si>
  <si>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</si>
  <si>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</si>
  <si>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</si>
  <si>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여호와께서 이스라엘 족속에게 말씀하신 선한 일이 하나도 남음이 없이 다 응하였더라</t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</si>
  <si>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</si>
  <si>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</si>
  <si>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</si>
  <si>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</si>
  <si>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</si>
  <si>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</si>
  <si>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</si>
  <si>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</si>
  <si>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르우벤 자손과 갓 자손이 그 단을 엣이라 칭하였으니 우리 사이에 이 단은 여호와께서 하나님이 되시는 증거라 함이었더라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</si>
  <si>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</si>
  <si>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</si>
  <si>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</si>
  <si>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</si>
  <si>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</si>
  <si>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</si>
  <si>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</si>
  <si>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백성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노장</t>
    </r>
  </si>
  <si>
    <t xml:space="preserve">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</t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</si>
  <si>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</si>
  <si>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</si>
  <si>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</si>
  <si>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</si>
  <si>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</si>
  <si>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</si>
  <si>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</si>
  <si>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</si>
  <si>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</si>
  <si>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</si>
  <si>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</si>
  <si>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</si>
  <si>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너희는 이 땅 거민과 언약을 세우지 말며 그들의 단을 헐라 하였거늘 너희가 내 목소리를 청종치 아니하였도다 그리함은 어찜이뇨</t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</si>
  <si>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</si>
  <si>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</si>
  <si>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</si>
  <si>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</si>
  <si>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</si>
  <si>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</si>
  <si>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</si>
  <si>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그 세대 사람도 다 그 열조에게로 돌아갔고 그 후에 일어난 다른 세대는 여호와를 알지 못하며 여호와께서 이스라엘을 위하여 행하신 일도 알지 못하였더라</t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</si>
  <si>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</si>
  <si>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</si>
  <si>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</si>
  <si>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</si>
  <si>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</si>
  <si>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</si>
  <si>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</si>
  <si>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</si>
  <si>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</si>
  <si>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이스라엘 자손이 여호와께 부르짖으매 여호와께서 그들을 위하여 한 구원자를 세우셨으니 그는 곧 베냐민 사람 게라의 아들 왼손잡이 에훗이라 이스라엘 자손이 그를 의탁하여 모압 왕 에글론에게 공물을 바칠 때에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</si>
  <si>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</si>
  <si>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</si>
  <si>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</si>
  <si>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</si>
  <si>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</si>
  <si>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</si>
  <si>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</si>
  <si>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</si>
  <si>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</si>
  <si>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</si>
  <si>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아래 재판석에 앉은 드보라</t>
  </si>
  <si>
    <t xml:space="preserve">드보라가 바락에게 이르되 일어나라 이는 여호와께서 시스라를 네 손에 붙이신 날이라 여호와께서 너의 앞서 행하지 아니하시느냐 이에 바락이 일만 명을 거느리고 다볼 산에서 내려가니</t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</si>
  <si>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</si>
  <si>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</si>
  <si>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</si>
  <si>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</si>
  <si>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</si>
  <si>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</si>
  <si>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</si>
  <si>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</si>
  <si>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</si>
  <si>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주의 대적은 다 이와 같이 망하게 하시고 주를 사랑하는 자는 해가 힘있게 돋음 같게 하시옵소서 하니라 그 땅이 사십 년 동안 태평하였더라</t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</si>
  <si>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</si>
  <si>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</si>
  <si>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</si>
  <si>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</si>
  <si>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</si>
  <si>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</si>
  <si>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</si>
  <si>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</si>
  <si>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</si>
  <si>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</si>
  <si>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포도주 틀 안에 숨어 밀을 타작하는 기드온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</si>
  <si>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</si>
  <si>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기드온</t>
  </si>
  <si>
    <t xml:space="preserve">여호와의 사자가 기드온에게 나타나 이르되 큰 용사여 여호와께서 너와 함께 계시도다</t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</si>
  <si>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</si>
  <si>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</si>
  <si>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</si>
  <si>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</si>
  <si>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</si>
  <si>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</si>
  <si>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</si>
  <si>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</si>
  <si>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승리 후의 실수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</si>
  <si>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하나님이 그대로 행하시니 곧 양털만 마르고 사면 땅에는 다 이슬이 있었더라</t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</si>
  <si>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</si>
  <si>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</si>
  <si>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</si>
  <si>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</si>
  <si>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</si>
  <si>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</si>
  <si>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</si>
  <si>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</si>
  <si>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</si>
  <si>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동시에 깨지는 항아리와 치솟는 횃불</t>
  </si>
  <si>
    <t xml:space="preserve">여호와께서 기드온에게 이르시되 내가 이 물을 핥아 먹은 삼백 명으로 너희를 구원하며 미디안 사람을 네 손에 붙이리니 남은 백성은 각각 그 처소로 돌아갈 것이니라 하시니</t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</si>
  <si>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</si>
  <si>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</si>
  <si>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</si>
  <si>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</si>
  <si>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</si>
  <si>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</si>
  <si>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</si>
  <si>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</si>
  <si>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</si>
  <si>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기드온이 그들에게 이르되 내가 너희를 다스리지 아니하겠고 나의 아들도 너희를 다스리지 아니할 것이요 여호와께서 너희를 다스리시리라</t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</si>
  <si>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</si>
  <si>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</si>
  <si>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</si>
  <si>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</si>
  <si>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</si>
  <si>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</si>
  <si>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</si>
  <si>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</si>
  <si>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</si>
  <si>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</si>
  <si>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가시나무가 나무들에게 이르되 너희가 참으로 내게 기름을 부어 너희 왕을 삼겠거든 와서 내 그늘에 피하라 그리하지 아니하면 불이 가시나무에서 나와서 레바논의 백향목을 사를 것이니라 하였느니라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</si>
  <si>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</si>
  <si>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</si>
  <si>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</si>
  <si>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</si>
  <si>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</si>
  <si>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</si>
  <si>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</si>
  <si>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</si>
  <si>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입다의 서원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</si>
  <si>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자기 가운데서 이방 신들을 제하여 버리고 여호와를 섬기매 여호와께서 이스라엘의 곤고를 인하여 마음에 근심하시니라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</si>
  <si>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</si>
  <si>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</si>
  <si>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</si>
  <si>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</si>
  <si>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</si>
  <si>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</si>
  <si>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</si>
  <si>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</si>
  <si>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</si>
  <si>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쉽볼렛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</si>
  <si>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입다가 이를 보고 자기 옷을 찢으며 가로되 슬프다 내 딸이여 너는 나로 하여금 참담케 하는 자요 너는 나를 괴롭게 하는 자 중의 하나이로다 내가 여호와를 향하여 입을 열었으니 능히 돌이키지 못하리로다</t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</si>
  <si>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</si>
  <si>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</si>
  <si>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</si>
  <si>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</si>
  <si>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</si>
  <si>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</si>
  <si>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</si>
  <si>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</si>
  <si>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</si>
  <si>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그에게 이르기를 십볼렛이라 하라 하여 에브라임 사람이 능히 구음을 바로 하지 못하고 씹볼렛이라면 길르앗 사람이 곧 그를 잡아서 요단 나루턱에서 죽였더라 그 때에 에브라임 사람의 죽은 자가 사만 이천 명이었더라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</si>
  <si>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</si>
  <si>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</si>
  <si>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</si>
  <si>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</si>
  <si>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</si>
  <si>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</si>
  <si>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</si>
  <si>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</si>
  <si>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</si>
  <si>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제단 불꽃을 타고 하늘로 올라가는 빛</t>
  </si>
  <si>
    <t xml:space="preserve">보라 네가 잉태하여 아들을 낳으리니 그 머리에 삭도를 대지 말라 이 아이는 태에서 나옴으로부터 하나님께 바치운 나실인이 됨이라 그가 블레셋 사람의 손에서 이스라엘을 구원하기 시작하리라</t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</si>
  <si>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</si>
  <si>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</si>
  <si>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</si>
  <si>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</si>
  <si>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</si>
  <si>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</si>
  <si>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</si>
  <si>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</si>
  <si>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</si>
  <si>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턱뼈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</si>
  <si>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삼손</t>
  </si>
  <si>
    <t xml:space="preserve">삼손이 여호와의 신에게 크게 감동되어 손에 아무것도 없어도 그 사자를 염소 새끼를 찢음같이 찢었으나 그는 그 행한 일을 부모에게도 고하지 아니하였고</t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</si>
  <si>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</si>
  <si>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</si>
  <si>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</si>
  <si>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</si>
  <si>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</si>
  <si>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</si>
  <si>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</si>
  <si>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</si>
  <si>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</si>
  <si>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삼손이 심히 목마르므로 여호와께 부르짖어 가로되 주께서 종의 손으로 이 큰 구원을 베푸셨사오나 내가 이제 목말라 죽어서 할례받지 못한 자의 손에 빠지겠나이다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</si>
  <si>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</si>
  <si>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</si>
  <si>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</si>
  <si>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</si>
  <si>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</si>
  <si>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</si>
  <si>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</si>
  <si>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</si>
  <si>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</si>
  <si>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</si>
  <si>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잘려 바닥에 떨어진 긴 머리카락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</si>
  <si>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</si>
  <si>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들릴라가 가로되 삼손이여 블레셋 사람이 당신에게 미쳤느니라 하니 삼손이 잠을 깨며 이르기를 내가 전과 같이 나가서 몸을 떨치리라 하여도 여호와께서 이미 자기를 떠나신 줄을 깨닫지 못하였더라</t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</si>
  <si>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</si>
  <si>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</si>
  <si>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</si>
  <si>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</si>
  <si>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</si>
  <si>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</si>
  <si>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</si>
  <si>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</si>
  <si>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두 기둥 사이에 선 삼손이 하늘을 올려다봄</t>
  </si>
  <si>
    <t xml:space="preserve">삼손이 여호와께 부르짖어 가로되 주 여호와여 구하옵나니 나를 생각하옵소서 하나님이여 구하옵나니 이번만 나로 강하게 하사 블레셋 사람이 나의 두 눈을 뺀 원수를 단번에 갚게 하옵소서 하고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</si>
  <si>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</si>
  <si>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</si>
  <si>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</si>
  <si>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</si>
  <si>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</si>
  <si>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</si>
  <si>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</si>
  <si>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</si>
  <si>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</si>
  <si>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왕이 없던 시대의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</si>
  <si>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때에는 이스라엘에 왕이 없으므로 사람마다 자기 소견에 옳은 대로 행하였더라</t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</si>
  <si>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</si>
  <si>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</si>
  <si>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</si>
  <si>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</si>
  <si>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</si>
  <si>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</si>
  <si>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</si>
  <si>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</si>
  <si>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</si>
  <si>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그 때에 이스라엘에 왕이 없으므로 사람이 각각 그 소견에 옳은 대로 행하였더라</t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</si>
  <si>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</si>
  <si>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</si>
  <si>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</si>
  <si>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</si>
  <si>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</si>
  <si>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</si>
  <si>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</si>
  <si>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</si>
  <si>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</si>
  <si>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</si>
  <si>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</si>
  <si>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</si>
  <si>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갈림길에서 시어머니를 끌어안는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</si>
  <si>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</si>
  <si>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룻</t>
  </si>
  <si>
    <t xml:space="preserve">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</t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</si>
  <si>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</si>
  <si>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</si>
  <si>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</si>
  <si>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</si>
  <si>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</si>
  <si>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</si>
  <si>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</si>
  <si>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</si>
  <si>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보리밭에서 이삭을 줍다 고개를 드는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</si>
  <si>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성문에서의 결정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</si>
  <si>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네 행한 일을 보응하시기를 원하며 이스라엘의 하나님 여호와께서 그 날개 아래 보호를 받으러 온 네게 온전한 상 주시기를 원하노라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</si>
  <si>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</si>
  <si>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</si>
  <si>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</si>
  <si>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</si>
  <si>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</si>
  <si>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</si>
  <si>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</si>
  <si>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</si>
  <si>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</si>
  <si>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</si>
  <si>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네가 누구뇨 대답하되 나는 당신의 시녀 룻이오니 당신의 옷자락으로 시녀를 덮으소서 당신은 우리 기업을 무를 자가 됨이니이다</t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</si>
  <si>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</si>
  <si>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</si>
  <si>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</si>
  <si>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</si>
  <si>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</si>
  <si>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</si>
  <si>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</si>
  <si>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</si>
  <si>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</si>
  <si>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</si>
  <si>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성문에서 신발 한 짝을 벗어 건네는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</si>
  <si>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증조할머니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</si>
  <si>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말론의 아내 모압 여인 룻을 사서 나의 아내로 취하고 그 죽은 자의 기업을 그 이름으로 잇게 하여 그 이름이 그 형제 중과 그 곳 성문에서 끊어지지 않게 함에 너희가 오늘날 증인이 되었느니라</t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</si>
  <si>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</si>
  <si>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</si>
  <si>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</si>
  <si>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</si>
  <si>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</si>
  <si>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</si>
  <si>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</si>
  <si>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</si>
  <si>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</si>
  <si>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아기를 품에 안고 웃는 할머니 나오미</t>
  </si>
  <si>
    <t xml:space="preserve">그 이웃 여인들이 그에게 이름을 주되 나오미가 아들을 낳았다 하여 그 이름을 오벳이라 하였는데 그는 다윗의 아비인 이새의 아비였더라</t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</si>
  <si>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</si>
  <si>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</si>
  <si>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</si>
  <si>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</si>
  <si>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</si>
  <si>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</si>
  <si>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</si>
  <si>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</si>
  <si>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</si>
  <si>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성막 앞에서 입술만 움직이며 우는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</si>
  <si>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말씀하옵소서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</si>
  <si>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아이를 위하여 내가 기도하였더니 여호와께서 나의 구하여 기도한 바를 허락하신지라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</si>
  <si>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</si>
  <si>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</si>
  <si>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</si>
  <si>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</si>
  <si>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</si>
  <si>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</si>
  <si>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</si>
  <si>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</si>
  <si>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그러므로 이스라엘의 하나님 나 여호와가 말하노라 내가 전에 네 집과 네 조상의 집이 내 앞에 영영히 행하리라 하였으나 이제 나 여호와가 말하노니 결단코 그렇게 아니하리라 나를 존중히 여기는 자를 내가 존중히 여기고 나를 멸시하는 자를 내가 경멸히 여기리라</t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</si>
  <si>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</si>
  <si>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</si>
  <si>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</si>
  <si>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</si>
  <si>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</si>
  <si>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</si>
  <si>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</si>
  <si>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</si>
  <si>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</si>
  <si>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등불 아래 잠에서 깨어 고개를 드는 소년</t>
  </si>
  <si>
    <t xml:space="preserve">사무엘</t>
  </si>
  <si>
    <t xml:space="preserve">여호와께서 임하여 서서 전과 같이 사무엘아 사무엘아 부르시는지라 사무엘이 가로되 말씀하옵소서 주의 종이 듣겠나이다</t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</si>
  <si>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</si>
  <si>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</si>
  <si>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</si>
  <si>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</si>
  <si>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</si>
  <si>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</si>
  <si>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</si>
  <si>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</si>
  <si>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</si>
  <si>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</si>
  <si>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전쟁터에서 블레셋에게 빼앗기는 언약궤</t>
  </si>
  <si>
    <t xml:space="preserve">이르기를 영광이 이스라엘에서 떠났다 하고 아이 이름을 이가봇이라 하였으니 하나님의 궤가 빼앗겼고 그 시부와 남편이 죽었음을 인함이며</t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</si>
  <si>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</si>
  <si>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</si>
  <si>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</si>
  <si>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</si>
  <si>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</si>
  <si>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</si>
  <si>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</si>
  <si>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</si>
  <si>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</si>
  <si>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아스돗 사람이 이튿날 일찌기 일어나 본즉 다곤이 여호와의 궤 앞에서 엎드러져 그 얼굴이 땅에 닿았는지라 그들이 다곤을 일으켜 다시 그 자리에 세웠더니</t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</si>
  <si>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</si>
  <si>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</si>
  <si>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</si>
  <si>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</si>
  <si>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</si>
  <si>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</si>
  <si>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</si>
  <si>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</si>
  <si>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사울의 첫 승리와 사무엘의 고별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</si>
  <si>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사무엘이 돌을 취하여 미스바와 센 사이에 세워 가로되 여호와께서 여기까지 우리를 도우셨다 하고 그 이름을 에벤에셀이라 하니라</t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</si>
  <si>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</si>
  <si>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</si>
  <si>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</si>
  <si>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</si>
  <si>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</si>
  <si>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</si>
  <si>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</si>
  <si>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</si>
  <si>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</si>
  <si>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노인 사무엘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왕을 주소서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</si>
  <si>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</si>
  <si>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사무엘에게 이르시되 백성이 네게 한 말을 다 들으라 그들이 너를 버림이 아니요 나를 버려 자기들의 왕이 되지 못하게 함이니라</t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</si>
  <si>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</si>
  <si>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</si>
  <si>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</si>
  <si>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</si>
  <si>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</si>
  <si>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</si>
  <si>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</si>
  <si>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</si>
  <si>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잃어버린 나귀를 찾던 청년의 머리에 부어지는 기름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</si>
  <si>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순종이 제사보다 낫다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</si>
  <si>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사울</t>
    </r>
  </si>
  <si>
    <t xml:space="preserve">이에 사무엘이 기름병을 취하여 사울의 머리에 붓고 입맞추어 가로되 여호와께서 네게 기름을 부으사 그 기업의 지도자를 삼지 아니하셨느냐</t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</si>
  <si>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</si>
  <si>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</si>
  <si>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</si>
  <si>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</si>
  <si>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</si>
  <si>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</si>
  <si>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</si>
  <si>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</si>
  <si>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</si>
  <si>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기다리지 못한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</si>
  <si>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여호와께서 너희를 위하여 행하신 그 큰 일을 생각하여 오직 그를 경외하며 너희의 마음을 다하여 진실히 섬기라</t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</si>
  <si>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</si>
  <si>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</si>
  <si>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</si>
  <si>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</si>
  <si>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</si>
  <si>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</si>
  <si>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</si>
  <si>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요나단과 무기 든 소년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</si>
  <si>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지금은 왕의 나라가 길지 못할 것이라 여호와께서 왕에게 명하신 바를 왕이 지키지 아니하였으므로 여호와께서 그 마음에 맞는 사람을 구하여 그 백성의 지도자를 삼으셨느니라 하고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</si>
  <si>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</si>
  <si>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</si>
  <si>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</si>
  <si>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</si>
  <si>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</si>
  <si>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</si>
  <si>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</si>
  <si>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</si>
  <si>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사울</t>
  </si>
  <si>
    <t xml:space="preserve">요나단이 자기 병기 든 소년에게 이르되 우리가 이 할례 없는 자들의 부대에게로 건너가자 여호와께서 우리를 위하여 일하실까 하노라 여호와의 구원은 사람의 많고 적음에 달리지 아니하였느니라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</si>
  <si>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</si>
  <si>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</si>
  <si>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</si>
  <si>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</si>
  <si>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</si>
  <si>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</si>
  <si>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</si>
  <si>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</si>
  <si>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찢어진 겉옷 자락을 쥔 사울의 손</t>
  </si>
  <si>
    <t xml:space="preserve">사무엘이 가로되 여호와께서 번제와 다른 제사를 그 목소리 순종하는 것을 좋아하심같이 좋아하시겠나이까 순종이 제사보다 낫고 듣는 것이 숫양의 기름보다 나으니</t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</si>
  <si>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</si>
  <si>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</si>
  <si>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</si>
  <si>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</si>
  <si>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</si>
  <si>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</si>
  <si>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</si>
  <si>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</si>
  <si>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</si>
  <si>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형들 사이를 지나 막내 목동에게 다가가는 사무엘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</si>
  <si>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거인 골리앗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</si>
  <si>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</si>
  <si>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여호와께서 사무엘에게 이르시되 그 용모와 신장을 보지 말라 내가 이미 그를 버렸노라 나의 보는 것은 사람과 같지 아니하니 사람은 외모를 보거니와 나 여호와는 중심을 보느니라</t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</si>
  <si>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</si>
  <si>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</si>
  <si>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</si>
  <si>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</si>
  <si>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</si>
  <si>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</si>
  <si>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</si>
  <si>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</si>
  <si>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</si>
  <si>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</si>
  <si>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창으로 도망치다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</si>
  <si>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</si>
  <si>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하나님의 부리신 악신이 사울에게 이를 때에 다윗이 수금을 취하여 손으로 탄즉 사울이 상쾌하여 낫고 악신은 그에게서 떠나더라</t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</si>
  <si>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</si>
  <si>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</si>
  <si>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</si>
  <si>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</si>
  <si>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</si>
  <si>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</si>
  <si>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</si>
  <si>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</si>
  <si>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</si>
  <si>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골짜기를 가득 채운 거인의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</si>
  <si>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물맷돌 다섯 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</si>
  <si>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곁에 섰는 사람들에게 말하여 가로되 이 블레셋 사람을 죽여 이스라엘의 치욕을 제하는 사람에게는 어떠한 대우를 하겠느냐 이 할례 없는 블레셋 사람이 누구관대 사시는 하나님의 군대를 모욕하겠느냐</t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</si>
  <si>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</si>
  <si>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</si>
  <si>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</si>
  <si>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</si>
  <si>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</si>
  <si>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</si>
  <si>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</si>
  <si>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</si>
  <si>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시냇가에서 매끄러운 돌 다섯 개를 고르는 소년의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</si>
  <si>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</si>
  <si>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블레셋 사람에게 이르되 너는 칼과 창과 단창으로 내게 오거니와 나는 만군의 여호와의 이름 곧 네가 모욕하는 이스라엘 군대의 하나님의 이름으로 네게 가노라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</si>
  <si>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</si>
  <si>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</si>
  <si>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</si>
  <si>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</si>
  <si>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</si>
  <si>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</si>
  <si>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</si>
  <si>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자기 겉옷과 칼을 벗어 건네는 왕자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</si>
  <si>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</si>
  <si>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사울에게 말하기를 마치매 요나단의 마음이 다윗의 마음과 연락되어 요나단이 그를 자기 생명같이 사랑하니라</t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</si>
  <si>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</si>
  <si>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</si>
  <si>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</si>
  <si>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</si>
  <si>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</si>
  <si>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</si>
  <si>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</si>
  <si>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</si>
  <si>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</si>
  <si>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놉과 아둘람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</si>
  <si>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미갈이 다윗을 창에서 달아 내리우매 그가 도망하여 피하니라</t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</si>
  <si>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</si>
  <si>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</si>
  <si>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</si>
  <si>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</si>
  <si>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</si>
  <si>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</si>
  <si>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</si>
  <si>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</si>
  <si>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</si>
  <si>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들판 너머로 멀리 날아가는 화살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</si>
  <si>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</si>
  <si>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</t>
  </si>
  <si>
    <t xml:space="preserve">요나단이 다윗에게 이르되 평안히 가라 우리 두 사람이 여호와의 이름으로 맹세하여 이르기를 여호와께서 영원히 나와 너 사이에 계시고 내 자손과 네 자손 사이에 계시리라 하였느니라 다윗은 일어나 떠나고 요나단은 성으로 들어오니라</t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</si>
  <si>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</si>
  <si>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</si>
  <si>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</si>
  <si>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</si>
  <si>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</si>
  <si>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</si>
  <si>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</si>
  <si>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</si>
  <si>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</si>
  <si>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</si>
  <si>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</si>
  <si>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환난당한 모든 자와 빚진 자와 마음이 원통한 자가 다 그에게로 모였고 그는 그 장관이 되었는데 그와 함께한 자가 사백 명 가량이었더라</t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</si>
  <si>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</si>
  <si>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</si>
  <si>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</si>
  <si>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</si>
  <si>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</si>
  <si>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</si>
  <si>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</si>
  <si>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</si>
  <si>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사울의 아들 요나단이 일어나 수풀에 들어가서 다윗에게 이르러 그로 하나님을 힘있게 의지하게 하였는데</t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</si>
  <si>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</si>
  <si>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</si>
  <si>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</si>
  <si>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</si>
  <si>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</si>
  <si>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</si>
  <si>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</si>
  <si>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</si>
  <si>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</si>
  <si>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동굴 속 왕의 옷자락을 조용히 베는 칼</t>
  </si>
  <si>
    <t xml:space="preserve">자기 사람들에게 이르되 내가 손을 들어 여호와의 기름 부음을 받은 내 주를 치는 것은 여호와의 금하시는 것이니 그는 여호와의 기름 부음을 받은 자가 됨이니라 하고</t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</si>
  <si>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</si>
  <si>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</si>
  <si>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</si>
  <si>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</si>
  <si>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</si>
  <si>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</si>
  <si>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</si>
  <si>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</si>
  <si>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</si>
  <si>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</si>
  <si>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</si>
  <si>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살려 준 사울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</si>
  <si>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네 지혜를 칭찬할지며 또 네게 복이 있을지로다 오늘날 내가 피를 흘릴 것과 친히 보수하는 것을 네가 막았느니라</t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</si>
  <si>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</si>
  <si>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</si>
  <si>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</si>
  <si>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</si>
  <si>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</si>
  <si>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</si>
  <si>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</si>
  <si>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</si>
  <si>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적국으로 피한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</si>
  <si>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각 사람에게 그 의와 신실을 갚으시리니 이는 여호와께서 오늘날 왕을 내 손에 붙이셨으되 나는 손을 들어 여호와의 기름 부음을 받은 자 치기를 원치 아니하였음이니이다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</si>
  <si>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</si>
  <si>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</si>
  <si>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</si>
  <si>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</si>
  <si>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</si>
  <si>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</si>
  <si>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</si>
  <si>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</si>
  <si>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다윗이 그 마음에 생각하기를 내가 후일에는 사울의 손에 망하리니 블레셋 사람의 땅으로 피하여 들어가는 것이 상책이로다 사울이 이스라엘 온 경내에서 나를 수색하다가 절망하리니 내가 그 손에서 벗어나리라 하고</t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</si>
  <si>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</si>
  <si>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</si>
  <si>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</si>
  <si>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</si>
  <si>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</si>
  <si>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</si>
  <si>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</si>
  <si>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</si>
  <si>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</si>
  <si>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사울이 여호와께 묻자오되 여호와께서 꿈으로도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우림으로도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선지자로도 그에게 대답지 아니하시므로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</si>
  <si>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</si>
  <si>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</si>
  <si>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</si>
  <si>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</si>
  <si>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</si>
  <si>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</si>
  <si>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</si>
  <si>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</si>
  <si>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백성이 각기 자녀들을 위하여 마음이 슬퍼서 다윗을 돌로 치자 하니 다윗이 크게 군급하였으나 그 하나님 여호와를 힘입고 용기를 얻었더라</t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</si>
  <si>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</si>
  <si>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</si>
  <si>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</si>
  <si>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</si>
  <si>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</si>
  <si>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</si>
  <si>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</si>
  <si>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</si>
  <si>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</si>
  <si>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그가 병기 든 자에게 이르되 네 칼을 빼어 나를 찌르라 할례 없는 자들이 와서 나를 찌르고 모욕할까 두려워하노라 하나 병기 든 자가 심히 두려워하여 즐겨 행치 아니하는지라 이에 사울이 자기 칼을 취하고 그 위에 엎드러지매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</si>
  <si>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</si>
  <si>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</si>
  <si>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</si>
  <si>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</si>
  <si>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</si>
  <si>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</si>
  <si>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</si>
  <si>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</si>
  <si>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</si>
  <si>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올라가리이까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</si>
  <si>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이스라엘아 너의 영광이 산 위에서 죽임을 당하였도다 오호라 두 용사가 엎드러졌도다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</si>
  <si>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</si>
  <si>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</si>
  <si>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</si>
  <si>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</si>
  <si>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</si>
  <si>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</si>
  <si>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</si>
  <si>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</si>
  <si>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그 후에 다윗이 여호와께 물어 가로되 내가 유다 한 성으로 올라가리이까 여호와께서 가라사대 올라가라 다윗이 가로되 어디로 가리이까 가라사대 헤브론으로 갈지니라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</si>
  <si>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</si>
  <si>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</si>
  <si>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</si>
  <si>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</si>
  <si>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</si>
  <si>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</si>
  <si>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</si>
  <si>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</si>
  <si>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</si>
  <si>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</si>
  <si>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사울의 집과 다윗의 집 사이에 전쟁이 오래매 다윗은 점점 강하여 가고 사울의 집은 점점 약하여 가니라</t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</si>
  <si>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</si>
  <si>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</si>
  <si>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</si>
  <si>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</si>
  <si>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</si>
  <si>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</si>
  <si>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</si>
  <si>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</si>
  <si>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정복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</si>
  <si>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브에롯 사람 림몬의 아들 레갑과 그 형제 바아나에게 대답하여 가로되 내 생명을 여러 환난 가운데서 건지신 여호와의 사심을 가리켜 맹세하노니</t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</si>
  <si>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</si>
  <si>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</si>
  <si>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</si>
  <si>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</si>
  <si>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</si>
  <si>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</si>
  <si>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</si>
  <si>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</si>
  <si>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승리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</si>
  <si>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만군의 하나님 여호와께서 함께 계시니 다윗이 점점 강성하여 가니라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</si>
  <si>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</si>
  <si>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</si>
  <si>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</si>
  <si>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</si>
  <si>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</si>
  <si>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</si>
  <si>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</si>
  <si>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</si>
  <si>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</si>
  <si>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</si>
  <si>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언약궤 앞에서 온 힘을 다해 춤추는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</si>
  <si>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</si>
  <si>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앞에서 힘을 다하여 춤을 추는데 때에 베 에봇을 입었더라</t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</si>
  <si>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</si>
  <si>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</si>
  <si>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</si>
  <si>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</si>
  <si>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</si>
  <si>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</si>
  <si>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</si>
  <si>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</si>
  <si>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</si>
  <si>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궁전에서 무릎 꿇고 감격해 우는 다윗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</si>
  <si>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</si>
  <si>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집과 네 나라가 네 앞에서 영원히 보전되고 네 위가 영원히 견고하리라 하셨다 하라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</si>
  <si>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</si>
  <si>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</si>
  <si>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</si>
  <si>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</si>
  <si>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</si>
  <si>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</si>
  <si>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</si>
  <si>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</si>
  <si>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</si>
  <si>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암몬과의 전쟁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</si>
  <si>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에돔에 수비대를 두되 온 에돔에 수비대를 두니 에돔 사람이 다 다윗의 종이 되니라 다윗이 어디를 가든지 여호와께서 이기게 하셨더라</t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</si>
  <si>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</si>
  <si>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</si>
  <si>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</si>
  <si>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</si>
  <si>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</si>
  <si>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</si>
  <si>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</si>
  <si>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</si>
  <si>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</si>
  <si>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</si>
  <si>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식탁에 초대받아 떨며 다가오는 절름발이 청년</t>
  </si>
  <si>
    <t xml:space="preserve">다윗이 가로되 무서워 말라 내가 반드시 네 아비 요나단을 인하여 네게 은총을 베풀리라 내가 네 조부 사울의 밭을 다 네게 도로 주겠고 또 너는 항상 내 상에서 먹을지니라</t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</si>
  <si>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</si>
  <si>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</si>
  <si>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</si>
  <si>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</si>
  <si>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</si>
  <si>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</si>
  <si>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</si>
  <si>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</si>
  <si>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</si>
  <si>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담대하라 우리가 우리 백성과 우리 하나님의 성읍들을 위하여 담대히 하자 여호와께서 선히 여기시는 대로 행하시기를 원하노라 하고</t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</si>
  <si>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</si>
  <si>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</si>
  <si>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</si>
  <si>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</si>
  <si>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</si>
  <si>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</si>
  <si>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</si>
  <si>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</si>
  <si>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</si>
  <si>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</si>
  <si>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</si>
  <si>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</si>
  <si>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궁전 옥상에서 홀로 서 있는 왕의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</si>
  <si>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</si>
  <si>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장사를 마치매 다윗이 보내어 저를 궁으로 데려오니 저가 그 처가 되어 아들을 낳으니라 다윗의 소위가 여호와 보시기에 악하였더라</t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</si>
  <si>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</si>
  <si>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12:1-31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</si>
  <si>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</si>
  <si>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</si>
  <si>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</si>
  <si>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</si>
  <si>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</si>
  <si>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</si>
  <si>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왕을 똑바로 가리키는 선지자의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</si>
  <si>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</si>
  <si>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나단이 다윗에게 이르되 당신이 그 사람이라 이스라엘의 하나님 여호와께서 이처럼 이르시기를 내가 너로 이스라엘 왕을 삼기 위하여 네게 기름을 붓고 너를 사울의 손에서 구원하고</t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</si>
  <si>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</si>
  <si>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</si>
  <si>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</si>
  <si>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</si>
  <si>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</si>
  <si>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</si>
  <si>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</si>
  <si>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</si>
  <si>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</si>
  <si>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돌아온 압살롬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</si>
  <si>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압살롬이 그 누이 다말을 암논이 욕되게 하였으므로 저를 미워하여 시비간에 말하지 아니하니라</t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</si>
  <si>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</si>
  <si>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</si>
  <si>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</si>
  <si>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</si>
  <si>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</si>
  <si>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</si>
  <si>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</si>
  <si>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</si>
  <si>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우리는 필경 죽으리니 땅에 쏟아진 물을 다시 모으지 못함 같을 것이오나 하나님은 생명을 빼앗지 아니하시고 방책을 베푸사 내어쫓긴 자로 하나님께 버린 자가 되지 않게 하시나이다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</si>
  <si>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</si>
  <si>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</si>
  <si>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</si>
  <si>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</si>
  <si>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</si>
  <si>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</si>
  <si>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</si>
  <si>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</si>
  <si>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</si>
  <si>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맨발로 울며 감람산을 오르는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</si>
  <si>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</si>
  <si>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감람 산 길로 올라갈 때에 머리를 가리우고 맨발로 울며 행하고 저와 함께 가는 백성들도 각각 그 머리를 가리우고 울며 올라가니라</t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</si>
  <si>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</si>
  <si>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</si>
  <si>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</si>
  <si>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</si>
  <si>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</si>
  <si>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</si>
  <si>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</si>
  <si>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</si>
  <si>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</si>
  <si>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혹시 여호와께서 나의 원통함을 감찰하시리니 오늘날 그 저주 까닭에 선으로 내게 갚아 주시리라 하고</t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</si>
  <si>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</si>
  <si>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</si>
  <si>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</si>
  <si>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</si>
  <si>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</si>
  <si>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</si>
  <si>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</si>
  <si>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</si>
  <si>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</si>
  <si>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압살롬과 온 이스라엘 사람들이 이르되 아렉 사람 후새의 모략은 아히도벨의 모략보다 낫다 하니 이는 여호와께서 압살롬에게 화를 내리려 하사 아히도벨의 좋은 모략을 파하기로 작정하셨음이더라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</si>
  <si>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</si>
  <si>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</si>
  <si>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</si>
  <si>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</si>
  <si>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</si>
  <si>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</si>
  <si>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</si>
  <si>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</si>
  <si>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</si>
  <si>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</si>
  <si>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다락에서 소식을 듣고 무너지는 왕</t>
  </si>
  <si>
    <r>
      <rPr>
        <sz val="10"/>
        <color rgb="FF000000"/>
        <rFont val="WenQuanYi Zen Hei"/>
        <family val="2"/>
      </rPr>
      <t xml:space="preserve">왕의 마음이 심히 아파 문루로 올라가서 우니라 저가 올라갈 때에 말하기를 내 아들 압살롬아 내 아들 내 아들 압살롬아 내가 너를 대신하여 죽었더면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압살롬 내 아들아 내 아들아 하였더라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</si>
  <si>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</si>
  <si>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</si>
  <si>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</si>
  <si>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</si>
  <si>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</si>
  <si>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</si>
  <si>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</si>
  <si>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</si>
  <si>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</si>
  <si>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감사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</si>
  <si>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모든 유다 사람들로 마음을 일제히 돌리게 하매 저희가 왕께 보내어 가로되 왕은 모든 신복으로 더불어 돌아오소서 한지라</t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</si>
  <si>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</si>
  <si>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</si>
  <si>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</si>
  <si>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</si>
  <si>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</si>
  <si>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</si>
  <si>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</si>
  <si>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</si>
  <si>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값없이 드리지 않겠다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</si>
  <si>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여호와는 나의 반석이시요 나의 요새시요 나를 건지시는 자시요</t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</si>
  <si>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</si>
  <si>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</si>
  <si>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</si>
  <si>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</si>
  <si>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</si>
  <si>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</si>
  <si>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</si>
  <si>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</si>
  <si>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</si>
  <si>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왕이 아라우나에게 이르되 그렇지 아니하다 내가 값을 주고 네게서 사리라 값없이는 내 하나님 여호와께 번제를 드리지 아니하리라 하고 은 오십 세겔로 타작 마당과 소를 사고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</si>
  <si>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</si>
  <si>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</si>
  <si>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</si>
  <si>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</si>
  <si>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</si>
  <si>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</si>
  <si>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</si>
  <si>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</si>
  <si>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</si>
  <si>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</si>
  <si>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</si>
  <si>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유언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</si>
  <si>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솔로몬</t>
    </r>
  </si>
  <si>
    <t xml:space="preserve">제사장 사독이 성막 가운데서 기름 뿔을 가져다가 솔로몬에게 기름을 부으니 이에 양각을 불고 모든 백성이 솔로몬 왕 만세를 부르니라</t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</si>
  <si>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</si>
  <si>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</si>
  <si>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</si>
  <si>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</si>
  <si>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</si>
  <si>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</si>
  <si>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</si>
  <si>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</si>
  <si>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네 하나님 여호와의 명을 지켜 그 길로 행하여 그 법률과 계명과 율례와 증거를 모세의 율법에 기록된 대로 지키라 그리하면 네가 무릇 무엇을 하든지 어디로 가든지 형통할지라</t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</si>
  <si>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</si>
  <si>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</si>
  <si>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</si>
  <si>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</si>
  <si>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</si>
  <si>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</si>
  <si>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</si>
  <si>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</si>
  <si>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</si>
  <si>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꿈 속 빛 가운데 무릎 꿇은 젊은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</si>
  <si>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</si>
  <si>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솔로몬</t>
  </si>
  <si>
    <t xml:space="preserve">누가 주의 이 많은 백성을 재판할 수 있사오리이까 지혜로운 마음을 종에게 주사 주의 백성을 재판하여 선악을 분별하게 하옵소서</t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</si>
  <si>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</si>
  <si>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</si>
  <si>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</si>
  <si>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</si>
  <si>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</si>
  <si>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</si>
  <si>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</si>
  <si>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</si>
  <si>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</si>
  <si>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r>
      <rPr>
        <sz val="10"/>
        <color rgb="FF000000"/>
        <rFont val="WenQuanYi Zen Hei"/>
        <family val="2"/>
      </rPr>
      <t xml:space="preserve">칼을 든 신하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아기를 살려 주세요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엄마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</si>
  <si>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 봉헌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</si>
  <si>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온 이스라엘이 왕의 심리하여 판결함을 듣고 왕을 두려워하였으니 이는 하나님의 지혜가 저의 속에 있어 판결함을 봄이더라</t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</si>
  <si>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</si>
  <si>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</si>
  <si>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</si>
  <si>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</si>
  <si>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</si>
  <si>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</si>
  <si>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</si>
  <si>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</si>
  <si>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솔로몬에게 지혜와 총명을 심히 많이 주시고 또 넓은 마음을 주시되 바닷가의 모래같이 하시니</t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</si>
  <si>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</si>
  <si>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</si>
  <si>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</si>
  <si>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</si>
  <si>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</si>
  <si>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</si>
  <si>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</si>
  <si>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</si>
  <si>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내가 또한 이스라엘 자손 가운데 거하며 내 백성 이스라엘을 버리지 아니하리라 하셨더라</t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</si>
  <si>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</si>
  <si>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</si>
  <si>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</si>
  <si>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</si>
  <si>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</si>
  <si>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</si>
  <si>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</si>
  <si>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</si>
  <si>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솔로몬 왕이 여호와의 전을 위하여 만드는 모든 것을 마친지라 이에 솔로몬이 그 부친 다윗의 드린 물건 곧 은과 금과 기구들을 가져다가 여호와의 전 곳간에 두었더라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</si>
  <si>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</si>
  <si>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</si>
  <si>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</si>
  <si>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</si>
  <si>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</si>
  <si>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</si>
  <si>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</si>
  <si>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</si>
  <si>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</si>
  <si>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안을 가득 채워 제사장들도 서지 못하게 한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</si>
  <si>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스바 여왕의 방문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</si>
  <si>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참으로 땅에 거하시리이까 하늘과 하늘들의 하늘이라도 주를 용납지 못하겠거든 하물며 내가 건축한 이 전이오리이까</t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</si>
  <si>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</si>
  <si>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</si>
  <si>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</si>
  <si>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</si>
  <si>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</si>
  <si>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</si>
  <si>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</si>
  <si>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</si>
  <si>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낙타 행렬과 함께 궁에 들어서는 스바 여왕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</si>
  <si>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마음이 돌아서다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</si>
  <si>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당신의 하나님 여호와를 송축할지로다 여호와께서 당신을 기뻐하사 이스라엘 위에 올리셨고 여호와께서 영영히 이스라엘을 사랑하시므로 당신을 세워 왕을 삼아 공과 의를 행하게 하셨도다 하고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</si>
  <si>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</si>
  <si>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</si>
  <si>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</si>
  <si>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</si>
  <si>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</si>
  <si>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</si>
  <si>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</si>
  <si>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</si>
  <si>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</si>
  <si>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산당의 우상들 사이에 선 늙은 솔로몬</t>
  </si>
  <si>
    <t xml:space="preserve">솔로몬의 나이 늙을 때에 왕비들이 그 마음을 돌이켜 다른 신들을 좇게 하였으므로 왕의 마음이 그 부친 다윗의 마음과 같지 아니하여 그 하나님 여호와 앞에 온전치 못하였으니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</si>
  <si>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</si>
  <si>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</si>
  <si>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</si>
  <si>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</si>
  <si>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</si>
  <si>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</si>
  <si>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</si>
  <si>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</si>
  <si>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</si>
  <si>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둘로 찢어지는 이스라엘 지도</t>
  </si>
  <si>
    <t xml:space="preserve">왕이 이같이 백성의 말을 듣지 아니하였으니 이 일은 여호와께로 말미암아 난 것이라 여호와께서 전에 실로 사람 아히야로 느밧의 아들 여로보암에게 고한 말씀을 응하게 하심이더라</t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</si>
  <si>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</si>
  <si>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</si>
  <si>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</si>
  <si>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</si>
  <si>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</si>
  <si>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</si>
  <si>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</si>
  <si>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</si>
  <si>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</si>
  <si>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이에 계획하고 두 금송아지를 만들고 무리에게 말하기를 너희가 다시는 예루살렘에 올라갈 것이 없도다 이스라엘아 이는 너희를 애굽 땅에서 인도하여 올린 너희 신이라 하고</t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</si>
  <si>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</si>
  <si>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</si>
  <si>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</si>
  <si>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</si>
  <si>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</si>
  <si>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</si>
  <si>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</si>
  <si>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</si>
  <si>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나라를 다윗의 집에서 찢어 내어 네게 주었거늘 너는 내 종 다윗이 나의 명령을 지켜 전심으로 나를 좇으며 나 보기에 정직한 일만 행하였음과 같지 아니하고</t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</si>
  <si>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</si>
  <si>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</si>
  <si>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</si>
  <si>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</si>
  <si>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</si>
  <si>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</si>
  <si>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</si>
  <si>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</si>
  <si>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아사가 그 조상 다윗같이 여호와 보시기에 정직하게 행하여</t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</si>
  <si>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</si>
  <si>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</si>
  <si>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</si>
  <si>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</si>
  <si>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</si>
  <si>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</si>
  <si>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</si>
  <si>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</si>
  <si>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</si>
  <si>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시냇가 선지자에게 빵을 물고 날아오는 까마귀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</si>
  <si>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마지막 밀가루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</si>
  <si>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</t>
  </si>
  <si>
    <r>
      <rPr>
        <sz val="10"/>
        <color rgb="FF000000"/>
        <rFont val="WenQuanYi Zen Hei"/>
        <family val="2"/>
      </rPr>
      <t xml:space="preserve">까마귀들이 아침에도 떡과 고기를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저녁에도 떡과 고기를 가져왔고 저가 시내를 마셨더니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</si>
  <si>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</si>
  <si>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</si>
  <si>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</si>
  <si>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</si>
  <si>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</si>
  <si>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</si>
  <si>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</si>
  <si>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</si>
  <si>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비어 가던 밀가루 통에서 계속 나오는 가루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</si>
  <si>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누가 참 하나님인가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</si>
  <si>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엘리야로 하신 말씀같이 통의 가루가 다하지 아니하고 병의 기름이 없어지지 아니하니라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</si>
  <si>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</si>
  <si>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</si>
  <si>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</si>
  <si>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</si>
  <si>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</si>
  <si>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</si>
  <si>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</si>
  <si>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</si>
  <si>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r>
      <rPr>
        <sz val="10"/>
        <color rgb="FF000000"/>
        <rFont val="WenQuanYi Zen Hei"/>
        <family val="2"/>
      </rPr>
      <t xml:space="preserve">갈멜 산 위에서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명과 마주 선 한 사람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</si>
  <si>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</si>
  <si>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</si>
  <si>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</si>
  <si>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</si>
  <si>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</si>
  <si>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</si>
  <si>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</si>
  <si>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</si>
  <si>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</si>
  <si>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</si>
  <si>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</si>
  <si>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물에 흠뻑 젖은 제단 위로 떨어지는 불</t>
  </si>
  <si>
    <t xml:space="preserve">모든 백성이 보고 엎드려 말하되 여호와 그는 하나님이시로다 여호와 그는 하나님이시로다 하니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</si>
  <si>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</si>
  <si>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</si>
  <si>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</si>
  <si>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</si>
  <si>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</si>
  <si>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</si>
  <si>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</si>
  <si>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</si>
  <si>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</si>
  <si>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</si>
  <si>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로뎀나무 아래 쓰러진 선지자 곁의 빵과 물병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</si>
  <si>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</si>
  <si>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사자가 또 다시 와서 어루만지며 이르되 일어나서 먹으라 네가 길을 이기지 못할까 하노라 하는지라</t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</si>
  <si>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</si>
  <si>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</si>
  <si>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</si>
  <si>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</si>
  <si>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</si>
  <si>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</si>
  <si>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</si>
  <si>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</si>
  <si>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바위를 부수는 바람이 지나간 뒤의 고요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</si>
  <si>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</si>
  <si>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엘리사</t>
    </r>
  </si>
  <si>
    <t xml:space="preserve">또 지진 후에 불이 있으나 불 가운데도 여호와께서 계시지 아니하더니 불 후에 세미한 소리가 있는지라</t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</si>
  <si>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</si>
  <si>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</si>
  <si>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</si>
  <si>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</si>
  <si>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</si>
  <si>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</si>
  <si>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</si>
  <si>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</si>
  <si>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</si>
  <si>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</si>
  <si>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나봇의 포도원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</si>
  <si>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하나님의 사람이 이스라엘 왕에게 나아와 고하여 가로되 여호와의 말씀이 아람 사람이 말하기를 여호와는 산의 신이요 골짜기의 신은 아니라 하도다 그러므로 내가 이 큰 군대를 다 네 손에 붙이리니 너희는 내가 여호와인 줄 알리라 하셨나이다 하니라</t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</si>
  <si>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</si>
  <si>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</si>
  <si>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</si>
  <si>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</si>
  <si>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</si>
  <si>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</si>
  <si>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</si>
  <si>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</si>
  <si>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1'</t>
    </r>
    <r>
      <rPr>
        <sz val="10"/>
        <color rgb="FF000000"/>
        <rFont val="WenQuanYi Zen Hei"/>
        <family val="2"/>
      </rPr>
      <t xml:space="preserve">로 연결</t>
    </r>
  </si>
  <si>
    <t xml:space="preserve">아합이 내 앞에서 겸비함을 네가 보느냐 저가 내 앞에서 겸비함을 인하여 내가 재앙을 저의 시대에 내리지 아니하고 그 아들의 시대에야 그 집에 재앙을 내리리라 하셨더라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</si>
  <si>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</si>
  <si>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</si>
  <si>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</si>
  <si>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</si>
  <si>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</si>
  <si>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</si>
  <si>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</si>
  <si>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</si>
  <si>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</si>
  <si>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미가야가 가로되 여호와의 사심을 가리켜 맹세하노니 여호와께서 내게 말씀하시는 것 곧 그것을 내가 말하리라 하고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</si>
  <si>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</si>
  <si>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</si>
  <si>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</si>
  <si>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</si>
  <si>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</si>
  <si>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</si>
  <si>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</si>
  <si>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</si>
  <si>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</si>
  <si>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</si>
  <si>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여호와의 사자가 디셉 사람 엘리야에게 이르시되 너는 일어나 올라가서 사마리아 왕의 사자를 만나서 저에게 이르기를 이스라엘에 하나님이 없어서 너희가 에그론의 신 바알세붑에게 물으러 가느냐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</si>
  <si>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</si>
  <si>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</si>
  <si>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</si>
  <si>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</si>
  <si>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</si>
  <si>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</si>
  <si>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</si>
  <si>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</si>
  <si>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</si>
  <si>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</si>
  <si>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회오리바람 속으로 사라지는 엘리야</t>
    </r>
  </si>
  <si>
    <t xml:space="preserve">건너매 엘리야가 엘리사에게 이르되 나를 네게서 취하시기 전에 내가 네게 어떻게 할 것을 구하라 엘리사가 가로되 당신의 영감이 갑절이나 내게 있기를 구하나이다</t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</si>
  <si>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</si>
  <si>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</si>
  <si>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</si>
  <si>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</si>
  <si>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</si>
  <si>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</si>
  <si>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</si>
  <si>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</si>
  <si>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</si>
  <si>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</si>
  <si>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엘리사</t>
  </si>
  <si>
    <t xml:space="preserve">엘리사가 물 근원으로 나아가서 소금을 그 가운데 던지며 가로되 여호와의 말씀이 내가 이 물을 고쳤으니 이로 좇아 다시는 죽음이나 토산이 익지 못하고 떨어짐이 없을지니라 하셨느니라 하니</t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</si>
  <si>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</si>
  <si>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</si>
  <si>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</si>
  <si>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</si>
  <si>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</si>
  <si>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</si>
  <si>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</si>
  <si>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</si>
  <si>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</si>
  <si>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</si>
  <si>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기름병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</si>
  <si>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이르시기를 너희가 바람도 보지 못하고 비도 보지 못하되 이 골짜기에 물이 가득하여 너희와 너희 육축과 짐승이 마시리라 하셨나이다</t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</si>
  <si>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</si>
  <si>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</si>
  <si>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</si>
  <si>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</si>
  <si>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</si>
  <si>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</si>
  <si>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</si>
  <si>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</si>
  <si>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</si>
  <si>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그릇에 다 찬지라 여인이 아들에게 이르되 또 그릇을 내게로 가져오라 아들이 가로되 다른 그릇이 없나이다 하니 기름이 곧 그쳤더라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</si>
  <si>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</si>
  <si>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</si>
  <si>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</si>
  <si>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</si>
  <si>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</si>
  <si>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</si>
  <si>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</si>
  <si>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</si>
  <si>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</si>
  <si>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</si>
  <si>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침상 위 아이가 재채기를 하며 눈을 뜨는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</si>
  <si>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</si>
  <si>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내려서 집 안에서 한 번 이리저리 다니고 다시 아이 위에 올라 엎드리니 아이가 일곱 번 재채기 하고 눈을 뜨는지라</t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</si>
  <si>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</si>
  <si>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</si>
  <si>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</si>
  <si>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</si>
  <si>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</si>
  <si>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</si>
  <si>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</si>
  <si>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</si>
  <si>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</si>
  <si>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게하시의 거짓말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</si>
  <si>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저가 드디어 무리 앞에 베풀었더니 여호와의 말씀과 같이 다 먹고 남았더라</t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</si>
  <si>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</si>
  <si>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</si>
  <si>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</si>
  <si>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</si>
  <si>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</si>
  <si>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</si>
  <si>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</si>
  <si>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</si>
  <si>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</si>
  <si>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요단강에서 일곱 번째로 올라오는 장군의 깨끗한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</si>
  <si>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</si>
  <si>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나아만이 이에 내려가서 하나님의 사람의 말씀대로 요단 강에 일곱 번 몸을 잠그니 그 살이 여전하여 어린아이의 살 같아서 깨끗하게 되었더라</t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</si>
  <si>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</si>
  <si>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</si>
  <si>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</si>
  <si>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</si>
  <si>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</si>
  <si>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</si>
  <si>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</si>
  <si>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</si>
  <si>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</si>
  <si>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떠오른 도끼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</si>
  <si>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이르되 그 사람이 수레에서 내려 너를 맞을 때에 내 심령이 감각되지 아니하였느냐 지금이 어찌 은을 받으며 옷을 받으며 감람원이나 포도원이나 양이나 소나 남종이나 여종을 받을 때냐</t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</si>
  <si>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</si>
  <si>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</si>
  <si>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</si>
  <si>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</si>
  <si>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</si>
  <si>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</si>
  <si>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</si>
  <si>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</si>
  <si>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하나님의 사람이 가로되 어디 빠졌느냐 하매 그 곳을 보이는지라 엘리사가 나뭇가지를 베어 물에 던져서도끼로 떠오르게 하고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</si>
  <si>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</si>
  <si>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</si>
  <si>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</si>
  <si>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</si>
  <si>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</si>
  <si>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</si>
  <si>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</si>
  <si>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</si>
  <si>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</si>
  <si>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산을 가득 메운 불말과 불병거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</si>
  <si>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</si>
  <si>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두려워하지 말라 우리와 함께한 자가 저와 함께한 자보다 많으니라 하고</t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</si>
  <si>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</si>
  <si>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</si>
  <si>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</si>
  <si>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</si>
  <si>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</si>
  <si>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</si>
  <si>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</si>
  <si>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</si>
  <si>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</si>
  <si>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텅 빈 적군 진영에 들어선 네 명의 나병환자</t>
  </si>
  <si>
    <t xml:space="preserve">문둥이가 서로 말하되 우리의 소위가 선치 못하도다 오늘날은 아름다운 소식이 있는 날이어늘 우리가 잠잠하고 있도다 만일 밝은 아침까지 기다리면 벌이 우리에게 미칠지니 이제 떠나 왕궁에 가서 고하자 하고</t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</si>
  <si>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</si>
  <si>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</si>
  <si>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</si>
  <si>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</si>
  <si>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</si>
  <si>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</si>
  <si>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</si>
  <si>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</si>
  <si>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</si>
  <si>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왕이 그 여인에게 물으매 여인이 고한지라 왕이 저를 위하여 한 관리를 임명하여 가로되 무릇 이 여인에게 속한 것과 이 땅에서 떠날 때부터 이제까지 그 밭의 소출을 다 돌려 주라 하였더라</t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</si>
  <si>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</si>
  <si>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</si>
  <si>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</si>
  <si>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</si>
  <si>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</si>
  <si>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</si>
  <si>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</si>
  <si>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</si>
  <si>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</si>
  <si>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</si>
  <si>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반쪽짜리 개혁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</si>
  <si>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예후가 일어나 집으로 들어가니 소년이 그 머리에 기름을 부으며 이르되 이스라엘 하나님 여호와의 말씀이 내가 네게 기름을 부어 여호와의 백성 곧 이스라엘의 왕을 삼노니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</si>
  <si>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</si>
  <si>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</si>
  <si>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</si>
  <si>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</si>
  <si>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</si>
  <si>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</si>
  <si>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</si>
  <si>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</si>
  <si>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그러나 예후가 전심으로 이스라엘 하나님 여호와의 율법을 지켜 행하지 아니하며 여로보암이 이스라엘로 범하게 한 그 죄에서 떠나지 아니하였더라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</si>
  <si>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</si>
  <si>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</si>
  <si>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</si>
  <si>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</si>
  <si>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</si>
  <si>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</si>
  <si>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</si>
  <si>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</si>
  <si>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</si>
  <si>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골방에 숨겨진 아기 왕</t>
  </si>
  <si>
    <t xml:space="preserve">요아스가 저와 함께 여호와의 전에 육 년을 숨어 있는 동안에 아달랴가 나라를 다스렸더라</t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</si>
  <si>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</si>
  <si>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</si>
  <si>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</si>
  <si>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</si>
  <si>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</si>
  <si>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</si>
  <si>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</si>
  <si>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</si>
  <si>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</si>
  <si>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요아스가 제사장 여호야다의 교훈을 받을 동안에 여호와 보시기에 정직히 행하였으되</t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</si>
  <si>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</si>
  <si>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</si>
  <si>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</si>
  <si>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</si>
  <si>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</si>
  <si>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</si>
  <si>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</si>
  <si>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</si>
  <si>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</si>
  <si>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마침 사람을 장사하는 자들이 그 적당을 보고 그 시체를 엘리사의 묘실에 들이던지매 시체가 엘리사의 뼈에 닿자 곧 회생하여 일어섰더라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</si>
  <si>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</si>
  <si>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</si>
  <si>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</si>
  <si>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</si>
  <si>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</si>
  <si>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</si>
  <si>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</si>
  <si>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</si>
  <si>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여호와께서 또 이스라엘의 이름을 도말하여 천하에 없이 하겠다고도 아니하셨으므로 요아스의 아들 여로보암의 손으로 구원하심이었더라</t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</si>
  <si>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</si>
  <si>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</si>
  <si>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</si>
  <si>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</si>
  <si>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</si>
  <si>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</si>
  <si>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</si>
  <si>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</si>
  <si>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</si>
  <si>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사슬에 묶여 끌려가는 포로 행렬</t>
  </si>
  <si>
    <t xml:space="preserve">여호와께서 각 선지자와 각 선견자로 이스라엘과 유다를 경계하여 이르시기를 너희는 돌이켜 너희 악한 길에서 떠나 나의 명령과 율례를 지키되 내가 너희 열조에게 명하고 또 나의 종 선지자들로 너희에게 전한 모든 율법대로 행하라 하셨으나</t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</si>
  <si>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</si>
  <si>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</si>
  <si>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</si>
  <si>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</si>
  <si>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</si>
  <si>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</si>
  <si>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</si>
  <si>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</si>
  <si>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</si>
  <si>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</si>
  <si>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</si>
  <si>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히스기야가 이스라엘 하나님 여호와를 의지하였는데 그의 전후 유다 여러 왕 중에 그러한 자가 없었으니</t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</si>
  <si>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</si>
  <si>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</si>
  <si>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</si>
  <si>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</si>
  <si>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</si>
  <si>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</si>
  <si>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</si>
  <si>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</si>
  <si>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</si>
  <si>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</si>
  <si>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바닥에 펼쳐 놓은 위협 편지 앞의 왕</t>
  </si>
  <si>
    <t xml:space="preserve">우리 하나님 여호와여 원컨대 이제 우리를 그 손에서 구원하옵소서 그리하시면 천하 만국이 주 여호와는 홀로 하나님이신 줄 알리이다 하니라</t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</si>
  <si>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</si>
  <si>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</si>
  <si>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</si>
  <si>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</si>
  <si>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</si>
  <si>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</si>
  <si>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</si>
  <si>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</si>
  <si>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</si>
  <si>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돌아가서 내 백성의 주권자 히스기야에게 이르기를 왕의 조상 다윗의 하나님 여호와의 말씀이 내가 네 기도를 들었고 네 눈물을 보았노라 내가 너를 낫게 하리니 네가 삼일 만에 여호와의 전에 올라가겠고</t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</si>
  <si>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</si>
  <si>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</si>
  <si>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</si>
  <si>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</si>
  <si>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</si>
  <si>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</si>
  <si>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</si>
  <si>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</si>
  <si>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이 백성이 듣지 아니하였고 므낫세의 꾀임을 받고 악을 행한 것이 여호와께서 이스라엘 자손 앞에서 멸하신 열방보다 더욱 심하였더라</t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</si>
  <si>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</si>
  <si>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</si>
  <si>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</si>
  <si>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</si>
  <si>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</si>
  <si>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</si>
  <si>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</si>
  <si>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</si>
  <si>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먼지 쌓인 두루마리를 펼치는 제사장</t>
  </si>
  <si>
    <t xml:space="preserve">내가 이 곳과 그 거민에게 대하여 빈 터가 되고 저주가 되리라 한 말을 네가 듣고 마음이 연하여 여호와 앞 곧 내 앞에서 겸비하여 옷을 찢고 통곡하였으므로 나도 네 말을 들었노라 여호와가 말하였느니라</t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</si>
  <si>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</si>
  <si>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</si>
  <si>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</si>
  <si>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</si>
  <si>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</si>
  <si>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</si>
  <si>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</si>
  <si>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</si>
  <si>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</si>
  <si>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요시야와 같이 마음을 다하며 성품을 다하며 힘을 다하여 여호와를 향하여 모세의 모든 율법을 온전히 준행한 임금은 요시야 전에도 없었고 후에도 그와 같은 자가 없었더라</t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</si>
  <si>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</si>
  <si>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</si>
  <si>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</si>
  <si>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</si>
  <si>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</si>
  <si>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</si>
  <si>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</si>
  <si>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</si>
  <si>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이 일이 유다에 임함은 곧 여호와의 명하신 바로 저희를 자기 앞에서 물리치고자 하심이니 이는 므낫세의 지은 모든 죄로 인함이며</t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</si>
  <si>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</si>
  <si>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</si>
  <si>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</si>
  <si>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</si>
  <si>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</si>
  <si>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</si>
  <si>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</si>
  <si>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</si>
  <si>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</si>
  <si>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</si>
  <si>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불타는 예루살렘 성벽</t>
  </si>
  <si>
    <t xml:space="preserve">그 죄수의 의복을 바꾸게 하고 그 일평생에 항상 왕의 앞에서 먹게 하였고</t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</si>
  <si>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</si>
  <si>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</si>
  <si>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</si>
  <si>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</si>
  <si>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</si>
  <si>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</si>
  <si>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</si>
  <si>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</si>
  <si>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</si>
  <si>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</si>
  <si>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</si>
  <si>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온 이스라엘이 그 보계대로 계수되고 이스라엘 열왕기에 기록되니라 유다가 범죄함을 인하여 바벨론으로 사로잡혀 갔더니</t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</si>
  <si>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</si>
  <si>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</si>
  <si>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</si>
  <si>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</si>
  <si>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</si>
  <si>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</si>
  <si>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</si>
  <si>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</si>
  <si>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</si>
  <si>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</t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</si>
  <si>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</si>
  <si>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</si>
  <si>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</si>
  <si>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</si>
  <si>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</si>
  <si>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</si>
  <si>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</si>
  <si>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</si>
  <si>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만군의 여호와께서 함께 계시니 다윗이 점점 강성하여 가니라</t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</si>
  <si>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</si>
  <si>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</si>
  <si>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</si>
  <si>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</si>
  <si>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</si>
  <si>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</si>
  <si>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</si>
  <si>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</si>
  <si>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</si>
  <si>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</si>
  <si>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</si>
  <si>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</si>
  <si>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</si>
  <si>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</si>
  <si>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</si>
  <si>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</si>
  <si>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다윗이 거기서 여호와를 위하여 단을 쌓고 번제와 화목제를 드려 여호와께 아뢰었더니 여호와께서 하늘에서부터 번제단 위에 불을 내려 응답하시고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</si>
  <si>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</si>
  <si>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</si>
  <si>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</si>
  <si>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</si>
  <si>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</si>
  <si>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</si>
  <si>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</si>
  <si>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</si>
  <si>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다윗이 가로되 내 아들 솔로몬이 어리고 연약하고 여호와를 위하여 건축할 전은 극히 장려하여 만국에 명성과 영광이 있게 하여야 할지라 그러므로 내가 이제 위하여 준비하리라 하고 죽기 전에 많이 준비하였더라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</si>
  <si>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</si>
  <si>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</si>
  <si>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</si>
  <si>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</si>
  <si>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</si>
  <si>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</si>
  <si>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</si>
  <si>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</si>
  <si>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여호와여 광대하심과 권능과 영광과 이김과 위엄이 다 주께 속하였사오니 천지에 있는 것이 다 주의 것이로소이다 여호와여 주권도 주께 속하였사오니 주는 높으사 만유의 머리심이니이다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</si>
  <si>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</si>
  <si>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</si>
  <si>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</si>
  <si>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</si>
  <si>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</si>
  <si>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</si>
  <si>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</si>
  <si>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</si>
  <si>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</si>
  <si>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내 이름으로 일컫는 내 백성이 그 악한 길에서 떠나 스스로 겸비하고 기도하여 내 얼굴을 구하면 내가 하늘에서 듣고 그 죄를 사하고 그 땅을 고칠지라</t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</si>
  <si>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</si>
  <si>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</si>
  <si>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</si>
  <si>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</si>
  <si>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</si>
  <si>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</si>
  <si>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</si>
  <si>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여호와의 눈은 온 땅을 두루 감찰하사 전심으로 자기에게 향하는 자를 위하여 능력을 베푸시나니 이 일은 왕이 망령되이 행하였은즉 이 후부터는 왕에게 전쟁이 있으리이다 하매</t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</si>
  <si>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</si>
  <si>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</si>
  <si>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</si>
  <si>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</si>
  <si>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</si>
  <si>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</si>
  <si>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</si>
  <si>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</si>
  <si>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</si>
  <si>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</si>
  <si>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군대 맨 앞에서 노래하며 걸어가는 찬양대</t>
  </si>
  <si>
    <t xml:space="preserve">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</t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</si>
  <si>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</si>
  <si>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</si>
  <si>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</si>
  <si>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</si>
  <si>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</si>
  <si>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</si>
  <si>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</si>
  <si>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</si>
  <si>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</si>
  <si>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저가 강성하여지매 그 마음이 교만하여 악을 행하여 그 하나님 여호와께 범죄하되 곧 여호와의 전에 들어가서 향단에 분향하려 한지라</t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</si>
  <si>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</si>
  <si>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</si>
  <si>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</si>
  <si>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</si>
  <si>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</si>
  <si>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</si>
  <si>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</si>
  <si>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</si>
  <si>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너희가 만일 여호와께 돌아오면 너희 형제와 너희 자녀가 사로잡은 자에게서 자비를 입어 다시 이 땅으로 돌아오리라 너희 하나님 여호와는 은혜로우시고 자비하신지라 너희가 그에게로 돌아오면 그 얼굴을 너희에게서 돌이키지 아니하시리라 하였더라</t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</si>
  <si>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</si>
  <si>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</si>
  <si>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</si>
  <si>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</si>
  <si>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</si>
  <si>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</si>
  <si>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</si>
  <si>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</si>
  <si>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</si>
  <si>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쇠사슬에 묶인 채 무릎 꿇고 기도하는 왕</t>
  </si>
  <si>
    <t xml:space="preserve">기도한 고로 하나님이 그 기도를 받으시며 그 간구를 들으시사 저로 예루살렘에 돌아와서 다시 왕위에 거하게 하시매 므낫세가 그제야 여호와께서 하나님이신 줄을 알았더라</t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</si>
  <si>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</si>
  <si>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</si>
  <si>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</si>
  <si>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</si>
  <si>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</si>
  <si>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</si>
  <si>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</si>
  <si>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</si>
  <si>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오히려 어렸을 때 곧 위에 있은 지 팔 년에 그 조상 다윗의 하나님을 비로소 구하고 그 십이년에 유다와 예루살렘을 비로소 정결케 하여 그 산당과 아세라 목상들과 아로새긴 우상들과 부어 만든 우상들을 제하여 버리매</t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</si>
  <si>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</si>
  <si>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</si>
  <si>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</si>
  <si>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</si>
  <si>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</si>
  <si>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</si>
  <si>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</si>
  <si>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</si>
  <si>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바사 왕 고레스는 말하노니 하늘의 신 여호와께서 세상 만국으로 내게 주셨고 나를 명하여 유다 예루살렘에 전을 건축하라 하셨나니 너희 중에 무릇 그 백성 된 자는 다 올라갈지어다 너희 하나님 여호와께서 함께 하시기를 원하노라 하였더라</t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</si>
  <si>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</si>
  <si>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</si>
  <si>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</si>
  <si>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</si>
  <si>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</si>
  <si>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</si>
  <si>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</si>
  <si>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</si>
  <si>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</si>
  <si>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</si>
  <si>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</si>
  <si>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돌아가라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칙령이 적힌 두루마리를 펼치는 왕</t>
    </r>
  </si>
  <si>
    <t xml:space="preserve">바사 왕 고레스 원년에 여호와께서 예레미야의 입으로 하신 말씀을 응하게 하시려고 바사 왕 고레스의 마음을 감동시키시매 저가 온 나라에 공포도 하고 조서도 내려 가로되</t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</si>
  <si>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</si>
  <si>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</si>
  <si>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</si>
  <si>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</si>
  <si>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</si>
  <si>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</si>
  <si>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</si>
  <si>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</si>
  <si>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</si>
  <si>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</si>
  <si>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어떤 족장들이 예루살렘 여호와의 전 터에 이르러 하나님의 전을 그 곳에 다시 건축하려고 예물을 즐거이 드리되</t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</si>
  <si>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</si>
  <si>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</si>
  <si>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</si>
  <si>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</si>
  <si>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</si>
  <si>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</si>
  <si>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</si>
  <si>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</si>
  <si>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</si>
  <si>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기초 앞에서 한쪽은 울고 한쪽은 환호하는 군중</t>
  </si>
  <si>
    <t xml:space="preserve">서로 찬송가를 화답하며 여호와께 감사하여 가로되 주는 지선하시므로 그 인자하심이 이스라엘에게 영원하시도다 하니 모든 백성이 여호와의 전 지대가 놓임을 보고 여호와를 찬송하며 큰 소리로 즐거이 부르며</t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</si>
  <si>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</si>
  <si>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</si>
  <si>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</si>
  <si>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</si>
  <si>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</si>
  <si>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</si>
  <si>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</si>
  <si>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</si>
  <si>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</si>
  <si>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이로부터 그 땅 백성이 유다 백성의 손을 약하게 하여 그 건축을 방해하되</t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</si>
  <si>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</si>
  <si>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</si>
  <si>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</si>
  <si>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</si>
  <si>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</si>
  <si>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</si>
  <si>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</si>
  <si>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</si>
  <si>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유다 사람의 장로들이 선지자 학개와 잇도의 손자 스가랴의 권면함으로 인하여 전 건축할 일이 형통한지라 이스라엘 하나님의 명령과 바사 왕 고레스와 다리오와 아닥사스다의 조서를 좇아 전을 건축하며 필역하되</t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</si>
  <si>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</si>
  <si>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</si>
  <si>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</si>
  <si>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</si>
  <si>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</si>
  <si>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</si>
  <si>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</si>
  <si>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군대 대신 금식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</si>
  <si>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에스라가 여호와의 율법을 연구하여 준행하며 율례와 규례를 이스라엘에게 가르치기로 결심하였었더라</t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</si>
  <si>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</si>
  <si>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</si>
  <si>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</si>
  <si>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</si>
  <si>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</si>
  <si>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</si>
  <si>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</si>
  <si>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</si>
  <si>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에스라의 회개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</si>
  <si>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우리가 이를 위하여 금식하며 우리 하나님께 간구하였더니 그 응낙하심을 입었느니라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</si>
  <si>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</si>
  <si>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</si>
  <si>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</si>
  <si>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</si>
  <si>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</si>
  <si>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</si>
  <si>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</si>
  <si>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</si>
  <si>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</si>
  <si>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말하기를 나의 하나님이여 내가 부끄러워 낯이 뜨뜻하여 감히 나의 하나님을 향하여 얼굴을 들지 못하오니 이는 우리 죄악이 많아 정수리에 넘치고 우리 허물이 커서 하늘에 미침이니이다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</si>
  <si>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</si>
  <si>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</si>
  <si>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</si>
  <si>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</si>
  <si>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</si>
  <si>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</si>
  <si>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</si>
  <si>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</si>
  <si>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</si>
  <si>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</si>
  <si>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</si>
  <si>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성벽 소식을 듣고 주저앉아 우는 왕의 관원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</si>
  <si>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</si>
  <si>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이 말을 듣고 앉아서 울고 수일 동안 슬퍼하며 하늘의 하나님 앞에 금식하며 기도하여</t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</si>
  <si>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</si>
  <si>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</si>
  <si>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</si>
  <si>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</si>
  <si>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</si>
  <si>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</si>
  <si>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</si>
  <si>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</si>
  <si>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달빛 아래 무너진 성벽을 홀로 살피는 느헤미야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</si>
  <si>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</si>
  <si>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저희에게 하나님의 선한 손이 나를 도우신 일과 왕이 내게 이른 말씀을 고하였더니 저희의 말이 일어나 건축하자 하고 모두 힘을 내어 이 선한 일을 하려 하매</t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</si>
  <si>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</si>
  <si>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</si>
  <si>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</si>
  <si>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</si>
  <si>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</si>
  <si>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</si>
  <si>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</si>
  <si>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</si>
  <si>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</si>
  <si>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마문 위로부터는 제사장들이 각각 자기 집과 마주 대한 부분을 중수하였고</t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</si>
  <si>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</si>
  <si>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</si>
  <si>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</si>
  <si>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</si>
  <si>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</si>
  <si>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</si>
  <si>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</si>
  <si>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</si>
  <si>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</si>
  <si>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한 손엔 벽돌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칼을 든 일꾼들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</si>
  <si>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</si>
  <si>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성을 건축하는 자와 담부하는 자는 다 각각 한 손으로 일을 하며 한 손에는 병기를 잡았는데</t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</si>
  <si>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</si>
  <si>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</si>
  <si>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</si>
  <si>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</si>
  <si>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</si>
  <si>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</si>
  <si>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</si>
  <si>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</si>
  <si>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'52</t>
    </r>
    <r>
      <rPr>
        <sz val="10"/>
        <color rgb="FF000000"/>
        <rFont val="WenQuanYi Zen Hei"/>
        <family val="2"/>
      </rPr>
      <t xml:space="preserve">일 만의 완성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</si>
  <si>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또 이르기를 너희의 소위가 좋지 못하도다 우리 대적 이방 사람의 비방을 생각하고 우리 하나님을 경외함에 행할 것이 아니냐</t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</si>
  <si>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</si>
  <si>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</si>
  <si>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</si>
  <si>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</si>
  <si>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</si>
  <si>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</si>
  <si>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</si>
  <si>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</si>
  <si>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우리 모든 대적과 사면 이방 사람들이 이를 듣고 다 두려워하여 스스로 낙담하였으니 이는 이 역사를 우리 하나님이 이루신 것을 앎이니라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</si>
  <si>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</si>
  <si>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</si>
  <si>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</si>
  <si>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</si>
  <si>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</si>
  <si>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</si>
  <si>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</si>
  <si>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</si>
  <si>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</si>
  <si>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두루마리를 펼치자 일제히 일어서는 백성</t>
  </si>
  <si>
    <t xml:space="preserve">느헤미야가 또 이르기를 너희는 가서 살진 것을 먹고 단 것을 마시되 예비치 못한 자에게는 너희가 나누어 주라 이 날은 우리 주의 성일이니 근심하지 말라 여호와를 기뻐하는 것이 너희의 힘이니라 하고</t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</si>
  <si>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</si>
  <si>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</si>
  <si>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</si>
  <si>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</si>
  <si>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</si>
  <si>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</si>
  <si>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</si>
  <si>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</si>
  <si>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</si>
  <si>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거역하며 주께서 저희 가운데 행하신 기사를 생각지 아니하고 목을 굳게 하며 패역하여 스스로 한 두목을 세우고 종 되었던 땅으로 돌아가고자 하였사오나 오직 주는 사유하시는 하나님이시라 은혜로우시며 긍휼히 여기시며 더디 노하시며 인자가 풍부하시므로 저희를 버리지 아니하셨나이다</t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</si>
  <si>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</si>
  <si>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</si>
  <si>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</si>
  <si>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</si>
  <si>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</si>
  <si>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</si>
  <si>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</si>
  <si>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</si>
  <si>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이 날에 무리가 크게 제사를 드리고 심히 즐거워하였으니 이는 하나님이 크게 즐거워하게 하셨음이라 부녀와 어린아이도 즐거워하였으므로 예루살렘의 즐거워하는 소리가 멀리 들렸느니라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</si>
  <si>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</si>
  <si>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</si>
  <si>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</si>
  <si>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</si>
  <si>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</si>
  <si>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</si>
  <si>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</si>
  <si>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</si>
  <si>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</si>
  <si>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</si>
  <si>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</si>
  <si>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</si>
  <si>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그러나 왕후 와스디가 내시의 전하는 왕명을 좇아 오기를 싫어하니 왕이 진노하여 중심이 불붙는 듯하더라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</si>
  <si>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</si>
  <si>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</si>
  <si>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</si>
  <si>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</si>
  <si>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</si>
  <si>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</si>
  <si>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</si>
  <si>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</si>
  <si>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</si>
  <si>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</si>
  <si>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평범한 소녀의 머리 위에 씌워지는 왕관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</si>
  <si>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하만의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</si>
  <si>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모든 여자보다 에스더를 더욱 사랑하므로 저가 모든 처녀보다 왕의 앞에 더욱 은총을 얻은지라 왕이 그 머리에 면류관을 씌우고 와스디를 대신하여 왕후를 삼은 후에</t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</si>
  <si>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</si>
  <si>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</si>
  <si>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</si>
  <si>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</si>
  <si>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</si>
  <si>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</si>
  <si>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</si>
  <si>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</si>
  <si>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</si>
  <si>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 앞으로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</si>
  <si>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모르드개가 알고 왕후 에스더에게 고하니 에스더가 모르드개의 이름으로 왕에게 고한지라</t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</si>
  <si>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</si>
  <si>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</si>
  <si>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</si>
  <si>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</si>
  <si>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</si>
  <si>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</si>
  <si>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</si>
  <si>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</si>
  <si>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</si>
  <si>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모두가 절하는데 홀로 서 있는 한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</si>
  <si>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</si>
  <si>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모르드개의 민족을 하만에게 고한 고로 하만이 모르드개만 죽이는 것이 경하다 하고 아하수에로의 온 나라에 있는 유다인 곧 모르드개의 민족을 다 멸하고자 하더라</t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</si>
  <si>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</si>
  <si>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</si>
  <si>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</si>
  <si>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</si>
  <si>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</si>
  <si>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</si>
  <si>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</si>
  <si>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</si>
  <si>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굳게 닫힌 왕의 방 문 앞에 선 왕비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</si>
  <si>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잠 못 이룬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</si>
  <si>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때에 네가 만일 잠잠하여 말이 없으면 유다인은 다른 데로 말미암아 놓임과 구원을 얻으려니와 너와 네 아비 집은 멸망하리라 네가 왕후의 위를 얻은 것이 이 때를 위함이 아닌지 누가 아느냐</t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</si>
  <si>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</si>
  <si>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</si>
  <si>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</si>
  <si>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</si>
  <si>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</si>
  <si>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</si>
  <si>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</si>
  <si>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</si>
  <si>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</si>
  <si>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새로운 조서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</si>
  <si>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왕후 에스더가 뜰에 선 것을 본즉 심히 사랑스러우므로 손에 잡았던 금홀을 그에게 내어미니 에스더가 가까이 가서 금홀 끝을 만진지라</t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</si>
  <si>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</si>
  <si>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</si>
  <si>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</si>
  <si>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</si>
  <si>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</si>
  <si>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</si>
  <si>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</si>
  <si>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</si>
  <si>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</si>
  <si>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잠 못 이루는 왕 앞에 펼쳐지는 궁중 기록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</si>
  <si>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</si>
  <si>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왕이 잠이 오지 아니하므로 명하여 역대 일기를 가져다가 자기 앞에서 읽히더니</t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</si>
  <si>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</si>
  <si>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</si>
  <si>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</si>
  <si>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</si>
  <si>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</si>
  <si>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</si>
  <si>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</si>
  <si>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잔치 자리에서 하만을 가리키는 에스더의 손</t>
  </si>
  <si>
    <t xml:space="preserve">모르드개를 달고자 한 나무에 하만을 다니 왕의 노가 그치니라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</si>
  <si>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</si>
  <si>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</si>
  <si>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</si>
  <si>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</si>
  <si>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</si>
  <si>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</si>
  <si>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</si>
  <si>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</si>
  <si>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부림절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</si>
  <si>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유다인에게는 영광과 즐거움과 기쁨과 존귀함이 있는지라</t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</si>
  <si>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</si>
  <si>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</si>
  <si>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</si>
  <si>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</si>
  <si>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</si>
  <si>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</si>
  <si>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</si>
  <si>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</si>
  <si>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</si>
  <si>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이 달 이 날에 유다인이 대적에게서 벗어나서 평안함을 얻어 슬픔이 변하여 기쁨이 되고 애통이 변하여 길한 날이 되었으니 이 두 날을 지켜 잔치를 베풀고 즐기며 서로 예물을 주며 가난한 자를 구제하라 하매</t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</si>
  <si>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</si>
  <si>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</si>
  <si>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</si>
  <si>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</si>
  <si>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</si>
  <si>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</si>
  <si>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</si>
  <si>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</si>
  <si>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</si>
  <si>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</si>
  <si>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</si>
  <si>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</si>
  <si>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빛으로 가득한 하늘 보좌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내려다보는 장면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</si>
  <si>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하루에 모든 것을 잃다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</si>
  <si>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욥</t>
  </si>
  <si>
    <t xml:space="preserve">여호와께서 사단에게 이르시되 네가 내 종 욥을 유의하여 보았느냐 그와 같이 순전하고 정직하여 하나님을 경외하며 악에서 떠난 자가 세상에 없느니라</t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</si>
  <si>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</si>
  <si>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</si>
  <si>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</si>
  <si>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</si>
  <si>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</si>
  <si>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</si>
  <si>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</si>
  <si>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</si>
  <si>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</si>
  <si>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하루에 연달아 달려오는 네 명의 전령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</si>
  <si>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</si>
  <si>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내가 모태에서 적신이 나왔사온즉 또한 적신이 그리로 돌아가올지라 주신 자도 여호와시요 취하신 자도 여호와시오니 여호와의 이름이 찬송을 받으실지니이다 하고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</si>
  <si>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</si>
  <si>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</si>
  <si>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</si>
  <si>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</si>
  <si>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</si>
  <si>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</si>
  <si>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</si>
  <si>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</si>
  <si>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</si>
  <si>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잿더미 위에 앉아 하늘을 보는 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</si>
  <si>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</si>
  <si>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이르되 그대의 말이 어리석은 여자 중 하나의 말 같도다 우리가 하나님께 복을 받았은즉 재앙도 받지 아니하겠느뇨 하고 이 모든 일에 욥이 입술로 범죄치 아니하니라</t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</si>
  <si>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</si>
  <si>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</si>
  <si>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</si>
  <si>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</si>
  <si>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</si>
  <si>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</si>
  <si>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</si>
  <si>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</si>
  <si>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</si>
  <si>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평강도 없고 안온도 없고 안식도 없고 고난만 임하였구나</t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</si>
  <si>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</si>
  <si>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</si>
  <si>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</si>
  <si>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</si>
  <si>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</si>
  <si>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</si>
  <si>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</si>
  <si>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</si>
  <si>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그가 나를 죽이시리니 내가 소망이 없노라 그러나 그의 앞에서 내 행위를 변백하리라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</si>
  <si>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</si>
  <si>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</si>
  <si>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</si>
  <si>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</si>
  <si>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</si>
  <si>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</si>
  <si>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</si>
  <si>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</si>
  <si>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내가 알기에는 나의 구속자가 살아 계시니 후일에 그가 땅 위에 서실 것이라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</si>
  <si>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</si>
  <si>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</si>
  <si>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</si>
  <si>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</si>
  <si>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</si>
  <si>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</si>
  <si>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나의 가는 길을 오직 그가 아시나니 그가 나를 단련하신 후에는 내가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</si>
  <si>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</si>
  <si>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</si>
  <si>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</si>
  <si>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</si>
  <si>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</si>
  <si>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</si>
  <si>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</si>
  <si>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</si>
  <si>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하나님은 곤고한 자를 그 곤고할 즈음에 구원하시며 학대당할 즈음에 그 귀를 여시나니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</si>
  <si>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</si>
  <si>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</si>
  <si>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</si>
  <si>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</si>
  <si>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</si>
  <si>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</si>
  <si>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</si>
  <si>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</si>
  <si>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</si>
  <si>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</si>
  <si>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폭풍이 소용돌이치는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</si>
  <si>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갑절의 회복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</si>
  <si>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땅의 기초를 놓을 때에 네가 어디 있었느냐 네가 깨달아 알았거든 말할지니라</t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</si>
  <si>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</si>
  <si>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</si>
  <si>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</si>
  <si>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</si>
  <si>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</si>
  <si>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</si>
  <si>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</si>
  <si>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</si>
  <si>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</si>
  <si>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주께 대하여 귀로 듣기만 하였삽더니 이제는 눈으로 주를 뵈옵나이다</t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</si>
  <si>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</si>
  <si>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</si>
  <si>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</si>
  <si>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</si>
  <si>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</si>
  <si>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</si>
  <si>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</si>
  <si>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</si>
  <si>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</si>
  <si>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</si>
  <si>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다시 웃음이 가득한 욥의 집</t>
  </si>
  <si>
    <t xml:space="preserve">욥이 그 벗들을 위하여 빌매 여호와께서 욥의 곤경을 돌이키시고 욥에게 그 전 소유보다 갑절이나 주신지라</t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</si>
  <si>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</si>
  <si>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</si>
  <si>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</si>
  <si>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</si>
  <si>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</si>
  <si>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</si>
  <si>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</si>
  <si>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</si>
  <si>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</si>
  <si>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</si>
  <si>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</si>
  <si>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시냇가에서 열매 맺는 나무와 바람에 날리는 겨</t>
  </si>
  <si>
    <t xml:space="preserve">오직 여호와의 율법을 즐거워하여 그 율법을 주야로 묵상하는 자로다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</si>
  <si>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</si>
  <si>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</si>
  <si>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</si>
  <si>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</si>
  <si>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</si>
  <si>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</si>
  <si>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</si>
  <si>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</si>
  <si>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</si>
  <si>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</si>
  <si>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</si>
  <si>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영을 전하노라 여호와께서 내게 이르시되 너는 내 아들이라 오늘날 내가 너를 낳았도다</t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</si>
  <si>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</si>
  <si>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</si>
  <si>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</si>
  <si>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</si>
  <si>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</si>
  <si>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</si>
  <si>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별이 가득한 밤하늘</t>
  </si>
  <si>
    <t xml:space="preserve">사람이 무엇이관대 주께서 저를 생각하시며 인자가 무엇이관대 주께서 저를 권고하시나이까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</si>
  <si>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</si>
  <si>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</si>
  <si>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</si>
  <si>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</si>
  <si>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</si>
  <si>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</si>
  <si>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</si>
  <si>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하늘이 하나님의 영광을 선포하고 궁창이 그 손으로 하신 일을 나타내는도다</t>
  </si>
  <si>
    <t xml:space="preserve">시편 표제 생략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</si>
  <si>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</si>
  <si>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</si>
  <si>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</si>
  <si>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</si>
  <si>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</si>
  <si>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</si>
  <si>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</si>
  <si>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</si>
  <si>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</si>
  <si>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</si>
  <si>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하늘을 향해 외치는 사람의 실루엣</t>
  </si>
  <si>
    <t xml:space="preserve">내 하나님이여 내 하나님이여 어찌 나를 버리셨나이까 어찌 나를 멀리하여 돕지 아니하옵시며 내 신음하는 소리를 듣지 아니하시나이까</t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</si>
  <si>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</si>
  <si>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</si>
  <si>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</si>
  <si>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</si>
  <si>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</si>
  <si>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</si>
  <si>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</si>
  <si>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</si>
  <si>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</si>
  <si>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어두운 골짜기를 지나는 양과 앞서가는 목자의 지팡이</t>
  </si>
  <si>
    <t xml:space="preserve">여호와는 나의 목자시니 내가 부족함이 없으리로다</t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</si>
  <si>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</si>
  <si>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</si>
  <si>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</si>
  <si>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</si>
  <si>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</si>
  <si>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</si>
  <si>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</si>
  <si>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</si>
  <si>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여호와는 나의 빛이요 나의 구원이시니 내가 누구를 두려워하리요 여호와는 내 생명의 능력이시니 내가 누구를 무서워하리요</t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</si>
  <si>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</si>
  <si>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</si>
  <si>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</si>
  <si>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</si>
  <si>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</si>
  <si>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</si>
  <si>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</si>
  <si>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허물의 사함을 얻고 그 죄의 가리움을 받은 자는 복이 있도다</t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</si>
  <si>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</si>
  <si>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</si>
  <si>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</si>
  <si>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</si>
  <si>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</si>
  <si>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</si>
  <si>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</si>
  <si>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</si>
  <si>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</si>
  <si>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하나님이여 사슴이 시냇물을 찾기에 갈급함같이 내 영혼이 주를 찾기에 갈급하니이다</t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</si>
  <si>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</si>
  <si>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</si>
  <si>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</si>
  <si>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</si>
  <si>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</si>
  <si>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</si>
  <si>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</si>
  <si>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하나님은 우리의 피난처시요 힘이시니 환난 중에 만날 큰 도움이시라</t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</si>
  <si>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</si>
  <si>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</si>
  <si>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</si>
  <si>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</si>
  <si>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</si>
  <si>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</si>
  <si>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</si>
  <si>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</si>
  <si>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방에서 왕관을 내려놓고 무릎 꿇은 왕</t>
  </si>
  <si>
    <t xml:space="preserve">하나님이여 내 속에 정한 마음을 창조하시고 내 안에 정직한 영을 새롭게 하소서</t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</si>
  <si>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</si>
  <si>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</si>
  <si>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</si>
  <si>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</si>
  <si>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</si>
  <si>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</si>
  <si>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</si>
  <si>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</si>
  <si>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영혼아 잠잠히 하나님만 바라라 대저 나의 소망이 저로 좇아 나는도다</t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</si>
  <si>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</si>
  <si>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</si>
  <si>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</si>
  <si>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</si>
  <si>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</si>
  <si>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</si>
  <si>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</si>
  <si>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하나님이여 주는 나의 하나님이시라 내가 간절히 주를 찾되 물이 없어 마르고 곤핍한 땅에서 내 영혼이 주를 갈망하며 내 육체가 주를 앙모하나이다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</si>
  <si>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</si>
  <si>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</si>
  <si>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</si>
  <si>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</si>
  <si>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</si>
  <si>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</si>
  <si>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</si>
  <si>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하나님의 성소에 들어갈 때에야 저희 결국을 내가 깨달았나이다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</si>
  <si>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</si>
  <si>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</si>
  <si>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</si>
  <si>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</si>
  <si>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</si>
  <si>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</si>
  <si>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</si>
  <si>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주의 궁정에서 한 날이 다른 곳에서 천 날보다 나은즉 악인의 장막에 거함보다 내 하나님 문지기로 있는 것이 좋사오니</t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</si>
  <si>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</si>
  <si>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</si>
  <si>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</si>
  <si>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</si>
  <si>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</si>
  <si>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</si>
  <si>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</si>
  <si>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</si>
  <si>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</si>
  <si>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내가 여호와의 인자하심을 영원히 노래하며 주의 성실하심을 내 입으로 대대에 알게 하리이다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</si>
  <si>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</si>
  <si>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</si>
  <si>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</si>
  <si>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</si>
  <si>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</si>
  <si>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</si>
  <si>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</si>
  <si>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</si>
  <si>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</si>
  <si>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우리에게 우리 날 계수함을 가르치사 지혜의 마음을 얻게 하소서</t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</si>
  <si>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</si>
  <si>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</si>
  <si>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</si>
  <si>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</si>
  <si>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</si>
  <si>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</si>
  <si>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</si>
  <si>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</si>
  <si>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</si>
  <si>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여호와를 가리켜 말하기를 저는 나의 피난처요 나의 요새요 나의 의뢰하는 하나님이라 하리니</t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</si>
  <si>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</si>
  <si>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</si>
  <si>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</si>
  <si>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</si>
  <si>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</si>
  <si>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</si>
  <si>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</si>
  <si>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</si>
  <si>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오라 우리가 굽혀 경배하며 우리를 지으신 여호와 앞에 무릎을 꿇자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</si>
  <si>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</si>
  <si>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</si>
  <si>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</si>
  <si>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</si>
  <si>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</si>
  <si>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</si>
  <si>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</si>
  <si>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감사함으로 그 문에 들어가며 찬송함으로 그 궁정에 들어가서 그에게 감사하며 그 이름을 송축할지어다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</si>
  <si>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</si>
  <si>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</si>
  <si>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</si>
  <si>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</si>
  <si>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</si>
  <si>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</si>
  <si>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내 영혼아 여호와를 송축하며 그 모든 은택을 잊지 말지어다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</si>
  <si>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</si>
  <si>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</si>
  <si>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</si>
  <si>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</si>
  <si>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</si>
  <si>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</si>
  <si>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</si>
  <si>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</si>
  <si>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여호와여 주의 하신 일이 어찌 그리 많은지요 주께서 지혜로 저희를 다 지으셨으니 주의 부요가 땅에 가득하니이다</t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</si>
  <si>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</si>
  <si>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</si>
  <si>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</si>
  <si>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</si>
  <si>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</si>
  <si>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</si>
  <si>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</si>
  <si>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그러나 여호와께서 자기 이름을 위하여 저희를 구원하셨으니 그 큰 권능을 알게 하려 하심이로다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</si>
  <si>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</si>
  <si>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</si>
  <si>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</si>
  <si>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</si>
  <si>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</si>
  <si>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</si>
  <si>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</si>
  <si>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</si>
  <si>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</si>
  <si>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</si>
  <si>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여호와께서 내 주에게 말씀하시기를 내가 네 원수로 네 발등상 되게 하기까지 너는 내 우편에 앉으라 하셨도다</t>
  </si>
  <si>
    <r>
      <rPr>
        <sz val="10"/>
        <color rgb="FF000000"/>
        <rFont val="WenQuanYi Zen Hei"/>
        <family val="2"/>
      </rPr>
      <t xml:space="preserve">시편 표제 생략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줄바꿈 띄어쓰기 확인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</si>
  <si>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</si>
  <si>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</si>
  <si>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</si>
  <si>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</si>
  <si>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</si>
  <si>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</si>
  <si>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</si>
  <si>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</si>
  <si>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칠흑 같은 밤길을 비추는 작은 등불</t>
  </si>
  <si>
    <t xml:space="preserve">주의 말씀은 내 발에 등이요 내 길에 빛이니이다</t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</si>
  <si>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</si>
  <si>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</si>
  <si>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</si>
  <si>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</si>
  <si>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</si>
  <si>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</si>
  <si>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</si>
  <si>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</si>
  <si>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</si>
  <si>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도움이 천지를 지으신 여호와에게서로다</t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</si>
  <si>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</si>
  <si>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</si>
  <si>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</si>
  <si>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</si>
  <si>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</si>
  <si>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</si>
  <si>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</si>
  <si>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</si>
  <si>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눈물을 흘리며 씨를 뿌리는 자는 기쁨으로 거두리로다</t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</si>
  <si>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</si>
  <si>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</si>
  <si>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</si>
  <si>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</si>
  <si>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</si>
  <si>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</si>
  <si>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</si>
  <si>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</si>
  <si>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</si>
  <si>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</si>
  <si>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</si>
  <si>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</si>
  <si>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</si>
  <si>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</si>
  <si>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</si>
  <si>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</si>
  <si>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어둠까지 따라가는 빛</t>
    </r>
  </si>
  <si>
    <t xml:space="preserve">주께서 내 장부를 지으시며 나의 모태에서 나를 조직하셨나이다</t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</si>
  <si>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</si>
  <si>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</si>
  <si>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</si>
  <si>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</si>
  <si>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</si>
  <si>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</si>
  <si>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</si>
  <si>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여호와께서는 자기에게 간구하는 모든 자 곧 진실하게 간구하는 모든 자에게 가까이 하시는도다</t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</si>
  <si>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</si>
  <si>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</si>
  <si>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</si>
  <si>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</si>
  <si>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</si>
  <si>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</si>
  <si>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</si>
  <si>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</si>
  <si>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호흡이 있는 자마다 여호와를 찬양할지어다 할렐루야</t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</si>
  <si>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</si>
  <si>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</si>
  <si>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</si>
  <si>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</si>
  <si>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</si>
  <si>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</si>
  <si>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</si>
  <si>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</si>
  <si>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</si>
  <si>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</si>
  <si>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</si>
  <si>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앞 광장에서 외치는 지혜의 목소리</t>
  </si>
  <si>
    <t xml:space="preserve">여호와를 경외하는 것이 지식의 근본이어늘 미련한 자는 지혜와 훈계를 멸시하느니라</t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</si>
  <si>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</si>
  <si>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</si>
  <si>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</si>
  <si>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</si>
  <si>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</si>
  <si>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</si>
  <si>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</si>
  <si>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</si>
  <si>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</si>
  <si>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마음을 다하여 여호와를 의뢰하고 네 명철을 의지하지 말라</t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</si>
  <si>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</si>
  <si>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</si>
  <si>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</si>
  <si>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</si>
  <si>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</si>
  <si>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</si>
  <si>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</si>
  <si>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</si>
  <si>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</si>
  <si>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게으른 자여 개미에게로 가서 그 하는 것을 보고 지혜를 얻으라</t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</si>
  <si>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</si>
  <si>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</si>
  <si>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</si>
  <si>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</si>
  <si>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</si>
  <si>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</si>
  <si>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</si>
  <si>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</si>
  <si>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</si>
  <si>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나를 사랑하는 자들이 나의 사랑을 입으며 나를 간절히 찾는 자가 나를 만날 것이니라</t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</si>
  <si>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</si>
  <si>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</si>
  <si>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</si>
  <si>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</si>
  <si>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</si>
  <si>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</si>
  <si>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</si>
  <si>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</si>
  <si>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유순한 대답은 분노를 쉬게 하여도 과격한 말은 노를 격동하느니라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</si>
  <si>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</si>
  <si>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</si>
  <si>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</si>
  <si>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</si>
  <si>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</si>
  <si>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</si>
  <si>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</si>
  <si>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사람이 마음으로 자기의 길을 계획할지라도 그 걸음을 인도하는 자는 여호와시니라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</si>
  <si>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</si>
  <si>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</si>
  <si>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</si>
  <si>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</si>
  <si>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</si>
  <si>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</si>
  <si>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</si>
  <si>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</si>
  <si>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대저 의인은 일곱 번 넘어질지라도 다시 일어나려니와 악인은 재앙으로 인하여 엎드러지느니라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</si>
  <si>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</si>
  <si>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</si>
  <si>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</si>
  <si>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</si>
  <si>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</si>
  <si>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</si>
  <si>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</si>
  <si>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</si>
  <si>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네 원수가 배고파하거든 식물을 먹이고 목말라하거든 물을 마시우라</t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</si>
  <si>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</si>
  <si>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</si>
  <si>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</si>
  <si>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</si>
  <si>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</si>
  <si>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</si>
  <si>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</si>
  <si>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</si>
  <si>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고운 것도 거짓되고 아름다운 것도 헛되나 오직 여호와를 경외하는 여자는 칭찬을 받을 것이라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</si>
  <si>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</si>
  <si>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</si>
  <si>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</si>
  <si>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</si>
  <si>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</si>
  <si>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</si>
  <si>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</si>
  <si>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</si>
  <si>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</si>
  <si>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</si>
  <si>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</si>
  <si>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전도자가 가로되 헛되고 헛되며 헛되고 헛되니 모든 것이 헛되도다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</si>
  <si>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</si>
  <si>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</si>
  <si>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</si>
  <si>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</si>
  <si>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</si>
  <si>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</si>
  <si>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</si>
  <si>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</si>
  <si>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</si>
  <si>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겨울로 빠르게 바뀌는 한 그루 나무</t>
    </r>
  </si>
  <si>
    <t xml:space="preserve">하나님이 모든 것을 지으시되 때를 따라 아름답게 하셨고 또 사람에게 영원을 사모하는 마음을 주셨느니라 그러나 하나님의 하시는 일의 시종을 사람으로 측량할 수 없게 하셨도다</t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</si>
  <si>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</si>
  <si>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</si>
  <si>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</si>
  <si>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</si>
  <si>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</si>
  <si>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</si>
  <si>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</si>
  <si>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</si>
  <si>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한 사람이면 패하겠거니와 두 사람이면 능히 당하나니 삼겹줄은 쉽게 끊어지지 아니하느니라</t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</si>
  <si>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</si>
  <si>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</si>
  <si>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</si>
  <si>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</si>
  <si>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</si>
  <si>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</si>
  <si>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</si>
  <si>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형통한 날에는 기뻐하고 곤고한 날에는 생각하라 하나님이 이 두 가지를 병행하게 하사 사람으로 그 장래 일을 능히 헤아려 알지 못하게 하셨느니라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</si>
  <si>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</si>
  <si>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</si>
  <si>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</si>
  <si>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</si>
  <si>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</si>
  <si>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</si>
  <si>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</si>
  <si>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</si>
  <si>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r>
      <rPr>
        <sz val="10"/>
        <color rgb="FF000000"/>
        <rFont val="WenQuanYi Zen Hei"/>
        <family val="2"/>
      </rPr>
      <t xml:space="preserve">너는 청년의 때 곧 곤고한 날이 이르기 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아무 낙이 없다고 할 해가 가깝기 전에 너의 창조자를 기억하라</t>
    </r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</si>
  <si>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</si>
  <si>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</si>
  <si>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</si>
  <si>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</si>
  <si>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</si>
  <si>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</si>
  <si>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</si>
  <si>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</si>
  <si>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</si>
  <si>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</si>
  <si>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그가 나를 인도하여 잔치집에 들어갔으니 그 사랑이 내 위에 기로구나</t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</si>
  <si>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</si>
  <si>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</si>
  <si>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</si>
  <si>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</si>
  <si>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</si>
  <si>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</si>
  <si>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</si>
  <si>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</si>
  <si>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시온의 여자들아 나와서 솔로몬 왕을 보라 혼인 날 마음이 기쁠 때에 그 모친의 씌운 면류관이 그 머리에 있구나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</si>
  <si>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</si>
  <si>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</si>
  <si>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</si>
  <si>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</si>
  <si>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</si>
  <si>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</si>
  <si>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</si>
  <si>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</si>
  <si>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이 사랑은 많은 물이 꺼치지 못하겠고 홍수라도 엄몰하지 못하나니 사람이 그 온 가산을 다 주고 사랑과 바꾸려 할지라도 오히려 멸시를 받으리라</t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</si>
  <si>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</si>
  <si>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</si>
  <si>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</si>
  <si>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</si>
  <si>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</si>
  <si>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</si>
  <si>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</si>
  <si>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</si>
  <si>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</si>
  <si>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</si>
  <si>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여호와께서 말씀하시되 오라 우리가 서로 변론하자 너희 죄가 주홍 같을지라도 눈과 같이 희어질 것이요 진 홍같이 붉을지라도 양털같이 되리라</t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</si>
  <si>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</si>
  <si>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</si>
  <si>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</si>
  <si>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</si>
  <si>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</si>
  <si>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</si>
  <si>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</si>
  <si>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</si>
  <si>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그가 열방 사이에 판단하시며 많은 백성을 판결하시리니 무리가 그 칼을 쳐서 보습을 만들고 그 창을 쳐서 낫을 만들 것이며 이 나라와 저 나라가 다시는 칼을 들고 서로 치지 아니하며 다시는 전쟁을 연습지 아니하리라</t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</si>
  <si>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</si>
  <si>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</si>
  <si>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</si>
  <si>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</si>
  <si>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</si>
  <si>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</si>
  <si>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</si>
  <si>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</si>
  <si>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</si>
  <si>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</si>
  <si>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</si>
  <si>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숯불을 집어 날아오는 스랍과 연기 가득한 성전</t>
  </si>
  <si>
    <t xml:space="preserve">내가 또 주의 목소리를 들은즉 이르시되 내가 누구를 보내며 누가 우리를 위하여 갈꼬 그 때에 내가 가로되 내가 여기 있나이다 나를 보내소서</t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</si>
  <si>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</si>
  <si>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</si>
  <si>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</si>
  <si>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</si>
  <si>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</si>
  <si>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</si>
  <si>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</si>
  <si>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</si>
  <si>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</si>
  <si>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떨고 있는 왕 앞에서 하늘을 가리키는 선지자</t>
  </si>
  <si>
    <t xml:space="preserve">그러므로 주께서 친히 징조로 너희에게 주실 것이라 보라 처녀가 잉태하여 아들을 낳을 것이요 그 이름을 임마누엘이라 하리라</t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</si>
  <si>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</si>
  <si>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</si>
  <si>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</si>
  <si>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</si>
  <si>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</si>
  <si>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</si>
  <si>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</si>
  <si>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</si>
  <si>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흑암 속에 떠오르는 큰 빛</t>
  </si>
  <si>
    <r>
      <rPr>
        <sz val="10"/>
        <color rgb="FF000000"/>
        <rFont val="WenQuanYi Zen Hei"/>
        <family val="2"/>
      </rPr>
      <t xml:space="preserve">이는 한 아기가 우리에게 났고 한 아들을 우리에게 주신 바 되었는데 그 어깨에는 정사를 메었고 그 이름은 기묘자라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영존하시는 아버지라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평강의 왕이라 할 것임이라</t>
    </r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</si>
  <si>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</si>
  <si>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</si>
  <si>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</si>
  <si>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</si>
  <si>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</si>
  <si>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</si>
  <si>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</si>
  <si>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</si>
  <si>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</si>
  <si>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화 있을진저 앗수르 사람이여 그는 나의 진노의 막대기요 그 손의 몽둥이는 나의 분한이라</t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</si>
  <si>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</si>
  <si>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</si>
  <si>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</si>
  <si>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</si>
  <si>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</si>
  <si>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</si>
  <si>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</si>
  <si>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</si>
  <si>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이새의 줄기에서 한 싹이 나며 그 뿌리에서 한 가지가 나서 결실할 것이요</t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</si>
  <si>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</si>
  <si>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</si>
  <si>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</si>
  <si>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</si>
  <si>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</si>
  <si>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</si>
  <si>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</si>
  <si>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</si>
  <si>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보라 하나님은 나의 구원이시라 내가 의뢰하고 두려움이 없으리니 주 여호와는 나의 힘이시며 나의 노래시며 나의 구원이심이라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</si>
  <si>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</si>
  <si>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</si>
  <si>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</si>
  <si>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</si>
  <si>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</si>
  <si>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</si>
  <si>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</si>
  <si>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</si>
  <si>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</si>
  <si>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</si>
  <si>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만군의 여호와께서 맹세하여 가라사대 나의 생각한 것이 반드시 되며 나의 경영한 것이 반드시 이루리라</t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</si>
  <si>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</si>
  <si>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</si>
  <si>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</si>
  <si>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</si>
  <si>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</si>
  <si>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</si>
  <si>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</si>
  <si>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</si>
  <si>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사망을 영원히 멸하실 것이라 주 여호와께서 모든 얼굴에서 눈물을 씻기시며 그 백성의 수치를 온 천하에서 제하시리라 여호와께서 이같이 말씀하셨느니라</t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</si>
  <si>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</si>
  <si>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</si>
  <si>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</si>
  <si>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</si>
  <si>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</si>
  <si>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</si>
  <si>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</si>
  <si>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</si>
  <si>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그러므로 주 여호와께서 가라사대 보라 내가 한 돌을 시온에 두어 기초를 삼았노니 곧 시험한 돌이요 귀하고 견고한 기초 돌이라 그것을 믿는 자는 급절하게 되지 아니하리로다</t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</si>
  <si>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</si>
  <si>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</si>
  <si>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</si>
  <si>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</si>
  <si>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</si>
  <si>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</si>
  <si>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</si>
  <si>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</si>
  <si>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그 때에 소경의 눈이 밝을 것이며 귀머거리의 귀가 열릴 것이며</t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</si>
  <si>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</si>
  <si>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</si>
  <si>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</si>
  <si>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</si>
  <si>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</si>
  <si>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</si>
  <si>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</si>
  <si>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</si>
  <si>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우리 하나님 여호와여 이제 우리를 그의 손에서 구원하사 천하 만국으로 주만 여호와이신 줄을 알게 하옵소서</t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</si>
  <si>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</si>
  <si>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</si>
  <si>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</si>
  <si>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</si>
  <si>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</si>
  <si>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</si>
  <si>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</si>
  <si>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</si>
  <si>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보옵소서 내게 큰 고통을 더하신 것은 내게 평안을 주려 하심이라 주께서 나의 영혼을 사랑하사 멸망의 구덩이에서 건지셨고 나의 모든 죄는 주의 등 뒤에 던지셨나이다</t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</si>
  <si>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</si>
  <si>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</si>
  <si>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</si>
  <si>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</si>
  <si>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</si>
  <si>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</si>
  <si>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</si>
  <si>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</si>
  <si>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풀은 마르고 꽃은 시드나 우리 하나님의 말씀은 영영히 서리라 하라</t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</si>
  <si>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</si>
  <si>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</si>
  <si>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</si>
  <si>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</si>
  <si>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</si>
  <si>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</si>
  <si>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</si>
  <si>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</si>
  <si>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지친 사람 위로 힘차게 날아오르는 독수리</t>
  </si>
  <si>
    <t xml:space="preserve">오직 여호와를 앙망하는 자는 새 힘을 얻으리니 독수리의 날개 치며 올라감 같을 것이요 달음박질하여도 곤비치 아니하겠고 걸어가도 피곤치 아니하리로다</t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</si>
  <si>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</si>
  <si>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</si>
  <si>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</si>
  <si>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</si>
  <si>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</si>
  <si>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</si>
  <si>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</si>
  <si>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</si>
  <si>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</si>
  <si>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</si>
  <si>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두려워 말라 내가 너와 함께 함이니라 놀라지 말라 나는 네 하나님이 됨이니라 내가 너를 굳세게 하리라 참으로 너를 도와 주리라 참으로 나의 의로운 오른손으로 너를 붙들리라</t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</si>
  <si>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</si>
  <si>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</si>
  <si>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</si>
  <si>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</si>
  <si>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</si>
  <si>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</si>
  <si>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</si>
  <si>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</si>
  <si>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</si>
  <si>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땅 끝의 모든 백성아 나를 앙망하라 그리하면 구원을 얻으리라 나는 하나님이라 다른 이가 없음이니라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</si>
  <si>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</si>
  <si>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</si>
  <si>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</si>
  <si>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</si>
  <si>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</si>
  <si>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</si>
  <si>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</si>
  <si>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너희가 노년에 이르기까지 내가 그리하겠고 백발이 되기까지 내가 너희를 품을 것이라 내가 지었은즉 안을 것이요 품을 것이요 구하여 내리라</t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</si>
  <si>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</si>
  <si>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</si>
  <si>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</si>
  <si>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</si>
  <si>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</si>
  <si>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</si>
  <si>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</si>
  <si>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</si>
  <si>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</si>
  <si>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그가 가라사대 네가 나의 종이 되어 야곱의 지파들을 일으키며 이스라엘 중에 보전된 자를 돌아오게 할 것은 오히려 경한 일이라 내가 또 너로 이방의 빛을 삼아 나의 구원을 베풀어서 땅 끝까지 이르게 하리라</t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</si>
  <si>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</si>
  <si>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</si>
  <si>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</si>
  <si>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</si>
  <si>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</si>
  <si>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</si>
  <si>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</si>
  <si>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</si>
  <si>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</si>
  <si>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좋은 소식을 가져오며 평화를 공포하며 복된 좋은 소식을 가져오며 구원을 공포하며 시온을 향하여 이르기를 네 하나님이 통치하신다 하는 자의 산을 넘는 발이 어찌 그리 아름다운고</t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</si>
  <si>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</si>
  <si>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</si>
  <si>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</si>
  <si>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</si>
  <si>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</si>
  <si>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</si>
  <si>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</si>
  <si>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</si>
  <si>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</si>
  <si>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</si>
  <si>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실루엣 위로 내리는 빛</t>
  </si>
  <si>
    <t xml:space="preserve">그가 찔림은 우리의 허물을 인함이요 그가 상함은 우리의 죄악을 인함이라 그가 징계를 받음으로 우리가 평화를 누리고 그가 채찍에 맞음으로 우리가 나음을 입었도다</t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</si>
  <si>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</si>
  <si>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</si>
  <si>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</si>
  <si>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</si>
  <si>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</si>
  <si>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</si>
  <si>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</si>
  <si>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</si>
  <si>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</si>
  <si>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 목마른 자들아 물로 나아오라 돈 없는 자도 오라 너희는 와서 사 먹되 돈 없이 값없이 와서 포도주와 젖을 사라</t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</si>
  <si>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</si>
  <si>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</si>
  <si>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</si>
  <si>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</si>
  <si>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</si>
  <si>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</si>
  <si>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</si>
  <si>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나의 기뻐하는 금식은 흉악의 결박을 풀어 주며 멍에의 줄을 끌러 주며 압제당하는 자를 자유케 하며 모든 멍에를 꺾는 것이 아니겠느냐</t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</si>
  <si>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</si>
  <si>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</si>
  <si>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</si>
  <si>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</si>
  <si>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</si>
  <si>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</si>
  <si>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</si>
  <si>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</si>
  <si>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일어나라 빛을 발하라 이는 네 빛이 이르렀고 여호와의 영광이 네 위에 임하였음이니라</t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</si>
  <si>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</si>
  <si>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</si>
  <si>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</si>
  <si>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</si>
  <si>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</si>
  <si>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</si>
  <si>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</si>
  <si>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보라 내가 새 하늘과 새 땅을 창조하나니 이전 것은 기억되거나 마음에 생각나지 아니할 것이라</t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</si>
  <si>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</si>
  <si>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</si>
  <si>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</si>
  <si>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</si>
  <si>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</si>
  <si>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</si>
  <si>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</si>
  <si>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</si>
  <si>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</si>
  <si>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</si>
  <si>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</si>
  <si>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두려워 뒷걸음치는 소년 선지자</t>
  </si>
  <si>
    <t xml:space="preserve">내가 너를 복중에 짓기 전에 너를 알았고 네가 태에서 나오기 전에 너를 구별하였고 너를 열방의 선지자로 세웠노라 하시기로</t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</si>
  <si>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</si>
  <si>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</si>
  <si>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</si>
  <si>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</si>
  <si>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</si>
  <si>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</si>
  <si>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</si>
  <si>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</si>
  <si>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</si>
  <si>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 백성이 두 가지 악을 행하였나니 곧 생수의 근원되는 나를 버린 것과 스스로 웅덩이를 판 것인데 그것은 물을 저축지 못할 터진 웅덩이니라</t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</si>
  <si>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</si>
  <si>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</si>
  <si>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</si>
  <si>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</si>
  <si>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</si>
  <si>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</si>
  <si>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</si>
  <si>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너희는 이것이 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 하는 거짓말을 믿지 말라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</si>
  <si>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</si>
  <si>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</si>
  <si>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</si>
  <si>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</si>
  <si>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</si>
  <si>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</si>
  <si>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</si>
  <si>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길르앗에는 유향이 있지 아니한가 그 곳에는 의사가 있지 아니한가 딸 내 백성이 치료를 받지 못함은 어찜인고</t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</si>
  <si>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</si>
  <si>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</si>
  <si>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</si>
  <si>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</si>
  <si>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</si>
  <si>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</si>
  <si>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</si>
  <si>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</si>
  <si>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여호와여 내가 주와 쟁변할 때에는 주는 의로우시니이다 그러나 내가 주께 질문하옵나니 악한 자의 길이 형통하며 패역한 자가 다 안락함은 무슨 연고니이까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</si>
  <si>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</si>
  <si>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</si>
  <si>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</si>
  <si>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</si>
  <si>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</si>
  <si>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</si>
  <si>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</si>
  <si>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나 여호와가 말하노라 띠가 사람의 허리에 속함같이 내가 이스라엘 온 집과 유다 온 집으로 내게 속하게 하여 그들로 내 백성이 되게 하며 내 이름과 칭예와 영광이 되게 하려 하였으나 그들이 듣지 아니하였느니라</t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</si>
  <si>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</si>
  <si>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</si>
  <si>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</si>
  <si>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</si>
  <si>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</si>
  <si>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</si>
  <si>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</si>
  <si>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만물보다 거짓되고 심히 부패한 것은 마음이라 누가 능히 이를 알리요마는</t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</si>
  <si>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</si>
  <si>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</si>
  <si>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</si>
  <si>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</si>
  <si>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</si>
  <si>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</si>
  <si>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</si>
  <si>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</si>
  <si>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</si>
  <si>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물레 위에서 무너졌다가 다시 빚어지는 그릇</t>
  </si>
  <si>
    <t xml:space="preserve">나 여호와가 이르노라 이스라엘 족속아 이 토기장이의 하는 것같이 내가 능히 너희에게 행하지 못하겠느냐 이스라엘 족속아 진흙이 토기장이의 손에 있음같이 너희가 내 손에 있느니라</t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</si>
  <si>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</si>
  <si>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</si>
  <si>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</si>
  <si>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</si>
  <si>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</si>
  <si>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</si>
  <si>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</si>
  <si>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</si>
  <si>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</si>
  <si>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다시는 여호와를 선포하지 아니하며 그 이름으로 말하지 아니하리라 하면 나의 중심이 불붙는 것 같아서 골수에 사무치니 답답하여 견딜 수 없나이다</t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</si>
  <si>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</si>
  <si>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</si>
  <si>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</si>
  <si>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</si>
  <si>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</si>
  <si>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</si>
  <si>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</si>
  <si>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</si>
  <si>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나 여호와가 말하노라 보라 때가 이르리니 내가 다윗에게 한 의로운 가지를 일으킬 것이라 그가 왕이 되어 지혜롭게 행사하며 세상에서 공평과 정의를 행할 것이며</t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</si>
  <si>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</si>
  <si>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</si>
  <si>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</si>
  <si>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</si>
  <si>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</si>
  <si>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</si>
  <si>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</si>
  <si>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</si>
  <si>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</si>
  <si>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그런즉 너희는 너희 길과 행위를 고치고 너희 하나님 여호와의 목소리를 청종하라 그리하면 여호와께서 너희에게 선고하신 재앙에 대하여 뜻을 돌이키시리라</t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</si>
  <si>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</si>
  <si>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</si>
  <si>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</si>
  <si>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</si>
  <si>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</si>
  <si>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</si>
  <si>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</si>
  <si>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</si>
  <si>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선지자 예레미야가 선지자 하나냐에게 이르되 하나냐여 들으라 여호와께서 너를 보내지 아니하셨거늘 네가 이 백성으로 거짓을 믿게 하는도다</t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</si>
  <si>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</si>
  <si>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</si>
  <si>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</si>
  <si>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</si>
  <si>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</si>
  <si>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</si>
  <si>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</si>
  <si>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</si>
  <si>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</si>
  <si>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나 여호와가 말하노라 너희를 향한 나의 생각은 내가 아나니 재앙이 아니라 곧 평안이요 너희 장래에 소망을 주려 하는 생각이라</t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</si>
  <si>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</si>
  <si>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</si>
  <si>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</si>
  <si>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</si>
  <si>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</si>
  <si>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</si>
  <si>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</si>
  <si>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</si>
  <si>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</si>
  <si>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돌판이 아닌 마음 위에 새겨지는 빛의 글씨</t>
  </si>
  <si>
    <t xml:space="preserve">나 여호와가 말하노라 그러나 그 날 후에 내가 이스라엘 집에 세울 언약은 이러하니 곧 내가 나의 법을 그들의 속에 두며 그 마음에 기록하여 나는 그들의 하나님이 되고 그들은 내 백성이 될 것이라</t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</si>
  <si>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</si>
  <si>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</si>
  <si>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</si>
  <si>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</si>
  <si>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</si>
  <si>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</si>
  <si>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</si>
  <si>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</si>
  <si>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</si>
  <si>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여호와요 모든 육체의 하나님이라 내게 능치 못한 일이 있겠느냐</t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</si>
  <si>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</si>
  <si>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</si>
  <si>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</si>
  <si>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</si>
  <si>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</si>
  <si>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</si>
  <si>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</si>
  <si>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</si>
  <si>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너는 내게 부르짖으라 내가 네게 응답하겠고 네가 알지 못하는 크고 비밀한 일을 네게 보이리라</t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</si>
  <si>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</si>
  <si>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</si>
  <si>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</si>
  <si>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</si>
  <si>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</si>
  <si>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</si>
  <si>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</si>
  <si>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</si>
  <si>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너는 다시 다른 두루마리를 가지고 유다 왕 여호야김의 불사른 첫 두루마리의 모든 말을 기록하고</t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</si>
  <si>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</si>
  <si>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</si>
  <si>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</si>
  <si>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</si>
  <si>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</si>
  <si>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</si>
  <si>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</si>
  <si>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</si>
  <si>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</si>
  <si>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진흙 구덩이 위로 내려오는 밧줄</t>
  </si>
  <si>
    <t xml:space="preserve">그들이 줄로 예레미야를 구덩이에서 끌어낸지라 예레미야가 시위대 뜰에 머무니라</t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</si>
  <si>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</si>
  <si>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</si>
  <si>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</si>
  <si>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</si>
  <si>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</si>
  <si>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</si>
  <si>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</si>
  <si>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</si>
  <si>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</si>
  <si>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</si>
  <si>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단정코 너를 구원할 것인즉 네가 칼에 죽지 아니하고 네 생명이 노략물을 얻음같이 되리니 이는 네가 나를 신뢰함이니라 여호와의 말이니라</t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</si>
  <si>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</si>
  <si>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</si>
  <si>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</si>
  <si>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</si>
  <si>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</si>
  <si>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</si>
  <si>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</si>
  <si>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</si>
  <si>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우리가 당신을 우리 하나님 여호와께 보냄은 그의 목소리가 우리에게 좋고 좋지 아니함을 물론하고 청종하려 함이라 우리가 우리 하나님 여호와의 목소리를 청종하면 우리에게 복이 있으리이다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</si>
  <si>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</si>
  <si>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</si>
  <si>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</si>
  <si>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</si>
  <si>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</si>
  <si>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</si>
  <si>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</si>
  <si>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</si>
  <si>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</si>
  <si>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슬프다 이 성이여 본래는 거민이 많더니 이제는 어찌 그리 적막히 앉았는고 본래는 열국 중에 크던 자가 이제는 과부 같고 본래는 열방 중에 공주 되었던 자가 이제는 조공 드리는 자가 되었도다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</si>
  <si>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</si>
  <si>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</si>
  <si>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</si>
  <si>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</si>
  <si>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</si>
  <si>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</si>
  <si>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</si>
  <si>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</si>
  <si>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이것이 아침마다 새로우니 주의 성실이 크도소이다</t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</si>
  <si>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</si>
  <si>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</si>
  <si>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</si>
  <si>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</si>
  <si>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</si>
  <si>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</si>
  <si>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</si>
  <si>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</si>
  <si>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</si>
  <si>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우리를 주께로 돌이키소서 그리하시면 우리가 주께로 돌아가겠사오니 우리의 날을 다시 새롭게 하사 옛적 같게 하옵소서</t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</si>
  <si>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</si>
  <si>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</si>
  <si>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</si>
  <si>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</si>
  <si>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</si>
  <si>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</si>
  <si>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</si>
  <si>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</si>
  <si>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</si>
  <si>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</si>
  <si>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</si>
  <si>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</si>
  <si>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그 사면 광채의 모양은 비 오는 날 구름에 있는 무지개 같으니 이는 여호와의 영광의 형상의 모양이라 내가 보고 곧 엎드리어 그 말씀하시는 자의 음성을 들으니라</t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</si>
  <si>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</si>
  <si>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</si>
  <si>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</si>
  <si>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</si>
  <si>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</si>
  <si>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</si>
  <si>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</si>
  <si>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</si>
  <si>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인자야 내가 너를 이스라엘 족속의 파수꾼으로 세웠으니 너는 내 입의 말을 듣고 나를 대신하여 그들을 깨우치라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</si>
  <si>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</si>
  <si>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</si>
  <si>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</si>
  <si>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</si>
  <si>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</si>
  <si>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</si>
  <si>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</si>
  <si>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내가 그들의 범죄한 햇수대로 네게 날수를 정하였나니 곧 삼백구십 일이니라 너는 이렇게 이스라엘 족속의 죄악을 담당하고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</si>
  <si>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</si>
  <si>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</si>
  <si>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</si>
  <si>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</si>
  <si>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</si>
  <si>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</si>
  <si>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</si>
  <si>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</si>
  <si>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</si>
  <si>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여호와의 영광이 성전 문지방을 떠나서 그룹들 위에 머무르니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</si>
  <si>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</si>
  <si>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</si>
  <si>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</si>
  <si>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</si>
  <si>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</si>
  <si>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</si>
  <si>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</si>
  <si>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들의 모든 나무가 나 여호와는 높은 나무를 낮추고 낮은 나무를 높이며 푸른 나무를 말리우고 마른 나무를 무성케 하는 줄 알리라 나 여호와는 말하고 이루느니라 하라</t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</si>
  <si>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</si>
  <si>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</si>
  <si>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</si>
  <si>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</si>
  <si>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</si>
  <si>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</si>
  <si>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나 주 여호와가 말하노라 죽는 자의 죽는 것은 내가 기뻐하지 아니하노니 너희는 스스로 돌이키고 살지니라</t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</si>
  <si>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</si>
  <si>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</si>
  <si>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</si>
  <si>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</si>
  <si>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</si>
  <si>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</si>
  <si>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</si>
  <si>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이와 같이 에스겔이 너희에게 표징이 되리니 그가 행한 대로 너희가 다 행할지라 이 일이 이루면 너희가 나를 주 여호와인 줄 알리라 하라 하셨느니라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</si>
  <si>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</si>
  <si>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</si>
  <si>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</si>
  <si>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</si>
  <si>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</si>
  <si>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</si>
  <si>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</si>
  <si>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</si>
  <si>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인자야 너는 두로 왕에게 이르기를 주 여호와의 말씀에 네 마음이 교만하여 말하기를 나는 신이라 내가 하나님의 자리 곧 바다 중심에 앉았다 하도다 네 마음이 하나님의 마음 같은 체할지라도 너는 사람이요 신이 아니어늘</t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</si>
  <si>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</si>
  <si>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</si>
  <si>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</si>
  <si>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</si>
  <si>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</si>
  <si>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</si>
  <si>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</si>
  <si>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</si>
  <si>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</si>
  <si>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</si>
  <si>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</si>
  <si>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</si>
  <si>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</si>
  <si>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</si>
  <si>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</si>
  <si>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</si>
  <si>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그 잃어버린 자를 내가 찾으며 쫓긴 자를 내가 돌아오게 하며 상한 자를 내가 싸매어 주며 병든 자를 내가 강하게 하려니와 살진 자와 강한 자는 내가 멸하고 공의대로 그것들을 먹이리라</t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</si>
  <si>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</si>
  <si>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</si>
  <si>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</si>
  <si>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</si>
  <si>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</si>
  <si>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</si>
  <si>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</si>
  <si>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</si>
  <si>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또 새 영을 너희 속에 두고 새 마음을 너희에게 주되 너희 육신에서 굳은 마음을 제하고 부드러운 마음을 줄 것이며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</si>
  <si>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</si>
  <si>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</si>
  <si>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</si>
  <si>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</si>
  <si>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</si>
  <si>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</si>
  <si>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</si>
  <si>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</si>
  <si>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</si>
  <si>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</si>
  <si>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골짜기의 마른 뼈들이 덜그럭거리며 맞춰지는 순간</t>
  </si>
  <si>
    <t xml:space="preserve">주 여호와께서 이 뼈들에게 말씀하시기를 내가 생기로 너희에게 들어가게 하리니 너희가 살리라</t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</si>
  <si>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</si>
  <si>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</si>
  <si>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</si>
  <si>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</si>
  <si>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</si>
  <si>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</si>
  <si>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</si>
  <si>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</si>
  <si>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</si>
  <si>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내가 여러 나라의 눈에 내 존대함과 내 거룩함을 나타내어 나를 알게 하리니 그들이 나를 여호와인 줄 알리라</t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</si>
  <si>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</si>
  <si>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</si>
  <si>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</si>
  <si>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</si>
  <si>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</si>
  <si>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</si>
  <si>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</si>
  <si>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</si>
  <si>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</si>
  <si>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이 강물이 이르는 곳마다 번성하는 모든 생물이 살고 또 고기가 심히 많으리니 이 물이 흘러 들어가므로 바닷물이 소성함을 얻겠고 이 강이 이르는 각처에 모든 것이 살 것이며</t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</si>
  <si>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</si>
  <si>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</si>
  <si>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</si>
  <si>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</si>
  <si>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</si>
  <si>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</si>
  <si>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</si>
  <si>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</si>
  <si>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</si>
  <si>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</si>
  <si>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</si>
  <si>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화려한 음식 앞에서 고개를 젓는 소년들</t>
  </si>
  <si>
    <t xml:space="preserve">다니엘은 뜻을 정하여 왕의 진미와 그의 마시는 포도주로 자기를 더럽히지 아니하리라 하고 자기를 더럽히지 않게 하기를 환관장에게 구하니</t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</si>
  <si>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</si>
  <si>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</si>
  <si>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</si>
  <si>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</si>
  <si>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</si>
  <si>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</si>
  <si>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</si>
  <si>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</si>
  <si>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</si>
  <si>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거대한 신상과 뜨인 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</si>
  <si>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은밀한 것을 나타내실 자는 하늘에 계신 하나님이시라 그가 느부갓네살 왕에게 후일에 될 일을 알게 하셨나이다 왕의 꿈 곧 왕이 침상에서 뇌 속으로 받은 이상은 이러하니이다</t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</si>
  <si>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</si>
  <si>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</si>
  <si>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</si>
  <si>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</si>
  <si>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</si>
  <si>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</si>
  <si>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</si>
  <si>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</si>
  <si>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이 열왕의 때에 하늘의 하나님이 한 나라를 세우시리니 이것은 영원히 망하지도 아니할 것이요 그 국권이 다른 백성에게로 돌아가지도 아니할 것이요 도리어 이 모든 나라를 쳐서 멸하고 영원히 설 것이라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</si>
  <si>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</si>
  <si>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</si>
  <si>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</si>
  <si>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</si>
  <si>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</si>
  <si>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</si>
  <si>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</si>
  <si>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</si>
  <si>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</si>
  <si>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 엎드린 금신상 앞에 서 있는 세 청년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</si>
  <si>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풀무불 속 네 번째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</si>
  <si>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그리 아니하실지라도 왕이여 우리가 왕의 신들을 섬기지도 아니하고 왕의 세우신 금신상에게 절하지도 아니할 줄을 아옵소서</t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</si>
  <si>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</si>
  <si>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</si>
  <si>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</si>
  <si>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</si>
  <si>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</si>
  <si>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</si>
  <si>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</si>
  <si>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</si>
  <si>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</si>
  <si>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불 속을 걷는 네 사람의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</si>
  <si>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짐승처럼 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</si>
  <si>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또 말하여 가로되 내가 보니 결박되지 아니한 네 사람이 불 가운데로 다니는데 상하지도 아니하였고 그 넷째의 모양은 신들의 아들과 같도다 하고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</si>
  <si>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</si>
  <si>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</si>
  <si>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</si>
  <si>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</si>
  <si>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</si>
  <si>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</si>
  <si>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</si>
  <si>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궁전 옥상에서 거만하게 도시를 내려다보는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</si>
  <si>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벽에 나타난 손가락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</si>
  <si>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지금 나 느부갓네살이 하늘의 왕을 찬양하며 칭송하며 존경하노니 그의 일이 다 진실하고 그의 행하심이 의로우시므로 무릇 교만하게 행하는 자를 그가 능히 낮추심이니라</t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</si>
  <si>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</si>
  <si>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</si>
  <si>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</si>
  <si>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</si>
  <si>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</si>
  <si>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</si>
  <si>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</si>
  <si>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</si>
  <si>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연회장 벽에 나타나 글씨를 쓰는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</si>
  <si>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세 번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</si>
  <si>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데겔은 왕이 저울에 달려서 부족함이 뵈었다 함이요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</si>
  <si>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</si>
  <si>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</si>
  <si>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</si>
  <si>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</si>
  <si>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</si>
  <si>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</si>
  <si>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</si>
  <si>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</si>
  <si>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열린 창문 앞에서 예루살렘을 향해 무릎 꿇은 노인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</si>
  <si>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</si>
  <si>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다니엘이 이 조서에 어인이 찍힌 것을 알고도 자기 집에 돌아가서는 그 방의 예루살렘으로 향하여 열린 창에서 전에 행하던 대로 하루 세 번씩 무릎을 꿇고 기도하며 그 하나님께 감사하였더라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</si>
  <si>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</si>
  <si>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</si>
  <si>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</si>
  <si>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</si>
  <si>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</si>
  <si>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</si>
  <si>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</si>
  <si>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</si>
  <si>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사자들 사이에서 평안히 서 있는 다니엘</t>
  </si>
  <si>
    <t xml:space="preserve">나의 하나님이 이미 그 천사를 보내어 사자들의 입을 봉하셨으므로 사자들이 나를 상해치 아니하였사오니 이는 나의 무죄함이 그 앞에 명백함이오며 또 왕이여 나는 왕의 앞에도 해를 끼치지 아니하였나이다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</si>
  <si>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</si>
  <si>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</si>
  <si>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</si>
  <si>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</si>
  <si>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</si>
  <si>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</si>
  <si>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</si>
  <si>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</si>
  <si>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</si>
  <si>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</si>
  <si>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그에게 권세와 영광과 나라를 주고 모든 백성과 나라들과 각 방언하는 자로 그를 섬기게 하였으니 그 권세는 영원한 권세라 옮기지 아니할 것이요 그 나라는 폐하지 아니할 것이니라</t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</si>
  <si>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</si>
  <si>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</si>
  <si>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</si>
  <si>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</si>
  <si>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</si>
  <si>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</si>
  <si>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</si>
  <si>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</si>
  <si>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</si>
  <si>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이미 말한 바 주야에 대한 이상이 확실하니 너는 그 이상을 간수하라 이는 여러 날 후의 일임이니라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</si>
  <si>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</si>
  <si>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</si>
  <si>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</si>
  <si>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</si>
  <si>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</si>
  <si>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</si>
  <si>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</si>
  <si>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</si>
  <si>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주여 들으소서 주여 용서하소서 주여 들으시고 행하소서 지체치 마옵소서 나의 하나님이여 주 자신을 위하여 하시옵소서 이는 주의 성과 주의 백성이 주의 이름으로 일컫는 바 됨이니이다</t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</si>
  <si>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</si>
  <si>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</si>
  <si>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</si>
  <si>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</si>
  <si>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</si>
  <si>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</si>
  <si>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</si>
  <si>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</si>
  <si>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</si>
  <si>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지혜 있는 자는 궁창의 빛과 같이 빛날 것이요 많은 사람을 옳은 데로 돌아오게 한 자는 별과 같이 영원토록 비취리라</t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</si>
  <si>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</si>
  <si>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</si>
  <si>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</si>
  <si>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</si>
  <si>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</si>
  <si>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</si>
  <si>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</si>
  <si>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</si>
  <si>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</si>
  <si>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</si>
  <si>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</si>
  <si>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내가 네게 장가들어 영원히 살되 의와 공변됨과 은총과 긍휼히 여김으로 네게 장가들며</t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</si>
  <si>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</si>
  <si>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</si>
  <si>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</si>
  <si>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</si>
  <si>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</si>
  <si>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</si>
  <si>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</si>
  <si>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여호와께서 내게 이르시되 이스라엘 자손이 다른 신을 섬기고 건포도 떡을 즐길지라도 여호와가 저희를 사랑하나니 너는 또 가서 타인에게 연애를 받아 음부된 그 여인을 사랑하라 하시기로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</si>
  <si>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</si>
  <si>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</si>
  <si>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</si>
  <si>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</si>
  <si>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</si>
  <si>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</si>
  <si>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</si>
  <si>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</si>
  <si>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r>
      <rPr>
        <sz val="10"/>
        <color rgb="FF000000"/>
        <rFont val="WenQuanYi Zen Hei"/>
        <family val="2"/>
      </rPr>
      <t xml:space="preserve">그러므로 우리가 여호와를 알자 힘써 여호와를 알자 그의 나오심은 새벽 빛같이 일정하니 비와 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적시는 늦은 비와 같이 우리에게 임하시리라 하리라</t>
    </r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</si>
  <si>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</si>
  <si>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</si>
  <si>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</si>
  <si>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</si>
  <si>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</si>
  <si>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</si>
  <si>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</si>
  <si>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에브라임이여 내가 어찌 너를 놓겠느냐 이스라엘이여 내가 어찌 너를 버리겠느냐 내가 어찌 너를 아드마같이 놓겠느냐 어찌 너를 스보임같이 두겠느냐 내 마음이 내 속에서 돌아서 나의 긍휼이 온전히 불붙듯 하도다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</si>
  <si>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</si>
  <si>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</si>
  <si>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</si>
  <si>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</si>
  <si>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</si>
  <si>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</si>
  <si>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</si>
  <si>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</si>
  <si>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너희는 옷을 찢지 말고 마음을 찢고 너희 하나님 여호와께로 돌아올지어다 그는 은혜로우시며 자비로우시며 노하기를 더디하시며 인애가 크시사 뜻을 돌이켜 재앙을 내리지 아니하시나니</t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</si>
  <si>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</si>
  <si>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</si>
  <si>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</si>
  <si>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</si>
  <si>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</si>
  <si>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</si>
  <si>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</si>
  <si>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</si>
  <si>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그 후에 내가 내 신을 만민에게 부어 주리니 너희 자녀들이 장래 일을 말할 것이며 너희 늙은이는 꿈을 꾸며 너희 젊은이는 이상을 볼 것이며</t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</si>
  <si>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</si>
  <si>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</si>
  <si>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</si>
  <si>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</si>
  <si>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</si>
  <si>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</si>
  <si>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</si>
  <si>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r>
      <rPr>
        <sz val="10"/>
        <color rgb="FF000000"/>
        <rFont val="WenQuanYi Zen Hei"/>
        <family val="2"/>
      </rPr>
      <t xml:space="preserve">나 여호와가 시온에서 부르짖고 예루살렘에서 목소리를 발하리니 하늘과 땅이 진동되리로다 그러나 나는 여호와는 내 백성의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이스라엘 자손의 산성이 되리로다</t>
    </r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</si>
  <si>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</si>
  <si>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</si>
  <si>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</si>
  <si>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</si>
  <si>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</si>
  <si>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</si>
  <si>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</si>
  <si>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</si>
  <si>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저가 가로되 여호와께서 시온에서부터 부르짖으시며 예루살렘에서부터 음성을 발하시리니 목자의 초장이 애통하며 갈멜 산 꼭대기가 마르리로다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</si>
  <si>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</si>
  <si>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</si>
  <si>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</si>
  <si>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</si>
  <si>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</si>
  <si>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</si>
  <si>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</si>
  <si>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r>
      <rPr>
        <sz val="10"/>
        <color rgb="FF000000"/>
        <rFont val="WenQuanYi Zen Hei"/>
        <family val="2"/>
      </rPr>
      <t xml:space="preserve">오직 공법을 물같이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정의를 하수같이 흘릴지로다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</si>
  <si>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</si>
  <si>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</si>
  <si>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</si>
  <si>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</si>
  <si>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</si>
  <si>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</si>
  <si>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</si>
  <si>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</si>
  <si>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내게 이르시되 아모스야 네가 무엇을 보느냐 내가 대답하되 다림줄이니이다 주께서 가라사대 내가 다림줄을 내 백성 이스라엘 가운데 베풀고 다시는 용서치 아니하리니</t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</si>
  <si>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</si>
  <si>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</si>
  <si>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</si>
  <si>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</si>
  <si>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</si>
  <si>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</si>
  <si>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</si>
  <si>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주 여호와께서 가라사대 보라 날이 이를지라 내가 기근을 땅에 보내리니 양식이 없어 주림이 아니며 물이 없어 갈함이 아니요 여호와의 말씀을 듣지 못한 기갈이라</t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</si>
  <si>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</si>
  <si>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</si>
  <si>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</si>
  <si>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</si>
  <si>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</si>
  <si>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</si>
  <si>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</si>
  <si>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</si>
  <si>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</si>
  <si>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</si>
  <si>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바위 틈에 거하며 높은 곳에 사는 자여 네가 중심에 이르기를 누가 능히 나를 땅에 끌어내리겠느냐 하니 너의 중심의 교만이 너를 속였도다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</si>
  <si>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</si>
  <si>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</si>
  <si>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</si>
  <si>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</si>
  <si>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</si>
  <si>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</si>
  <si>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</si>
  <si>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</si>
  <si>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</si>
  <si>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</si>
  <si>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니느웨와 반대 방향으로 떠나는 배에 오르는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</si>
  <si>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폭풍과 큰 물고기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</si>
  <si>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요나가 여호와의 낯을 피하려고 일어나 다시스로 도망하려 하여 욥바로 내려갔더니 마침 다시스로 가는 배를 만난지라 여호와의 낯을 피하여 함께 다시스로 가려고 선가를 주고 배에 올랐더라</t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</si>
  <si>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</si>
  <si>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</si>
  <si>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</si>
  <si>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</si>
  <si>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</si>
  <si>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</si>
  <si>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</si>
  <si>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</si>
  <si>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폭풍 바다 아래에서 입을 벌리고 다가오는 큰 물고기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</si>
  <si>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물고기 배 속의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</si>
  <si>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이미 큰 물고기를 예비하사 요나를 삼키게 하셨으므로 요나가 삼일 삼야를 물고기 배에 있으니라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</si>
  <si>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</si>
  <si>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</si>
  <si>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</si>
  <si>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</si>
  <si>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</si>
  <si>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</si>
  <si>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</si>
  <si>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</si>
  <si>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어두운 물고기 배 속에서 기도하는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</si>
  <si>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니느웨의 회개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</si>
  <si>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감사하는 목소리로 주께 제사를 드리며 나의 서원을 주께 갚겠나이다 구원은 여호와께로서 말미암나이다 하니라</t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</si>
  <si>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</si>
  <si>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</si>
  <si>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</si>
  <si>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</si>
  <si>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</si>
  <si>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</si>
  <si>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</si>
  <si>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</si>
  <si>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</si>
  <si>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베옷을 입고 재 위에 앉은 니느웨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</si>
  <si>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</si>
  <si>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그들의 행한 것 곧 그 악한 길에서 돌이켜 떠난 것을 감찰하시고 뜻을 돌이키사 그들에게 내리리라 말씀하신 재앙을 내리지 아니하시니라</t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</si>
  <si>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</si>
  <si>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</si>
  <si>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</si>
  <si>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</si>
  <si>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</si>
  <si>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</si>
  <si>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</si>
  <si>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</si>
  <si>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하룻밤 사이 말라 버린 박넝쿨 아래 불평하는 요나</t>
  </si>
  <si>
    <r>
      <rPr>
        <sz val="10"/>
        <color rgb="FF000000"/>
        <rFont val="WenQuanYi Zen Hei"/>
        <family val="2"/>
      </rPr>
      <t xml:space="preserve">하물며 이 큰 성읍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니느웨에는 좌우를 분변치 못하는 자가 십이만여 명이요 육축도 많이 있나니 내가 아끼는 것이 어찌 합당치 아니하냐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</si>
  <si>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</si>
  <si>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</si>
  <si>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</si>
  <si>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</si>
  <si>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</si>
  <si>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</si>
  <si>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</si>
  <si>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</si>
  <si>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</si>
  <si>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오직 나는 여호와의 신으로 말미암아 권능과 공의와 재능으로 채움을 얻고 야곱의 허물과 이스라엘의 죄를 그들에게 보이리라</t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</si>
  <si>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</si>
  <si>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</si>
  <si>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</si>
  <si>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</si>
  <si>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</si>
  <si>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</si>
  <si>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</si>
  <si>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</si>
  <si>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작은 마을 베들레헴 위에 비치는 빛</t>
  </si>
  <si>
    <r>
      <rPr>
        <sz val="10"/>
        <color rgb="FF000000"/>
        <rFont val="WenQuanYi Zen Hei"/>
        <family val="2"/>
      </rPr>
      <t xml:space="preserve">베들레헴 에브라다야 너는 유다 족속 중에 작을지라도 이스라엘을 다스릴 자가 네게서 내게로 나올 것이라 그의 근본은 상고에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태초에니라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</si>
  <si>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</si>
  <si>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</si>
  <si>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</si>
  <si>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</si>
  <si>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</si>
  <si>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</si>
  <si>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</si>
  <si>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</si>
  <si>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</si>
  <si>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사람아 주께서 선한 것이 무엇임을 네게 보이셨나니 여호와께서 네게 구하시는 것이 오직 공의를 행하며 인자를 사랑하며 겸손히 네 하나님과 함께 행하는 것이 아니냐</t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</si>
  <si>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</si>
  <si>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</si>
  <si>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</si>
  <si>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</si>
  <si>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</si>
  <si>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</si>
  <si>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</si>
  <si>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</si>
  <si>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</si>
  <si>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여호와는 선하시며 환난 날에 산성이시라 그는 자기에게 의뢰하는 자들을 아시느니라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</si>
  <si>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</si>
  <si>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</si>
  <si>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</si>
  <si>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</si>
  <si>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</si>
  <si>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</si>
  <si>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</si>
  <si>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</si>
  <si>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</si>
  <si>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여호와여 내가 부르짖어도 주께서 듣지 아니하시니 어느 때까지리이까 내가 강포를 인하여 외쳐도 주께서 구원치 아니하시나이다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</si>
  <si>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</si>
  <si>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</si>
  <si>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</si>
  <si>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</si>
  <si>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</si>
  <si>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</si>
  <si>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</si>
  <si>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</si>
  <si>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</si>
  <si>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망대 위에서 판에 글을 새기는 선지자</t>
  </si>
  <si>
    <t xml:space="preserve">보라 그의 마음은 교만하며 그의 속에서 정직하지 못하니라 그러나 의인은 믿음으로 말미암아 살리라</t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</si>
  <si>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</si>
  <si>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</si>
  <si>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</si>
  <si>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</si>
  <si>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</si>
  <si>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</si>
  <si>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</si>
  <si>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</si>
  <si>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여호와를 인하여 즐거워하며 나의 구원의 하나님을 인하여 기뻐하리로다</t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</si>
  <si>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</si>
  <si>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</si>
  <si>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</si>
  <si>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</si>
  <si>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</si>
  <si>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</si>
  <si>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</si>
  <si>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</si>
  <si>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여호와의 큰 날이 가깝도다 가깝고도 심히 빠르도다 여호와의 날의 소리로다 용사가 거기서 심히 애곡하는도다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</si>
  <si>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</si>
  <si>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</si>
  <si>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</si>
  <si>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</si>
  <si>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</si>
  <si>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</si>
  <si>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</si>
  <si>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너의 하나님 여호와가 너의 가운데 계시니 그는 구원을 베푸실 전능자시라 그가 너로 인하여 기쁨을 이기지 못하여 하시며 너를 잠잠히 사랑하시며 너로 인하여 즐거이 부르며 기뻐하시리라 하리라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</si>
  <si>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</si>
  <si>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</si>
  <si>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</si>
  <si>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</si>
  <si>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</si>
  <si>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</si>
  <si>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</si>
  <si>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</si>
  <si>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</si>
  <si>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</si>
  <si>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이 전이 황무하였거늘 너희가 이 때에 판벽한 집에 거하는 것이 가하냐</t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</si>
  <si>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</si>
  <si>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</si>
  <si>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</si>
  <si>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</si>
  <si>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</si>
  <si>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</si>
  <si>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</si>
  <si>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</si>
  <si>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이 전의 나중 영광이 이전 영광보다 크리라 만군의 여호와의 말이니라 내가 이 곳에 평강을 주리라 만군의 여호와의 말이니라</t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</si>
  <si>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</si>
  <si>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</si>
  <si>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</si>
  <si>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</si>
  <si>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</si>
  <si>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</si>
  <si>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</si>
  <si>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</si>
  <si>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</si>
  <si>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</si>
  <si>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그가 내게 일러 가로되 여호와께서 스룹바벨에게 하신 말씀이 이러하니라 만군의 여호와께서 말씀하시되 이는 힘으로 되지 아니하며 능으로 되지 아니하고 오직 나의 신으로 되느니라</t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</si>
  <si>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</si>
  <si>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</si>
  <si>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</si>
  <si>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</si>
  <si>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</si>
  <si>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</si>
  <si>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</si>
  <si>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</si>
  <si>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너희가 행할 일은 이러하니라 너희는 각기 이웃으로 더불어 진실을 말하며 너희 성문에서 진실하고 화평한 재판을 베풀고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</si>
  <si>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</si>
  <si>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</si>
  <si>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</si>
  <si>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</si>
  <si>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</si>
  <si>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</si>
  <si>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</si>
  <si>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</si>
  <si>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시온의 딸아 크게 기뻐할지어다 예루살렘의 딸아 즐거이 부를지어다 보라 네 왕이 네게 임하나니 그는 공의로우며 구원을 베풀며 겸손하여서 나귀를 타나니 나귀의 작은 것 곧 나귀새끼니라</t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</si>
  <si>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</si>
  <si>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</si>
  <si>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</si>
  <si>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</si>
  <si>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</si>
  <si>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</si>
  <si>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</si>
  <si>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</si>
  <si>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내가 다윗의 집과 예루살렘 거민에게 은총과 간구하는 심령을 부어 주리니 그들이 그 찌른 바 그를 바라보고 그를 위하여 애통하기를 독자를 위하여 애통하듯 하며 그를 위하여 통곡하기를 장자를 위하여 통곡하듯 하리로다</t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</si>
  <si>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</si>
  <si>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</si>
  <si>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</si>
  <si>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</si>
  <si>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</si>
  <si>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</si>
  <si>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</si>
  <si>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</si>
  <si>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</si>
  <si>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여호와께서 가라사대 내가 너희를 사랑하였노라 하나 너희는 이르기를 주께서 어떻게 우리를 사랑하셨나이까 하는도다 나 여호와가 말하노라 에서는 야곱의 형이 아니냐 그러나 내가 야곱을 사랑하였고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</si>
  <si>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</si>
  <si>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</si>
  <si>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</si>
  <si>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</si>
  <si>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</si>
  <si>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</si>
  <si>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</si>
  <si>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</si>
  <si>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</si>
  <si>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그 때에 여호와를 경외하는 자들이 피차에 말하매 여호와께서 그것을 분명히 들으시고 여호와를 경외하는 자와 그 이름을 존중히 생각하는 자를 위하여 여호와 앞에 있는 기념책에 기록하셨느니라</t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</si>
  <si>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</si>
  <si>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</si>
  <si>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</si>
  <si>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</si>
  <si>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</si>
  <si>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</si>
  <si>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</si>
  <si>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</si>
  <si>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</si>
  <si>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어둠을 깨고 떠오르는 의로운 해</t>
  </si>
  <si>
    <t xml:space="preserve">보라 여호와의 크고 두려운 날이 이르기 전에 내가 선지 엘리야를 너희에게 보내리니</t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</si>
  <si>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</si>
  <si>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</si>
  <si>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</si>
  <si>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</si>
  <si>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</si>
  <si>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</si>
  <si>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</si>
  <si>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</si>
  <si>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</si>
  <si>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</si>
  <si>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</si>
  <si>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</si>
  <si>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아브라함과 다윗의 자손 예수 그리스도의 세계라</t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</si>
  <si>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</si>
  <si>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</si>
  <si>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</si>
  <si>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</si>
  <si>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</si>
  <si>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</si>
  <si>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</si>
  <si>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</si>
  <si>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</si>
  <si>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</si>
  <si>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</si>
  <si>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꿈속에서 천사의 말을 듣고 깨어나는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</si>
  <si>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</si>
  <si>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아들을 낳으리니 이름을 예수라 하라 이는 그가 자기 백성을 저희 죄에서 구원할 자이심이라 하니라</t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</si>
  <si>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</si>
  <si>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</si>
  <si>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</si>
  <si>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</si>
  <si>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</si>
  <si>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</si>
  <si>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</si>
  <si>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</si>
  <si>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</si>
  <si>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밤하늘의 별을 따라 사막을 건너는 박사들</t>
  </si>
  <si>
    <t xml:space="preserve">집에 들어가 아기와 그 모친 마리아의 함께 있는 것을 보고 엎드려 아기께 경배하고 보배합을 열어 황금과 유향과 몰약을 예물로 드리니라</t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</si>
  <si>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</si>
  <si>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</si>
  <si>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</si>
  <si>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</si>
  <si>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</si>
  <si>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</si>
  <si>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</si>
  <si>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</si>
  <si>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</si>
  <si>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</si>
  <si>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헤롯이 죽기까지 거기 있었으니 이는 주께서 선지자로 말씀하신 바 애굽에서 내 아들을 불렀다 함을 이루려 하심이니라</t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</si>
  <si>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</si>
  <si>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</si>
  <si>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</si>
  <si>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</si>
  <si>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</si>
  <si>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</si>
  <si>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</si>
  <si>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</si>
  <si>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</si>
  <si>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광야에서 외치는 낙타털 옷의 선지자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</si>
  <si>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하늘이 열리다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</si>
  <si>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세례 요한</t>
  </si>
  <si>
    <t xml:space="preserve">회개하라 천국이 가까왔느니라 하였으니</t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</si>
  <si>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</si>
  <si>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</si>
  <si>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</si>
  <si>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</si>
  <si>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</si>
  <si>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</si>
  <si>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</si>
  <si>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</si>
  <si>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</si>
  <si>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물에서 올라오시는 예수님 위로 열리는 하늘과 비둘기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</si>
  <si>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시험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</si>
  <si>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하늘로서 소리가 있어 말씀하시되 이는 내 사랑하는 아들이요 내 기뻐하는 자라 하시니라</t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</si>
  <si>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</si>
  <si>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</si>
  <si>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</si>
  <si>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</si>
  <si>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</si>
  <si>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</si>
  <si>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</si>
  <si>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</si>
  <si>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</si>
  <si>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r>
      <rPr>
        <sz val="10"/>
        <color rgb="FF000000"/>
        <rFont val="WenQuanYi Zen Hei"/>
        <family val="2"/>
      </rPr>
      <t xml:space="preserve">광야 바위 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돌을 가리키는 그림자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</si>
  <si>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사람을 낚는 어부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</si>
  <si>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기록되었으되 사람이 떡으로만 살 것이 아니요 하나님의 입으로 나오는 모든 말씀으로 살 것이라 하였느니라 하시니</t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</si>
  <si>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</si>
  <si>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</si>
  <si>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</si>
  <si>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</si>
  <si>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</si>
  <si>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</si>
  <si>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</si>
  <si>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</si>
  <si>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그물을 내려놓고 일어서는 어부들</t>
  </si>
  <si>
    <t xml:space="preserve">베드로</t>
  </si>
  <si>
    <t xml:space="preserve">말씀하시되 나를 따라오너라 내가 너희로 사람을 낚는 어부가 되게 하리라 하시니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</si>
  <si>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</si>
  <si>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</si>
  <si>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</si>
  <si>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</si>
  <si>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</si>
  <si>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</si>
  <si>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</si>
  <si>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</si>
  <si>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</si>
  <si>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언덕 위에 앉으신 예수님과 모여드는 무리</t>
  </si>
  <si>
    <t xml:space="preserve">심령이 가난한 자는 복이 있나니 천국이 저희 것임이요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</si>
  <si>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</si>
  <si>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</si>
  <si>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</si>
  <si>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</si>
  <si>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</si>
  <si>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</si>
  <si>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</si>
  <si>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</si>
  <si>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산 위 마을에 하나둘 켜지는 등불</t>
  </si>
  <si>
    <t xml:space="preserve">너희는 세상의 빛이라 산 위에 있는 동네가 숨기우지 못할 것이요</t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</si>
  <si>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</si>
  <si>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</si>
  <si>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</si>
  <si>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</si>
  <si>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</si>
  <si>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</si>
  <si>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</si>
  <si>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율법이나 선지자나 폐하러 온 줄로 생각지 말라 폐하러 온 것이 아니요 완전케 하려 함이로다</t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</si>
  <si>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</si>
  <si>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</si>
  <si>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</si>
  <si>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</si>
  <si>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</si>
  <si>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</si>
  <si>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나는 너희에게 이르노니 너희 원수를 사랑하며 너희를 핍박하는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</si>
  <si>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</si>
  <si>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</si>
  <si>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</si>
  <si>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</si>
  <si>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</si>
  <si>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</si>
  <si>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</si>
  <si>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</si>
  <si>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</si>
  <si>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골방 문을 닫고 무릎 꿇는 사람</t>
  </si>
  <si>
    <t xml:space="preserve">그러므로 너희는 이렇게 기도하라 하늘에 계신 우리 아버지여 이름이 거룩히 여김을 받으시오며</t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</si>
  <si>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</si>
  <si>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</si>
  <si>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</si>
  <si>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</si>
  <si>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</si>
  <si>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</si>
  <si>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</si>
  <si>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들판의 백합화와 날아오르는 새</t>
  </si>
  <si>
    <t xml:space="preserve">너희는 먼저 그의 나라와 그의 의를 구하라 그리하면 이 모든 것을 너희에게 더하시리라</t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</si>
  <si>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</si>
  <si>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</si>
  <si>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</si>
  <si>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</si>
  <si>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</si>
  <si>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</si>
  <si>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</si>
  <si>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</si>
  <si>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구하라 그러면 너희에게 주실 것이요 찾으라 그러면 찾을 것이요 문을 두드리라 그러면 너희에게 열릴 것이니</t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</si>
  <si>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</si>
  <si>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</si>
  <si>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</si>
  <si>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</si>
  <si>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</si>
  <si>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</si>
  <si>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</si>
  <si>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</si>
  <si>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폭풍에 무너지는 모래 위 집과 서 있는 반석 위 집</t>
  </si>
  <si>
    <t xml:space="preserve">그러므로 누구든지 나의 이 말을 듣고 행하는 자는 그 집을 반석 위에 지은 지혜로운 사람 같으리니</t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</si>
  <si>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</si>
  <si>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</si>
  <si>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</si>
  <si>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</si>
  <si>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</si>
  <si>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</si>
  <si>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</si>
  <si>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</si>
  <si>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</si>
  <si>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</si>
  <si>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아무도 만지지 않던 나병환자에게 뻗어지는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</si>
  <si>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</si>
  <si>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백부장이 대답하여 가로되 주여 내 집에 들어오심을 나는 감당치 못하겠사오니 다만 말씀으로만 하옵소서 그러면 내 하인이 낫겠삽나이다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</si>
  <si>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</si>
  <si>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</si>
  <si>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</si>
  <si>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</si>
  <si>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</si>
  <si>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</si>
  <si>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</si>
  <si>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폭풍 속 배에서 주무시는 예수님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</si>
  <si>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</si>
  <si>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사람들이 기이히 여겨 가로되 이 어떠한 사람이기에 바람과 바다도 순종하는고 하더라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</si>
  <si>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</si>
  <si>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</si>
  <si>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</si>
  <si>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</si>
  <si>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</si>
  <si>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</si>
  <si>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</si>
  <si>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</si>
  <si>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</si>
  <si>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</si>
  <si>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세리 마태를 부르시다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</si>
  <si>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인자가 세상에서 죄를 사하는 권세가 있는 줄을 너희로 알게 하려 하노라 하시고 중풍병자에게 말씀하시되 일어나 네 침상을 가지고 집으로 가라 하시니</t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</si>
  <si>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</si>
  <si>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</si>
  <si>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</si>
  <si>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</si>
  <si>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</si>
  <si>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</si>
  <si>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</si>
  <si>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</si>
  <si>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열두 제자를 보내시다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</si>
  <si>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가서 내가 긍휼을 원하고 제사를 원치 아니하노라 하신 뜻이 무엇인지 배우라 내가 의인을 부르러 온 것이 아니요 죄인을 부르러 왔노라 하시니라</t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</si>
  <si>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</si>
  <si>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</si>
  <si>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</si>
  <si>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</si>
  <si>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</si>
  <si>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</si>
  <si>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</si>
  <si>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</si>
  <si>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</si>
  <si>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군중 사이로 뻗어 겉옷 자락에 닿는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</si>
  <si>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</si>
  <si>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돌이켜 그를 보시며 가라사대 딸아 안심하라 네 믿음이 너를 구원하였다 하시니 여자가 그 시로 구원을 받으니라</t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</si>
  <si>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</si>
  <si>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</si>
  <si>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</si>
  <si>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</si>
  <si>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</si>
  <si>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</si>
  <si>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</si>
  <si>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</si>
  <si>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</si>
  <si>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수고하고 무거운 짐 진 자들아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</si>
  <si>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제자들에게 이르시되 추수할 것은 많되 일꾼은 적으니</t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</si>
  <si>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</si>
  <si>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</si>
  <si>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</si>
  <si>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</si>
  <si>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</si>
  <si>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</si>
  <si>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</si>
  <si>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</si>
  <si>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수고하고 무거운 짐진 자들아 다 내게로 오라 내가 너희를 쉬게 하리라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</si>
  <si>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</si>
  <si>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</si>
  <si>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</si>
  <si>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</si>
  <si>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</si>
  <si>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</si>
  <si>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</si>
  <si>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</si>
  <si>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</si>
  <si>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인자는 안식일의 주인이니라 하시니라</t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</si>
  <si>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</si>
  <si>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</si>
  <si>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</si>
  <si>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</si>
  <si>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</si>
  <si>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</si>
  <si>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</si>
  <si>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</si>
  <si>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</si>
  <si>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</si>
  <si>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돌밭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가시밭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좋은 땅에 떨어지는 씨앗</t>
    </r>
  </si>
  <si>
    <r>
      <rPr>
        <sz val="10"/>
        <color rgb="FF000000"/>
        <rFont val="WenQuanYi Zen Hei"/>
        <family val="2"/>
      </rPr>
      <t xml:space="preserve">좋은 땅에 뿌리웠다는 것은 말씀을 듣고 깨닫는 자니 결실하여 혹 백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육십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삼십 배가 되느니라 하시더라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</si>
  <si>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</si>
  <si>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13:24-58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</si>
  <si>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</si>
  <si>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</si>
  <si>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</si>
  <si>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</si>
  <si>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</si>
  <si>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</si>
  <si>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</si>
  <si>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천국은 마치 밭에 감추인 보화와 같으니 사람이 이를 발견한 후 숨겨 두고 기뻐하여 돌아가서 자기의 소유를 다 팔아 그 밭을 샀느니라</t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</si>
  <si>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</si>
  <si>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</si>
  <si>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</si>
  <si>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</si>
  <si>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</si>
  <si>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</si>
  <si>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</si>
  <si>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</si>
  <si>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</si>
  <si>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</si>
  <si>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</si>
  <si>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이는 요한이 헤롯에게 말하되 당신이 그 여자를 취한 것이 옳지 않다 하였음이라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</si>
  <si>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</si>
  <si>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</si>
  <si>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</si>
  <si>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</si>
  <si>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</si>
  <si>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</si>
  <si>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</si>
  <si>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13:24-58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</si>
  <si>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아이가 내민 보리떡 다섯 개와 물고기 두 마리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</si>
  <si>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</si>
  <si>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무리를 명하여 잔디 위에 앉히시고 떡 다섯 개와 물고기 두 마리를 가지사 하늘을 우러러 축사하시고 떡을 떼어 제자들에게 주시매 제자들이 무리에게 주니</t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</si>
  <si>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</si>
  <si>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</si>
  <si>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</si>
  <si>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</si>
  <si>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</si>
  <si>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</si>
  <si>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</si>
  <si>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</si>
  <si>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파도 위를 걸어오는 실루엣과 물에 빠지는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</si>
  <si>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너는 그리스도시요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</si>
  <si>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즉시 손을 내밀어 저를 붙잡으시며 가라사대 믿음이 적은 자여 왜 의심하였느냐 하시고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</si>
  <si>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</si>
  <si>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</si>
  <si>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</si>
  <si>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</si>
  <si>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</si>
  <si>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</si>
  <si>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</si>
  <si>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</si>
  <si>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</si>
  <si>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칠병이어와 바리새인의 누룩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</si>
  <si>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예수께서 대답하여 가라사대 여자야 네 믿음이 크도다 네 소원대로 되리라 하시니 그 시로부터 그의 딸이 나으니라</t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</si>
  <si>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</si>
  <si>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</si>
  <si>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</si>
  <si>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</si>
  <si>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</si>
  <si>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</si>
  <si>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</si>
  <si>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</si>
  <si>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겨자씨만 한 믿음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</si>
  <si>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제자들을 불러 가라사대 내가 무리를 불쌍히 여기노라 저희가 나와 함께 있은 지 이미 사흘이매 먹을 것이 없도다 길에서 기진할까 하여 굶겨 보내지 못하겠노라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</si>
  <si>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</si>
  <si>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</si>
  <si>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</si>
  <si>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</si>
  <si>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</si>
  <si>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</si>
  <si>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</si>
  <si>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</si>
  <si>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</si>
  <si>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너희는 나를 누구라 하느냐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질문 앞의 제자들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</si>
  <si>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</si>
  <si>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시몬 베드로가 대답하여 가로되 주는 그리스도시요 살아 계신 하나님의 아들이시니이다</t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</si>
  <si>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</si>
  <si>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</si>
  <si>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</si>
  <si>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</si>
  <si>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</si>
  <si>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</si>
  <si>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</si>
  <si>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</si>
  <si>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산 위에서 해같이 빛나는 옷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</si>
  <si>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일흔 번씩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</si>
  <si>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말할 때에 홀연히 빛난 구름이 저희를 덮으며 구름 속에서 소리가 나서 가로되 이는 내 사랑하는 아들이요 내 기뻐하는 자니 너희는 저의 말을 들으라 하는지라</t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</si>
  <si>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</si>
  <si>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</si>
  <si>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</si>
  <si>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</si>
  <si>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</si>
  <si>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</si>
  <si>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</si>
  <si>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</si>
  <si>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</si>
  <si>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섬기러 오신 예수님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</si>
  <si>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 믿음이 적은 연고니라 진실로 너희에게 이르노니 너희가 만일 믿음이 한 겨자씨만큼만 있으면 이 산을 명하여 여기서 저기로 옮기라 하여도 옮길 것이요 또 너희가 못할 것이 없으리라</t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</si>
  <si>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</si>
  <si>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</si>
  <si>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</si>
  <si>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</si>
  <si>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</si>
  <si>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</si>
  <si>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</si>
  <si>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</si>
  <si>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</si>
  <si>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손가락으로 일흔 번씩 일곱 번을 세다 멈추는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</si>
  <si>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</si>
  <si>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네게 이르노니 일곱 번뿐 아니라 일흔 번씩 일곱 번이라도 할지니라</t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</si>
  <si>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</si>
  <si>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</si>
  <si>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</si>
  <si>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</si>
  <si>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</si>
  <si>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</si>
  <si>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</si>
  <si>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</si>
  <si>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부자 청년이 슬픈 얼굴로 돌아서는 뒷모습</t>
  </si>
  <si>
    <t xml:space="preserve">예수께서 저희를 보시며 가라사대 사람으로는 할 수 없으되 하나님으로서는 다 할 수 있느니라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</si>
  <si>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</si>
  <si>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</si>
  <si>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</si>
  <si>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</si>
  <si>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</si>
  <si>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</si>
  <si>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</si>
  <si>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</si>
  <si>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</si>
  <si>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인자가 온 것은 섬김을 받으려 함이 아니라 도리어 섬기려 하고 자기 목숨을 많은 사람의 대속물로 주려 함이니라</t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</si>
  <si>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</si>
  <si>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</si>
  <si>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</si>
  <si>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</si>
  <si>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</si>
  <si>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</si>
  <si>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</si>
  <si>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</si>
  <si>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</si>
  <si>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</si>
  <si>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가지를 흔드는 군중과 나귀</t>
  </si>
  <si>
    <t xml:space="preserve">앞에서 가고 뒤에서 따르는 무리가 소리질러 가로되 호산나 다윗의 자손이여 찬송하리로다 주의 이름으로 오시는 이여 가장 높은 곳에서 호산나 하더라</t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</si>
  <si>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</si>
  <si>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</si>
  <si>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</si>
  <si>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</si>
  <si>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</si>
  <si>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</si>
  <si>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</si>
  <si>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</si>
  <si>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가장 큰 계명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</si>
  <si>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너희가 성경에 건축자들의 버린 돌이 모퉁이의 머릿돌이 되었나니 이것은 주로 말미암아 된 것이요 우리 눈에 기이하도다 함을 읽어 본 일이 없느냐</t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</si>
  <si>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</si>
  <si>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</si>
  <si>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</si>
  <si>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</si>
  <si>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</si>
  <si>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</si>
  <si>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</si>
  <si>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암탉이 병아리를 모음같이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</si>
  <si>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 마음을 다하고 목숨을 다하고 뜻을 다하여 주 너의 하나님을 사랑하라 하셨으니</t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</si>
  <si>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</si>
  <si>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</si>
  <si>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</si>
  <si>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</si>
  <si>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</si>
  <si>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</si>
  <si>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</si>
  <si>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</si>
  <si>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마지막 때의 징조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</si>
  <si>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예루살렘아 예루살렘아 선지자들을 죽이고 네게 파송된 자들을 돌로 치는 자여 암탉이 그 새끼를 날개 아래 모음같이 내가 네 자녀를 모으려 한 일이 몇 번이냐 그러나 너희가 원치 아니하였도다</t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</si>
  <si>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</si>
  <si>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</si>
  <si>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</si>
  <si>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</si>
  <si>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</si>
  <si>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</si>
  <si>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</si>
  <si>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</si>
  <si>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</si>
  <si>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끝까지 견디는 자는 구원을 얻으리라</t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</si>
  <si>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</si>
  <si>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</si>
  <si>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</si>
  <si>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</si>
  <si>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</si>
  <si>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</si>
  <si>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</si>
  <si>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</si>
  <si>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r>
      <rPr>
        <sz val="10"/>
        <color rgb="FF000000"/>
        <rFont val="WenQuanYi Zen Hei"/>
        <family val="2"/>
      </rPr>
      <t xml:space="preserve">그러나 그 날과 그 때는 아무도 모르나니 하늘의 천사들도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아들도 모르고 오직 아버지만 아시느니라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</si>
  <si>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</si>
  <si>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</si>
  <si>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</si>
  <si>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</si>
  <si>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</si>
  <si>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</si>
  <si>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</si>
  <si>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</si>
  <si>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</si>
  <si>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</si>
  <si>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등불이 꺼져 가는 다섯 처녀</t>
  </si>
  <si>
    <t xml:space="preserve">그런즉 깨어 있으라 너희는 그 날과 그 시를 알지 못하느니라</t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</si>
  <si>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</si>
  <si>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</si>
  <si>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</si>
  <si>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</si>
  <si>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</si>
  <si>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</si>
  <si>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</si>
  <si>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</si>
  <si>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땅을 파고 돈을 묻는 종</t>
  </si>
  <si>
    <t xml:space="preserve">그 주인이 이르되 잘 하였도다 착하고 충성된 종아 네가 작은 일에 충성하였으매 내가 많은 것으로 네게 맡기리니 네 주인의 즐거움에 참여할지어다 하고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</si>
  <si>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</si>
  <si>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</si>
  <si>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</si>
  <si>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</si>
  <si>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</si>
  <si>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</si>
  <si>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</si>
  <si>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</si>
  <si>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</si>
  <si>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</si>
  <si>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임금이 대답하여 가라사대 내가 진실로 너희에게 이르노니 너희가 여기 내 형제 중에 지극히 작은 자 하나에게 한 것이 곧 내게 한 것이니라 하시고</t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</si>
  <si>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</si>
  <si>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</si>
  <si>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</si>
  <si>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</si>
  <si>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</si>
  <si>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</si>
  <si>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</si>
  <si>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</si>
  <si>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</si>
  <si>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</si>
  <si>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내가 진실로 너희에게 이르노니 온 천하에 어디서든지 이 복음이 전파되는 곳에는 이 여자의 행한 일도 말하여 저를 기념하리라 하시니라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</si>
  <si>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</si>
  <si>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</si>
  <si>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</si>
  <si>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</si>
  <si>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</si>
  <si>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</si>
  <si>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</si>
  <si>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</si>
  <si>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</si>
  <si>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떡을 떼시는 손과 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</si>
  <si>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겟세마네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</si>
  <si>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이것은 죄 사함을 얻게 하려고 많은 사람을 위하여 흘리는 바 나의 피 곧 언약의 피니라</t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</si>
  <si>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</si>
  <si>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</si>
  <si>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</si>
  <si>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</si>
  <si>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</si>
  <si>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</si>
  <si>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</si>
  <si>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</si>
  <si>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땀방울을 흘리며 바위에 엎드린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</si>
  <si>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닭이 울기 전에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</si>
  <si>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조금 나아가사 얼굴을 땅에 대시고 엎드려 기도하여 가라사대 내 아버지여 만일 할 만하시거든 이 잔을 내게서 지나가게 하옵소서 그러나 나의 원대로 마옵시고 아버지의 원대로 하옵소서 하시고</t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</si>
  <si>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</si>
  <si>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</si>
  <si>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</si>
  <si>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</si>
  <si>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</si>
  <si>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</si>
  <si>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</si>
  <si>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</si>
  <si>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모닥불 곁에서 닭 우는 소리에 얼어붙는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</si>
  <si>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빌라도의 재판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</si>
  <si>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베드로가 예수의 말씀에 닭 울기 전에 네가 세 번 나를 부인하리라 하심이 생각나서 밖에 나가서 심히 통곡하니라</t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</si>
  <si>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</si>
  <si>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</si>
  <si>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</si>
  <si>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</si>
  <si>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</si>
  <si>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</si>
  <si>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</si>
  <si>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</si>
  <si>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</si>
  <si>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바라바냐 예수냐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</si>
  <si>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</si>
  <si>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빌라도가 가로되 그러면 그리스도라 하는 예수를 내가 어떻게 하랴 저희가 다 가로되 십자가에 못 박혀야 하겠나이다</t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</si>
  <si>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</si>
  <si>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</si>
  <si>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</si>
  <si>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</si>
  <si>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</si>
  <si>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</si>
  <si>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</si>
  <si>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</si>
  <si>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</si>
  <si>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어두워진 하늘과 위에서 아래로 찢어지는 성전 휘장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</si>
  <si>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무덤과 경비병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</si>
  <si>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제 구 시 즈음에 예수께서 크게 소리질러 가라사대 엘리 엘리 라마 사박다니 하시니 이는 곧 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어찌하여 나를 버리셨나이까 하는 뜻이라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</si>
  <si>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</si>
  <si>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</si>
  <si>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</si>
  <si>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</si>
  <si>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</si>
  <si>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</si>
  <si>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</si>
  <si>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</si>
  <si>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큰 돌로 막고 봉인하는 무덤</t>
  </si>
  <si>
    <t xml:space="preserve">바위 속에 판 자기 새 무덤에 넣어 두고 큰 돌을 굴려 무덤 문에 놓고 가니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</si>
  <si>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</si>
  <si>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</si>
  <si>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</si>
  <si>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</si>
  <si>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</si>
  <si>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</si>
  <si>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</si>
  <si>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</si>
  <si>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새벽빛 속에 굴려진 돌과 텅 빈 무덤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</si>
  <si>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</si>
  <si>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여기 계시지 않고 그의 말씀하시던 대로 살아나셨느니라 와서 그의 누우셨던 곳을 보라</t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</si>
  <si>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</si>
  <si>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</si>
  <si>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</si>
  <si>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</si>
  <si>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</si>
  <si>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</si>
  <si>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</si>
  <si>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산 위에서 세상을 향해 손을 펴신 예수님의 뒷모습</t>
  </si>
  <si>
    <t xml:space="preserve">그러므로 너희는 가서 모든 족속으로 제자를 삼아 아버지와 아들과 성령의 이름으로 세례를 주고</t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</si>
  <si>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</si>
  <si>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</si>
  <si>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</si>
  <si>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</si>
  <si>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</si>
  <si>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</si>
  <si>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</si>
  <si>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</si>
  <si>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</si>
  <si>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</si>
  <si>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</si>
  <si>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가버나움의 하루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</si>
  <si>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하나님의 아들 예수 그리스도 복음의 시작이라</t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</si>
  <si>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</si>
  <si>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</si>
  <si>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</si>
  <si>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</si>
  <si>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</si>
  <si>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</si>
  <si>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</si>
  <si>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</si>
  <si>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돌아가서 전하라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</si>
  <si>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새벽 오히려 미명에 예수께서 일어나 나가 한적한 곳으로 가사 거기서 기도하시더니</t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</si>
  <si>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</si>
  <si>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</si>
  <si>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</si>
  <si>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</si>
  <si>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</si>
  <si>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</si>
  <si>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</si>
  <si>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</si>
  <si>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</si>
  <si>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</si>
  <si>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지붕이 뚫리고 들것이 내려오는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</si>
  <si>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</si>
  <si>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저희의 믿음을 보시고 중풍병자에게 이르시되 소자야 네 죄 사함을 받았느니라 하시니</t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</si>
  <si>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</si>
  <si>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</si>
  <si>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</si>
  <si>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</si>
  <si>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</si>
  <si>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</si>
  <si>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</si>
  <si>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</si>
  <si>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</si>
  <si>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에바다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</si>
  <si>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허락지 아니하시고 저에게 이르시되 집으로 돌아가 주께서 네게 어떻게 큰 일을 행하사 너를 불쌍히 여기신 것을 네 친속에게 고하라 하신대</t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</si>
  <si>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</si>
  <si>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</si>
  <si>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</si>
  <si>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</si>
  <si>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</si>
  <si>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</si>
  <si>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</si>
  <si>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</si>
  <si>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</si>
  <si>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소녀의 손을 잡는 손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</si>
  <si>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어린아이를 안으시다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</si>
  <si>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아이의 손을 잡고 가라사대 달리다굼 하시니 번역하면 곧 소녀야 내가 네게 말하노니 일어나라 하심이라</t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</si>
  <si>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</si>
  <si>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</si>
  <si>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</si>
  <si>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</si>
  <si>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</si>
  <si>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</si>
  <si>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</si>
  <si>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</si>
  <si>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</si>
  <si>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번 만져 주신 맹인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</si>
  <si>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감탄형</t>
  </si>
  <si>
    <t xml:space="preserve">하늘을 우러러 탄식하시며 그에게 이르시되 에바다 하시니 이는 열리라는 뜻이라</t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</si>
  <si>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</si>
  <si>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</si>
  <si>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</si>
  <si>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</si>
  <si>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</si>
  <si>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</si>
  <si>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</si>
  <si>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</si>
  <si>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믿음 없는 나를 도와주소서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</si>
  <si>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그 눈에 다시 안수하시매 저가 주목하여 보더니 나아서 만물을 밝히 보는지라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</si>
  <si>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</si>
  <si>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</si>
  <si>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</si>
  <si>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</si>
  <si>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</si>
  <si>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</si>
  <si>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</si>
  <si>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</si>
  <si>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온 천하에 다니며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</si>
  <si>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곧 그 아이의 아비가 소리를 질러 가로되 내가 믿나이다 나의 믿음 없는 것을 도와 주소서 하더라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</si>
  <si>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</si>
  <si>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</si>
  <si>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</si>
  <si>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</si>
  <si>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</si>
  <si>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</si>
  <si>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</si>
  <si>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</si>
  <si>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</si>
  <si>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</si>
  <si>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제자들을 지나 예수님 품으로 달려가는 아이들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</si>
  <si>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</si>
  <si>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보시고 분히 여겨 이르시되 어린아이들의 내게 오는 것을 용납하고 금하지 말라 하나님의 나라가 이런 자의 것이니라</t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</si>
  <si>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</si>
  <si>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</si>
  <si>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</si>
  <si>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</si>
  <si>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</si>
  <si>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</si>
  <si>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</si>
  <si>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</si>
  <si>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길가에서 외치는 맹인과 그를 막는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</si>
  <si>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</si>
  <si>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가라 네 믿음이 너를 구원하였느니라 하시니 저가 곧 보게 되어 예수를 길에서 좇으니라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</si>
  <si>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</si>
  <si>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</si>
  <si>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</si>
  <si>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</si>
  <si>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</si>
  <si>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</si>
  <si>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</si>
  <si>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</si>
  <si>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헌금함에 떨어지는 동전 두 개</t>
  </si>
  <si>
    <t xml:space="preserve">저희는 다 그 풍족한 중에서 넣었거니와 이 과부는 그 구차한 중에서 자기 모든 소유 곧 생활비 전부를 넣었느니라 하셨더라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</si>
  <si>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</si>
  <si>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</si>
  <si>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</si>
  <si>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</si>
  <si>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</si>
  <si>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</si>
  <si>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</si>
  <si>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</si>
  <si>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성경 본문의 괄호 표기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</si>
  <si>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</si>
  <si>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가라사대 너희는 온 천하에 다니며 만민에게 복음을 전파하라</t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</si>
  <si>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</si>
  <si>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</si>
  <si>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</si>
  <si>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</si>
  <si>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</si>
  <si>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</si>
  <si>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</si>
  <si>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</si>
  <si>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</si>
  <si>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</si>
  <si>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</si>
  <si>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분향단 옆에 나타난 천사의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</si>
  <si>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</si>
  <si>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천사가 일러 가로되 사가랴여 무서워 말라 너의 간구함이 들린지라 네 아내 엘리사벳이 네게 아들을 낳아 주리니 그 이름을 요한이라 하라</t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</si>
  <si>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</si>
  <si>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</si>
  <si>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</si>
  <si>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</si>
  <si>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</si>
  <si>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</si>
  <si>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</si>
  <si>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</si>
  <si>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</si>
  <si>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나사렛 작은 집 안을 가득 채우는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</si>
  <si>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구유에 누이다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</si>
  <si>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대저 하나님의 모든 말씀은 능치 못하심이 없느니라</t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</si>
  <si>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</si>
  <si>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</si>
  <si>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</si>
  <si>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</si>
  <si>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</si>
  <si>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</si>
  <si>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</si>
  <si>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</si>
  <si>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</si>
  <si>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</si>
  <si>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그의 이름은 요한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</si>
  <si>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</si>
  <si>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</si>
  <si>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</si>
  <si>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</si>
  <si>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</si>
  <si>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</si>
  <si>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</si>
  <si>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</si>
  <si>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찬송하리로다 주 이스라엘의 하나님이여 그 백성을 돌아보사 속량하시며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</si>
  <si>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</si>
  <si>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</si>
  <si>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</si>
  <si>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</si>
  <si>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</si>
  <si>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</si>
  <si>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</si>
  <si>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</si>
  <si>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</si>
  <si>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</si>
  <si>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구유 속 아기를 비추는 따뜻한 빛</t>
  </si>
  <si>
    <t xml:space="preserve">맏아들을 낳아 강보로 싸서 구유에 뉘었으니 이는 사관에 있을 곳이 없음이러라</t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</si>
  <si>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</si>
  <si>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</si>
  <si>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</si>
  <si>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</si>
  <si>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</si>
  <si>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</si>
  <si>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</si>
  <si>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</si>
  <si>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밤하늘을 가득 채운 하늘 군대의 빛</t>
  </si>
  <si>
    <t xml:space="preserve">지극히 높은 곳에서는 하나님께 영광이요 땅에서는 기뻐하심을 입은 사람들 중에 평화로다 하니라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</si>
  <si>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</si>
  <si>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</si>
  <si>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</si>
  <si>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</si>
  <si>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</si>
  <si>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</si>
  <si>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</si>
  <si>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</si>
  <si>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</si>
  <si>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</si>
  <si>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</si>
  <si>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</si>
  <si>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</si>
  <si>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</si>
  <si>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</si>
  <si>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</si>
  <si>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</si>
  <si>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선생들 사이에 앉은 열두 살 소년</t>
  </si>
  <si>
    <t xml:space="preserve">예수께서 가라사대 어찌하여 나를 찾으셨나이까 내가 내 아버지 집에 있어야 될 줄을 알지 못하셨나이까 하시니</t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</si>
  <si>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</si>
  <si>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</si>
  <si>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</si>
  <si>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</si>
  <si>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</si>
  <si>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</si>
  <si>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</si>
  <si>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</si>
  <si>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</si>
  <si>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울지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</si>
  <si>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주의 성령이 내게 임하셨으니 이는 가난한 자에게 복음을 전하게 하시려고 내게 기름을 부으시고 나를 보내사 포로된 자에게 자유를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눈먼 자에게 다시 보게 함을 전파하며 눌린 자를 자유케 하고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</si>
  <si>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</si>
  <si>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</si>
  <si>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</si>
  <si>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</si>
  <si>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</si>
  <si>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</si>
  <si>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</si>
  <si>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</si>
  <si>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</si>
  <si>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</si>
  <si>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찢어질 듯 물고기가 가득 찬 그물</t>
  </si>
  <si>
    <t xml:space="preserve">시몬 베드로가 이를 보고 예수의 무릎 아래 엎드려 가로되 주여 나를 떠나소서 나는 죄인이로소이다 하니</t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</si>
  <si>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</si>
  <si>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</si>
  <si>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</si>
  <si>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</si>
  <si>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</si>
  <si>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</si>
  <si>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</si>
  <si>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</si>
  <si>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</si>
  <si>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눈물로 발을 씻긴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</si>
  <si>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주께서 과부를 보시고 불쌍히 여기사 울지 말라 하시고</t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</si>
  <si>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</si>
  <si>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</si>
  <si>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</si>
  <si>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</si>
  <si>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</si>
  <si>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</si>
  <si>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</si>
  <si>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</si>
  <si>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</si>
  <si>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이러므로 내가 네게 말하노니 저의 많은 죄가 사하여졌도다 이는 저의 사랑함이 많음이라 사함을 받은 일이 적은 자는 적게 사랑하느니라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</si>
  <si>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</si>
  <si>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</si>
  <si>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</si>
  <si>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</si>
  <si>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</si>
  <si>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</si>
  <si>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</si>
  <si>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</si>
  <si>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</si>
  <si>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</si>
  <si>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길가에 쓰러진 사람에게 다가가는 사마리아인</t>
  </si>
  <si>
    <t xml:space="preserve">가로되 자비를 베푼 자니이다 예수께서 이르시되 가서 너도 이와 같이 하라 하시니라</t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</si>
  <si>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</si>
  <si>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</si>
  <si>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</si>
  <si>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</si>
  <si>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</si>
  <si>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</si>
  <si>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</si>
  <si>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</si>
  <si>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부엌에서 바쁜 언니와 예수님 발치에 앉은 동생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</si>
  <si>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</si>
  <si>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몇 가지만 하든지 혹 한 가지만이라도 족하니라 마리아는 이 좋은 편을 택하였으니 빼앗기지 아니하리라 하시니라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</si>
  <si>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</si>
  <si>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</si>
  <si>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</si>
  <si>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</si>
  <si>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</si>
  <si>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</si>
  <si>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</si>
  <si>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또 너희에게 이르노니 구하라 그러면 너희에게 주실 것이요 찾으라 그러면 찾을 것이요 문을 두드리라 그러면 너희에게 열릴 것이니</t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</si>
  <si>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</si>
  <si>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</si>
  <si>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</si>
  <si>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</si>
  <si>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</si>
  <si>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</si>
  <si>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</si>
  <si>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</si>
  <si>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</si>
  <si>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새 창고 앞에서 웃는 부자 위로 지는 해</t>
  </si>
  <si>
    <t xml:space="preserve">하나님은 이르시되 어리석은 자여 오늘 밤에 네 영혼을 도로 찾으리니 그러면 네 예비한 것이 뉘 것이 되겠느냐 하셨으니</t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</si>
  <si>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</si>
  <si>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</si>
  <si>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</si>
  <si>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</si>
  <si>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</si>
  <si>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</si>
  <si>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</si>
  <si>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</si>
  <si>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</si>
  <si>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그러면 십팔 년 동안 사단에게 매인 바 된 이 아브라함의 딸을 안식일에 이 매임에서 푸는 것이 합당치 아니하냐</t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</si>
  <si>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</si>
  <si>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</si>
  <si>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</si>
  <si>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</si>
  <si>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</si>
  <si>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</si>
  <si>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</si>
  <si>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</si>
  <si>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주인이 종에게 이르되 길과 산울 가로 나가서 사람을 강권하여 데려다가 내 집을 채우라</t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</si>
  <si>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</si>
  <si>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</si>
  <si>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</si>
  <si>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</si>
  <si>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</si>
  <si>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</si>
  <si>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</si>
  <si>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</si>
  <si>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</si>
  <si>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</si>
  <si>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가시덤불 속 길 잃은 양 한 마리</t>
  </si>
  <si>
    <t xml:space="preserve">내가 너희에게 이르노니 이와 같이 죄인 하나가 회개하면 하늘에서는 회개할 것 없는 의인 아흔아홉을 인하여 기뻐하는 것보다 더하리라</t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</si>
  <si>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</si>
  <si>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</si>
  <si>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</si>
  <si>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</si>
  <si>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</si>
  <si>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</si>
  <si>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</si>
  <si>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</si>
  <si>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멀리서 달려와 아들을 끌어안는 아버지</t>
  </si>
  <si>
    <t xml:space="preserve">이에 일어나서 아버지께 돌아가니라 아직도 상거가 먼 데 아버지가 저를 보고 측은히 여겨 달려가 목을 안고 입을 맞추니</t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</si>
  <si>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</si>
  <si>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</si>
  <si>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</si>
  <si>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</si>
  <si>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</si>
  <si>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</si>
  <si>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</si>
  <si>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</si>
  <si>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</si>
  <si>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</si>
  <si>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</si>
  <si>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모세와 선지자들에게 듣지 아니하면 비록 죽은 자 가운데서 살아나는 자가 있을지라도 권함을 받지 아니하리라 하였다 하시니라</t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</si>
  <si>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</si>
  <si>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</si>
  <si>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</si>
  <si>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</si>
  <si>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</si>
  <si>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</si>
  <si>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</si>
  <si>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</si>
  <si>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</si>
  <si>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돌아와 엎드려 감사하는 한 사람</t>
  </si>
  <si>
    <t xml:space="preserve">예수께서 대답하여 가라사대 열 사람이 다 깨끗함을 받지 아니하였느냐 그 아홉은 어디 있느냐</t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</si>
  <si>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</si>
  <si>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</si>
  <si>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</si>
  <si>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</si>
  <si>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</si>
  <si>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</si>
  <si>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</si>
  <si>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뒤편에서 가슴을 치며 고개 숙인 세리</t>
  </si>
  <si>
    <t xml:space="preserve">세리는 멀리 서서 감히 눈을 들어 하늘을 우러러 보지도 못하고 다만 가슴을 치며 가로되 하나님이여 불쌍히 여기옵소서 나는 죄인이로소이다 하였느니라</t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</si>
  <si>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</si>
  <si>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</si>
  <si>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</si>
  <si>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</si>
  <si>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</si>
  <si>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</si>
  <si>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</si>
  <si>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</si>
  <si>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뽕나무 가지 사이로 고개를 내민 키 작은 남자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</si>
  <si>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 위의 강도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</si>
  <si>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인자의 온 것은 잃어버린 자를 찾아 구원하려 함이니라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</si>
  <si>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</si>
  <si>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</si>
  <si>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</si>
  <si>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</si>
  <si>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</si>
  <si>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</si>
  <si>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</si>
  <si>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</si>
  <si>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힘쓰고 애써 더욱 간절히 기도하시니 땀이 땅에 떨어지는 피 방울같이 되더라</t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</si>
  <si>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</si>
  <si>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</si>
  <si>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</si>
  <si>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</si>
  <si>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</si>
  <si>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</si>
  <si>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</si>
  <si>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</si>
  <si>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</si>
  <si>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</si>
  <si>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위에서 고개를 돌리는 강도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</si>
  <si>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엠마오로 가는 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</si>
  <si>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내가 진실로 네게 이르노니 오늘 네가 나와 함께 낙원에 있으리라 하시니라</t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</si>
  <si>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</si>
  <si>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</si>
  <si>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</si>
  <si>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</si>
  <si>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</si>
  <si>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</si>
  <si>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</si>
  <si>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</si>
  <si>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저녁 식탁에서 떡을 떼는 순간 알아보는 두 제자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</si>
  <si>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하늘로 올라가시다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</si>
  <si>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서로 말하되 길에서 우리에게 말씀하시고 우리에게 성경을 풀어 주실 때에 우리 속에서 마음이 뜨겁지 아니하더냐 하고</t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</si>
  <si>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</si>
  <si>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</si>
  <si>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</si>
  <si>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</si>
  <si>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</si>
  <si>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</si>
  <si>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</si>
  <si>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축복하시며 구름 속으로 올라가시는 실루엣</t>
  </si>
  <si>
    <r>
      <rPr>
        <sz val="10"/>
        <color rgb="FF000000"/>
        <rFont val="WenQuanYi Zen Hei"/>
        <family val="2"/>
      </rPr>
      <t xml:space="preserve">축복하실 때에 저희를 떠나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하늘로 올리우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시니</t>
    </r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</si>
  <si>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</si>
  <si>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</si>
  <si>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</si>
  <si>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</si>
  <si>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</si>
  <si>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</si>
  <si>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</si>
  <si>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</si>
  <si>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</si>
  <si>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</si>
  <si>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</si>
  <si>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</si>
  <si>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어둠 속에 비치는 말씀의 빛</t>
  </si>
  <si>
    <t xml:space="preserve">말씀이 육신이 되어 우리 가운데 거하시매 우리가 그 영광을 보니 아버지의 독생자의 영광이요 은혜와 진리가 충만하더라</t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</si>
  <si>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</si>
  <si>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</si>
  <si>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</si>
  <si>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</si>
  <si>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</si>
  <si>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</si>
  <si>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</si>
  <si>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</si>
  <si>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</si>
  <si>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성전을 정결하게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</si>
  <si>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이튿날 요한이 예수께서 자기에게 나아오심을 보고 가로되 보라 세상 죄를 지고 가는 하나님의 어린 양이로다</t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</si>
  <si>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</si>
  <si>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</si>
  <si>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</si>
  <si>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</si>
  <si>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</si>
  <si>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</si>
  <si>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</si>
  <si>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</si>
  <si>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</si>
  <si>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</si>
  <si>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항아리에서 붉은 포도주가 흘러나오는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</si>
  <si>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밤에 찾아온 니고데모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</si>
  <si>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 처음 표적을 갈릴리 가나에서 행하여 그 영광을 나타내시매 제자들이 그를 믿으니라</t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</si>
  <si>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</si>
  <si>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</si>
  <si>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</si>
  <si>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</si>
  <si>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</si>
  <si>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</si>
  <si>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</si>
  <si>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</si>
  <si>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말씀만으로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</si>
  <si>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너희가 이 성전을 헐라 내가 사흘 동안에 일으키리라</t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</si>
  <si>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</si>
  <si>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</si>
  <si>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</si>
  <si>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</si>
  <si>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</si>
  <si>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</si>
  <si>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</si>
  <si>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</si>
  <si>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</si>
  <si>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</si>
  <si>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밤바람 속 등불 아래 찾아온 노학자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</si>
  <si>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</si>
  <si>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세상을 이처럼 사랑하사 독생자를 주셨으니 이는 저를 믿는 자마다 멸망치 않고 영생을 얻게 하려 하심이니라</t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</si>
  <si>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</si>
  <si>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</si>
  <si>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</si>
  <si>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</si>
  <si>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</si>
  <si>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</si>
  <si>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</si>
  <si>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</si>
  <si>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</si>
  <si>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한낮의 우물가에서 물동이를 내려놓는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</si>
  <si>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베데스다 연못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</si>
  <si>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주는 물을 먹는 자는 영원히 목마르지 아니하리니 나의 주는 물은 그 속에서 영생하도록 솟아나는 샘물이 되리라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</si>
  <si>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</si>
  <si>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</si>
  <si>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</si>
  <si>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</si>
  <si>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</si>
  <si>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</si>
  <si>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</si>
  <si>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</si>
  <si>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</si>
  <si>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가라사대 가라 네 아들이 살았다 하신대 그 사람이 예수의 하신 말씀을 믿고 가더니</t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</si>
  <si>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</si>
  <si>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</si>
  <si>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</si>
  <si>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</si>
  <si>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</si>
  <si>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</si>
  <si>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</si>
  <si>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</si>
  <si>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누워 있던 사람이 자리를 들고 일어서는 순간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</si>
  <si>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나다 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</si>
  <si>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일어나 네 자리를 들고 걸어가라 하시니</t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</si>
  <si>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</si>
  <si>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</si>
  <si>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</si>
  <si>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</si>
  <si>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</si>
  <si>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</si>
  <si>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</si>
  <si>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</si>
  <si>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폭풍 치는 밤바다 위로 걸어오시는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</si>
  <si>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</si>
  <si>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내니 두려워 말라 하신대</t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</si>
  <si>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</si>
  <si>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</si>
  <si>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</si>
  <si>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</si>
  <si>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</si>
  <si>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</si>
  <si>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</si>
  <si>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</si>
  <si>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</si>
  <si>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하늘에서 내려온 빵을 가리키시는 손</t>
  </si>
  <si>
    <t xml:space="preserve">예수께서 가라사대 내가 곧 생명의 떡이요 내게 오는 자는 결코 주리지 아니할 터이요 나를 믿는 자는 영원히 목마르지 아니하리라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</si>
  <si>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</si>
  <si>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</si>
  <si>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</si>
  <si>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</si>
  <si>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</si>
  <si>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</si>
  <si>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</si>
  <si>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</si>
  <si>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</si>
  <si>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아브라함이 나기 전부터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</si>
  <si>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나를 믿는 자는 성경에 이름과 같이 그 배에서 생수의 강이 흘러나리라 하시니</t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</si>
  <si>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</si>
  <si>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</si>
  <si>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</si>
  <si>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</si>
  <si>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</si>
  <si>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</si>
  <si>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</si>
  <si>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</si>
  <si>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</si>
  <si>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글을 쓰시는 손가락과 떨어지는 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</si>
  <si>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날 때부터 맹인 된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</si>
  <si>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대답하되 주여 없나이다 예수께서 가라사대 나도 너를 정죄하지 아니하노니 가서 다시는 죄를 범치 말라 하시니라</t>
    </r>
    <r>
      <rPr>
        <sz val="10"/>
        <color rgb="FF000000"/>
        <rFont val="Arial"/>
        <family val="0"/>
        <charset val="1"/>
      </rPr>
      <t xml:space="preserve">)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</si>
  <si>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</si>
  <si>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</si>
  <si>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</si>
  <si>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</si>
  <si>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</si>
  <si>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</si>
  <si>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</si>
  <si>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</si>
  <si>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</si>
  <si>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나드 향유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</si>
  <si>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진실로 진실로 너희에게 이르노니 아브라함이 나기 전부터 내가 있느니라 하시니</t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</si>
  <si>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</si>
  <si>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</si>
  <si>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</si>
  <si>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</si>
  <si>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</si>
  <si>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</si>
  <si>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</si>
  <si>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</si>
  <si>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</si>
  <si>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실로암 못에서 눈을 씻고 처음 빛을 보는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</si>
  <si>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</si>
  <si>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그가 죄인인지 내가 알지 못하나 한 가지 아는 것은 내가 소경으로 있다가 지금 보는 그것이니이다</t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</si>
  <si>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</si>
  <si>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</si>
  <si>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</si>
  <si>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</si>
  <si>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</si>
  <si>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</si>
  <si>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</si>
  <si>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</si>
  <si>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문 앞에서 양을 하나하나 부르는 목자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</si>
  <si>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</si>
  <si>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선한 목자라 선한 목자는 양들을 위하여 목숨을 버리거니와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</si>
  <si>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</si>
  <si>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</si>
  <si>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</si>
  <si>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</si>
  <si>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</si>
  <si>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</si>
  <si>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</si>
  <si>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</si>
  <si>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무덤 입구에서 수의를 감은 채 걸어 나오는 나사로</t>
  </si>
  <si>
    <t xml:space="preserve">예수께서 가라사대 나는 부활이요 생명이니 나를 믿는 자는 죽어도 살겠고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</si>
  <si>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</si>
  <si>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</si>
  <si>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</si>
  <si>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</si>
  <si>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</si>
  <si>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</si>
  <si>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</si>
  <si>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</si>
  <si>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</si>
  <si>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알의 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</si>
  <si>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마리아는 지극히 비싼 향유 곧 순전한 나드 한 근을 가져다가 예수의 발에 붓고 자기 머리털로 그의 발을 씻으니 향유 냄새가 집에 가득하더라</t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</si>
  <si>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</si>
  <si>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</si>
  <si>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</si>
  <si>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</si>
  <si>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</si>
  <si>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</si>
  <si>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</si>
  <si>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내가 진실로 진실로 너희에게 이르노니 한 알의 밀이 땅에 떨어져 죽지 아니하면 한 알 그대로 있고 죽으면 많은 열매를 맺느니라</t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</si>
  <si>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</si>
  <si>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</si>
  <si>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</si>
  <si>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</si>
  <si>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</si>
  <si>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</si>
  <si>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</si>
  <si>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</si>
  <si>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</si>
  <si>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</si>
  <si>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제자의 발을 씻기시는 손과 대야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</si>
  <si>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길이요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</si>
  <si>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주와 또는 선생이 되어 너희 발을 씻겼으니 너희도 서로 발을 씻기는 것이 옳으니라</t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</si>
  <si>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</si>
  <si>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</si>
  <si>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</si>
  <si>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</si>
  <si>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</si>
  <si>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</si>
  <si>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</si>
  <si>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</si>
  <si>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</si>
  <si>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</si>
  <si>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세상을 이겼노라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</si>
  <si>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 계명을 너희에게 주노니 서로 사랑하라 내가 너희를 사랑한 것같이 너희도 서로 사랑하라</t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</si>
  <si>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</si>
  <si>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</si>
  <si>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</si>
  <si>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</si>
  <si>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</si>
  <si>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</si>
  <si>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</si>
  <si>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</si>
  <si>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</si>
  <si>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 등불 아래 제자들을 바라보시는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</si>
  <si>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</si>
  <si>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내가 곧 길이요 진리요 생명이니 나로 말미암지 않고는 아버지께로 올 자가 없느니라</t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</si>
  <si>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</si>
  <si>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</si>
  <si>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</si>
  <si>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</si>
  <si>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</si>
  <si>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</si>
  <si>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가지에 탐스럽게 열린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</si>
  <si>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</si>
  <si>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나는 포도나무요 너희는 가지니 저가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저 안에 있으면 이 사람은 과실을 많이 맺나니 나를 떠나서는 너희가 아무것도 할 수 없음이라</t>
    </r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</si>
  <si>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</si>
  <si>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</si>
  <si>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</si>
  <si>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</si>
  <si>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</si>
  <si>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</si>
  <si>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</si>
  <si>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</si>
  <si>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이것을 너희에게 이름은 너희로 내 안에서 평안을 누리게 하려 함이라 세상에서는 너희가 환난을 당하나 담대하라 내가 세상을 이기었노라 하시니라</t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</si>
  <si>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</si>
  <si>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</si>
  <si>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</si>
  <si>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</si>
  <si>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</si>
  <si>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</si>
  <si>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</si>
  <si>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</si>
  <si>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r>
      <rPr>
        <sz val="10"/>
        <color rgb="FF000000"/>
        <rFont val="WenQuanYi Zen Hei"/>
        <family val="2"/>
      </rPr>
      <t xml:space="preserve">아버지께서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아버지 안에 있는 것같이 저희도 다 하나가 되어 우리 안에 있게 하사 세상으로 아버지께서 나를 보내신 것을 믿게 하옵소서</t>
    </r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</si>
  <si>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</si>
  <si>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</si>
  <si>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</si>
  <si>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</si>
  <si>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</si>
  <si>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</si>
  <si>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</si>
  <si>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</si>
  <si>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진리가 무엇이냐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</si>
  <si>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베드로더러 이르시되 검을 집에 꽂으라 아버지께서 주신 잔을 내가 마시지 아니하겠느냐 하시니라</t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</si>
  <si>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</si>
  <si>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</si>
  <si>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</si>
  <si>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</si>
  <si>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</si>
  <si>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</si>
  <si>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</si>
  <si>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</si>
  <si>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빌라도가 가로되 진리가 무엇이냐 하더라 이 말을 하고 다시 유대인들에게 나가서 이르되 나는 그에게서 아무 죄도 찾지 못하노라</t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</si>
  <si>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</si>
  <si>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</si>
  <si>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</si>
  <si>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</si>
  <si>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</si>
  <si>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</si>
  <si>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</si>
  <si>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</si>
  <si>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</si>
  <si>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</si>
  <si>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직후 고요해진 골고다 하늘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</si>
  <si>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마리아야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</si>
  <si>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신 포도주를 받으신 후 가라사대 다 이루었다 하시고 머리를 숙이시고 영혼이 돌아가시니라</t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</si>
  <si>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</si>
  <si>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</si>
  <si>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</si>
  <si>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</si>
  <si>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</si>
  <si>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</si>
  <si>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</si>
  <si>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</si>
  <si>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빈 무덤 앞에서 이름을 듣고 돌아서는 마리아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</si>
  <si>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나의 주 나의 하나님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</si>
  <si>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예수께서 마리아야 하시거늘 마리아가 돌이켜 히브리 말로 랍오니여 하니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이는 선생님이라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</si>
  <si>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</si>
  <si>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</si>
  <si>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</si>
  <si>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</si>
  <si>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</si>
  <si>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</si>
  <si>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</si>
  <si>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</si>
  <si>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닫힌 방 안에서 손을 내미시는 예수님과 도마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</si>
  <si>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양을 먹이라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</si>
  <si>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도마가 대답하여 가로되 나의 주시며 나의 하나님이시니이다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</si>
  <si>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</si>
  <si>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</si>
  <si>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</si>
  <si>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</si>
  <si>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</si>
  <si>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</si>
  <si>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</si>
  <si>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새벽 바닷가의 숯불과 떡과 물고기</t>
  </si>
  <si>
    <t xml:space="preserve">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</si>
  <si>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</si>
  <si>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</si>
  <si>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</si>
  <si>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</si>
  <si>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</si>
  <si>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</si>
  <si>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</si>
  <si>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</si>
  <si>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</si>
  <si>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</si>
  <si>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구름 속으로 올라가시는 실루엣을 올려다보는 제자들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</si>
  <si>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오순절 성령 강림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</si>
  <si>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성령이 너희에게 임하시면 너희가 권능을 받고 예루살렘과 온 유대와 사마리아와 땅 끝까지 이르러 내 증인이 되리라 하시니라</t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</si>
  <si>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</si>
  <si>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</si>
  <si>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</si>
  <si>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</si>
  <si>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</si>
  <si>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</si>
  <si>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</si>
  <si>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</si>
  <si>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여자들과 예수의 모친 마리아와 예수의 아우들로 더불어 마음을 같이하여 전혀 기도에 힘쓰니라</t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</si>
  <si>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</si>
  <si>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</si>
  <si>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</si>
  <si>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</si>
  <si>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</si>
  <si>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</si>
  <si>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</si>
  <si>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</si>
  <si>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</si>
  <si>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</si>
  <si>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다락방에 불어닥치는 바람과 불꽃 같은 혀</t>
  </si>
  <si>
    <t xml:space="preserve">저희가 다 성령의 충만함을 받고 성령이 말하게 하심을 따라 다른 방언으로 말하기를 시작하니라</t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</si>
  <si>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</si>
  <si>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</si>
  <si>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</si>
  <si>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</si>
  <si>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</si>
  <si>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</si>
  <si>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</si>
  <si>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</si>
  <si>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군중 앞에 담대히 선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</si>
  <si>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미문의 앉은뱅이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</si>
  <si>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사도의 가르침을 받아 서로 교제하며 떡을 떼며 기도하기를 전혀 힘쓰니라</t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</si>
  <si>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</si>
  <si>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</si>
  <si>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</si>
  <si>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</si>
  <si>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</si>
  <si>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</si>
  <si>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</si>
  <si>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</si>
  <si>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성전 미문 앞에서 처음으로 일어서는 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</si>
  <si>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</si>
  <si>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가로되 은과 금은 내게 없거니와 내게 있는 것으로 네게 주노니 곧 나사렛 예수 그리스도의 이름으로 걸으라 하고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</si>
  <si>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</si>
  <si>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</si>
  <si>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</si>
  <si>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</si>
  <si>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</si>
  <si>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</si>
  <si>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</si>
  <si>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</si>
  <si>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공회 앞에 선 두 어부의 담대한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</si>
  <si>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</si>
  <si>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다른 이로서는 구원을 얻을 수 없나니 천하 인간에 구원을 얻을 만한 다른 이름을 우리에게 주신 일이 없음이니라 하였더라</t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</si>
  <si>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</si>
  <si>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</si>
  <si>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</si>
  <si>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</si>
  <si>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</si>
  <si>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</si>
  <si>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</si>
  <si>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</si>
  <si>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</si>
  <si>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</si>
  <si>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땅이 그대로 있을 때에는 네 땅이 아니며 판 후에도 네 임의로 할 수가 없더냐 어찌하여 이 일을 네 마음에 두었느냐 사람에게 거짓말 한 것이 아니요 하나님께로다</t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</si>
  <si>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</si>
  <si>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</si>
  <si>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</si>
  <si>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</si>
  <si>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</si>
  <si>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</si>
  <si>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</si>
  <si>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</si>
  <si>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</si>
  <si>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일곱 집사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</si>
  <si>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베드로와 사도들이 대답하여 가로되 사람보다 하나님을 순종하는 것이 마땅하니라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</si>
  <si>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</si>
  <si>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</si>
  <si>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</si>
  <si>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</si>
  <si>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</si>
  <si>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</si>
  <si>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</si>
  <si>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</si>
  <si>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형제들아 너희 가운데서 성령과 지혜가 충만하여 칭찬 듣는 사람 일곱을 택하라 우리가 이 일을 저희에게 맡기고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</si>
  <si>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</si>
  <si>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</si>
  <si>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</si>
  <si>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</si>
  <si>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</si>
  <si>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</si>
  <si>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</si>
  <si>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</si>
  <si>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</si>
  <si>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</si>
  <si>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하늘을 올려다보는 스데반의 빛나는 얼굴</t>
  </si>
  <si>
    <t xml:space="preserve">바울</t>
  </si>
  <si>
    <t xml:space="preserve">무릎을 꿇고 크게 불러 가로되 주여 이 죄를 저들에게 돌리지 마옵소서 이 말을 하고 자니라</t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</si>
  <si>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</si>
  <si>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</si>
  <si>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</si>
  <si>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</si>
  <si>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</si>
  <si>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</si>
  <si>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</si>
  <si>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</si>
  <si>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</si>
  <si>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</si>
  <si>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</si>
  <si>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베드로가 가로되 네가 하나님의 선물을 돈 주고 살 줄로 생각하였으니 네 은과 네가 함께 망할지어다</t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</si>
  <si>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</si>
  <si>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</si>
  <si>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</si>
  <si>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</si>
  <si>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</si>
  <si>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</si>
  <si>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</si>
  <si>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</si>
  <si>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</si>
  <si>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</si>
  <si>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길을 달리는 마차를 뒤쫓는 빌립</t>
  </si>
  <si>
    <t xml:space="preserve">빌립이 입을 열어 이 글에서 시작하여 예수를 가르쳐 복음을 전하니</t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</si>
  <si>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</si>
  <si>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</si>
  <si>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</si>
  <si>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</si>
  <si>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</si>
  <si>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</si>
  <si>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</si>
  <si>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</si>
  <si>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다메섹 길에서 하늘의 빛에 쓰러지는 사울</t>
  </si>
  <si>
    <t xml:space="preserve">땅에 엎드러져 들으매 소리 있어 가라사대 사울아 사울아 네가 어찌하여 나를 핍박하느냐 하시거늘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</si>
  <si>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</si>
  <si>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</si>
  <si>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</si>
  <si>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</si>
  <si>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</si>
  <si>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</si>
  <si>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</si>
  <si>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</si>
  <si>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</si>
  <si>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바나바가 데리고 사도들에게 가서 그가 길에서 어떻게 주를 본 것과 주께서 그에게 말씀하신 일과 다메섹에서 그가 어떻게 예수의 이름으로 담대히 말하던 것을 말하니라</t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</si>
  <si>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</si>
  <si>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</si>
  <si>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</si>
  <si>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</si>
  <si>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</si>
  <si>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</si>
  <si>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</si>
  <si>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</si>
  <si>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베드로가 사람을 다 내어 보내고 무릎을 꿇고 기도하고 돌이켜 시체를 향하여 가로되 다비다야 일어나라 하니 그가 눈을 떠 베드로를 보고 일어나 앉는지라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</si>
  <si>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</si>
  <si>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</si>
  <si>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</si>
  <si>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</si>
  <si>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</si>
  <si>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</si>
  <si>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</si>
  <si>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</si>
  <si>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</si>
  <si>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하늘에서 내려오는 큰 보자기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</si>
  <si>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감옥에서 잠든 베드로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</si>
  <si>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입을 열어 가로되 내가 참으로 하나님은 사람의 외모를 취하지 아니하시고</t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</si>
  <si>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</si>
  <si>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</si>
  <si>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</si>
  <si>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</si>
  <si>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</si>
  <si>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</si>
  <si>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</si>
  <si>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</si>
  <si>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</si>
  <si>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만나매 안디옥에 데리고 와서 둘이 교회에 일 년간 모여 있어 큰 무리를 가르쳤고 제자들이 안디옥에서 비로소 그리스도인이라 일컬음을 받게 되었더라</t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</si>
  <si>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</si>
  <si>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</si>
  <si>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</si>
  <si>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</si>
  <si>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</si>
  <si>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</si>
  <si>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</si>
  <si>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</si>
  <si>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</si>
  <si>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</si>
  <si>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감옥에서 사슬이 풀려 떨어지는 장면</t>
  </si>
  <si>
    <t xml:space="preserve">이에 베드로는 옥에 갇혔고 교회는 그를 위하여 간절히 하나님께 빌더라</t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</si>
  <si>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</si>
  <si>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</si>
  <si>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</si>
  <si>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</si>
  <si>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</si>
  <si>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</si>
  <si>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</si>
  <si>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</si>
  <si>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</si>
  <si>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안디옥 항구에서 배에 오르는 두 선교사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</si>
  <si>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</si>
  <si>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주를 섬겨 금식할 때에 성령이 가라사대 내가 불러 시키는 일을 위하여 바나바와 사울을 따로 세우라 하시니</t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</si>
  <si>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</si>
  <si>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</si>
  <si>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</si>
  <si>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</si>
  <si>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</si>
  <si>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</si>
  <si>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</si>
  <si>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</si>
  <si>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</si>
  <si>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신이라 불린 사도들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</si>
  <si>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형제들아 너희가 알 것은 이 사람을 힘입어 죄 사함을 너희에게 전하는 이것이며</t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</si>
  <si>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</si>
  <si>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</si>
  <si>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</si>
  <si>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</si>
  <si>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</si>
  <si>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</si>
  <si>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</si>
  <si>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</si>
  <si>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</si>
  <si>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마게도냐 사람의 환상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</si>
  <si>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여러분이여 어찌하여 이러한 일을 하느냐 우리도 너희와 같은 성정을 가진 사람이라 너희에게 복음을 전하는 것은 이 헛된 일을 버리고 천지와 바다와 그 가운데 만유를 지으시고 살아 계신 하나님께로 돌아오라 함이라</t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</si>
  <si>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</si>
  <si>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</si>
  <si>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</si>
  <si>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</si>
  <si>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</si>
  <si>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</si>
  <si>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</si>
  <si>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</si>
  <si>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</si>
  <si>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예루살렘 교회에 모인 사도들의 토론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</si>
  <si>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</si>
  <si>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바울</t>
    </r>
  </si>
  <si>
    <t xml:space="preserve">우리가 저희와 동일하게 주 예수의 은혜로 구원받는 줄을 믿노라 하니라</t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</si>
  <si>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</si>
  <si>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</si>
  <si>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</si>
  <si>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</si>
  <si>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</si>
  <si>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</si>
  <si>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</si>
  <si>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</si>
  <si>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</si>
  <si>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베뢰아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</si>
  <si>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환상이 바울에게 보이니 마게도냐 사람 하나가 서서 그에게 청하여 가로되 마게도냐로 건너와서 우리를 도우라 하거늘</t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</si>
  <si>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</si>
  <si>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</si>
  <si>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</si>
  <si>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</si>
  <si>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</si>
  <si>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</si>
  <si>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</si>
  <si>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</si>
  <si>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</si>
  <si>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감옥에서 찬양하자 흔들리는 벽과 열리는 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</si>
  <si>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</si>
  <si>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주 예수를 믿으라 그리하면 너와 네 집이 구원을 얻으리라 하고</t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</si>
  <si>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</si>
  <si>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</si>
  <si>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</si>
  <si>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</si>
  <si>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</si>
  <si>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</si>
  <si>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</si>
  <si>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</si>
  <si>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</si>
  <si>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</si>
  <si>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</si>
  <si>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베뢰아 사람은 데살로니가에 있는 사람보다 더 신사적이어서 간절한 마음으로 말씀을 받고 이것이 그러한가 하여 날마다 성경을 상고하므로</t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</si>
  <si>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</si>
  <si>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</si>
  <si>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</si>
  <si>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</si>
  <si>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</si>
  <si>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</si>
  <si>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</si>
  <si>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</si>
  <si>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</si>
  <si>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새겨진 아테네 제단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</si>
  <si>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</si>
  <si>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우주와 그 가운데 있는 만유를 지으신 신께서는 천지의 주재시니 손으로 지은 전에 계시지 아니하시고</t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</si>
  <si>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</si>
  <si>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</si>
  <si>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</si>
  <si>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</si>
  <si>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</si>
  <si>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</si>
  <si>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</si>
  <si>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</si>
  <si>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에베소의 소동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</si>
  <si>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주께서 환상 가운데 바울에게 말씀하시되 두려워하지 말며 잠잠하지 말고 말하라</t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</si>
  <si>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</si>
  <si>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</si>
  <si>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</si>
  <si>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</si>
  <si>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</si>
  <si>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</si>
  <si>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</si>
  <si>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</si>
  <si>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이와 같이 주의 말씀이 힘이 있어 흥왕하여 세력을 얻으니라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</si>
  <si>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</si>
  <si>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</si>
  <si>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</si>
  <si>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</si>
  <si>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</si>
  <si>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</si>
  <si>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</si>
  <si>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</si>
  <si>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</si>
  <si>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바닷가에서 바울을 끌어안고 우는 장로들</t>
  </si>
  <si>
    <t xml:space="preserve">나의 달려갈 길과 주 예수께 받은 사명 곧 하나님의 은혜의 복음 증거하는 일을 마치려 함에는 나의 생명을 조금도 귀한 것으로 여기지 아니하노라</t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</si>
  <si>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</si>
  <si>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</si>
  <si>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</si>
  <si>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</si>
  <si>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</si>
  <si>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</si>
  <si>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</si>
  <si>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</si>
  <si>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</si>
  <si>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</si>
  <si>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</si>
  <si>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바울의 간증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</si>
  <si>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대답하되 너희가 어찌하여 울어 내 마음을 상하게 하느냐 나는 주 예수의 이름을 위하여 결박받을 뿐 아니라 예루살렘에서 죽을 것도 각오하였노라 하니</t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</si>
  <si>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</si>
  <si>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</si>
  <si>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</si>
  <si>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</si>
  <si>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</si>
  <si>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</si>
  <si>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</si>
  <si>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</si>
  <si>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명의 암살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</si>
  <si>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그를 위하여 모든 사람 앞에서 너의 보고 들은 것에 증인이 되리라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</si>
  <si>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</si>
  <si>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</si>
  <si>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</si>
  <si>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</si>
  <si>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</si>
  <si>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</si>
  <si>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</si>
  <si>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</si>
  <si>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 떤 총독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</si>
  <si>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날 밤에 주께서 바울 곁에 서서 이르시되 담대하라 네가 예루살렘에서 나의 일을 증거한 것같이 로마에서도 증거하여야 하리라 하시니라</t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</si>
  <si>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</si>
  <si>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</si>
  <si>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</si>
  <si>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</si>
  <si>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</si>
  <si>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</si>
  <si>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</si>
  <si>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</si>
  <si>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거의 그리스도인이 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</si>
  <si>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의와 절제와 장차 오는 심판을 강론하니 벨릭스가 두려워하여 대답하되 시방은 가라 내가 틈이 있으면 너를 부르리라 하고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</si>
  <si>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</si>
  <si>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</si>
  <si>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</si>
  <si>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</si>
  <si>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</si>
  <si>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</si>
  <si>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</si>
  <si>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</si>
  <si>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독사도 해치지 못하다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</si>
  <si>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아그립바가 바울더러 이르되 네가 적은 말로 나를 권하여 그리스도인이 되게 하려 하는도다</t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</si>
  <si>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</si>
  <si>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</si>
  <si>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</si>
  <si>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</si>
  <si>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</si>
  <si>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</si>
  <si>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</si>
  <si>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</si>
  <si>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</si>
  <si>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</si>
  <si>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거대한 파도에 흔들리는 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</si>
  <si>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</si>
  <si>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여러분이여 안심하라 나는 내게 말씀하신 그대로 되리라고 하나님을 믿노라</t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</si>
  <si>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</si>
  <si>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</si>
  <si>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</si>
  <si>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</si>
  <si>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</si>
  <si>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</si>
  <si>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</si>
  <si>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</si>
  <si>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부서진 배 조각을 붙잡고 해안에 닿는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</si>
  <si>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</si>
  <si>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남은 사람들은 널조각 혹은 배 물건에 의지하여 나가게 하니 마침내 사람들이 다 상륙하여 구원을 얻으니라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</si>
  <si>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</si>
  <si>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</si>
  <si>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</si>
  <si>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</si>
  <si>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</si>
  <si>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</si>
  <si>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</si>
  <si>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</si>
  <si>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</si>
  <si>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</si>
  <si>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바울이 그 짐승을 불에 떨어 버리매 조금도 상함이 없더라</t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</si>
  <si>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</si>
  <si>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</si>
  <si>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</si>
  <si>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</si>
  <si>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</si>
  <si>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</si>
  <si>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</si>
  <si>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</si>
  <si>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</si>
  <si>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로마 셋집에서 찾아온 이들에게 말씀을 전하는 바울</t>
  </si>
  <si>
    <t xml:space="preserve">담대히 하나님 나라를 전파하며 주 예수 그리스도께 관한 것을 가르치되 금하는 사람이 없었더라</t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</si>
  <si>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</si>
  <si>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</si>
  <si>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</si>
  <si>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</si>
  <si>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</si>
  <si>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</si>
  <si>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</si>
  <si>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</si>
  <si>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</si>
  <si>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</si>
  <si>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복음을 부끄러워하지 아니하노니 이 복음은 모든 믿는 자에게 구원을 주시는 하나님의 능력이 됨이라 첫째는 유대인에게요 또한 헬라인에게로다</t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</si>
  <si>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</si>
  <si>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</si>
  <si>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</si>
  <si>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</si>
  <si>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</si>
  <si>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</si>
  <si>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</si>
  <si>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기록한 바 의인은 없나니 하나도 없으며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</si>
  <si>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</si>
  <si>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</si>
  <si>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</si>
  <si>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</si>
  <si>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</si>
  <si>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</si>
  <si>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</si>
  <si>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</si>
  <si>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저울 위의 죄를 덮는 십자가의 빛</t>
  </si>
  <si>
    <t xml:space="preserve">그리스도 예수 안에 있는 구속으로 말미암아 하나님의 은혜로 값없이 의롭다 하심을 얻은 자 되었느니라</t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</si>
  <si>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</si>
  <si>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</si>
  <si>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</si>
  <si>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</si>
  <si>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</si>
  <si>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</si>
  <si>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</si>
  <si>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</si>
  <si>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</si>
  <si>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</si>
  <si>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성경이 무엇을 말하느뇨 아브라함이 하나님을 믿으매 이것이 저에게 의로 여기신 바 되었느니라</t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</si>
  <si>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</si>
  <si>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</si>
  <si>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</si>
  <si>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</si>
  <si>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</si>
  <si>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</si>
  <si>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</si>
  <si>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</si>
  <si>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</si>
  <si>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우리가 아직 죄인 되었을 때에 그리스도께서 우리를 위하여 죽으심으로 하나님께서 우리에게 대한 자기의 사랑을 확증하셨느니라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</si>
  <si>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</si>
  <si>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</si>
  <si>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</si>
  <si>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</si>
  <si>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</si>
  <si>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</si>
  <si>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</si>
  <si>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</si>
  <si>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죄의 삯은 사망이요 하나님의 은사는 그리스도 예수 우리 주 안에 있는 영생이니라</t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</si>
  <si>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</si>
  <si>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</si>
  <si>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</si>
  <si>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</si>
  <si>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</si>
  <si>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</si>
  <si>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</si>
  <si>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오호라 나는 곤고한 사람이로다 이 사망의 몸에서 누가 나를 건져내랴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</si>
  <si>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</si>
  <si>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</si>
  <si>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</si>
  <si>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</si>
  <si>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</si>
  <si>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</si>
  <si>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</si>
  <si>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그러므로 이제 그리스도 예수 안에 있는 자에게는 결코 정죄함이 없나니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</si>
  <si>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</si>
  <si>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</si>
  <si>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</si>
  <si>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</si>
  <si>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</si>
  <si>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</si>
  <si>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</si>
  <si>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</si>
  <si>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</si>
  <si>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어떤 폭풍도 끊지 못하는 빛나는 끈</t>
  </si>
  <si>
    <t xml:space="preserve">우리가 알거니와 하나님을 사랑하는 자 곧 그 뜻대로 부르심을 입은 자들에게는 모든 것이 합력하여 선을 이루느니라</t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</si>
  <si>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</si>
  <si>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</si>
  <si>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</si>
  <si>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</si>
  <si>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</si>
  <si>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</si>
  <si>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</si>
  <si>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</si>
  <si>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</si>
  <si>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깊도다 하나님의 지혜와 지식의 부요함이여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그의 판단은 측량치 못할 것이며 그의 길은 찾지 못할 것이로다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</si>
  <si>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</si>
  <si>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</si>
  <si>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</si>
  <si>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</si>
  <si>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</si>
  <si>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</si>
  <si>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</si>
  <si>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그러므로 형제들아 내가 하나님의 모든 자비하심으로 너희를 권하노니 너희 몸을 하나님이 기뻐하시는 거룩한 산 제사로 드리라 이는 너희의 드릴 영적 예배니라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</si>
  <si>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</si>
  <si>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</si>
  <si>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</si>
  <si>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</si>
  <si>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</si>
  <si>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</si>
  <si>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</si>
  <si>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피차 사랑의 빚 외에는 아무에게든지 아무 빚도 지지 말라 남을 사랑하는 자는 율법을 다 이루었느니라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</si>
  <si>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</si>
  <si>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</si>
  <si>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</si>
  <si>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</si>
  <si>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</si>
  <si>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</si>
  <si>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</si>
  <si>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</si>
  <si>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이러므로 그리스도께서 우리를 받아 하나님께 영광을 돌리심과 같이 너희도 서로 받으라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</si>
  <si>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</si>
  <si>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</si>
  <si>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</si>
  <si>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</si>
  <si>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</si>
  <si>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</si>
  <si>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</si>
  <si>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</si>
  <si>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</si>
  <si>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</si>
  <si>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십자가의 도가 멸망하는 자들에게는 미련한 것이요 구원을 얻는 우리에게는 하나님의 능력이라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</si>
  <si>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</si>
  <si>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</si>
  <si>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</si>
  <si>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</si>
  <si>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</si>
  <si>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</si>
  <si>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</si>
  <si>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</si>
  <si>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</si>
  <si>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나는 심었고 아볼로는 물을 주었으되 오직 하나님은 자라나게 하셨나니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</si>
  <si>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</si>
  <si>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</si>
  <si>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</si>
  <si>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</si>
  <si>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</si>
  <si>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</si>
  <si>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</si>
  <si>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</si>
  <si>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너희 몸은 너희가 하나님께로부터 받은 바 너희 가운데 계신 성령의 전인 줄을 알지 못하느냐 너희는 너희의 것이 아니라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</si>
  <si>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</si>
  <si>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</si>
  <si>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</si>
  <si>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</si>
  <si>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</si>
  <si>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</si>
  <si>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</si>
  <si>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오직 주께서 각 사람에게 나눠 주신 대로 하나님이 각 사람을 부르신 그대로 행하라 내가 모든 교회에서 이와 같이 명하노라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</si>
  <si>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</si>
  <si>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</si>
  <si>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</si>
  <si>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</si>
  <si>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</si>
  <si>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</si>
  <si>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</si>
  <si>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그런즉 너희가 먹든지 마시든지 무엇을 하든지 다 하나님의 영광을 위하여 하라</t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</si>
  <si>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</si>
  <si>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</si>
  <si>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</si>
  <si>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</si>
  <si>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</si>
  <si>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</si>
  <si>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</si>
  <si>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</si>
  <si>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</si>
  <si>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너희가 이 떡을 먹으며 이 잔을 마실 때마다 주의 죽으심을 오실 때까지 전하는 것이니라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</si>
  <si>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</si>
  <si>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</si>
  <si>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</si>
  <si>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</si>
  <si>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</si>
  <si>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</si>
  <si>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</si>
  <si>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</si>
  <si>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</si>
  <si>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</si>
  <si>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</si>
  <si>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</si>
  <si>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</si>
  <si>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</si>
  <si>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</si>
  <si>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</si>
  <si>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</si>
  <si>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사랑의 장면들이 차례로 스쳐 가는 몽타주</t>
  </si>
  <si>
    <r>
      <rPr>
        <sz val="10"/>
        <color rgb="FF000000"/>
        <rFont val="WenQuanYi Zen Hei"/>
        <family val="2"/>
      </rPr>
      <t xml:space="preserve">그런즉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 이 세 가지는 항상 있을 것인데 그 중에 제일은 사랑이라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</si>
  <si>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</si>
  <si>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</si>
  <si>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</si>
  <si>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</si>
  <si>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</si>
  <si>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</si>
  <si>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</si>
  <si>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</si>
  <si>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</si>
  <si>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모든 것을 적당하게 하고 질서대로 하라</t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</si>
  <si>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</si>
  <si>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</si>
  <si>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</si>
  <si>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</si>
  <si>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</si>
  <si>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</si>
  <si>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</si>
  <si>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</si>
  <si>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</si>
  <si>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</si>
  <si>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떨어진 씨앗에서 솟아나는 새싹</t>
  </si>
  <si>
    <t xml:space="preserve">그러나 이제 그리스도께서 죽은 자 가운데서 다시 살아 잠자는 자들의 첫 열매가 되셨도다</t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</si>
  <si>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</si>
  <si>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</si>
  <si>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</si>
  <si>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</si>
  <si>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</si>
  <si>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</si>
  <si>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</si>
  <si>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</si>
  <si>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</si>
  <si>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</si>
  <si>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</si>
  <si>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우리의 모든 환난 중에서 우리를 위로하사 우리로 하여금 하나님께 받는 위로로써 모든 환난 중에 있는 자들을 능히 위로하게 하시는 이시로다</t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</si>
  <si>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</si>
  <si>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</si>
  <si>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</si>
  <si>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</si>
  <si>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</si>
  <si>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</si>
  <si>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</si>
  <si>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우리가 이 보배를 질그릇에 가졌으니 이는 능력의 심히 큰 것이 하나님께 있고 우리에게 있지 아니함을 알게 하려 함이라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</si>
  <si>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</si>
  <si>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</si>
  <si>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</si>
  <si>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</si>
  <si>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</si>
  <si>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</si>
  <si>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</si>
  <si>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그런즉 누구든지 그리스도 안에 있으면 새로운 피조물이라 이전 것은 지나갔으니 보라 새 것이 되었도다</t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</si>
  <si>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</si>
  <si>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</si>
  <si>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</si>
  <si>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</si>
  <si>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</si>
  <si>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</si>
  <si>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</si>
  <si>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가라사대 내가 은혜 베풀 때에 너를 듣고 구원의 날에 너를 도왔다 하셨으니 보라 지금은 은혜받을 만한 때요 보라 지금은 구원의 날이로다</t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</si>
  <si>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</si>
  <si>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</si>
  <si>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</si>
  <si>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</si>
  <si>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</si>
  <si>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</si>
  <si>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</si>
  <si>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</si>
  <si>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</si>
  <si>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각각 그 마음에 정한 대로 할 것이요 인색함으로나 억지로 하지 말지니 하나님은 즐겨 내는 자를 사랑하시느니라</t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</si>
  <si>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</si>
  <si>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10:1-13:13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</si>
  <si>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</si>
  <si>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</si>
  <si>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</si>
  <si>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</si>
  <si>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</si>
  <si>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</t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</si>
  <si>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</si>
  <si>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</si>
  <si>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</si>
  <si>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</si>
  <si>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</si>
  <si>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</si>
  <si>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</si>
  <si>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</si>
  <si>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</si>
  <si>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</si>
  <si>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</t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</si>
  <si>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</si>
  <si>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</si>
  <si>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</si>
  <si>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</si>
  <si>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</si>
  <si>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</si>
  <si>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</si>
  <si>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</si>
  <si>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그리스도께서 우리를 위하여 저주를 받은 바 되사 율법의 저주에서 우리를 속량하셨으니 기록된 바 나무에 달린 자마다 저주 아래 있는 자라 하였음이라</t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</si>
  <si>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</si>
  <si>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</si>
  <si>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</si>
  <si>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</si>
  <si>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</si>
  <si>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</si>
  <si>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</si>
  <si>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그리스도께서 우리로 자유케 하려고 자유를 주셨으니 그러므로 굳세게 서서 다시는 종의 멍에를 메지 말라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</si>
  <si>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</si>
  <si>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</si>
  <si>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</si>
  <si>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</si>
  <si>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</si>
  <si>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</si>
  <si>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</si>
  <si>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</si>
  <si>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아홉 가지 열매가 하나씩 맺히는 나무</t>
  </si>
  <si>
    <t xml:space="preserve">오직 성령의 열매는 사랑과 희락과 화평과 오래 참음과 자비와 양선과 충성과</t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</si>
  <si>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</si>
  <si>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</si>
  <si>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</si>
  <si>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</si>
  <si>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</si>
  <si>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</si>
  <si>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</si>
  <si>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</si>
  <si>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너희가 무거운 짐을 서로 지라 그리하여 그리스도의 법을 성취하라</t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</si>
  <si>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</si>
  <si>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</si>
  <si>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</si>
  <si>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</si>
  <si>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</si>
  <si>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</si>
  <si>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</si>
  <si>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</si>
  <si>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</si>
  <si>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</si>
  <si>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</si>
  <si>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곧 창세 전에 그리스도 안에서 우리를 택하사 우리로 사랑 안에서 그 앞에 거룩하고 흠이 없게 하시려고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</si>
  <si>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</si>
  <si>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</si>
  <si>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</si>
  <si>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</si>
  <si>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</si>
  <si>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</si>
  <si>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</si>
  <si>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</si>
  <si>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</si>
  <si>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</si>
  <si>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리본으로 묶인 선물 상자를 받는 손</t>
  </si>
  <si>
    <t xml:space="preserve">너희가 그 은혜를 인하여 믿음으로 말미암아 구원을 얻었나니 이것이 너희에게서 난 것이 아니요 하나님의 선물이라</t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</si>
  <si>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</si>
  <si>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</si>
  <si>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</si>
  <si>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</si>
  <si>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</si>
  <si>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</si>
  <si>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</si>
  <si>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</si>
  <si>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그는 우리의 화평이신지라 둘로 하나를 만드사 중간에 막힌 담을 허시고</t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</si>
  <si>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</si>
  <si>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</si>
  <si>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</si>
  <si>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</si>
  <si>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</si>
  <si>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</si>
  <si>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</si>
  <si>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평안의 매는 줄로 성령의 하나 되게 하신 것을 힘써 지키라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</si>
  <si>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</si>
  <si>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</si>
  <si>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</si>
  <si>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</si>
  <si>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</si>
  <si>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</si>
  <si>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</si>
  <si>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</si>
  <si>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너희가 전에는 어두움이더니 이제는 주 안에서 빛이라 빛의 자녀들처럼 행하라</t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</si>
  <si>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</si>
  <si>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</si>
  <si>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</si>
  <si>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</si>
  <si>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</si>
  <si>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</si>
  <si>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</si>
  <si>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</si>
  <si>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</si>
  <si>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</si>
  <si>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하나씩 입혀지는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방패</t>
    </r>
  </si>
  <si>
    <t xml:space="preserve">마귀의 궤계를 능히 대적하기 위하여 하나님의 전신갑주를 입으라</t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</si>
  <si>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</si>
  <si>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</si>
  <si>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</si>
  <si>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</si>
  <si>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</si>
  <si>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</si>
  <si>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</si>
  <si>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</si>
  <si>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</si>
  <si>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이는 내게 사는 것이 그리스도니 죽는 것도 유익함이니라</t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</si>
  <si>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</si>
  <si>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</si>
  <si>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</si>
  <si>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</si>
  <si>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</si>
  <si>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</si>
  <si>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</si>
  <si>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</si>
  <si>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</si>
  <si>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</si>
  <si>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</si>
  <si>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</si>
  <si>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</si>
  <si>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</si>
  <si>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</si>
  <si>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</si>
  <si>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푯대를 향하여 그리스도 예수 안에서 하나님이 위에서 부르신 부름의 상을 위하여 좇아가노라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</si>
  <si>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</si>
  <si>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</si>
  <si>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</si>
  <si>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</si>
  <si>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</si>
  <si>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</si>
  <si>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</si>
  <si>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</si>
  <si>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</si>
  <si>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</si>
  <si>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</si>
  <si>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</si>
  <si>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</si>
  <si>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</si>
  <si>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</si>
  <si>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</si>
  <si>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</si>
  <si>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</si>
  <si>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</si>
  <si>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만물이 그에게 창조되되 하늘과 땅에서 보이는 것들과 보이지 않는 것들과 혹은 보좌들이나 주관들이나 정사들이나 권세들이나 만물이 다 그로 말미암고 그를 위하여 창조되었고</t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</si>
  <si>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</si>
  <si>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</si>
  <si>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</si>
  <si>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</si>
  <si>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</si>
  <si>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</si>
  <si>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</si>
  <si>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</si>
  <si>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누가 철학과 헛된 속임수로 너희를 노략할까 주의하라 이것이 사람의 유전과 세상의 초등 학문을 좇음이요 그리스도를 좇음이 아니니라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</si>
  <si>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</si>
  <si>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</si>
  <si>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</si>
  <si>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</si>
  <si>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</si>
  <si>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</si>
  <si>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</si>
  <si>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위엣 것을 생각하고 땅엣 것을 생각지 말라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</si>
  <si>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</si>
  <si>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</si>
  <si>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</si>
  <si>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</si>
  <si>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</si>
  <si>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</si>
  <si>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무슨 일을 하든지 마음을 다하여 주께 하듯 하고 사람에게 하듯 하지 말라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</si>
  <si>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</si>
  <si>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</si>
  <si>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</si>
  <si>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</si>
  <si>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</si>
  <si>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</si>
  <si>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</si>
  <si>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</si>
  <si>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</si>
  <si>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너희의 믿음의 역사와 사랑의 수고와 우리 주 예수 그리스도에 대한 소망의 인내를 우리 하나님 아버지 앞에서 쉬지 않고 기억함이니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</si>
  <si>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</si>
  <si>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</si>
  <si>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</si>
  <si>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</si>
  <si>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</si>
  <si>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</si>
  <si>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</si>
  <si>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</si>
  <si>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주께서 호령과 천사장의 소리와 하나님의 나팔로 친히 하늘로 좇아 강림하시리니 그리스도 안에서 죽은 자들이 먼저 일어나고</t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</si>
  <si>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</si>
  <si>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</si>
  <si>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</si>
  <si>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</si>
  <si>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</si>
  <si>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</si>
  <si>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</si>
  <si>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</si>
  <si>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</si>
  <si>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</si>
  <si>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</si>
  <si>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</si>
  <si>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</si>
  <si>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</si>
  <si>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</si>
  <si>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</si>
  <si>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누가 아무렇게 하여도 너희가 미혹하지 말라 먼저 배도하는 일이 있고 저 불법의 사람 곧 멸망의 아들이 나타나기 전에는 이르지 아니하리니</t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</si>
  <si>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</si>
  <si>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</si>
  <si>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</si>
  <si>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</si>
  <si>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</si>
  <si>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</si>
  <si>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</si>
  <si>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우리가 너희와 함께 있을 때에도 너희에게 명하기를 누구든지 일하기 싫어하거든 먹지도 말게 하라 하였더니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</si>
  <si>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</si>
  <si>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</si>
  <si>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</si>
  <si>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</si>
  <si>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</si>
  <si>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</si>
  <si>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</si>
  <si>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</si>
  <si>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</si>
  <si>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</si>
  <si>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</si>
  <si>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미쁘다 모든 사람이 받을 만한 이 말이여 그리스도 예수께서 죄인을 구원하시려고 세상에 임하셨다 하였도다 죄인 중에 내가 괴수니라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</si>
  <si>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</si>
  <si>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</si>
  <si>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</si>
  <si>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</si>
  <si>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</si>
  <si>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</si>
  <si>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</si>
  <si>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</si>
  <si>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하나님은 한 분이시요 또 하나님과 사람 사이에 중보도 한 분이시니 곧 사람이신 그리스도 예수라</t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</si>
  <si>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</si>
  <si>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</si>
  <si>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</si>
  <si>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</si>
  <si>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</si>
  <si>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</si>
  <si>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</si>
  <si>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</si>
  <si>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누구든지 네 연소함을 업신여기지 못하게 하고 오직 말과 행실과 사랑과 믿음과 정절에 대하여 믿는 자에게 본이 되어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</si>
  <si>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</si>
  <si>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</si>
  <si>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</si>
  <si>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</si>
  <si>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</si>
  <si>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</si>
  <si>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</si>
  <si>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</si>
  <si>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돈을 사랑함이 일만 악의 뿌리가 되나니 이것을 사모하는 자들이 미혹을 받아 믿음에서 떠나 많은 근심으로써 자기를 찔렀도다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</si>
  <si>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</si>
  <si>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</si>
  <si>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</si>
  <si>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</si>
  <si>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</si>
  <si>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</si>
  <si>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</si>
  <si>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</si>
  <si>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</si>
  <si>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하나님이 우리에게 주신 것은 두려워하는 마음이 아니요 오직 능력과 사랑과 근신하는 마음이니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</si>
  <si>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</si>
  <si>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</si>
  <si>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</si>
  <si>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</si>
  <si>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</si>
  <si>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</si>
  <si>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</si>
  <si>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네가 진리의 말씀을 옳게 분변하여 부끄러울 것이 없는 일꾼으로 인정된 자로 자신을 하나님 앞에 드리기를 힘쓰라</t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</si>
  <si>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</si>
  <si>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</si>
  <si>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</si>
  <si>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</si>
  <si>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</si>
  <si>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</si>
  <si>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</si>
  <si>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</si>
  <si>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</si>
  <si>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</si>
  <si>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</si>
  <si>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</si>
  <si>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</si>
  <si>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</si>
  <si>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</si>
  <si>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</si>
  <si>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</si>
  <si>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미쁜 말씀의 가르침을 그대로 지켜야 하리니 이는 능히 바른 교훈으로 권면하고 거스려 말하는 자들을 책망하게 하려 함이라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</si>
  <si>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</si>
  <si>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</si>
  <si>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</si>
  <si>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</si>
  <si>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</si>
  <si>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</si>
  <si>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</si>
  <si>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우리를 구원하시되 우리의 행한 바 의로운 행위로 말미암지 아니하고 오직 그의 긍휼하심을 좇아 중생의 씻음과 성령의 새롭게 하심으로 하셨나니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</si>
  <si>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</si>
  <si>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</si>
  <si>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</si>
  <si>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</si>
  <si>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</si>
  <si>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</si>
  <si>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</si>
  <si>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</si>
  <si>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</si>
  <si>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</si>
  <si>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이후로는 종과 같이 아니하고 종에서 뛰어나 곧 사랑받는 형제로 둘 자라 내게 특별히 그러하거든 하물며 육신과 주 안에서 상관된 네게랴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</si>
  <si>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</si>
  <si>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</si>
  <si>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</si>
  <si>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</si>
  <si>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</si>
  <si>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</si>
  <si>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</si>
  <si>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</si>
  <si>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</si>
  <si>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</si>
  <si>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</si>
  <si>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이는 하나님의 영광의 광채시요 그 본체의 형상이시라 그의 능력의 말씀으로 만물을 붙드시며 죄를 정결케 하는 일을 하시고 높은 곳에 계신 위엄의 우편에 앉으셨느니라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</si>
  <si>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</si>
  <si>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</si>
  <si>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</si>
  <si>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</si>
  <si>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</si>
  <si>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</si>
  <si>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</si>
  <si>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</si>
  <si>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하나님의 말씀은 살았고 운동력이 있어 죄우에 날선 어떤 검보다도 예리하여 혼과 영과 및 관절과 골수를 찔러 쪼개기까지 하며 또 마음의 생각과 뜻을 감찰하나니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</si>
  <si>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</si>
  <si>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</si>
  <si>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</si>
  <si>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</si>
  <si>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</si>
  <si>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</si>
  <si>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</si>
  <si>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</si>
  <si>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그러므로 우리가 긍휼하심을 받고 때를 따라 돕는 은혜를 얻기 위하여 은혜의 보좌 앞에 담대히 나아갈 것이니라</t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</si>
  <si>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</si>
  <si>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</si>
  <si>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</si>
  <si>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</si>
  <si>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</si>
  <si>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</si>
  <si>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</si>
  <si>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</si>
  <si>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</si>
  <si>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우리가 이 소망이 있는 것은 영혼의 닻 같아서 튼튼하고 견고하여 휘장 안에 들어가나니</t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</si>
  <si>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</si>
  <si>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</si>
  <si>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</si>
  <si>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</si>
  <si>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</si>
  <si>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</si>
  <si>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</si>
  <si>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</si>
  <si>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그러므로 자기를 힘입어 하나님께 나아가는 자들을 온전히 구원하실 수 있으니 이는 그가 항상 살아서 저희를 위하여 간구하심이니라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</si>
  <si>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</si>
  <si>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</si>
  <si>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</si>
  <si>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</si>
  <si>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</si>
  <si>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</si>
  <si>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</si>
  <si>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</si>
  <si>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</si>
  <si>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이 뜻을 좇아 예수 그리스도의 몸을 단번에 드리심으로 말미암아 우리가 거룩함을 얻었노라</t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</si>
  <si>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</si>
  <si>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</si>
  <si>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</si>
  <si>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</si>
  <si>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</si>
  <si>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</si>
  <si>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</si>
  <si>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모이기를 폐하는 어떤 사람들의 습관과 같이 하지 말고 오직 권하여 그 날이 가까움을 볼수록 더욱 그리하자</t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</si>
  <si>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</si>
  <si>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</si>
  <si>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</si>
  <si>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</si>
  <si>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</si>
  <si>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</si>
  <si>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</si>
  <si>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</si>
  <si>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</si>
  <si>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</si>
  <si>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믿음의 사람들이 차례로 지나가는 갤러리</t>
  </si>
  <si>
    <t xml:space="preserve">믿음이 없이는 기쁘시게 못하나니 하나님께 나아가는 자는 반드시 그가 계신 것과 또한 그가 자기를 찾는 자들에게 상 주시는 이심을 믿어야 할지니라</t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</si>
  <si>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</si>
  <si>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</si>
  <si>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</si>
  <si>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</si>
  <si>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</si>
  <si>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</si>
  <si>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</si>
  <si>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</si>
  <si>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</si>
  <si>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믿음의 주요 또 온전케 하시는 이인 예수를 바라보자 저는 그 앞에 있는 즐거움을 위하여 십자가를 참으사 부끄러움을 개의치 아니하시더니 하나님 보좌 우편에 앉으셨느니라</t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</si>
  <si>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</si>
  <si>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</si>
  <si>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</si>
  <si>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</si>
  <si>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</si>
  <si>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</si>
  <si>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</si>
  <si>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</si>
  <si>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</si>
  <si>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</si>
  <si>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</si>
  <si>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</si>
  <si>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</si>
  <si>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</si>
  <si>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</si>
  <si>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</si>
  <si>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</si>
  <si>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</si>
  <si>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</si>
  <si>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내 형제들아 너희가 여러 가지 시험을 만나거든 온전히 기쁘게 여기라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</si>
  <si>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</si>
  <si>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</si>
  <si>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</si>
  <si>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</si>
  <si>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</si>
  <si>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</si>
  <si>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</si>
  <si>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내 사랑하는 형제들아 너희가 알거니와 사람마다 듣기는 속히 하고 말하기는 더디 하며 성내기도 더디 하라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</si>
  <si>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</si>
  <si>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</si>
  <si>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</si>
  <si>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</si>
  <si>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</si>
  <si>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</si>
  <si>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</si>
  <si>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</si>
  <si>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</si>
  <si>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이와 같이 행함이 없는 믿음은 그 자체가 죽은 것이라</t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</si>
  <si>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</si>
  <si>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</si>
  <si>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</si>
  <si>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</si>
  <si>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</si>
  <si>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</si>
  <si>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</si>
  <si>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우리가 다 실수가 많으니 만일 말에 실수가 없는 자면 곧 온전한 사람이라 능히 온 몸도 굴레 씌우리라</t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</si>
  <si>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</si>
  <si>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</si>
  <si>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</si>
  <si>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</si>
  <si>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</si>
  <si>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</si>
  <si>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</si>
  <si>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</si>
  <si>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</si>
  <si>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하나님을 가까이 하라 그리하면 너희를 가까이 하시리라 죄인들아 손을 깨끗이 하라 두 마음을 품은 자들아 마음을 성결케 하라</t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</si>
  <si>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</si>
  <si>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</si>
  <si>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</si>
  <si>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</si>
  <si>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</si>
  <si>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</si>
  <si>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</si>
  <si>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흩어진 나그네들</t>
  </si>
  <si>
    <t xml:space="preserve">찬송하리로다 우리 주 예수 그리스도의 아버지 하나님이 그 많으신 긍휼대로 예수 그리스도의 죽은 자 가운데서 부활하심으로 말미암아 우리를 거듭나게 하사 산 소망이 있게 하시며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</si>
  <si>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</si>
  <si>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</si>
  <si>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</si>
  <si>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</si>
  <si>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</si>
  <si>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</si>
  <si>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</si>
  <si>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</si>
  <si>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오직 너희는 택하신 족속이요 왕 같은 제사장들이요 거룩한 나라요 그의 소유된 백성이니 이는 너희를 어두운 데서 불러 내어 그의 기이한 빛에 들어가게 하신 자의 아름다운 덕을 선전하게 하려 하심이라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</si>
  <si>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</si>
  <si>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</si>
  <si>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</si>
  <si>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</si>
  <si>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</si>
  <si>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</si>
  <si>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</si>
  <si>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</si>
  <si>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너희 마음에 그리스도를 주로 삼아 거룩하게 하고 너희 속에 있는 소망에 관한 이유를 묻는 자에게는 대답할 것을 항상 예비하되 온유와 두려움으로 하고</t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</si>
  <si>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</si>
  <si>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</si>
  <si>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</si>
  <si>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</si>
  <si>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</si>
  <si>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</si>
  <si>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</si>
  <si>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너희 염려를 다 주께 맡겨 버리라 이는 저가 너희를 권고하심이니라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</si>
  <si>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</si>
  <si>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</si>
  <si>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</si>
  <si>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</si>
  <si>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</si>
  <si>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</si>
  <si>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</si>
  <si>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</si>
  <si>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</si>
  <si>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예언은 언제든지 사람의 뜻으로 낸 것이 아니요 오직 성령의 감동하심을 입은 사람들이 하나님께 받아 말한 것임이니라</t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</si>
  <si>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</si>
  <si>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</si>
  <si>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</si>
  <si>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</si>
  <si>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</si>
  <si>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</si>
  <si>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</si>
  <si>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</si>
  <si>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그러나 민간에 또한 거짓 선지자들이 일어났었나니 이와 같이 너희 중에도 거짓 선생들이 있으리라 저희는 멸망케 할 이단을 가만히 끌어들여 자기들을 사신 주를 부인하고 임박한 멸망을 스스로 취하는 자들이라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</si>
  <si>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</si>
  <si>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</si>
  <si>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</si>
  <si>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</si>
  <si>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</si>
  <si>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</si>
  <si>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</si>
  <si>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</si>
  <si>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주의 약속은 어떤 이의 더디다고 생각하는 것같이 더딘 것이 아니라 오직 너희를 대하여 오래 참으사 아무도 멸망치 않고 다 회개하기에 이르기를 원하시느니라</t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</si>
  <si>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</si>
  <si>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</si>
  <si>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</si>
  <si>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</si>
  <si>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</si>
  <si>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</si>
  <si>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</si>
  <si>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</si>
  <si>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</si>
  <si>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</si>
  <si>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</si>
  <si>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만일 우리가 우리 죄를 자백하면 저는 미쁘시고 의로우사 우리 죄를 사하시며 모든 불의에서 우리를 깨끗케 하실 것이요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</si>
  <si>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</si>
  <si>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</si>
  <si>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</si>
  <si>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</si>
  <si>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</si>
  <si>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</si>
  <si>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</si>
  <si>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r>
      <rPr>
        <sz val="10"/>
        <color rgb="FF000000"/>
        <rFont val="WenQuanYi Zen Hei"/>
        <family val="2"/>
      </rPr>
      <t xml:space="preserve">보라 아버지께서 어떠한 사랑을 우리에게 주사 하나님의 자녀라 일컬음을 얻게 하셨는고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우리가 그러하도다 그러므로 세상이 우리를 알지 못함은 그를 알지 못함이니라</t>
    </r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</si>
  <si>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</si>
  <si>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</si>
  <si>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</si>
  <si>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</si>
  <si>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</si>
  <si>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</si>
  <si>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</si>
  <si>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</si>
  <si>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사랑하지 아니하는 자는 하나님을 알지 못하나니 이는 하나님은 사랑이심이라</t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</si>
  <si>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</si>
  <si>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</si>
  <si>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</si>
  <si>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</si>
  <si>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</si>
  <si>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</si>
  <si>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</si>
  <si>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</si>
  <si>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내가 하나님의 아들의 이름을 믿는 너희에게 이것을 쓴 것은 너희로 하여금 너희에게 영생이 있음을 알게 하려 함이라</t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</si>
  <si>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</si>
  <si>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</si>
  <si>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</si>
  <si>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</si>
  <si>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</si>
  <si>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</si>
  <si>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</si>
  <si>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</si>
  <si>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</si>
  <si>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</si>
  <si>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또 사랑은 이것이니 우리가 그 계명을 좇아 행하는 것이요 계명은 이것이니 너희가 처음부터 들은 바와 같이 그 가운데서 행하라 하심이라</t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</si>
  <si>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</si>
  <si>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</si>
  <si>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</si>
  <si>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</si>
  <si>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</si>
  <si>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</si>
  <si>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</si>
  <si>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</si>
  <si>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</si>
  <si>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</si>
  <si>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사랑하는 자여 악한 것을 본받지 말고 선한 것을 본받으라 선을 행하는 자는 하나님께 속하고 악을 행하는 자는 하나님을 뵈옵지 못하였느니라</t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</si>
  <si>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</si>
  <si>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</si>
  <si>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</si>
  <si>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</si>
  <si>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</si>
  <si>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</si>
  <si>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</si>
  <si>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</si>
  <si>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</si>
  <si>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</si>
  <si>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사랑하는 자들아 내가 우리의 일반으로 얻은 구원을 들어 너희에게 편지하려는 뜻이 간절하던 차에 성도에게 단번에 주신 믿음의 도를 위하여 힘써 싸우라는 편지로 너희를 권하여야 할 필요를 느꼈노니</t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</si>
  <si>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</si>
  <si>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</si>
  <si>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</si>
  <si>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</si>
  <si>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</si>
  <si>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</si>
  <si>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</si>
  <si>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</si>
  <si>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</si>
  <si>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이 예언의 말씀을 읽는 자와 듣는 자들과 그 가운데 기록한 것을 지키는 자들이 복이 있나니 때가 가까움이라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</si>
  <si>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</si>
  <si>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</si>
  <si>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</si>
  <si>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</si>
  <si>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</si>
  <si>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</si>
  <si>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</si>
  <si>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</si>
  <si>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</si>
  <si>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</si>
  <si>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내가 볼 때에 그 발 앞에 엎드러져 죽은 자같이 되매 그가 오른손을 내게 얹고 가라사대 두려워 말라 나는 처음이요 나중이니</t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</si>
  <si>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</si>
  <si>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</si>
  <si>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</si>
  <si>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</si>
  <si>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</si>
  <si>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</si>
  <si>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</si>
  <si>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</si>
  <si>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</si>
  <si>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그러나 너를 책망할 것이 있나니 너의 처음 사랑을 버렸느니라</t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</si>
  <si>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</si>
  <si>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</si>
  <si>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</si>
  <si>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</si>
  <si>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</si>
  <si>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</si>
  <si>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</si>
  <si>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</si>
  <si>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이기는 자는 이와 같이 흰 옷을 입을 것이요 내가 그 이름을 생명책에서 반드시 흐리지 아니하고 그 이름을 내 아버지 앞과 그 천사들 앞에서 시인하리라</t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</si>
  <si>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</si>
  <si>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</si>
  <si>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</si>
  <si>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</si>
  <si>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</si>
  <si>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</si>
  <si>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</si>
  <si>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</si>
  <si>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</si>
  <si>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 밖에서 두드리는 손과 문틈의 빛</t>
  </si>
  <si>
    <t xml:space="preserve">볼지어다 내가 문 밖에 서서 두드리노니 누구든지 내 음성을 듣고 문을 열면 내가 그에게로 들어가 그로 더불어 먹고 그는 나로 더불어 먹으리라</t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</si>
  <si>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</si>
  <si>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</si>
  <si>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</si>
  <si>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</si>
  <si>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</si>
  <si>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</si>
  <si>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</si>
  <si>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</si>
  <si>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</si>
  <si>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</si>
  <si>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네 생물이 각각 여섯 날개가 있고 그 안과 주위에 눈이 가득하더라 그들이 밤낮 쉬지 않고 이르기를 거룩하다 거룩하다 거룩하다 주 하나님 곧 전능하신 이여 전에도 계셨고 이제도 계시고 장차 오실 자라 하고</t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</si>
  <si>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</si>
  <si>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</si>
  <si>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</si>
  <si>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</si>
  <si>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</si>
  <si>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</si>
  <si>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</si>
  <si>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</si>
  <si>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</si>
  <si>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</si>
  <si>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일곱 인으로 봉한 두루마리 앞의 어린양</t>
  </si>
  <si>
    <t xml:space="preserve">큰 음성으로 가로되 죽임을 당하신 어린 양이 능력과 부와 지혜와 힘과 존귀와 영광과 찬송을 받으시기에 합당하도다 하더라</t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</si>
  <si>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</si>
  <si>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</si>
  <si>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</si>
  <si>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</si>
  <si>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</si>
  <si>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</si>
  <si>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</si>
  <si>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</si>
  <si>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</si>
  <si>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</si>
  <si>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큰 소리로 불러 가로되 거룩하고 참되신 대주재여 땅에 거하는 자들을 심판하여 우리 피를 신원하여 주지 아니하시기를 어느 때까지 하시려나이까 하니</t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</si>
  <si>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</si>
  <si>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</si>
  <si>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</si>
  <si>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</si>
  <si>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</si>
  <si>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</si>
  <si>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</si>
  <si>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</si>
  <si>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</si>
  <si>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 일 후에 내가 보니 각 나라와 족속과 백성과 방언에서 아무라도 능히 셀 수 없는 큰 무리가 흰 옷을 입고 손에 종려가지를 들고 보좌 앞과 어린 양 앞에 서서</t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</si>
  <si>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</si>
  <si>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</si>
  <si>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</si>
  <si>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</si>
  <si>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</si>
  <si>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</si>
  <si>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</si>
  <si>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</si>
  <si>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</si>
  <si>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향연이 성도의 기도와 함께 천사의 손으로부터 하나님 앞으로 올라가는지라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</si>
  <si>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</si>
  <si>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</si>
  <si>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</si>
  <si>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</si>
  <si>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</si>
  <si>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</si>
  <si>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</si>
  <si>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</si>
  <si>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</si>
  <si>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일곱째 천사가 나팔을 불매 하늘에 큰 음성들이 나서 가로되 세상 나라가 우리 주와 그 그리스도의 나라가 되어 그가 세세토록 왕 노릇 하시리로다 하니</t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</si>
  <si>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</si>
  <si>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</si>
  <si>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</si>
  <si>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</si>
  <si>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</si>
  <si>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</si>
  <si>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</si>
  <si>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</si>
  <si>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</si>
  <si>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</si>
  <si>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</si>
  <si>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또 여러 형제가 어린 양의 피와 자기의 증거하는 말을 인하여 저를 이기었으니 그들은 죽기까지 자기 생명을 아끼지 아니하였도다</t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</si>
  <si>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</si>
  <si>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</si>
  <si>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</si>
  <si>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</si>
  <si>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</si>
  <si>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</si>
  <si>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</si>
  <si>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</si>
  <si>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</si>
  <si>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사로잡는 자는 사로잡힐 것이요 칼에 죽이는 자는 자기도 마땅히 칼에 죽으리니 성도들의 인내와 믿음이 여기 있느니라</t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</si>
  <si>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</si>
  <si>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</si>
  <si>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</si>
  <si>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</si>
  <si>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</si>
  <si>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</si>
  <si>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</si>
  <si>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</si>
  <si>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또 내가 들으니 하늘에서 음성이 나서 가로되 기록하라 자금 이후로 주 안에서 죽는 자들은 복이 있도다 하시매 성령이 가라사대 그러하다 저희 수고를 그치고 쉬리니 이는 저희의 행한 일이 따름이라 하시더라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</si>
  <si>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</si>
  <si>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</si>
  <si>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</si>
  <si>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</si>
  <si>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</si>
  <si>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</si>
  <si>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</si>
  <si>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</si>
  <si>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r>
      <rPr>
        <sz val="10"/>
        <color rgb="FF000000"/>
        <rFont val="WenQuanYi Zen Hei"/>
        <family val="2"/>
      </rPr>
      <t xml:space="preserve">하나님의 종 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 양의 노래를 불러 가로되 주 하나님 곧 전능하신 이시여 하시는 일이 크고 기이하시도다 만국의 왕이시여 주의 길이 의롭고 참되시도다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</si>
  <si>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</si>
  <si>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</si>
  <si>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</si>
  <si>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</si>
  <si>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</si>
  <si>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</si>
  <si>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</si>
  <si>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</si>
  <si>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</si>
  <si>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r>
      <rPr>
        <sz val="10"/>
        <color rgb="FF000000"/>
        <rFont val="WenQuanYi Zen Hei"/>
        <family val="2"/>
      </rPr>
      <t xml:space="preserve">또 내가 들으니 하늘로서 다른 음성이 나서 가로되 내 백성아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거기서 나와 그의 죄에 참여하지 말고 그의 받을 재앙들을 받지 말라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</si>
  <si>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</si>
  <si>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</si>
  <si>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</si>
  <si>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</si>
  <si>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</si>
  <si>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</si>
  <si>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</si>
  <si>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</si>
  <si>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</si>
  <si>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잔치에 울려 퍼지는 할렐루야</t>
  </si>
  <si>
    <t xml:space="preserve">천사가 내게 말하기를 기록하라 어린 양의 혼인 잔치에 청함을 입은 자들이 복이 있도다 하고 또 내게 말하되 이것은 하나님의 참되신 말씀이라 하기로</t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</si>
  <si>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</si>
  <si>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</si>
  <si>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</si>
  <si>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</si>
  <si>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</si>
  <si>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</si>
  <si>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</si>
  <si>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</si>
  <si>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</si>
  <si>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</si>
  <si>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옷과 그 다리에 이름 쓴 것이 있으니 만왕의 왕이요 만주의 주라 하였더라</t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</si>
  <si>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</si>
  <si>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</si>
  <si>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</si>
  <si>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</si>
  <si>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</si>
  <si>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</si>
  <si>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</si>
  <si>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</si>
  <si>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</si>
  <si>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또 내가 보니 죽은 자들이 무론 대소하고 그 보좌 앞에 섰는데 책들이 펴 있고 또 다른 책이 펴졌으니 곧 생명책이라 죽은 자들이 자기 행위를 따라 책들에 기록된 대로 심판을 받으니</t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</si>
  <si>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</si>
  <si>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</si>
  <si>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</si>
  <si>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</si>
  <si>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</si>
  <si>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</si>
  <si>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</si>
  <si>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눈물을 닦는 손길과 새로워진 세상</t>
  </si>
  <si>
    <t xml:space="preserve">모든 눈물을 그 눈에서 씻기시매 다시 사망이 없고 애통하는 것이나 곡하는 것이나 아픈 것이 다시 있지 아니하리니 처음 것들이 다 지나갔음이러라</t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</si>
  <si>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</si>
  <si>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</si>
  <si>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</si>
  <si>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</si>
  <si>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</si>
  <si>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</si>
  <si>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</si>
  <si>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</si>
  <si>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</si>
  <si>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보석처럼 빛나는 성과 흐르는 생명수 강</t>
  </si>
  <si>
    <t xml:space="preserve">또 저가 수정같이 맑은 생명수의 강을 내게 보이니 하나님과 및 어린 양의 보좌로부터 나서</t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</si>
  <si>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</si>
  <si>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</si>
  <si>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</si>
  <si>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</si>
  <si>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</si>
  <si>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</si>
  <si>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</si>
  <si>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</si>
  <si>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</si>
  <si>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어둠을 밝히는 새벽별</t>
  </si>
  <si>
    <t xml:space="preserve">이것들을 증거하신 이가 가라사대 내가 진실로 속히 오리라 하시거늘 아멘 주 예수여 오시옵소서</t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</si>
  <si>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</si>
  <si>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</si>
  <si>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</si>
  <si>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</si>
  <si>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</si>
  <si>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</si>
  <si>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</si>
  <si>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</si>
  <si>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</si>
  <si>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</si>
  <si>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</si>
  <si>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</si>
  <si>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</si>
  <si>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</si>
  <si>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</si>
  <si>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</si>
  <si>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</si>
  <si>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</si>
  <si>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</si>
  <si>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</si>
  <si>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</si>
  <si>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</si>
  <si>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</si>
  <si>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</si>
  <si>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</si>
  <si>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</si>
  <si>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</si>
  <si>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</si>
  <si>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</si>
  <si>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</si>
  <si>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</si>
  <si>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</si>
  <si>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</si>
  <si>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</si>
  <si>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</si>
  <si>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</si>
  <si>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</si>
  <si>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</si>
  <si>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</si>
  <si>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</si>
  <si>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</si>
  <si>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</si>
  <si>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</si>
  <si>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</si>
  <si>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</si>
  <si>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</si>
  <si>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</si>
  <si>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</si>
  <si>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</si>
  <si>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</si>
  <si>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</si>
  <si>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</si>
  <si>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</si>
  <si>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</si>
  <si>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</si>
  <si>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</si>
  <si>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</si>
  <si>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</si>
  <si>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</si>
  <si>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</si>
  <si>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</si>
  <si>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</si>
  <si>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</si>
  <si>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</si>
  <si>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</si>
  <si>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</si>
  <si>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</si>
  <si>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</si>
  <si>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</si>
  <si>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</si>
  <si>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</si>
  <si>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</si>
  <si>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</si>
  <si>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</si>
  <si>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</si>
  <si>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</si>
  <si>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</si>
  <si>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</si>
  <si>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</si>
  <si>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</si>
  <si>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</si>
  <si>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</si>
  <si>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</si>
  <si>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</si>
  <si>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</si>
  <si>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</si>
  <si>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</si>
  <si>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</si>
  <si>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</si>
  <si>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</si>
  <si>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</si>
  <si>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</si>
  <si>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</si>
  <si>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</si>
  <si>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</si>
  <si>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</si>
  <si>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</si>
  <si>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</si>
  <si>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</si>
  <si>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</si>
  <si>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</si>
  <si>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</si>
  <si>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</si>
  <si>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</si>
  <si>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</si>
  <si>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</si>
  <si>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</si>
  <si>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</si>
  <si>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</si>
  <si>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</si>
  <si>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</si>
  <si>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</si>
  <si>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</si>
  <si>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</si>
  <si>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</si>
  <si>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</si>
  <si>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</si>
  <si>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</si>
  <si>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</si>
  <si>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</si>
  <si>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</si>
  <si>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</si>
  <si>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</si>
  <si>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</si>
  <si>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</si>
  <si>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</si>
  <si>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</si>
  <si>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</si>
  <si>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</si>
  <si>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</si>
  <si>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</si>
  <si>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</si>
  <si>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</si>
  <si>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</si>
  <si>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</si>
  <si>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</si>
  <si>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</si>
  <si>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</si>
  <si>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</si>
  <si>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</si>
  <si>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</si>
  <si>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</si>
  <si>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</si>
  <si>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</si>
  <si>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</si>
  <si>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</si>
  <si>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</si>
  <si>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</si>
  <si>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</si>
  <si>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</si>
  <si>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</si>
  <si>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</si>
  <si>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</si>
  <si>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</si>
  <si>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</si>
  <si>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</si>
  <si>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</si>
  <si>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</si>
  <si>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</si>
  <si>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</si>
  <si>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</si>
  <si>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</si>
  <si>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</si>
  <si>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</si>
  <si>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</si>
  <si>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</si>
  <si>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</si>
  <si>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</si>
  <si>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</si>
  <si>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</si>
  <si>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</si>
  <si>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</si>
  <si>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</si>
  <si>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</si>
  <si>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</si>
  <si>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</si>
  <si>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</si>
  <si>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</si>
  <si>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</si>
  <si>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</si>
  <si>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</si>
  <si>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</si>
  <si>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</si>
  <si>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</si>
  <si>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</si>
  <si>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</si>
  <si>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</si>
  <si>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</si>
  <si>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</si>
  <si>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</si>
  <si>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</si>
  <si>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</si>
  <si>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</si>
  <si>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</si>
  <si>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</si>
  <si>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</si>
  <si>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</si>
  <si>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</si>
  <si>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</si>
  <si>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</si>
  <si>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</si>
  <si>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</si>
  <si>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</si>
  <si>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</si>
  <si>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</si>
  <si>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</si>
  <si>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</si>
  <si>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</si>
  <si>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</si>
  <si>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</si>
  <si>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</si>
  <si>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</si>
  <si>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</si>
  <si>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</si>
  <si>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</si>
  <si>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</si>
  <si>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</si>
  <si>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</si>
  <si>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</si>
  <si>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</si>
  <si>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</si>
  <si>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</si>
  <si>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</si>
  <si>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</si>
  <si>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</si>
  <si>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</si>
  <si>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</si>
  <si>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</si>
  <si>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</si>
  <si>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</si>
  <si>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</si>
  <si>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</si>
  <si>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</si>
  <si>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</si>
  <si>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</si>
  <si>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</si>
  <si>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</si>
  <si>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</si>
  <si>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</si>
  <si>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</si>
  <si>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</si>
  <si>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</si>
  <si>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</si>
  <si>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</si>
  <si>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</si>
  <si>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</si>
  <si>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</si>
  <si>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</si>
  <si>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</si>
  <si>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</si>
  <si>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</si>
  <si>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</si>
  <si>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</si>
  <si>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</si>
  <si>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</si>
  <si>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</si>
  <si>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</si>
  <si>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</si>
  <si>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</si>
  <si>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</si>
  <si>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</si>
  <si>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</si>
  <si>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</si>
  <si>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</si>
  <si>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</si>
  <si>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</si>
  <si>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</si>
  <si>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</si>
  <si>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</si>
  <si>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</si>
  <si>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</si>
  <si>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</si>
  <si>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</si>
  <si>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</si>
  <si>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</si>
  <si>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</si>
  <si>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</si>
  <si>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</si>
  <si>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</si>
  <si>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</si>
  <si>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</si>
  <si>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</si>
  <si>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</si>
  <si>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</si>
  <si>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</si>
  <si>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</si>
  <si>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</si>
  <si>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</si>
  <si>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</si>
  <si>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</si>
  <si>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</si>
  <si>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</si>
  <si>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</si>
  <si>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</si>
  <si>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</si>
  <si>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</si>
  <si>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</si>
  <si>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</si>
  <si>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</si>
  <si>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</si>
  <si>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</si>
  <si>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</si>
  <si>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</si>
  <si>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</si>
  <si>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</si>
  <si>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1:1~13:58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</si>
  <si>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</si>
  <si>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</si>
  <si>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</si>
  <si>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</si>
  <si>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</si>
  <si>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</si>
  <si>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</si>
  <si>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</si>
  <si>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</si>
  <si>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</si>
  <si>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</si>
  <si>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</si>
  <si>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</si>
  <si>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</si>
  <si>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</si>
  <si>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</si>
  <si>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</si>
  <si>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</si>
  <si>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</si>
  <si>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</si>
  <si>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</si>
  <si>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</si>
  <si>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</si>
  <si>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</si>
  <si>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</si>
  <si>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</si>
  <si>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</si>
  <si>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</si>
  <si>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</si>
  <si>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</si>
  <si>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</si>
  <si>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</si>
  <si>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</si>
  <si>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</si>
  <si>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</si>
  <si>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</si>
  <si>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</si>
  <si>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</si>
  <si>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</si>
  <si>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</si>
  <si>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</si>
  <si>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</si>
  <si>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</si>
  <si>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</si>
  <si>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</si>
  <si>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</si>
  <si>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</si>
  <si>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</si>
  <si>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</si>
  <si>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</si>
  <si>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</si>
  <si>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</si>
  <si>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</si>
  <si>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</si>
  <si>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</si>
  <si>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</si>
  <si>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</si>
  <si>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</si>
  <si>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</si>
  <si>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</si>
  <si>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</si>
  <si>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</si>
  <si>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</si>
  <si>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</si>
  <si>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</si>
  <si>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</si>
  <si>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</si>
  <si>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</si>
  <si>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</si>
  <si>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</si>
  <si>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</si>
  <si>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</si>
  <si>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</si>
  <si>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</si>
  <si>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</si>
  <si>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</si>
  <si>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</si>
  <si>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</si>
  <si>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</si>
  <si>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</si>
  <si>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</si>
  <si>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</si>
  <si>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</si>
  <si>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</si>
  <si>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</si>
  <si>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</si>
  <si>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</si>
  <si>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</si>
  <si>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</si>
  <si>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</si>
  <si>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</si>
  <si>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</si>
  <si>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</si>
  <si>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</si>
  <si>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</si>
  <si>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</si>
  <si>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</si>
  <si>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</si>
  <si>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</si>
  <si>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</si>
  <si>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</si>
  <si>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</si>
  <si>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</si>
  <si>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</si>
  <si>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</si>
  <si>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</si>
  <si>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</si>
  <si>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</si>
  <si>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</si>
  <si>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</si>
  <si>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</si>
  <si>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</si>
  <si>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</si>
  <si>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</si>
  <si>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</si>
  <si>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</si>
  <si>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</si>
  <si>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</si>
  <si>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</si>
  <si>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</si>
  <si>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</si>
  <si>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</si>
  <si>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</si>
  <si>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</si>
  <si>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</si>
  <si>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</si>
  <si>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</si>
  <si>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</si>
  <si>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</si>
  <si>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</si>
  <si>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</si>
  <si>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</si>
  <si>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</si>
  <si>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</si>
  <si>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</si>
  <si>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</si>
  <si>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</si>
  <si>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</si>
  <si>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</si>
  <si>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</si>
  <si>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</si>
  <si>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</si>
  <si>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</si>
  <si>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</si>
  <si>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</si>
  <si>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</si>
  <si>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</si>
  <si>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</si>
  <si>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</si>
  <si>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</si>
  <si>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</si>
  <si>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</si>
  <si>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</si>
  <si>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</si>
  <si>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</si>
  <si>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</si>
  <si>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</si>
  <si>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</si>
  <si>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</si>
  <si>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</si>
  <si>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</si>
  <si>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</si>
  <si>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</si>
  <si>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</si>
  <si>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</si>
  <si>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</si>
  <si>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</si>
  <si>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</si>
  <si>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</si>
  <si>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</si>
  <si>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</si>
  <si>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</si>
  <si>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</si>
  <si>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</si>
  <si>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</si>
  <si>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</si>
  <si>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</si>
  <si>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</si>
  <si>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</si>
  <si>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</si>
  <si>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</si>
  <si>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</si>
  <si>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</si>
  <si>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</si>
  <si>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</si>
  <si>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</si>
  <si>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</si>
  <si>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</si>
  <si>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</si>
  <si>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</si>
  <si>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</si>
  <si>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</si>
  <si>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</si>
  <si>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</si>
  <si>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</si>
  <si>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</si>
  <si>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</si>
  <si>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</si>
  <si>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</si>
  <si>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</si>
  <si>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</si>
  <si>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</si>
  <si>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</si>
  <si>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</si>
  <si>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</si>
  <si>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</si>
  <si>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</si>
  <si>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</si>
  <si>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</si>
  <si>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</si>
  <si>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</si>
  <si>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</si>
  <si>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</si>
  <si>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</si>
  <si>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</si>
  <si>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</si>
  <si>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</si>
  <si>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</si>
  <si>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</si>
  <si>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</si>
  <si>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</si>
  <si>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</si>
  <si>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</si>
  <si>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</si>
  <si>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</si>
  <si>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</si>
  <si>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</si>
  <si>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</si>
  <si>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</si>
  <si>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</si>
  <si>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</si>
  <si>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</si>
  <si>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</si>
  <si>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</si>
  <si>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</si>
  <si>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</si>
  <si>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</si>
  <si>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</si>
  <si>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</si>
  <si>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</si>
  <si>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</si>
  <si>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</si>
  <si>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</si>
  <si>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</si>
  <si>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</si>
  <si>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</si>
  <si>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</si>
  <si>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</si>
  <si>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</si>
  <si>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</si>
  <si>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</si>
  <si>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</si>
  <si>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</si>
  <si>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</si>
  <si>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</si>
  <si>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</si>
  <si>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</si>
  <si>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</si>
  <si>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</si>
  <si>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</si>
  <si>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</si>
  <si>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</si>
  <si>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</si>
  <si>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</si>
  <si>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</si>
  <si>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</si>
  <si>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</si>
  <si>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</si>
  <si>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</si>
  <si>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</si>
  <si>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</si>
  <si>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</si>
  <si>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</si>
  <si>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</si>
  <si>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</si>
  <si>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8:1~13:58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</si>
  <si>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</si>
  <si>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</si>
  <si>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</si>
  <si>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</si>
  <si>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</si>
  <si>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</si>
  <si>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</si>
  <si>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</si>
  <si>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</si>
  <si>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</si>
  <si>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</si>
  <si>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</si>
  <si>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</si>
  <si>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</si>
  <si>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</si>
  <si>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</si>
  <si>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</si>
  <si>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</si>
  <si>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</si>
  <si>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</si>
  <si>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</si>
  <si>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</si>
  <si>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</si>
  <si>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</si>
  <si>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</si>
  <si>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</si>
  <si>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</si>
  <si>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</si>
  <si>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</si>
  <si>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</si>
  <si>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</si>
  <si>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</si>
  <si>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</si>
  <si>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</si>
  <si>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</si>
  <si>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</si>
  <si>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</si>
  <si>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</si>
  <si>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</si>
  <si>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</si>
  <si>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</si>
  <si>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</si>
  <si>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</si>
  <si>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</si>
  <si>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</si>
  <si>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</si>
  <si>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</si>
  <si>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</si>
  <si>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</si>
  <si>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</si>
  <si>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</si>
  <si>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</si>
  <si>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</si>
  <si>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</si>
  <si>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</si>
  <si>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</si>
  <si>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</si>
  <si>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</si>
  <si>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</si>
  <si>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</si>
  <si>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</si>
  <si>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</si>
  <si>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</si>
  <si>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</si>
  <si>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</si>
  <si>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</si>
  <si>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</si>
  <si>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</si>
  <si>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</si>
  <si>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</si>
  <si>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</si>
  <si>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</si>
  <si>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</si>
  <si>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</si>
  <si>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</si>
  <si>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</si>
  <si>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</si>
  <si>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</si>
  <si>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</si>
  <si>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</si>
  <si>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</si>
  <si>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</si>
  <si>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</si>
  <si>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</si>
  <si>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</si>
  <si>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</si>
  <si>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</si>
  <si>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</si>
  <si>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</si>
  <si>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</si>
  <si>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</si>
  <si>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</si>
  <si>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</si>
  <si>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</si>
  <si>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</si>
  <si>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</si>
  <si>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</si>
  <si>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</si>
  <si>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</si>
  <si>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</si>
  <si>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</si>
  <si>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r>
      <rPr>
        <sz val="10"/>
        <color rgb="FF000000"/>
        <rFont val="WenQuanYi Zen Hei"/>
        <family val="2"/>
      </rPr>
      <t xml:space="preserve">통독 달력의 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전체</t>
    </r>
  </si>
  <si>
    <r>
      <rPr>
        <sz val="10"/>
        <color rgb="FF000000"/>
        <rFont val="WenQuanYi Zen Hei"/>
        <family val="2"/>
      </rPr>
      <t xml:space="preserve">통독 달력의 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전체</t>
    </r>
  </si>
  <si>
    <r>
      <rPr>
        <sz val="10"/>
        <color rgb="FF000000"/>
        <rFont val="WenQuanYi Zen Hei"/>
        <family val="2"/>
      </rPr>
      <t xml:space="preserve">통독 달력의 시편 편수 </t>
    </r>
    <r>
      <rPr>
        <sz val="10"/>
        <color rgb="FF000000"/>
        <rFont val="Arial"/>
        <family val="0"/>
        <charset val="1"/>
      </rPr>
      <t xml:space="preserve">= 150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</si>
  <si>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컷 미작성 편</t>
    </r>
  </si>
  <si>
    <r>
      <rPr>
        <sz val="10"/>
        <color rgb="FF000000"/>
        <rFont val="WenQuanYi Zen Hei"/>
        <family val="2"/>
      </rPr>
      <t xml:space="preserve">역본 대조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빠진 절 오류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</si>
  <si>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</si>
  <si>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</si>
  <si>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</si>
  <si>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</si>
  <si>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</si>
  <si>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</si>
  <si>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</si>
  <si>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</si>
  <si>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</si>
  <si>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</si>
  <si>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</si>
  <si>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</si>
  <si>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</si>
  <si>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</si>
  <si>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</si>
  <si>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</si>
  <si>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</si>
  <si>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</si>
  <si>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</si>
  <si>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</si>
  <si>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</si>
  <si>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</si>
  <si>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</si>
  <si>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</si>
  <si>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</si>
  <si>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</si>
  <si>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</si>
  <si>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</si>
  <si>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</si>
  <si>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</si>
  <si>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</si>
  <si>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</si>
  <si>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</si>
  <si>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</si>
  <si>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</si>
  <si>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</si>
  <si>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</si>
  <si>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</si>
  <si>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</si>
  <si>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</si>
  <si>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</si>
  <si>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</si>
  <si>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</si>
  <si>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</si>
  <si>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</si>
  <si>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</si>
  <si>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</si>
  <si>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</si>
  <si>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</si>
  <si>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</si>
  <si>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</si>
  <si>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</si>
  <si>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</si>
  <si>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</si>
  <si>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</si>
  <si>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</si>
  <si>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</si>
  <si>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</si>
  <si>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</si>
  <si>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</si>
  <si>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</si>
  <si>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</si>
  <si>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</si>
  <si>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</si>
  <si>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</si>
  <si>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</si>
  <si>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</si>
  <si>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</si>
  <si>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</si>
  <si>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</si>
  <si>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</si>
  <si>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</si>
  <si>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</si>
  <si>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</si>
  <si>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</si>
  <si>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</si>
  <si>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</si>
  <si>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</si>
  <si>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</si>
  <si>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</si>
  <si>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</si>
  <si>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</si>
  <si>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</si>
  <si>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</si>
  <si>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</si>
  <si>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</si>
  <si>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</si>
  <si>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</si>
  <si>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</si>
  <si>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</si>
  <si>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</si>
  <si>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</si>
  <si>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</si>
  <si>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</si>
  <si>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</si>
  <si>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</si>
  <si>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</si>
  <si>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</si>
  <si>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</si>
  <si>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</si>
  <si>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</si>
  <si>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</si>
  <si>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</si>
  <si>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</si>
  <si>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</si>
  <si>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</si>
  <si>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</si>
  <si>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</si>
  <si>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</si>
  <si>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</si>
  <si>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</si>
  <si>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</si>
  <si>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</si>
  <si>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</si>
  <si>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</si>
  <si>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</si>
  <si>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</si>
  <si>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</si>
  <si>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</si>
  <si>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</si>
  <si>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유튜브 제목안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</si>
  <si>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</si>
  <si>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</si>
  <si>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</si>
  <si>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</si>
  <si>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</si>
  <si>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</si>
  <si>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</si>
  <si>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</si>
  <si>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</si>
  <si>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</si>
  <si>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</si>
  <si>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</si>
  <si>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</si>
  <si>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</si>
  <si>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</si>
  <si>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</si>
  <si>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</si>
  <si>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</si>
  <si>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여호와여 주는 나의 방패시요 나의 영광이시요 나의 머리를 드시는 자니이다</t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</si>
  <si>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</si>
  <si>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</si>
  <si>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</si>
  <si>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</si>
  <si>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</si>
  <si>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</si>
  <si>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</si>
  <si>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내가 평안히 눕고 자기도 하리니 나를 안전히 거하게 하시는 이는 오직 여호와시니이다</t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</si>
  <si>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</si>
  <si>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</si>
  <si>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</si>
  <si>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</si>
  <si>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</si>
  <si>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</si>
  <si>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여호와여 아침에 주께서 나의 소리를 들으시리니 아침에 내가 주께 기도하고 바라리이다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</si>
  <si>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</si>
  <si>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</si>
  <si>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</si>
  <si>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</si>
  <si>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</si>
  <si>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</si>
  <si>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</si>
  <si>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</si>
  <si>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내가 탄식함으로 곤핍하여 밤마다 눈물로 내 침상을 띄우며 내 요를 적시나이다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</si>
  <si>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</si>
  <si>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</si>
  <si>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</si>
  <si>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</si>
  <si>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</si>
  <si>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</si>
  <si>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</si>
  <si>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</si>
  <si>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나의 방패는 마음이 정직한 자를 구원하시는 하나님께 있도다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</si>
  <si>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</si>
  <si>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</si>
  <si>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</si>
  <si>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</si>
  <si>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</si>
  <si>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</si>
  <si>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</si>
  <si>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</si>
  <si>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</si>
  <si>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</si>
  <si>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내가 전심으로 여호와께 감사하오며 주의 모든 기사를 전하리이다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</si>
  <si>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</si>
  <si>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</si>
  <si>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</si>
  <si>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</si>
  <si>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</si>
  <si>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</si>
  <si>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</si>
  <si>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여호와여 어찌하여 멀리 서시며 어찌하여 환난 때에 숨으시나이까</t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</si>
  <si>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</si>
  <si>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</si>
  <si>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</si>
  <si>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</si>
  <si>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</si>
  <si>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</si>
  <si>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</si>
  <si>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터가 무너지면 의인이 무엇을 할꼬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</si>
  <si>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</si>
  <si>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</si>
  <si>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</si>
  <si>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</si>
  <si>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</si>
  <si>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</si>
  <si>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여호와의 말씀은 순결함이여 흙 도가니에 일곱 번 단련한 은 같도다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</si>
  <si>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</si>
  <si>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</si>
  <si>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</si>
  <si>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</si>
  <si>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</si>
  <si>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</si>
  <si>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여호와여 어느 때까지니이까 나를 영영히 잊으시나이까 주의 얼굴을 나에게서 언제까지 숨기시겠나이까</t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</si>
  <si>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</si>
  <si>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</si>
  <si>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</si>
  <si>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</si>
  <si>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</si>
  <si>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</si>
  <si>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</si>
  <si>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어리석은 자는 그 마음에 이르기를 하나님이 없다 하도다 저희는 부패하고 소행이 가증하여 선을 행하는 자가 없도다</t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</si>
  <si>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</si>
  <si>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</si>
  <si>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</si>
  <si>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</si>
  <si>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</si>
  <si>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</si>
  <si>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여호와여 주의 장막에 유할 자 누구오며 주의 성산에 거할 자 누구오니이까</t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</si>
  <si>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</si>
  <si>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</si>
  <si>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</si>
  <si>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</si>
  <si>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</si>
  <si>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</si>
  <si>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</si>
  <si>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</si>
  <si>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내가 여호와를 항상 내 앞에 모심이여 그가 내 우편에 계시므로 내가 요동치 아니하리로다</t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</si>
  <si>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</si>
  <si>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</si>
  <si>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</si>
  <si>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</si>
  <si>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</si>
  <si>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</si>
  <si>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나를 눈동자같이 지키시고 주의 날개 그늘 아래 감추사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</si>
  <si>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</si>
  <si>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</si>
  <si>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</si>
  <si>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</si>
  <si>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</si>
  <si>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</si>
  <si>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</si>
  <si>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</si>
  <si>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나의 힘이 되신 여호와여 내가 주를 사랑하나이다</t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</si>
  <si>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</si>
  <si>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</si>
  <si>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</si>
  <si>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</si>
  <si>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</si>
  <si>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</si>
  <si>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</si>
  <si>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</si>
  <si>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r>
      <rPr>
        <sz val="10"/>
        <color rgb="FF000000"/>
        <rFont val="WenQuanYi Zen Hei"/>
        <family val="2"/>
      </rPr>
      <t xml:space="preserve">혹은 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혹은 말을 의지하나 우리는 여호와 우리 하나님의 이름을 자랑하리로다</t>
    </r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</si>
  <si>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</si>
  <si>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</si>
  <si>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</si>
  <si>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</si>
  <si>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</si>
  <si>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</si>
  <si>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</si>
  <si>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여호와여 왕이 주의 힘을 인하여 기뻐하며 주의 구원을 인하여 크게 즐거워하리이다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</si>
  <si>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</si>
  <si>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</si>
  <si>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</si>
  <si>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</si>
  <si>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</si>
  <si>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</si>
  <si>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</si>
  <si>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</si>
  <si>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</si>
  <si>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</si>
  <si>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</si>
  <si>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땅과 거기 충만한 것과 세계와 그 중에 거하는 자가 다 여호와의 것이로다</t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</si>
  <si>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</si>
  <si>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</si>
  <si>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</si>
  <si>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</si>
  <si>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</si>
  <si>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</si>
  <si>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여호와여 주의 도를 내게 보이시고 주의 길을 내게 가르치소서</t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</si>
  <si>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</si>
  <si>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</si>
  <si>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</si>
  <si>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</si>
  <si>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</si>
  <si>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</si>
  <si>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여호와여 나를 살피시고 시험하사 내 뜻과 내 마음을 단련하소서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</si>
  <si>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</si>
  <si>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</si>
  <si>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</si>
  <si>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</si>
  <si>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</si>
  <si>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</si>
  <si>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</si>
  <si>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</si>
  <si>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여호와는 나의 힘과 나의 방패시니 내 마음이 저를 의지하여 도움을 얻었도다 그러므로 내 마음이 크게 기뻐하며 내 노래로 저를 찬송하리로다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</si>
  <si>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</si>
  <si>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</si>
  <si>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</si>
  <si>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</si>
  <si>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</si>
  <si>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</si>
  <si>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여호와의 이름에 합당한 영광을 돌리며 거룩한 옷을 입고 여호와께 경배할지어다</t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</si>
  <si>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</si>
  <si>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</si>
  <si>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</si>
  <si>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</si>
  <si>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</si>
  <si>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</si>
  <si>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</si>
  <si>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그 노염은 잠깐이요 그 은총은 평생이로다 저녁에는 울음이 기숙할지라도 아침에는 기쁨이 오리로다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</si>
  <si>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</si>
  <si>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</si>
  <si>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</si>
  <si>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</si>
  <si>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</si>
  <si>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</si>
  <si>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</si>
  <si>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내가 나의 영을 주의 손에 부탁하나이다 진리의 하나님 여호와여 나를 구속하셨나이다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</si>
  <si>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</si>
  <si>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</si>
  <si>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</si>
  <si>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</si>
  <si>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</si>
  <si>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</si>
  <si>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</si>
  <si>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</si>
  <si>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여호와로 자기 하나님을 삼은 나라 곧 하나님의 기업으로 빼신 바 된 백성은 복이 있도다</t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</si>
  <si>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</si>
  <si>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</si>
  <si>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</si>
  <si>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</si>
  <si>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</si>
  <si>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</si>
  <si>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</si>
  <si>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너희는 여호와의 선하심을 맛보아 알지어다 그에게 피하는 자는 복이 있도다</t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</si>
  <si>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</si>
  <si>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</si>
  <si>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</si>
  <si>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</si>
  <si>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</si>
  <si>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</si>
  <si>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</si>
  <si>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여호와여 나와 다투는 자와 다투시고 나와 싸우는 자와 싸우소서</t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</si>
  <si>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</si>
  <si>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</si>
  <si>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</si>
  <si>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</si>
  <si>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</si>
  <si>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</si>
  <si>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대저 생명의 원천이 주께 있사오니 주의 광명 중에 우리가 광명을 보리이다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</si>
  <si>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</si>
  <si>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</si>
  <si>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</si>
  <si>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</si>
  <si>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</si>
  <si>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</si>
  <si>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</si>
  <si>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너의 길을 여호와께 맡기라 저를 의지하면 저가 이루시고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</si>
  <si>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</si>
  <si>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</si>
  <si>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</si>
  <si>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</si>
  <si>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</si>
  <si>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</si>
  <si>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</si>
  <si>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</si>
  <si>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여호와여 나를 버리지 마소서 나의 하나님이여 나를 멀리하지 마소서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</si>
  <si>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</si>
  <si>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</si>
  <si>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</si>
  <si>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</si>
  <si>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</si>
  <si>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</si>
  <si>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여호와여 나의 종말과 연한의 어떠함을 알게 하사 나로 나의 연약함을 알게 하소서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</si>
  <si>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</si>
  <si>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</si>
  <si>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</si>
  <si>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</si>
  <si>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</si>
  <si>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</si>
  <si>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</si>
  <si>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내가 여호와를 기다리고 기다렸더니 귀를 기울이사 나의 부르짖음을 들으셨도다</t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</si>
  <si>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</si>
  <si>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</si>
  <si>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</si>
  <si>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</si>
  <si>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</si>
  <si>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</si>
  <si>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</si>
  <si>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빈약한 자를 권고하는 자가 복이 있음이여 재앙의 날에 여호와께서 저를 건지시리로다</t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</si>
  <si>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</si>
  <si>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</si>
  <si>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</si>
  <si>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</si>
  <si>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</si>
  <si>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</si>
  <si>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</si>
  <si>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</si>
  <si>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</si>
  <si>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</si>
  <si>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</si>
  <si>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내 영혼아 네가 어찌하여 낙망하며 어찌하여 내 속에서 불안하여 하는고 너는 하나님을 바라라 나는 내 얼굴을 도우시는 내 하나님을 오히려 찬송하리로다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</si>
  <si>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</si>
  <si>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</si>
  <si>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</si>
  <si>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</si>
  <si>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</si>
  <si>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</si>
  <si>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</si>
  <si>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우리가 종일 주를 위하여 죽임을 당케 되며 도살할 양같이 여김을 받았나이다</t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</si>
  <si>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</si>
  <si>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</si>
  <si>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</si>
  <si>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</si>
  <si>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</si>
  <si>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</si>
  <si>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</si>
  <si>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</si>
  <si>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하나님이여 주의 보좌가 영영하며 주의 나라의 홀은 공평한 홀이니이다</t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</si>
  <si>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</si>
  <si>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</si>
  <si>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</si>
  <si>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</si>
  <si>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</si>
  <si>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</si>
  <si>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</si>
  <si>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</si>
  <si>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너희 만민들아 손바닥을 치고 즐거운 소리로 하나님께 외칠지어다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</si>
  <si>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</si>
  <si>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</si>
  <si>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</si>
  <si>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</si>
  <si>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</si>
  <si>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</si>
  <si>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이 하나님은 영영히 우리 하나님이시니 우리를 죽을 때까지 인도하시리로다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</si>
  <si>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</si>
  <si>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</si>
  <si>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</si>
  <si>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</si>
  <si>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</si>
  <si>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</si>
  <si>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r>
      <rPr>
        <sz val="10"/>
        <color rgb="FF000000"/>
        <rFont val="WenQuanYi Zen Hei"/>
        <family val="2"/>
      </rPr>
      <t xml:space="preserve">하나님은 나를 영접하시리니 이러므로 내 영혼을 음부의 권세에서 구속하시리로다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</si>
  <si>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</si>
  <si>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</si>
  <si>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</si>
  <si>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</si>
  <si>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</si>
  <si>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</si>
  <si>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환난 날에 나를 부르라 내가 너를 건지리니 네가 나를 영화롭게 하리로다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</si>
  <si>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</si>
  <si>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</si>
  <si>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</si>
  <si>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</si>
  <si>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</si>
  <si>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</si>
  <si>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</si>
  <si>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</si>
  <si>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</si>
  <si>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</si>
  <si>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오직 나는 하나님의 집에 있는 푸른 감람나무 같음이여 하나님의 인자하심을 영영히 의지하리로다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</si>
  <si>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</si>
  <si>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</si>
  <si>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</si>
  <si>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</si>
  <si>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</si>
  <si>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</si>
  <si>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어리석은 자는 그 마음에 이르기를 하나님이 없다 하도다 저희는 부패하며 가증한 악을 행함이여 선을 행하는 자가 없도다</t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</si>
  <si>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</si>
  <si>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</si>
  <si>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</si>
  <si>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</si>
  <si>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</si>
  <si>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</si>
  <si>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</si>
  <si>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하나님은 나의 돕는 자시라 주께서 내 생명을 붙드는 자와 함께 하시나이다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</si>
  <si>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</si>
  <si>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</si>
  <si>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</si>
  <si>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</si>
  <si>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</si>
  <si>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</si>
  <si>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네 짐을 여호와께 맡겨 버리라 너를 붙드시고 의인의 요동함을 영영히 허락지 아니하시리로다</t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</si>
  <si>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</si>
  <si>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</si>
  <si>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</si>
  <si>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</si>
  <si>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</si>
  <si>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</si>
  <si>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</si>
  <si>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</si>
  <si>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내가 두려워하는 날에는 주를 의지하리이다</t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</si>
  <si>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</si>
  <si>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</si>
  <si>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</si>
  <si>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</si>
  <si>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</si>
  <si>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</si>
  <si>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</si>
  <si>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하나님이여 나를 긍휼히 여기시고 나를 긍휼히 여기소서 내 영혼이 주께로 피하되 주의 날개 그늘 아래서 이 재앙이 지나기까지 피하리이다</t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</si>
  <si>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</si>
  <si>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</si>
  <si>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</si>
  <si>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</si>
  <si>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</si>
  <si>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</si>
  <si>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</si>
  <si>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때에 사람의 말이 진실로 의인에게 갚음이 있고 진실로 땅에서 판단하시는 하나님이 계시다 하리로다</t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</si>
  <si>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</si>
  <si>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</si>
  <si>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</si>
  <si>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</si>
  <si>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</si>
  <si>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</si>
  <si>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</si>
  <si>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나는 주의 힘을 노래하며 아침에 주의 인자하심을 높이 부르오리니 주는 나의 산성이시며 나의 환난 날에 피난처심이니이다</t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</si>
  <si>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</si>
  <si>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</si>
  <si>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</si>
  <si>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</si>
  <si>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</si>
  <si>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</si>
  <si>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</si>
  <si>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우리가 하나님을 의지하고 용감히 행하리니 저는 우리의 대적을 밟으실 자심이로다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</si>
  <si>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</si>
  <si>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</si>
  <si>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</si>
  <si>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</si>
  <si>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</si>
  <si>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</si>
  <si>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</si>
  <si>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내 마음이 눌릴 때에 땅 끝에서부터 주께 부르짖으오리니 나보다 높은 바위에 나를 인도하소서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</si>
  <si>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</si>
  <si>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</si>
  <si>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</si>
  <si>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</si>
  <si>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</si>
  <si>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</si>
  <si>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</si>
  <si>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</si>
  <si>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</si>
  <si>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</si>
  <si>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의인은 여호와를 인하여 즐거워하며 그에게 피하리니 마음이 정직한 자는 다 자랑하리로다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</si>
  <si>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</si>
  <si>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</si>
  <si>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</si>
  <si>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</si>
  <si>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</si>
  <si>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</si>
  <si>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</si>
  <si>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주의 은택으로 연사에 관 씌우시니 주의 길에는 기름이 떨어지며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</si>
  <si>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</si>
  <si>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</si>
  <si>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</si>
  <si>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</si>
  <si>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</si>
  <si>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</si>
  <si>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하나님을 두려워하는 너희들아 다 와서 들으라 하나님이 내 영혼을 위하여 행하신 일을 내가 선포하리로다</t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</si>
  <si>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</si>
  <si>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</si>
  <si>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</si>
  <si>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</si>
  <si>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</si>
  <si>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</si>
  <si>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r>
      <rPr>
        <sz val="10"/>
        <color rgb="FF000000"/>
        <rFont val="WenQuanYi Zen Hei"/>
        <family val="2"/>
      </rPr>
      <t xml:space="preserve">하나님은 우리를 긍휼히 여기사 복을 주시고 그 얼굴 빛으로 우리에게 비취사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</si>
  <si>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</si>
  <si>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</si>
  <si>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</si>
  <si>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</si>
  <si>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</si>
  <si>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</si>
  <si>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날마다 우리 짐을 지시는 주 곧 우리의 구원이신 하나님을 찬송할지로다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</si>
  <si>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</si>
  <si>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</si>
  <si>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</si>
  <si>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</si>
  <si>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</si>
  <si>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</si>
  <si>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</si>
  <si>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주의 집을 위하는 열성이 나를 삼키고 주를 훼방하는 훼방이 내게 미쳤나이다</t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</si>
  <si>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</si>
  <si>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</si>
  <si>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</si>
  <si>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</si>
  <si>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</si>
  <si>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</si>
  <si>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하나님이여 속히 나를 건지소서 여호와여 속히 나를 도우소서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</si>
  <si>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</si>
  <si>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</si>
  <si>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</si>
  <si>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</si>
  <si>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</si>
  <si>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</si>
  <si>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</si>
  <si>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하나님이여 내가 늙어 백수가 될 때에도 나를 버리지 마시며 내가 주의 힘을 후대에 전하고 주의 능을 장래 모든 사람에게 전하기까지 나를 버리지 마소서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</si>
  <si>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</si>
  <si>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</si>
  <si>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</si>
  <si>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</si>
  <si>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</si>
  <si>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</si>
  <si>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</si>
  <si>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</si>
  <si>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저가 바다에서부터 바다까지와 강에서부터 땅 끝까지 다스리리니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</si>
  <si>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</si>
  <si>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</si>
  <si>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</si>
  <si>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</si>
  <si>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</si>
  <si>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</si>
  <si>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</si>
  <si>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</si>
  <si>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</si>
  <si>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</si>
  <si>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</si>
  <si>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하나님은 예로부터 나의 왕이시라 인간에 구원을 베푸셨나이다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</si>
  <si>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</si>
  <si>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</si>
  <si>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</si>
  <si>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</si>
  <si>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</si>
  <si>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</si>
  <si>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오직 재판장이신 하나님이 이를 낮추시고 저를 높이시느니라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</si>
  <si>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</si>
  <si>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</si>
  <si>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</si>
  <si>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</si>
  <si>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</si>
  <si>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</si>
  <si>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하나님이 유다에 알린 바 되셨으며 그 이름은 이스라엘에 크시도다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</si>
  <si>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</si>
  <si>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</si>
  <si>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</si>
  <si>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</si>
  <si>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</si>
  <si>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</si>
  <si>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곧 여호와의 옛적 기사를 기억하여 그 행하신 일을 진술하리이다</t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</si>
  <si>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</si>
  <si>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</si>
  <si>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</si>
  <si>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</si>
  <si>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</si>
  <si>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</si>
  <si>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</si>
  <si>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</si>
  <si>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우리가 이를 그 자손에게 숨기지 아니하고 여호와의 영예와 그 능력과 기이한 사적을 후대에 전하리로다</t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</si>
  <si>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</si>
  <si>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</si>
  <si>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</si>
  <si>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</si>
  <si>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</si>
  <si>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</si>
  <si>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</si>
  <si>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우리 구원의 하나님이여 주의 이름의 영광을 위하여 우리를 도우시며 주의 이름을 위하여 우리를 건지시며 우리 죄를 사하소서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</si>
  <si>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</si>
  <si>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</si>
  <si>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</si>
  <si>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</si>
  <si>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</si>
  <si>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하나님이여 우리를 돌이키시고 주의 얼굴 빛을 비취사 우리로 구원을 얻게 하소서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</si>
  <si>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</si>
  <si>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</si>
  <si>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</si>
  <si>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</si>
  <si>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</si>
  <si>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</si>
  <si>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</si>
  <si>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</si>
  <si>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나는 너를 애굽 땅에서 인도하여 낸 여호와 네 하나님이니 네 입을 넓게 열라 내가 채우리라 하였으나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</si>
  <si>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</si>
  <si>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</si>
  <si>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</si>
  <si>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</si>
  <si>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</si>
  <si>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</si>
  <si>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가난한 자와 고아를 위하여 판단하며 곤란한 자와 빈궁한 자에게 공의를 베풀지며</t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</si>
  <si>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</si>
  <si>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</si>
  <si>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</si>
  <si>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</si>
  <si>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</si>
  <si>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</si>
  <si>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여호와라 이름하신 주만 온 세계의 지존자로 알게 하소서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</si>
  <si>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</si>
  <si>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</si>
  <si>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</si>
  <si>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</si>
  <si>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</si>
  <si>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</si>
  <si>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</si>
  <si>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</si>
  <si>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</si>
  <si>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긍휼과 진리가 같이 만나고 의와 화평이 서로 입맞추었으며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</si>
  <si>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</si>
  <si>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</si>
  <si>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</si>
  <si>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</si>
  <si>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</si>
  <si>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</si>
  <si>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주는 선하사 사유하기를 즐기시며 주께 부르짖는 자에게 인자함이 후하심이니이다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</si>
  <si>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</si>
  <si>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</si>
  <si>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</si>
  <si>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</si>
  <si>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</si>
  <si>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</si>
  <si>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여호와께서 야곱의 모든 거처보다 시온의 문들을 사랑하시는도다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</si>
  <si>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</si>
  <si>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</si>
  <si>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</si>
  <si>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</si>
  <si>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</si>
  <si>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</si>
  <si>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</si>
  <si>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</si>
  <si>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여호와 내 구원의 하나님이여 내가 주야로 주의 앞에 부르짖었사오니</t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</si>
  <si>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</si>
  <si>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</si>
  <si>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</si>
  <si>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</si>
  <si>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</si>
  <si>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</si>
  <si>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</si>
  <si>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</si>
  <si>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</si>
  <si>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</si>
  <si>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</si>
  <si>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</si>
  <si>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</si>
  <si>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</si>
  <si>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</si>
  <si>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의인은 종려나무같이 번성하며 레바논의 백향목같이 발육하리로다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</si>
  <si>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</si>
  <si>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</si>
  <si>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</si>
  <si>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</si>
  <si>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</si>
  <si>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</si>
  <si>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여호와께서 통치하시니 스스로 권위를 입으셨도다 여호와께서 능력을 입으시며 띠셨으므로 세계도 견고히 서서 요동치 아니하도다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</si>
  <si>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</si>
  <si>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</si>
  <si>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</si>
  <si>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</si>
  <si>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</si>
  <si>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</si>
  <si>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내 속에 생각이 많을 때에 주의 위안이 내 영혼을 즐겁게 하시나이다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</si>
  <si>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</si>
  <si>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</si>
  <si>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</si>
  <si>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</si>
  <si>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</si>
  <si>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</si>
  <si>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</si>
  <si>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새 노래로 여호와께 노래하라 온 땅이여 여호와께 노래할지어다</t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</si>
  <si>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</si>
  <si>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</si>
  <si>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</si>
  <si>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</si>
  <si>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</si>
  <si>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</si>
  <si>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여호와께서 통치하시나니 땅은 즐거워하며 허다한 섬은 기뻐할지어다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</si>
  <si>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</si>
  <si>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</si>
  <si>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</si>
  <si>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</si>
  <si>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</si>
  <si>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</si>
  <si>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</si>
  <si>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온 땅이여 여호와께 즐거이 소리할지어다 소리를 발하여 즐거이 노래하며 찬송할지어다</t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</si>
  <si>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</si>
  <si>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</si>
  <si>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</si>
  <si>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</si>
  <si>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</si>
  <si>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</si>
  <si>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너희는 여호와 우리 하나님을 높여 그 발등상 앞에서 경배할지어다 그는 거룩하시도다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</si>
  <si>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</si>
  <si>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</si>
  <si>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</si>
  <si>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</si>
  <si>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</si>
  <si>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</si>
  <si>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</si>
  <si>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</si>
  <si>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내가 완전한 길에 주의하오리니 주께서 언제나 내게 임하시겠나이까 내가 완전한 마음으로 내 집 안에서 행하리이다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</si>
  <si>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</si>
  <si>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</si>
  <si>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</si>
  <si>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</si>
  <si>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</si>
  <si>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</si>
  <si>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</si>
  <si>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</si>
  <si>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주는 여상하시고 주의 연대는 무궁하리이다</t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</si>
  <si>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</si>
  <si>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</si>
  <si>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</si>
  <si>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</si>
  <si>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</si>
  <si>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</si>
  <si>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</si>
  <si>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</si>
  <si>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</si>
  <si>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</si>
  <si>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여호와께 감사하며 그 이름을 불러 아뢰며 그 행사를 만민 중에 알게 할지어다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</si>
  <si>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</si>
  <si>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</si>
  <si>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</si>
  <si>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</si>
  <si>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</si>
  <si>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</si>
  <si>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</si>
  <si>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</si>
  <si>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</si>
  <si>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</si>
  <si>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</si>
  <si>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</si>
  <si>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</si>
  <si>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</si>
  <si>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</si>
  <si>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</si>
  <si>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하나님이여 주는 하늘 위에 높이 들리시며 주의 영광이 온 세계 위에 높으시기를 원하나이다</t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</si>
  <si>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</si>
  <si>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</si>
  <si>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</si>
  <si>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</si>
  <si>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</si>
  <si>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</si>
  <si>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</si>
  <si>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나는 사랑하나 저희는 도리어 나를 대적하니 나는 기도할 뿐이라</t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</si>
  <si>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</si>
  <si>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</si>
  <si>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</si>
  <si>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</si>
  <si>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</si>
  <si>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</si>
  <si>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</si>
  <si>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</si>
  <si>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</si>
  <si>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여호와를 경외함이 곧 지혜의 근본이라 그 계명을 지키는 자는 다 좋은 지각이 있나니 여호와를 찬송함이 영원히 있으리로다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</si>
  <si>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</si>
  <si>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</si>
  <si>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</si>
  <si>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</si>
  <si>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</si>
  <si>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</si>
  <si>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r>
      <rPr>
        <sz val="10"/>
        <color rgb="FF000000"/>
        <rFont val="WenQuanYi Zen Hei"/>
        <family val="2"/>
      </rPr>
      <t xml:space="preserve">할렐루야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여호와를 경외하며 그 계명을 크게 즐거워하는 자는 복이 있도다</t>
    </r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</si>
  <si>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</si>
  <si>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</si>
  <si>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</si>
  <si>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</si>
  <si>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</si>
  <si>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</si>
  <si>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</si>
  <si>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해 돋는 데서부터 해지는 데까지 여호와의 이름이 찬양을 받으시리로다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</si>
  <si>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</si>
  <si>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</si>
  <si>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</si>
  <si>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</si>
  <si>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</si>
  <si>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</si>
  <si>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</si>
  <si>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땅이여 너는 주 앞 곧 야곱의 하나님 앞에서 떨지어다</t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</si>
  <si>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</si>
  <si>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</si>
  <si>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</si>
  <si>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</si>
  <si>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</si>
  <si>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</si>
  <si>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여호와여 영광을 우리에게 돌리지 마옵소서 우리에게 돌리지 마옵소서 오직 주의 인자하심과 진실하심을 인하여 주의 이름에 돌리소서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</si>
  <si>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</si>
  <si>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</si>
  <si>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</si>
  <si>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</si>
  <si>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</si>
  <si>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</si>
  <si>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여호와께서 내게 주신 모든 은혜를 무엇으로 보답할꼬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</si>
  <si>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</si>
  <si>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</si>
  <si>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</si>
  <si>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</si>
  <si>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</si>
  <si>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</si>
  <si>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너희 모든 나라들아 여호와를 찬양하며 너희 모든 백성들아 저를 칭송할지어다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</si>
  <si>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</si>
  <si>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</si>
  <si>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</si>
  <si>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</si>
  <si>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</si>
  <si>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</si>
  <si>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건축자의 버린 돌이 집 모퉁이의 머릿돌이 되었나니</t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</si>
  <si>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</si>
  <si>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</si>
  <si>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</si>
  <si>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</si>
  <si>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</si>
  <si>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</si>
  <si>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</si>
  <si>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</si>
  <si>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</si>
  <si>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</si>
  <si>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</si>
  <si>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내가 환난 중에 여호와께 부르짖었더니 내게 응답하셨도다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</si>
  <si>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</si>
  <si>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</si>
  <si>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</si>
  <si>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</si>
  <si>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</si>
  <si>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</si>
  <si>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</si>
  <si>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</si>
  <si>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사람이 내게 말하기를 여호와의 집에 올라가자 할 때에 내가 기뻐하였도다</t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</si>
  <si>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</si>
  <si>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</si>
  <si>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</si>
  <si>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</si>
  <si>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</si>
  <si>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</si>
  <si>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하늘에 계신 주여 내가 눈을 들어 주께 향하나이다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</si>
  <si>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</si>
  <si>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</si>
  <si>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</si>
  <si>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</si>
  <si>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</si>
  <si>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</si>
  <si>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우리의 도움은 천지를 지으신 여호와의 이름에 있도다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</si>
  <si>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</si>
  <si>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</si>
  <si>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</si>
  <si>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</si>
  <si>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</si>
  <si>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</si>
  <si>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여호와를 의뢰하는 자는 시온 산이 요동치 아니하고 영원히 있음 같도다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</si>
  <si>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</si>
  <si>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</si>
  <si>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</si>
  <si>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</si>
  <si>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</si>
  <si>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</si>
  <si>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</si>
  <si>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</si>
  <si>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</si>
  <si>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여호와께서 집을 세우지 아니하시면 세우는 자의 수고가 헛되며 여호와께서 성을 지키지 아니하시면 파수꾼의 경성함이 허사로다</t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</si>
  <si>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</si>
  <si>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</si>
  <si>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</si>
  <si>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</si>
  <si>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</si>
  <si>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</si>
  <si>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</si>
  <si>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여호와를 경외하며 그 도에 행하는 자마다 복이 있도다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</si>
  <si>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</si>
  <si>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</si>
  <si>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</si>
  <si>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</si>
  <si>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</si>
  <si>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</si>
  <si>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여호와께서는 의로우사 악인의 줄을 끊으셨도다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</si>
  <si>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</si>
  <si>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</si>
  <si>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</si>
  <si>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</si>
  <si>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</si>
  <si>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</si>
  <si>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여호와여 내가 깊은 데서 주께 부르짖었나이다</t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</si>
  <si>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</si>
  <si>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</si>
  <si>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</si>
  <si>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</si>
  <si>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</si>
  <si>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</si>
  <si>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실로 내가 내 심령으로 고요하고 평온케 하기를 젖 뗀 아이가 그 어미 품에 있음 같게 하였나니 내 중심이 젖 뗀 아이와 같도다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</si>
  <si>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</si>
  <si>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</si>
  <si>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</si>
  <si>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</si>
  <si>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</si>
  <si>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</si>
  <si>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여호와께서 다윗에게 성실히 맹세하셨으니 변치 아니하실지라 이르시기를 네 몸의 소생을 네 위에 둘지라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</si>
  <si>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</si>
  <si>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</si>
  <si>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</si>
  <si>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</si>
  <si>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</si>
  <si>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</si>
  <si>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</si>
  <si>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</si>
  <si>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성소를 향하여 너희 손을 들고 여호와를 송축하라</t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</si>
  <si>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</si>
  <si>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</si>
  <si>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</si>
  <si>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</si>
  <si>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</si>
  <si>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여호와를 찬송하라 여호와는 선하시며 그 이름이 아름다우니 그 이름을 찬양하라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</si>
  <si>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</si>
  <si>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</si>
  <si>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</si>
  <si>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</si>
  <si>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</si>
  <si>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</si>
  <si>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</si>
  <si>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</si>
  <si>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</si>
  <si>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</si>
  <si>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</si>
  <si>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</si>
  <si>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</si>
  <si>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우리가 바벨론의 여러 강변 거기 앉아서 시온을 기억하며 울었도다</t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</si>
  <si>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</si>
  <si>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</si>
  <si>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</si>
  <si>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</si>
  <si>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</si>
  <si>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</si>
  <si>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</si>
  <si>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내가 간구하는 날에 주께서 응답하시고 내 영혼을 장려하여 강하게 하셨나이다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</si>
  <si>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</si>
  <si>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</si>
  <si>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</si>
  <si>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</si>
  <si>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</si>
  <si>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</si>
  <si>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</si>
  <si>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</si>
  <si>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내가 알거니와 여호와는 고난당하는 자를 신원하시며 궁핍한 자에게 공의를 베푸시리이다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</si>
  <si>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</si>
  <si>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</si>
  <si>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</si>
  <si>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</si>
  <si>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</si>
  <si>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</si>
  <si>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여호와여 내 입 앞에 파수꾼을 세우시고 내 입술의 문을 지키소서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</si>
  <si>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</si>
  <si>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</si>
  <si>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</si>
  <si>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</si>
  <si>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</si>
  <si>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</si>
  <si>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</si>
  <si>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여호와여 내가 주께 부르짖어 말하기를 주는 나의 피난처시요 생존 세계에서 나의 분깃이시라 하였나이다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</si>
  <si>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</si>
  <si>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</si>
  <si>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</si>
  <si>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</si>
  <si>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</si>
  <si>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</si>
  <si>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</si>
  <si>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아침에 나로 주의 인자한 말씀을 듣게 하소서 내가 주를 의뢰함이니이다 나의 다닐 길을 알게 하소서 내가 내 영혼을 주께 받듦이니이다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</si>
  <si>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</si>
  <si>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</si>
  <si>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</si>
  <si>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</si>
  <si>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</si>
  <si>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</si>
  <si>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</si>
  <si>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나의 반석 여호와를 찬송하리로다 저가 내 손을 가르쳐 싸우게 하시며 손가락을 가르쳐 치게 하시도다</t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</si>
  <si>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</si>
  <si>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</si>
  <si>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</si>
  <si>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</si>
  <si>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</si>
  <si>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</si>
  <si>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</si>
  <si>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</si>
  <si>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</si>
  <si>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방백들을 의지하지 말며 도울 힘이 없는 인생도 의지하지 말지니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</si>
  <si>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</si>
  <si>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</si>
  <si>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</si>
  <si>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</si>
  <si>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</si>
  <si>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</si>
  <si>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상심한 자를 고치시며 저희 상처를 싸매시는도다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</si>
  <si>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</si>
  <si>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</si>
  <si>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</si>
  <si>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</si>
  <si>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</si>
  <si>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</si>
  <si>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할렐루야 하늘에서 여호와를 찬양하며 높은 데서 찬양할지어다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</si>
  <si>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</si>
  <si>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</si>
  <si>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</si>
  <si>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</si>
  <si>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</si>
  <si>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</si>
  <si>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할렐루야 새 노래로 여호와께 노래하며 성도의 회중에서 찬양할지어다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</si>
  <si>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</si>
  <si>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</si>
  <si>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</si>
  <si>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</si>
  <si>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</si>
  <si>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</si>
  <si>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</si>
  <si>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</si>
  <si>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</si>
  <si>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</si>
  <si>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</si>
  <si>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</si>
  <si>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</si>
  <si>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</si>
  <si>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</si>
  <si>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</si>
  <si>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</si>
  <si>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</si>
  <si>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</si>
  <si>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</si>
  <si>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</si>
  <si>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</si>
  <si>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</si>
  <si>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</si>
  <si>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</si>
  <si>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</si>
  <si>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</si>
  <si>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</si>
  <si>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</si>
  <si>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</si>
  <si>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</si>
  <si>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</si>
  <si>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</si>
  <si>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</si>
  <si>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</si>
  <si>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일차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</si>
  <si>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</si>
  <si>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구약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</si>
  <si>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신약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</si>
  <si>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오늘 편수</t>
  </si>
  <si>
    <t xml:space="preserve">체크</t>
  </si>
  <si>
    <t xml:space="preserve">□</t>
  </si>
  <si>
    <r>
      <rPr>
        <sz val="9"/>
        <color rgb="FF595959"/>
        <rFont val="WenQuanYi Zen Hei"/>
        <family val="2"/>
      </rPr>
      <t xml:space="preserve">※ 매일 올라오는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분 영상을 보고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같은 본문을 성경에서 직접 읽는 챌린지입니다 </t>
    </r>
    <r>
      <rPr>
        <sz val="9"/>
        <color rgb="FF595959"/>
        <rFont val="Arial"/>
        <family val="0"/>
        <charset val="1"/>
      </rPr>
      <t xml:space="preserve">(#1</t>
    </r>
    <r>
      <rPr>
        <sz val="9"/>
        <color rgb="FF595959"/>
        <rFont val="WenQuanYi Zen Hei"/>
        <family val="2"/>
      </rPr>
      <t xml:space="preserve">분성경챌린지</t>
    </r>
    <r>
      <rPr>
        <sz val="9"/>
        <color rgb="FF595959"/>
        <rFont val="Arial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교회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소그룹 단체 참여용으로 배포하세요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</si>
  <si>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은 건너뛰는 본문이 있으므로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1+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2+</t>
    </r>
    <r>
      <rPr>
        <sz val="9"/>
        <color rgb="FF595959"/>
        <rFont val="WenQuanYi Zen Hei"/>
        <family val="2"/>
      </rPr>
      <t xml:space="preserve">시편 시리즈를 모두 마치면 성경 전체를 읽게 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마가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누가복음 일부 장은 마태복음의 같은 사건으로 대신합니다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</si>
  <si>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성과 기록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Arial"/>
        <family val="0"/>
        <charset val="1"/>
      </rPr>
      <t xml:space="preserve">1</t>
    </r>
    <r>
      <rPr>
        <b val="true"/>
        <sz val="16"/>
        <color rgb="FF1F3864"/>
        <rFont val="WenQuanYi Zen Hei"/>
        <family val="2"/>
      </rPr>
      <t xml:space="preserve">회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</si>
  <si>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편별 수치는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끝의 노란 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조회수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넘김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 시청률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구독 증가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입력하면 여기서 자동 집계됩니다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목표치는 유튜브 공식 기준이 아니라 크리에이터들이 공유한 경험치이므로 채널 평균과 비교해 조정하세요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</si>
  <si>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목표</t>
  </si>
  <si>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 </t>
    </r>
    <r>
      <rPr>
        <sz val="10"/>
        <color rgb="FF000000"/>
        <rFont val="Arial"/>
        <family val="0"/>
        <charset val="1"/>
      </rPr>
      <t xml:space="preserve">(%)</t>
    </r>
  </si>
  <si>
    <r>
      <rPr>
        <sz val="10"/>
        <color rgb="FF000000"/>
        <rFont val="WenQuanYi Zen Hei"/>
        <family val="2"/>
      </rPr>
      <t xml:space="preserve">평균 시청률 </t>
    </r>
    <r>
      <rPr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</si>
  <si>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도입 유형별 평균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어떤 첫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초가 잘 되는지 비교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</si>
  <si>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입력된 편</t>
  </si>
  <si>
    <r>
      <rPr>
        <b val="true"/>
        <sz val="10"/>
        <color rgb="FF000000"/>
        <rFont val="WenQuanYi Zen Hei"/>
        <family val="2"/>
      </rPr>
      <t xml:space="preserve">평균 시청 </t>
    </r>
    <r>
      <rPr>
        <b val="true"/>
        <sz val="10"/>
        <color rgb="FF000000"/>
        <rFont val="Arial"/>
        <family val="0"/>
        <charset val="1"/>
      </rPr>
      <t xml:space="preserve">vs </t>
    </r>
    <r>
      <rPr>
        <b val="true"/>
        <sz val="10"/>
        <color rgb="FF000000"/>
        <rFont val="WenQuanYi Zen Hei"/>
        <family val="2"/>
      </rPr>
      <t xml:space="preserve">넘김</t>
    </r>
    <r>
      <rPr>
        <b val="true"/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</si>
  <si>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평균 시청률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</si>
  <si>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평균 조회수</t>
  </si>
  <si>
    <r>
      <rPr>
        <sz val="11"/>
        <color theme="1"/>
        <rFont val="WenQuanYi Zen Hei"/>
        <family val="2"/>
      </rPr>
      <t xml:space="preserve">사실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반전형</t>
    </r>
  </si>
  <si>
    <t xml:space="preserve">제목안</t>
  </si>
  <si>
    <r>
      <rPr>
        <sz val="11"/>
        <color theme="1"/>
        <rFont val="Calibri"/>
        <family val="2"/>
        <charset val="1"/>
      </rPr>
      <t xml:space="preserve">A (</t>
    </r>
    <r>
      <rPr>
        <sz val="11"/>
        <color theme="1"/>
        <rFont val="WenQuanYi Zen Hei"/>
        <family val="2"/>
      </rPr>
      <t xml:space="preserve">회차형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</si>
  <si>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B (</t>
    </r>
    <r>
      <rPr>
        <sz val="11"/>
        <color theme="1"/>
        <rFont val="WenQuanYi Zen Hei"/>
        <family val="2"/>
      </rPr>
      <t xml:space="preserve">도입형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</si>
  <si>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※ 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사용한 제목안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또는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를 적으면 제목 방식별로 비교됩니다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첫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주는 두 방식을 번갈아 써 보길 권합니다</t>
    </r>
    <r>
      <rPr>
        <sz val="9"/>
        <color rgb="FF595959"/>
        <rFont val="Arial"/>
        <family val="0"/>
        <charset val="1"/>
      </rPr>
      <t xml:space="preserve">.</t>
    </r>
  </si>
  <si>
    <t xml:space="preserve">주차</t>
  </si>
  <si>
    <t xml:space="preserve">시작일</t>
  </si>
  <si>
    <r>
      <rPr>
        <b val="true"/>
        <sz val="10"/>
        <color rgb="FFFFFFFF"/>
        <rFont val="WenQuanYi Zen Hei"/>
        <family val="2"/>
      </rPr>
      <t xml:space="preserve">업로드 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</si>
  <si>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조회수 합계</t>
  </si>
  <si>
    <r>
      <rPr>
        <b val="true"/>
        <sz val="10"/>
        <color rgb="FFFFFFFF"/>
        <rFont val="WenQuanYi Zen Hei"/>
        <family val="2"/>
      </rPr>
      <t xml:space="preserve">평균 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</si>
  <si>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 합계</t>
  </si>
  <si>
    <t xml:space="preserve">목표 달성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</si>
  <si>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잘된 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개선점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</si>
  <si>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채널 운영과 재생목록</t>
  </si>
  <si>
    <r>
      <rPr>
        <sz val="9"/>
        <color rgb="FF595959"/>
        <rFont val="WenQuanYi Zen Hei"/>
        <family val="2"/>
      </rPr>
      <t xml:space="preserve">한 채널에서 본편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시편 시리즈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롱폼을 모두 운영하고 재생목록으로 나눕니다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구독자를 한곳에 모으기 위함</t>
    </r>
    <r>
      <rPr>
        <sz val="9"/>
        <color rgb="FF595959"/>
        <rFont val="Arial"/>
        <family val="0"/>
        <charset val="1"/>
      </rPr>
      <t xml:space="preserve">).</t>
    </r>
  </si>
  <si>
    <t xml:space="preserve">재생목록</t>
  </si>
  <si>
    <t xml:space="preserve">종류</t>
  </si>
  <si>
    <t xml:space="preserve">기준</t>
  </si>
  <si>
    <t xml:space="preserve">운영 메모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</si>
  <si>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</si>
  <si>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</si>
  <si>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</si>
  <si>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</si>
  <si>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</si>
  <si>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</si>
  <si>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</si>
  <si>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</si>
  <si>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</si>
  <si>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신약</t>
    </r>
  </si>
  <si>
    <t xml:space="preserve">시리즈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</si>
  <si>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시리즈 시트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</si>
  <si>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</si>
  <si>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</si>
  <si>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 시트</t>
    </r>
  </si>
  <si>
    <t xml:space="preserve">프리미어 공개 권장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</si>
  <si>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순서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</si>
  <si>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 시트</t>
    </r>
  </si>
  <si>
    <t xml:space="preserve">전체 완료 후 정주행용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</si>
  <si>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</si>
  <si>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롱폼 시트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</si>
  <si>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분성경 통독 챌린지</t>
    </r>
  </si>
  <si>
    <t xml:space="preserve">캠페인</t>
  </si>
  <si>
    <t xml:space="preserve">통독챌린지 시트</t>
  </si>
  <si>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단체 참여 안내 고정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</si>
  <si>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노아</t>
    </r>
  </si>
  <si>
    <t xml:space="preserve">인물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</si>
  <si>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인물 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</si>
  <si>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연속 이야기 몰아보기</t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</si>
  <si>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아브라함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</si>
  <si>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</si>
  <si>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</si>
  <si>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</si>
  <si>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</si>
  <si>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기드온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</si>
  <si>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삼손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</si>
  <si>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</si>
  <si>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</si>
  <si>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</si>
  <si>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</si>
  <si>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</si>
  <si>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</si>
  <si>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</si>
  <si>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</si>
  <si>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</si>
  <si>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</si>
  <si>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</si>
  <si>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</si>
  <si>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</si>
  <si>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바울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</si>
  <si>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창세기</t>
    </r>
  </si>
  <si>
    <t xml:space="preserve">권별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</si>
  <si>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책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</si>
  <si>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출애굽기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</si>
  <si>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레위기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</si>
  <si>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</si>
  <si>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</si>
  <si>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</si>
  <si>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사사기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</si>
  <si>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</si>
  <si>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</si>
  <si>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</si>
  <si>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</si>
  <si>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</si>
  <si>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</si>
  <si>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</si>
  <si>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</si>
  <si>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</si>
  <si>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</si>
  <si>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</si>
  <si>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</si>
  <si>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잠언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</si>
  <si>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</si>
  <si>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</si>
  <si>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</si>
  <si>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</si>
  <si>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</si>
  <si>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</si>
  <si>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</si>
  <si>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호세아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</si>
  <si>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</si>
  <si>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</si>
  <si>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오바댜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</si>
  <si>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</si>
  <si>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</si>
  <si>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</si>
  <si>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하박국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</si>
  <si>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</si>
  <si>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</si>
  <si>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</si>
  <si>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</si>
  <si>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</si>
  <si>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</si>
  <si>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누가복음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</si>
  <si>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</si>
  <si>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사도행전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</si>
  <si>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로마서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</si>
  <si>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</si>
  <si>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</si>
  <si>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</si>
  <si>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에베소서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</si>
  <si>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</si>
  <si>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골로새서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</si>
  <si>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</si>
  <si>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</si>
  <si>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</si>
  <si>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</si>
  <si>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</si>
  <si>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</si>
  <si>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히브리서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</si>
  <si>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야고보서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</si>
  <si>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</si>
  <si>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</si>
  <si>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</si>
  <si>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</si>
  <si>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</si>
  <si>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</si>
  <si>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요한계시록</t>
    </r>
  </si>
  <si>
    <t xml:space="preserve">ID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</si>
  <si>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</si>
  <si>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</si>
  <si>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</si>
  <si>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</si>
  <si>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</si>
  <si>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</si>
  <si>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</si>
  <si>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</si>
  <si>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</si>
  <si>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기준 이미지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정면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측면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후면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</si>
  <si>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</si>
  <si>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</si>
  <si>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</si>
  <si>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</si>
  <si>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</si>
  <si>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</si>
  <si>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</si>
  <si>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</si>
  <si>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</si>
  <si>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</si>
  <si>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해당 없음</t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</si>
  <si>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</si>
  <si>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</si>
  <si>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</si>
  <si>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</si>
  <si>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</si>
  <si>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</si>
  <si>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</si>
  <si>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</si>
  <si>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</si>
  <si>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</si>
  <si>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</si>
  <si>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</si>
  <si>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</si>
  <si>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</si>
  <si>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</si>
  <si>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</si>
  <si>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</si>
  <si>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</si>
  <si>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</si>
  <si>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</si>
  <si>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</si>
  <si>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</si>
  <si>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</si>
  <si>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</si>
  <si>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</si>
  <si>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</si>
  <si>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</si>
  <si>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</si>
  <si>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</si>
  <si>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</si>
  <si>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</si>
  <si>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</si>
  <si>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</si>
  <si>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</si>
  <si>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</si>
  <si>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</si>
  <si>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</si>
  <si>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</si>
  <si>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</si>
  <si>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</si>
  <si>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</si>
  <si>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</si>
  <si>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</si>
  <si>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</si>
  <si>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</si>
  <si>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</si>
  <si>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</si>
  <si>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</si>
  <si>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</si>
  <si>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</si>
  <si>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</si>
  <si>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</si>
  <si>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</si>
  <si>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</si>
  <si>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</si>
  <si>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</si>
  <si>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</si>
  <si>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</si>
  <si>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</si>
  <si>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</si>
  <si>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</si>
  <si>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</si>
  <si>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</si>
  <si>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</si>
  <si>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</si>
  <si>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</si>
  <si>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</si>
  <si>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</si>
  <si>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</si>
  <si>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</si>
  <si>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</si>
  <si>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</si>
  <si>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</si>
  <si>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</si>
  <si>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</si>
  <si>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</si>
  <si>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</si>
  <si>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</si>
  <si>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</si>
  <si>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</si>
  <si>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</si>
  <si>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</si>
  <si>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</si>
  <si>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</si>
  <si>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</si>
  <si>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</si>
  <si>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</si>
  <si>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</si>
  <si>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</si>
  <si>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</si>
  <si>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</si>
  <si>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</si>
  <si>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</si>
  <si>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</si>
  <si>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</si>
  <si>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</si>
  <si>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</si>
  <si>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</si>
  <si>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</si>
  <si>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</si>
  <si>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</si>
  <si>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</si>
  <si>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</si>
  <si>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</si>
  <si>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</si>
  <si>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</si>
  <si>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</si>
  <si>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</si>
  <si>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</si>
  <si>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</si>
  <si>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</si>
  <si>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</si>
  <si>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</si>
  <si>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</si>
  <si>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</si>
  <si>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</si>
  <si>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</si>
  <si>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</si>
  <si>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</si>
  <si>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</si>
  <si>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</si>
  <si>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</si>
  <si>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</si>
  <si>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</si>
  <si>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</si>
  <si>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</si>
  <si>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</si>
  <si>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</si>
  <si>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</si>
  <si>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</si>
  <si>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</si>
  <si>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</si>
  <si>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</si>
  <si>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</si>
  <si>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</si>
  <si>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</si>
  <si>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</si>
  <si>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</si>
  <si>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</si>
  <si>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</si>
  <si>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</si>
  <si>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</si>
  <si>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</si>
  <si>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</si>
  <si>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</si>
  <si>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</si>
  <si>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</si>
  <si>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</si>
  <si>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</si>
  <si>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</si>
  <si>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</si>
  <si>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</si>
  <si>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</si>
  <si>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</si>
  <si>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</si>
  <si>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</si>
  <si>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</si>
  <si>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</si>
  <si>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</si>
  <si>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</si>
  <si>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</si>
  <si>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</si>
  <si>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</si>
  <si>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</si>
  <si>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</si>
  <si>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</si>
  <si>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</si>
  <si>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</si>
  <si>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</si>
  <si>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</si>
  <si>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</si>
  <si>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</si>
  <si>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</si>
  <si>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</si>
  <si>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</si>
  <si>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</si>
  <si>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</si>
  <si>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</si>
  <si>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</si>
  <si>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</si>
  <si>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</si>
  <si>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</si>
  <si>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</si>
  <si>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</si>
  <si>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</si>
  <si>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</si>
  <si>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</si>
  <si>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</si>
  <si>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</si>
  <si>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</si>
  <si>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</si>
  <si>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</si>
  <si>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</si>
  <si>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</si>
  <si>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</si>
  <si>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</si>
  <si>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</si>
  <si>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</si>
  <si>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</si>
  <si>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</si>
  <si>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</si>
  <si>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</si>
  <si>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</si>
  <si>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</si>
  <si>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</si>
  <si>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</si>
  <si>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</si>
  <si>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</si>
  <si>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</si>
  <si>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</si>
  <si>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</si>
  <si>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</si>
  <si>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</si>
  <si>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</si>
  <si>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</si>
  <si>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</si>
  <si>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</si>
  <si>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</si>
  <si>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</si>
  <si>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</si>
  <si>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</si>
  <si>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</si>
  <si>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</si>
  <si>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</si>
  <si>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</si>
  <si>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</si>
  <si>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</si>
  <si>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</si>
  <si>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</si>
  <si>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</si>
  <si>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</si>
  <si>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</si>
  <si>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</si>
  <si>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</si>
  <si>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</si>
  <si>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</si>
  <si>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</si>
  <si>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</si>
  <si>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</si>
  <si>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</si>
  <si>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</si>
  <si>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</si>
  <si>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</si>
  <si>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</si>
  <si>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</si>
  <si>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</si>
  <si>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</si>
  <si>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</si>
  <si>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</si>
  <si>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</si>
  <si>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</si>
  <si>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</si>
  <si>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</si>
  <si>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</si>
  <si>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</si>
  <si>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</si>
  <si>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</si>
  <si>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</si>
  <si>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</si>
  <si>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</si>
  <si>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</si>
  <si>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</si>
  <si>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</si>
  <si>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</si>
  <si>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</si>
  <si>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</si>
  <si>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</si>
  <si>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</si>
  <si>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</si>
  <si>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</si>
  <si>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</si>
  <si>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</si>
  <si>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</si>
  <si>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</si>
  <si>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</si>
  <si>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</si>
  <si>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</si>
  <si>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</si>
  <si>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</si>
  <si>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</si>
  <si>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</si>
  <si>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</si>
  <si>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</si>
  <si>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</si>
  <si>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</si>
  <si>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</si>
  <si>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</si>
  <si>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</si>
  <si>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</si>
  <si>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</si>
  <si>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</si>
  <si>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</si>
  <si>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</si>
  <si>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</si>
  <si>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</si>
  <si>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</si>
  <si>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</si>
  <si>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</si>
  <si>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</si>
  <si>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</si>
  <si>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</si>
  <si>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</si>
  <si>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</si>
  <si>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</si>
  <si>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</si>
  <si>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</si>
  <si>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</si>
  <si>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</si>
  <si>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</si>
  <si>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</si>
  <si>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</si>
  <si>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</si>
  <si>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</si>
  <si>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</si>
  <si>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</si>
  <si>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</si>
  <si>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</si>
  <si>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</si>
  <si>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</si>
  <si>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</si>
  <si>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</si>
  <si>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</si>
  <si>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</si>
  <si>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</si>
  <si>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</si>
  <si>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</si>
  <si>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</si>
  <si>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</si>
  <si>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</si>
  <si>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</si>
  <si>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</si>
  <si>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</si>
  <si>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</si>
  <si>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</si>
  <si>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</si>
  <si>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</si>
  <si>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</si>
  <si>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</si>
  <si>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</si>
  <si>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</si>
  <si>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</si>
  <si>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</si>
  <si>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</si>
  <si>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</si>
  <si>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</si>
  <si>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</si>
  <si>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</si>
  <si>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</si>
  <si>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</si>
  <si>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</si>
  <si>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</si>
  <si>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</si>
  <si>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</si>
  <si>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</si>
  <si>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</si>
  <si>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</si>
  <si>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</si>
  <si>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</si>
  <si>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</si>
  <si>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</si>
  <si>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</si>
  <si>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</si>
  <si>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</si>
  <si>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</si>
  <si>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</si>
  <si>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</si>
  <si>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</si>
  <si>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</si>
  <si>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</si>
  <si>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</si>
  <si>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</si>
  <si>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</si>
  <si>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</si>
  <si>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</si>
  <si>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</si>
  <si>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</si>
  <si>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</si>
  <si>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</si>
  <si>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</si>
  <si>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</si>
  <si>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</si>
  <si>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</si>
  <si>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</si>
  <si>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</si>
  <si>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</si>
  <si>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</si>
  <si>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</si>
  <si>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</si>
  <si>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</si>
  <si>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</si>
  <si>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</si>
  <si>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</si>
  <si>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</si>
  <si>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</si>
  <si>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</si>
  <si>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</si>
  <si>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</si>
  <si>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</si>
  <si>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</si>
  <si>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</si>
  <si>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</si>
  <si>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</si>
  <si>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</si>
  <si>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</si>
  <si>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</si>
  <si>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</si>
  <si>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</si>
  <si>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</si>
  <si>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</si>
  <si>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</si>
  <si>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</si>
  <si>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</si>
  <si>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</si>
  <si>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</si>
  <si>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</si>
  <si>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</si>
  <si>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</si>
  <si>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</si>
  <si>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</si>
  <si>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</si>
  <si>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</si>
  <si>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</si>
  <si>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</si>
  <si>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</si>
  <si>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</si>
  <si>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</si>
  <si>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</si>
  <si>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</si>
  <si>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</si>
  <si>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</si>
  <si>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</si>
  <si>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</si>
  <si>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</si>
  <si>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</si>
  <si>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</si>
  <si>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</si>
  <si>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</si>
  <si>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</si>
  <si>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</si>
  <si>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</si>
  <si>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</si>
  <si>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</si>
  <si>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</si>
  <si>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</si>
  <si>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</si>
  <si>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</si>
  <si>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</si>
  <si>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</si>
  <si>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</si>
  <si>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</si>
  <si>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</si>
  <si>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</si>
  <si>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기준 이미지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영상 생성 전에 인물마다 정면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측면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표정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장을 먼저 만들고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모든 컷을 이 이미지 참조로 생성하면 수백 편에서도 얼굴이 흔들리지 않습니다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연령이 바뀌는 인물은 단계별로 따로 만듭니다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</si>
  <si>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</si>
  <si>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</si>
  <si>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</si>
  <si>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</si>
  <si>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성경</t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</si>
  <si>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 인용 본문은 개역한글판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저작권 보호기간 만료</t>
    </r>
    <r>
      <rPr>
        <sz val="10"/>
        <color rgb="FF000000"/>
        <rFont val="Arial"/>
        <family val="0"/>
        <charset val="1"/>
      </rPr>
      <t xml:space="preserve">)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</si>
  <si>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</si>
  <si>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</si>
  <si>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</si>
  <si>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</si>
  <si>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</si>
  <si>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</si>
  <si>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</si>
  <si>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</si>
  <si>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</si>
  <si>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</si>
  <si>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</si>
  <si>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</si>
  <si>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</si>
  <si>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</si>
  <si>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</si>
  <si>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</si>
  <si>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</si>
  <si>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</si>
  <si>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</si>
  <si>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</si>
  <si>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</si>
  <si>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</si>
  <si>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</si>
  <si>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</si>
  <si>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</si>
  <si>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</si>
  <si>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</si>
  <si>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</si>
  <si>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</si>
  <si>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</si>
  <si>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</si>
  <si>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</si>
  <si>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</si>
  <si>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</si>
  <si>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</si>
  <si>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</si>
  <si>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</si>
  <si>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</si>
  <si>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</si>
  <si>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</si>
  <si>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</si>
  <si>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</si>
  <si>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</si>
  <si>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</si>
  <si>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</si>
  <si>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</si>
  <si>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</si>
  <si>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</si>
  <si>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</si>
  <si>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</si>
  <si>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</si>
  <si>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</si>
  <si>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</si>
  <si>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</si>
  <si>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</si>
  <si>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</si>
  <si>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</si>
  <si>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</si>
  <si>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</si>
  <si>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</si>
  <si>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</si>
  <si>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</si>
  <si>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</si>
  <si>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</si>
  <si>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</si>
  <si>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</si>
  <si>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</si>
  <si>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</si>
  <si>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</si>
  <si>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</si>
  <si>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</si>
  <si>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</si>
  <si>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</si>
  <si>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</si>
  <si>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</si>
  <si>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</si>
  <si>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</si>
  <si>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</si>
  <si>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</si>
  <si>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</si>
  <si>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</si>
  <si>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</si>
  <si>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</si>
  <si>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</si>
  <si>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</si>
  <si>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</si>
  <si>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</si>
  <si>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</si>
  <si>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</si>
  <si>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</si>
  <si>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</si>
  <si>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</si>
  <si>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</si>
  <si>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</si>
  <si>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</si>
  <si>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</si>
  <si>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</si>
  <si>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</si>
  <si>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</si>
  <si>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</si>
  <si>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</si>
  <si>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</si>
  <si>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</si>
  <si>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</si>
  <si>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</si>
  <si>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</si>
  <si>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</si>
  <si>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</si>
  <si>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</si>
  <si>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</si>
  <si>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</si>
  <si>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</si>
  <si>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개역한글판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</si>
  <si>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</si>
  <si>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</si>
  <si>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</si>
  <si>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</si>
  <si>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</si>
  <si>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</si>
  <si>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</si>
  <si>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</si>
  <si>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</si>
  <si>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</si>
  <si>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</si>
  <si>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</si>
  <si>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</si>
  <si>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개역한글 원문과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내레이션이 개역개정 등 다른 번역 문장과 비슷하지 않은지 확인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</si>
  <si>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</si>
  <si>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</si>
  <si>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</si>
  <si>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</si>
  <si>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</si>
  <si>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</si>
  <si>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</si>
  <si>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</si>
  <si>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</si>
  <si>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</si>
  <si>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</si>
  <si>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</si>
  <si>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</si>
  <si>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</si>
  <si>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0~2</t>
    </r>
    <r>
      <rPr>
        <sz val="10"/>
        <color rgb="FF000000"/>
        <rFont val="WenQuanYi Zen Hei"/>
        <family val="2"/>
      </rPr>
      <t xml:space="preserve">초 첫 컷</t>
    </r>
  </si>
  <si>
    <r>
      <rPr>
        <sz val="10"/>
        <color rgb="FF000000"/>
        <rFont val="WenQuanYi Zen Hei"/>
        <family val="2"/>
      </rPr>
      <t xml:space="preserve">가장 강한 장면을 먼저 보여 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넘김이 여기서 결정</t>
    </r>
    <r>
      <rPr>
        <sz val="10"/>
        <color rgb="FF000000"/>
        <rFont val="Arial"/>
        <family val="0"/>
        <charset val="1"/>
      </rPr>
      <t xml:space="preserve">). 1</t>
    </r>
    <r>
      <rPr>
        <sz val="10"/>
        <color rgb="FF000000"/>
        <rFont val="WenQuanYi Zen Hei"/>
        <family val="2"/>
      </rPr>
      <t xml:space="preserve">초 시그니처 사운드와 함께</t>
    </r>
  </si>
  <si>
    <t xml:space="preserve">1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</si>
  <si>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</si>
  <si>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줄을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</si>
  <si>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</si>
  <si>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</si>
  <si>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</si>
  <si>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</si>
  <si>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</si>
  <si>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</si>
  <si>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</si>
  <si>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</si>
  <si>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</si>
  <si>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원문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역본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</si>
  <si>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</si>
  <si>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</si>
  <si>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</si>
  <si>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○○". </t>
    </r>
    <r>
      <rPr>
        <sz val="10"/>
        <color rgb="FF000000"/>
        <rFont val="WenQuanYi Zen Hei"/>
        <family val="2"/>
      </rPr>
      <t xml:space="preserve">연속 이야기는 가장 궁금한 순간에서 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마지막 프레임이 첫 컷과 이어지게 해서 반복 시청 유도</t>
    </r>
  </si>
  <si>
    <r>
      <rPr>
        <sz val="10"/>
        <color rgb="FF000000"/>
        <rFont val="WenQuanYi Zen Hei"/>
        <family val="2"/>
      </rPr>
      <t xml:space="preserve">다음 편 예고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이어지는 이야기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</si>
  <si>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</si>
  <si>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</si>
  <si>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</si>
  <si>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</si>
  <si>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</si>
  <si>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</si>
  <si>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</si>
  <si>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</si>
  <si>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</si>
  <si>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</si>
  <si>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</si>
  <si>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</si>
  <si>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</si>
  <si>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</si>
  <si>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</si>
  <si>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</si>
  <si>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</si>
  <si>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</si>
  <si>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</si>
  <si>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</si>
  <si>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</si>
  <si>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브랜드 고정 요소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모든 편에 동일하게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</si>
  <si>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</si>
  <si>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</si>
  <si>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목적</t>
  </si>
  <si>
    <t xml:space="preserve">확정 시기</t>
  </si>
  <si>
    <t xml:space="preserve">시그니처 사운드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</si>
  <si>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초 길이의 짧은 소리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책장 넘기는 소리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맑은 종소리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모든 숏폼 첫머리와 롱폼 오프닝에 동일하게</t>
    </r>
  </si>
  <si>
    <t xml:space="preserve">소리만 들어도 채널을 알아보게</t>
  </si>
  <si>
    <t xml:space="preserve">참고 영상 분석 후</t>
  </si>
  <si>
    <t xml:space="preserve">엔딩 프레임</t>
  </si>
  <si>
    <r>
      <rPr>
        <sz val="10"/>
        <color rgb="FF000000"/>
        <rFont val="WenQuanYi Zen Hei"/>
        <family val="2"/>
      </rPr>
      <t xml:space="preserve">진행 캐릭터의 같은 포즈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시리즈 로고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자막 위치 고정</t>
    </r>
  </si>
  <si>
    <t xml:space="preserve">반복 노출로 기억</t>
  </si>
  <si>
    <t xml:space="preserve">자막 스타일</t>
  </si>
  <si>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구절만 다른 색</t>
    </r>
  </si>
  <si>
    <t xml:space="preserve">소리 없이 보는 시청자</t>
  </si>
  <si>
    <t xml:space="preserve">확정</t>
  </si>
  <si>
    <t xml:space="preserve">색 팔레트</t>
  </si>
  <si>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따뜻한 흙빛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황금빛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맑은 하늘빛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흰빛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</si>
  <si>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트랙 구분</t>
  </si>
  <si>
    <t xml:space="preserve">캐릭터 기준 이미지</t>
  </si>
  <si>
    <r>
      <rPr>
        <sz val="10"/>
        <color rgb="FF000000"/>
        <rFont val="WenQuanYi Zen Hei"/>
        <family val="2"/>
      </rPr>
      <t xml:space="preserve">인물마다 정면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 → 모든 컷을 이미지 참조로 생성</t>
    </r>
  </si>
  <si>
    <t xml:space="preserve">수백 편에서 얼굴 일관성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</si>
  <si>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진행 관리</t>
    </r>
  </si>
  <si>
    <r>
      <rPr>
        <b val="true"/>
        <sz val="12"/>
        <color rgb="FFFFFFFF"/>
        <rFont val="Arial"/>
        <family val="0"/>
        <charset val="1"/>
      </rPr>
      <t xml:space="preserve">2-2. </t>
    </r>
    <r>
      <rPr>
        <b val="true"/>
        <sz val="12"/>
        <color rgb="FFFFFFFF"/>
        <rFont val="WenQuanYi Zen Hei"/>
        <family val="2"/>
      </rPr>
      <t xml:space="preserve">다국어 확장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나중 단계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</si>
  <si>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주의</t>
  </si>
  <si>
    <r>
      <rPr>
        <b val="true"/>
        <sz val="10"/>
        <color rgb="FF000000"/>
        <rFont val="WenQuanYi Zen Hei"/>
        <family val="2"/>
      </rPr>
      <t xml:space="preserve">시작 시점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</si>
  <si>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 영어 자막</t>
    </r>
  </si>
  <si>
    <t xml:space="preserve">반응 좋은 편부터 영어 자막 추가</t>
  </si>
  <si>
    <r>
      <rPr>
        <sz val="10"/>
        <color rgb="FF000000"/>
        <rFont val="WenQuanYi Zen Hei"/>
        <family val="2"/>
      </rPr>
      <t xml:space="preserve">성경 인용은 저작권이 없는 영어 번역본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World English Bible) </t>
    </r>
    <r>
      <rPr>
        <sz val="10"/>
        <color rgb="FF000000"/>
        <rFont val="WenQuanYi Zen Hei"/>
        <family val="2"/>
      </rPr>
      <t xml:space="preserve">또는 사용 허락받은 번역본만 사용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</si>
  <si>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중반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</si>
  <si>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 영어 더빙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</si>
  <si>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더빙으로 같은 영상에 영어 음성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유튜브 다국어 오디오 기능 활용 검토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별도 채널 대신</t>
    </r>
    <r>
      <rPr>
        <sz val="10"/>
        <color rgb="FF000000"/>
        <rFont val="Arial"/>
        <family val="0"/>
        <charset val="1"/>
      </rPr>
      <t xml:space="preserve">)</t>
    </r>
  </si>
  <si>
    <t xml:space="preserve">더빙 음성의 상업 이용 허용 여부 확인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</si>
  <si>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</si>
  <si>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영어 표기</t>
    </r>
  </si>
  <si>
    <r>
      <rPr>
        <sz val="10"/>
        <color rgb="FF000000"/>
        <rFont val="Arial"/>
        <family val="0"/>
        <charset val="1"/>
      </rPr>
      <t xml:space="preserve">Moses, David, Jerusalem </t>
    </r>
    <r>
      <rPr>
        <sz val="10"/>
        <color rgb="FF000000"/>
        <rFont val="WenQuanYi Zen Hei"/>
        <family val="2"/>
      </rPr>
      <t xml:space="preserve">등 표준 영어 표기로 통일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</si>
  <si>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단계와 함께</t>
    </r>
  </si>
  <si>
    <t xml:space="preserve">해외 한인 교회</t>
  </si>
  <si>
    <r>
      <rPr>
        <sz val="10"/>
        <color rgb="FF000000"/>
        <rFont val="WenQuanYi Zen Hei"/>
        <family val="2"/>
      </rPr>
      <t xml:space="preserve">한국어 원본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영어 자막을 함께 안내해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 교육용으로 홍보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</si>
  <si>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</si>
  <si>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</si>
  <si>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</si>
  <si>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</si>
  <si>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</si>
  <si>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</si>
  <si>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</si>
  <si>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</si>
  <si>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</si>
  <si>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</si>
  <si>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</si>
  <si>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</si>
  <si>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</si>
  <si>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</si>
  <si>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</si>
  <si>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</si>
  <si>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</si>
  <si>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</si>
  <si>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</si>
  <si>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</si>
  <si>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</si>
  <si>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</si>
  <si>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</si>
  <si>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</si>
  <si>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</si>
  <si>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</si>
  <si>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</si>
  <si>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</si>
  <si>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</si>
  <si>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</si>
  <si>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</si>
  <si>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</si>
  <si>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</si>
  <si>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</si>
  <si>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</si>
  <si>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</si>
  <si>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</si>
  <si>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</si>
  <si>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</si>
  <si>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</si>
  <si>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</si>
  <si>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</si>
  <si>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</si>
  <si>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</si>
  <si>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</si>
  <si>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</si>
  <si>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 (</t>
    </r>
    <r>
      <rPr>
        <sz val="10"/>
        <color rgb="FF000000"/>
        <rFont val="WenQuanYi Zen Hei"/>
        <family val="2"/>
      </rPr>
      <t xml:space="preserve">회차형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</si>
  <si>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구약 </t>
    </r>
    <r>
      <rPr>
        <sz val="10"/>
        <color rgb="FF000000"/>
        <rFont val="Arial"/>
        <family val="0"/>
        <charset val="1"/>
      </rPr>
      <t xml:space="preserve">#001]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</si>
  <si>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A' </t>
    </r>
    <r>
      <rPr>
        <sz val="10"/>
        <color rgb="FF000000"/>
        <rFont val="WenQuanYi Zen Hei"/>
        <family val="2"/>
      </rPr>
      <t xml:space="preserve">칸 자동 생성</t>
    </r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</si>
  <si>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B (</t>
    </r>
    <r>
      <rPr>
        <sz val="10"/>
        <color rgb="FF000000"/>
        <rFont val="WenQuanYi Zen Hei"/>
        <family val="2"/>
      </rPr>
      <t xml:space="preserve">도입형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</si>
  <si>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책 ○장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시리즈명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</si>
  <si>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B' </t>
    </r>
    <r>
      <rPr>
        <sz val="10"/>
        <color rgb="FF000000"/>
        <rFont val="WenQuanYi Zen Hei"/>
        <family val="2"/>
      </rPr>
      <t xml:space="preserve">칸 자동 생성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주는 </t>
    </r>
    <r>
      <rPr>
        <sz val="10"/>
        <color rgb="FF000000"/>
        <rFont val="Arial"/>
        <family val="0"/>
        <charset val="1"/>
      </rPr>
      <t xml:space="preserve">A·B</t>
    </r>
    <r>
      <rPr>
        <sz val="10"/>
        <color rgb="FF000000"/>
        <rFont val="WenQuanYi Zen Hei"/>
        <family val="2"/>
      </rPr>
      <t xml:space="preserve">를 번갈아 쓰고 성과기록 시트에서 비교</t>
    </r>
  </si>
  <si>
    <r>
      <rPr>
        <sz val="10"/>
        <color rgb="FF000000"/>
        <rFont val="WenQuanYi Zen Hei"/>
        <family val="2"/>
      </rPr>
      <t xml:space="preserve">쇼츠 표지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커버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</si>
  <si>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굵은 한글 </t>
    </r>
    <r>
      <rPr>
        <sz val="10"/>
        <color rgb="FF000000"/>
        <rFont val="Arial"/>
        <family val="0"/>
        <charset val="1"/>
      </rPr>
      <t xml:space="preserve">2~4</t>
    </r>
    <r>
      <rPr>
        <sz val="10"/>
        <color rgb="FF000000"/>
        <rFont val="WenQuanYi Zen Hei"/>
        <family val="2"/>
      </rPr>
      <t xml:space="preserve">단어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인물 얼굴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고대 배경</t>
    </r>
  </si>
  <si>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WenQuanYi Zen Hei"/>
        <family val="2"/>
      </rPr>
      <t xml:space="preserve">바다가 갈라졌다</t>
    </r>
    <r>
      <rPr>
        <sz val="10"/>
        <color rgb="FF000000"/>
        <rFont val="Arial"/>
        <family val="0"/>
        <charset val="1"/>
      </rPr>
      <t xml:space="preserve">' /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얼굴 클로즈업은 쓰지 않음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</si>
  <si>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</si>
  <si>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</si>
  <si>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</si>
  <si>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</si>
  <si>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</si>
  <si>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</si>
  <si>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</si>
  <si>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</si>
  <si>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원칙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대한성서공회 허락 없이 제작하기 위한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</si>
  <si>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이유</t>
  </si>
  <si>
    <t xml:space="preserve">성경 원문 인용</t>
  </si>
  <si>
    <r>
      <rPr>
        <sz val="10"/>
        <color rgb="FF000000"/>
        <rFont val="WenQuanYi Zen Hei"/>
        <family val="2"/>
      </rPr>
      <t xml:space="preserve">화면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낭독으로 원문을 그대로 쓰는 부분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대사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개역한글판만 사용</t>
    </r>
  </si>
  <si>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(1961)</t>
    </r>
    <r>
      <rPr>
        <sz val="10"/>
        <color rgb="FF000000"/>
        <rFont val="WenQuanYi Zen Hei"/>
        <family val="2"/>
      </rPr>
      <t xml:space="preserve">은 저작재산권 보호기간이 끝남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개역개정판은 보호 대상</t>
    </r>
    <r>
      <rPr>
        <sz val="10"/>
        <color rgb="FF000000"/>
        <rFont val="Arial"/>
        <family val="0"/>
        <charset val="1"/>
      </rPr>
      <t xml:space="preserve">(2019</t>
    </r>
    <r>
      <rPr>
        <sz val="10"/>
        <color rgb="FF000000"/>
        <rFont val="WenQuanYi Zen Hei"/>
        <family val="2"/>
      </rPr>
      <t xml:space="preserve">년 법원 판결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</si>
  <si>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태초에 하나님이 천지를 창조하시니라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)"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</si>
  <si>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 대사</t>
    </r>
  </si>
  <si>
    <t xml:space="preserve">개역한글 본문과 성경 내용을 바탕으로 우리 문장으로 새로 씀</t>
  </si>
  <si>
    <r>
      <rPr>
        <sz val="10"/>
        <color rgb="FF000000"/>
        <rFont val="WenQuanYi Zen Hei"/>
        <family val="2"/>
      </rPr>
      <t xml:space="preserve">줄거리와 사실은 저작권 대상이 아님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문장 표현만 보호됨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</si>
  <si>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그때 하나님이 빛이 생기라고 말씀하셨어요</t>
    </r>
    <r>
      <rPr>
        <sz val="10"/>
        <color rgb="FF000000"/>
        <rFont val="Arial"/>
        <family val="0"/>
        <charset val="1"/>
      </rPr>
      <t xml:space="preserve">."</t>
    </r>
  </si>
  <si>
    <t xml:space="preserve">다른 번역 문장 금지</t>
  </si>
  <si>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현대인의성경 등 현대 번역의 문장을 옮기거나 단어만 바꾼 문장 금지</t>
    </r>
  </si>
  <si>
    <t xml:space="preserve">개역개정과 비슷하게 만든 다른 성경이 저작권 침해로 인정된 판례가 있음</t>
  </si>
  <si>
    <t xml:space="preserve">대본 작성 때 현대 번역본을 옆에 펴 두고 베끼지 않기</t>
  </si>
  <si>
    <t xml:space="preserve">단어 수준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</si>
  <si>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나병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이르시되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같은 개별 단어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표준어는 자유롭게 사용</t>
    </r>
  </si>
  <si>
    <t xml:space="preserve">단어 하나는 저작권 보호 대상이 아님</t>
  </si>
  <si>
    <t xml:space="preserve">원문 확보</t>
  </si>
  <si>
    <t xml:space="preserve">개역한글 원문은 공개된 원문 파일에서 가져오고 장절별로 한 글자씩 대조</t>
  </si>
  <si>
    <r>
      <rPr>
        <sz val="10"/>
        <color rgb="FF000000"/>
        <rFont val="WenQuanYi Zen Hei"/>
        <family val="2"/>
      </rPr>
      <t xml:space="preserve">기억이나 다른 번역에서 옮기면 오류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혼입 위험</t>
    </r>
  </si>
  <si>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장절로 원문 확인</t>
    </r>
  </si>
  <si>
    <t xml:space="preserve">출처 표기</t>
  </si>
  <si>
    <r>
      <rPr>
        <sz val="10"/>
        <color rgb="FF000000"/>
        <rFont val="WenQuanYi Zen Hei"/>
        <family val="2"/>
      </rPr>
      <t xml:space="preserve">영상 설명란에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</si>
  <si>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시청자 혼동 방지</t>
  </si>
  <si>
    <t xml:space="preserve">음악</t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</si>
  <si>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 </t>
    </r>
    <r>
      <rPr>
        <sz val="10"/>
        <color rgb="FF000000"/>
        <rFont val="WenQuanYi Zen Hei"/>
        <family val="2"/>
      </rPr>
      <t xml:space="preserve">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저작권 무료 음원 또는 상업 이용이 허용된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음악만 사용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</si>
  <si>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도 작사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작곡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편곡 저작권이 있음</t>
    </r>
  </si>
  <si>
    <t xml:space="preserve">라이선스 기록 보관</t>
  </si>
  <si>
    <t xml:space="preserve">영어 확장</t>
  </si>
  <si>
    <r>
      <rPr>
        <sz val="10"/>
        <color rgb="FF000000"/>
        <rFont val="WenQuanYi Zen Hei"/>
        <family val="2"/>
      </rPr>
      <t xml:space="preserve">영어 인용은 </t>
    </r>
    <r>
      <rPr>
        <sz val="10"/>
        <color rgb="FF000000"/>
        <rFont val="Arial"/>
        <family val="0"/>
        <charset val="1"/>
      </rPr>
      <t xml:space="preserve">World English Bible </t>
    </r>
    <r>
      <rPr>
        <sz val="10"/>
        <color rgb="FF000000"/>
        <rFont val="WenQuanYi Zen Hei"/>
        <family val="2"/>
      </rPr>
      <t xml:space="preserve">등 저작권이 없는 번역만 사용</t>
    </r>
  </si>
  <si>
    <r>
      <rPr>
        <sz val="10"/>
        <color rgb="FF000000"/>
        <rFont val="Arial"/>
        <family val="0"/>
        <charset val="1"/>
      </rPr>
      <t xml:space="preserve">NIV·ESV </t>
    </r>
    <r>
      <rPr>
        <sz val="10"/>
        <color rgb="FF000000"/>
        <rFont val="WenQuanYi Zen Hei"/>
        <family val="2"/>
      </rPr>
      <t xml:space="preserve">등은 보호 대상</t>
    </r>
  </si>
  <si>
    <r>
      <rPr>
        <sz val="10"/>
        <color rgb="FF000000"/>
        <rFont val="WenQuanYi Zen Hei"/>
        <family val="2"/>
      </rPr>
      <t xml:space="preserve">해외 교회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</t>
    </r>
  </si>
  <si>
    <r>
      <rPr>
        <sz val="10"/>
        <color rgb="FF000000"/>
        <rFont val="WenQuanYi Zen Hei"/>
        <family val="2"/>
      </rPr>
      <t xml:space="preserve">다른 작품의 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 이미지를 그대로 가져오지 않음</t>
    </r>
  </si>
  <si>
    <r>
      <rPr>
        <sz val="10"/>
        <color rgb="FF000000"/>
        <rFont val="WenQuanYi Zen Hei"/>
        <family val="2"/>
      </rPr>
      <t xml:space="preserve">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사진에도 각각 저작권이 있음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</si>
  <si>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 시에도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 프롬프트 금지</t>
    </r>
  </si>
  <si>
    <r>
      <rPr>
        <b val="true"/>
        <sz val="12"/>
        <color rgb="FFFFFFFF"/>
        <rFont val="Arial"/>
        <family val="0"/>
        <charset val="1"/>
      </rPr>
      <t xml:space="preserve">6-1.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</si>
  <si>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</si>
  <si>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</si>
  <si>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</si>
  <si>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음성의 성경 원문 인용이 모두 개역한글판인가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 등 문장이 섞이지 않았는가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</si>
  <si>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대사가 다른 번역 성경의 문장을 옮기거나 단어만 바꾼 문장이 아닌가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</si>
  <si>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을 배경음악이나 노래로 쓰지 않았는가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</si>
  <si>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</si>
  <si>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</si>
  <si>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</si>
  <si>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</si>
  <si>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개역한글 원문과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</si>
  <si>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</si>
  <si>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</si>
  <si>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</si>
  <si>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</si>
  <si>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</si>
  <si>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</si>
  <si>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</si>
  <si>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</si>
  <si>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</si>
  <si>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</si>
  <si>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</si>
  <si>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</si>
  <si>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</si>
  <si>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</si>
  <si>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</si>
  <si>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</si>
  <si>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</si>
  <si>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</si>
  <si>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</si>
  <si>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</si>
  <si>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</si>
  <si>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</si>
  <si>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</si>
  <si>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</si>
  <si>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</si>
  <si>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</si>
  <si>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</si>
  <si>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</si>
  <si>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</si>
  <si>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</si>
  <si>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</si>
  <si>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</si>
  <si>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</si>
  <si>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</si>
  <si>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</si>
  <si>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</si>
  <si>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</si>
  <si>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</si>
  <si>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</si>
  <si>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</si>
  <si>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</si>
  <si>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</si>
  <si>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</si>
  <si>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</si>
  <si>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</si>
  <si>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</si>
  <si>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</si>
  <si>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</si>
  <si>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</si>
  <si>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</si>
  <si>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</si>
  <si>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</si>
  <si>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</si>
  <si>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</si>
  <si>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</si>
  <si>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</si>
  <si>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</si>
  <si>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</si>
  <si>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</si>
  <si>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졸업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진로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</si>
  <si>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앞길을 맡기는 믿음</t>
  </si>
  <si>
    <r>
      <rPr>
        <sz val="10"/>
        <color rgb="FF000000"/>
        <rFont val="Arial"/>
        <family val="0"/>
        <charset val="1"/>
      </rPr>
      <t xml:space="preserve">A0395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#422,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A0449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</si>
  <si>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 · </t>
    </r>
    <r>
      <rPr>
        <sz val="10"/>
        <color rgb="FF000000"/>
        <rFont val="WenQuanYi Zen Hei"/>
        <family val="2"/>
      </rPr>
      <t xml:space="preserve">네 길을 인도하시리라
렘 </t>
    </r>
    <r>
      <rPr>
        <sz val="10"/>
        <color rgb="FF000000"/>
        <rFont val="Arial"/>
        <family val="0"/>
        <charset val="1"/>
      </rPr>
      <t xml:space="preserve">29:1-32 · </t>
    </r>
    <r>
      <rPr>
        <sz val="10"/>
        <color rgb="FF000000"/>
        <rFont val="WenQuanYi Zen Hei"/>
        <family val="2"/>
      </rPr>
      <t xml:space="preserve">포로들에게 보낸 편지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</si>
  <si>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3·1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</si>
  <si>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</si>
  <si>
    <r>
      <rPr>
        <sz val="10"/>
        <color rgb="FF000000"/>
        <rFont val="Arial"/>
        <family val="0"/>
        <charset val="1"/>
      </rPr>
      <t xml:space="preserve">A0346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A0477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</si>
  <si>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 · </t>
    </r>
    <r>
      <rPr>
        <sz val="10"/>
        <color rgb="FF000000"/>
        <rFont val="WenQuanYi Zen Hei"/>
        <family val="2"/>
      </rPr>
      <t xml:space="preserve">죽으면 죽으리라
단 </t>
    </r>
    <r>
      <rPr>
        <sz val="10"/>
        <color rgb="FF000000"/>
        <rFont val="Arial"/>
        <family val="0"/>
        <charset val="1"/>
      </rPr>
      <t xml:space="preserve">3:1-18 · </t>
    </r>
    <r>
      <rPr>
        <sz val="10"/>
        <color rgb="FF000000"/>
        <rFont val="WenQuanYi Zen Hei"/>
        <family val="2"/>
      </rPr>
      <t xml:space="preserve">그리 아니하실지라도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</si>
  <si>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새 학기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</si>
  <si>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강하고 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</si>
  <si>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A0437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</si>
  <si>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렘 </t>
    </r>
    <r>
      <rPr>
        <sz val="10"/>
        <color rgb="FF000000"/>
        <rFont val="Arial"/>
        <family val="0"/>
        <charset val="1"/>
      </rPr>
      <t xml:space="preserve">1:1-19 ·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</si>
  <si>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스승의날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</si>
  <si>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가르치고 배우는 사람</t>
  </si>
  <si>
    <r>
      <rPr>
        <sz val="10"/>
        <color rgb="FF000000"/>
        <rFont val="Arial"/>
        <family val="0"/>
        <charset val="1"/>
      </rPr>
      <t xml:space="preserve">A0744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#230,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</si>
  <si>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 · </t>
    </r>
    <r>
      <rPr>
        <sz val="10"/>
        <color rgb="FF000000"/>
        <rFont val="WenQuanYi Zen Hei"/>
        <family val="2"/>
      </rPr>
      <t xml:space="preserve">모든 성경은 하나님의 감동으로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</si>
  <si>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결혼 시즌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</si>
  <si>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하나님이 세우신 가정</t>
  </si>
  <si>
    <r>
      <rPr>
        <sz val="10"/>
        <color rgb="FF000000"/>
        <rFont val="Arial"/>
        <family val="0"/>
        <charset val="1"/>
      </rPr>
      <t xml:space="preserve">A0006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</si>
  <si>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 · </t>
    </r>
    <r>
      <rPr>
        <sz val="10"/>
        <color rgb="FF000000"/>
        <rFont val="WenQuanYi Zen Hei"/>
        <family val="2"/>
      </rPr>
      <t xml:space="preserve">첫 번째 가정
고전 </t>
    </r>
    <r>
      <rPr>
        <sz val="10"/>
        <color rgb="FF000000"/>
        <rFont val="Arial"/>
        <family val="0"/>
        <charset val="1"/>
      </rPr>
      <t xml:space="preserve">13:1-13 · </t>
    </r>
    <r>
      <rPr>
        <sz val="10"/>
        <color rgb="FF000000"/>
        <rFont val="WenQuanYi Zen Hei"/>
        <family val="2"/>
      </rPr>
      <t xml:space="preserve">사랑장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</si>
  <si>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현충일 </t>
    </r>
    <r>
      <rPr>
        <sz val="10"/>
        <color rgb="FF000000"/>
        <rFont val="Arial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</si>
  <si>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친구를 위해 목숨을 버리는 사랑</t>
  </si>
  <si>
    <r>
      <rPr>
        <sz val="10"/>
        <color rgb="FF000000"/>
        <rFont val="Arial"/>
        <family val="0"/>
        <charset val="1"/>
      </rPr>
      <t xml:space="preserve">A0638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A0228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</si>
  <si>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 · </t>
    </r>
    <r>
      <rPr>
        <sz val="10"/>
        <color rgb="FF000000"/>
        <rFont val="WenQuanYi Zen Hei"/>
        <family val="2"/>
      </rPr>
      <t xml:space="preserve">포도나무와 가지
삼상 </t>
    </r>
    <r>
      <rPr>
        <sz val="10"/>
        <color rgb="FF000000"/>
        <rFont val="Arial"/>
        <family val="0"/>
        <charset val="1"/>
      </rPr>
      <t xml:space="preserve">20:1-42 · </t>
    </r>
    <r>
      <rPr>
        <sz val="10"/>
        <color rgb="FF000000"/>
        <rFont val="WenQuanYi Zen Hei"/>
        <family val="2"/>
      </rPr>
      <t xml:space="preserve">요나단의 화살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</si>
  <si>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명절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추석</t>
    </r>
    <r>
      <rPr>
        <sz val="10"/>
        <color rgb="FF000000"/>
        <rFont val="Arial"/>
        <family val="0"/>
        <charset val="1"/>
      </rPr>
      <t xml:space="preserve">)</t>
    </r>
  </si>
  <si>
    <t xml:space="preserve">가족과 화해</t>
  </si>
  <si>
    <r>
      <rPr>
        <sz val="10"/>
        <color rgb="FF000000"/>
        <rFont val="Arial"/>
        <family val="0"/>
        <charset val="1"/>
      </rPr>
      <t xml:space="preserve">A0071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A0608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</si>
  <si>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 · </t>
    </r>
    <r>
      <rPr>
        <sz val="10"/>
        <color rgb="FF000000"/>
        <rFont val="WenQuanYi Zen Hei"/>
        <family val="2"/>
      </rPr>
      <t xml:space="preserve">내가 요셉이라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
눅 </t>
    </r>
    <r>
      <rPr>
        <sz val="10"/>
        <color rgb="FF000000"/>
        <rFont val="Arial"/>
        <family val="0"/>
        <charset val="1"/>
      </rPr>
      <t xml:space="preserve">15:11-32 · </t>
    </r>
    <r>
      <rPr>
        <sz val="10"/>
        <color rgb="FF000000"/>
        <rFont val="WenQuanYi Zen Hei"/>
        <family val="2"/>
      </rPr>
      <t xml:space="preserve">돌아온 아들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</si>
  <si>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수능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중순</t>
    </r>
    <r>
      <rPr>
        <sz val="10"/>
        <color rgb="FF000000"/>
        <rFont val="Arial"/>
        <family val="0"/>
        <charset val="1"/>
      </rPr>
      <t xml:space="preserve">)</t>
    </r>
  </si>
  <si>
    <t xml:space="preserve">수험생 응원</t>
  </si>
  <si>
    <r>
      <rPr>
        <sz val="10"/>
        <color rgb="FF000000"/>
        <rFont val="Arial"/>
        <family val="0"/>
        <charset val="1"/>
      </rPr>
      <t xml:space="preserve">A0474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A0426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</si>
  <si>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 · </t>
    </r>
    <r>
      <rPr>
        <sz val="10"/>
        <color rgb="FF000000"/>
        <rFont val="WenQuanYi Zen Hei"/>
        <family val="2"/>
      </rPr>
      <t xml:space="preserve">뜻을 정한 다니엘
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산을 향하여 눈을 들리라
사 </t>
    </r>
    <r>
      <rPr>
        <sz val="10"/>
        <color rgb="FF000000"/>
        <rFont val="Arial"/>
        <family val="0"/>
        <charset val="1"/>
      </rPr>
      <t xml:space="preserve">40:12-31 · </t>
    </r>
    <r>
      <rPr>
        <sz val="10"/>
        <color rgb="FF000000"/>
        <rFont val="WenQuanYi Zen Hei"/>
        <family val="2"/>
      </rPr>
      <t xml:space="preserve">독수리 날개 치며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</si>
  <si>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군 입대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</si>
  <si>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</si>
  <si>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엡 </t>
    </r>
    <r>
      <rPr>
        <sz val="10"/>
        <color rgb="FF000000"/>
        <rFont val="Arial"/>
        <family val="0"/>
        <charset val="1"/>
      </rPr>
      <t xml:space="preserve">6:10-24 · </t>
    </r>
    <r>
      <rPr>
        <sz val="10"/>
        <color rgb="FF000000"/>
        <rFont val="WenQuanYi Zen Hei"/>
        <family val="2"/>
      </rPr>
      <t xml:space="preserve">하나님의 전신 갑주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</si>
  <si>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</si>
  <si>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표기 통일</t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</si>
  <si>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핵심 구절 자막은 개역한글 원문 표기를 그대로 따름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</si>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</sst>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28</v>
      </c>
      <c r="D12" s="7" t="s">
        <v>19</v>
      </c>
    </row>
    <row r="13" customFormat="false" ht="15" hidden="false" customHeight="false" outlineLevel="0" collapsed="false">
      <c r="A13" s="5" t="s">
        <v>20</v>
      </c>
      <c r="C13" s="6" t="n">
        <v>182</v>
      </c>
      <c r="D13" s="8" t="s">
        <v>21</v>
      </c>
    </row>
    <row r="14" customFormat="false" ht="15" hidden="false" customHeight="false" outlineLevel="0" collapsed="false">
      <c r="A14" s="5" t="s">
        <v>22</v>
      </c>
      <c r="C14" s="6" t="n">
        <v>104</v>
      </c>
      <c r="D14" s="8" t="s">
        <v>23</v>
      </c>
    </row>
    <row r="16" customFormat="false" ht="15" hidden="false" customHeight="false" outlineLevel="0" collapsed="false">
      <c r="A16" s="3" t="s">
        <v>24</v>
      </c>
      <c r="B16" s="4"/>
      <c r="C16" s="4"/>
      <c r="D16" s="4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3" customFormat="false" ht="30" hidden="false" customHeight="true" outlineLevel="0" collapsed="false">
      <c r="A23" s="5" t="s">
        <v>37</v>
      </c>
      <c r="B23" s="10" t="s">
        <v>38</v>
      </c>
      <c r="C23" s="10"/>
      <c r="D23" s="10"/>
    </row>
    <row r="24" customFormat="false" ht="30" hidden="false" customHeight="true" outlineLevel="0" collapsed="false">
      <c r="A24" s="5" t="s">
        <v>39</v>
      </c>
      <c r="B24" s="10" t="s">
        <v>40</v>
      </c>
      <c r="C24" s="10"/>
      <c r="D24" s="10"/>
    </row>
    <row r="25" customFormat="false" ht="30" hidden="false" customHeight="true" outlineLevel="0" collapsed="false">
      <c r="A25" s="5" t="s">
        <v>41</v>
      </c>
      <c r="B25" s="10" t="s">
        <v>42</v>
      </c>
      <c r="C25" s="10"/>
      <c r="D25" s="10"/>
    </row>
    <row r="26" customFormat="false" ht="30" hidden="false" customHeight="true" outlineLevel="0" collapsed="false">
      <c r="A26" s="5" t="s">
        <v>43</v>
      </c>
      <c r="B26" s="10" t="s">
        <v>44</v>
      </c>
      <c r="C26" s="10"/>
      <c r="D26" s="10"/>
    </row>
    <row r="28" customFormat="false" ht="16.4" hidden="false" customHeight="false" outlineLevel="0" collapsed="false">
      <c r="A28" s="3" t="s">
        <v>45</v>
      </c>
      <c r="B28" s="4"/>
      <c r="C28" s="4"/>
      <c r="D28" s="4"/>
    </row>
    <row r="29" customFormat="false" ht="15" hidden="false" customHeight="false" outlineLevel="0" collapsed="false">
      <c r="A29" s="5" t="s">
        <v>46</v>
      </c>
      <c r="C29" s="11" t="n">
        <f aca="false">COUNTA(A타입_제작표!$B$2:$B$799)</f>
        <v>798</v>
      </c>
      <c r="D29" s="7" t="s">
        <v>47</v>
      </c>
    </row>
    <row r="30" customFormat="false" ht="15" hidden="false" customHeight="false" outlineLevel="0" collapsed="false">
      <c r="A30" s="5" t="s">
        <v>48</v>
      </c>
      <c r="C30" s="11" t="str">
        <f aca="false">COUNTIFS(A타입_제작표!$C$2:$C$799,1,A타입_제작표!$D$2:$D$799,"구약")&amp;" / "&amp;COUNTIFS(A타입_제작표!$C$2:$C$799,1,A타입_제작표!$D$2:$D$799,"신약")</f>
        <v>182 / 104</v>
      </c>
      <c r="D30" s="7" t="s">
        <v>47</v>
      </c>
    </row>
    <row r="31" customFormat="false" ht="15" hidden="false" customHeight="false" outlineLevel="0" collapsed="false">
      <c r="A31" s="5" t="s">
        <v>49</v>
      </c>
      <c r="C31" s="11" t="str">
        <f aca="false">COUNTIFS(A타입_제작표!$C$2:$C$799,2,A타입_제작표!$D$2:$D$799,"구약")&amp;" / "&amp;COUNTIFS(A타입_제작표!$C$2:$C$799,2,A타입_제작표!$D$2:$D$799,"신약")</f>
        <v>339 / 173</v>
      </c>
      <c r="D31" s="7" t="s">
        <v>47</v>
      </c>
    </row>
    <row r="32" customFormat="false" ht="15" hidden="false" customHeight="false" outlineLevel="0" collapsed="false">
      <c r="A32" s="5" t="s">
        <v>50</v>
      </c>
      <c r="C32" s="12" t="n">
        <f aca="false">_xlfn.MAXIFS(A타입_제작표!$U$2:$U$799,A타입_제작표!$C$2:$C$799,1)</f>
        <v>46572</v>
      </c>
      <c r="D32" s="7"/>
    </row>
    <row r="33" customFormat="false" ht="15" hidden="false" customHeight="false" outlineLevel="0" collapsed="false">
      <c r="A33" s="5" t="s">
        <v>51</v>
      </c>
      <c r="C33" s="12" t="n">
        <f aca="false">_xlfn.MAXIFS(A타입_제작표!$U$2:$U$799,A타입_제작표!$C$2:$C$799,2)</f>
        <v>46918</v>
      </c>
      <c r="D33" s="7"/>
    </row>
    <row r="34" customFormat="false" ht="15" hidden="false" customHeight="false" outlineLevel="0" collapsed="false">
      <c r="A34" s="5" t="s">
        <v>52</v>
      </c>
      <c r="C34" s="11" t="n">
        <f aca="false">ROUND((C32-안내!$C$9+1)/7,1)</f>
        <v>26</v>
      </c>
      <c r="D34" s="7" t="s">
        <v>53</v>
      </c>
    </row>
    <row r="35" customFormat="false" ht="15" hidden="false" customHeight="false" outlineLevel="0" collapsed="false">
      <c r="A35" s="5" t="s">
        <v>54</v>
      </c>
      <c r="C35" s="11" t="n">
        <f aca="false">ROUND((C33-안내!$C$9+1)/7,1)</f>
        <v>75.4</v>
      </c>
      <c r="D35" s="7" t="s">
        <v>55</v>
      </c>
    </row>
    <row r="36" customFormat="false" ht="15" hidden="false" customHeight="false" outlineLevel="0" collapsed="false">
      <c r="A36" s="5" t="s">
        <v>56</v>
      </c>
      <c r="C36" s="11" t="n">
        <f aca="false">COUNTA(롱폼_시즌별!$B$2:$B$84)</f>
        <v>83</v>
      </c>
      <c r="D36" s="7" t="s">
        <v>47</v>
      </c>
    </row>
    <row r="37" customFormat="false" ht="15" hidden="false" customHeight="false" outlineLevel="0" collapsed="false">
      <c r="A37" s="5" t="s">
        <v>57</v>
      </c>
      <c r="C37" s="11" t="n">
        <f aca="false">COUNTA(롱폼_통합본!$B$2:$B$85)</f>
        <v>84</v>
      </c>
      <c r="D37" s="7" t="s">
        <v>47</v>
      </c>
    </row>
    <row r="38" customFormat="false" ht="15" hidden="false" customHeight="false" outlineLevel="0" collapsed="false">
      <c r="A38" s="5" t="s">
        <v>58</v>
      </c>
      <c r="C38" s="11" t="n">
        <f aca="false">COUNTIF(시편_시리즈!$E$2:$E$151,"신규 제작*")</f>
        <v>150</v>
      </c>
      <c r="D38" s="7" t="s">
        <v>59</v>
      </c>
    </row>
    <row r="39" customFormat="false" ht="15" hidden="false" customHeight="false" outlineLevel="0" collapsed="false">
      <c r="A39" s="5" t="s">
        <v>60</v>
      </c>
      <c r="C39" s="12" t="n">
        <f aca="false">MAX(시편_시리즈!$Q$2:$Q$151)</f>
        <v>46740</v>
      </c>
      <c r="D39" s="7"/>
    </row>
    <row r="40" customFormat="false" ht="15" hidden="false" customHeight="false" outlineLevel="0" collapsed="false">
      <c r="A40" s="5" t="s">
        <v>61</v>
      </c>
      <c r="C40" s="11" t="n">
        <f aca="false">COUNTIFS(A타입_제작표!$C$2:$C$799,1,A타입_제작표!$AJ$2:$AJ$799,"시즌 시작 전 제작")</f>
        <v>44</v>
      </c>
      <c r="D40" s="7" t="s">
        <v>47</v>
      </c>
    </row>
    <row r="41" customFormat="false" ht="15" hidden="false" customHeight="false" outlineLevel="0" collapsed="false">
      <c r="A41" s="5" t="s">
        <v>62</v>
      </c>
      <c r="C41" s="11" t="n">
        <f aca="false">COUNTIF(시편_시리즈!$AA$2:$AA$151,"시작 전 제작")</f>
        <v>12</v>
      </c>
      <c r="D41" s="7" t="s">
        <v>47</v>
      </c>
    </row>
    <row r="42" customFormat="false" ht="15" hidden="false" customHeight="false" outlineLevel="0" collapsed="false">
      <c r="A42" s="5" t="s">
        <v>63</v>
      </c>
      <c r="C42" s="11" t="n">
        <f aca="false">ROUND(C29*안내!$C$6/3600,1)</f>
        <v>13.3</v>
      </c>
      <c r="D42" s="7" t="s">
        <v>64</v>
      </c>
    </row>
    <row r="44" customFormat="false" ht="15" hidden="false" customHeight="false" outlineLevel="0" collapsed="false">
      <c r="A44" s="3" t="s">
        <v>65</v>
      </c>
      <c r="B44" s="4"/>
      <c r="C44" s="4"/>
      <c r="D44" s="4"/>
    </row>
    <row r="45" customFormat="false" ht="30" hidden="false" customHeight="true" outlineLevel="0" collapsed="false">
      <c r="A45" s="13" t="s">
        <v>66</v>
      </c>
      <c r="B45" s="14" t="s">
        <v>67</v>
      </c>
      <c r="C45" s="14"/>
      <c r="D45" s="14"/>
    </row>
    <row r="46" customFormat="false" ht="30" hidden="false" customHeight="true" outlineLevel="0" collapsed="false">
      <c r="A46" s="5" t="s">
        <v>43</v>
      </c>
      <c r="B46" s="14" t="s">
        <v>68</v>
      </c>
      <c r="C46" s="14"/>
      <c r="D46" s="14"/>
    </row>
    <row r="47" customFormat="false" ht="30" hidden="false" customHeight="true" outlineLevel="0" collapsed="false">
      <c r="A47" s="5" t="s">
        <v>69</v>
      </c>
      <c r="B47" s="10" t="s">
        <v>70</v>
      </c>
      <c r="C47" s="10"/>
      <c r="D47" s="10"/>
    </row>
    <row r="48" customFormat="false" ht="30" hidden="false" customHeight="true" outlineLevel="0" collapsed="false">
      <c r="A48" s="5" t="s">
        <v>71</v>
      </c>
      <c r="B48" s="10" t="s">
        <v>72</v>
      </c>
      <c r="C48" s="10"/>
      <c r="D48" s="10"/>
    </row>
    <row r="49" customFormat="false" ht="30" hidden="false" customHeight="true" outlineLevel="0" collapsed="false">
      <c r="A49" s="5" t="s">
        <v>73</v>
      </c>
      <c r="B49" s="10" t="s">
        <v>74</v>
      </c>
      <c r="C49" s="10"/>
      <c r="D49" s="10"/>
    </row>
    <row r="50" customFormat="false" ht="30" hidden="false" customHeight="true" outlineLevel="0" collapsed="false">
      <c r="A50" s="5" t="s">
        <v>75</v>
      </c>
      <c r="B50" s="10" t="s">
        <v>76</v>
      </c>
      <c r="C50" s="10"/>
      <c r="D50" s="10"/>
    </row>
    <row r="51" customFormat="false" ht="60" hidden="false" customHeight="true" outlineLevel="0" collapsed="false">
      <c r="A51" s="5" t="s">
        <v>77</v>
      </c>
      <c r="B51" s="10" t="s">
        <v>78</v>
      </c>
      <c r="C51" s="10"/>
      <c r="D51" s="10"/>
    </row>
    <row r="53" customFormat="false" ht="15" hidden="false" customHeight="false" outlineLevel="0" collapsed="false">
      <c r="A53" s="3" t="s">
        <v>79</v>
      </c>
      <c r="B53" s="4"/>
      <c r="C53" s="4"/>
      <c r="D53" s="4"/>
    </row>
    <row r="54" customFormat="false" ht="26.85" hidden="false" customHeight="true" outlineLevel="0" collapsed="false">
      <c r="A54" s="13" t="s">
        <v>80</v>
      </c>
      <c r="B54" s="10" t="s">
        <v>81</v>
      </c>
      <c r="C54" s="10"/>
      <c r="D54" s="10"/>
    </row>
    <row r="55" customFormat="false" ht="15" hidden="false" customHeight="true" outlineLevel="0" collapsed="false">
      <c r="A55" s="5" t="s">
        <v>82</v>
      </c>
      <c r="B55" s="10" t="s">
        <v>83</v>
      </c>
      <c r="C55" s="10"/>
      <c r="D55" s="10"/>
    </row>
    <row r="56" customFormat="false" ht="15" hidden="false" customHeight="true" outlineLevel="0" collapsed="false">
      <c r="A56" s="5" t="s">
        <v>84</v>
      </c>
      <c r="B56" s="10" t="s">
        <v>85</v>
      </c>
      <c r="C56" s="10"/>
      <c r="D56" s="10"/>
    </row>
    <row r="57" customFormat="false" ht="15" hidden="false" customHeight="true" outlineLevel="0" collapsed="false">
      <c r="A57" s="5" t="s">
        <v>86</v>
      </c>
      <c r="B57" s="10" t="s">
        <v>87</v>
      </c>
      <c r="C57" s="10"/>
      <c r="D57" s="10"/>
    </row>
    <row r="58" customFormat="false" ht="15" hidden="false" customHeight="true" outlineLevel="0" collapsed="false">
      <c r="A58" s="5" t="s">
        <v>88</v>
      </c>
      <c r="B58" s="10" t="s">
        <v>89</v>
      </c>
      <c r="C58" s="10"/>
      <c r="D58" s="10"/>
    </row>
    <row r="59" customFormat="false" ht="15" hidden="false" customHeight="true" outlineLevel="0" collapsed="false">
      <c r="A59" s="5" t="s">
        <v>90</v>
      </c>
      <c r="B59" s="10" t="s">
        <v>91</v>
      </c>
      <c r="C59" s="10"/>
      <c r="D59" s="10"/>
    </row>
    <row r="60" customFormat="false" ht="15" hidden="false" customHeight="true" outlineLevel="0" collapsed="false">
      <c r="A60" s="5" t="s">
        <v>92</v>
      </c>
      <c r="B60" s="10" t="s">
        <v>93</v>
      </c>
      <c r="C60" s="10"/>
      <c r="D60" s="10"/>
    </row>
    <row r="61" customFormat="false" ht="15" hidden="false" customHeight="true" outlineLevel="0" collapsed="false">
      <c r="A61" s="5" t="s">
        <v>94</v>
      </c>
      <c r="B61" s="10" t="s">
        <v>95</v>
      </c>
      <c r="C61" s="10"/>
      <c r="D61" s="10"/>
    </row>
    <row r="62" customFormat="false" ht="15" hidden="false" customHeight="true" outlineLevel="0" collapsed="false">
      <c r="A62" s="5" t="s">
        <v>96</v>
      </c>
      <c r="B62" s="10" t="s">
        <v>97</v>
      </c>
      <c r="C62" s="10"/>
      <c r="D62" s="10"/>
    </row>
    <row r="63" customFormat="false" ht="15" hidden="false" customHeight="true" outlineLevel="0" collapsed="false">
      <c r="A63" s="5" t="s">
        <v>98</v>
      </c>
      <c r="B63" s="14" t="s">
        <v>99</v>
      </c>
      <c r="C63" s="14"/>
      <c r="D63" s="14"/>
    </row>
    <row r="64" customFormat="false" ht="15" hidden="false" customHeight="true" outlineLevel="0" collapsed="false">
      <c r="A64" s="5" t="s">
        <v>100</v>
      </c>
      <c r="B64" s="10" t="s">
        <v>101</v>
      </c>
      <c r="C64" s="10"/>
      <c r="D64" s="10"/>
    </row>
    <row r="65" customFormat="false" ht="15" hidden="false" customHeight="true" outlineLevel="0" collapsed="false">
      <c r="A65" s="5" t="s">
        <v>102</v>
      </c>
      <c r="B65" s="10" t="s">
        <v>103</v>
      </c>
      <c r="C65" s="10"/>
      <c r="D65" s="10"/>
    </row>
    <row r="66" customFormat="false" ht="15" hidden="false" customHeight="true" outlineLevel="0" collapsed="false">
      <c r="A66" s="5" t="s">
        <v>104</v>
      </c>
      <c r="B66" s="14" t="s">
        <v>105</v>
      </c>
      <c r="C66" s="14"/>
      <c r="D66" s="14"/>
    </row>
    <row r="67" customFormat="false" ht="15" hidden="false" customHeight="true" outlineLevel="0" collapsed="false">
      <c r="A67" s="5" t="s">
        <v>106</v>
      </c>
      <c r="B67" s="10" t="s">
        <v>107</v>
      </c>
      <c r="C67" s="10"/>
      <c r="D67" s="10"/>
    </row>
    <row r="68" customFormat="false" ht="15" hidden="false" customHeight="true" outlineLevel="0" collapsed="false">
      <c r="A68" s="5" t="s">
        <v>108</v>
      </c>
      <c r="B68" s="10" t="s">
        <v>109</v>
      </c>
      <c r="C68" s="10"/>
      <c r="D68" s="10"/>
    </row>
    <row r="69" customFormat="false" ht="15" hidden="false" customHeight="true" outlineLevel="0" collapsed="false">
      <c r="A69" s="5" t="s">
        <v>110</v>
      </c>
      <c r="B69" s="10" t="s">
        <v>111</v>
      </c>
      <c r="C69" s="10"/>
      <c r="D69" s="10"/>
    </row>
    <row r="71" customFormat="false" ht="15" hidden="false" customHeight="false" outlineLevel="0" collapsed="false">
      <c r="A71" s="15" t="s">
        <v>112</v>
      </c>
    </row>
    <row r="72" customFormat="false" ht="15" hidden="false" customHeight="false" outlineLevel="0" collapsed="false">
      <c r="A72" s="7" t="s">
        <v>113</v>
      </c>
    </row>
  </sheetData>
  <mergeCells count="33"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45:D45"/>
    <mergeCell ref="B46:D46"/>
    <mergeCell ref="B47:D47"/>
    <mergeCell ref="B48:D48"/>
    <mergeCell ref="B49:D49"/>
    <mergeCell ref="B50:D50"/>
    <mergeCell ref="B51:D5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  <col collapsed="false" customWidth="true" hidden="false" outlineLevel="0" max="31" min="31" style="0" width="44"/>
    <col collapsed="false" customWidth="true" hidden="false" outlineLevel="0" max="33" min="32" style="0" width="36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14"/>
    <col collapsed="false" customWidth="true" hidden="false" outlineLevel="0" max="37" min="37" style="0" width="16"/>
    <col collapsed="false" customWidth="true" hidden="false" outlineLevel="0" max="40" min="38" style="0" width="9"/>
    <col collapsed="false" customWidth="true" hidden="false" outlineLevel="0" max="41" min="41" style="0" width="8"/>
    <col collapsed="false" customWidth="true" hidden="false" outlineLevel="0" max="42" min="42" style="0" width="9"/>
    <col collapsed="false" customWidth="true" hidden="false" outlineLevel="0" max="43" min="43" style="0" width="14"/>
    <col collapsed="false" customWidth="true" hidden="false" outlineLevel="0" max="44" min="44" style="0" width="60"/>
    <col collapsed="false" customWidth="true" hidden="false" outlineLevel="0" max="45" min="45" style="0" width="20"/>
  </cols>
  <sheetData>
    <row r="1" customFormat="false" ht="30" hidden="false" customHeight="true" outlineLevel="0" collapsed="false">
      <c r="A1" s="16" t="s">
        <v>114</v>
      </c>
      <c r="B1" s="17" t="s">
        <v>115</v>
      </c>
      <c r="C1" s="16" t="s">
        <v>116</v>
      </c>
      <c r="D1" s="16" t="s">
        <v>117</v>
      </c>
      <c r="E1" s="16" t="s">
        <v>118</v>
      </c>
      <c r="F1" s="16" t="s">
        <v>119</v>
      </c>
      <c r="G1" s="16" t="s">
        <v>120</v>
      </c>
      <c r="H1" s="16" t="s">
        <v>121</v>
      </c>
      <c r="I1" s="16" t="s">
        <v>122</v>
      </c>
      <c r="J1" s="16" t="s">
        <v>123</v>
      </c>
      <c r="K1" s="16" t="s">
        <v>124</v>
      </c>
      <c r="L1" s="16" t="s">
        <v>125</v>
      </c>
      <c r="M1" s="16" t="s">
        <v>126</v>
      </c>
      <c r="N1" s="16" t="s">
        <v>127</v>
      </c>
      <c r="O1" s="16" t="s">
        <v>128</v>
      </c>
      <c r="P1" s="16" t="s">
        <v>129</v>
      </c>
      <c r="Q1" s="16" t="s">
        <v>130</v>
      </c>
      <c r="R1" s="16" t="s">
        <v>131</v>
      </c>
      <c r="S1" s="16" t="s">
        <v>132</v>
      </c>
      <c r="T1" s="16" t="s">
        <v>133</v>
      </c>
      <c r="U1" s="16" t="s">
        <v>134</v>
      </c>
      <c r="V1" s="16" t="s">
        <v>135</v>
      </c>
      <c r="W1" s="16" t="s">
        <v>136</v>
      </c>
      <c r="X1" s="16" t="s">
        <v>137</v>
      </c>
      <c r="Y1" s="16" t="s">
        <v>138</v>
      </c>
      <c r="Z1" s="16" t="s">
        <v>139</v>
      </c>
      <c r="AA1" s="16" t="s">
        <v>140</v>
      </c>
      <c r="AB1" s="16" t="s">
        <v>141</v>
      </c>
      <c r="AC1" s="16" t="s">
        <v>142</v>
      </c>
      <c r="AD1" s="16" t="s">
        <v>143</v>
      </c>
      <c r="AE1" s="16" t="s">
        <v>144</v>
      </c>
      <c r="AF1" s="16" t="s">
        <v>145</v>
      </c>
      <c r="AG1" s="16" t="s">
        <v>146</v>
      </c>
      <c r="AH1" s="16" t="s">
        <v>147</v>
      </c>
      <c r="AI1" s="16" t="s">
        <v>148</v>
      </c>
      <c r="AJ1" s="16" t="s">
        <v>149</v>
      </c>
      <c r="AK1" s="16" t="s">
        <v>150</v>
      </c>
      <c r="AL1" s="16" t="s">
        <v>151</v>
      </c>
      <c r="AM1" s="16" t="s">
        <v>152</v>
      </c>
      <c r="AN1" s="16" t="s">
        <v>153</v>
      </c>
      <c r="AO1" s="16" t="s">
        <v>154</v>
      </c>
      <c r="AP1" s="16" t="s">
        <v>155</v>
      </c>
      <c r="AQ1" s="16" t="s">
        <v>156</v>
      </c>
      <c r="AR1" s="16" t="s">
        <v>157</v>
      </c>
      <c r="AS1" s="16" t="s">
        <v>158</v>
      </c>
    </row>
    <row r="2" customFormat="false" ht="26.85" hidden="false" customHeight="false" outlineLevel="0" collapsed="false">
      <c r="A2" s="18" t="n">
        <v>1</v>
      </c>
      <c r="B2" s="18" t="s">
        <v>159</v>
      </c>
      <c r="C2" s="19" t="n">
        <v>1</v>
      </c>
      <c r="D2" s="20" t="s">
        <v>160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161</v>
      </c>
      <c r="H2" s="18" t="s">
        <v>162</v>
      </c>
      <c r="I2" s="21" t="s">
        <v>163</v>
      </c>
      <c r="J2" s="22" t="s">
        <v>164</v>
      </c>
      <c r="K2" s="23" t="s">
        <v>165</v>
      </c>
      <c r="L2" s="24" t="s">
        <v>166</v>
      </c>
      <c r="M2" s="24" t="s">
        <v>167</v>
      </c>
      <c r="N2" s="23" t="s">
        <v>168</v>
      </c>
      <c r="O2" s="24" t="s">
        <v>169</v>
      </c>
      <c r="P2" s="24" t="s">
        <v>170</v>
      </c>
      <c r="Q2" s="24" t="s">
        <v>171</v>
      </c>
      <c r="R2" s="25" t="s">
        <v>172</v>
      </c>
      <c r="S2" s="24" t="s">
        <v>173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174</v>
      </c>
      <c r="Y2" s="23" t="s">
        <v>174</v>
      </c>
      <c r="Z2" s="23" t="s">
        <v>174</v>
      </c>
      <c r="AA2" s="23" t="s">
        <v>174</v>
      </c>
      <c r="AB2" s="24"/>
      <c r="AC2" s="23" t="str">
        <f aca="false">D2&amp;"#"&amp;E2</f>
        <v>구약#1</v>
      </c>
      <c r="AD2" s="23" t="n">
        <f aca="false">COUNTIFS($C$2:C2,C2,$D$2:D2,D2)</f>
        <v>1</v>
      </c>
      <c r="AE2" s="24" t="str">
        <f aca="false">M2&amp;" | 창세기 1장 #"&amp;SUBSTITUTE(안내!$C$5," ","")</f>
        <v>세상이 생기기 전엔 무엇이 있었을까? | 창세기 1장 #1분성경</v>
      </c>
      <c r="AF2" s="24" t="s">
        <v>175</v>
      </c>
      <c r="AG2" s="24"/>
      <c r="AH2" s="23" t="s">
        <v>176</v>
      </c>
      <c r="AI2" s="26" t="n">
        <f aca="false">U2-안내!$C$12</f>
        <v>46363</v>
      </c>
      <c r="AJ2" s="23" t="str">
        <f aca="false">IF(U2&lt;IF(C2=1,안내!$C$9,안내!$C$10)+안내!$C$12,"시즌 시작 전 제작","")</f>
        <v>시즌 시작 전 제작</v>
      </c>
      <c r="AK2" s="24"/>
      <c r="AL2" s="27"/>
      <c r="AM2" s="27"/>
      <c r="AN2" s="27"/>
      <c r="AO2" s="27"/>
      <c r="AP2" s="27"/>
      <c r="AQ2" s="23" t="str">
        <f aca="false">D2&amp;"|"&amp;TEXT(U2,"yyyy-mm-dd")</f>
        <v>구약|2027-01-04</v>
      </c>
      <c r="AR2" s="24" t="s">
        <v>177</v>
      </c>
      <c r="AS2" s="24"/>
    </row>
    <row r="3" customFormat="false" ht="26.85" hidden="false" customHeight="false" outlineLevel="0" collapsed="false">
      <c r="A3" s="21" t="n">
        <v>2</v>
      </c>
      <c r="B3" s="18" t="s">
        <v>178</v>
      </c>
      <c r="C3" s="20" t="n">
        <v>1</v>
      </c>
      <c r="D3" s="20" t="s">
        <v>160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161</v>
      </c>
      <c r="H3" s="18" t="s">
        <v>162</v>
      </c>
      <c r="I3" s="21" t="s">
        <v>163</v>
      </c>
      <c r="J3" s="22" t="s">
        <v>179</v>
      </c>
      <c r="K3" s="23" t="s">
        <v>165</v>
      </c>
      <c r="L3" s="24" t="s">
        <v>180</v>
      </c>
      <c r="M3" s="24" t="s">
        <v>181</v>
      </c>
      <c r="N3" s="23" t="s">
        <v>182</v>
      </c>
      <c r="O3" s="24" t="s">
        <v>183</v>
      </c>
      <c r="P3" s="24" t="s">
        <v>184</v>
      </c>
      <c r="Q3" s="24" t="s">
        <v>185</v>
      </c>
      <c r="R3" s="25" t="s">
        <v>186</v>
      </c>
      <c r="S3" s="24" t="s">
        <v>173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174</v>
      </c>
      <c r="Y3" s="23" t="s">
        <v>174</v>
      </c>
      <c r="Z3" s="23" t="s">
        <v>174</v>
      </c>
      <c r="AA3" s="23" t="s">
        <v>174</v>
      </c>
      <c r="AB3" s="24"/>
      <c r="AC3" s="23" t="str">
        <f aca="false">D3&amp;"#"&amp;E3</f>
        <v>구약#2</v>
      </c>
      <c r="AD3" s="23" t="n">
        <f aca="false">COUNTIFS($C$2:C3,C3,$D$2:D3,D3)</f>
        <v>2</v>
      </c>
      <c r="AE3" s="24" t="str">
        <f aca="false">M3&amp;" | 창세기 1장 #"&amp;SUBSTITUTE(안내!$C$5," ","")</f>
        <v>하나님이 바다를 한쪽으로 모으셨다? | 창세기 1장 #1분성경</v>
      </c>
      <c r="AF3" s="24" t="s">
        <v>187</v>
      </c>
      <c r="AG3" s="24" t="s">
        <v>188</v>
      </c>
      <c r="AH3" s="23" t="s">
        <v>176</v>
      </c>
      <c r="AI3" s="26" t="n">
        <f aca="false">U3-안내!$C$12</f>
        <v>46364</v>
      </c>
      <c r="AJ3" s="23" t="str">
        <f aca="false">IF(U3&lt;IF(C3=1,안내!$C$9,안내!$C$10)+안내!$C$12,"시즌 시작 전 제작","")</f>
        <v>시즌 시작 전 제작</v>
      </c>
      <c r="AK3" s="24"/>
      <c r="AL3" s="27"/>
      <c r="AM3" s="27"/>
      <c r="AN3" s="27"/>
      <c r="AO3" s="27"/>
      <c r="AP3" s="27"/>
      <c r="AQ3" s="23" t="str">
        <f aca="false">D3&amp;"|"&amp;TEXT(U3,"yyyy-mm-dd")</f>
        <v>구약|2027-01-05</v>
      </c>
      <c r="AR3" s="24" t="s">
        <v>189</v>
      </c>
      <c r="AS3" s="24"/>
    </row>
    <row r="4" customFormat="false" ht="26.85" hidden="false" customHeight="false" outlineLevel="0" collapsed="false">
      <c r="A4" s="21" t="n">
        <v>3</v>
      </c>
      <c r="B4" s="18" t="s">
        <v>190</v>
      </c>
      <c r="C4" s="20" t="n">
        <v>1</v>
      </c>
      <c r="D4" s="20" t="s">
        <v>160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161</v>
      </c>
      <c r="H4" s="18" t="s">
        <v>162</v>
      </c>
      <c r="I4" s="21" t="s">
        <v>163</v>
      </c>
      <c r="J4" s="22" t="s">
        <v>191</v>
      </c>
      <c r="K4" s="23" t="s">
        <v>165</v>
      </c>
      <c r="L4" s="24" t="s">
        <v>192</v>
      </c>
      <c r="M4" s="24" t="s">
        <v>193</v>
      </c>
      <c r="N4" s="23" t="s">
        <v>194</v>
      </c>
      <c r="O4" s="24" t="s">
        <v>195</v>
      </c>
      <c r="P4" s="24" t="s">
        <v>184</v>
      </c>
      <c r="Q4" s="24" t="s">
        <v>196</v>
      </c>
      <c r="R4" s="24"/>
      <c r="S4" s="24" t="s">
        <v>173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174</v>
      </c>
      <c r="Y4" s="23" t="s">
        <v>174</v>
      </c>
      <c r="Z4" s="23" t="s">
        <v>174</v>
      </c>
      <c r="AA4" s="23" t="s">
        <v>174</v>
      </c>
      <c r="AB4" s="24"/>
      <c r="AC4" s="23" t="str">
        <f aca="false">D4&amp;"#"&amp;E4</f>
        <v>구약#3</v>
      </c>
      <c r="AD4" s="23" t="n">
        <f aca="false">COUNTIFS($C$2:C4,C4,$D$2:D4,D4)</f>
        <v>3</v>
      </c>
      <c r="AE4" s="24" t="str">
        <f aca="false">M4&amp;" | 창세기 1장 #"&amp;SUBSTITUTE(안내!$C$5," ","")</f>
        <v>해보다 식물이 먼저 만들어졌다? | 창세기 1장 #1분성경</v>
      </c>
      <c r="AF4" s="24" t="s">
        <v>197</v>
      </c>
      <c r="AG4" s="24"/>
      <c r="AH4" s="23" t="s">
        <v>176</v>
      </c>
      <c r="AI4" s="26" t="n">
        <f aca="false">U4-안내!$C$12</f>
        <v>46365</v>
      </c>
      <c r="AJ4" s="23" t="str">
        <f aca="false">IF(U4&lt;IF(C4=1,안내!$C$9,안내!$C$10)+안내!$C$12,"시즌 시작 전 제작","")</f>
        <v>시즌 시작 전 제작</v>
      </c>
      <c r="AK4" s="24"/>
      <c r="AL4" s="27"/>
      <c r="AM4" s="27"/>
      <c r="AN4" s="27"/>
      <c r="AO4" s="27"/>
      <c r="AP4" s="27"/>
      <c r="AQ4" s="23" t="str">
        <f aca="false">D4&amp;"|"&amp;TEXT(U4,"yyyy-mm-dd")</f>
        <v>구약|2027-01-06</v>
      </c>
      <c r="AR4" s="24" t="s">
        <v>198</v>
      </c>
      <c r="AS4" s="24"/>
    </row>
    <row r="5" customFormat="false" ht="26.85" hidden="false" customHeight="false" outlineLevel="0" collapsed="false">
      <c r="A5" s="21" t="n">
        <v>4</v>
      </c>
      <c r="B5" s="18" t="s">
        <v>199</v>
      </c>
      <c r="C5" s="20" t="n">
        <v>1</v>
      </c>
      <c r="D5" s="20" t="s">
        <v>160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161</v>
      </c>
      <c r="H5" s="18" t="s">
        <v>162</v>
      </c>
      <c r="I5" s="21" t="s">
        <v>163</v>
      </c>
      <c r="J5" s="22" t="s">
        <v>200</v>
      </c>
      <c r="K5" s="23" t="s">
        <v>165</v>
      </c>
      <c r="L5" s="24" t="s">
        <v>201</v>
      </c>
      <c r="M5" s="24" t="s">
        <v>202</v>
      </c>
      <c r="N5" s="23" t="s">
        <v>203</v>
      </c>
      <c r="O5" s="24" t="s">
        <v>204</v>
      </c>
      <c r="P5" s="24" t="s">
        <v>205</v>
      </c>
      <c r="Q5" s="24" t="s">
        <v>206</v>
      </c>
      <c r="R5" s="25" t="s">
        <v>207</v>
      </c>
      <c r="S5" s="24" t="s">
        <v>173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174</v>
      </c>
      <c r="Y5" s="23" t="s">
        <v>174</v>
      </c>
      <c r="Z5" s="23" t="s">
        <v>174</v>
      </c>
      <c r="AA5" s="23" t="s">
        <v>174</v>
      </c>
      <c r="AB5" s="24"/>
      <c r="AC5" s="23" t="str">
        <f aca="false">D5&amp;"#"&amp;E5</f>
        <v>구약#4</v>
      </c>
      <c r="AD5" s="23" t="n">
        <f aca="false">COUNTIFS($C$2:C5,C5,$D$2:D5,D5)</f>
        <v>4</v>
      </c>
      <c r="AE5" s="24" t="str">
        <f aca="false">M5&amp;" | 창세기 1~2장 #"&amp;SUBSTITUTE(안내!$C$5," ","")</f>
        <v>사람만 특별하게 만드신 이유가 있다? | 창세기 1~2장 #1분성경</v>
      </c>
      <c r="AF5" s="24" t="s">
        <v>208</v>
      </c>
      <c r="AG5" s="24" t="s">
        <v>209</v>
      </c>
      <c r="AH5" s="23" t="s">
        <v>176</v>
      </c>
      <c r="AI5" s="26" t="n">
        <f aca="false">U5-안내!$C$12</f>
        <v>46366</v>
      </c>
      <c r="AJ5" s="23" t="str">
        <f aca="false">IF(U5&lt;IF(C5=1,안내!$C$9,안내!$C$10)+안내!$C$12,"시즌 시작 전 제작","")</f>
        <v>시즌 시작 전 제작</v>
      </c>
      <c r="AK5" s="24"/>
      <c r="AL5" s="27"/>
      <c r="AM5" s="27"/>
      <c r="AN5" s="27"/>
      <c r="AO5" s="27"/>
      <c r="AP5" s="27"/>
      <c r="AQ5" s="23" t="str">
        <f aca="false">D5&amp;"|"&amp;TEXT(U5,"yyyy-mm-dd")</f>
        <v>구약|2027-01-07</v>
      </c>
      <c r="AR5" s="24" t="s">
        <v>210</v>
      </c>
      <c r="AS5" s="24"/>
    </row>
    <row r="6" customFormat="false" ht="26.85" hidden="false" customHeight="false" outlineLevel="0" collapsed="false">
      <c r="A6" s="21" t="n">
        <v>5</v>
      </c>
      <c r="B6" s="18" t="s">
        <v>211</v>
      </c>
      <c r="C6" s="20" t="n">
        <v>1</v>
      </c>
      <c r="D6" s="20" t="s">
        <v>160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161</v>
      </c>
      <c r="H6" s="18" t="s">
        <v>162</v>
      </c>
      <c r="I6" s="21" t="s">
        <v>163</v>
      </c>
      <c r="J6" s="22" t="s">
        <v>212</v>
      </c>
      <c r="K6" s="23" t="s">
        <v>165</v>
      </c>
      <c r="L6" s="24" t="s">
        <v>213</v>
      </c>
      <c r="M6" s="24" t="s">
        <v>214</v>
      </c>
      <c r="N6" s="23" t="s">
        <v>215</v>
      </c>
      <c r="O6" s="24" t="s">
        <v>216</v>
      </c>
      <c r="P6" s="24" t="s">
        <v>217</v>
      </c>
      <c r="Q6" s="24" t="s">
        <v>218</v>
      </c>
      <c r="R6" s="25" t="s">
        <v>219</v>
      </c>
      <c r="S6" s="24" t="s">
        <v>173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174</v>
      </c>
      <c r="Y6" s="23" t="s">
        <v>174</v>
      </c>
      <c r="Z6" s="23" t="s">
        <v>174</v>
      </c>
      <c r="AA6" s="23" t="s">
        <v>174</v>
      </c>
      <c r="AB6" s="24"/>
      <c r="AC6" s="23" t="str">
        <f aca="false">D6&amp;"#"&amp;E6</f>
        <v>구약#5</v>
      </c>
      <c r="AD6" s="23" t="n">
        <f aca="false">COUNTIFS($C$2:C6,C6,$D$2:D6,D6)</f>
        <v>5</v>
      </c>
      <c r="AE6" s="24" t="str">
        <f aca="false">M6&amp;" | 창세기 2장 #"&amp;SUBSTITUTE(안내!$C$5," ","")</f>
        <v>딱 하나만 먹지 말라고 하신 이유는? | 창세기 2장 #1분성경</v>
      </c>
      <c r="AF6" s="24" t="s">
        <v>220</v>
      </c>
      <c r="AG6" s="24" t="s">
        <v>221</v>
      </c>
      <c r="AH6" s="23" t="s">
        <v>176</v>
      </c>
      <c r="AI6" s="26" t="n">
        <f aca="false">U6-안내!$C$12</f>
        <v>46367</v>
      </c>
      <c r="AJ6" s="23" t="str">
        <f aca="false">IF(U6&lt;IF(C6=1,안내!$C$9,안내!$C$10)+안내!$C$12,"시즌 시작 전 제작","")</f>
        <v>시즌 시작 전 제작</v>
      </c>
      <c r="AK6" s="24"/>
      <c r="AL6" s="27"/>
      <c r="AM6" s="27"/>
      <c r="AN6" s="27"/>
      <c r="AO6" s="27"/>
      <c r="AP6" s="27"/>
      <c r="AQ6" s="23" t="str">
        <f aca="false">D6&amp;"|"&amp;TEXT(U6,"yyyy-mm-dd")</f>
        <v>구약|2027-01-08</v>
      </c>
      <c r="AR6" s="24" t="s">
        <v>222</v>
      </c>
      <c r="AS6" s="24"/>
    </row>
    <row r="7" customFormat="false" ht="26.85" hidden="false" customHeight="false" outlineLevel="0" collapsed="false">
      <c r="A7" s="21" t="n">
        <v>6</v>
      </c>
      <c r="B7" s="18" t="s">
        <v>223</v>
      </c>
      <c r="C7" s="20" t="n">
        <v>1</v>
      </c>
      <c r="D7" s="20" t="s">
        <v>160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161</v>
      </c>
      <c r="H7" s="18" t="s">
        <v>162</v>
      </c>
      <c r="I7" s="21" t="s">
        <v>163</v>
      </c>
      <c r="J7" s="22" t="s">
        <v>224</v>
      </c>
      <c r="K7" s="23" t="s">
        <v>165</v>
      </c>
      <c r="L7" s="24" t="s">
        <v>225</v>
      </c>
      <c r="M7" s="24" t="s">
        <v>226</v>
      </c>
      <c r="N7" s="23" t="s">
        <v>227</v>
      </c>
      <c r="O7" s="24" t="s">
        <v>228</v>
      </c>
      <c r="P7" s="24" t="s">
        <v>205</v>
      </c>
      <c r="Q7" s="24" t="s">
        <v>229</v>
      </c>
      <c r="R7" s="24"/>
      <c r="S7" s="24" t="s">
        <v>173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174</v>
      </c>
      <c r="Y7" s="23" t="s">
        <v>174</v>
      </c>
      <c r="Z7" s="23" t="s">
        <v>174</v>
      </c>
      <c r="AA7" s="23" t="s">
        <v>174</v>
      </c>
      <c r="AB7" s="24"/>
      <c r="AC7" s="23" t="str">
        <f aca="false">D7&amp;"#"&amp;E7</f>
        <v>구약#6</v>
      </c>
      <c r="AD7" s="23" t="n">
        <f aca="false">COUNTIFS($C$2:C7,C7,$D$2:D7,D7)</f>
        <v>6</v>
      </c>
      <c r="AE7" s="24" t="str">
        <f aca="false">M7&amp;" | 창세기 2장 #"&amp;SUBSTITUTE(안내!$C$5," ","")</f>
        <v>하나님이 '좋지 않다'고 하신 단 하나는? | 창세기 2장 #1분성경</v>
      </c>
      <c r="AF7" s="24" t="s">
        <v>230</v>
      </c>
      <c r="AG7" s="24" t="s">
        <v>231</v>
      </c>
      <c r="AH7" s="23" t="s">
        <v>176</v>
      </c>
      <c r="AI7" s="26" t="n">
        <f aca="false">U7-안내!$C$12</f>
        <v>46368</v>
      </c>
      <c r="AJ7" s="23" t="str">
        <f aca="false">IF(U7&lt;IF(C7=1,안내!$C$9,안내!$C$10)+안내!$C$12,"시즌 시작 전 제작","")</f>
        <v>시즌 시작 전 제작</v>
      </c>
      <c r="AK7" s="24"/>
      <c r="AL7" s="27"/>
      <c r="AM7" s="27"/>
      <c r="AN7" s="27"/>
      <c r="AO7" s="27"/>
      <c r="AP7" s="27"/>
      <c r="AQ7" s="23" t="str">
        <f aca="false">D7&amp;"|"&amp;TEXT(U7,"yyyy-mm-dd")</f>
        <v>구약|2027-01-09</v>
      </c>
      <c r="AR7" s="24" t="s">
        <v>232</v>
      </c>
      <c r="AS7" s="24"/>
    </row>
    <row r="8" customFormat="false" ht="39.55" hidden="false" customHeight="false" outlineLevel="0" collapsed="false">
      <c r="A8" s="21" t="n">
        <v>7</v>
      </c>
      <c r="B8" s="18" t="s">
        <v>233</v>
      </c>
      <c r="C8" s="20" t="n">
        <v>1</v>
      </c>
      <c r="D8" s="20" t="s">
        <v>160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161</v>
      </c>
      <c r="H8" s="18" t="s">
        <v>162</v>
      </c>
      <c r="I8" s="21" t="s">
        <v>163</v>
      </c>
      <c r="J8" s="22" t="s">
        <v>234</v>
      </c>
      <c r="K8" s="23" t="s">
        <v>165</v>
      </c>
      <c r="L8" s="24" t="s">
        <v>235</v>
      </c>
      <c r="M8" s="24" t="s">
        <v>236</v>
      </c>
      <c r="N8" s="23" t="s">
        <v>237</v>
      </c>
      <c r="O8" s="24" t="s">
        <v>238</v>
      </c>
      <c r="P8" s="24" t="s">
        <v>239</v>
      </c>
      <c r="Q8" s="24" t="s">
        <v>240</v>
      </c>
      <c r="R8" s="25" t="s">
        <v>241</v>
      </c>
      <c r="S8" s="24" t="s">
        <v>173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174</v>
      </c>
      <c r="Y8" s="23" t="s">
        <v>174</v>
      </c>
      <c r="Z8" s="23" t="s">
        <v>174</v>
      </c>
      <c r="AA8" s="23" t="s">
        <v>174</v>
      </c>
      <c r="AB8" s="24"/>
      <c r="AC8" s="23" t="str">
        <f aca="false">D8&amp;"#"&amp;E8</f>
        <v>구약#7</v>
      </c>
      <c r="AD8" s="23" t="n">
        <f aca="false">COUNTIFS($C$2:C8,C8,$D$2:D8,D8)</f>
        <v>7</v>
      </c>
      <c r="AE8" s="24" t="str">
        <f aca="false">M8&amp;" | 창세기 3장 #"&amp;SUBSTITUTE(안내!$C$5," ","")</f>
        <v>정말 하나님이 그렇게 말씀하셨니? | 창세기 3장 #1분성경</v>
      </c>
      <c r="AF8" s="24" t="s">
        <v>242</v>
      </c>
      <c r="AG8" s="24" t="s">
        <v>243</v>
      </c>
      <c r="AH8" s="23" t="s">
        <v>176</v>
      </c>
      <c r="AI8" s="26" t="n">
        <f aca="false">U8-안내!$C$12</f>
        <v>46369</v>
      </c>
      <c r="AJ8" s="23" t="str">
        <f aca="false">IF(U8&lt;IF(C8=1,안내!$C$9,안내!$C$10)+안내!$C$12,"시즌 시작 전 제작","")</f>
        <v>시즌 시작 전 제작</v>
      </c>
      <c r="AK8" s="24"/>
      <c r="AL8" s="27"/>
      <c r="AM8" s="27"/>
      <c r="AN8" s="27"/>
      <c r="AO8" s="27"/>
      <c r="AP8" s="27"/>
      <c r="AQ8" s="23" t="str">
        <f aca="false">D8&amp;"|"&amp;TEXT(U8,"yyyy-mm-dd")</f>
        <v>구약|2027-01-10</v>
      </c>
      <c r="AR8" s="24" t="s">
        <v>244</v>
      </c>
      <c r="AS8" s="24"/>
    </row>
    <row r="9" customFormat="false" ht="26.85" hidden="false" customHeight="false" outlineLevel="0" collapsed="false">
      <c r="A9" s="21" t="n">
        <v>8</v>
      </c>
      <c r="B9" s="18" t="s">
        <v>245</v>
      </c>
      <c r="C9" s="20" t="n">
        <v>1</v>
      </c>
      <c r="D9" s="20" t="s">
        <v>160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161</v>
      </c>
      <c r="H9" s="18" t="s">
        <v>162</v>
      </c>
      <c r="I9" s="21" t="s">
        <v>163</v>
      </c>
      <c r="J9" s="22" t="s">
        <v>246</v>
      </c>
      <c r="K9" s="23" t="s">
        <v>165</v>
      </c>
      <c r="L9" s="24" t="s">
        <v>247</v>
      </c>
      <c r="M9" s="24" t="s">
        <v>248</v>
      </c>
      <c r="N9" s="23" t="s">
        <v>249</v>
      </c>
      <c r="O9" s="24" t="s">
        <v>250</v>
      </c>
      <c r="P9" s="24" t="s">
        <v>251</v>
      </c>
      <c r="Q9" s="24" t="s">
        <v>252</v>
      </c>
      <c r="R9" s="24"/>
      <c r="S9" s="24" t="s">
        <v>173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174</v>
      </c>
      <c r="Y9" s="23" t="s">
        <v>174</v>
      </c>
      <c r="Z9" s="23" t="s">
        <v>174</v>
      </c>
      <c r="AA9" s="23" t="s">
        <v>174</v>
      </c>
      <c r="AB9" s="24"/>
      <c r="AC9" s="23" t="str">
        <f aca="false">D9&amp;"#"&amp;E9</f>
        <v>구약#8</v>
      </c>
      <c r="AD9" s="23" t="n">
        <f aca="false">COUNTIFS($C$2:C9,C9,$D$2:D9,D9)</f>
        <v>8</v>
      </c>
      <c r="AE9" s="24" t="str">
        <f aca="false">M9&amp;" | 창세기 3장 #"&amp;SUBSTITUTE(안내!$C$5," ","")</f>
        <v>하나님이 정말 몰라서 물으셨을까? | 창세기 3장 #1분성경</v>
      </c>
      <c r="AF9" s="24" t="s">
        <v>253</v>
      </c>
      <c r="AG9" s="24" t="s">
        <v>254</v>
      </c>
      <c r="AH9" s="23" t="s">
        <v>176</v>
      </c>
      <c r="AI9" s="26" t="n">
        <f aca="false">U9-안내!$C$12</f>
        <v>46370</v>
      </c>
      <c r="AJ9" s="23" t="str">
        <f aca="false">IF(U9&lt;IF(C9=1,안내!$C$9,안내!$C$10)+안내!$C$12,"시즌 시작 전 제작","")</f>
        <v>시즌 시작 전 제작</v>
      </c>
      <c r="AK9" s="24"/>
      <c r="AL9" s="27"/>
      <c r="AM9" s="27"/>
      <c r="AN9" s="27"/>
      <c r="AO9" s="27"/>
      <c r="AP9" s="27"/>
      <c r="AQ9" s="23" t="str">
        <f aca="false">D9&amp;"|"&amp;TEXT(U9,"yyyy-mm-dd")</f>
        <v>구약|2027-01-11</v>
      </c>
      <c r="AR9" s="24" t="s">
        <v>255</v>
      </c>
      <c r="AS9" s="24"/>
    </row>
    <row r="10" customFormat="false" ht="39.55" hidden="false" customHeight="false" outlineLevel="0" collapsed="false">
      <c r="A10" s="21" t="n">
        <v>9</v>
      </c>
      <c r="B10" s="18" t="s">
        <v>256</v>
      </c>
      <c r="C10" s="20" t="n">
        <v>1</v>
      </c>
      <c r="D10" s="20" t="s">
        <v>160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161</v>
      </c>
      <c r="H10" s="18" t="s">
        <v>162</v>
      </c>
      <c r="I10" s="21" t="s">
        <v>163</v>
      </c>
      <c r="J10" s="22" t="s">
        <v>257</v>
      </c>
      <c r="K10" s="23" t="s">
        <v>165</v>
      </c>
      <c r="L10" s="24" t="s">
        <v>258</v>
      </c>
      <c r="M10" s="24" t="s">
        <v>259</v>
      </c>
      <c r="N10" s="23" t="s">
        <v>260</v>
      </c>
      <c r="O10" s="24" t="s">
        <v>261</v>
      </c>
      <c r="P10" s="24" t="s">
        <v>262</v>
      </c>
      <c r="Q10" s="24" t="s">
        <v>229</v>
      </c>
      <c r="R10" s="28" t="s">
        <v>263</v>
      </c>
      <c r="S10" s="24" t="s">
        <v>173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174</v>
      </c>
      <c r="Y10" s="23" t="s">
        <v>174</v>
      </c>
      <c r="Z10" s="23" t="s">
        <v>174</v>
      </c>
      <c r="AA10" s="23" t="s">
        <v>174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  <c r="AE10" s="24" t="str">
        <f aca="false">M10&amp;" | 창세기 3장 #"&amp;SUBSTITUTE(안내!$C$5," ","")</f>
        <v>저주의 한가운데 숨겨진 약속이 있다? | 창세기 3장 #1분성경</v>
      </c>
      <c r="AF10" s="24" t="s">
        <v>264</v>
      </c>
      <c r="AG10" s="24" t="s">
        <v>265</v>
      </c>
      <c r="AH10" s="23" t="s">
        <v>176</v>
      </c>
      <c r="AI10" s="26" t="n">
        <f aca="false">U10-안내!$C$12</f>
        <v>46371</v>
      </c>
      <c r="AJ10" s="23" t="str">
        <f aca="false">IF(U10&lt;IF(C10=1,안내!$C$9,안내!$C$10)+안내!$C$12,"시즌 시작 전 제작","")</f>
        <v>시즌 시작 전 제작</v>
      </c>
      <c r="AK10" s="24"/>
      <c r="AL10" s="27"/>
      <c r="AM10" s="27"/>
      <c r="AN10" s="27"/>
      <c r="AO10" s="27"/>
      <c r="AP10" s="27"/>
      <c r="AQ10" s="23" t="str">
        <f aca="false">D10&amp;"|"&amp;TEXT(U10,"yyyy-mm-dd")</f>
        <v>구약|2027-01-12</v>
      </c>
      <c r="AR10" s="24" t="s">
        <v>266</v>
      </c>
      <c r="AS10" s="24"/>
    </row>
    <row r="11" customFormat="false" ht="26.85" hidden="false" customHeight="false" outlineLevel="0" collapsed="false">
      <c r="A11" s="21" t="n">
        <v>10</v>
      </c>
      <c r="B11" s="18" t="s">
        <v>267</v>
      </c>
      <c r="C11" s="20" t="n">
        <v>1</v>
      </c>
      <c r="D11" s="20" t="s">
        <v>160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161</v>
      </c>
      <c r="H11" s="18" t="s">
        <v>162</v>
      </c>
      <c r="I11" s="21" t="s">
        <v>163</v>
      </c>
      <c r="J11" s="22" t="s">
        <v>268</v>
      </c>
      <c r="K11" s="23" t="s">
        <v>165</v>
      </c>
      <c r="L11" s="24" t="s">
        <v>269</v>
      </c>
      <c r="M11" s="24" t="s">
        <v>270</v>
      </c>
      <c r="N11" s="23" t="s">
        <v>271</v>
      </c>
      <c r="O11" s="24" t="s">
        <v>272</v>
      </c>
      <c r="P11" s="24" t="s">
        <v>273</v>
      </c>
      <c r="Q11" s="24" t="s">
        <v>274</v>
      </c>
      <c r="R11" s="25" t="s">
        <v>275</v>
      </c>
      <c r="S11" s="24" t="s">
        <v>173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174</v>
      </c>
      <c r="Y11" s="23" t="s">
        <v>174</v>
      </c>
      <c r="Z11" s="23" t="s">
        <v>174</v>
      </c>
      <c r="AA11" s="23" t="s">
        <v>174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  <c r="AE11" s="24" t="str">
        <f aca="false">M11&amp;" | 창세기 3장 #"&amp;SUBSTITUTE(안내!$C$5," ","")</f>
        <v>하나님이 직접 옷을 만들어 입히셨다? | 창세기 3장 #1분성경</v>
      </c>
      <c r="AF11" s="24" t="s">
        <v>276</v>
      </c>
      <c r="AG11" s="24"/>
      <c r="AH11" s="23" t="s">
        <v>176</v>
      </c>
      <c r="AI11" s="26" t="n">
        <f aca="false">U11-안내!$C$12</f>
        <v>46372</v>
      </c>
      <c r="AJ11" s="23" t="str">
        <f aca="false">IF(U11&lt;IF(C11=1,안내!$C$9,안내!$C$10)+안내!$C$12,"시즌 시작 전 제작","")</f>
        <v>시즌 시작 전 제작</v>
      </c>
      <c r="AK11" s="24"/>
      <c r="AL11" s="27"/>
      <c r="AM11" s="27"/>
      <c r="AN11" s="27"/>
      <c r="AO11" s="27"/>
      <c r="AP11" s="27"/>
      <c r="AQ11" s="23" t="str">
        <f aca="false">D11&amp;"|"&amp;TEXT(U11,"yyyy-mm-dd")</f>
        <v>구약|2027-01-13</v>
      </c>
      <c r="AR11" s="24" t="s">
        <v>277</v>
      </c>
      <c r="AS11" s="24"/>
    </row>
    <row r="12" customFormat="false" ht="26.85" hidden="false" customHeight="false" outlineLevel="0" collapsed="false">
      <c r="A12" s="21" t="n">
        <v>11</v>
      </c>
      <c r="B12" s="18" t="s">
        <v>278</v>
      </c>
      <c r="C12" s="20" t="n">
        <v>1</v>
      </c>
      <c r="D12" s="20" t="s">
        <v>160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279</v>
      </c>
      <c r="H12" s="18" t="s">
        <v>280</v>
      </c>
      <c r="I12" s="21" t="s">
        <v>163</v>
      </c>
      <c r="J12" s="22" t="s">
        <v>281</v>
      </c>
      <c r="K12" s="23" t="s">
        <v>165</v>
      </c>
      <c r="L12" s="24" t="s">
        <v>282</v>
      </c>
      <c r="M12" s="24" t="s">
        <v>283</v>
      </c>
      <c r="N12" s="23" t="s">
        <v>284</v>
      </c>
      <c r="O12" s="24" t="s">
        <v>285</v>
      </c>
      <c r="P12" s="24" t="s">
        <v>286</v>
      </c>
      <c r="Q12" s="24" t="s">
        <v>287</v>
      </c>
      <c r="R12" s="25" t="s">
        <v>288</v>
      </c>
      <c r="S12" s="24" t="s">
        <v>173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174</v>
      </c>
      <c r="Y12" s="23" t="s">
        <v>174</v>
      </c>
      <c r="Z12" s="23" t="s">
        <v>174</v>
      </c>
      <c r="AA12" s="23" t="s">
        <v>174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  <c r="AE12" s="24" t="str">
        <f aca="false">M12&amp;" | 창세기 4장 #"&amp;SUBSTITUTE(안내!$C$5," ","")</f>
        <v>형제 사이에 처음으로 일어난 비극 | 창세기 4장 #1분성경</v>
      </c>
      <c r="AF12" s="24" t="s">
        <v>289</v>
      </c>
      <c r="AG12" s="24"/>
      <c r="AH12" s="23" t="s">
        <v>290</v>
      </c>
      <c r="AI12" s="26" t="n">
        <f aca="false">U12-안내!$C$12</f>
        <v>46373</v>
      </c>
      <c r="AJ12" s="23" t="str">
        <f aca="false">IF(U12&lt;IF(C12=1,안내!$C$9,안내!$C$10)+안내!$C$12,"시즌 시작 전 제작","")</f>
        <v>시즌 시작 전 제작</v>
      </c>
      <c r="AK12" s="24"/>
      <c r="AL12" s="27"/>
      <c r="AM12" s="27"/>
      <c r="AN12" s="27"/>
      <c r="AO12" s="27"/>
      <c r="AP12" s="27"/>
      <c r="AQ12" s="23" t="str">
        <f aca="false">D12&amp;"|"&amp;TEXT(U12,"yyyy-mm-dd")</f>
        <v>구약|2027-01-14</v>
      </c>
      <c r="AR12" s="24" t="s">
        <v>291</v>
      </c>
      <c r="AS12" s="24" t="s">
        <v>292</v>
      </c>
    </row>
    <row r="13" customFormat="false" ht="26.85" hidden="false" customHeight="false" outlineLevel="0" collapsed="false">
      <c r="A13" s="21" t="n">
        <v>12</v>
      </c>
      <c r="B13" s="18" t="s">
        <v>293</v>
      </c>
      <c r="C13" s="23" t="n">
        <v>2</v>
      </c>
      <c r="D13" s="23" t="s">
        <v>160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279</v>
      </c>
      <c r="H13" s="18" t="s">
        <v>294</v>
      </c>
      <c r="I13" s="21" t="s">
        <v>163</v>
      </c>
      <c r="J13" s="22" t="s">
        <v>295</v>
      </c>
      <c r="K13" s="23" t="s">
        <v>165</v>
      </c>
      <c r="L13" s="24" t="s">
        <v>296</v>
      </c>
      <c r="M13" s="24" t="s">
        <v>297</v>
      </c>
      <c r="N13" s="23" t="s">
        <v>298</v>
      </c>
      <c r="O13" s="24" t="s">
        <v>299</v>
      </c>
      <c r="P13" s="24" t="s">
        <v>300</v>
      </c>
      <c r="Q13" s="24" t="s">
        <v>301</v>
      </c>
      <c r="R13" s="25" t="s">
        <v>302</v>
      </c>
      <c r="S13" s="24" t="s">
        <v>303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174</v>
      </c>
      <c r="Y13" s="23" t="s">
        <v>174</v>
      </c>
      <c r="Z13" s="23" t="s">
        <v>174</v>
      </c>
      <c r="AA13" s="23" t="s">
        <v>174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  <c r="AE13" s="24" t="str">
        <f aca="false">M13&amp;" | 창세기 4장 #"&amp;SUBSTITUTE(안내!$C$5," ","")</f>
        <v>땅이 소리쳐 하나님께 호소했다? | 창세기 4장 #1분성경</v>
      </c>
      <c r="AF13" s="24" t="s">
        <v>304</v>
      </c>
      <c r="AG13" s="24"/>
      <c r="AH13" s="23" t="s">
        <v>176</v>
      </c>
      <c r="AI13" s="26" t="n">
        <f aca="false">U13-안내!$C$12</f>
        <v>46552</v>
      </c>
      <c r="AJ13" s="23" t="str">
        <f aca="false">IF(U13&lt;IF(C13=1,안내!$C$9,안내!$C$10)+안내!$C$12,"시즌 시작 전 제작","")</f>
        <v>시즌 시작 전 제작</v>
      </c>
      <c r="AK13" s="24"/>
      <c r="AL13" s="27"/>
      <c r="AM13" s="27"/>
      <c r="AN13" s="27"/>
      <c r="AO13" s="27"/>
      <c r="AP13" s="27"/>
      <c r="AQ13" s="23" t="str">
        <f aca="false">D13&amp;"|"&amp;TEXT(U13,"yyyy-mm-dd")</f>
        <v>구약|2027-07-12</v>
      </c>
      <c r="AR13" s="24" t="s">
        <v>305</v>
      </c>
      <c r="AS13" s="24"/>
    </row>
    <row r="14" customFormat="false" ht="26.85" hidden="false" customHeight="false" outlineLevel="0" collapsed="false">
      <c r="A14" s="21" t="n">
        <v>13</v>
      </c>
      <c r="B14" s="18" t="s">
        <v>306</v>
      </c>
      <c r="C14" s="23" t="n">
        <v>2</v>
      </c>
      <c r="D14" s="23" t="s">
        <v>160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279</v>
      </c>
      <c r="H14" s="18" t="s">
        <v>294</v>
      </c>
      <c r="I14" s="21" t="s">
        <v>163</v>
      </c>
      <c r="J14" s="22" t="s">
        <v>307</v>
      </c>
      <c r="K14" s="23" t="s">
        <v>165</v>
      </c>
      <c r="L14" s="24" t="s">
        <v>308</v>
      </c>
      <c r="M14" s="24" t="s">
        <v>309</v>
      </c>
      <c r="N14" s="23" t="s">
        <v>310</v>
      </c>
      <c r="O14" s="24" t="s">
        <v>311</v>
      </c>
      <c r="P14" s="24" t="s">
        <v>312</v>
      </c>
      <c r="Q14" s="24" t="s">
        <v>313</v>
      </c>
      <c r="R14" s="24"/>
      <c r="S14" s="24" t="s">
        <v>303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174</v>
      </c>
      <c r="Y14" s="23" t="s">
        <v>174</v>
      </c>
      <c r="Z14" s="23" t="s">
        <v>174</v>
      </c>
      <c r="AA14" s="23" t="s">
        <v>174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  <c r="AE14" s="24" t="str">
        <f aca="false">M14&amp;" | 창세기 4장 #"&amp;SUBSTITUTE(안내!$C$5," ","")</f>
        <v>모든 것이 무너진 뒤 시작된 한 가지 | 창세기 4장 #1분성경</v>
      </c>
      <c r="AF14" s="24" t="s">
        <v>304</v>
      </c>
      <c r="AG14" s="24"/>
      <c r="AH14" s="23" t="s">
        <v>290</v>
      </c>
      <c r="AI14" s="26" t="n">
        <f aca="false">U14-안내!$C$12</f>
        <v>46553</v>
      </c>
      <c r="AJ14" s="23" t="str">
        <f aca="false">IF(U14&lt;IF(C14=1,안내!$C$9,안내!$C$10)+안내!$C$12,"시즌 시작 전 제작","")</f>
        <v>시즌 시작 전 제작</v>
      </c>
      <c r="AK14" s="24"/>
      <c r="AL14" s="27"/>
      <c r="AM14" s="27"/>
      <c r="AN14" s="27"/>
      <c r="AO14" s="27"/>
      <c r="AP14" s="27"/>
      <c r="AQ14" s="23" t="str">
        <f aca="false">D14&amp;"|"&amp;TEXT(U14,"yyyy-mm-dd")</f>
        <v>구약|2027-07-13</v>
      </c>
      <c r="AR14" s="24" t="s">
        <v>314</v>
      </c>
      <c r="AS14" s="24"/>
    </row>
    <row r="15" customFormat="false" ht="39.55" hidden="false" customHeight="false" outlineLevel="0" collapsed="false">
      <c r="A15" s="21" t="n">
        <v>14</v>
      </c>
      <c r="B15" s="18" t="s">
        <v>315</v>
      </c>
      <c r="C15" s="20" t="n">
        <v>1</v>
      </c>
      <c r="D15" s="20" t="s">
        <v>160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279</v>
      </c>
      <c r="H15" s="18" t="s">
        <v>280</v>
      </c>
      <c r="I15" s="21" t="s">
        <v>163</v>
      </c>
      <c r="J15" s="22" t="s">
        <v>316</v>
      </c>
      <c r="K15" s="23" t="s">
        <v>165</v>
      </c>
      <c r="L15" s="24" t="s">
        <v>317</v>
      </c>
      <c r="M15" s="24" t="s">
        <v>318</v>
      </c>
      <c r="N15" s="23" t="s">
        <v>319</v>
      </c>
      <c r="O15" s="24" t="s">
        <v>320</v>
      </c>
      <c r="P15" s="24" t="s">
        <v>321</v>
      </c>
      <c r="Q15" s="24" t="s">
        <v>322</v>
      </c>
      <c r="R15" s="25" t="s">
        <v>323</v>
      </c>
      <c r="S15" s="29" t="s">
        <v>324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174</v>
      </c>
      <c r="Y15" s="23" t="s">
        <v>174</v>
      </c>
      <c r="Z15" s="23" t="s">
        <v>174</v>
      </c>
      <c r="AA15" s="23" t="s">
        <v>174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  <c r="AE15" s="24" t="str">
        <f aca="false">M15&amp;" | 창세기 5장 #"&amp;SUBSTITUTE(안내!$C$5," ","")</f>
        <v>죽지 않고 하늘로 간 사람이 있다? | 창세기 5장 #1분성경</v>
      </c>
      <c r="AF15" s="24" t="s">
        <v>325</v>
      </c>
      <c r="AG15" s="24" t="s">
        <v>326</v>
      </c>
      <c r="AH15" s="23" t="s">
        <v>176</v>
      </c>
      <c r="AI15" s="26" t="n">
        <f aca="false">U15-안내!$C$12</f>
        <v>46374</v>
      </c>
      <c r="AJ15" s="23" t="str">
        <f aca="false">IF(U15&lt;IF(C15=1,안내!$C$9,안내!$C$10)+안내!$C$12,"시즌 시작 전 제작","")</f>
        <v>시즌 시작 전 제작</v>
      </c>
      <c r="AK15" s="24" t="s">
        <v>327</v>
      </c>
      <c r="AL15" s="27"/>
      <c r="AM15" s="27"/>
      <c r="AN15" s="27"/>
      <c r="AO15" s="27"/>
      <c r="AP15" s="27"/>
      <c r="AQ15" s="23" t="str">
        <f aca="false">D15&amp;"|"&amp;TEXT(U15,"yyyy-mm-dd")</f>
        <v>구약|2027-01-15</v>
      </c>
      <c r="AR15" s="24" t="s">
        <v>328</v>
      </c>
      <c r="AS15" s="24"/>
    </row>
    <row r="16" customFormat="false" ht="26.85" hidden="false" customHeight="false" outlineLevel="0" collapsed="false">
      <c r="A16" s="21" t="n">
        <v>15</v>
      </c>
      <c r="B16" s="18" t="s">
        <v>329</v>
      </c>
      <c r="C16" s="20" t="n">
        <v>1</v>
      </c>
      <c r="D16" s="20" t="s">
        <v>160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279</v>
      </c>
      <c r="H16" s="18" t="s">
        <v>280</v>
      </c>
      <c r="I16" s="21" t="s">
        <v>163</v>
      </c>
      <c r="J16" s="22" t="s">
        <v>330</v>
      </c>
      <c r="K16" s="23" t="s">
        <v>165</v>
      </c>
      <c r="L16" s="24" t="s">
        <v>331</v>
      </c>
      <c r="M16" s="24" t="s">
        <v>332</v>
      </c>
      <c r="N16" s="23" t="s">
        <v>333</v>
      </c>
      <c r="O16" s="24" t="s">
        <v>334</v>
      </c>
      <c r="P16" s="24" t="s">
        <v>327</v>
      </c>
      <c r="Q16" s="24" t="s">
        <v>335</v>
      </c>
      <c r="R16" s="28" t="s">
        <v>336</v>
      </c>
      <c r="S16" s="24" t="s">
        <v>173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174</v>
      </c>
      <c r="Y16" s="23" t="s">
        <v>174</v>
      </c>
      <c r="Z16" s="23" t="s">
        <v>174</v>
      </c>
      <c r="AA16" s="23" t="s">
        <v>174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  <c r="AE16" s="24" t="str">
        <f aca="false">M16&amp;" | 창세기 6장 #"&amp;SUBSTITUTE(안내!$C$5," ","")</f>
        <v>하나님이 사람 지으신 것을 한탄하셨다? | 창세기 6장 #1분성경</v>
      </c>
      <c r="AF16" s="24" t="s">
        <v>337</v>
      </c>
      <c r="AG16" s="24" t="s">
        <v>338</v>
      </c>
      <c r="AH16" s="23" t="s">
        <v>176</v>
      </c>
      <c r="AI16" s="26" t="n">
        <f aca="false">U16-안내!$C$12</f>
        <v>46375</v>
      </c>
      <c r="AJ16" s="23" t="str">
        <f aca="false">IF(U16&lt;IF(C16=1,안내!$C$9,안내!$C$10)+안내!$C$12,"시즌 시작 전 제작","")</f>
        <v>시즌 시작 전 제작</v>
      </c>
      <c r="AK16" s="24" t="s">
        <v>327</v>
      </c>
      <c r="AL16" s="27"/>
      <c r="AM16" s="27"/>
      <c r="AN16" s="27"/>
      <c r="AO16" s="27"/>
      <c r="AP16" s="27"/>
      <c r="AQ16" s="23" t="str">
        <f aca="false">D16&amp;"|"&amp;TEXT(U16,"yyyy-mm-dd")</f>
        <v>구약|2027-01-16</v>
      </c>
      <c r="AR16" s="24" t="s">
        <v>339</v>
      </c>
      <c r="AS16" s="24"/>
    </row>
    <row r="17" customFormat="false" ht="26.85" hidden="false" customHeight="false" outlineLevel="0" collapsed="false">
      <c r="A17" s="21" t="n">
        <v>16</v>
      </c>
      <c r="B17" s="18" t="s">
        <v>340</v>
      </c>
      <c r="C17" s="20" t="n">
        <v>1</v>
      </c>
      <c r="D17" s="20" t="s">
        <v>160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279</v>
      </c>
      <c r="H17" s="18" t="s">
        <v>280</v>
      </c>
      <c r="I17" s="21" t="s">
        <v>163</v>
      </c>
      <c r="J17" s="22" t="s">
        <v>341</v>
      </c>
      <c r="K17" s="23" t="s">
        <v>165</v>
      </c>
      <c r="L17" s="24" t="s">
        <v>342</v>
      </c>
      <c r="M17" s="24" t="s">
        <v>343</v>
      </c>
      <c r="N17" s="23" t="s">
        <v>344</v>
      </c>
      <c r="O17" s="24" t="s">
        <v>345</v>
      </c>
      <c r="P17" s="24" t="s">
        <v>346</v>
      </c>
      <c r="Q17" s="24" t="s">
        <v>347</v>
      </c>
      <c r="R17" s="24"/>
      <c r="S17" s="24" t="s">
        <v>173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174</v>
      </c>
      <c r="Y17" s="23" t="s">
        <v>174</v>
      </c>
      <c r="Z17" s="23" t="s">
        <v>174</v>
      </c>
      <c r="AA17" s="23" t="s">
        <v>174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  <c r="AE17" s="24" t="str">
        <f aca="false">M17&amp;" | 창세기 6장 #"&amp;SUBSTITUTE(안내!$C$5," ","")</f>
        <v>비 한 번 안 온 땅에서 배를 만들라고? | 창세기 6장 #1분성경</v>
      </c>
      <c r="AF17" s="24" t="s">
        <v>348</v>
      </c>
      <c r="AG17" s="24"/>
      <c r="AH17" s="23" t="s">
        <v>176</v>
      </c>
      <c r="AI17" s="26" t="n">
        <f aca="false">U17-안내!$C$12</f>
        <v>46376</v>
      </c>
      <c r="AJ17" s="23" t="str">
        <f aca="false">IF(U17&lt;IF(C17=1,안내!$C$9,안내!$C$10)+안내!$C$12,"시즌 시작 전 제작","")</f>
        <v>시즌 시작 전 제작</v>
      </c>
      <c r="AK17" s="24" t="s">
        <v>327</v>
      </c>
      <c r="AL17" s="27"/>
      <c r="AM17" s="27"/>
      <c r="AN17" s="27"/>
      <c r="AO17" s="27"/>
      <c r="AP17" s="27"/>
      <c r="AQ17" s="23" t="str">
        <f aca="false">D17&amp;"|"&amp;TEXT(U17,"yyyy-mm-dd")</f>
        <v>구약|2027-01-17</v>
      </c>
      <c r="AR17" s="24" t="s">
        <v>349</v>
      </c>
      <c r="AS17" s="24"/>
    </row>
    <row r="18" customFormat="false" ht="39.55" hidden="false" customHeight="false" outlineLevel="0" collapsed="false">
      <c r="A18" s="21" t="n">
        <v>17</v>
      </c>
      <c r="B18" s="18" t="s">
        <v>350</v>
      </c>
      <c r="C18" s="20" t="n">
        <v>1</v>
      </c>
      <c r="D18" s="20" t="s">
        <v>160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279</v>
      </c>
      <c r="H18" s="18" t="s">
        <v>280</v>
      </c>
      <c r="I18" s="21" t="s">
        <v>163</v>
      </c>
      <c r="J18" s="22" t="s">
        <v>351</v>
      </c>
      <c r="K18" s="23" t="s">
        <v>165</v>
      </c>
      <c r="L18" s="24" t="s">
        <v>352</v>
      </c>
      <c r="M18" s="30" t="s">
        <v>353</v>
      </c>
      <c r="N18" s="23" t="s">
        <v>354</v>
      </c>
      <c r="O18" s="24" t="s">
        <v>355</v>
      </c>
      <c r="P18" s="24" t="s">
        <v>356</v>
      </c>
      <c r="Q18" s="24" t="s">
        <v>357</v>
      </c>
      <c r="R18" s="25" t="s">
        <v>358</v>
      </c>
      <c r="S18" s="24" t="s">
        <v>173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174</v>
      </c>
      <c r="Y18" s="23" t="s">
        <v>174</v>
      </c>
      <c r="Z18" s="23" t="s">
        <v>174</v>
      </c>
      <c r="AA18" s="23" t="s">
        <v>174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  <c r="AE18" s="24" t="str">
        <f aca="false">M18&amp;" | 창세기 7장 #"&amp;SUBSTITUTE(안내!$C$5," ","")</f>
        <v>40일 동안 그친 적 없는 비 | 창세기 7장 #1분성경</v>
      </c>
      <c r="AF18" s="24" t="s">
        <v>359</v>
      </c>
      <c r="AG18" s="24"/>
      <c r="AH18" s="23" t="s">
        <v>360</v>
      </c>
      <c r="AI18" s="26" t="n">
        <f aca="false">U18-안내!$C$12</f>
        <v>46377</v>
      </c>
      <c r="AJ18" s="23" t="str">
        <f aca="false">IF(U18&lt;IF(C18=1,안내!$C$9,안내!$C$10)+안내!$C$12,"시즌 시작 전 제작","")</f>
        <v>시즌 시작 전 제작</v>
      </c>
      <c r="AK18" s="24"/>
      <c r="AL18" s="27"/>
      <c r="AM18" s="27"/>
      <c r="AN18" s="27"/>
      <c r="AO18" s="27"/>
      <c r="AP18" s="27"/>
      <c r="AQ18" s="23" t="str">
        <f aca="false">D18&amp;"|"&amp;TEXT(U18,"yyyy-mm-dd")</f>
        <v>구약|2027-01-18</v>
      </c>
      <c r="AR18" s="24" t="s">
        <v>361</v>
      </c>
      <c r="AS18" s="24"/>
    </row>
    <row r="19" customFormat="false" ht="26.85" hidden="false" customHeight="false" outlineLevel="0" collapsed="false">
      <c r="A19" s="21" t="n">
        <v>18</v>
      </c>
      <c r="B19" s="18" t="s">
        <v>362</v>
      </c>
      <c r="C19" s="20" t="n">
        <v>1</v>
      </c>
      <c r="D19" s="20" t="s">
        <v>160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279</v>
      </c>
      <c r="H19" s="18" t="s">
        <v>280</v>
      </c>
      <c r="I19" s="21" t="s">
        <v>163</v>
      </c>
      <c r="J19" s="22" t="s">
        <v>363</v>
      </c>
      <c r="K19" s="23" t="s">
        <v>165</v>
      </c>
      <c r="L19" s="24" t="s">
        <v>364</v>
      </c>
      <c r="M19" s="24" t="s">
        <v>365</v>
      </c>
      <c r="N19" s="23" t="s">
        <v>366</v>
      </c>
      <c r="O19" s="24" t="s">
        <v>367</v>
      </c>
      <c r="P19" s="24" t="s">
        <v>368</v>
      </c>
      <c r="Q19" s="24" t="s">
        <v>369</v>
      </c>
      <c r="R19" s="24"/>
      <c r="S19" s="24" t="s">
        <v>173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174</v>
      </c>
      <c r="Y19" s="23" t="s">
        <v>174</v>
      </c>
      <c r="Z19" s="23" t="s">
        <v>174</v>
      </c>
      <c r="AA19" s="23" t="s">
        <v>174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  <c r="AE19" s="24" t="str">
        <f aca="false">M19&amp;" | 창세기 8장 #"&amp;SUBSTITUTE(안내!$C$5," ","")</f>
        <v>비둘기가 물고 온 작은 잎사귀 하나 | 창세기 8장 #1분성경</v>
      </c>
      <c r="AF19" s="24" t="s">
        <v>370</v>
      </c>
      <c r="AG19" s="24"/>
      <c r="AH19" s="23" t="s">
        <v>290</v>
      </c>
      <c r="AI19" s="26" t="n">
        <f aca="false">U19-안내!$C$12</f>
        <v>46378</v>
      </c>
      <c r="AJ19" s="23" t="str">
        <f aca="false">IF(U19&lt;IF(C19=1,안내!$C$9,안내!$C$10)+안내!$C$12,"시즌 시작 전 제작","")</f>
        <v>시즌 시작 전 제작</v>
      </c>
      <c r="AK19" s="24" t="s">
        <v>327</v>
      </c>
      <c r="AL19" s="27"/>
      <c r="AM19" s="27"/>
      <c r="AN19" s="27"/>
      <c r="AO19" s="27"/>
      <c r="AP19" s="27"/>
      <c r="AQ19" s="23" t="str">
        <f aca="false">D19&amp;"|"&amp;TEXT(U19,"yyyy-mm-dd")</f>
        <v>구약|2027-01-19</v>
      </c>
      <c r="AR19" s="24" t="s">
        <v>371</v>
      </c>
      <c r="AS19" s="24" t="s">
        <v>292</v>
      </c>
    </row>
    <row r="20" customFormat="false" ht="26.85" hidden="false" customHeight="false" outlineLevel="0" collapsed="false">
      <c r="A20" s="21" t="n">
        <v>19</v>
      </c>
      <c r="B20" s="18" t="s">
        <v>372</v>
      </c>
      <c r="C20" s="20" t="n">
        <v>1</v>
      </c>
      <c r="D20" s="20" t="s">
        <v>160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279</v>
      </c>
      <c r="H20" s="18" t="s">
        <v>280</v>
      </c>
      <c r="I20" s="21" t="s">
        <v>163</v>
      </c>
      <c r="J20" s="22" t="s">
        <v>373</v>
      </c>
      <c r="K20" s="23" t="s">
        <v>165</v>
      </c>
      <c r="L20" s="24" t="s">
        <v>374</v>
      </c>
      <c r="M20" s="24" t="s">
        <v>375</v>
      </c>
      <c r="N20" s="23" t="s">
        <v>376</v>
      </c>
      <c r="O20" s="24" t="s">
        <v>377</v>
      </c>
      <c r="P20" s="24" t="s">
        <v>378</v>
      </c>
      <c r="Q20" s="24" t="s">
        <v>379</v>
      </c>
      <c r="R20" s="25" t="s">
        <v>380</v>
      </c>
      <c r="S20" s="24" t="s">
        <v>173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174</v>
      </c>
      <c r="Y20" s="23" t="s">
        <v>174</v>
      </c>
      <c r="Z20" s="23" t="s">
        <v>174</v>
      </c>
      <c r="AA20" s="23" t="s">
        <v>174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  <c r="AE20" s="24" t="str">
        <f aca="false">M20&amp;" | 창세기 8~9장 #"&amp;SUBSTITUTE(안내!$C$5," ","")</f>
        <v>무지개가 하나님의 약속이었다? | 창세기 8~9장 #1분성경</v>
      </c>
      <c r="AF20" s="24" t="s">
        <v>381</v>
      </c>
      <c r="AG20" s="24"/>
      <c r="AH20" s="23" t="s">
        <v>176</v>
      </c>
      <c r="AI20" s="26" t="n">
        <f aca="false">U20-안내!$C$12</f>
        <v>46379</v>
      </c>
      <c r="AJ20" s="23" t="str">
        <f aca="false">IF(U20&lt;IF(C20=1,안내!$C$9,안내!$C$10)+안내!$C$12,"시즌 시작 전 제작","")</f>
        <v>시즌 시작 전 제작</v>
      </c>
      <c r="AK20" s="24"/>
      <c r="AL20" s="27"/>
      <c r="AM20" s="27"/>
      <c r="AN20" s="27"/>
      <c r="AO20" s="27"/>
      <c r="AP20" s="27"/>
      <c r="AQ20" s="23" t="str">
        <f aca="false">D20&amp;"|"&amp;TEXT(U20,"yyyy-mm-dd")</f>
        <v>구약|2027-01-20</v>
      </c>
      <c r="AR20" s="24" t="s">
        <v>382</v>
      </c>
      <c r="AS20" s="24"/>
    </row>
    <row r="21" customFormat="false" ht="26.85" hidden="false" customHeight="false" outlineLevel="0" collapsed="false">
      <c r="A21" s="21" t="n">
        <v>20</v>
      </c>
      <c r="B21" s="18" t="s">
        <v>383</v>
      </c>
      <c r="C21" s="23" t="n">
        <v>2</v>
      </c>
      <c r="D21" s="23" t="s">
        <v>160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279</v>
      </c>
      <c r="H21" s="18" t="s">
        <v>294</v>
      </c>
      <c r="I21" s="21" t="s">
        <v>163</v>
      </c>
      <c r="J21" s="22" t="s">
        <v>384</v>
      </c>
      <c r="K21" s="23" t="s">
        <v>165</v>
      </c>
      <c r="L21" s="24" t="s">
        <v>385</v>
      </c>
      <c r="M21" s="24" t="s">
        <v>386</v>
      </c>
      <c r="N21" s="23" t="s">
        <v>387</v>
      </c>
      <c r="O21" s="24" t="s">
        <v>388</v>
      </c>
      <c r="P21" s="24" t="s">
        <v>346</v>
      </c>
      <c r="Q21" s="24" t="s">
        <v>389</v>
      </c>
      <c r="R21" s="25" t="s">
        <v>390</v>
      </c>
      <c r="S21" s="24" t="s">
        <v>391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174</v>
      </c>
      <c r="Y21" s="23" t="s">
        <v>174</v>
      </c>
      <c r="Z21" s="23" t="s">
        <v>174</v>
      </c>
      <c r="AA21" s="23" t="s">
        <v>174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  <c r="AE21" s="24" t="str">
        <f aca="false">M21&amp;" | 창세기 9장 #"&amp;SUBSTITUTE(안내!$C$5," ","")</f>
        <v>구원받은 의인도 넘어질 수 있다? | 창세기 9장 #1분성경</v>
      </c>
      <c r="AF21" s="24" t="s">
        <v>304</v>
      </c>
      <c r="AG21" s="24"/>
      <c r="AH21" s="23" t="s">
        <v>176</v>
      </c>
      <c r="AI21" s="26" t="n">
        <f aca="false">U21-안내!$C$12</f>
        <v>46554</v>
      </c>
      <c r="AJ21" s="23" t="str">
        <f aca="false">IF(U21&lt;IF(C21=1,안내!$C$9,안내!$C$10)+안내!$C$12,"시즌 시작 전 제작","")</f>
        <v>시즌 시작 전 제작</v>
      </c>
      <c r="AK21" s="24" t="s">
        <v>327</v>
      </c>
      <c r="AL21" s="27"/>
      <c r="AM21" s="27"/>
      <c r="AN21" s="27"/>
      <c r="AO21" s="27"/>
      <c r="AP21" s="27"/>
      <c r="AQ21" s="23" t="str">
        <f aca="false">D21&amp;"|"&amp;TEXT(U21,"yyyy-mm-dd")</f>
        <v>구약|2027-07-14</v>
      </c>
      <c r="AR21" s="24" t="s">
        <v>392</v>
      </c>
      <c r="AS21" s="24"/>
    </row>
    <row r="22" customFormat="false" ht="26.85" hidden="false" customHeight="false" outlineLevel="0" collapsed="false">
      <c r="A22" s="21" t="n">
        <v>21</v>
      </c>
      <c r="B22" s="18" t="s">
        <v>393</v>
      </c>
      <c r="C22" s="23" t="n">
        <v>2</v>
      </c>
      <c r="D22" s="23" t="s">
        <v>160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279</v>
      </c>
      <c r="H22" s="18" t="s">
        <v>294</v>
      </c>
      <c r="I22" s="21" t="s">
        <v>163</v>
      </c>
      <c r="J22" s="22" t="s">
        <v>394</v>
      </c>
      <c r="K22" s="23" t="s">
        <v>165</v>
      </c>
      <c r="L22" s="24" t="s">
        <v>395</v>
      </c>
      <c r="M22" s="24" t="s">
        <v>396</v>
      </c>
      <c r="N22" s="23" t="s">
        <v>397</v>
      </c>
      <c r="O22" s="24" t="s">
        <v>398</v>
      </c>
      <c r="P22" s="24" t="s">
        <v>399</v>
      </c>
      <c r="Q22" s="24" t="s">
        <v>400</v>
      </c>
      <c r="R22" s="24"/>
      <c r="S22" s="24" t="s">
        <v>391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174</v>
      </c>
      <c r="Y22" s="23" t="s">
        <v>174</v>
      </c>
      <c r="Z22" s="23" t="s">
        <v>174</v>
      </c>
      <c r="AA22" s="23" t="s">
        <v>174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  <c r="AE22" s="24" t="str">
        <f aca="false">M22&amp;" | 창세기 10장 #"&amp;SUBSTITUTE(안내!$C$5," ","")</f>
        <v>모든 나라가 한 가족에서 나왔다? | 창세기 10장 #1분성경</v>
      </c>
      <c r="AF22" s="24" t="s">
        <v>304</v>
      </c>
      <c r="AG22" s="24"/>
      <c r="AH22" s="23" t="s">
        <v>176</v>
      </c>
      <c r="AI22" s="26" t="n">
        <f aca="false">U22-안내!$C$12</f>
        <v>46555</v>
      </c>
      <c r="AJ22" s="23" t="str">
        <f aca="false">IF(U22&lt;IF(C22=1,안내!$C$9,안내!$C$10)+안내!$C$12,"시즌 시작 전 제작","")</f>
        <v>시즌 시작 전 제작</v>
      </c>
      <c r="AK22" s="24"/>
      <c r="AL22" s="27"/>
      <c r="AM22" s="27"/>
      <c r="AN22" s="27"/>
      <c r="AO22" s="27"/>
      <c r="AP22" s="27"/>
      <c r="AQ22" s="23" t="str">
        <f aca="false">D22&amp;"|"&amp;TEXT(U22,"yyyy-mm-dd")</f>
        <v>구약|2027-07-15</v>
      </c>
      <c r="AR22" s="24" t="s">
        <v>401</v>
      </c>
      <c r="AS22" s="24"/>
    </row>
    <row r="23" customFormat="false" ht="39.55" hidden="false" customHeight="false" outlineLevel="0" collapsed="false">
      <c r="A23" s="21" t="n">
        <v>22</v>
      </c>
      <c r="B23" s="18" t="s">
        <v>402</v>
      </c>
      <c r="C23" s="20" t="n">
        <v>1</v>
      </c>
      <c r="D23" s="20" t="s">
        <v>160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279</v>
      </c>
      <c r="H23" s="18" t="s">
        <v>280</v>
      </c>
      <c r="I23" s="21" t="s">
        <v>163</v>
      </c>
      <c r="J23" s="22" t="s">
        <v>403</v>
      </c>
      <c r="K23" s="23" t="s">
        <v>165</v>
      </c>
      <c r="L23" s="24" t="s">
        <v>404</v>
      </c>
      <c r="M23" s="24" t="s">
        <v>405</v>
      </c>
      <c r="N23" s="23" t="s">
        <v>406</v>
      </c>
      <c r="O23" s="24" t="s">
        <v>407</v>
      </c>
      <c r="P23" s="24" t="s">
        <v>408</v>
      </c>
      <c r="Q23" s="24" t="s">
        <v>409</v>
      </c>
      <c r="R23" s="24"/>
      <c r="S23" s="29" t="s">
        <v>410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174</v>
      </c>
      <c r="Y23" s="23" t="s">
        <v>174</v>
      </c>
      <c r="Z23" s="23" t="s">
        <v>174</v>
      </c>
      <c r="AA23" s="23" t="s">
        <v>174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  <c r="AE23" s="24" t="str">
        <f aca="false">M23&amp;" | 창세기 11장 #"&amp;SUBSTITUTE(안내!$C$5," ","")</f>
        <v>하늘까지 닿으려던 사람들 | 창세기 11장 #1분성경</v>
      </c>
      <c r="AF23" s="24" t="s">
        <v>411</v>
      </c>
      <c r="AG23" s="24"/>
      <c r="AH23" s="23" t="s">
        <v>290</v>
      </c>
      <c r="AI23" s="26" t="n">
        <f aca="false">U23-안내!$C$12</f>
        <v>46380</v>
      </c>
      <c r="AJ23" s="23" t="str">
        <f aca="false">IF(U23&lt;IF(C23=1,안내!$C$9,안내!$C$10)+안내!$C$12,"시즌 시작 전 제작","")</f>
        <v>시즌 시작 전 제작</v>
      </c>
      <c r="AK23" s="24"/>
      <c r="AL23" s="27"/>
      <c r="AM23" s="27"/>
      <c r="AN23" s="27"/>
      <c r="AO23" s="27"/>
      <c r="AP23" s="27"/>
      <c r="AQ23" s="23" t="str">
        <f aca="false">D23&amp;"|"&amp;TEXT(U23,"yyyy-mm-dd")</f>
        <v>구약|2027-01-21</v>
      </c>
      <c r="AR23" s="24" t="s">
        <v>412</v>
      </c>
      <c r="AS23" s="24"/>
    </row>
    <row r="24" customFormat="false" ht="39.55" hidden="false" customHeight="false" outlineLevel="0" collapsed="false">
      <c r="A24" s="21" t="n">
        <v>23</v>
      </c>
      <c r="B24" s="18" t="s">
        <v>413</v>
      </c>
      <c r="C24" s="23" t="n">
        <v>2</v>
      </c>
      <c r="D24" s="23" t="s">
        <v>160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279</v>
      </c>
      <c r="H24" s="18" t="s">
        <v>294</v>
      </c>
      <c r="I24" s="21" t="s">
        <v>163</v>
      </c>
      <c r="J24" s="22" t="s">
        <v>414</v>
      </c>
      <c r="K24" s="23" t="s">
        <v>165</v>
      </c>
      <c r="L24" s="24" t="s">
        <v>415</v>
      </c>
      <c r="M24" s="24" t="s">
        <v>416</v>
      </c>
      <c r="N24" s="23" t="s">
        <v>417</v>
      </c>
      <c r="O24" s="24" t="s">
        <v>418</v>
      </c>
      <c r="P24" s="24" t="s">
        <v>419</v>
      </c>
      <c r="Q24" s="24" t="s">
        <v>420</v>
      </c>
      <c r="R24" s="24"/>
      <c r="S24" s="24" t="s">
        <v>421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174</v>
      </c>
      <c r="Y24" s="23" t="s">
        <v>174</v>
      </c>
      <c r="Z24" s="23" t="s">
        <v>174</v>
      </c>
      <c r="AA24" s="23" t="s">
        <v>174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  <c r="AE24" s="24" t="str">
        <f aca="false">M24&amp;" | 창세기 11장 #"&amp;SUBSTITUTE(안내!$C$5," ","")</f>
        <v>하나님이 한 사람을 선택하신 이유는? | 창세기 11장 #1분성경</v>
      </c>
      <c r="AF24" s="24" t="s">
        <v>304</v>
      </c>
      <c r="AG24" s="24"/>
      <c r="AH24" s="23" t="s">
        <v>176</v>
      </c>
      <c r="AI24" s="26" t="n">
        <f aca="false">U24-안내!$C$12</f>
        <v>46556</v>
      </c>
      <c r="AJ24" s="23" t="str">
        <f aca="false">IF(U24&lt;IF(C24=1,안내!$C$9,안내!$C$10)+안내!$C$12,"시즌 시작 전 제작","")</f>
        <v>시즌 시작 전 제작</v>
      </c>
      <c r="AK24" s="24" t="s">
        <v>422</v>
      </c>
      <c r="AL24" s="27"/>
      <c r="AM24" s="27"/>
      <c r="AN24" s="27"/>
      <c r="AO24" s="27"/>
      <c r="AP24" s="27"/>
      <c r="AQ24" s="23" t="str">
        <f aca="false">D24&amp;"|"&amp;TEXT(U24,"yyyy-mm-dd")</f>
        <v>구약|2027-07-16</v>
      </c>
      <c r="AR24" s="24" t="s">
        <v>423</v>
      </c>
      <c r="AS24" s="24"/>
    </row>
    <row r="25" customFormat="false" ht="26.85" hidden="false" customHeight="false" outlineLevel="0" collapsed="false">
      <c r="A25" s="21" t="n">
        <v>24</v>
      </c>
      <c r="B25" s="18" t="s">
        <v>424</v>
      </c>
      <c r="C25" s="20" t="n">
        <v>1</v>
      </c>
      <c r="D25" s="20" t="s">
        <v>160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425</v>
      </c>
      <c r="H25" s="18" t="s">
        <v>426</v>
      </c>
      <c r="I25" s="21" t="s">
        <v>163</v>
      </c>
      <c r="J25" s="22" t="s">
        <v>427</v>
      </c>
      <c r="K25" s="23" t="s">
        <v>165</v>
      </c>
      <c r="L25" s="24" t="s">
        <v>428</v>
      </c>
      <c r="M25" s="30" t="s">
        <v>429</v>
      </c>
      <c r="N25" s="23" t="s">
        <v>430</v>
      </c>
      <c r="O25" s="24" t="s">
        <v>431</v>
      </c>
      <c r="P25" s="24" t="s">
        <v>432</v>
      </c>
      <c r="Q25" s="24" t="s">
        <v>433</v>
      </c>
      <c r="R25" s="24"/>
      <c r="S25" s="29" t="s">
        <v>434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174</v>
      </c>
      <c r="Y25" s="23" t="s">
        <v>174</v>
      </c>
      <c r="Z25" s="23" t="s">
        <v>174</v>
      </c>
      <c r="AA25" s="23" t="s">
        <v>174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  <c r="AE25" s="24" t="str">
        <f aca="false">M25&amp;" | 창세기 12장 #"&amp;SUBSTITUTE(안내!$C$5," ","")</f>
        <v>75세에 모든 것을 두고 떠나라고? | 창세기 12장 #1분성경</v>
      </c>
      <c r="AF25" s="24" t="s">
        <v>435</v>
      </c>
      <c r="AG25" s="24" t="s">
        <v>436</v>
      </c>
      <c r="AH25" s="23" t="s">
        <v>360</v>
      </c>
      <c r="AI25" s="26" t="n">
        <f aca="false">U25-안내!$C$12</f>
        <v>46381</v>
      </c>
      <c r="AJ25" s="23" t="str">
        <f aca="false">IF(U25&lt;IF(C25=1,안내!$C$9,안내!$C$10)+안내!$C$12,"시즌 시작 전 제작","")</f>
        <v>시즌 시작 전 제작</v>
      </c>
      <c r="AK25" s="24" t="s">
        <v>422</v>
      </c>
      <c r="AL25" s="27"/>
      <c r="AM25" s="27"/>
      <c r="AN25" s="27"/>
      <c r="AO25" s="27"/>
      <c r="AP25" s="27"/>
      <c r="AQ25" s="23" t="str">
        <f aca="false">D25&amp;"|"&amp;TEXT(U25,"yyyy-mm-dd")</f>
        <v>구약|2027-01-22</v>
      </c>
      <c r="AR25" s="24" t="s">
        <v>437</v>
      </c>
      <c r="AS25" s="24"/>
    </row>
    <row r="26" customFormat="false" ht="26.85" hidden="false" customHeight="false" outlineLevel="0" collapsed="false">
      <c r="A26" s="21" t="n">
        <v>25</v>
      </c>
      <c r="B26" s="18" t="s">
        <v>438</v>
      </c>
      <c r="C26" s="23" t="n">
        <v>2</v>
      </c>
      <c r="D26" s="23" t="s">
        <v>160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425</v>
      </c>
      <c r="H26" s="18" t="s">
        <v>294</v>
      </c>
      <c r="I26" s="21" t="s">
        <v>163</v>
      </c>
      <c r="J26" s="22" t="s">
        <v>439</v>
      </c>
      <c r="K26" s="23" t="s">
        <v>165</v>
      </c>
      <c r="L26" s="24" t="s">
        <v>440</v>
      </c>
      <c r="M26" s="24" t="s">
        <v>441</v>
      </c>
      <c r="N26" s="23" t="s">
        <v>442</v>
      </c>
      <c r="O26" s="24" t="s">
        <v>443</v>
      </c>
      <c r="P26" s="24" t="s">
        <v>444</v>
      </c>
      <c r="Q26" s="24" t="s">
        <v>445</v>
      </c>
      <c r="R26" s="24"/>
      <c r="S26" s="24" t="s">
        <v>446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174</v>
      </c>
      <c r="Y26" s="23" t="s">
        <v>174</v>
      </c>
      <c r="Z26" s="23" t="s">
        <v>174</v>
      </c>
      <c r="AA26" s="23" t="s">
        <v>174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  <c r="AE26" s="24" t="str">
        <f aca="false">M26&amp;" | 창세기 12장 #"&amp;SUBSTITUTE(안내!$C$5," ","")</f>
        <v>아내를 누이라고 소개한 믿음의 조상? | 창세기 12장 #1분성경</v>
      </c>
      <c r="AF26" s="24" t="s">
        <v>304</v>
      </c>
      <c r="AG26" s="24" t="s">
        <v>447</v>
      </c>
      <c r="AH26" s="23" t="s">
        <v>176</v>
      </c>
      <c r="AI26" s="26" t="n">
        <f aca="false">U26-안내!$C$12</f>
        <v>46557</v>
      </c>
      <c r="AJ26" s="23" t="str">
        <f aca="false">IF(U26&lt;IF(C26=1,안내!$C$9,안내!$C$10)+안내!$C$12,"시즌 시작 전 제작","")</f>
        <v>시즌 시작 전 제작</v>
      </c>
      <c r="AK26" s="24" t="s">
        <v>422</v>
      </c>
      <c r="AL26" s="27"/>
      <c r="AM26" s="27"/>
      <c r="AN26" s="27"/>
      <c r="AO26" s="27"/>
      <c r="AP26" s="27"/>
      <c r="AQ26" s="23" t="str">
        <f aca="false">D26&amp;"|"&amp;TEXT(U26,"yyyy-mm-dd")</f>
        <v>구약|2027-07-17</v>
      </c>
      <c r="AR26" s="24" t="s">
        <v>448</v>
      </c>
      <c r="AS26" s="24"/>
    </row>
    <row r="27" customFormat="false" ht="39.55" hidden="false" customHeight="false" outlineLevel="0" collapsed="false">
      <c r="A27" s="21" t="n">
        <v>26</v>
      </c>
      <c r="B27" s="18" t="s">
        <v>449</v>
      </c>
      <c r="C27" s="23" t="n">
        <v>2</v>
      </c>
      <c r="D27" s="23" t="s">
        <v>160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425</v>
      </c>
      <c r="H27" s="18" t="s">
        <v>294</v>
      </c>
      <c r="I27" s="21" t="s">
        <v>163</v>
      </c>
      <c r="J27" s="22" t="s">
        <v>450</v>
      </c>
      <c r="K27" s="23" t="s">
        <v>165</v>
      </c>
      <c r="L27" s="24" t="s">
        <v>451</v>
      </c>
      <c r="M27" s="24" t="s">
        <v>452</v>
      </c>
      <c r="N27" s="23" t="s">
        <v>453</v>
      </c>
      <c r="O27" s="24" t="s">
        <v>454</v>
      </c>
      <c r="P27" s="24" t="s">
        <v>455</v>
      </c>
      <c r="Q27" s="24" t="s">
        <v>456</v>
      </c>
      <c r="R27" s="24"/>
      <c r="S27" s="24" t="s">
        <v>446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174</v>
      </c>
      <c r="Y27" s="23" t="s">
        <v>174</v>
      </c>
      <c r="Z27" s="23" t="s">
        <v>174</v>
      </c>
      <c r="AA27" s="23" t="s">
        <v>174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  <c r="AE27" s="24" t="str">
        <f aca="false">M27&amp;" | 창세기 13장 #"&amp;SUBSTITUTE(안내!$C$5," ","")</f>
        <v>좋은 땅을 양보하면 손해일까? | 창세기 13장 #1분성경</v>
      </c>
      <c r="AF27" s="24" t="s">
        <v>304</v>
      </c>
      <c r="AG27" s="24" t="s">
        <v>457</v>
      </c>
      <c r="AH27" s="23" t="s">
        <v>176</v>
      </c>
      <c r="AI27" s="26" t="n">
        <f aca="false">U27-안내!$C$12</f>
        <v>46558</v>
      </c>
      <c r="AJ27" s="23" t="str">
        <f aca="false">IF(U27&lt;IF(C27=1,안내!$C$9,안내!$C$10)+안내!$C$12,"시즌 시작 전 제작","")</f>
        <v>시즌 시작 전 제작</v>
      </c>
      <c r="AK27" s="24" t="s">
        <v>422</v>
      </c>
      <c r="AL27" s="27"/>
      <c r="AM27" s="27"/>
      <c r="AN27" s="27"/>
      <c r="AO27" s="27"/>
      <c r="AP27" s="27"/>
      <c r="AQ27" s="23" t="str">
        <f aca="false">D27&amp;"|"&amp;TEXT(U27,"yyyy-mm-dd")</f>
        <v>구약|2027-07-18</v>
      </c>
      <c r="AR27" s="24" t="s">
        <v>458</v>
      </c>
      <c r="AS27" s="24"/>
    </row>
    <row r="28" customFormat="false" ht="26.85" hidden="false" customHeight="false" outlineLevel="0" collapsed="false">
      <c r="A28" s="21" t="n">
        <v>27</v>
      </c>
      <c r="B28" s="18" t="s">
        <v>459</v>
      </c>
      <c r="C28" s="23" t="n">
        <v>2</v>
      </c>
      <c r="D28" s="23" t="s">
        <v>160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425</v>
      </c>
      <c r="H28" s="18" t="s">
        <v>294</v>
      </c>
      <c r="I28" s="21" t="s">
        <v>163</v>
      </c>
      <c r="J28" s="22" t="s">
        <v>460</v>
      </c>
      <c r="K28" s="23" t="s">
        <v>165</v>
      </c>
      <c r="L28" s="24" t="s">
        <v>461</v>
      </c>
      <c r="M28" s="30" t="s">
        <v>462</v>
      </c>
      <c r="N28" s="23" t="s">
        <v>463</v>
      </c>
      <c r="O28" s="24" t="s">
        <v>464</v>
      </c>
      <c r="P28" s="24" t="s">
        <v>465</v>
      </c>
      <c r="Q28" s="24" t="s">
        <v>466</v>
      </c>
      <c r="R28" s="25" t="s">
        <v>467</v>
      </c>
      <c r="S28" s="24" t="s">
        <v>446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174</v>
      </c>
      <c r="Y28" s="23" t="s">
        <v>174</v>
      </c>
      <c r="Z28" s="23" t="s">
        <v>174</v>
      </c>
      <c r="AA28" s="23" t="s">
        <v>174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  <c r="AE28" s="24" t="str">
        <f aca="false">M28&amp;" | 창세기 14장 #"&amp;SUBSTITUTE(안내!$C$5," ","")</f>
        <v>318명으로 왕들의 연합군을 이겼다? | 창세기 14장 #1분성경</v>
      </c>
      <c r="AF28" s="24" t="s">
        <v>304</v>
      </c>
      <c r="AG28" s="24" t="s">
        <v>468</v>
      </c>
      <c r="AH28" s="23" t="s">
        <v>360</v>
      </c>
      <c r="AI28" s="26" t="n">
        <f aca="false">U28-안내!$C$12</f>
        <v>46559</v>
      </c>
      <c r="AJ28" s="23" t="str">
        <f aca="false">IF(U28&lt;IF(C28=1,안내!$C$9,안내!$C$10)+안내!$C$12,"시즌 시작 전 제작","")</f>
        <v>시즌 시작 전 제작</v>
      </c>
      <c r="AK28" s="24" t="s">
        <v>422</v>
      </c>
      <c r="AL28" s="27"/>
      <c r="AM28" s="27"/>
      <c r="AN28" s="27"/>
      <c r="AO28" s="27"/>
      <c r="AP28" s="27"/>
      <c r="AQ28" s="23" t="str">
        <f aca="false">D28&amp;"|"&amp;TEXT(U28,"yyyy-mm-dd")</f>
        <v>구약|2027-07-19</v>
      </c>
      <c r="AR28" s="24" t="s">
        <v>469</v>
      </c>
      <c r="AS28" s="24"/>
    </row>
    <row r="29" customFormat="false" ht="52.2" hidden="false" customHeight="false" outlineLevel="0" collapsed="false">
      <c r="A29" s="21" t="n">
        <v>28</v>
      </c>
      <c r="B29" s="18" t="s">
        <v>470</v>
      </c>
      <c r="C29" s="20" t="n">
        <v>1</v>
      </c>
      <c r="D29" s="20" t="s">
        <v>160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425</v>
      </c>
      <c r="H29" s="18" t="s">
        <v>426</v>
      </c>
      <c r="I29" s="21" t="s">
        <v>163</v>
      </c>
      <c r="J29" s="22" t="s">
        <v>471</v>
      </c>
      <c r="K29" s="23" t="s">
        <v>165</v>
      </c>
      <c r="L29" s="24" t="s">
        <v>472</v>
      </c>
      <c r="M29" s="24" t="s">
        <v>473</v>
      </c>
      <c r="N29" s="23" t="s">
        <v>474</v>
      </c>
      <c r="O29" s="24" t="s">
        <v>475</v>
      </c>
      <c r="P29" s="24" t="s">
        <v>476</v>
      </c>
      <c r="Q29" s="24" t="s">
        <v>477</v>
      </c>
      <c r="R29" s="25" t="s">
        <v>478</v>
      </c>
      <c r="S29" s="29" t="s">
        <v>479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174</v>
      </c>
      <c r="Y29" s="23" t="s">
        <v>174</v>
      </c>
      <c r="Z29" s="23" t="s">
        <v>174</v>
      </c>
      <c r="AA29" s="23" t="s">
        <v>174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  <c r="AE29" s="24" t="str">
        <f aca="false">M29&amp;" | 창세기 15장 #"&amp;SUBSTITUTE(안내!$C$5," ","")</f>
        <v>밤하늘의 별을 세라고 하신 이유 | 창세기 15장 #1분성경</v>
      </c>
      <c r="AF29" s="24" t="s">
        <v>480</v>
      </c>
      <c r="AG29" s="24"/>
      <c r="AH29" s="23" t="s">
        <v>290</v>
      </c>
      <c r="AI29" s="26" t="n">
        <f aca="false">U29-안내!$C$12</f>
        <v>46382</v>
      </c>
      <c r="AJ29" s="23" t="str">
        <f aca="false">IF(U29&lt;IF(C29=1,안내!$C$9,안내!$C$10)+안내!$C$12,"시즌 시작 전 제작","")</f>
        <v>시즌 시작 전 제작</v>
      </c>
      <c r="AK29" s="24" t="s">
        <v>422</v>
      </c>
      <c r="AL29" s="27"/>
      <c r="AM29" s="27"/>
      <c r="AN29" s="27"/>
      <c r="AO29" s="27"/>
      <c r="AP29" s="27"/>
      <c r="AQ29" s="23" t="str">
        <f aca="false">D29&amp;"|"&amp;TEXT(U29,"yyyy-mm-dd")</f>
        <v>구약|2027-01-23</v>
      </c>
      <c r="AR29" s="24" t="s">
        <v>481</v>
      </c>
      <c r="AS29" s="24"/>
    </row>
    <row r="30" customFormat="false" ht="39.55" hidden="false" customHeight="false" outlineLevel="0" collapsed="false">
      <c r="A30" s="21" t="n">
        <v>29</v>
      </c>
      <c r="B30" s="18" t="s">
        <v>482</v>
      </c>
      <c r="C30" s="23" t="n">
        <v>2</v>
      </c>
      <c r="D30" s="23" t="s">
        <v>160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425</v>
      </c>
      <c r="H30" s="18" t="s">
        <v>294</v>
      </c>
      <c r="I30" s="21" t="s">
        <v>163</v>
      </c>
      <c r="J30" s="22" t="s">
        <v>483</v>
      </c>
      <c r="K30" s="23" t="s">
        <v>165</v>
      </c>
      <c r="L30" s="24" t="s">
        <v>484</v>
      </c>
      <c r="M30" s="24" t="s">
        <v>485</v>
      </c>
      <c r="N30" s="23" t="s">
        <v>486</v>
      </c>
      <c r="O30" s="24" t="s">
        <v>487</v>
      </c>
      <c r="P30" s="24" t="s">
        <v>488</v>
      </c>
      <c r="Q30" s="24" t="s">
        <v>489</v>
      </c>
      <c r="R30" s="25" t="s">
        <v>490</v>
      </c>
      <c r="S30" s="24" t="s">
        <v>491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174</v>
      </c>
      <c r="Y30" s="23" t="s">
        <v>174</v>
      </c>
      <c r="Z30" s="23" t="s">
        <v>174</v>
      </c>
      <c r="AA30" s="23" t="s">
        <v>174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  <c r="AE30" s="24" t="str">
        <f aca="false">M30&amp;" | 창세기 16장 #"&amp;SUBSTITUTE(안내!$C$5," ","")</f>
        <v>기다리다 지쳐 선택한 지름길 | 창세기 16장 #1분성경</v>
      </c>
      <c r="AF30" s="24" t="s">
        <v>304</v>
      </c>
      <c r="AG30" s="24"/>
      <c r="AH30" s="23" t="s">
        <v>290</v>
      </c>
      <c r="AI30" s="26" t="n">
        <f aca="false">U30-안내!$C$12</f>
        <v>46560</v>
      </c>
      <c r="AJ30" s="23" t="str">
        <f aca="false">IF(U30&lt;IF(C30=1,안내!$C$9,안내!$C$10)+안내!$C$12,"시즌 시작 전 제작","")</f>
        <v>시즌 시작 전 제작</v>
      </c>
      <c r="AK30" s="24" t="s">
        <v>422</v>
      </c>
      <c r="AL30" s="27"/>
      <c r="AM30" s="27"/>
      <c r="AN30" s="27"/>
      <c r="AO30" s="27"/>
      <c r="AP30" s="27"/>
      <c r="AQ30" s="23" t="str">
        <f aca="false">D30&amp;"|"&amp;TEXT(U30,"yyyy-mm-dd")</f>
        <v>구약|2027-07-20</v>
      </c>
      <c r="AR30" s="24" t="s">
        <v>492</v>
      </c>
      <c r="AS30" s="24" t="s">
        <v>292</v>
      </c>
    </row>
    <row r="31" customFormat="false" ht="26.85" hidden="false" customHeight="false" outlineLevel="0" collapsed="false">
      <c r="A31" s="21" t="n">
        <v>30</v>
      </c>
      <c r="B31" s="18" t="s">
        <v>493</v>
      </c>
      <c r="C31" s="23" t="n">
        <v>2</v>
      </c>
      <c r="D31" s="23" t="s">
        <v>160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425</v>
      </c>
      <c r="H31" s="18" t="s">
        <v>294</v>
      </c>
      <c r="I31" s="21" t="s">
        <v>163</v>
      </c>
      <c r="J31" s="22" t="s">
        <v>494</v>
      </c>
      <c r="K31" s="23" t="s">
        <v>165</v>
      </c>
      <c r="L31" s="24" t="s">
        <v>495</v>
      </c>
      <c r="M31" s="30" t="s">
        <v>496</v>
      </c>
      <c r="N31" s="23" t="s">
        <v>497</v>
      </c>
      <c r="O31" s="24" t="s">
        <v>498</v>
      </c>
      <c r="P31" s="24" t="s">
        <v>499</v>
      </c>
      <c r="Q31" s="24" t="s">
        <v>500</v>
      </c>
      <c r="R31" s="25" t="s">
        <v>501</v>
      </c>
      <c r="S31" s="24" t="s">
        <v>491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174</v>
      </c>
      <c r="Y31" s="23" t="s">
        <v>174</v>
      </c>
      <c r="Z31" s="23" t="s">
        <v>174</v>
      </c>
      <c r="AA31" s="23" t="s">
        <v>174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  <c r="AE31" s="24" t="str">
        <f aca="false">M31&amp;" | 창세기 17장 #"&amp;SUBSTITUTE(안내!$C$5," ","")</f>
        <v>99세에 이름을 바꾼 이유 | 창세기 17장 #1분성경</v>
      </c>
      <c r="AF31" s="24" t="s">
        <v>304</v>
      </c>
      <c r="AG31" s="24"/>
      <c r="AH31" s="23" t="s">
        <v>360</v>
      </c>
      <c r="AI31" s="26" t="n">
        <f aca="false">U31-안내!$C$12</f>
        <v>46561</v>
      </c>
      <c r="AJ31" s="23" t="str">
        <f aca="false">IF(U31&lt;IF(C31=1,안내!$C$9,안내!$C$10)+안내!$C$12,"시즌 시작 전 제작","")</f>
        <v>시즌 시작 전 제작</v>
      </c>
      <c r="AK31" s="24" t="s">
        <v>422</v>
      </c>
      <c r="AL31" s="27"/>
      <c r="AM31" s="27"/>
      <c r="AN31" s="27"/>
      <c r="AO31" s="27"/>
      <c r="AP31" s="27"/>
      <c r="AQ31" s="23" t="str">
        <f aca="false">D31&amp;"|"&amp;TEXT(U31,"yyyy-mm-dd")</f>
        <v>구약|2027-07-21</v>
      </c>
      <c r="AR31" s="24" t="s">
        <v>502</v>
      </c>
      <c r="AS31" s="24"/>
    </row>
    <row r="32" customFormat="false" ht="39.55" hidden="false" customHeight="false" outlineLevel="0" collapsed="false">
      <c r="A32" s="21" t="n">
        <v>31</v>
      </c>
      <c r="B32" s="18" t="s">
        <v>503</v>
      </c>
      <c r="C32" s="20" t="n">
        <v>1</v>
      </c>
      <c r="D32" s="20" t="s">
        <v>160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504</v>
      </c>
      <c r="H32" s="18" t="s">
        <v>426</v>
      </c>
      <c r="I32" s="21" t="s">
        <v>163</v>
      </c>
      <c r="J32" s="22" t="s">
        <v>505</v>
      </c>
      <c r="K32" s="23" t="s">
        <v>165</v>
      </c>
      <c r="L32" s="24" t="s">
        <v>506</v>
      </c>
      <c r="M32" s="30" t="s">
        <v>507</v>
      </c>
      <c r="N32" s="23" t="s">
        <v>508</v>
      </c>
      <c r="O32" s="24" t="s">
        <v>509</v>
      </c>
      <c r="P32" s="24" t="s">
        <v>510</v>
      </c>
      <c r="Q32" s="24" t="s">
        <v>511</v>
      </c>
      <c r="R32" s="25" t="s">
        <v>512</v>
      </c>
      <c r="S32" s="29" t="s">
        <v>513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174</v>
      </c>
      <c r="Y32" s="23" t="s">
        <v>174</v>
      </c>
      <c r="Z32" s="23" t="s">
        <v>174</v>
      </c>
      <c r="AA32" s="23" t="s">
        <v>174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  <c r="AE32" s="24" t="str">
        <f aca="false">M32&amp;" | 창세기 18장 #"&amp;SUBSTITUTE(안내!$C$5," ","")</f>
        <v>99세 할아버지에게 아들이 생긴다고? | 창세기 18장 #1분성경</v>
      </c>
      <c r="AF32" s="24" t="s">
        <v>514</v>
      </c>
      <c r="AG32" s="24" t="s">
        <v>515</v>
      </c>
      <c r="AH32" s="23" t="s">
        <v>360</v>
      </c>
      <c r="AI32" s="26" t="n">
        <f aca="false">U32-안내!$C$12</f>
        <v>46383</v>
      </c>
      <c r="AJ32" s="23" t="str">
        <f aca="false">IF(U32&lt;IF(C32=1,안내!$C$9,안내!$C$10)+안내!$C$12,"시즌 시작 전 제작","")</f>
        <v>시즌 시작 전 제작</v>
      </c>
      <c r="AK32" s="24" t="s">
        <v>422</v>
      </c>
      <c r="AL32" s="27"/>
      <c r="AM32" s="27"/>
      <c r="AN32" s="27"/>
      <c r="AO32" s="27"/>
      <c r="AP32" s="27"/>
      <c r="AQ32" s="23" t="str">
        <f aca="false">D32&amp;"|"&amp;TEXT(U32,"yyyy-mm-dd")</f>
        <v>구약|2027-01-24</v>
      </c>
      <c r="AR32" s="24" t="s">
        <v>516</v>
      </c>
      <c r="AS32" s="24"/>
    </row>
    <row r="33" customFormat="false" ht="39.55" hidden="false" customHeight="false" outlineLevel="0" collapsed="false">
      <c r="A33" s="21" t="n">
        <v>32</v>
      </c>
      <c r="B33" s="18" t="s">
        <v>517</v>
      </c>
      <c r="C33" s="23" t="n">
        <v>2</v>
      </c>
      <c r="D33" s="23" t="s">
        <v>160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504</v>
      </c>
      <c r="H33" s="18" t="s">
        <v>518</v>
      </c>
      <c r="I33" s="21" t="s">
        <v>163</v>
      </c>
      <c r="J33" s="22" t="s">
        <v>519</v>
      </c>
      <c r="K33" s="23" t="s">
        <v>165</v>
      </c>
      <c r="L33" s="24" t="s">
        <v>520</v>
      </c>
      <c r="M33" s="24" t="s">
        <v>521</v>
      </c>
      <c r="N33" s="23" t="s">
        <v>522</v>
      </c>
      <c r="O33" s="24" t="s">
        <v>523</v>
      </c>
      <c r="P33" s="24" t="s">
        <v>422</v>
      </c>
      <c r="Q33" s="24" t="s">
        <v>524</v>
      </c>
      <c r="R33" s="24"/>
      <c r="S33" s="24" t="s">
        <v>525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174</v>
      </c>
      <c r="Y33" s="23" t="s">
        <v>174</v>
      </c>
      <c r="Z33" s="23" t="s">
        <v>174</v>
      </c>
      <c r="AA33" s="23" t="s">
        <v>174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  <c r="AE33" s="24" t="str">
        <f aca="false">M33&amp;" | 창세기 18장 #"&amp;SUBSTITUTE(안내!$C$5," ","")</f>
        <v>하나님께 여섯 번이나 다시 부탁한 사람 | 창세기 18장 #1분성경</v>
      </c>
      <c r="AF33" s="24" t="s">
        <v>304</v>
      </c>
      <c r="AG33" s="24"/>
      <c r="AH33" s="23" t="s">
        <v>290</v>
      </c>
      <c r="AI33" s="26" t="n">
        <f aca="false">U33-안내!$C$12</f>
        <v>46562</v>
      </c>
      <c r="AJ33" s="23" t="str">
        <f aca="false">IF(U33&lt;IF(C33=1,안내!$C$9,안내!$C$10)+안내!$C$12,"시즌 시작 전 제작","")</f>
        <v>시즌 시작 전 제작</v>
      </c>
      <c r="AK33" s="24" t="s">
        <v>422</v>
      </c>
      <c r="AL33" s="27"/>
      <c r="AM33" s="27"/>
      <c r="AN33" s="27"/>
      <c r="AO33" s="27"/>
      <c r="AP33" s="27"/>
      <c r="AQ33" s="23" t="str">
        <f aca="false">D33&amp;"|"&amp;TEXT(U33,"yyyy-mm-dd")</f>
        <v>구약|2027-07-22</v>
      </c>
      <c r="AR33" s="24" t="s">
        <v>526</v>
      </c>
      <c r="AS33" s="24" t="s">
        <v>292</v>
      </c>
    </row>
    <row r="34" customFormat="false" ht="26.85" hidden="false" customHeight="false" outlineLevel="0" collapsed="false">
      <c r="A34" s="21" t="n">
        <v>33</v>
      </c>
      <c r="B34" s="18" t="s">
        <v>527</v>
      </c>
      <c r="C34" s="23" t="n">
        <v>2</v>
      </c>
      <c r="D34" s="23" t="s">
        <v>160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504</v>
      </c>
      <c r="H34" s="18" t="s">
        <v>518</v>
      </c>
      <c r="I34" s="21" t="s">
        <v>163</v>
      </c>
      <c r="J34" s="22" t="s">
        <v>528</v>
      </c>
      <c r="K34" s="23" t="s">
        <v>165</v>
      </c>
      <c r="L34" s="24" t="s">
        <v>529</v>
      </c>
      <c r="M34" s="24" t="s">
        <v>530</v>
      </c>
      <c r="N34" s="23" t="s">
        <v>531</v>
      </c>
      <c r="O34" s="24" t="s">
        <v>532</v>
      </c>
      <c r="P34" s="24" t="s">
        <v>533</v>
      </c>
      <c r="Q34" s="24" t="s">
        <v>534</v>
      </c>
      <c r="R34" s="25" t="s">
        <v>535</v>
      </c>
      <c r="S34" s="24" t="s">
        <v>525</v>
      </c>
      <c r="T34" s="24" t="str">
        <f aca="false">"["&amp;안내!$C$5&amp;" "&amp;F34&amp;"] "&amp;L34&amp;" | "&amp;J34</f>
        <v>[1분 성경 구약 #194] 소돔과 고모라 | 창 19:1-38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174</v>
      </c>
      <c r="Y34" s="23" t="s">
        <v>174</v>
      </c>
      <c r="Z34" s="23" t="s">
        <v>174</v>
      </c>
      <c r="AA34" s="23" t="s">
        <v>174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  <c r="AE34" s="24" t="str">
        <f aca="false">M34&amp;" | 창세기 19장 #"&amp;SUBSTITUTE(안내!$C$5," ","")</f>
        <v>뒤를 돌아본 여인이 소금 기둥이 되었다? | 창세기 19장 #1분성경</v>
      </c>
      <c r="AF34" s="24" t="s">
        <v>304</v>
      </c>
      <c r="AG34" s="24"/>
      <c r="AH34" s="23" t="s">
        <v>176</v>
      </c>
      <c r="AI34" s="26" t="n">
        <f aca="false">U34-안내!$C$12</f>
        <v>46563</v>
      </c>
      <c r="AJ34" s="23" t="str">
        <f aca="false">IF(U34&lt;IF(C34=1,안내!$C$9,안내!$C$10)+안내!$C$12,"시즌 시작 전 제작","")</f>
        <v>시즌 시작 전 제작</v>
      </c>
      <c r="AK34" s="24"/>
      <c r="AL34" s="27"/>
      <c r="AM34" s="27"/>
      <c r="AN34" s="27"/>
      <c r="AO34" s="27"/>
      <c r="AP34" s="27"/>
      <c r="AQ34" s="23" t="str">
        <f aca="false">D34&amp;"|"&amp;TEXT(U34,"yyyy-mm-dd")</f>
        <v>구약|2027-07-23</v>
      </c>
      <c r="AR34" s="24" t="s">
        <v>536</v>
      </c>
      <c r="AS34" s="24"/>
    </row>
    <row r="35" customFormat="false" ht="39.55" hidden="false" customHeight="false" outlineLevel="0" collapsed="false">
      <c r="A35" s="21" t="n">
        <v>34</v>
      </c>
      <c r="B35" s="18" t="s">
        <v>537</v>
      </c>
      <c r="C35" s="23" t="n">
        <v>2</v>
      </c>
      <c r="D35" s="23" t="s">
        <v>160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504</v>
      </c>
      <c r="H35" s="18" t="s">
        <v>518</v>
      </c>
      <c r="I35" s="21" t="s">
        <v>163</v>
      </c>
      <c r="J35" s="22" t="s">
        <v>538</v>
      </c>
      <c r="K35" s="23" t="s">
        <v>165</v>
      </c>
      <c r="L35" s="24" t="s">
        <v>539</v>
      </c>
      <c r="M35" s="24" t="s">
        <v>540</v>
      </c>
      <c r="N35" s="23" t="s">
        <v>541</v>
      </c>
      <c r="O35" s="24" t="s">
        <v>542</v>
      </c>
      <c r="P35" s="24" t="s">
        <v>543</v>
      </c>
      <c r="Q35" s="24" t="s">
        <v>544</v>
      </c>
      <c r="R35" s="24"/>
      <c r="S35" s="24" t="s">
        <v>525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174</v>
      </c>
      <c r="Y35" s="23" t="s">
        <v>174</v>
      </c>
      <c r="Z35" s="23" t="s">
        <v>174</v>
      </c>
      <c r="AA35" s="23" t="s">
        <v>174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  <c r="AE35" s="24" t="str">
        <f aca="false">M35&amp;" | 창세기 20장 #"&amp;SUBSTITUTE(안내!$C$5," ","")</f>
        <v>하나님이 꿈에 나타나 왕을 막으셨다 | 창세기 20장 #1분성경</v>
      </c>
      <c r="AF35" s="24" t="s">
        <v>304</v>
      </c>
      <c r="AG35" s="24" t="s">
        <v>545</v>
      </c>
      <c r="AH35" s="23" t="s">
        <v>290</v>
      </c>
      <c r="AI35" s="26" t="n">
        <f aca="false">U35-안내!$C$12</f>
        <v>46564</v>
      </c>
      <c r="AJ35" s="23" t="str">
        <f aca="false">IF(U35&lt;IF(C35=1,안내!$C$9,안내!$C$10)+안내!$C$12,"시즌 시작 전 제작","")</f>
        <v>시즌 시작 전 제작</v>
      </c>
      <c r="AK35" s="24" t="s">
        <v>422</v>
      </c>
      <c r="AL35" s="27"/>
      <c r="AM35" s="27"/>
      <c r="AN35" s="27"/>
      <c r="AO35" s="27"/>
      <c r="AP35" s="27"/>
      <c r="AQ35" s="23" t="str">
        <f aca="false">D35&amp;"|"&amp;TEXT(U35,"yyyy-mm-dd")</f>
        <v>구약|2027-07-24</v>
      </c>
      <c r="AR35" s="24" t="s">
        <v>546</v>
      </c>
      <c r="AS35" s="24"/>
    </row>
    <row r="36" customFormat="false" ht="52.2" hidden="false" customHeight="false" outlineLevel="0" collapsed="false">
      <c r="A36" s="21" t="n">
        <v>35</v>
      </c>
      <c r="B36" s="18" t="s">
        <v>547</v>
      </c>
      <c r="C36" s="20" t="n">
        <v>1</v>
      </c>
      <c r="D36" s="20" t="s">
        <v>160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504</v>
      </c>
      <c r="H36" s="18" t="s">
        <v>426</v>
      </c>
      <c r="I36" s="21" t="s">
        <v>163</v>
      </c>
      <c r="J36" s="22" t="s">
        <v>548</v>
      </c>
      <c r="K36" s="23" t="s">
        <v>165</v>
      </c>
      <c r="L36" s="24" t="s">
        <v>549</v>
      </c>
      <c r="M36" s="30" t="s">
        <v>550</v>
      </c>
      <c r="N36" s="23" t="s">
        <v>551</v>
      </c>
      <c r="O36" s="24" t="s">
        <v>552</v>
      </c>
      <c r="P36" s="24" t="s">
        <v>553</v>
      </c>
      <c r="Q36" s="24" t="s">
        <v>500</v>
      </c>
      <c r="R36" s="24"/>
      <c r="S36" s="29" t="s">
        <v>554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174</v>
      </c>
      <c r="Y36" s="23" t="s">
        <v>174</v>
      </c>
      <c r="Z36" s="23" t="s">
        <v>174</v>
      </c>
      <c r="AA36" s="23" t="s">
        <v>174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  <c r="AE36" s="24" t="str">
        <f aca="false">M36&amp;" | 창세기 21장 #"&amp;SUBSTITUTE(안내!$C$5," ","")</f>
        <v>100세에 아버지가 된 사람 | 창세기 21장 #1분성경</v>
      </c>
      <c r="AF36" s="24" t="s">
        <v>555</v>
      </c>
      <c r="AG36" s="24" t="s">
        <v>556</v>
      </c>
      <c r="AH36" s="23" t="s">
        <v>360</v>
      </c>
      <c r="AI36" s="26" t="n">
        <f aca="false">U36-안내!$C$12</f>
        <v>46384</v>
      </c>
      <c r="AJ36" s="23" t="str">
        <f aca="false">IF(U36&lt;IF(C36=1,안내!$C$9,안내!$C$10)+안내!$C$12,"시즌 시작 전 제작","")</f>
        <v>시즌 시작 전 제작</v>
      </c>
      <c r="AK36" s="24" t="s">
        <v>422</v>
      </c>
      <c r="AL36" s="27"/>
      <c r="AM36" s="27"/>
      <c r="AN36" s="27"/>
      <c r="AO36" s="27"/>
      <c r="AP36" s="27"/>
      <c r="AQ36" s="23" t="str">
        <f aca="false">D36&amp;"|"&amp;TEXT(U36,"yyyy-mm-dd")</f>
        <v>구약|2027-01-25</v>
      </c>
      <c r="AR36" s="24" t="s">
        <v>557</v>
      </c>
      <c r="AS36" s="24"/>
    </row>
    <row r="37" customFormat="false" ht="39.55" hidden="false" customHeight="false" outlineLevel="0" collapsed="false">
      <c r="A37" s="21" t="n">
        <v>36</v>
      </c>
      <c r="B37" s="18" t="s">
        <v>558</v>
      </c>
      <c r="C37" s="23" t="n">
        <v>2</v>
      </c>
      <c r="D37" s="23" t="s">
        <v>160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504</v>
      </c>
      <c r="H37" s="18" t="s">
        <v>518</v>
      </c>
      <c r="I37" s="21" t="s">
        <v>163</v>
      </c>
      <c r="J37" s="22" t="s">
        <v>559</v>
      </c>
      <c r="K37" s="23" t="s">
        <v>165</v>
      </c>
      <c r="L37" s="24" t="s">
        <v>560</v>
      </c>
      <c r="M37" s="24" t="s">
        <v>561</v>
      </c>
      <c r="N37" s="23" t="s">
        <v>562</v>
      </c>
      <c r="O37" s="24" t="s">
        <v>563</v>
      </c>
      <c r="P37" s="24" t="s">
        <v>564</v>
      </c>
      <c r="Q37" s="24" t="s">
        <v>565</v>
      </c>
      <c r="R37" s="24"/>
      <c r="S37" s="24" t="s">
        <v>566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174</v>
      </c>
      <c r="Y37" s="23" t="s">
        <v>174</v>
      </c>
      <c r="Z37" s="23" t="s">
        <v>174</v>
      </c>
      <c r="AA37" s="23" t="s">
        <v>174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  <c r="AE37" s="24" t="str">
        <f aca="false">M37&amp;" | 창세기 21장 #"&amp;SUBSTITUTE(안내!$C$5," ","")</f>
        <v>하나님이 아이의 울음소리를 들으셨다 | 창세기 21장 #1분성경</v>
      </c>
      <c r="AF37" s="24" t="s">
        <v>304</v>
      </c>
      <c r="AG37" s="24"/>
      <c r="AH37" s="23" t="s">
        <v>290</v>
      </c>
      <c r="AI37" s="26" t="n">
        <f aca="false">U37-안내!$C$12</f>
        <v>46565</v>
      </c>
      <c r="AJ37" s="23" t="str">
        <f aca="false">IF(U37&lt;IF(C37=1,안내!$C$9,안내!$C$10)+안내!$C$12,"시즌 시작 전 제작","")</f>
        <v>시즌 시작 전 제작</v>
      </c>
      <c r="AK37" s="24"/>
      <c r="AL37" s="27"/>
      <c r="AM37" s="27"/>
      <c r="AN37" s="27"/>
      <c r="AO37" s="27"/>
      <c r="AP37" s="27"/>
      <c r="AQ37" s="23" t="str">
        <f aca="false">D37&amp;"|"&amp;TEXT(U37,"yyyy-mm-dd")</f>
        <v>구약|2027-07-25</v>
      </c>
      <c r="AR37" s="24" t="s">
        <v>567</v>
      </c>
      <c r="AS37" s="24"/>
    </row>
    <row r="38" customFormat="false" ht="26.85" hidden="false" customHeight="false" outlineLevel="0" collapsed="false">
      <c r="A38" s="21" t="n">
        <v>37</v>
      </c>
      <c r="B38" s="18" t="s">
        <v>568</v>
      </c>
      <c r="C38" s="20" t="n">
        <v>1</v>
      </c>
      <c r="D38" s="20" t="s">
        <v>160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504</v>
      </c>
      <c r="H38" s="18" t="s">
        <v>426</v>
      </c>
      <c r="I38" s="21" t="s">
        <v>163</v>
      </c>
      <c r="J38" s="22" t="s">
        <v>569</v>
      </c>
      <c r="K38" s="23" t="s">
        <v>165</v>
      </c>
      <c r="L38" s="24" t="s">
        <v>570</v>
      </c>
      <c r="M38" s="24" t="s">
        <v>571</v>
      </c>
      <c r="N38" s="23" t="s">
        <v>572</v>
      </c>
      <c r="O38" s="24" t="s">
        <v>573</v>
      </c>
      <c r="P38" s="24" t="s">
        <v>574</v>
      </c>
      <c r="Q38" s="24" t="s">
        <v>575</v>
      </c>
      <c r="R38" s="25" t="s">
        <v>576</v>
      </c>
      <c r="S38" s="29" t="s">
        <v>577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174</v>
      </c>
      <c r="Y38" s="23" t="s">
        <v>174</v>
      </c>
      <c r="Z38" s="23" t="s">
        <v>174</v>
      </c>
      <c r="AA38" s="23" t="s">
        <v>174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  <c r="AE38" s="24" t="str">
        <f aca="false">M38&amp;" | 창세기 22장 #"&amp;SUBSTITUTE(안내!$C$5," ","")</f>
        <v>가장 사랑하는 아들을 바치라고? | 창세기 22장 #1분성경</v>
      </c>
      <c r="AF38" s="24" t="s">
        <v>578</v>
      </c>
      <c r="AG38" s="24"/>
      <c r="AH38" s="23" t="s">
        <v>176</v>
      </c>
      <c r="AI38" s="26" t="n">
        <f aca="false">U38-안내!$C$12</f>
        <v>46385</v>
      </c>
      <c r="AJ38" s="23" t="str">
        <f aca="false">IF(U38&lt;IF(C38=1,안내!$C$9,안내!$C$10)+안내!$C$12,"시즌 시작 전 제작","")</f>
        <v>시즌 시작 전 제작</v>
      </c>
      <c r="AK38" s="24" t="s">
        <v>422</v>
      </c>
      <c r="AL38" s="27"/>
      <c r="AM38" s="27"/>
      <c r="AN38" s="27"/>
      <c r="AO38" s="27"/>
      <c r="AP38" s="27"/>
      <c r="AQ38" s="23" t="str">
        <f aca="false">D38&amp;"|"&amp;TEXT(U38,"yyyy-mm-dd")</f>
        <v>구약|2027-01-26</v>
      </c>
      <c r="AR38" s="24" t="s">
        <v>579</v>
      </c>
      <c r="AS38" s="24"/>
    </row>
    <row r="39" customFormat="false" ht="26.85" hidden="false" customHeight="false" outlineLevel="0" collapsed="false">
      <c r="A39" s="21" t="n">
        <v>38</v>
      </c>
      <c r="B39" s="18" t="s">
        <v>580</v>
      </c>
      <c r="C39" s="23" t="n">
        <v>2</v>
      </c>
      <c r="D39" s="23" t="s">
        <v>160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504</v>
      </c>
      <c r="H39" s="18" t="s">
        <v>518</v>
      </c>
      <c r="I39" s="21" t="s">
        <v>163</v>
      </c>
      <c r="J39" s="22" t="s">
        <v>581</v>
      </c>
      <c r="K39" s="23" t="s">
        <v>165</v>
      </c>
      <c r="L39" s="24" t="s">
        <v>582</v>
      </c>
      <c r="M39" s="24" t="s">
        <v>583</v>
      </c>
      <c r="N39" s="23" t="s">
        <v>584</v>
      </c>
      <c r="O39" s="24" t="s">
        <v>585</v>
      </c>
      <c r="P39" s="24" t="s">
        <v>586</v>
      </c>
      <c r="Q39" s="24" t="s">
        <v>587</v>
      </c>
      <c r="R39" s="24"/>
      <c r="S39" s="24" t="s">
        <v>588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174</v>
      </c>
      <c r="Y39" s="23" t="s">
        <v>174</v>
      </c>
      <c r="Z39" s="23" t="s">
        <v>174</v>
      </c>
      <c r="AA39" s="23" t="s">
        <v>174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  <c r="AE39" s="24" t="str">
        <f aca="false">M39&amp;" | 창세기 22~23장 #"&amp;SUBSTITUTE(안내!$C$5," ","")</f>
        <v>약속의 땅에서 처음 산 땅이 무덤? | 창세기 22~23장 #1분성경</v>
      </c>
      <c r="AF39" s="24" t="s">
        <v>304</v>
      </c>
      <c r="AG39" s="24"/>
      <c r="AH39" s="23" t="s">
        <v>176</v>
      </c>
      <c r="AI39" s="26" t="n">
        <f aca="false">U39-안내!$C$12</f>
        <v>46566</v>
      </c>
      <c r="AJ39" s="23" t="str">
        <f aca="false">IF(U39&lt;IF(C39=1,안내!$C$9,안내!$C$10)+안내!$C$12,"시즌 시작 전 제작","")</f>
        <v>시즌 시작 전 제작</v>
      </c>
      <c r="AK39" s="24" t="s">
        <v>422</v>
      </c>
      <c r="AL39" s="27"/>
      <c r="AM39" s="27"/>
      <c r="AN39" s="27"/>
      <c r="AO39" s="27"/>
      <c r="AP39" s="27"/>
      <c r="AQ39" s="23" t="str">
        <f aca="false">D39&amp;"|"&amp;TEXT(U39,"yyyy-mm-dd")</f>
        <v>구약|2027-07-26</v>
      </c>
      <c r="AR39" s="24" t="s">
        <v>589</v>
      </c>
      <c r="AS39" s="24"/>
    </row>
    <row r="40" customFormat="false" ht="26.85" hidden="false" customHeight="false" outlineLevel="0" collapsed="false">
      <c r="A40" s="21" t="n">
        <v>39</v>
      </c>
      <c r="B40" s="18" t="s">
        <v>590</v>
      </c>
      <c r="C40" s="20" t="n">
        <v>1</v>
      </c>
      <c r="D40" s="20" t="s">
        <v>160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591</v>
      </c>
      <c r="H40" s="18" t="s">
        <v>426</v>
      </c>
      <c r="I40" s="21" t="s">
        <v>163</v>
      </c>
      <c r="J40" s="22" t="s">
        <v>592</v>
      </c>
      <c r="K40" s="23" t="s">
        <v>165</v>
      </c>
      <c r="L40" s="24" t="s">
        <v>593</v>
      </c>
      <c r="M40" s="24" t="s">
        <v>594</v>
      </c>
      <c r="N40" s="23" t="s">
        <v>595</v>
      </c>
      <c r="O40" s="24" t="s">
        <v>596</v>
      </c>
      <c r="P40" s="24" t="s">
        <v>597</v>
      </c>
      <c r="Q40" s="24" t="s">
        <v>598</v>
      </c>
      <c r="R40" s="24"/>
      <c r="S40" s="29" t="s">
        <v>599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174</v>
      </c>
      <c r="Y40" s="23" t="s">
        <v>174</v>
      </c>
      <c r="Z40" s="23" t="s">
        <v>174</v>
      </c>
      <c r="AA40" s="23" t="s">
        <v>174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  <c r="AE40" s="24" t="str">
        <f aca="false">M40&amp;" | 창세기 24장 #"&amp;SUBSTITUTE(안내!$C$5," ","")</f>
        <v>기도가 끝나기도 전에 응답이 왔다? | 창세기 24장 #1분성경</v>
      </c>
      <c r="AF40" s="24" t="s">
        <v>600</v>
      </c>
      <c r="AG40" s="24" t="s">
        <v>601</v>
      </c>
      <c r="AH40" s="23" t="s">
        <v>176</v>
      </c>
      <c r="AI40" s="26" t="n">
        <f aca="false">U40-안내!$C$12</f>
        <v>46386</v>
      </c>
      <c r="AJ40" s="23" t="str">
        <f aca="false">IF(U40&lt;IF(C40=1,안내!$C$9,안내!$C$10)+안내!$C$12,"시즌 시작 전 제작","")</f>
        <v>시즌 시작 전 제작</v>
      </c>
      <c r="AK40" s="24"/>
      <c r="AL40" s="27"/>
      <c r="AM40" s="27"/>
      <c r="AN40" s="27"/>
      <c r="AO40" s="27"/>
      <c r="AP40" s="27"/>
      <c r="AQ40" s="23" t="str">
        <f aca="false">D40&amp;"|"&amp;TEXT(U40,"yyyy-mm-dd")</f>
        <v>구약|2027-01-27</v>
      </c>
      <c r="AR40" s="24" t="s">
        <v>602</v>
      </c>
      <c r="AS40" s="24"/>
    </row>
    <row r="41" customFormat="false" ht="26.85" hidden="false" customHeight="false" outlineLevel="0" collapsed="false">
      <c r="A41" s="21" t="n">
        <v>40</v>
      </c>
      <c r="B41" s="18" t="s">
        <v>603</v>
      </c>
      <c r="C41" s="23" t="n">
        <v>2</v>
      </c>
      <c r="D41" s="23" t="s">
        <v>160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591</v>
      </c>
      <c r="H41" s="18" t="s">
        <v>518</v>
      </c>
      <c r="I41" s="21" t="s">
        <v>163</v>
      </c>
      <c r="J41" s="22" t="s">
        <v>604</v>
      </c>
      <c r="K41" s="23" t="s">
        <v>165</v>
      </c>
      <c r="L41" s="24" t="s">
        <v>605</v>
      </c>
      <c r="M41" s="24" t="s">
        <v>606</v>
      </c>
      <c r="N41" s="23" t="s">
        <v>607</v>
      </c>
      <c r="O41" s="24" t="s">
        <v>608</v>
      </c>
      <c r="P41" s="24" t="s">
        <v>609</v>
      </c>
      <c r="Q41" s="24" t="s">
        <v>610</v>
      </c>
      <c r="R41" s="24"/>
      <c r="S41" s="24" t="s">
        <v>611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174</v>
      </c>
      <c r="Y41" s="23" t="s">
        <v>174</v>
      </c>
      <c r="Z41" s="23" t="s">
        <v>174</v>
      </c>
      <c r="AA41" s="23" t="s">
        <v>174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  <c r="AE41" s="24" t="str">
        <f aca="false">M41&amp;" | 창세기 24장 #"&amp;SUBSTITUTE(안내!$C$5," ","")</f>
        <v>처음 본 사람에게 시집가겠다고? | 창세기 24장 #1분성경</v>
      </c>
      <c r="AF41" s="24" t="s">
        <v>304</v>
      </c>
      <c r="AG41" s="24" t="s">
        <v>612</v>
      </c>
      <c r="AH41" s="23" t="s">
        <v>176</v>
      </c>
      <c r="AI41" s="26" t="n">
        <f aca="false">U41-안내!$C$12</f>
        <v>46567</v>
      </c>
      <c r="AJ41" s="23" t="str">
        <f aca="false">IF(U41&lt;IF(C41=1,안내!$C$9,안내!$C$10)+안내!$C$12,"시즌 시작 전 제작","")</f>
        <v>시즌 시작 전 제작</v>
      </c>
      <c r="AK41" s="24"/>
      <c r="AL41" s="27"/>
      <c r="AM41" s="27"/>
      <c r="AN41" s="27"/>
      <c r="AO41" s="27"/>
      <c r="AP41" s="27"/>
      <c r="AQ41" s="23" t="str">
        <f aca="false">D41&amp;"|"&amp;TEXT(U41,"yyyy-mm-dd")</f>
        <v>구약|2027-07-27</v>
      </c>
      <c r="AR41" s="24" t="s">
        <v>613</v>
      </c>
      <c r="AS41" s="24"/>
    </row>
    <row r="42" customFormat="false" ht="26.85" hidden="false" customHeight="false" outlineLevel="0" collapsed="false">
      <c r="A42" s="21" t="n">
        <v>41</v>
      </c>
      <c r="B42" s="18" t="s">
        <v>614</v>
      </c>
      <c r="C42" s="23" t="n">
        <v>2</v>
      </c>
      <c r="D42" s="23" t="s">
        <v>160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591</v>
      </c>
      <c r="H42" s="18" t="s">
        <v>518</v>
      </c>
      <c r="I42" s="21" t="s">
        <v>163</v>
      </c>
      <c r="J42" s="22" t="s">
        <v>615</v>
      </c>
      <c r="K42" s="23" t="s">
        <v>165</v>
      </c>
      <c r="L42" s="24" t="s">
        <v>616</v>
      </c>
      <c r="M42" s="30" t="s">
        <v>617</v>
      </c>
      <c r="N42" s="23" t="s">
        <v>618</v>
      </c>
      <c r="O42" s="24" t="s">
        <v>619</v>
      </c>
      <c r="P42" s="24" t="s">
        <v>620</v>
      </c>
      <c r="Q42" s="24" t="s">
        <v>621</v>
      </c>
      <c r="R42" s="24"/>
      <c r="S42" s="24" t="s">
        <v>611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174</v>
      </c>
      <c r="Y42" s="23" t="s">
        <v>174</v>
      </c>
      <c r="Z42" s="23" t="s">
        <v>174</v>
      </c>
      <c r="AA42" s="23" t="s">
        <v>174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  <c r="AE42" s="24" t="str">
        <f aca="false">M42&amp;" | 창세기 25장 #"&amp;SUBSTITUTE(안내!$C$5," ","")</f>
        <v>175년 믿음의 여정이 끝나던 날 | 창세기 25장 #1분성경</v>
      </c>
      <c r="AF42" s="24" t="s">
        <v>304</v>
      </c>
      <c r="AG42" s="24" t="s">
        <v>622</v>
      </c>
      <c r="AH42" s="23" t="s">
        <v>360</v>
      </c>
      <c r="AI42" s="26" t="n">
        <f aca="false">U42-안내!$C$12</f>
        <v>46568</v>
      </c>
      <c r="AJ42" s="23" t="str">
        <f aca="false">IF(U42&lt;IF(C42=1,안내!$C$9,안내!$C$10)+안내!$C$12,"시즌 시작 전 제작","")</f>
        <v>시즌 시작 전 제작</v>
      </c>
      <c r="AK42" s="24" t="s">
        <v>422</v>
      </c>
      <c r="AL42" s="27"/>
      <c r="AM42" s="27"/>
      <c r="AN42" s="27"/>
      <c r="AO42" s="27"/>
      <c r="AP42" s="27"/>
      <c r="AQ42" s="23" t="str">
        <f aca="false">D42&amp;"|"&amp;TEXT(U42,"yyyy-mm-dd")</f>
        <v>구약|2027-07-28</v>
      </c>
      <c r="AR42" s="24" t="s">
        <v>623</v>
      </c>
      <c r="AS42" s="24"/>
    </row>
    <row r="43" customFormat="false" ht="39.55" hidden="false" customHeight="false" outlineLevel="0" collapsed="false">
      <c r="A43" s="21" t="n">
        <v>42</v>
      </c>
      <c r="B43" s="18" t="s">
        <v>624</v>
      </c>
      <c r="C43" s="20" t="n">
        <v>1</v>
      </c>
      <c r="D43" s="20" t="s">
        <v>160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591</v>
      </c>
      <c r="H43" s="18" t="s">
        <v>426</v>
      </c>
      <c r="I43" s="21" t="s">
        <v>163</v>
      </c>
      <c r="J43" s="22" t="s">
        <v>625</v>
      </c>
      <c r="K43" s="23" t="s">
        <v>165</v>
      </c>
      <c r="L43" s="24" t="s">
        <v>626</v>
      </c>
      <c r="M43" s="24" t="s">
        <v>627</v>
      </c>
      <c r="N43" s="23" t="s">
        <v>628</v>
      </c>
      <c r="O43" s="24" t="s">
        <v>629</v>
      </c>
      <c r="P43" s="24" t="s">
        <v>630</v>
      </c>
      <c r="Q43" s="24" t="s">
        <v>500</v>
      </c>
      <c r="R43" s="25" t="s">
        <v>631</v>
      </c>
      <c r="S43" s="29" t="s">
        <v>632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174</v>
      </c>
      <c r="Y43" s="23" t="s">
        <v>174</v>
      </c>
      <c r="Z43" s="23" t="s">
        <v>174</v>
      </c>
      <c r="AA43" s="23" t="s">
        <v>174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  <c r="AE43" s="24" t="str">
        <f aca="false">M43&amp;" | 창세기 25장 #"&amp;SUBSTITUTE(안내!$C$5," ","")</f>
        <v>태어나기 전부터 정해진 운명? | 창세기 25장 #1분성경</v>
      </c>
      <c r="AF43" s="24" t="s">
        <v>633</v>
      </c>
      <c r="AG43" s="24" t="s">
        <v>634</v>
      </c>
      <c r="AH43" s="23" t="s">
        <v>176</v>
      </c>
      <c r="AI43" s="26" t="n">
        <f aca="false">U43-안내!$C$12</f>
        <v>46387</v>
      </c>
      <c r="AJ43" s="23" t="str">
        <f aca="false">IF(U43&lt;IF(C43=1,안내!$C$9,안내!$C$10)+안내!$C$12,"시즌 시작 전 제작","")</f>
        <v>시즌 시작 전 제작</v>
      </c>
      <c r="AK43" s="24" t="s">
        <v>635</v>
      </c>
      <c r="AL43" s="27"/>
      <c r="AM43" s="27"/>
      <c r="AN43" s="27"/>
      <c r="AO43" s="27"/>
      <c r="AP43" s="27"/>
      <c r="AQ43" s="23" t="str">
        <f aca="false">D43&amp;"|"&amp;TEXT(U43,"yyyy-mm-dd")</f>
        <v>구약|2027-01-28</v>
      </c>
      <c r="AR43" s="24" t="s">
        <v>636</v>
      </c>
      <c r="AS43" s="24"/>
    </row>
    <row r="44" customFormat="false" ht="26.85" hidden="false" customHeight="false" outlineLevel="0" collapsed="false">
      <c r="A44" s="21" t="n">
        <v>43</v>
      </c>
      <c r="B44" s="18" t="s">
        <v>637</v>
      </c>
      <c r="C44" s="20" t="n">
        <v>1</v>
      </c>
      <c r="D44" s="20" t="s">
        <v>160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591</v>
      </c>
      <c r="H44" s="18" t="s">
        <v>426</v>
      </c>
      <c r="I44" s="21" t="s">
        <v>163</v>
      </c>
      <c r="J44" s="22" t="s">
        <v>638</v>
      </c>
      <c r="K44" s="23" t="s">
        <v>165</v>
      </c>
      <c r="L44" s="24" t="s">
        <v>639</v>
      </c>
      <c r="M44" s="24" t="s">
        <v>640</v>
      </c>
      <c r="N44" s="23" t="s">
        <v>641</v>
      </c>
      <c r="O44" s="24" t="s">
        <v>642</v>
      </c>
      <c r="P44" s="24" t="s">
        <v>643</v>
      </c>
      <c r="Q44" s="24" t="s">
        <v>644</v>
      </c>
      <c r="R44" s="24"/>
      <c r="S44" s="24" t="s">
        <v>173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174</v>
      </c>
      <c r="Y44" s="23" t="s">
        <v>174</v>
      </c>
      <c r="Z44" s="23" t="s">
        <v>174</v>
      </c>
      <c r="AA44" s="23" t="s">
        <v>174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  <c r="AE44" s="24" t="str">
        <f aca="false">M44&amp;" | 창세기 25장 #"&amp;SUBSTITUTE(안내!$C$5," ","")</f>
        <v>배고파서 장자권을 팔았다? | 창세기 25장 #1분성경</v>
      </c>
      <c r="AF44" s="24" t="s">
        <v>645</v>
      </c>
      <c r="AG44" s="24"/>
      <c r="AH44" s="23" t="s">
        <v>176</v>
      </c>
      <c r="AI44" s="26" t="n">
        <f aca="false">U44-안내!$C$12</f>
        <v>46388</v>
      </c>
      <c r="AJ44" s="23" t="str">
        <f aca="false">IF(U44&lt;IF(C44=1,안내!$C$9,안내!$C$10)+안내!$C$12,"시즌 시작 전 제작","")</f>
        <v>시즌 시작 전 제작</v>
      </c>
      <c r="AK44" s="24" t="s">
        <v>635</v>
      </c>
      <c r="AL44" s="27"/>
      <c r="AM44" s="27"/>
      <c r="AN44" s="27"/>
      <c r="AO44" s="27"/>
      <c r="AP44" s="27"/>
      <c r="AQ44" s="23" t="str">
        <f aca="false">D44&amp;"|"&amp;TEXT(U44,"yyyy-mm-dd")</f>
        <v>구약|2027-01-29</v>
      </c>
      <c r="AR44" s="24" t="s">
        <v>646</v>
      </c>
      <c r="AS44" s="24" t="s">
        <v>292</v>
      </c>
    </row>
    <row r="45" customFormat="false" ht="26.85" hidden="false" customHeight="false" outlineLevel="0" collapsed="false">
      <c r="A45" s="21" t="n">
        <v>44</v>
      </c>
      <c r="B45" s="18" t="s">
        <v>647</v>
      </c>
      <c r="C45" s="23" t="n">
        <v>2</v>
      </c>
      <c r="D45" s="23" t="s">
        <v>160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591</v>
      </c>
      <c r="H45" s="18" t="s">
        <v>518</v>
      </c>
      <c r="I45" s="21" t="s">
        <v>163</v>
      </c>
      <c r="J45" s="22" t="s">
        <v>648</v>
      </c>
      <c r="K45" s="23" t="s">
        <v>165</v>
      </c>
      <c r="L45" s="24" t="s">
        <v>649</v>
      </c>
      <c r="M45" s="24" t="s">
        <v>650</v>
      </c>
      <c r="N45" s="23" t="s">
        <v>651</v>
      </c>
      <c r="O45" s="24" t="s">
        <v>652</v>
      </c>
      <c r="P45" s="24" t="s">
        <v>653</v>
      </c>
      <c r="Q45" s="24" t="s">
        <v>544</v>
      </c>
      <c r="R45" s="24"/>
      <c r="S45" s="24" t="s">
        <v>654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174</v>
      </c>
      <c r="Y45" s="23" t="s">
        <v>174</v>
      </c>
      <c r="Z45" s="23" t="s">
        <v>174</v>
      </c>
      <c r="AA45" s="23" t="s">
        <v>174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  <c r="AE45" s="24" t="str">
        <f aca="false">M45&amp;" | 창세기 26장 #"&amp;SUBSTITUTE(안내!$C$5," ","")</f>
        <v>아버지와 똑같은 거짓말을 한 아들 | 창세기 26장 #1분성경</v>
      </c>
      <c r="AF45" s="24" t="s">
        <v>304</v>
      </c>
      <c r="AG45" s="24" t="s">
        <v>655</v>
      </c>
      <c r="AH45" s="23" t="s">
        <v>290</v>
      </c>
      <c r="AI45" s="26" t="n">
        <f aca="false">U45-안내!$C$12</f>
        <v>46569</v>
      </c>
      <c r="AJ45" s="23" t="str">
        <f aca="false">IF(U45&lt;IF(C45=1,안내!$C$9,안내!$C$10)+안내!$C$12,"시즌 시작 전 제작","")</f>
        <v>시즌 시작 전 제작</v>
      </c>
      <c r="AK45" s="24"/>
      <c r="AL45" s="27"/>
      <c r="AM45" s="27"/>
      <c r="AN45" s="27"/>
      <c r="AO45" s="27"/>
      <c r="AP45" s="27"/>
      <c r="AQ45" s="23" t="str">
        <f aca="false">D45&amp;"|"&amp;TEXT(U45,"yyyy-mm-dd")</f>
        <v>구약|2027-07-29</v>
      </c>
      <c r="AR45" s="24" t="s">
        <v>656</v>
      </c>
      <c r="AS45" s="24"/>
    </row>
    <row r="46" customFormat="false" ht="39.55" hidden="false" customHeight="false" outlineLevel="0" collapsed="false">
      <c r="A46" s="21" t="n">
        <v>45</v>
      </c>
      <c r="B46" s="18" t="s">
        <v>657</v>
      </c>
      <c r="C46" s="23" t="n">
        <v>2</v>
      </c>
      <c r="D46" s="23" t="s">
        <v>160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591</v>
      </c>
      <c r="H46" s="18" t="s">
        <v>518</v>
      </c>
      <c r="I46" s="21" t="s">
        <v>163</v>
      </c>
      <c r="J46" s="22" t="s">
        <v>658</v>
      </c>
      <c r="K46" s="23" t="s">
        <v>165</v>
      </c>
      <c r="L46" s="24" t="s">
        <v>659</v>
      </c>
      <c r="M46" s="24" t="s">
        <v>660</v>
      </c>
      <c r="N46" s="23" t="s">
        <v>661</v>
      </c>
      <c r="O46" s="24" t="s">
        <v>662</v>
      </c>
      <c r="P46" s="24" t="s">
        <v>663</v>
      </c>
      <c r="Q46" s="24" t="s">
        <v>664</v>
      </c>
      <c r="R46" s="24"/>
      <c r="S46" s="24" t="s">
        <v>654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174</v>
      </c>
      <c r="Y46" s="23" t="s">
        <v>174</v>
      </c>
      <c r="Z46" s="23" t="s">
        <v>174</v>
      </c>
      <c r="AA46" s="23" t="s">
        <v>174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  <c r="AE46" s="24" t="str">
        <f aca="false">M46&amp;" | 창세기 26장 #"&amp;SUBSTITUTE(안내!$C$5," ","")</f>
        <v>빼앗기면 또 파고, 또 빼앗기면 또 판 사람 | 창세기 26장 #1분성경</v>
      </c>
      <c r="AF46" s="24" t="s">
        <v>304</v>
      </c>
      <c r="AG46" s="24"/>
      <c r="AH46" s="23" t="s">
        <v>290</v>
      </c>
      <c r="AI46" s="26" t="n">
        <f aca="false">U46-안내!$C$12</f>
        <v>46570</v>
      </c>
      <c r="AJ46" s="23" t="str">
        <f aca="false">IF(U46&lt;IF(C46=1,안내!$C$9,안내!$C$10)+안내!$C$12,"시즌 시작 전 제작","")</f>
        <v>시즌 시작 전 제작</v>
      </c>
      <c r="AK46" s="24"/>
      <c r="AL46" s="27"/>
      <c r="AM46" s="27"/>
      <c r="AN46" s="27"/>
      <c r="AO46" s="27"/>
      <c r="AP46" s="27"/>
      <c r="AQ46" s="23" t="str">
        <f aca="false">D46&amp;"|"&amp;TEXT(U46,"yyyy-mm-dd")</f>
        <v>구약|2027-07-30</v>
      </c>
      <c r="AR46" s="24" t="s">
        <v>665</v>
      </c>
      <c r="AS46" s="24" t="s">
        <v>292</v>
      </c>
    </row>
    <row r="47" customFormat="false" ht="39.55" hidden="false" customHeight="false" outlineLevel="0" collapsed="false">
      <c r="A47" s="21" t="n">
        <v>46</v>
      </c>
      <c r="B47" s="18" t="s">
        <v>666</v>
      </c>
      <c r="C47" s="20" t="n">
        <v>1</v>
      </c>
      <c r="D47" s="20" t="s">
        <v>160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667</v>
      </c>
      <c r="H47" s="18" t="s">
        <v>668</v>
      </c>
      <c r="I47" s="21" t="s">
        <v>163</v>
      </c>
      <c r="J47" s="22" t="s">
        <v>669</v>
      </c>
      <c r="K47" s="23" t="s">
        <v>165</v>
      </c>
      <c r="L47" s="24" t="s">
        <v>670</v>
      </c>
      <c r="M47" s="24" t="s">
        <v>671</v>
      </c>
      <c r="N47" s="23" t="s">
        <v>672</v>
      </c>
      <c r="O47" s="24" t="s">
        <v>673</v>
      </c>
      <c r="P47" s="24" t="s">
        <v>674</v>
      </c>
      <c r="Q47" s="24" t="s">
        <v>500</v>
      </c>
      <c r="R47" s="24"/>
      <c r="S47" s="29" t="s">
        <v>675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174</v>
      </c>
      <c r="Y47" s="23" t="s">
        <v>174</v>
      </c>
      <c r="Z47" s="23" t="s">
        <v>174</v>
      </c>
      <c r="AA47" s="23" t="s">
        <v>174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  <c r="AE47" s="24" t="str">
        <f aca="false">M47&amp;" | 창세기 27장 #"&amp;SUBSTITUTE(안내!$C$5," ","")</f>
        <v>염소 가죽을 두르고 형인 척했다? | 창세기 27장 #1분성경</v>
      </c>
      <c r="AF47" s="24" t="s">
        <v>676</v>
      </c>
      <c r="AG47" s="24" t="s">
        <v>677</v>
      </c>
      <c r="AH47" s="23" t="s">
        <v>176</v>
      </c>
      <c r="AI47" s="26" t="n">
        <f aca="false">U47-안내!$C$12</f>
        <v>46389</v>
      </c>
      <c r="AJ47" s="23" t="str">
        <f aca="false">IF(U47&lt;IF(C47=1,안내!$C$9,안내!$C$10)+안내!$C$12,"시즌 시작 전 제작","")</f>
        <v>시즌 시작 전 제작</v>
      </c>
      <c r="AK47" s="24" t="s">
        <v>635</v>
      </c>
      <c r="AL47" s="27"/>
      <c r="AM47" s="27"/>
      <c r="AN47" s="27"/>
      <c r="AO47" s="27"/>
      <c r="AP47" s="27"/>
      <c r="AQ47" s="23" t="str">
        <f aca="false">D47&amp;"|"&amp;TEXT(U47,"yyyy-mm-dd")</f>
        <v>구약|2027-01-30</v>
      </c>
      <c r="AR47" s="24" t="s">
        <v>678</v>
      </c>
      <c r="AS47" s="24"/>
    </row>
    <row r="48" customFormat="false" ht="39.55" hidden="false" customHeight="false" outlineLevel="0" collapsed="false">
      <c r="A48" s="21" t="n">
        <v>47</v>
      </c>
      <c r="B48" s="18" t="s">
        <v>679</v>
      </c>
      <c r="C48" s="23" t="n">
        <v>2</v>
      </c>
      <c r="D48" s="23" t="s">
        <v>160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667</v>
      </c>
      <c r="H48" s="18" t="s">
        <v>680</v>
      </c>
      <c r="I48" s="21" t="s">
        <v>163</v>
      </c>
      <c r="J48" s="22" t="s">
        <v>681</v>
      </c>
      <c r="K48" s="23" t="s">
        <v>165</v>
      </c>
      <c r="L48" s="24" t="s">
        <v>682</v>
      </c>
      <c r="M48" s="24" t="s">
        <v>683</v>
      </c>
      <c r="N48" s="23" t="s">
        <v>684</v>
      </c>
      <c r="O48" s="24" t="s">
        <v>685</v>
      </c>
      <c r="P48" s="24" t="s">
        <v>686</v>
      </c>
      <c r="Q48" s="24" t="s">
        <v>500</v>
      </c>
      <c r="R48" s="24"/>
      <c r="S48" s="24" t="s">
        <v>687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174</v>
      </c>
      <c r="Y48" s="23" t="s">
        <v>174</v>
      </c>
      <c r="Z48" s="23" t="s">
        <v>174</v>
      </c>
      <c r="AA48" s="23" t="s">
        <v>174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  <c r="AE48" s="24" t="str">
        <f aca="false">M48&amp;" | 창세기 27~28장 #"&amp;SUBSTITUTE(안내!$C$5," ","")</f>
        <v>축복 하나 때문에 형제가 원수가 되다 | 창세기 27~28장 #1분성경</v>
      </c>
      <c r="AF48" s="24" t="s">
        <v>304</v>
      </c>
      <c r="AG48" s="24"/>
      <c r="AH48" s="23" t="s">
        <v>290</v>
      </c>
      <c r="AI48" s="26" t="n">
        <f aca="false">U48-안내!$C$12</f>
        <v>46571</v>
      </c>
      <c r="AJ48" s="23" t="str">
        <f aca="false">IF(U48&lt;IF(C48=1,안내!$C$9,안내!$C$10)+안내!$C$12,"시즌 시작 전 제작","")</f>
        <v>시즌 시작 전 제작</v>
      </c>
      <c r="AK48" s="24" t="s">
        <v>635</v>
      </c>
      <c r="AL48" s="27"/>
      <c r="AM48" s="27"/>
      <c r="AN48" s="27"/>
      <c r="AO48" s="27"/>
      <c r="AP48" s="27"/>
      <c r="AQ48" s="23" t="str">
        <f aca="false">D48&amp;"|"&amp;TEXT(U48,"yyyy-mm-dd")</f>
        <v>구약|2027-07-31</v>
      </c>
      <c r="AR48" s="24" t="s">
        <v>688</v>
      </c>
      <c r="AS48" s="24"/>
    </row>
    <row r="49" customFormat="false" ht="39.55" hidden="false" customHeight="false" outlineLevel="0" collapsed="false">
      <c r="A49" s="21" t="n">
        <v>48</v>
      </c>
      <c r="B49" s="18" t="s">
        <v>689</v>
      </c>
      <c r="C49" s="20" t="n">
        <v>1</v>
      </c>
      <c r="D49" s="20" t="s">
        <v>160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667</v>
      </c>
      <c r="H49" s="18" t="s">
        <v>668</v>
      </c>
      <c r="I49" s="21" t="s">
        <v>163</v>
      </c>
      <c r="J49" s="22" t="s">
        <v>690</v>
      </c>
      <c r="K49" s="23" t="s">
        <v>165</v>
      </c>
      <c r="L49" s="24" t="s">
        <v>691</v>
      </c>
      <c r="M49" s="24" t="s">
        <v>692</v>
      </c>
      <c r="N49" s="23" t="s">
        <v>693</v>
      </c>
      <c r="O49" s="24" t="s">
        <v>694</v>
      </c>
      <c r="P49" s="24" t="s">
        <v>695</v>
      </c>
      <c r="Q49" s="24" t="s">
        <v>696</v>
      </c>
      <c r="R49" s="25" t="s">
        <v>697</v>
      </c>
      <c r="S49" s="29" t="s">
        <v>698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174</v>
      </c>
      <c r="Y49" s="23" t="s">
        <v>174</v>
      </c>
      <c r="Z49" s="23" t="s">
        <v>174</v>
      </c>
      <c r="AA49" s="23" t="s">
        <v>174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  <c r="AE49" s="24" t="str">
        <f aca="false">M49&amp;" | 창세기 28장 #"&amp;SUBSTITUTE(안내!$C$5," ","")</f>
        <v>도망자가 꿈에서 본 하늘 계단 | 창세기 28장 #1분성경</v>
      </c>
      <c r="AF49" s="24" t="s">
        <v>699</v>
      </c>
      <c r="AG49" s="24" t="s">
        <v>700</v>
      </c>
      <c r="AH49" s="23" t="s">
        <v>290</v>
      </c>
      <c r="AI49" s="26" t="n">
        <f aca="false">U49-안내!$C$12</f>
        <v>46390</v>
      </c>
      <c r="AJ49" s="23" t="str">
        <f aca="false">IF(U49&lt;IF(C49=1,안내!$C$9,안내!$C$10)+안내!$C$12,"시즌 시작 전 제작","")</f>
        <v>시즌 시작 전 제작</v>
      </c>
      <c r="AK49" s="24" t="s">
        <v>635</v>
      </c>
      <c r="AL49" s="27"/>
      <c r="AM49" s="27"/>
      <c r="AN49" s="27"/>
      <c r="AO49" s="27"/>
      <c r="AP49" s="27"/>
      <c r="AQ49" s="23" t="str">
        <f aca="false">D49&amp;"|"&amp;TEXT(U49,"yyyy-mm-dd")</f>
        <v>구약|2027-01-31</v>
      </c>
      <c r="AR49" s="24" t="s">
        <v>701</v>
      </c>
      <c r="AS49" s="24"/>
    </row>
    <row r="50" customFormat="false" ht="39.55" hidden="false" customHeight="false" outlineLevel="0" collapsed="false">
      <c r="A50" s="21" t="n">
        <v>49</v>
      </c>
      <c r="B50" s="18" t="s">
        <v>702</v>
      </c>
      <c r="C50" s="20" t="n">
        <v>1</v>
      </c>
      <c r="D50" s="20" t="s">
        <v>160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667</v>
      </c>
      <c r="H50" s="18" t="s">
        <v>668</v>
      </c>
      <c r="I50" s="21" t="s">
        <v>163</v>
      </c>
      <c r="J50" s="22" t="s">
        <v>703</v>
      </c>
      <c r="K50" s="23" t="s">
        <v>165</v>
      </c>
      <c r="L50" s="24" t="s">
        <v>704</v>
      </c>
      <c r="M50" s="30" t="s">
        <v>705</v>
      </c>
      <c r="N50" s="23" t="s">
        <v>706</v>
      </c>
      <c r="O50" s="24" t="s">
        <v>707</v>
      </c>
      <c r="P50" s="24" t="s">
        <v>708</v>
      </c>
      <c r="Q50" s="24" t="s">
        <v>709</v>
      </c>
      <c r="R50" s="24"/>
      <c r="S50" s="24" t="s">
        <v>173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174</v>
      </c>
      <c r="Y50" s="23" t="s">
        <v>174</v>
      </c>
      <c r="Z50" s="23" t="s">
        <v>174</v>
      </c>
      <c r="AA50" s="23" t="s">
        <v>174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  <c r="AE50" s="24" t="str">
        <f aca="false">M50&amp;" | 창세기 29장 #"&amp;SUBSTITUTE(안내!$C$5," ","")</f>
        <v>7년을 일했는데 신부가 바뀌었다? | 창세기 29장 #1분성경</v>
      </c>
      <c r="AF50" s="24" t="s">
        <v>710</v>
      </c>
      <c r="AG50" s="24"/>
      <c r="AH50" s="23" t="s">
        <v>360</v>
      </c>
      <c r="AI50" s="26" t="n">
        <f aca="false">U50-안내!$C$12</f>
        <v>46391</v>
      </c>
      <c r="AJ50" s="23" t="str">
        <f aca="false">IF(U50&lt;IF(C50=1,안내!$C$9,안내!$C$10)+안내!$C$12,"시즌 시작 전 제작","")</f>
        <v/>
      </c>
      <c r="AK50" s="24" t="s">
        <v>635</v>
      </c>
      <c r="AL50" s="27"/>
      <c r="AM50" s="27"/>
      <c r="AN50" s="27"/>
      <c r="AO50" s="27"/>
      <c r="AP50" s="27"/>
      <c r="AQ50" s="23" t="str">
        <f aca="false">D50&amp;"|"&amp;TEXT(U50,"yyyy-mm-dd")</f>
        <v>구약|2027-02-01</v>
      </c>
      <c r="AR50" s="24" t="s">
        <v>711</v>
      </c>
      <c r="AS50" s="24"/>
    </row>
    <row r="51" customFormat="false" ht="26.85" hidden="false" customHeight="false" outlineLevel="0" collapsed="false">
      <c r="A51" s="21" t="n">
        <v>50</v>
      </c>
      <c r="B51" s="18" t="s">
        <v>712</v>
      </c>
      <c r="C51" s="23" t="n">
        <v>2</v>
      </c>
      <c r="D51" s="23" t="s">
        <v>160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667</v>
      </c>
      <c r="H51" s="18" t="s">
        <v>680</v>
      </c>
      <c r="I51" s="21" t="s">
        <v>163</v>
      </c>
      <c r="J51" s="22" t="s">
        <v>713</v>
      </c>
      <c r="K51" s="23" t="s">
        <v>165</v>
      </c>
      <c r="L51" s="24" t="s">
        <v>714</v>
      </c>
      <c r="M51" s="24" t="s">
        <v>715</v>
      </c>
      <c r="N51" s="23" t="s">
        <v>716</v>
      </c>
      <c r="O51" s="24" t="s">
        <v>717</v>
      </c>
      <c r="P51" s="24" t="s">
        <v>718</v>
      </c>
      <c r="Q51" s="24" t="s">
        <v>719</v>
      </c>
      <c r="R51" s="25" t="s">
        <v>720</v>
      </c>
      <c r="S51" s="24" t="s">
        <v>721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174</v>
      </c>
      <c r="Y51" s="23" t="s">
        <v>174</v>
      </c>
      <c r="Z51" s="23" t="s">
        <v>174</v>
      </c>
      <c r="AA51" s="23" t="s">
        <v>174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  <c r="AE51" s="24" t="str">
        <f aca="false">M51&amp;" | 창세기 29~30장 #"&amp;SUBSTITUTE(안내!$C$5," ","")</f>
        <v>하나님은 가장 외로운 사람을 보셨다 | 창세기 29~30장 #1분성경</v>
      </c>
      <c r="AF51" s="24" t="s">
        <v>304</v>
      </c>
      <c r="AG51" s="24"/>
      <c r="AH51" s="23" t="s">
        <v>290</v>
      </c>
      <c r="AI51" s="26" t="n">
        <f aca="false">U51-안내!$C$12</f>
        <v>46572</v>
      </c>
      <c r="AJ51" s="23" t="str">
        <f aca="false">IF(U51&lt;IF(C51=1,안내!$C$9,안내!$C$10)+안내!$C$12,"시즌 시작 전 제작","")</f>
        <v>시즌 시작 전 제작</v>
      </c>
      <c r="AK51" s="24"/>
      <c r="AL51" s="27"/>
      <c r="AM51" s="27"/>
      <c r="AN51" s="27"/>
      <c r="AO51" s="27"/>
      <c r="AP51" s="27"/>
      <c r="AQ51" s="23" t="str">
        <f aca="false">D51&amp;"|"&amp;TEXT(U51,"yyyy-mm-dd")</f>
        <v>구약|2027-08-01</v>
      </c>
      <c r="AR51" s="24" t="s">
        <v>722</v>
      </c>
      <c r="AS51" s="24"/>
    </row>
    <row r="52" customFormat="false" ht="26.85" hidden="false" customHeight="false" outlineLevel="0" collapsed="false">
      <c r="A52" s="21" t="n">
        <v>51</v>
      </c>
      <c r="B52" s="18" t="s">
        <v>723</v>
      </c>
      <c r="C52" s="23" t="n">
        <v>2</v>
      </c>
      <c r="D52" s="23" t="s">
        <v>160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667</v>
      </c>
      <c r="H52" s="18" t="s">
        <v>680</v>
      </c>
      <c r="I52" s="21" t="s">
        <v>163</v>
      </c>
      <c r="J52" s="22" t="s">
        <v>724</v>
      </c>
      <c r="K52" s="23" t="s">
        <v>165</v>
      </c>
      <c r="L52" s="24" t="s">
        <v>725</v>
      </c>
      <c r="M52" s="24" t="s">
        <v>726</v>
      </c>
      <c r="N52" s="23" t="s">
        <v>727</v>
      </c>
      <c r="O52" s="24" t="s">
        <v>728</v>
      </c>
      <c r="P52" s="24" t="s">
        <v>729</v>
      </c>
      <c r="Q52" s="24" t="s">
        <v>730</v>
      </c>
      <c r="R52" s="25" t="s">
        <v>731</v>
      </c>
      <c r="S52" s="24" t="s">
        <v>721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174</v>
      </c>
      <c r="Y52" s="23" t="s">
        <v>174</v>
      </c>
      <c r="Z52" s="23" t="s">
        <v>174</v>
      </c>
      <c r="AA52" s="23" t="s">
        <v>174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  <c r="AE52" s="24" t="str">
        <f aca="false">M52&amp;" | 창세기 30장 #"&amp;SUBSTITUTE(안내!$C$5," ","")</f>
        <v>아무도 원하지 않던 양으로 부자가 되다? | 창세기 30장 #1분성경</v>
      </c>
      <c r="AF52" s="24" t="s">
        <v>304</v>
      </c>
      <c r="AG52" s="24" t="s">
        <v>732</v>
      </c>
      <c r="AH52" s="23" t="s">
        <v>176</v>
      </c>
      <c r="AI52" s="26" t="n">
        <f aca="false">U52-안내!$C$12</f>
        <v>46573</v>
      </c>
      <c r="AJ52" s="23" t="str">
        <f aca="false">IF(U52&lt;IF(C52=1,안내!$C$9,안내!$C$10)+안내!$C$12,"시즌 시작 전 제작","")</f>
        <v>시즌 시작 전 제작</v>
      </c>
      <c r="AK52" s="24" t="s">
        <v>635</v>
      </c>
      <c r="AL52" s="27"/>
      <c r="AM52" s="27"/>
      <c r="AN52" s="27"/>
      <c r="AO52" s="27"/>
      <c r="AP52" s="27"/>
      <c r="AQ52" s="23" t="str">
        <f aca="false">D52&amp;"|"&amp;TEXT(U52,"yyyy-mm-dd")</f>
        <v>구약|2027-08-02</v>
      </c>
      <c r="AR52" s="24" t="s">
        <v>733</v>
      </c>
      <c r="AS52" s="24"/>
    </row>
    <row r="53" customFormat="false" ht="26.85" hidden="false" customHeight="false" outlineLevel="0" collapsed="false">
      <c r="A53" s="21" t="n">
        <v>52</v>
      </c>
      <c r="B53" s="18" t="s">
        <v>734</v>
      </c>
      <c r="C53" s="23" t="n">
        <v>2</v>
      </c>
      <c r="D53" s="23" t="s">
        <v>160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667</v>
      </c>
      <c r="H53" s="18" t="s">
        <v>680</v>
      </c>
      <c r="I53" s="21" t="s">
        <v>163</v>
      </c>
      <c r="J53" s="22" t="s">
        <v>735</v>
      </c>
      <c r="K53" s="23" t="s">
        <v>165</v>
      </c>
      <c r="L53" s="30" t="s">
        <v>736</v>
      </c>
      <c r="M53" s="24" t="s">
        <v>737</v>
      </c>
      <c r="N53" s="23" t="s">
        <v>738</v>
      </c>
      <c r="O53" s="24" t="s">
        <v>739</v>
      </c>
      <c r="P53" s="24" t="s">
        <v>740</v>
      </c>
      <c r="Q53" s="24" t="s">
        <v>741</v>
      </c>
      <c r="R53" s="25" t="s">
        <v>742</v>
      </c>
      <c r="S53" s="24" t="s">
        <v>721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174</v>
      </c>
      <c r="Y53" s="23" t="s">
        <v>174</v>
      </c>
      <c r="Z53" s="23" t="s">
        <v>174</v>
      </c>
      <c r="AA53" s="23" t="s">
        <v>174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  <c r="AE53" s="24" t="str">
        <f aca="false">M53&amp;" | 창세기 31장 #"&amp;SUBSTITUTE(안내!$C$5," ","")</f>
        <v>하나님이 돌아가라고 하셨다 | 창세기 31장 #1분성경</v>
      </c>
      <c r="AF53" s="24" t="s">
        <v>304</v>
      </c>
      <c r="AG53" s="24" t="s">
        <v>743</v>
      </c>
      <c r="AH53" s="23" t="s">
        <v>290</v>
      </c>
      <c r="AI53" s="26" t="n">
        <f aca="false">U53-안내!$C$12</f>
        <v>46574</v>
      </c>
      <c r="AJ53" s="23" t="str">
        <f aca="false">IF(U53&lt;IF(C53=1,안내!$C$9,안내!$C$10)+안내!$C$12,"시즌 시작 전 제작","")</f>
        <v>시즌 시작 전 제작</v>
      </c>
      <c r="AK53" s="24" t="s">
        <v>635</v>
      </c>
      <c r="AL53" s="27"/>
      <c r="AM53" s="27"/>
      <c r="AN53" s="27"/>
      <c r="AO53" s="27"/>
      <c r="AP53" s="27"/>
      <c r="AQ53" s="23" t="str">
        <f aca="false">D53&amp;"|"&amp;TEXT(U53,"yyyy-mm-dd")</f>
        <v>구약|2027-08-03</v>
      </c>
      <c r="AR53" s="24" t="s">
        <v>744</v>
      </c>
      <c r="AS53" s="24"/>
    </row>
    <row r="54" customFormat="false" ht="26.85" hidden="false" customHeight="false" outlineLevel="0" collapsed="false">
      <c r="A54" s="21" t="n">
        <v>53</v>
      </c>
      <c r="B54" s="18" t="s">
        <v>745</v>
      </c>
      <c r="C54" s="23" t="n">
        <v>2</v>
      </c>
      <c r="D54" s="23" t="s">
        <v>160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667</v>
      </c>
      <c r="H54" s="18" t="s">
        <v>680</v>
      </c>
      <c r="I54" s="21" t="s">
        <v>163</v>
      </c>
      <c r="J54" s="22" t="s">
        <v>746</v>
      </c>
      <c r="K54" s="23" t="s">
        <v>165</v>
      </c>
      <c r="L54" s="24" t="s">
        <v>747</v>
      </c>
      <c r="M54" s="24" t="s">
        <v>748</v>
      </c>
      <c r="N54" s="23" t="s">
        <v>749</v>
      </c>
      <c r="O54" s="24" t="s">
        <v>750</v>
      </c>
      <c r="P54" s="24" t="s">
        <v>729</v>
      </c>
      <c r="Q54" s="24" t="s">
        <v>751</v>
      </c>
      <c r="R54" s="24"/>
      <c r="S54" s="24" t="s">
        <v>721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174</v>
      </c>
      <c r="Y54" s="23" t="s">
        <v>174</v>
      </c>
      <c r="Z54" s="23" t="s">
        <v>174</v>
      </c>
      <c r="AA54" s="23" t="s">
        <v>174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  <c r="AE54" s="24" t="str">
        <f aca="false">M54&amp;" | 창세기 31장 #"&amp;SUBSTITUTE(안내!$C$5," ","")</f>
        <v>장인과 사위가 돌무더기를 쌓은 이유 | 창세기 31장 #1분성경</v>
      </c>
      <c r="AF54" s="24" t="s">
        <v>304</v>
      </c>
      <c r="AG54" s="24"/>
      <c r="AH54" s="23" t="s">
        <v>290</v>
      </c>
      <c r="AI54" s="26" t="n">
        <f aca="false">U54-안내!$C$12</f>
        <v>46575</v>
      </c>
      <c r="AJ54" s="23" t="str">
        <f aca="false">IF(U54&lt;IF(C54=1,안내!$C$9,안내!$C$10)+안내!$C$12,"시즌 시작 전 제작","")</f>
        <v>시즌 시작 전 제작</v>
      </c>
      <c r="AK54" s="24" t="s">
        <v>635</v>
      </c>
      <c r="AL54" s="27"/>
      <c r="AM54" s="27"/>
      <c r="AN54" s="27"/>
      <c r="AO54" s="27"/>
      <c r="AP54" s="27"/>
      <c r="AQ54" s="23" t="str">
        <f aca="false">D54&amp;"|"&amp;TEXT(U54,"yyyy-mm-dd")</f>
        <v>구약|2027-08-04</v>
      </c>
      <c r="AR54" s="24" t="s">
        <v>752</v>
      </c>
      <c r="AS54" s="24" t="s">
        <v>292</v>
      </c>
    </row>
    <row r="55" customFormat="false" ht="26.85" hidden="false" customHeight="false" outlineLevel="0" collapsed="false">
      <c r="A55" s="21" t="n">
        <v>54</v>
      </c>
      <c r="B55" s="18" t="s">
        <v>753</v>
      </c>
      <c r="C55" s="23" t="n">
        <v>2</v>
      </c>
      <c r="D55" s="23" t="s">
        <v>160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754</v>
      </c>
      <c r="H55" s="18" t="s">
        <v>680</v>
      </c>
      <c r="I55" s="21" t="s">
        <v>163</v>
      </c>
      <c r="J55" s="22" t="s">
        <v>755</v>
      </c>
      <c r="K55" s="23" t="s">
        <v>165</v>
      </c>
      <c r="L55" s="24" t="s">
        <v>756</v>
      </c>
      <c r="M55" s="30" t="s">
        <v>757</v>
      </c>
      <c r="N55" s="23" t="s">
        <v>758</v>
      </c>
      <c r="O55" s="24" t="s">
        <v>759</v>
      </c>
      <c r="P55" s="24" t="s">
        <v>760</v>
      </c>
      <c r="Q55" s="24" t="s">
        <v>761</v>
      </c>
      <c r="R55" s="24"/>
      <c r="S55" s="24" t="s">
        <v>721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174</v>
      </c>
      <c r="Y55" s="23" t="s">
        <v>174</v>
      </c>
      <c r="Z55" s="23" t="s">
        <v>174</v>
      </c>
      <c r="AA55" s="23" t="s">
        <v>174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  <c r="AE55" s="24" t="str">
        <f aca="false">M55&amp;" | 창세기 32장 #"&amp;SUBSTITUTE(안내!$C$5," ","")</f>
        <v>20년 전 원수가 군대를 끌고 온다면? | 창세기 32장 #1분성경</v>
      </c>
      <c r="AF55" s="24" t="s">
        <v>304</v>
      </c>
      <c r="AG55" s="24" t="s">
        <v>762</v>
      </c>
      <c r="AH55" s="23" t="s">
        <v>360</v>
      </c>
      <c r="AI55" s="26" t="n">
        <f aca="false">U55-안내!$C$12</f>
        <v>46576</v>
      </c>
      <c r="AJ55" s="23" t="str">
        <f aca="false">IF(U55&lt;IF(C55=1,안내!$C$9,안내!$C$10)+안내!$C$12,"시즌 시작 전 제작","")</f>
        <v>시즌 시작 전 제작</v>
      </c>
      <c r="AK55" s="24" t="s">
        <v>635</v>
      </c>
      <c r="AL55" s="27"/>
      <c r="AM55" s="27"/>
      <c r="AN55" s="27"/>
      <c r="AO55" s="27"/>
      <c r="AP55" s="27"/>
      <c r="AQ55" s="23" t="str">
        <f aca="false">D55&amp;"|"&amp;TEXT(U55,"yyyy-mm-dd")</f>
        <v>구약|2027-08-05</v>
      </c>
      <c r="AR55" s="24" t="s">
        <v>763</v>
      </c>
      <c r="AS55" s="24"/>
    </row>
    <row r="56" customFormat="false" ht="52.2" hidden="false" customHeight="false" outlineLevel="0" collapsed="false">
      <c r="A56" s="21" t="n">
        <v>55</v>
      </c>
      <c r="B56" s="18" t="s">
        <v>764</v>
      </c>
      <c r="C56" s="20" t="n">
        <v>1</v>
      </c>
      <c r="D56" s="20" t="s">
        <v>160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754</v>
      </c>
      <c r="H56" s="18" t="s">
        <v>668</v>
      </c>
      <c r="I56" s="21" t="s">
        <v>163</v>
      </c>
      <c r="J56" s="22" t="s">
        <v>765</v>
      </c>
      <c r="K56" s="23" t="s">
        <v>165</v>
      </c>
      <c r="L56" s="24" t="s">
        <v>766</v>
      </c>
      <c r="M56" s="24" t="s">
        <v>767</v>
      </c>
      <c r="N56" s="23" t="s">
        <v>768</v>
      </c>
      <c r="O56" s="24" t="s">
        <v>769</v>
      </c>
      <c r="P56" s="24" t="s">
        <v>770</v>
      </c>
      <c r="Q56" s="24" t="s">
        <v>771</v>
      </c>
      <c r="R56" s="25" t="s">
        <v>772</v>
      </c>
      <c r="S56" s="29" t="s">
        <v>773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174</v>
      </c>
      <c r="Y56" s="23" t="s">
        <v>174</v>
      </c>
      <c r="Z56" s="23" t="s">
        <v>174</v>
      </c>
      <c r="AA56" s="23" t="s">
        <v>174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  <c r="AE56" s="24" t="str">
        <f aca="false">M56&amp;" | 창세기 32장 #"&amp;SUBSTITUTE(안내!$C$5," ","")</f>
        <v>밤새 하나님과 씨름한 사람 | 창세기 32장 #1분성경</v>
      </c>
      <c r="AF56" s="24" t="s">
        <v>774</v>
      </c>
      <c r="AG56" s="24" t="s">
        <v>775</v>
      </c>
      <c r="AH56" s="23" t="s">
        <v>290</v>
      </c>
      <c r="AI56" s="26" t="n">
        <f aca="false">U56-안내!$C$12</f>
        <v>46392</v>
      </c>
      <c r="AJ56" s="23" t="str">
        <f aca="false">IF(U56&lt;IF(C56=1,안내!$C$9,안내!$C$10)+안내!$C$12,"시즌 시작 전 제작","")</f>
        <v/>
      </c>
      <c r="AK56" s="24" t="s">
        <v>635</v>
      </c>
      <c r="AL56" s="27"/>
      <c r="AM56" s="27"/>
      <c r="AN56" s="27"/>
      <c r="AO56" s="27"/>
      <c r="AP56" s="27"/>
      <c r="AQ56" s="23" t="str">
        <f aca="false">D56&amp;"|"&amp;TEXT(U56,"yyyy-mm-dd")</f>
        <v>구약|2027-02-02</v>
      </c>
      <c r="AR56" s="24" t="s">
        <v>776</v>
      </c>
      <c r="AS56" s="24"/>
    </row>
    <row r="57" customFormat="false" ht="26.85" hidden="false" customHeight="false" outlineLevel="0" collapsed="false">
      <c r="A57" s="21" t="n">
        <v>56</v>
      </c>
      <c r="B57" s="18" t="s">
        <v>777</v>
      </c>
      <c r="C57" s="20" t="n">
        <v>1</v>
      </c>
      <c r="D57" s="20" t="s">
        <v>160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754</v>
      </c>
      <c r="H57" s="18" t="s">
        <v>668</v>
      </c>
      <c r="I57" s="21" t="s">
        <v>163</v>
      </c>
      <c r="J57" s="22" t="s">
        <v>778</v>
      </c>
      <c r="K57" s="23" t="s">
        <v>165</v>
      </c>
      <c r="L57" s="24" t="s">
        <v>779</v>
      </c>
      <c r="M57" s="24" t="s">
        <v>780</v>
      </c>
      <c r="N57" s="23" t="s">
        <v>781</v>
      </c>
      <c r="O57" s="24" t="s">
        <v>782</v>
      </c>
      <c r="P57" s="24" t="s">
        <v>783</v>
      </c>
      <c r="Q57" s="24" t="s">
        <v>784</v>
      </c>
      <c r="R57" s="24"/>
      <c r="S57" s="24" t="s">
        <v>173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174</v>
      </c>
      <c r="Y57" s="23" t="s">
        <v>174</v>
      </c>
      <c r="Z57" s="23" t="s">
        <v>174</v>
      </c>
      <c r="AA57" s="23" t="s">
        <v>174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  <c r="AE57" s="24" t="str">
        <f aca="false">M57&amp;" | 창세기 33장 #"&amp;SUBSTITUTE(안내!$C$5," ","")</f>
        <v>원수가 된 형과의 20년 만의 재회 | 창세기 33장 #1분성경</v>
      </c>
      <c r="AF57" s="24" t="s">
        <v>785</v>
      </c>
      <c r="AG57" s="24"/>
      <c r="AH57" s="23" t="s">
        <v>360</v>
      </c>
      <c r="AI57" s="26" t="n">
        <f aca="false">U57-안내!$C$12</f>
        <v>46393</v>
      </c>
      <c r="AJ57" s="23" t="str">
        <f aca="false">IF(U57&lt;IF(C57=1,안내!$C$9,안내!$C$10)+안내!$C$12,"시즌 시작 전 제작","")</f>
        <v/>
      </c>
      <c r="AK57" s="24" t="s">
        <v>635</v>
      </c>
      <c r="AL57" s="27"/>
      <c r="AM57" s="27"/>
      <c r="AN57" s="27"/>
      <c r="AO57" s="27"/>
      <c r="AP57" s="27"/>
      <c r="AQ57" s="23" t="str">
        <f aca="false">D57&amp;"|"&amp;TEXT(U57,"yyyy-mm-dd")</f>
        <v>구약|2027-02-03</v>
      </c>
      <c r="AR57" s="24" t="s">
        <v>786</v>
      </c>
      <c r="AS57" s="24"/>
    </row>
    <row r="58" customFormat="false" ht="52.2" hidden="false" customHeight="false" outlineLevel="0" collapsed="false">
      <c r="A58" s="21" t="n">
        <v>57</v>
      </c>
      <c r="B58" s="18" t="s">
        <v>787</v>
      </c>
      <c r="C58" s="23" t="n">
        <v>2</v>
      </c>
      <c r="D58" s="23" t="s">
        <v>160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754</v>
      </c>
      <c r="H58" s="18" t="s">
        <v>680</v>
      </c>
      <c r="I58" s="21" t="s">
        <v>163</v>
      </c>
      <c r="J58" s="22" t="s">
        <v>788</v>
      </c>
      <c r="K58" s="23" t="s">
        <v>165</v>
      </c>
      <c r="L58" s="24" t="s">
        <v>789</v>
      </c>
      <c r="M58" s="24" t="s">
        <v>790</v>
      </c>
      <c r="N58" s="23" t="s">
        <v>791</v>
      </c>
      <c r="O58" s="24" t="s">
        <v>792</v>
      </c>
      <c r="P58" s="24" t="s">
        <v>793</v>
      </c>
      <c r="Q58" s="24" t="s">
        <v>794</v>
      </c>
      <c r="R58" s="25" t="s">
        <v>795</v>
      </c>
      <c r="S58" s="24" t="s">
        <v>796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174</v>
      </c>
      <c r="Y58" s="23" t="s">
        <v>174</v>
      </c>
      <c r="Z58" s="23" t="s">
        <v>174</v>
      </c>
      <c r="AA58" s="23" t="s">
        <v>174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  <c r="AE58" s="24" t="str">
        <f aca="false">M58&amp;" | 창세기 34장 #"&amp;SUBSTITUTE(안내!$C$5," ","")</f>
        <v>복수가 더 큰 죄를 낳았다 | 창세기 34장 #1분성경</v>
      </c>
      <c r="AF58" s="24" t="s">
        <v>304</v>
      </c>
      <c r="AG58" s="24"/>
      <c r="AH58" s="23" t="s">
        <v>290</v>
      </c>
      <c r="AI58" s="26" t="n">
        <f aca="false">U58-안내!$C$12</f>
        <v>46577</v>
      </c>
      <c r="AJ58" s="23" t="str">
        <f aca="false">IF(U58&lt;IF(C58=1,안내!$C$9,안내!$C$10)+안내!$C$12,"시즌 시작 전 제작","")</f>
        <v>시즌 시작 전 제작</v>
      </c>
      <c r="AK58" s="24" t="s">
        <v>635</v>
      </c>
      <c r="AL58" s="27"/>
      <c r="AM58" s="27"/>
      <c r="AN58" s="27"/>
      <c r="AO58" s="27"/>
      <c r="AP58" s="27"/>
      <c r="AQ58" s="23" t="str">
        <f aca="false">D58&amp;"|"&amp;TEXT(U58,"yyyy-mm-dd")</f>
        <v>구약|2027-08-06</v>
      </c>
      <c r="AR58" s="24" t="s">
        <v>797</v>
      </c>
      <c r="AS58" s="24"/>
    </row>
    <row r="59" customFormat="false" ht="26.85" hidden="false" customHeight="false" outlineLevel="0" collapsed="false">
      <c r="A59" s="21" t="n">
        <v>58</v>
      </c>
      <c r="B59" s="18" t="s">
        <v>798</v>
      </c>
      <c r="C59" s="23" t="n">
        <v>2</v>
      </c>
      <c r="D59" s="23" t="s">
        <v>160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754</v>
      </c>
      <c r="H59" s="18" t="s">
        <v>680</v>
      </c>
      <c r="I59" s="21" t="s">
        <v>163</v>
      </c>
      <c r="J59" s="22" t="s">
        <v>799</v>
      </c>
      <c r="K59" s="23" t="s">
        <v>165</v>
      </c>
      <c r="L59" s="24" t="s">
        <v>800</v>
      </c>
      <c r="M59" s="24" t="s">
        <v>801</v>
      </c>
      <c r="N59" s="23" t="s">
        <v>802</v>
      </c>
      <c r="O59" s="24" t="s">
        <v>803</v>
      </c>
      <c r="P59" s="24" t="s">
        <v>804</v>
      </c>
      <c r="Q59" s="24" t="s">
        <v>805</v>
      </c>
      <c r="R59" s="24"/>
      <c r="S59" s="24" t="s">
        <v>796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174</v>
      </c>
      <c r="Y59" s="23" t="s">
        <v>174</v>
      </c>
      <c r="Z59" s="23" t="s">
        <v>174</v>
      </c>
      <c r="AA59" s="23" t="s">
        <v>174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  <c r="AE59" s="24" t="str">
        <f aca="false">M59&amp;" | 창세기 35장 #"&amp;SUBSTITUTE(안내!$C$5," ","")</f>
        <v>우상을 땅에 묻고 다시 제단으로 | 창세기 35장 #1분성경</v>
      </c>
      <c r="AF59" s="24" t="s">
        <v>304</v>
      </c>
      <c r="AG59" s="24"/>
      <c r="AH59" s="23" t="s">
        <v>290</v>
      </c>
      <c r="AI59" s="26" t="n">
        <f aca="false">U59-안내!$C$12</f>
        <v>46578</v>
      </c>
      <c r="AJ59" s="23" t="str">
        <f aca="false">IF(U59&lt;IF(C59=1,안내!$C$9,안내!$C$10)+안내!$C$12,"시즌 시작 전 제작","")</f>
        <v>시즌 시작 전 제작</v>
      </c>
      <c r="AK59" s="24"/>
      <c r="AL59" s="27"/>
      <c r="AM59" s="27"/>
      <c r="AN59" s="27"/>
      <c r="AO59" s="27"/>
      <c r="AP59" s="27"/>
      <c r="AQ59" s="23" t="str">
        <f aca="false">D59&amp;"|"&amp;TEXT(U59,"yyyy-mm-dd")</f>
        <v>구약|2027-08-07</v>
      </c>
      <c r="AR59" s="24" t="s">
        <v>806</v>
      </c>
      <c r="AS59" s="24"/>
    </row>
    <row r="60" customFormat="false" ht="26.85" hidden="false" customHeight="false" outlineLevel="0" collapsed="false">
      <c r="A60" s="21" t="n">
        <v>59</v>
      </c>
      <c r="B60" s="18" t="s">
        <v>807</v>
      </c>
      <c r="C60" s="23" t="n">
        <v>2</v>
      </c>
      <c r="D60" s="23" t="s">
        <v>160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754</v>
      </c>
      <c r="H60" s="18" t="s">
        <v>680</v>
      </c>
      <c r="I60" s="21" t="s">
        <v>163</v>
      </c>
      <c r="J60" s="22" t="s">
        <v>808</v>
      </c>
      <c r="K60" s="23" t="s">
        <v>165</v>
      </c>
      <c r="L60" s="24" t="s">
        <v>809</v>
      </c>
      <c r="M60" s="24" t="s">
        <v>810</v>
      </c>
      <c r="N60" s="23" t="s">
        <v>811</v>
      </c>
      <c r="O60" s="24" t="s">
        <v>812</v>
      </c>
      <c r="P60" s="24" t="s">
        <v>813</v>
      </c>
      <c r="Q60" s="24" t="s">
        <v>814</v>
      </c>
      <c r="R60" s="24"/>
      <c r="S60" s="24" t="s">
        <v>796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174</v>
      </c>
      <c r="Y60" s="23" t="s">
        <v>174</v>
      </c>
      <c r="Z60" s="23" t="s">
        <v>174</v>
      </c>
      <c r="AA60" s="23" t="s">
        <v>174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  <c r="AE60" s="24" t="str">
        <f aca="false">M60&amp;" | 창세기 35장 #"&amp;SUBSTITUTE(안내!$C$5," ","")</f>
        <v>슬픔 속에 태어난 막내 베냐민 | 창세기 35장 #1분성경</v>
      </c>
      <c r="AF60" s="24" t="s">
        <v>304</v>
      </c>
      <c r="AG60" s="24" t="s">
        <v>815</v>
      </c>
      <c r="AH60" s="23" t="s">
        <v>290</v>
      </c>
      <c r="AI60" s="26" t="n">
        <f aca="false">U60-안내!$C$12</f>
        <v>46579</v>
      </c>
      <c r="AJ60" s="23" t="str">
        <f aca="false">IF(U60&lt;IF(C60=1,안내!$C$9,안내!$C$10)+안내!$C$12,"시즌 시작 전 제작","")</f>
        <v>시즌 시작 전 제작</v>
      </c>
      <c r="AK60" s="24"/>
      <c r="AL60" s="27"/>
      <c r="AM60" s="27"/>
      <c r="AN60" s="27"/>
      <c r="AO60" s="27"/>
      <c r="AP60" s="27"/>
      <c r="AQ60" s="23" t="str">
        <f aca="false">D60&amp;"|"&amp;TEXT(U60,"yyyy-mm-dd")</f>
        <v>구약|2027-08-08</v>
      </c>
      <c r="AR60" s="24" t="s">
        <v>816</v>
      </c>
      <c r="AS60" s="24"/>
    </row>
    <row r="61" customFormat="false" ht="26.85" hidden="false" customHeight="false" outlineLevel="0" collapsed="false">
      <c r="A61" s="21" t="n">
        <v>60</v>
      </c>
      <c r="B61" s="18" t="s">
        <v>817</v>
      </c>
      <c r="C61" s="23" t="n">
        <v>2</v>
      </c>
      <c r="D61" s="23" t="s">
        <v>160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754</v>
      </c>
      <c r="H61" s="18" t="s">
        <v>680</v>
      </c>
      <c r="I61" s="21" t="s">
        <v>163</v>
      </c>
      <c r="J61" s="22" t="s">
        <v>818</v>
      </c>
      <c r="K61" s="23" t="s">
        <v>165</v>
      </c>
      <c r="L61" s="24" t="s">
        <v>819</v>
      </c>
      <c r="M61" s="24" t="s">
        <v>820</v>
      </c>
      <c r="N61" s="23" t="s">
        <v>821</v>
      </c>
      <c r="O61" s="24" t="s">
        <v>822</v>
      </c>
      <c r="P61" s="24" t="s">
        <v>823</v>
      </c>
      <c r="Q61" s="24" t="s">
        <v>824</v>
      </c>
      <c r="R61" s="24"/>
      <c r="S61" s="24" t="s">
        <v>796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174</v>
      </c>
      <c r="Y61" s="23" t="s">
        <v>174</v>
      </c>
      <c r="Z61" s="23" t="s">
        <v>174</v>
      </c>
      <c r="AA61" s="23" t="s">
        <v>174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  <c r="AE61" s="24" t="str">
        <f aca="false">M61&amp;" | 창세기 36장 #"&amp;SUBSTITUTE(안내!$C$5," ","")</f>
        <v>형 에서는 어떻게 되었을까? | 창세기 36장 #1분성경</v>
      </c>
      <c r="AF61" s="24" t="s">
        <v>304</v>
      </c>
      <c r="AG61" s="24"/>
      <c r="AH61" s="23" t="s">
        <v>176</v>
      </c>
      <c r="AI61" s="26" t="n">
        <f aca="false">U61-안내!$C$12</f>
        <v>46580</v>
      </c>
      <c r="AJ61" s="23" t="str">
        <f aca="false">IF(U61&lt;IF(C61=1,안내!$C$9,안내!$C$10)+안내!$C$12,"시즌 시작 전 제작","")</f>
        <v/>
      </c>
      <c r="AK61" s="24"/>
      <c r="AL61" s="27"/>
      <c r="AM61" s="27"/>
      <c r="AN61" s="27"/>
      <c r="AO61" s="27"/>
      <c r="AP61" s="27"/>
      <c r="AQ61" s="23" t="str">
        <f aca="false">D61&amp;"|"&amp;TEXT(U61,"yyyy-mm-dd")</f>
        <v>구약|2027-08-09</v>
      </c>
      <c r="AR61" s="24" t="s">
        <v>825</v>
      </c>
      <c r="AS61" s="24"/>
    </row>
    <row r="62" customFormat="false" ht="52.2" hidden="false" customHeight="false" outlineLevel="0" collapsed="false">
      <c r="A62" s="21" t="n">
        <v>61</v>
      </c>
      <c r="B62" s="18" t="s">
        <v>826</v>
      </c>
      <c r="C62" s="20" t="n">
        <v>1</v>
      </c>
      <c r="D62" s="20" t="s">
        <v>160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827</v>
      </c>
      <c r="H62" s="18" t="s">
        <v>668</v>
      </c>
      <c r="I62" s="21" t="s">
        <v>163</v>
      </c>
      <c r="J62" s="22" t="s">
        <v>828</v>
      </c>
      <c r="K62" s="23" t="s">
        <v>165</v>
      </c>
      <c r="L62" s="24" t="s">
        <v>829</v>
      </c>
      <c r="M62" s="24" t="s">
        <v>830</v>
      </c>
      <c r="N62" s="23" t="s">
        <v>831</v>
      </c>
      <c r="O62" s="24" t="s">
        <v>832</v>
      </c>
      <c r="P62" s="24" t="s">
        <v>833</v>
      </c>
      <c r="Q62" s="24" t="s">
        <v>834</v>
      </c>
      <c r="R62" s="24"/>
      <c r="S62" s="29" t="s">
        <v>835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174</v>
      </c>
      <c r="Y62" s="23" t="s">
        <v>174</v>
      </c>
      <c r="Z62" s="23" t="s">
        <v>174</v>
      </c>
      <c r="AA62" s="23" t="s">
        <v>174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  <c r="AE62" s="24" t="str">
        <f aca="false">M62&amp;" | 창세기 37장 #"&amp;SUBSTITUTE(안내!$C$5," ","")</f>
        <v>형들이 내게 절하는 꿈을 꾸었다 | 창세기 37장 #1분성경</v>
      </c>
      <c r="AF62" s="24" t="s">
        <v>836</v>
      </c>
      <c r="AG62" s="24" t="s">
        <v>837</v>
      </c>
      <c r="AH62" s="23" t="s">
        <v>290</v>
      </c>
      <c r="AI62" s="26" t="n">
        <f aca="false">U62-안내!$C$12</f>
        <v>46394</v>
      </c>
      <c r="AJ62" s="23" t="str">
        <f aca="false">IF(U62&lt;IF(C62=1,안내!$C$9,안내!$C$10)+안내!$C$12,"시즌 시작 전 제작","")</f>
        <v/>
      </c>
      <c r="AK62" s="24" t="s">
        <v>838</v>
      </c>
      <c r="AL62" s="27"/>
      <c r="AM62" s="27"/>
      <c r="AN62" s="27"/>
      <c r="AO62" s="27"/>
      <c r="AP62" s="27"/>
      <c r="AQ62" s="23" t="str">
        <f aca="false">D62&amp;"|"&amp;TEXT(U62,"yyyy-mm-dd")</f>
        <v>구약|2027-02-04</v>
      </c>
      <c r="AR62" s="24" t="s">
        <v>839</v>
      </c>
      <c r="AS62" s="24"/>
    </row>
    <row r="63" customFormat="false" ht="39.55" hidden="false" customHeight="false" outlineLevel="0" collapsed="false">
      <c r="A63" s="21" t="n">
        <v>62</v>
      </c>
      <c r="B63" s="18" t="s">
        <v>840</v>
      </c>
      <c r="C63" s="20" t="n">
        <v>1</v>
      </c>
      <c r="D63" s="20" t="s">
        <v>160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827</v>
      </c>
      <c r="H63" s="18" t="s">
        <v>668</v>
      </c>
      <c r="I63" s="21" t="s">
        <v>163</v>
      </c>
      <c r="J63" s="22" t="s">
        <v>841</v>
      </c>
      <c r="K63" s="23" t="s">
        <v>165</v>
      </c>
      <c r="L63" s="24" t="s">
        <v>842</v>
      </c>
      <c r="M63" s="24" t="s">
        <v>843</v>
      </c>
      <c r="N63" s="23" t="s">
        <v>844</v>
      </c>
      <c r="O63" s="24" t="s">
        <v>845</v>
      </c>
      <c r="P63" s="24" t="s">
        <v>846</v>
      </c>
      <c r="Q63" s="24" t="s">
        <v>847</v>
      </c>
      <c r="R63" s="24"/>
      <c r="S63" s="24" t="s">
        <v>173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174</v>
      </c>
      <c r="Y63" s="23" t="s">
        <v>174</v>
      </c>
      <c r="Z63" s="23" t="s">
        <v>174</v>
      </c>
      <c r="AA63" s="23" t="s">
        <v>174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  <c r="AE63" s="24" t="str">
        <f aca="false">M63&amp;" | 창세기 37장 #"&amp;SUBSTITUTE(안내!$C$5," ","")</f>
        <v>형들이 동생을 구덩이에 던졌다 | 창세기 37장 #1분성경</v>
      </c>
      <c r="AF63" s="24" t="s">
        <v>848</v>
      </c>
      <c r="AG63" s="24" t="s">
        <v>849</v>
      </c>
      <c r="AH63" s="23" t="s">
        <v>290</v>
      </c>
      <c r="AI63" s="26" t="n">
        <f aca="false">U63-안내!$C$12</f>
        <v>46395</v>
      </c>
      <c r="AJ63" s="23" t="str">
        <f aca="false">IF(U63&lt;IF(C63=1,안내!$C$9,안내!$C$10)+안내!$C$12,"시즌 시작 전 제작","")</f>
        <v/>
      </c>
      <c r="AK63" s="24" t="s">
        <v>850</v>
      </c>
      <c r="AL63" s="27"/>
      <c r="AM63" s="27"/>
      <c r="AN63" s="27"/>
      <c r="AO63" s="27"/>
      <c r="AP63" s="27"/>
      <c r="AQ63" s="23" t="str">
        <f aca="false">D63&amp;"|"&amp;TEXT(U63,"yyyy-mm-dd")</f>
        <v>구약|2027-02-05</v>
      </c>
      <c r="AR63" s="24" t="s">
        <v>851</v>
      </c>
      <c r="AS63" s="24"/>
    </row>
    <row r="64" customFormat="false" ht="39.55" hidden="false" customHeight="false" outlineLevel="0" collapsed="false">
      <c r="A64" s="21" t="n">
        <v>63</v>
      </c>
      <c r="B64" s="18" t="s">
        <v>852</v>
      </c>
      <c r="C64" s="23" t="n">
        <v>2</v>
      </c>
      <c r="D64" s="23" t="s">
        <v>160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827</v>
      </c>
      <c r="H64" s="18" t="s">
        <v>853</v>
      </c>
      <c r="I64" s="21" t="s">
        <v>163</v>
      </c>
      <c r="J64" s="22" t="s">
        <v>854</v>
      </c>
      <c r="K64" s="23" t="s">
        <v>165</v>
      </c>
      <c r="L64" s="24" t="s">
        <v>855</v>
      </c>
      <c r="M64" s="24" t="s">
        <v>856</v>
      </c>
      <c r="N64" s="23" t="s">
        <v>857</v>
      </c>
      <c r="O64" s="24" t="s">
        <v>858</v>
      </c>
      <c r="P64" s="24" t="s">
        <v>859</v>
      </c>
      <c r="Q64" s="24" t="s">
        <v>860</v>
      </c>
      <c r="R64" s="25" t="s">
        <v>861</v>
      </c>
      <c r="S64" s="24" t="s">
        <v>862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174</v>
      </c>
      <c r="Y64" s="23" t="s">
        <v>174</v>
      </c>
      <c r="Z64" s="23" t="s">
        <v>174</v>
      </c>
      <c r="AA64" s="23" t="s">
        <v>174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  <c r="AE64" s="24" t="str">
        <f aca="false">M64&amp;" | 창세기 38장 #"&amp;SUBSTITUTE(안내!$C$5," ","")</f>
        <v>메시아의 족보에 이름을 올린 여인 | 창세기 38장 #1분성경</v>
      </c>
      <c r="AF64" s="24" t="s">
        <v>304</v>
      </c>
      <c r="AG64" s="24"/>
      <c r="AH64" s="23" t="s">
        <v>290</v>
      </c>
      <c r="AI64" s="26" t="n">
        <f aca="false">U64-안내!$C$12</f>
        <v>46581</v>
      </c>
      <c r="AJ64" s="23" t="str">
        <f aca="false">IF(U64&lt;IF(C64=1,안내!$C$9,안내!$C$10)+안내!$C$12,"시즌 시작 전 제작","")</f>
        <v/>
      </c>
      <c r="AK64" s="24"/>
      <c r="AL64" s="27"/>
      <c r="AM64" s="27"/>
      <c r="AN64" s="27"/>
      <c r="AO64" s="27"/>
      <c r="AP64" s="27"/>
      <c r="AQ64" s="23" t="str">
        <f aca="false">D64&amp;"|"&amp;TEXT(U64,"yyyy-mm-dd")</f>
        <v>구약|2027-08-10</v>
      </c>
      <c r="AR64" s="24" t="s">
        <v>863</v>
      </c>
      <c r="AS64" s="24"/>
    </row>
    <row r="65" customFormat="false" ht="39.55" hidden="false" customHeight="false" outlineLevel="0" collapsed="false">
      <c r="A65" s="21" t="n">
        <v>64</v>
      </c>
      <c r="B65" s="18" t="s">
        <v>864</v>
      </c>
      <c r="C65" s="20" t="n">
        <v>1</v>
      </c>
      <c r="D65" s="20" t="s">
        <v>160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827</v>
      </c>
      <c r="H65" s="18" t="s">
        <v>668</v>
      </c>
      <c r="I65" s="21" t="s">
        <v>163</v>
      </c>
      <c r="J65" s="22" t="s">
        <v>865</v>
      </c>
      <c r="K65" s="23" t="s">
        <v>165</v>
      </c>
      <c r="L65" s="24" t="s">
        <v>866</v>
      </c>
      <c r="M65" s="24" t="s">
        <v>867</v>
      </c>
      <c r="N65" s="23" t="s">
        <v>868</v>
      </c>
      <c r="O65" s="24" t="s">
        <v>869</v>
      </c>
      <c r="P65" s="24" t="s">
        <v>870</v>
      </c>
      <c r="Q65" s="24" t="s">
        <v>871</v>
      </c>
      <c r="R65" s="25" t="s">
        <v>872</v>
      </c>
      <c r="S65" s="29" t="s">
        <v>873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174</v>
      </c>
      <c r="Y65" s="23" t="s">
        <v>174</v>
      </c>
      <c r="Z65" s="23" t="s">
        <v>174</v>
      </c>
      <c r="AA65" s="23" t="s">
        <v>174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  <c r="AE65" s="24" t="str">
        <f aca="false">M65&amp;" | 창세기 39장 #"&amp;SUBSTITUTE(안내!$C$5," ","")</f>
        <v>아무도 안 보는데 왜 거절했을까? | 창세기 39장 #1분성경</v>
      </c>
      <c r="AF65" s="24" t="s">
        <v>874</v>
      </c>
      <c r="AG65" s="24" t="s">
        <v>875</v>
      </c>
      <c r="AH65" s="23" t="s">
        <v>176</v>
      </c>
      <c r="AI65" s="26" t="n">
        <f aca="false">U65-안내!$C$12</f>
        <v>46396</v>
      </c>
      <c r="AJ65" s="23" t="str">
        <f aca="false">IF(U65&lt;IF(C65=1,안내!$C$9,안내!$C$10)+안내!$C$12,"시즌 시작 전 제작","")</f>
        <v/>
      </c>
      <c r="AK65" s="24" t="s">
        <v>850</v>
      </c>
      <c r="AL65" s="27"/>
      <c r="AM65" s="27"/>
      <c r="AN65" s="27"/>
      <c r="AO65" s="27"/>
      <c r="AP65" s="27"/>
      <c r="AQ65" s="23" t="str">
        <f aca="false">D65&amp;"|"&amp;TEXT(U65,"yyyy-mm-dd")</f>
        <v>구약|2027-02-06</v>
      </c>
      <c r="AR65" s="24" t="s">
        <v>876</v>
      </c>
      <c r="AS65" s="24" t="s">
        <v>292</v>
      </c>
    </row>
    <row r="66" customFormat="false" ht="39.55" hidden="false" customHeight="false" outlineLevel="0" collapsed="false">
      <c r="A66" s="21" t="n">
        <v>65</v>
      </c>
      <c r="B66" s="18" t="s">
        <v>877</v>
      </c>
      <c r="C66" s="20" t="n">
        <v>1</v>
      </c>
      <c r="D66" s="20" t="s">
        <v>160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827</v>
      </c>
      <c r="H66" s="18" t="s">
        <v>668</v>
      </c>
      <c r="I66" s="21" t="s">
        <v>163</v>
      </c>
      <c r="J66" s="22" t="s">
        <v>878</v>
      </c>
      <c r="K66" s="23" t="s">
        <v>165</v>
      </c>
      <c r="L66" s="24" t="s">
        <v>879</v>
      </c>
      <c r="M66" s="24" t="s">
        <v>880</v>
      </c>
      <c r="N66" s="23" t="s">
        <v>881</v>
      </c>
      <c r="O66" s="24" t="s">
        <v>882</v>
      </c>
      <c r="P66" s="24" t="s">
        <v>883</v>
      </c>
      <c r="Q66" s="24" t="s">
        <v>884</v>
      </c>
      <c r="R66" s="25" t="s">
        <v>885</v>
      </c>
      <c r="S66" s="24" t="s">
        <v>173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174</v>
      </c>
      <c r="Y66" s="23" t="s">
        <v>174</v>
      </c>
      <c r="Z66" s="23" t="s">
        <v>174</v>
      </c>
      <c r="AA66" s="23" t="s">
        <v>174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  <c r="AE66" s="24" t="str">
        <f aca="false">M66&amp;" | 창세기 40장 #"&amp;SUBSTITUTE(안내!$C$5," ","")</f>
        <v>꿈을 풀어 주고 2년 동안 잊혀지다 | 창세기 40장 #1분성경</v>
      </c>
      <c r="AF66" s="24" t="s">
        <v>886</v>
      </c>
      <c r="AG66" s="24" t="s">
        <v>887</v>
      </c>
      <c r="AH66" s="23" t="s">
        <v>360</v>
      </c>
      <c r="AI66" s="26" t="n">
        <f aca="false">U66-안내!$C$12</f>
        <v>46397</v>
      </c>
      <c r="AJ66" s="23" t="str">
        <f aca="false">IF(U66&lt;IF(C66=1,안내!$C$9,안내!$C$10)+안내!$C$12,"시즌 시작 전 제작","")</f>
        <v/>
      </c>
      <c r="AK66" s="24" t="s">
        <v>850</v>
      </c>
      <c r="AL66" s="27"/>
      <c r="AM66" s="27"/>
      <c r="AN66" s="27"/>
      <c r="AO66" s="27"/>
      <c r="AP66" s="27"/>
      <c r="AQ66" s="23" t="str">
        <f aca="false">D66&amp;"|"&amp;TEXT(U66,"yyyy-mm-dd")</f>
        <v>구약|2027-02-07</v>
      </c>
      <c r="AR66" s="24" t="s">
        <v>888</v>
      </c>
      <c r="AS66" s="24"/>
    </row>
    <row r="67" customFormat="false" ht="26.85" hidden="false" customHeight="false" outlineLevel="0" collapsed="false">
      <c r="A67" s="21" t="n">
        <v>66</v>
      </c>
      <c r="B67" s="18" t="s">
        <v>889</v>
      </c>
      <c r="C67" s="20" t="n">
        <v>1</v>
      </c>
      <c r="D67" s="20" t="s">
        <v>160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827</v>
      </c>
      <c r="H67" s="18" t="s">
        <v>668</v>
      </c>
      <c r="I67" s="21" t="s">
        <v>163</v>
      </c>
      <c r="J67" s="22" t="s">
        <v>890</v>
      </c>
      <c r="K67" s="23" t="s">
        <v>165</v>
      </c>
      <c r="L67" s="24" t="s">
        <v>891</v>
      </c>
      <c r="M67" s="24" t="s">
        <v>892</v>
      </c>
      <c r="N67" s="23" t="s">
        <v>893</v>
      </c>
      <c r="O67" s="24" t="s">
        <v>894</v>
      </c>
      <c r="P67" s="24" t="s">
        <v>895</v>
      </c>
      <c r="Q67" s="24" t="s">
        <v>896</v>
      </c>
      <c r="R67" s="24"/>
      <c r="S67" s="24" t="s">
        <v>173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174</v>
      </c>
      <c r="Y67" s="23" t="s">
        <v>174</v>
      </c>
      <c r="Z67" s="23" t="s">
        <v>174</v>
      </c>
      <c r="AA67" s="23" t="s">
        <v>174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  <c r="AE67" s="24" t="str">
        <f aca="false">M67&amp;" | 창세기 41장 #"&amp;SUBSTITUTE(안내!$C$5," ","")</f>
        <v>왕의 꿈을 아무도 풀지 못했다 | 창세기 41장 #1분성경</v>
      </c>
      <c r="AF67" s="24" t="s">
        <v>897</v>
      </c>
      <c r="AG67" s="24" t="s">
        <v>898</v>
      </c>
      <c r="AH67" s="23" t="s">
        <v>290</v>
      </c>
      <c r="AI67" s="26" t="n">
        <f aca="false">U67-안내!$C$12</f>
        <v>46398</v>
      </c>
      <c r="AJ67" s="23" t="str">
        <f aca="false">IF(U67&lt;IF(C67=1,안내!$C$9,안내!$C$10)+안내!$C$12,"시즌 시작 전 제작","")</f>
        <v/>
      </c>
      <c r="AK67" s="24" t="s">
        <v>850</v>
      </c>
      <c r="AL67" s="27"/>
      <c r="AM67" s="27"/>
      <c r="AN67" s="27"/>
      <c r="AO67" s="27"/>
      <c r="AP67" s="27"/>
      <c r="AQ67" s="23" t="str">
        <f aca="false">D67&amp;"|"&amp;TEXT(U67,"yyyy-mm-dd")</f>
        <v>구약|2027-02-08</v>
      </c>
      <c r="AR67" s="24" t="s">
        <v>899</v>
      </c>
      <c r="AS67" s="24"/>
    </row>
    <row r="68" customFormat="false" ht="26.85" hidden="false" customHeight="false" outlineLevel="0" collapsed="false">
      <c r="A68" s="21" t="n">
        <v>67</v>
      </c>
      <c r="B68" s="18" t="s">
        <v>900</v>
      </c>
      <c r="C68" s="20" t="n">
        <v>1</v>
      </c>
      <c r="D68" s="20" t="s">
        <v>160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827</v>
      </c>
      <c r="H68" s="18" t="s">
        <v>668</v>
      </c>
      <c r="I68" s="21" t="s">
        <v>163</v>
      </c>
      <c r="J68" s="22" t="s">
        <v>901</v>
      </c>
      <c r="K68" s="23" t="s">
        <v>165</v>
      </c>
      <c r="L68" s="24" t="s">
        <v>902</v>
      </c>
      <c r="M68" s="24" t="s">
        <v>903</v>
      </c>
      <c r="N68" s="23" t="s">
        <v>904</v>
      </c>
      <c r="O68" s="24" t="s">
        <v>905</v>
      </c>
      <c r="P68" s="24" t="s">
        <v>906</v>
      </c>
      <c r="Q68" s="24" t="s">
        <v>907</v>
      </c>
      <c r="R68" s="24"/>
      <c r="S68" s="24" t="s">
        <v>173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174</v>
      </c>
      <c r="Y68" s="23" t="s">
        <v>174</v>
      </c>
      <c r="Z68" s="23" t="s">
        <v>174</v>
      </c>
      <c r="AA68" s="23" t="s">
        <v>174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  <c r="AE68" s="24" t="str">
        <f aca="false">M68&amp;" | 창세기 41장 #"&amp;SUBSTITUTE(안내!$C$5," ","")</f>
        <v>감옥에서 나와 애굽 2인자가 되다 | 창세기 41장 #1분성경</v>
      </c>
      <c r="AF68" s="24" t="s">
        <v>908</v>
      </c>
      <c r="AG68" s="24"/>
      <c r="AH68" s="23" t="s">
        <v>360</v>
      </c>
      <c r="AI68" s="26" t="n">
        <f aca="false">U68-안내!$C$12</f>
        <v>46399</v>
      </c>
      <c r="AJ68" s="23" t="str">
        <f aca="false">IF(U68&lt;IF(C68=1,안내!$C$9,안내!$C$10)+안내!$C$12,"시즌 시작 전 제작","")</f>
        <v/>
      </c>
      <c r="AK68" s="24" t="s">
        <v>850</v>
      </c>
      <c r="AL68" s="27"/>
      <c r="AM68" s="27"/>
      <c r="AN68" s="27"/>
      <c r="AO68" s="27"/>
      <c r="AP68" s="27"/>
      <c r="AQ68" s="23" t="str">
        <f aca="false">D68&amp;"|"&amp;TEXT(U68,"yyyy-mm-dd")</f>
        <v>구약|2027-02-09</v>
      </c>
      <c r="AR68" s="24" t="s">
        <v>909</v>
      </c>
      <c r="AS68" s="24"/>
    </row>
    <row r="69" customFormat="false" ht="26.85" hidden="false" customHeight="false" outlineLevel="0" collapsed="false">
      <c r="A69" s="21" t="n">
        <v>68</v>
      </c>
      <c r="B69" s="18" t="s">
        <v>910</v>
      </c>
      <c r="C69" s="20" t="n">
        <v>1</v>
      </c>
      <c r="D69" s="20" t="s">
        <v>160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911</v>
      </c>
      <c r="H69" s="18" t="s">
        <v>912</v>
      </c>
      <c r="I69" s="21" t="s">
        <v>163</v>
      </c>
      <c r="J69" s="22" t="s">
        <v>913</v>
      </c>
      <c r="K69" s="23" t="s">
        <v>165</v>
      </c>
      <c r="L69" s="24" t="s">
        <v>914</v>
      </c>
      <c r="M69" s="24" t="s">
        <v>915</v>
      </c>
      <c r="N69" s="23" t="s">
        <v>916</v>
      </c>
      <c r="O69" s="24" t="s">
        <v>917</v>
      </c>
      <c r="P69" s="24" t="s">
        <v>918</v>
      </c>
      <c r="Q69" s="24" t="s">
        <v>919</v>
      </c>
      <c r="R69" s="24"/>
      <c r="S69" s="24" t="s">
        <v>173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174</v>
      </c>
      <c r="Y69" s="23" t="s">
        <v>174</v>
      </c>
      <c r="Z69" s="23" t="s">
        <v>174</v>
      </c>
      <c r="AA69" s="23" t="s">
        <v>174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  <c r="AE69" s="24" t="str">
        <f aca="false">M69&amp;" | 창세기 42장 #"&amp;SUBSTITUTE(안내!$C$5," ","")</f>
        <v>형들이 총리 앞에 엎드렸다 | 창세기 42장 #1분성경</v>
      </c>
      <c r="AF69" s="24" t="s">
        <v>920</v>
      </c>
      <c r="AG69" s="24" t="s">
        <v>921</v>
      </c>
      <c r="AH69" s="23" t="s">
        <v>290</v>
      </c>
      <c r="AI69" s="26" t="n">
        <f aca="false">U69-안내!$C$12</f>
        <v>46400</v>
      </c>
      <c r="AJ69" s="23" t="str">
        <f aca="false">IF(U69&lt;IF(C69=1,안내!$C$9,안내!$C$10)+안내!$C$12,"시즌 시작 전 제작","")</f>
        <v/>
      </c>
      <c r="AK69" s="24" t="s">
        <v>850</v>
      </c>
      <c r="AL69" s="27"/>
      <c r="AM69" s="27"/>
      <c r="AN69" s="27"/>
      <c r="AO69" s="27"/>
      <c r="AP69" s="27"/>
      <c r="AQ69" s="23" t="str">
        <f aca="false">D69&amp;"|"&amp;TEXT(U69,"yyyy-mm-dd")</f>
        <v>구약|2027-02-10</v>
      </c>
      <c r="AR69" s="24" t="s">
        <v>922</v>
      </c>
      <c r="AS69" s="24"/>
    </row>
    <row r="70" customFormat="false" ht="26.85" hidden="false" customHeight="false" outlineLevel="0" collapsed="false">
      <c r="A70" s="21" t="n">
        <v>69</v>
      </c>
      <c r="B70" s="18" t="s">
        <v>923</v>
      </c>
      <c r="C70" s="23" t="n">
        <v>2</v>
      </c>
      <c r="D70" s="23" t="s">
        <v>160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911</v>
      </c>
      <c r="H70" s="18" t="s">
        <v>853</v>
      </c>
      <c r="I70" s="21" t="s">
        <v>163</v>
      </c>
      <c r="J70" s="22" t="s">
        <v>924</v>
      </c>
      <c r="K70" s="23" t="s">
        <v>165</v>
      </c>
      <c r="L70" s="24" t="s">
        <v>925</v>
      </c>
      <c r="M70" s="24" t="s">
        <v>926</v>
      </c>
      <c r="N70" s="23" t="s">
        <v>927</v>
      </c>
      <c r="O70" s="24" t="s">
        <v>928</v>
      </c>
      <c r="P70" s="24" t="s">
        <v>929</v>
      </c>
      <c r="Q70" s="24" t="s">
        <v>930</v>
      </c>
      <c r="R70" s="24"/>
      <c r="S70" s="24" t="s">
        <v>931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174</v>
      </c>
      <c r="Y70" s="23" t="s">
        <v>174</v>
      </c>
      <c r="Z70" s="23" t="s">
        <v>174</v>
      </c>
      <c r="AA70" s="23" t="s">
        <v>174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  <c r="AE70" s="24" t="str">
        <f aca="false">M70&amp;" | 창세기 42~43장 #"&amp;SUBSTITUTE(안내!$C$5," ","")</f>
        <v>총리가 갑자기 방에 들어가 울었다 | 창세기 42~43장 #1분성경</v>
      </c>
      <c r="AF70" s="24" t="s">
        <v>304</v>
      </c>
      <c r="AG70" s="24" t="s">
        <v>932</v>
      </c>
      <c r="AH70" s="23" t="s">
        <v>290</v>
      </c>
      <c r="AI70" s="26" t="n">
        <f aca="false">U70-안내!$C$12</f>
        <v>46582</v>
      </c>
      <c r="AJ70" s="23" t="str">
        <f aca="false">IF(U70&lt;IF(C70=1,안내!$C$9,안내!$C$10)+안내!$C$12,"시즌 시작 전 제작","")</f>
        <v/>
      </c>
      <c r="AK70" s="24" t="s">
        <v>838</v>
      </c>
      <c r="AL70" s="27"/>
      <c r="AM70" s="27"/>
      <c r="AN70" s="27"/>
      <c r="AO70" s="27"/>
      <c r="AP70" s="27"/>
      <c r="AQ70" s="23" t="str">
        <f aca="false">D70&amp;"|"&amp;TEXT(U70,"yyyy-mm-dd")</f>
        <v>구약|2027-08-11</v>
      </c>
      <c r="AR70" s="24" t="s">
        <v>933</v>
      </c>
      <c r="AS70" s="24"/>
    </row>
    <row r="71" customFormat="false" ht="26.85" hidden="false" customHeight="false" outlineLevel="0" collapsed="false">
      <c r="A71" s="21" t="n">
        <v>70</v>
      </c>
      <c r="B71" s="18" t="s">
        <v>934</v>
      </c>
      <c r="C71" s="20" t="n">
        <v>1</v>
      </c>
      <c r="D71" s="20" t="s">
        <v>160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911</v>
      </c>
      <c r="H71" s="18" t="s">
        <v>912</v>
      </c>
      <c r="I71" s="21" t="s">
        <v>163</v>
      </c>
      <c r="J71" s="22" t="s">
        <v>935</v>
      </c>
      <c r="K71" s="23" t="s">
        <v>165</v>
      </c>
      <c r="L71" s="24" t="s">
        <v>936</v>
      </c>
      <c r="M71" s="24" t="s">
        <v>937</v>
      </c>
      <c r="N71" s="23" t="s">
        <v>938</v>
      </c>
      <c r="O71" s="24" t="s">
        <v>939</v>
      </c>
      <c r="P71" s="24" t="s">
        <v>940</v>
      </c>
      <c r="Q71" s="24" t="s">
        <v>941</v>
      </c>
      <c r="R71" s="25" t="s">
        <v>942</v>
      </c>
      <c r="S71" s="29" t="s">
        <v>943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174</v>
      </c>
      <c r="Y71" s="23" t="s">
        <v>174</v>
      </c>
      <c r="Z71" s="23" t="s">
        <v>174</v>
      </c>
      <c r="AA71" s="23" t="s">
        <v>174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  <c r="AE71" s="24" t="str">
        <f aca="false">M71&amp;" | 창세기 44장 #"&amp;SUBSTITUTE(안내!$C$5," ","")</f>
        <v>제가 대신 종이 되겠습니다 | 창세기 44장 #1분성경</v>
      </c>
      <c r="AF71" s="24" t="s">
        <v>944</v>
      </c>
      <c r="AG71" s="24" t="s">
        <v>945</v>
      </c>
      <c r="AH71" s="23" t="s">
        <v>290</v>
      </c>
      <c r="AI71" s="26" t="n">
        <f aca="false">U71-안내!$C$12</f>
        <v>46401</v>
      </c>
      <c r="AJ71" s="23" t="str">
        <f aca="false">IF(U71&lt;IF(C71=1,안내!$C$9,안내!$C$10)+안내!$C$12,"시즌 시작 전 제작","")</f>
        <v/>
      </c>
      <c r="AK71" s="24" t="s">
        <v>850</v>
      </c>
      <c r="AL71" s="27"/>
      <c r="AM71" s="27"/>
      <c r="AN71" s="27"/>
      <c r="AO71" s="27"/>
      <c r="AP71" s="27"/>
      <c r="AQ71" s="23" t="str">
        <f aca="false">D71&amp;"|"&amp;TEXT(U71,"yyyy-mm-dd")</f>
        <v>구약|2027-02-11</v>
      </c>
      <c r="AR71" s="24" t="s">
        <v>946</v>
      </c>
      <c r="AS71" s="24"/>
    </row>
    <row r="72" customFormat="false" ht="26.85" hidden="false" customHeight="false" outlineLevel="0" collapsed="false">
      <c r="A72" s="21" t="n">
        <v>71</v>
      </c>
      <c r="B72" s="18" t="s">
        <v>947</v>
      </c>
      <c r="C72" s="20" t="n">
        <v>1</v>
      </c>
      <c r="D72" s="20" t="s">
        <v>160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911</v>
      </c>
      <c r="H72" s="18" t="s">
        <v>912</v>
      </c>
      <c r="I72" s="21" t="s">
        <v>163</v>
      </c>
      <c r="J72" s="22" t="s">
        <v>948</v>
      </c>
      <c r="K72" s="23" t="s">
        <v>165</v>
      </c>
      <c r="L72" s="24" t="s">
        <v>949</v>
      </c>
      <c r="M72" s="24" t="s">
        <v>950</v>
      </c>
      <c r="N72" s="23" t="s">
        <v>951</v>
      </c>
      <c r="O72" s="24" t="s">
        <v>952</v>
      </c>
      <c r="P72" s="24" t="s">
        <v>953</v>
      </c>
      <c r="Q72" s="24" t="s">
        <v>941</v>
      </c>
      <c r="R72" s="24"/>
      <c r="S72" s="24" t="s">
        <v>173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174</v>
      </c>
      <c r="Y72" s="23" t="s">
        <v>174</v>
      </c>
      <c r="Z72" s="23" t="s">
        <v>174</v>
      </c>
      <c r="AA72" s="23" t="s">
        <v>174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  <c r="AE72" s="24" t="str">
        <f aca="false">M72&amp;" | 창세기 45장 #"&amp;SUBSTITUTE(안내!$C$5," ","")</f>
        <v>형들이 너무 놀라 대답도 못 했다 | 창세기 45장 #1분성경</v>
      </c>
      <c r="AF72" s="24" t="s">
        <v>954</v>
      </c>
      <c r="AG72" s="24"/>
      <c r="AH72" s="23" t="s">
        <v>290</v>
      </c>
      <c r="AI72" s="26" t="n">
        <f aca="false">U72-안내!$C$12</f>
        <v>46402</v>
      </c>
      <c r="AJ72" s="23" t="str">
        <f aca="false">IF(U72&lt;IF(C72=1,안내!$C$9,안내!$C$10)+안내!$C$12,"시즌 시작 전 제작","")</f>
        <v/>
      </c>
      <c r="AK72" s="24" t="s">
        <v>850</v>
      </c>
      <c r="AL72" s="27"/>
      <c r="AM72" s="27"/>
      <c r="AN72" s="27"/>
      <c r="AO72" s="27"/>
      <c r="AP72" s="27"/>
      <c r="AQ72" s="23" t="str">
        <f aca="false">D72&amp;"|"&amp;TEXT(U72,"yyyy-mm-dd")</f>
        <v>구약|2027-02-12</v>
      </c>
      <c r="AR72" s="24" t="s">
        <v>955</v>
      </c>
      <c r="AS72" s="24"/>
    </row>
    <row r="73" customFormat="false" ht="26.85" hidden="false" customHeight="false" outlineLevel="0" collapsed="false">
      <c r="A73" s="21" t="n">
        <v>72</v>
      </c>
      <c r="B73" s="18" t="s">
        <v>956</v>
      </c>
      <c r="C73" s="23" t="n">
        <v>2</v>
      </c>
      <c r="D73" s="23" t="s">
        <v>160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911</v>
      </c>
      <c r="H73" s="18" t="s">
        <v>853</v>
      </c>
      <c r="I73" s="21" t="s">
        <v>163</v>
      </c>
      <c r="J73" s="22" t="s">
        <v>957</v>
      </c>
      <c r="K73" s="23" t="s">
        <v>165</v>
      </c>
      <c r="L73" s="24" t="s">
        <v>958</v>
      </c>
      <c r="M73" s="24" t="s">
        <v>959</v>
      </c>
      <c r="N73" s="23" t="s">
        <v>960</v>
      </c>
      <c r="O73" s="24" t="s">
        <v>961</v>
      </c>
      <c r="P73" s="24" t="s">
        <v>962</v>
      </c>
      <c r="Q73" s="24" t="s">
        <v>963</v>
      </c>
      <c r="R73" s="24"/>
      <c r="S73" s="24" t="s">
        <v>964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174</v>
      </c>
      <c r="Y73" s="23" t="s">
        <v>174</v>
      </c>
      <c r="Z73" s="23" t="s">
        <v>174</v>
      </c>
      <c r="AA73" s="23" t="s">
        <v>174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  <c r="AE73" s="24" t="str">
        <f aca="false">M73&amp;" | 창세기 45~46장 #"&amp;SUBSTITUTE(안내!$C$5," ","")</f>
        <v>죽은 줄 알았던 아들이 살아 있다면? | 창세기 45~46장 #1분성경</v>
      </c>
      <c r="AF73" s="24" t="s">
        <v>304</v>
      </c>
      <c r="AG73" s="24" t="s">
        <v>965</v>
      </c>
      <c r="AH73" s="23" t="s">
        <v>176</v>
      </c>
      <c r="AI73" s="26" t="n">
        <f aca="false">U73-안내!$C$12</f>
        <v>46583</v>
      </c>
      <c r="AJ73" s="23" t="str">
        <f aca="false">IF(U73&lt;IF(C73=1,안내!$C$9,안내!$C$10)+안내!$C$12,"시즌 시작 전 제작","")</f>
        <v/>
      </c>
      <c r="AK73" s="24" t="s">
        <v>635</v>
      </c>
      <c r="AL73" s="27"/>
      <c r="AM73" s="27"/>
      <c r="AN73" s="27"/>
      <c r="AO73" s="27"/>
      <c r="AP73" s="27"/>
      <c r="AQ73" s="23" t="str">
        <f aca="false">D73&amp;"|"&amp;TEXT(U73,"yyyy-mm-dd")</f>
        <v>구약|2027-08-12</v>
      </c>
      <c r="AR73" s="24" t="s">
        <v>966</v>
      </c>
      <c r="AS73" s="24"/>
    </row>
    <row r="74" customFormat="false" ht="39.55" hidden="false" customHeight="false" outlineLevel="0" collapsed="false">
      <c r="A74" s="21" t="n">
        <v>73</v>
      </c>
      <c r="B74" s="18" t="s">
        <v>967</v>
      </c>
      <c r="C74" s="23" t="n">
        <v>2</v>
      </c>
      <c r="D74" s="23" t="s">
        <v>160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911</v>
      </c>
      <c r="H74" s="18" t="s">
        <v>853</v>
      </c>
      <c r="I74" s="21" t="s">
        <v>163</v>
      </c>
      <c r="J74" s="22" t="s">
        <v>968</v>
      </c>
      <c r="K74" s="23" t="s">
        <v>165</v>
      </c>
      <c r="L74" s="24" t="s">
        <v>969</v>
      </c>
      <c r="M74" s="30" t="s">
        <v>970</v>
      </c>
      <c r="N74" s="23" t="s">
        <v>971</v>
      </c>
      <c r="O74" s="24" t="s">
        <v>972</v>
      </c>
      <c r="P74" s="24" t="s">
        <v>973</v>
      </c>
      <c r="Q74" s="24" t="s">
        <v>974</v>
      </c>
      <c r="R74" s="24"/>
      <c r="S74" s="24" t="s">
        <v>964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174</v>
      </c>
      <c r="Y74" s="23" t="s">
        <v>174</v>
      </c>
      <c r="Z74" s="23" t="s">
        <v>174</v>
      </c>
      <c r="AA74" s="23" t="s">
        <v>174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  <c r="AE74" s="24" t="str">
        <f aca="false">M74&amp;" | 창세기 46~47장 #"&amp;SUBSTITUTE(안내!$C$5," ","")</f>
        <v>130년 나그네 인생을 고백하다 | 창세기 46~47장 #1분성경</v>
      </c>
      <c r="AF74" s="24" t="s">
        <v>304</v>
      </c>
      <c r="AG74" s="24" t="s">
        <v>975</v>
      </c>
      <c r="AH74" s="23" t="s">
        <v>360</v>
      </c>
      <c r="AI74" s="26" t="n">
        <f aca="false">U74-안내!$C$12</f>
        <v>46584</v>
      </c>
      <c r="AJ74" s="23" t="str">
        <f aca="false">IF(U74&lt;IF(C74=1,안내!$C$9,안내!$C$10)+안내!$C$12,"시즌 시작 전 제작","")</f>
        <v/>
      </c>
      <c r="AK74" s="24" t="s">
        <v>838</v>
      </c>
      <c r="AL74" s="27"/>
      <c r="AM74" s="27"/>
      <c r="AN74" s="27"/>
      <c r="AO74" s="27"/>
      <c r="AP74" s="27"/>
      <c r="AQ74" s="23" t="str">
        <f aca="false">D74&amp;"|"&amp;TEXT(U74,"yyyy-mm-dd")</f>
        <v>구약|2027-08-13</v>
      </c>
      <c r="AR74" s="24" t="s">
        <v>976</v>
      </c>
      <c r="AS74" s="24"/>
    </row>
    <row r="75" customFormat="false" ht="26.85" hidden="false" customHeight="false" outlineLevel="0" collapsed="false">
      <c r="A75" s="21" t="n">
        <v>74</v>
      </c>
      <c r="B75" s="18" t="s">
        <v>977</v>
      </c>
      <c r="C75" s="23" t="n">
        <v>2</v>
      </c>
      <c r="D75" s="23" t="s">
        <v>160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911</v>
      </c>
      <c r="H75" s="18" t="s">
        <v>853</v>
      </c>
      <c r="I75" s="21" t="s">
        <v>163</v>
      </c>
      <c r="J75" s="22" t="s">
        <v>978</v>
      </c>
      <c r="K75" s="23" t="s">
        <v>165</v>
      </c>
      <c r="L75" s="24" t="s">
        <v>979</v>
      </c>
      <c r="M75" s="24" t="s">
        <v>980</v>
      </c>
      <c r="N75" s="23" t="s">
        <v>981</v>
      </c>
      <c r="O75" s="24" t="s">
        <v>982</v>
      </c>
      <c r="P75" s="24" t="s">
        <v>983</v>
      </c>
      <c r="Q75" s="24" t="s">
        <v>919</v>
      </c>
      <c r="R75" s="24"/>
      <c r="S75" s="24" t="s">
        <v>964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174</v>
      </c>
      <c r="Y75" s="23" t="s">
        <v>174</v>
      </c>
      <c r="Z75" s="23" t="s">
        <v>174</v>
      </c>
      <c r="AA75" s="23" t="s">
        <v>174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  <c r="AE75" s="24" t="str">
        <f aca="false">M75&amp;" | 창세기 47장 #"&amp;SUBSTITUTE(안내!$C$5," ","")</f>
        <v>돈이 다 떨어지자 땅까지 팔았다 | 창세기 47장 #1분성경</v>
      </c>
      <c r="AF75" s="24" t="s">
        <v>304</v>
      </c>
      <c r="AG75" s="24" t="s">
        <v>984</v>
      </c>
      <c r="AH75" s="23" t="s">
        <v>290</v>
      </c>
      <c r="AI75" s="26" t="n">
        <f aca="false">U75-안내!$C$12</f>
        <v>46585</v>
      </c>
      <c r="AJ75" s="23" t="str">
        <f aca="false">IF(U75&lt;IF(C75=1,안내!$C$9,안내!$C$10)+안내!$C$12,"시즌 시작 전 제작","")</f>
        <v/>
      </c>
      <c r="AK75" s="24" t="s">
        <v>838</v>
      </c>
      <c r="AL75" s="27"/>
      <c r="AM75" s="27"/>
      <c r="AN75" s="27"/>
      <c r="AO75" s="27"/>
      <c r="AP75" s="27"/>
      <c r="AQ75" s="23" t="str">
        <f aca="false">D75&amp;"|"&amp;TEXT(U75,"yyyy-mm-dd")</f>
        <v>구약|2027-08-14</v>
      </c>
      <c r="AR75" s="24" t="s">
        <v>985</v>
      </c>
      <c r="AS75" s="24"/>
    </row>
    <row r="76" customFormat="false" ht="26.85" hidden="false" customHeight="false" outlineLevel="0" collapsed="false">
      <c r="A76" s="21" t="n">
        <v>75</v>
      </c>
      <c r="B76" s="18" t="s">
        <v>986</v>
      </c>
      <c r="C76" s="23" t="n">
        <v>2</v>
      </c>
      <c r="D76" s="23" t="s">
        <v>160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911</v>
      </c>
      <c r="H76" s="18" t="s">
        <v>853</v>
      </c>
      <c r="I76" s="21" t="s">
        <v>163</v>
      </c>
      <c r="J76" s="22" t="s">
        <v>987</v>
      </c>
      <c r="K76" s="23" t="s">
        <v>165</v>
      </c>
      <c r="L76" s="24" t="s">
        <v>988</v>
      </c>
      <c r="M76" s="24" t="s">
        <v>989</v>
      </c>
      <c r="N76" s="23" t="s">
        <v>990</v>
      </c>
      <c r="O76" s="24" t="s">
        <v>991</v>
      </c>
      <c r="P76" s="24" t="s">
        <v>992</v>
      </c>
      <c r="Q76" s="24" t="s">
        <v>993</v>
      </c>
      <c r="R76" s="24"/>
      <c r="S76" s="24" t="s">
        <v>964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174</v>
      </c>
      <c r="Y76" s="23" t="s">
        <v>174</v>
      </c>
      <c r="Z76" s="23" t="s">
        <v>174</v>
      </c>
      <c r="AA76" s="23" t="s">
        <v>174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  <c r="AE76" s="24" t="str">
        <f aca="false">M76&amp;" | 창세기 48장 #"&amp;SUBSTITUTE(안내!$C$5," ","")</f>
        <v>할아버지가 손을 바꿔서 축복했다? | 창세기 48장 #1분성경</v>
      </c>
      <c r="AF76" s="24" t="s">
        <v>304</v>
      </c>
      <c r="AG76" s="24" t="s">
        <v>994</v>
      </c>
      <c r="AH76" s="23" t="s">
        <v>176</v>
      </c>
      <c r="AI76" s="26" t="n">
        <f aca="false">U76-안내!$C$12</f>
        <v>46586</v>
      </c>
      <c r="AJ76" s="23" t="str">
        <f aca="false">IF(U76&lt;IF(C76=1,안내!$C$9,안내!$C$10)+안내!$C$12,"시즌 시작 전 제작","")</f>
        <v/>
      </c>
      <c r="AK76" s="24" t="s">
        <v>838</v>
      </c>
      <c r="AL76" s="27"/>
      <c r="AM76" s="27"/>
      <c r="AN76" s="27"/>
      <c r="AO76" s="27"/>
      <c r="AP76" s="27"/>
      <c r="AQ76" s="23" t="str">
        <f aca="false">D76&amp;"|"&amp;TEXT(U76,"yyyy-mm-dd")</f>
        <v>구약|2027-08-15</v>
      </c>
      <c r="AR76" s="24" t="s">
        <v>995</v>
      </c>
      <c r="AS76" s="24"/>
    </row>
    <row r="77" customFormat="false" ht="52.2" hidden="false" customHeight="false" outlineLevel="0" collapsed="false">
      <c r="A77" s="21" t="n">
        <v>76</v>
      </c>
      <c r="B77" s="18" t="s">
        <v>996</v>
      </c>
      <c r="C77" s="20" t="n">
        <v>1</v>
      </c>
      <c r="D77" s="20" t="s">
        <v>160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911</v>
      </c>
      <c r="H77" s="18" t="s">
        <v>912</v>
      </c>
      <c r="I77" s="21" t="s">
        <v>163</v>
      </c>
      <c r="J77" s="22" t="s">
        <v>997</v>
      </c>
      <c r="K77" s="23" t="s">
        <v>165</v>
      </c>
      <c r="L77" s="24" t="s">
        <v>998</v>
      </c>
      <c r="M77" s="24" t="s">
        <v>999</v>
      </c>
      <c r="N77" s="23" t="s">
        <v>1000</v>
      </c>
      <c r="O77" s="24" t="s">
        <v>1001</v>
      </c>
      <c r="P77" s="24" t="s">
        <v>1002</v>
      </c>
      <c r="Q77" s="24" t="s">
        <v>1003</v>
      </c>
      <c r="R77" s="28" t="s">
        <v>1004</v>
      </c>
      <c r="S77" s="29" t="s">
        <v>1005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174</v>
      </c>
      <c r="Y77" s="23" t="s">
        <v>174</v>
      </c>
      <c r="Z77" s="23" t="s">
        <v>174</v>
      </c>
      <c r="AA77" s="23" t="s">
        <v>174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  <c r="AE77" s="24" t="str">
        <f aca="false">M77&amp;" | 창세기 49장 #"&amp;SUBSTITUTE(안내!$C$5," ","")</f>
        <v>유다에게서 왕이 나리라 | 창세기 49장 #1분성경</v>
      </c>
      <c r="AF77" s="24" t="s">
        <v>1006</v>
      </c>
      <c r="AG77" s="24"/>
      <c r="AH77" s="23" t="s">
        <v>290</v>
      </c>
      <c r="AI77" s="26" t="n">
        <f aca="false">U77-안내!$C$12</f>
        <v>46403</v>
      </c>
      <c r="AJ77" s="23" t="str">
        <f aca="false">IF(U77&lt;IF(C77=1,안내!$C$9,안내!$C$10)+안내!$C$12,"시즌 시작 전 제작","")</f>
        <v/>
      </c>
      <c r="AK77" s="24" t="s">
        <v>635</v>
      </c>
      <c r="AL77" s="27"/>
      <c r="AM77" s="27"/>
      <c r="AN77" s="27"/>
      <c r="AO77" s="27"/>
      <c r="AP77" s="27"/>
      <c r="AQ77" s="23" t="str">
        <f aca="false">D77&amp;"|"&amp;TEXT(U77,"yyyy-mm-dd")</f>
        <v>구약|2027-02-13</v>
      </c>
      <c r="AR77" s="24" t="s">
        <v>1007</v>
      </c>
      <c r="AS77" s="24" t="s">
        <v>292</v>
      </c>
    </row>
    <row r="78" customFormat="false" ht="26.85" hidden="false" customHeight="false" outlineLevel="0" collapsed="false">
      <c r="A78" s="21" t="n">
        <v>77</v>
      </c>
      <c r="B78" s="18" t="s">
        <v>1008</v>
      </c>
      <c r="C78" s="23" t="n">
        <v>2</v>
      </c>
      <c r="D78" s="23" t="s">
        <v>160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911</v>
      </c>
      <c r="H78" s="18" t="s">
        <v>853</v>
      </c>
      <c r="I78" s="21" t="s">
        <v>163</v>
      </c>
      <c r="J78" s="22" t="s">
        <v>1009</v>
      </c>
      <c r="K78" s="23" t="s">
        <v>165</v>
      </c>
      <c r="L78" s="24" t="s">
        <v>1010</v>
      </c>
      <c r="M78" s="24" t="s">
        <v>1011</v>
      </c>
      <c r="N78" s="23" t="s">
        <v>1012</v>
      </c>
      <c r="O78" s="24" t="s">
        <v>1013</v>
      </c>
      <c r="P78" s="24" t="s">
        <v>1014</v>
      </c>
      <c r="Q78" s="24" t="s">
        <v>1015</v>
      </c>
      <c r="R78" s="24"/>
      <c r="S78" s="24" t="s">
        <v>1016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174</v>
      </c>
      <c r="Y78" s="23" t="s">
        <v>174</v>
      </c>
      <c r="Z78" s="23" t="s">
        <v>174</v>
      </c>
      <c r="AA78" s="23" t="s">
        <v>174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  <c r="AE78" s="24" t="str">
        <f aca="false">M78&amp;" | 창세기 49~50장 #"&amp;SUBSTITUTE(안내!$C$5," ","")</f>
        <v>애굽 사람들이 70일을 울었다 | 창세기 49~50장 #1분성경</v>
      </c>
      <c r="AF78" s="24" t="s">
        <v>304</v>
      </c>
      <c r="AG78" s="24"/>
      <c r="AH78" s="23" t="s">
        <v>360</v>
      </c>
      <c r="AI78" s="26" t="n">
        <f aca="false">U78-안내!$C$12</f>
        <v>46587</v>
      </c>
      <c r="AJ78" s="23" t="str">
        <f aca="false">IF(U78&lt;IF(C78=1,안내!$C$9,안내!$C$10)+안내!$C$12,"시즌 시작 전 제작","")</f>
        <v/>
      </c>
      <c r="AK78" s="24" t="s">
        <v>850</v>
      </c>
      <c r="AL78" s="27"/>
      <c r="AM78" s="27"/>
      <c r="AN78" s="27"/>
      <c r="AO78" s="27"/>
      <c r="AP78" s="27"/>
      <c r="AQ78" s="23" t="str">
        <f aca="false">D78&amp;"|"&amp;TEXT(U78,"yyyy-mm-dd")</f>
        <v>구약|2027-08-16</v>
      </c>
      <c r="AR78" s="24" t="s">
        <v>1017</v>
      </c>
      <c r="AS78" s="24"/>
    </row>
    <row r="79" customFormat="false" ht="26.85" hidden="false" customHeight="false" outlineLevel="0" collapsed="false">
      <c r="A79" s="21" t="n">
        <v>78</v>
      </c>
      <c r="B79" s="18" t="s">
        <v>1018</v>
      </c>
      <c r="C79" s="20" t="n">
        <v>1</v>
      </c>
      <c r="D79" s="20" t="s">
        <v>160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911</v>
      </c>
      <c r="H79" s="18" t="s">
        <v>912</v>
      </c>
      <c r="I79" s="21" t="s">
        <v>163</v>
      </c>
      <c r="J79" s="22" t="s">
        <v>1019</v>
      </c>
      <c r="K79" s="23" t="s">
        <v>165</v>
      </c>
      <c r="L79" s="24" t="s">
        <v>1020</v>
      </c>
      <c r="M79" s="24" t="s">
        <v>1021</v>
      </c>
      <c r="N79" s="23" t="s">
        <v>1022</v>
      </c>
      <c r="O79" s="24" t="s">
        <v>1023</v>
      </c>
      <c r="P79" s="24" t="s">
        <v>953</v>
      </c>
      <c r="Q79" s="24" t="s">
        <v>1024</v>
      </c>
      <c r="R79" s="25" t="s">
        <v>1025</v>
      </c>
      <c r="S79" s="29" t="s">
        <v>1026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174</v>
      </c>
      <c r="Y79" s="23" t="s">
        <v>174</v>
      </c>
      <c r="Z79" s="23" t="s">
        <v>174</v>
      </c>
      <c r="AA79" s="23" t="s">
        <v>174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  <c r="AE79" s="24" t="str">
        <f aca="false">M79&amp;" | 창세기 50장 #"&amp;SUBSTITUTE(안내!$C$5," ","")</f>
        <v>형들이 다시 두려워하자 요셉이 한 말 | 창세기 50장 #1분성경</v>
      </c>
      <c r="AF79" s="24" t="s">
        <v>1027</v>
      </c>
      <c r="AG79" s="24"/>
      <c r="AH79" s="23" t="s">
        <v>290</v>
      </c>
      <c r="AI79" s="26" t="n">
        <f aca="false">U79-안내!$C$12</f>
        <v>46404</v>
      </c>
      <c r="AJ79" s="23" t="str">
        <f aca="false">IF(U79&lt;IF(C79=1,안내!$C$9,안내!$C$10)+안내!$C$12,"시즌 시작 전 제작","")</f>
        <v/>
      </c>
      <c r="AK79" s="24" t="s">
        <v>850</v>
      </c>
      <c r="AL79" s="27"/>
      <c r="AM79" s="27"/>
      <c r="AN79" s="27"/>
      <c r="AO79" s="27"/>
      <c r="AP79" s="27"/>
      <c r="AQ79" s="23" t="str">
        <f aca="false">D79&amp;"|"&amp;TEXT(U79,"yyyy-mm-dd")</f>
        <v>구약|2027-02-14</v>
      </c>
      <c r="AR79" s="24" t="s">
        <v>1028</v>
      </c>
      <c r="AS79" s="24"/>
    </row>
    <row r="80" customFormat="false" ht="26.85" hidden="false" customHeight="false" outlineLevel="0" collapsed="false">
      <c r="A80" s="21" t="n">
        <v>79</v>
      </c>
      <c r="B80" s="18" t="s">
        <v>1029</v>
      </c>
      <c r="C80" s="20" t="n">
        <v>1</v>
      </c>
      <c r="D80" s="20" t="s">
        <v>160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1030</v>
      </c>
      <c r="H80" s="18" t="s">
        <v>912</v>
      </c>
      <c r="I80" s="21" t="s">
        <v>1031</v>
      </c>
      <c r="J80" s="22" t="s">
        <v>1032</v>
      </c>
      <c r="K80" s="23" t="s">
        <v>165</v>
      </c>
      <c r="L80" s="24" t="s">
        <v>1033</v>
      </c>
      <c r="M80" s="24" t="s">
        <v>1034</v>
      </c>
      <c r="N80" s="23" t="s">
        <v>1035</v>
      </c>
      <c r="O80" s="24" t="s">
        <v>1036</v>
      </c>
      <c r="P80" s="24" t="s">
        <v>1037</v>
      </c>
      <c r="Q80" s="24" t="s">
        <v>1038</v>
      </c>
      <c r="R80" s="25" t="s">
        <v>1039</v>
      </c>
      <c r="S80" s="24" t="s">
        <v>173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174</v>
      </c>
      <c r="Y80" s="23" t="s">
        <v>174</v>
      </c>
      <c r="Z80" s="23" t="s">
        <v>174</v>
      </c>
      <c r="AA80" s="23" t="s">
        <v>174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  <c r="AE80" s="24" t="str">
        <f aca="false">M80&amp;" | 출애굽기 1장 #"&amp;SUBSTITUTE(안내!$C$5," ","")</f>
        <v>히브리 남자아이는 모두 강물에 던지라는 명령 | 출애굽기 1장 #1분성경</v>
      </c>
      <c r="AF80" s="24" t="s">
        <v>1040</v>
      </c>
      <c r="AG80" s="24"/>
      <c r="AH80" s="23" t="s">
        <v>290</v>
      </c>
      <c r="AI80" s="26" t="n">
        <f aca="false">U80-안내!$C$12</f>
        <v>46405</v>
      </c>
      <c r="AJ80" s="23" t="str">
        <f aca="false">IF(U80&lt;IF(C80=1,안내!$C$9,안내!$C$10)+안내!$C$12,"시즌 시작 전 제작","")</f>
        <v/>
      </c>
      <c r="AK80" s="24"/>
      <c r="AL80" s="27"/>
      <c r="AM80" s="27"/>
      <c r="AN80" s="27"/>
      <c r="AO80" s="27"/>
      <c r="AP80" s="27"/>
      <c r="AQ80" s="23" t="str">
        <f aca="false">D80&amp;"|"&amp;TEXT(U80,"yyyy-mm-dd")</f>
        <v>구약|2027-02-15</v>
      </c>
      <c r="AR80" s="24" t="s">
        <v>1041</v>
      </c>
      <c r="AS80" s="24"/>
    </row>
    <row r="81" customFormat="false" ht="39.55" hidden="false" customHeight="false" outlineLevel="0" collapsed="false">
      <c r="A81" s="21" t="n">
        <v>80</v>
      </c>
      <c r="B81" s="18" t="s">
        <v>1042</v>
      </c>
      <c r="C81" s="20" t="n">
        <v>1</v>
      </c>
      <c r="D81" s="20" t="s">
        <v>160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1030</v>
      </c>
      <c r="H81" s="18" t="s">
        <v>912</v>
      </c>
      <c r="I81" s="21" t="s">
        <v>1031</v>
      </c>
      <c r="J81" s="22" t="s">
        <v>1043</v>
      </c>
      <c r="K81" s="23" t="s">
        <v>165</v>
      </c>
      <c r="L81" s="24" t="s">
        <v>1044</v>
      </c>
      <c r="M81" s="24" t="s">
        <v>1045</v>
      </c>
      <c r="N81" s="23" t="s">
        <v>1046</v>
      </c>
      <c r="O81" s="24" t="s">
        <v>1047</v>
      </c>
      <c r="P81" s="24" t="s">
        <v>1048</v>
      </c>
      <c r="Q81" s="24" t="s">
        <v>1049</v>
      </c>
      <c r="R81" s="24"/>
      <c r="S81" s="24" t="s">
        <v>173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174</v>
      </c>
      <c r="Y81" s="23" t="s">
        <v>174</v>
      </c>
      <c r="Z81" s="23" t="s">
        <v>174</v>
      </c>
      <c r="AA81" s="23" t="s">
        <v>174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  <c r="AE81" s="24" t="str">
        <f aca="false">M81&amp;" | 출애굽기 2장 #"&amp;SUBSTITUTE(안내!$C$5," ","")</f>
        <v>강물에 띄운 아기가 왕궁으로 갔다 | 출애굽기 2장 #1분성경</v>
      </c>
      <c r="AF81" s="24" t="s">
        <v>1050</v>
      </c>
      <c r="AG81" s="24"/>
      <c r="AH81" s="23" t="s">
        <v>290</v>
      </c>
      <c r="AI81" s="26" t="n">
        <f aca="false">U81-안내!$C$12</f>
        <v>46406</v>
      </c>
      <c r="AJ81" s="23" t="str">
        <f aca="false">IF(U81&lt;IF(C81=1,안내!$C$9,안내!$C$10)+안내!$C$12,"시즌 시작 전 제작","")</f>
        <v/>
      </c>
      <c r="AK81" s="24"/>
      <c r="AL81" s="27"/>
      <c r="AM81" s="27"/>
      <c r="AN81" s="27"/>
      <c r="AO81" s="27"/>
      <c r="AP81" s="27"/>
      <c r="AQ81" s="23" t="str">
        <f aca="false">D81&amp;"|"&amp;TEXT(U81,"yyyy-mm-dd")</f>
        <v>구약|2027-02-16</v>
      </c>
      <c r="AR81" s="24" t="s">
        <v>1051</v>
      </c>
      <c r="AS81" s="24"/>
    </row>
    <row r="82" customFormat="false" ht="26.85" hidden="false" customHeight="false" outlineLevel="0" collapsed="false">
      <c r="A82" s="21" t="n">
        <v>81</v>
      </c>
      <c r="B82" s="18" t="s">
        <v>1052</v>
      </c>
      <c r="C82" s="20" t="n">
        <v>1</v>
      </c>
      <c r="D82" s="20" t="s">
        <v>160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1030</v>
      </c>
      <c r="H82" s="18" t="s">
        <v>912</v>
      </c>
      <c r="I82" s="21" t="s">
        <v>1031</v>
      </c>
      <c r="J82" s="22" t="s">
        <v>1053</v>
      </c>
      <c r="K82" s="23" t="s">
        <v>165</v>
      </c>
      <c r="L82" s="24" t="s">
        <v>1054</v>
      </c>
      <c r="M82" s="30" t="s">
        <v>1055</v>
      </c>
      <c r="N82" s="23" t="s">
        <v>1056</v>
      </c>
      <c r="O82" s="24" t="s">
        <v>1057</v>
      </c>
      <c r="P82" s="24" t="s">
        <v>1058</v>
      </c>
      <c r="Q82" s="24" t="s">
        <v>1059</v>
      </c>
      <c r="R82" s="25" t="s">
        <v>1060</v>
      </c>
      <c r="S82" s="24" t="s">
        <v>173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174</v>
      </c>
      <c r="Y82" s="23" t="s">
        <v>174</v>
      </c>
      <c r="Z82" s="23" t="s">
        <v>174</v>
      </c>
      <c r="AA82" s="23" t="s">
        <v>174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  <c r="AE82" s="24" t="str">
        <f aca="false">M82&amp;" | 출애굽기 2장 #"&amp;SUBSTITUTE(안내!$C$5," ","")</f>
        <v>40년 왕궁 생활이 하루 만에 끝났다 | 출애굽기 2장 #1분성경</v>
      </c>
      <c r="AF82" s="24" t="s">
        <v>1061</v>
      </c>
      <c r="AG82" s="24" t="s">
        <v>1062</v>
      </c>
      <c r="AH82" s="23" t="s">
        <v>360</v>
      </c>
      <c r="AI82" s="26" t="n">
        <f aca="false">U82-안내!$C$12</f>
        <v>46407</v>
      </c>
      <c r="AJ82" s="23" t="str">
        <f aca="false">IF(U82&lt;IF(C82=1,안내!$C$9,안내!$C$10)+안내!$C$12,"시즌 시작 전 제작","")</f>
        <v/>
      </c>
      <c r="AK82" s="24" t="s">
        <v>1063</v>
      </c>
      <c r="AL82" s="27"/>
      <c r="AM82" s="27"/>
      <c r="AN82" s="27"/>
      <c r="AO82" s="27"/>
      <c r="AP82" s="27"/>
      <c r="AQ82" s="23" t="str">
        <f aca="false">D82&amp;"|"&amp;TEXT(U82,"yyyy-mm-dd")</f>
        <v>구약|2027-02-17</v>
      </c>
      <c r="AR82" s="24" t="s">
        <v>1064</v>
      </c>
      <c r="AS82" s="24"/>
    </row>
    <row r="83" customFormat="false" ht="26.85" hidden="false" customHeight="false" outlineLevel="0" collapsed="false">
      <c r="A83" s="21" t="n">
        <v>82</v>
      </c>
      <c r="B83" s="18" t="s">
        <v>1065</v>
      </c>
      <c r="C83" s="20" t="n">
        <v>1</v>
      </c>
      <c r="D83" s="20" t="s">
        <v>160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1030</v>
      </c>
      <c r="H83" s="18" t="s">
        <v>912</v>
      </c>
      <c r="I83" s="21" t="s">
        <v>1031</v>
      </c>
      <c r="J83" s="22" t="s">
        <v>1066</v>
      </c>
      <c r="K83" s="23" t="s">
        <v>165</v>
      </c>
      <c r="L83" s="24" t="s">
        <v>1067</v>
      </c>
      <c r="M83" s="24" t="s">
        <v>1068</v>
      </c>
      <c r="N83" s="23" t="s">
        <v>1069</v>
      </c>
      <c r="O83" s="24" t="s">
        <v>1070</v>
      </c>
      <c r="P83" s="24" t="s">
        <v>1071</v>
      </c>
      <c r="Q83" s="24" t="s">
        <v>1072</v>
      </c>
      <c r="R83" s="25" t="s">
        <v>1073</v>
      </c>
      <c r="S83" s="24" t="s">
        <v>173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174</v>
      </c>
      <c r="Y83" s="23" t="s">
        <v>174</v>
      </c>
      <c r="Z83" s="23" t="s">
        <v>174</v>
      </c>
      <c r="AA83" s="23" t="s">
        <v>174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  <c r="AE83" s="24" t="str">
        <f aca="false">M83&amp;" | 출애굽기 3장 #"&amp;SUBSTITUTE(안내!$C$5," ","")</f>
        <v>불이 붙었는데 타지 않는 나무 | 출애굽기 3장 #1분성경</v>
      </c>
      <c r="AF83" s="24" t="s">
        <v>1074</v>
      </c>
      <c r="AG83" s="24" t="s">
        <v>1075</v>
      </c>
      <c r="AH83" s="23" t="s">
        <v>290</v>
      </c>
      <c r="AI83" s="26" t="n">
        <f aca="false">U83-안내!$C$12</f>
        <v>46408</v>
      </c>
      <c r="AJ83" s="23" t="str">
        <f aca="false">IF(U83&lt;IF(C83=1,안내!$C$9,안내!$C$10)+안내!$C$12,"시즌 시작 전 제작","")</f>
        <v/>
      </c>
      <c r="AK83" s="24" t="s">
        <v>1063</v>
      </c>
      <c r="AL83" s="27"/>
      <c r="AM83" s="27"/>
      <c r="AN83" s="27"/>
      <c r="AO83" s="27"/>
      <c r="AP83" s="27"/>
      <c r="AQ83" s="23" t="str">
        <f aca="false">D83&amp;"|"&amp;TEXT(U83,"yyyy-mm-dd")</f>
        <v>구약|2027-02-18</v>
      </c>
      <c r="AR83" s="24" t="s">
        <v>1076</v>
      </c>
      <c r="AS83" s="24"/>
    </row>
    <row r="84" customFormat="false" ht="39.55" hidden="false" customHeight="false" outlineLevel="0" collapsed="false">
      <c r="A84" s="21" t="n">
        <v>83</v>
      </c>
      <c r="B84" s="18" t="s">
        <v>1077</v>
      </c>
      <c r="C84" s="20" t="n">
        <v>1</v>
      </c>
      <c r="D84" s="20" t="s">
        <v>160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1030</v>
      </c>
      <c r="H84" s="18" t="s">
        <v>912</v>
      </c>
      <c r="I84" s="21" t="s">
        <v>1031</v>
      </c>
      <c r="J84" s="22" t="s">
        <v>1078</v>
      </c>
      <c r="K84" s="23" t="s">
        <v>165</v>
      </c>
      <c r="L84" s="24" t="s">
        <v>1079</v>
      </c>
      <c r="M84" s="24" t="s">
        <v>1080</v>
      </c>
      <c r="N84" s="23" t="s">
        <v>1081</v>
      </c>
      <c r="O84" s="24" t="s">
        <v>1082</v>
      </c>
      <c r="P84" s="24" t="s">
        <v>1083</v>
      </c>
      <c r="Q84" s="24" t="s">
        <v>1084</v>
      </c>
      <c r="R84" s="24"/>
      <c r="S84" s="24" t="s">
        <v>173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174</v>
      </c>
      <c r="Y84" s="23" t="s">
        <v>174</v>
      </c>
      <c r="Z84" s="23" t="s">
        <v>174</v>
      </c>
      <c r="AA84" s="23" t="s">
        <v>174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  <c r="AE84" s="24" t="str">
        <f aca="false">M84&amp;" | 출애굽기 3~4장 #"&amp;SUBSTITUTE(안내!$C$5," ","")</f>
        <v>제가 누구라고 말해야 합니까? | 출애굽기 3~4장 #1분성경</v>
      </c>
      <c r="AF84" s="24" t="s">
        <v>1085</v>
      </c>
      <c r="AG84" s="24" t="s">
        <v>1086</v>
      </c>
      <c r="AH84" s="23" t="s">
        <v>176</v>
      </c>
      <c r="AI84" s="26" t="n">
        <f aca="false">U84-안내!$C$12</f>
        <v>46409</v>
      </c>
      <c r="AJ84" s="23" t="str">
        <f aca="false">IF(U84&lt;IF(C84=1,안내!$C$9,안내!$C$10)+안내!$C$12,"시즌 시작 전 제작","")</f>
        <v/>
      </c>
      <c r="AK84" s="24" t="s">
        <v>1063</v>
      </c>
      <c r="AL84" s="27"/>
      <c r="AM84" s="27"/>
      <c r="AN84" s="27"/>
      <c r="AO84" s="27"/>
      <c r="AP84" s="27"/>
      <c r="AQ84" s="23" t="str">
        <f aca="false">D84&amp;"|"&amp;TEXT(U84,"yyyy-mm-dd")</f>
        <v>구약|2027-02-19</v>
      </c>
      <c r="AR84" s="24" t="s">
        <v>1087</v>
      </c>
      <c r="AS84" s="24"/>
    </row>
    <row r="85" customFormat="false" ht="26.85" hidden="false" customHeight="false" outlineLevel="0" collapsed="false">
      <c r="A85" s="21" t="n">
        <v>84</v>
      </c>
      <c r="B85" s="18" t="s">
        <v>1088</v>
      </c>
      <c r="C85" s="23" t="n">
        <v>2</v>
      </c>
      <c r="D85" s="23" t="s">
        <v>160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1030</v>
      </c>
      <c r="H85" s="18" t="s">
        <v>853</v>
      </c>
      <c r="I85" s="21" t="s">
        <v>1031</v>
      </c>
      <c r="J85" s="22" t="s">
        <v>1089</v>
      </c>
      <c r="K85" s="23" t="s">
        <v>165</v>
      </c>
      <c r="L85" s="24" t="s">
        <v>1090</v>
      </c>
      <c r="M85" s="30" t="s">
        <v>1091</v>
      </c>
      <c r="N85" s="23" t="s">
        <v>1092</v>
      </c>
      <c r="O85" s="24" t="s">
        <v>1093</v>
      </c>
      <c r="P85" s="24" t="s">
        <v>1094</v>
      </c>
      <c r="Q85" s="24" t="s">
        <v>1095</v>
      </c>
      <c r="R85" s="28" t="s">
        <v>1096</v>
      </c>
      <c r="S85" s="24" t="s">
        <v>1097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174</v>
      </c>
      <c r="Y85" s="23" t="s">
        <v>174</v>
      </c>
      <c r="Z85" s="23" t="s">
        <v>174</v>
      </c>
      <c r="AA85" s="23" t="s">
        <v>174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  <c r="AE85" s="24" t="str">
        <f aca="false">M85&amp;" | 출애굽기 4장 #"&amp;SUBSTITUTE(안내!$C$5," ","")</f>
        <v>80세에 다시 시작된 사명 | 출애굽기 4장 #1분성경</v>
      </c>
      <c r="AF85" s="24" t="s">
        <v>304</v>
      </c>
      <c r="AG85" s="24" t="s">
        <v>1098</v>
      </c>
      <c r="AH85" s="23" t="s">
        <v>360</v>
      </c>
      <c r="AI85" s="26" t="n">
        <f aca="false">U85-안내!$C$12</f>
        <v>46588</v>
      </c>
      <c r="AJ85" s="23" t="str">
        <f aca="false">IF(U85&lt;IF(C85=1,안내!$C$9,안내!$C$10)+안내!$C$12,"시즌 시작 전 제작","")</f>
        <v/>
      </c>
      <c r="AK85" s="24" t="s">
        <v>1063</v>
      </c>
      <c r="AL85" s="27"/>
      <c r="AM85" s="27"/>
      <c r="AN85" s="27"/>
      <c r="AO85" s="27"/>
      <c r="AP85" s="27"/>
      <c r="AQ85" s="23" t="str">
        <f aca="false">D85&amp;"|"&amp;TEXT(U85,"yyyy-mm-dd")</f>
        <v>구약|2027-08-17</v>
      </c>
      <c r="AR85" s="24" t="s">
        <v>1099</v>
      </c>
      <c r="AS85" s="24"/>
    </row>
    <row r="86" customFormat="false" ht="26.85" hidden="false" customHeight="false" outlineLevel="0" collapsed="false">
      <c r="A86" s="21" t="n">
        <v>85</v>
      </c>
      <c r="B86" s="18" t="s">
        <v>1100</v>
      </c>
      <c r="C86" s="20" t="n">
        <v>1</v>
      </c>
      <c r="D86" s="20" t="s">
        <v>160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1030</v>
      </c>
      <c r="H86" s="18" t="s">
        <v>912</v>
      </c>
      <c r="I86" s="21" t="s">
        <v>1031</v>
      </c>
      <c r="J86" s="22" t="s">
        <v>1101</v>
      </c>
      <c r="K86" s="23" t="s">
        <v>165</v>
      </c>
      <c r="L86" s="24" t="s">
        <v>1102</v>
      </c>
      <c r="M86" s="24" t="s">
        <v>1103</v>
      </c>
      <c r="N86" s="23" t="s">
        <v>1104</v>
      </c>
      <c r="O86" s="24" t="s">
        <v>1105</v>
      </c>
      <c r="P86" s="24" t="s">
        <v>1106</v>
      </c>
      <c r="Q86" s="24" t="s">
        <v>1107</v>
      </c>
      <c r="R86" s="24"/>
      <c r="S86" s="29" t="s">
        <v>1108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174</v>
      </c>
      <c r="Y86" s="23" t="s">
        <v>174</v>
      </c>
      <c r="Z86" s="23" t="s">
        <v>174</v>
      </c>
      <c r="AA86" s="23" t="s">
        <v>174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  <c r="AE86" s="24" t="str">
        <f aca="false">M86&amp;" | 출애굽기 5장 #"&amp;SUBSTITUTE(안내!$C$5," ","")</f>
        <v>순종했는데 오히려 더 힘들어졌다? | 출애굽기 5장 #1분성경</v>
      </c>
      <c r="AF86" s="24" t="s">
        <v>1109</v>
      </c>
      <c r="AG86" s="24"/>
      <c r="AH86" s="23" t="s">
        <v>176</v>
      </c>
      <c r="AI86" s="26" t="n">
        <f aca="false">U86-안내!$C$12</f>
        <v>46410</v>
      </c>
      <c r="AJ86" s="23" t="str">
        <f aca="false">IF(U86&lt;IF(C86=1,안내!$C$9,안내!$C$10)+안내!$C$12,"시즌 시작 전 제작","")</f>
        <v/>
      </c>
      <c r="AK86" s="24" t="s">
        <v>1063</v>
      </c>
      <c r="AL86" s="27"/>
      <c r="AM86" s="27"/>
      <c r="AN86" s="27"/>
      <c r="AO86" s="27"/>
      <c r="AP86" s="27"/>
      <c r="AQ86" s="23" t="str">
        <f aca="false">D86&amp;"|"&amp;TEXT(U86,"yyyy-mm-dd")</f>
        <v>구약|2027-02-20</v>
      </c>
      <c r="AR86" s="24" t="s">
        <v>1110</v>
      </c>
      <c r="AS86" s="24" t="s">
        <v>292</v>
      </c>
    </row>
    <row r="87" customFormat="false" ht="26.85" hidden="false" customHeight="false" outlineLevel="0" collapsed="false">
      <c r="A87" s="21" t="n">
        <v>86</v>
      </c>
      <c r="B87" s="18" t="s">
        <v>1111</v>
      </c>
      <c r="C87" s="23" t="n">
        <v>2</v>
      </c>
      <c r="D87" s="23" t="s">
        <v>160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1030</v>
      </c>
      <c r="H87" s="18" t="s">
        <v>853</v>
      </c>
      <c r="I87" s="21" t="s">
        <v>1031</v>
      </c>
      <c r="J87" s="22" t="s">
        <v>1112</v>
      </c>
      <c r="K87" s="23" t="s">
        <v>165</v>
      </c>
      <c r="L87" s="24" t="s">
        <v>1113</v>
      </c>
      <c r="M87" s="24" t="s">
        <v>1114</v>
      </c>
      <c r="N87" s="23" t="s">
        <v>1115</v>
      </c>
      <c r="O87" s="24" t="s">
        <v>1116</v>
      </c>
      <c r="P87" s="24" t="s">
        <v>1117</v>
      </c>
      <c r="Q87" s="24" t="s">
        <v>1024</v>
      </c>
      <c r="R87" s="24"/>
      <c r="S87" s="24" t="s">
        <v>1118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174</v>
      </c>
      <c r="Y87" s="23" t="s">
        <v>174</v>
      </c>
      <c r="Z87" s="23" t="s">
        <v>174</v>
      </c>
      <c r="AA87" s="23" t="s">
        <v>174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  <c r="AE87" s="24" t="str">
        <f aca="false">M87&amp;" | 출애굽기 6장 #"&amp;SUBSTITUTE(안내!$C$5," ","")</f>
        <v>하나님이 다섯 번 약속하신 '내가 ~하리라' | 출애굽기 6장 #1분성경</v>
      </c>
      <c r="AF87" s="24" t="s">
        <v>304</v>
      </c>
      <c r="AG87" s="24"/>
      <c r="AH87" s="23" t="s">
        <v>290</v>
      </c>
      <c r="AI87" s="26" t="n">
        <f aca="false">U87-안내!$C$12</f>
        <v>46589</v>
      </c>
      <c r="AJ87" s="23" t="str">
        <f aca="false">IF(U87&lt;IF(C87=1,안내!$C$9,안내!$C$10)+안내!$C$12,"시즌 시작 전 제작","")</f>
        <v/>
      </c>
      <c r="AK87" s="24" t="s">
        <v>1063</v>
      </c>
      <c r="AL87" s="27"/>
      <c r="AM87" s="27"/>
      <c r="AN87" s="27"/>
      <c r="AO87" s="27"/>
      <c r="AP87" s="27"/>
      <c r="AQ87" s="23" t="str">
        <f aca="false">D87&amp;"|"&amp;TEXT(U87,"yyyy-mm-dd")</f>
        <v>구약|2027-08-18</v>
      </c>
      <c r="AR87" s="24" t="s">
        <v>1119</v>
      </c>
      <c r="AS87" s="24"/>
    </row>
    <row r="88" customFormat="false" ht="26.85" hidden="false" customHeight="false" outlineLevel="0" collapsed="false">
      <c r="A88" s="21" t="n">
        <v>87</v>
      </c>
      <c r="B88" s="18" t="s">
        <v>1120</v>
      </c>
      <c r="C88" s="20" t="n">
        <v>1</v>
      </c>
      <c r="D88" s="20" t="s">
        <v>160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1121</v>
      </c>
      <c r="H88" s="18" t="s">
        <v>1122</v>
      </c>
      <c r="I88" s="21" t="s">
        <v>1031</v>
      </c>
      <c r="J88" s="22" t="s">
        <v>1123</v>
      </c>
      <c r="K88" s="23" t="s">
        <v>165</v>
      </c>
      <c r="L88" s="24" t="s">
        <v>1124</v>
      </c>
      <c r="M88" s="24" t="s">
        <v>1125</v>
      </c>
      <c r="N88" s="23" t="s">
        <v>1126</v>
      </c>
      <c r="O88" s="24" t="s">
        <v>1127</v>
      </c>
      <c r="P88" s="24" t="s">
        <v>1128</v>
      </c>
      <c r="Q88" s="24" t="s">
        <v>896</v>
      </c>
      <c r="R88" s="25" t="s">
        <v>1129</v>
      </c>
      <c r="S88" s="29" t="s">
        <v>1130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174</v>
      </c>
      <c r="Y88" s="23" t="s">
        <v>174</v>
      </c>
      <c r="Z88" s="23" t="s">
        <v>174</v>
      </c>
      <c r="AA88" s="23" t="s">
        <v>174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  <c r="AE88" s="24" t="str">
        <f aca="false">M88&amp;" | 출애굽기 7장 #"&amp;SUBSTITUTE(안내!$C$5," ","")</f>
        <v>애굽 술사들의 뱀을 모세의 뱀이 삼켰다 | 출애굽기 7장 #1분성경</v>
      </c>
      <c r="AF88" s="24" t="s">
        <v>1131</v>
      </c>
      <c r="AG88" s="24" t="s">
        <v>1132</v>
      </c>
      <c r="AH88" s="23" t="s">
        <v>290</v>
      </c>
      <c r="AI88" s="26" t="n">
        <f aca="false">U88-안내!$C$12</f>
        <v>46411</v>
      </c>
      <c r="AJ88" s="23" t="str">
        <f aca="false">IF(U88&lt;IF(C88=1,안내!$C$9,안내!$C$10)+안내!$C$12,"시즌 시작 전 제작","")</f>
        <v/>
      </c>
      <c r="AK88" s="24" t="s">
        <v>1063</v>
      </c>
      <c r="AL88" s="27"/>
      <c r="AM88" s="27"/>
      <c r="AN88" s="27"/>
      <c r="AO88" s="27"/>
      <c r="AP88" s="27"/>
      <c r="AQ88" s="23" t="str">
        <f aca="false">D88&amp;"|"&amp;TEXT(U88,"yyyy-mm-dd")</f>
        <v>구약|2027-02-21</v>
      </c>
      <c r="AR88" s="24" t="s">
        <v>1133</v>
      </c>
      <c r="AS88" s="24"/>
    </row>
    <row r="89" customFormat="false" ht="39.55" hidden="false" customHeight="false" outlineLevel="0" collapsed="false">
      <c r="A89" s="21" t="n">
        <v>88</v>
      </c>
      <c r="B89" s="18" t="s">
        <v>1134</v>
      </c>
      <c r="C89" s="20" t="n">
        <v>1</v>
      </c>
      <c r="D89" s="20" t="s">
        <v>160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1121</v>
      </c>
      <c r="H89" s="18" t="s">
        <v>1122</v>
      </c>
      <c r="I89" s="21" t="s">
        <v>1031</v>
      </c>
      <c r="J89" s="22" t="s">
        <v>1135</v>
      </c>
      <c r="K89" s="23" t="s">
        <v>165</v>
      </c>
      <c r="L89" s="24" t="s">
        <v>1136</v>
      </c>
      <c r="M89" s="24" t="s">
        <v>1137</v>
      </c>
      <c r="N89" s="23" t="s">
        <v>1138</v>
      </c>
      <c r="O89" s="24" t="s">
        <v>1139</v>
      </c>
      <c r="P89" s="24" t="s">
        <v>1140</v>
      </c>
      <c r="Q89" s="24" t="s">
        <v>1141</v>
      </c>
      <c r="R89" s="24"/>
      <c r="S89" s="24" t="s">
        <v>173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174</v>
      </c>
      <c r="Y89" s="23" t="s">
        <v>174</v>
      </c>
      <c r="Z89" s="23" t="s">
        <v>174</v>
      </c>
      <c r="AA89" s="23" t="s">
        <v>174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  <c r="AE89" s="24" t="str">
        <f aca="false">M89&amp;" | 출애굽기 7장 #"&amp;SUBSTITUTE(안내!$C$5," ","")</f>
        <v>애굽의 생명줄이 피로 변했다 | 출애굽기 7장 #1분성경</v>
      </c>
      <c r="AF89" s="24" t="s">
        <v>1142</v>
      </c>
      <c r="AG89" s="24" t="s">
        <v>1143</v>
      </c>
      <c r="AH89" s="23" t="s">
        <v>290</v>
      </c>
      <c r="AI89" s="26" t="n">
        <f aca="false">U89-안내!$C$12</f>
        <v>46412</v>
      </c>
      <c r="AJ89" s="23" t="str">
        <f aca="false">IF(U89&lt;IF(C89=1,안내!$C$9,안내!$C$10)+안내!$C$12,"시즌 시작 전 제작","")</f>
        <v/>
      </c>
      <c r="AK89" s="24" t="s">
        <v>1063</v>
      </c>
      <c r="AL89" s="27"/>
      <c r="AM89" s="27"/>
      <c r="AN89" s="27"/>
      <c r="AO89" s="27"/>
      <c r="AP89" s="27"/>
      <c r="AQ89" s="23" t="str">
        <f aca="false">D89&amp;"|"&amp;TEXT(U89,"yyyy-mm-dd")</f>
        <v>구약|2027-02-22</v>
      </c>
      <c r="AR89" s="24" t="s">
        <v>1144</v>
      </c>
      <c r="AS89" s="24"/>
    </row>
    <row r="90" customFormat="false" ht="26.85" hidden="false" customHeight="false" outlineLevel="0" collapsed="false">
      <c r="A90" s="21" t="n">
        <v>89</v>
      </c>
      <c r="B90" s="18" t="s">
        <v>1145</v>
      </c>
      <c r="C90" s="20" t="n">
        <v>1</v>
      </c>
      <c r="D90" s="20" t="s">
        <v>160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1121</v>
      </c>
      <c r="H90" s="18" t="s">
        <v>1122</v>
      </c>
      <c r="I90" s="21" t="s">
        <v>1031</v>
      </c>
      <c r="J90" s="22" t="s">
        <v>1146</v>
      </c>
      <c r="K90" s="23" t="s">
        <v>165</v>
      </c>
      <c r="L90" s="24" t="s">
        <v>1147</v>
      </c>
      <c r="M90" s="24" t="s">
        <v>1148</v>
      </c>
      <c r="N90" s="23" t="s">
        <v>1149</v>
      </c>
      <c r="O90" s="24" t="s">
        <v>1150</v>
      </c>
      <c r="P90" s="24" t="s">
        <v>1151</v>
      </c>
      <c r="Q90" s="24" t="s">
        <v>1152</v>
      </c>
      <c r="R90" s="24"/>
      <c r="S90" s="24" t="s">
        <v>173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174</v>
      </c>
      <c r="Y90" s="23" t="s">
        <v>174</v>
      </c>
      <c r="Z90" s="23" t="s">
        <v>174</v>
      </c>
      <c r="AA90" s="23" t="s">
        <v>174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  <c r="AE90" s="24" t="str">
        <f aca="false">M90&amp;" | 출애굽기 8장 #"&amp;SUBSTITUTE(안내!$C$5," ","")</f>
        <v>침대 위까지 올라온 개구리들 | 출애굽기 8장 #1분성경</v>
      </c>
      <c r="AF90" s="24" t="s">
        <v>1153</v>
      </c>
      <c r="AG90" s="24" t="s">
        <v>1154</v>
      </c>
      <c r="AH90" s="23" t="s">
        <v>290</v>
      </c>
      <c r="AI90" s="26" t="n">
        <f aca="false">U90-안내!$C$12</f>
        <v>46413</v>
      </c>
      <c r="AJ90" s="23" t="str">
        <f aca="false">IF(U90&lt;IF(C90=1,안내!$C$9,안내!$C$10)+안내!$C$12,"시즌 시작 전 제작","")</f>
        <v/>
      </c>
      <c r="AK90" s="24" t="s">
        <v>1063</v>
      </c>
      <c r="AL90" s="27"/>
      <c r="AM90" s="27"/>
      <c r="AN90" s="27"/>
      <c r="AO90" s="27"/>
      <c r="AP90" s="27"/>
      <c r="AQ90" s="23" t="str">
        <f aca="false">D90&amp;"|"&amp;TEXT(U90,"yyyy-mm-dd")</f>
        <v>구약|2027-02-23</v>
      </c>
      <c r="AR90" s="24" t="s">
        <v>1155</v>
      </c>
      <c r="AS90" s="24"/>
    </row>
    <row r="91" customFormat="false" ht="26.85" hidden="false" customHeight="false" outlineLevel="0" collapsed="false">
      <c r="A91" s="21" t="n">
        <v>90</v>
      </c>
      <c r="B91" s="18" t="s">
        <v>1156</v>
      </c>
      <c r="C91" s="23" t="n">
        <v>2</v>
      </c>
      <c r="D91" s="23" t="s">
        <v>160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1121</v>
      </c>
      <c r="H91" s="18" t="s">
        <v>1157</v>
      </c>
      <c r="I91" s="21" t="s">
        <v>1031</v>
      </c>
      <c r="J91" s="22" t="s">
        <v>1158</v>
      </c>
      <c r="K91" s="23" t="s">
        <v>165</v>
      </c>
      <c r="L91" s="24" t="s">
        <v>1159</v>
      </c>
      <c r="M91" s="24" t="s">
        <v>1160</v>
      </c>
      <c r="N91" s="23" t="s">
        <v>1161</v>
      </c>
      <c r="O91" s="24" t="s">
        <v>1162</v>
      </c>
      <c r="P91" s="24" t="s">
        <v>1163</v>
      </c>
      <c r="Q91" s="24" t="s">
        <v>1164</v>
      </c>
      <c r="R91" s="24"/>
      <c r="S91" s="24" t="s">
        <v>1165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174</v>
      </c>
      <c r="Y91" s="23" t="s">
        <v>174</v>
      </c>
      <c r="Z91" s="23" t="s">
        <v>174</v>
      </c>
      <c r="AA91" s="23" t="s">
        <v>174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  <c r="AE91" s="24" t="str">
        <f aca="false">M91&amp;" | 출애굽기 8장 #"&amp;SUBSTITUTE(안내!$C$5," ","")</f>
        <v>술사들도 이건 하나님의 손가락이라고 인정했다 | 출애굽기 8장 #1분성경</v>
      </c>
      <c r="AF91" s="24" t="s">
        <v>304</v>
      </c>
      <c r="AG91" s="24" t="s">
        <v>1166</v>
      </c>
      <c r="AH91" s="23" t="s">
        <v>290</v>
      </c>
      <c r="AI91" s="26" t="n">
        <f aca="false">U91-안내!$C$12</f>
        <v>46590</v>
      </c>
      <c r="AJ91" s="23" t="str">
        <f aca="false">IF(U91&lt;IF(C91=1,안내!$C$9,안내!$C$10)+안내!$C$12,"시즌 시작 전 제작","")</f>
        <v/>
      </c>
      <c r="AK91" s="24" t="s">
        <v>1063</v>
      </c>
      <c r="AL91" s="27"/>
      <c r="AM91" s="27"/>
      <c r="AN91" s="27"/>
      <c r="AO91" s="27"/>
      <c r="AP91" s="27"/>
      <c r="AQ91" s="23" t="str">
        <f aca="false">D91&amp;"|"&amp;TEXT(U91,"yyyy-mm-dd")</f>
        <v>구약|2027-08-19</v>
      </c>
      <c r="AR91" s="24" t="s">
        <v>1167</v>
      </c>
      <c r="AS91" s="24"/>
    </row>
    <row r="92" customFormat="false" ht="26.85" hidden="false" customHeight="false" outlineLevel="0" collapsed="false">
      <c r="A92" s="21" t="n">
        <v>91</v>
      </c>
      <c r="B92" s="18" t="s">
        <v>1168</v>
      </c>
      <c r="C92" s="23" t="n">
        <v>2</v>
      </c>
      <c r="D92" s="23" t="s">
        <v>160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1121</v>
      </c>
      <c r="H92" s="18" t="s">
        <v>1157</v>
      </c>
      <c r="I92" s="21" t="s">
        <v>1031</v>
      </c>
      <c r="J92" s="22" t="s">
        <v>1169</v>
      </c>
      <c r="K92" s="23" t="s">
        <v>165</v>
      </c>
      <c r="L92" s="24" t="s">
        <v>1170</v>
      </c>
      <c r="M92" s="24" t="s">
        <v>1171</v>
      </c>
      <c r="N92" s="23" t="s">
        <v>1172</v>
      </c>
      <c r="O92" s="24" t="s">
        <v>1173</v>
      </c>
      <c r="P92" s="24" t="s">
        <v>1140</v>
      </c>
      <c r="Q92" s="24" t="s">
        <v>1174</v>
      </c>
      <c r="R92" s="24"/>
      <c r="S92" s="24" t="s">
        <v>1165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174</v>
      </c>
      <c r="Y92" s="23" t="s">
        <v>174</v>
      </c>
      <c r="Z92" s="23" t="s">
        <v>174</v>
      </c>
      <c r="AA92" s="23" t="s">
        <v>174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  <c r="AE92" s="24" t="str">
        <f aca="false">M92&amp;" | 출애굽기 9장 #"&amp;SUBSTITUTE(안내!$C$5," ","")</f>
        <v>애굽 가축은 죽었는데 이스라엘 가축은 멀쩡했다 | 출애굽기 9장 #1분성경</v>
      </c>
      <c r="AF92" s="24" t="s">
        <v>304</v>
      </c>
      <c r="AG92" s="24" t="s">
        <v>1175</v>
      </c>
      <c r="AH92" s="23" t="s">
        <v>290</v>
      </c>
      <c r="AI92" s="26" t="n">
        <f aca="false">U92-안내!$C$12</f>
        <v>46591</v>
      </c>
      <c r="AJ92" s="23" t="str">
        <f aca="false">IF(U92&lt;IF(C92=1,안내!$C$9,안내!$C$10)+안내!$C$12,"시즌 시작 전 제작","")</f>
        <v/>
      </c>
      <c r="AK92" s="24" t="s">
        <v>1063</v>
      </c>
      <c r="AL92" s="27"/>
      <c r="AM92" s="27"/>
      <c r="AN92" s="27"/>
      <c r="AO92" s="27"/>
      <c r="AP92" s="27"/>
      <c r="AQ92" s="23" t="str">
        <f aca="false">D92&amp;"|"&amp;TEXT(U92,"yyyy-mm-dd")</f>
        <v>구약|2027-08-20</v>
      </c>
      <c r="AR92" s="24" t="s">
        <v>1176</v>
      </c>
      <c r="AS92" s="24"/>
    </row>
    <row r="93" customFormat="false" ht="26.85" hidden="false" customHeight="false" outlineLevel="0" collapsed="false">
      <c r="A93" s="21" t="n">
        <v>92</v>
      </c>
      <c r="B93" s="18" t="s">
        <v>1177</v>
      </c>
      <c r="C93" s="23" t="n">
        <v>2</v>
      </c>
      <c r="D93" s="23" t="s">
        <v>160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1121</v>
      </c>
      <c r="H93" s="18" t="s">
        <v>1157</v>
      </c>
      <c r="I93" s="21" t="s">
        <v>1031</v>
      </c>
      <c r="J93" s="22" t="s">
        <v>1178</v>
      </c>
      <c r="K93" s="23" t="s">
        <v>165</v>
      </c>
      <c r="L93" s="24" t="s">
        <v>1179</v>
      </c>
      <c r="M93" s="24" t="s">
        <v>1180</v>
      </c>
      <c r="N93" s="23" t="s">
        <v>1181</v>
      </c>
      <c r="O93" s="24" t="s">
        <v>1182</v>
      </c>
      <c r="P93" s="24" t="s">
        <v>1151</v>
      </c>
      <c r="Q93" s="24" t="s">
        <v>1183</v>
      </c>
      <c r="R93" s="24"/>
      <c r="S93" s="24" t="s">
        <v>1165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174</v>
      </c>
      <c r="Y93" s="23" t="s">
        <v>174</v>
      </c>
      <c r="Z93" s="23" t="s">
        <v>174</v>
      </c>
      <c r="AA93" s="23" t="s">
        <v>174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  <c r="AE93" s="24" t="str">
        <f aca="false">M93&amp;" | 출애굽기 9장 #"&amp;SUBSTITUTE(안내!$C$5," ","")</f>
        <v>애굽 역사상 한 번도 없던 우박 | 출애굽기 9장 #1분성경</v>
      </c>
      <c r="AF93" s="24" t="s">
        <v>304</v>
      </c>
      <c r="AG93" s="24" t="s">
        <v>1184</v>
      </c>
      <c r="AH93" s="23" t="s">
        <v>290</v>
      </c>
      <c r="AI93" s="26" t="n">
        <f aca="false">U93-안내!$C$12</f>
        <v>46592</v>
      </c>
      <c r="AJ93" s="23" t="str">
        <f aca="false">IF(U93&lt;IF(C93=1,안내!$C$9,안내!$C$10)+안내!$C$12,"시즌 시작 전 제작","")</f>
        <v/>
      </c>
      <c r="AK93" s="24" t="s">
        <v>1063</v>
      </c>
      <c r="AL93" s="27"/>
      <c r="AM93" s="27"/>
      <c r="AN93" s="27"/>
      <c r="AO93" s="27"/>
      <c r="AP93" s="27"/>
      <c r="AQ93" s="23" t="str">
        <f aca="false">D93&amp;"|"&amp;TEXT(U93,"yyyy-mm-dd")</f>
        <v>구약|2027-08-21</v>
      </c>
      <c r="AR93" s="24" t="s">
        <v>1185</v>
      </c>
      <c r="AS93" s="24"/>
    </row>
    <row r="94" customFormat="false" ht="26.85" hidden="false" customHeight="false" outlineLevel="0" collapsed="false">
      <c r="A94" s="21" t="n">
        <v>93</v>
      </c>
      <c r="B94" s="18" t="s">
        <v>1186</v>
      </c>
      <c r="C94" s="23" t="n">
        <v>2</v>
      </c>
      <c r="D94" s="23" t="s">
        <v>160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1121</v>
      </c>
      <c r="H94" s="18" t="s">
        <v>1157</v>
      </c>
      <c r="I94" s="21" t="s">
        <v>1031</v>
      </c>
      <c r="J94" s="22" t="s">
        <v>1187</v>
      </c>
      <c r="K94" s="23" t="s">
        <v>165</v>
      </c>
      <c r="L94" s="24" t="s">
        <v>1188</v>
      </c>
      <c r="M94" s="24" t="s">
        <v>1189</v>
      </c>
      <c r="N94" s="23" t="s">
        <v>1190</v>
      </c>
      <c r="O94" s="24" t="s">
        <v>1191</v>
      </c>
      <c r="P94" s="24" t="s">
        <v>1192</v>
      </c>
      <c r="Q94" s="24" t="s">
        <v>1193</v>
      </c>
      <c r="R94" s="24"/>
      <c r="S94" s="24" t="s">
        <v>1165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174</v>
      </c>
      <c r="Y94" s="23" t="s">
        <v>174</v>
      </c>
      <c r="Z94" s="23" t="s">
        <v>174</v>
      </c>
      <c r="AA94" s="23" t="s">
        <v>174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  <c r="AE94" s="24" t="str">
        <f aca="false">M94&amp;" | 출애굽기 10장 #"&amp;SUBSTITUTE(안내!$C$5," ","")</f>
        <v>푸른 것이 하나도 남지 않았다 | 출애굽기 10장 #1분성경</v>
      </c>
      <c r="AF94" s="24" t="s">
        <v>304</v>
      </c>
      <c r="AG94" s="24" t="s">
        <v>1194</v>
      </c>
      <c r="AH94" s="23" t="s">
        <v>290</v>
      </c>
      <c r="AI94" s="26" t="n">
        <f aca="false">U94-안내!$C$12</f>
        <v>46593</v>
      </c>
      <c r="AJ94" s="23" t="str">
        <f aca="false">IF(U94&lt;IF(C94=1,안내!$C$9,안내!$C$10)+안내!$C$12,"시즌 시작 전 제작","")</f>
        <v/>
      </c>
      <c r="AK94" s="24" t="s">
        <v>1063</v>
      </c>
      <c r="AL94" s="27"/>
      <c r="AM94" s="27"/>
      <c r="AN94" s="27"/>
      <c r="AO94" s="27"/>
      <c r="AP94" s="27"/>
      <c r="AQ94" s="23" t="str">
        <f aca="false">D94&amp;"|"&amp;TEXT(U94,"yyyy-mm-dd")</f>
        <v>구약|2027-08-22</v>
      </c>
      <c r="AR94" s="24" t="s">
        <v>1195</v>
      </c>
      <c r="AS94" s="24"/>
    </row>
    <row r="95" customFormat="false" ht="26.85" hidden="false" customHeight="false" outlineLevel="0" collapsed="false">
      <c r="A95" s="21" t="n">
        <v>94</v>
      </c>
      <c r="B95" s="18" t="s">
        <v>1196</v>
      </c>
      <c r="C95" s="23" t="n">
        <v>2</v>
      </c>
      <c r="D95" s="23" t="s">
        <v>160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1121</v>
      </c>
      <c r="H95" s="18" t="s">
        <v>1157</v>
      </c>
      <c r="I95" s="21" t="s">
        <v>1031</v>
      </c>
      <c r="J95" s="22" t="s">
        <v>1197</v>
      </c>
      <c r="K95" s="23" t="s">
        <v>165</v>
      </c>
      <c r="L95" s="24" t="s">
        <v>1198</v>
      </c>
      <c r="M95" s="24" t="s">
        <v>1199</v>
      </c>
      <c r="N95" s="23" t="s">
        <v>1200</v>
      </c>
      <c r="O95" s="24" t="s">
        <v>1201</v>
      </c>
      <c r="P95" s="24" t="s">
        <v>1151</v>
      </c>
      <c r="Q95" s="24" t="s">
        <v>1202</v>
      </c>
      <c r="R95" s="24"/>
      <c r="S95" s="24" t="s">
        <v>1165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174</v>
      </c>
      <c r="Y95" s="23" t="s">
        <v>174</v>
      </c>
      <c r="Z95" s="23" t="s">
        <v>174</v>
      </c>
      <c r="AA95" s="23" t="s">
        <v>174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  <c r="AE95" s="24" t="str">
        <f aca="false">M95&amp;" | 출애굽기 10장 #"&amp;SUBSTITUTE(안내!$C$5," ","")</f>
        <v>애굽은 캄캄한데 이스라엘에는 빛이 있었다 | 출애굽기 10장 #1분성경</v>
      </c>
      <c r="AF95" s="24" t="s">
        <v>304</v>
      </c>
      <c r="AG95" s="24" t="s">
        <v>1203</v>
      </c>
      <c r="AH95" s="23" t="s">
        <v>290</v>
      </c>
      <c r="AI95" s="26" t="n">
        <f aca="false">U95-안내!$C$12</f>
        <v>46594</v>
      </c>
      <c r="AJ95" s="23" t="str">
        <f aca="false">IF(U95&lt;IF(C95=1,안내!$C$9,안내!$C$10)+안내!$C$12,"시즌 시작 전 제작","")</f>
        <v/>
      </c>
      <c r="AK95" s="24" t="s">
        <v>1063</v>
      </c>
      <c r="AL95" s="27"/>
      <c r="AM95" s="27"/>
      <c r="AN95" s="27"/>
      <c r="AO95" s="27"/>
      <c r="AP95" s="27"/>
      <c r="AQ95" s="23" t="str">
        <f aca="false">D95&amp;"|"&amp;TEXT(U95,"yyyy-mm-dd")</f>
        <v>구약|2027-08-23</v>
      </c>
      <c r="AR95" s="24" t="s">
        <v>1204</v>
      </c>
      <c r="AS95" s="24" t="s">
        <v>292</v>
      </c>
    </row>
    <row r="96" customFormat="false" ht="52.2" hidden="false" customHeight="false" outlineLevel="0" collapsed="false">
      <c r="A96" s="21" t="n">
        <v>95</v>
      </c>
      <c r="B96" s="18" t="s">
        <v>1205</v>
      </c>
      <c r="C96" s="20" t="n">
        <v>1</v>
      </c>
      <c r="D96" s="20" t="s">
        <v>160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1121</v>
      </c>
      <c r="H96" s="18" t="s">
        <v>1122</v>
      </c>
      <c r="I96" s="21" t="s">
        <v>1031</v>
      </c>
      <c r="J96" s="22" t="s">
        <v>1206</v>
      </c>
      <c r="K96" s="23" t="s">
        <v>165</v>
      </c>
      <c r="L96" s="24" t="s">
        <v>1207</v>
      </c>
      <c r="M96" s="24" t="s">
        <v>1208</v>
      </c>
      <c r="N96" s="23" t="s">
        <v>1209</v>
      </c>
      <c r="O96" s="24" t="s">
        <v>1210</v>
      </c>
      <c r="P96" s="24" t="s">
        <v>1211</v>
      </c>
      <c r="Q96" s="24" t="s">
        <v>1212</v>
      </c>
      <c r="R96" s="25" t="s">
        <v>1213</v>
      </c>
      <c r="S96" s="29" t="s">
        <v>1214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174</v>
      </c>
      <c r="Y96" s="23" t="s">
        <v>174</v>
      </c>
      <c r="Z96" s="23" t="s">
        <v>174</v>
      </c>
      <c r="AA96" s="23" t="s">
        <v>174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  <c r="AE96" s="24" t="str">
        <f aca="false">M96&amp;" | 출애굽기 11~12장 #"&amp;SUBSTITUTE(안내!$C$5," ","")</f>
        <v>피를 보면 넘어가리라 | 출애굽기 11~12장 #1분성경</v>
      </c>
      <c r="AF96" s="24" t="s">
        <v>1215</v>
      </c>
      <c r="AG96" s="24" t="s">
        <v>1216</v>
      </c>
      <c r="AH96" s="23" t="s">
        <v>290</v>
      </c>
      <c r="AI96" s="26" t="n">
        <f aca="false">U96-안내!$C$12</f>
        <v>46414</v>
      </c>
      <c r="AJ96" s="23" t="str">
        <f aca="false">IF(U96&lt;IF(C96=1,안내!$C$9,안내!$C$10)+안내!$C$12,"시즌 시작 전 제작","")</f>
        <v/>
      </c>
      <c r="AK96" s="24" t="s">
        <v>1063</v>
      </c>
      <c r="AL96" s="27"/>
      <c r="AM96" s="27"/>
      <c r="AN96" s="27"/>
      <c r="AO96" s="27"/>
      <c r="AP96" s="27"/>
      <c r="AQ96" s="23" t="str">
        <f aca="false">D96&amp;"|"&amp;TEXT(U96,"yyyy-mm-dd")</f>
        <v>구약|2027-02-24</v>
      </c>
      <c r="AR96" s="24" t="s">
        <v>1217</v>
      </c>
      <c r="AS96" s="24"/>
    </row>
    <row r="97" customFormat="false" ht="26.85" hidden="false" customHeight="false" outlineLevel="0" collapsed="false">
      <c r="A97" s="21" t="n">
        <v>96</v>
      </c>
      <c r="B97" s="18" t="s">
        <v>1218</v>
      </c>
      <c r="C97" s="20" t="n">
        <v>1</v>
      </c>
      <c r="D97" s="20" t="s">
        <v>160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1121</v>
      </c>
      <c r="H97" s="18" t="s">
        <v>1122</v>
      </c>
      <c r="I97" s="21" t="s">
        <v>1031</v>
      </c>
      <c r="J97" s="22" t="s">
        <v>1219</v>
      </c>
      <c r="K97" s="23" t="s">
        <v>165</v>
      </c>
      <c r="L97" s="30" t="s">
        <v>1220</v>
      </c>
      <c r="M97" s="24" t="s">
        <v>1221</v>
      </c>
      <c r="N97" s="23" t="s">
        <v>1222</v>
      </c>
      <c r="O97" s="24" t="s">
        <v>1223</v>
      </c>
      <c r="P97" s="24" t="s">
        <v>1224</v>
      </c>
      <c r="Q97" s="24" t="s">
        <v>1225</v>
      </c>
      <c r="R97" s="25" t="s">
        <v>1226</v>
      </c>
      <c r="S97" s="24" t="s">
        <v>173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174</v>
      </c>
      <c r="Y97" s="23" t="s">
        <v>174</v>
      </c>
      <c r="Z97" s="23" t="s">
        <v>174</v>
      </c>
      <c r="AA97" s="23" t="s">
        <v>174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  <c r="AE97" s="24" t="str">
        <f aca="false">M97&amp;" | 출애굽기 12장 #"&amp;SUBSTITUTE(안내!$C$5," ","")</f>
        <v>한밤중에 애굽 전역에 울음소리가 | 출애굽기 12장 #1분성경</v>
      </c>
      <c r="AF97" s="24" t="s">
        <v>1227</v>
      </c>
      <c r="AG97" s="24"/>
      <c r="AH97" s="23" t="s">
        <v>290</v>
      </c>
      <c r="AI97" s="26" t="n">
        <f aca="false">U97-안내!$C$12</f>
        <v>46415</v>
      </c>
      <c r="AJ97" s="23" t="str">
        <f aca="false">IF(U97&lt;IF(C97=1,안내!$C$9,안내!$C$10)+안내!$C$12,"시즌 시작 전 제작","")</f>
        <v/>
      </c>
      <c r="AK97" s="24" t="s">
        <v>1063</v>
      </c>
      <c r="AL97" s="27"/>
      <c r="AM97" s="27"/>
      <c r="AN97" s="27"/>
      <c r="AO97" s="27"/>
      <c r="AP97" s="27"/>
      <c r="AQ97" s="23" t="str">
        <f aca="false">D97&amp;"|"&amp;TEXT(U97,"yyyy-mm-dd")</f>
        <v>구약|2027-02-25</v>
      </c>
      <c r="AR97" s="24" t="s">
        <v>1228</v>
      </c>
      <c r="AS97" s="24"/>
    </row>
    <row r="98" customFormat="false" ht="26.85" hidden="false" customHeight="false" outlineLevel="0" collapsed="false">
      <c r="A98" s="21" t="n">
        <v>97</v>
      </c>
      <c r="B98" s="18" t="s">
        <v>1229</v>
      </c>
      <c r="C98" s="23" t="n">
        <v>2</v>
      </c>
      <c r="D98" s="23" t="s">
        <v>160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1121</v>
      </c>
      <c r="H98" s="18" t="s">
        <v>1157</v>
      </c>
      <c r="I98" s="21" t="s">
        <v>1031</v>
      </c>
      <c r="J98" s="22" t="s">
        <v>1230</v>
      </c>
      <c r="K98" s="23" t="s">
        <v>165</v>
      </c>
      <c r="L98" s="24" t="s">
        <v>1231</v>
      </c>
      <c r="M98" s="24" t="s">
        <v>1232</v>
      </c>
      <c r="N98" s="23" t="s">
        <v>1233</v>
      </c>
      <c r="O98" s="24" t="s">
        <v>1234</v>
      </c>
      <c r="P98" s="24" t="s">
        <v>1235</v>
      </c>
      <c r="Q98" s="24" t="s">
        <v>1236</v>
      </c>
      <c r="R98" s="25" t="s">
        <v>1237</v>
      </c>
      <c r="S98" s="24" t="s">
        <v>1238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174</v>
      </c>
      <c r="Y98" s="23" t="s">
        <v>174</v>
      </c>
      <c r="Z98" s="23" t="s">
        <v>174</v>
      </c>
      <c r="AA98" s="23" t="s">
        <v>174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  <c r="AE98" s="24" t="str">
        <f aca="false">M98&amp;" | 출애굽기 13장 #"&amp;SUBSTITUTE(안내!$C$5," ","")</f>
        <v>낮에는 구름, 밤에는 불이 길을 안내했다 | 출애굽기 13장 #1분성경</v>
      </c>
      <c r="AF98" s="24" t="s">
        <v>304</v>
      </c>
      <c r="AG98" s="24"/>
      <c r="AH98" s="23" t="s">
        <v>290</v>
      </c>
      <c r="AI98" s="26" t="n">
        <f aca="false">U98-안내!$C$12</f>
        <v>46595</v>
      </c>
      <c r="AJ98" s="23" t="str">
        <f aca="false">IF(U98&lt;IF(C98=1,안내!$C$9,안내!$C$10)+안내!$C$12,"시즌 시작 전 제작","")</f>
        <v/>
      </c>
      <c r="AK98" s="24" t="s">
        <v>1063</v>
      </c>
      <c r="AL98" s="27"/>
      <c r="AM98" s="27"/>
      <c r="AN98" s="27"/>
      <c r="AO98" s="27"/>
      <c r="AP98" s="27"/>
      <c r="AQ98" s="23" t="str">
        <f aca="false">D98&amp;"|"&amp;TEXT(U98,"yyyy-mm-dd")</f>
        <v>구약|2027-08-24</v>
      </c>
      <c r="AR98" s="24" t="s">
        <v>1239</v>
      </c>
      <c r="AS98" s="24" t="s">
        <v>292</v>
      </c>
    </row>
    <row r="99" customFormat="false" ht="26.85" hidden="false" customHeight="false" outlineLevel="0" collapsed="false">
      <c r="A99" s="21" t="n">
        <v>98</v>
      </c>
      <c r="B99" s="18" t="s">
        <v>1240</v>
      </c>
      <c r="C99" s="20" t="n">
        <v>1</v>
      </c>
      <c r="D99" s="20" t="s">
        <v>160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1241</v>
      </c>
      <c r="H99" s="18" t="s">
        <v>1122</v>
      </c>
      <c r="I99" s="21" t="s">
        <v>1031</v>
      </c>
      <c r="J99" s="22" t="s">
        <v>1242</v>
      </c>
      <c r="K99" s="23" t="s">
        <v>165</v>
      </c>
      <c r="L99" s="24" t="s">
        <v>1243</v>
      </c>
      <c r="M99" s="24" t="s">
        <v>1244</v>
      </c>
      <c r="N99" s="23" t="s">
        <v>1245</v>
      </c>
      <c r="O99" s="24" t="s">
        <v>1246</v>
      </c>
      <c r="P99" s="24" t="s">
        <v>1247</v>
      </c>
      <c r="Q99" s="24" t="s">
        <v>1248</v>
      </c>
      <c r="R99" s="24"/>
      <c r="S99" s="29" t="s">
        <v>1249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174</v>
      </c>
      <c r="Y99" s="23" t="s">
        <v>174</v>
      </c>
      <c r="Z99" s="23" t="s">
        <v>174</v>
      </c>
      <c r="AA99" s="23" t="s">
        <v>174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  <c r="AE99" s="24" t="str">
        <f aca="false">M99&amp;" | 출애굽기 14장 #"&amp;SUBSTITUTE(안내!$C$5," ","")</f>
        <v>도망칠 곳이 하나도 없다면? | 출애굽기 14장 #1분성경</v>
      </c>
      <c r="AF99" s="24" t="s">
        <v>1250</v>
      </c>
      <c r="AG99" s="24" t="s">
        <v>1251</v>
      </c>
      <c r="AH99" s="23" t="s">
        <v>176</v>
      </c>
      <c r="AI99" s="26" t="n">
        <f aca="false">U99-안내!$C$12</f>
        <v>46416</v>
      </c>
      <c r="AJ99" s="23" t="str">
        <f aca="false">IF(U99&lt;IF(C99=1,안내!$C$9,안내!$C$10)+안내!$C$12,"시즌 시작 전 제작","")</f>
        <v/>
      </c>
      <c r="AK99" s="24" t="s">
        <v>1063</v>
      </c>
      <c r="AL99" s="27"/>
      <c r="AM99" s="27"/>
      <c r="AN99" s="27"/>
      <c r="AO99" s="27"/>
      <c r="AP99" s="27"/>
      <c r="AQ99" s="23" t="str">
        <f aca="false">D99&amp;"|"&amp;TEXT(U99,"yyyy-mm-dd")</f>
        <v>구약|2027-02-26</v>
      </c>
      <c r="AR99" s="24" t="s">
        <v>1252</v>
      </c>
      <c r="AS99" s="24"/>
    </row>
    <row r="100" customFormat="false" ht="26.85" hidden="false" customHeight="false" outlineLevel="0" collapsed="false">
      <c r="A100" s="21" t="n">
        <v>99</v>
      </c>
      <c r="B100" s="18" t="s">
        <v>1253</v>
      </c>
      <c r="C100" s="20" t="n">
        <v>1</v>
      </c>
      <c r="D100" s="20" t="s">
        <v>160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1241</v>
      </c>
      <c r="H100" s="18" t="s">
        <v>1122</v>
      </c>
      <c r="I100" s="21" t="s">
        <v>1031</v>
      </c>
      <c r="J100" s="22" t="s">
        <v>1254</v>
      </c>
      <c r="K100" s="23" t="s">
        <v>165</v>
      </c>
      <c r="L100" s="24" t="s">
        <v>1255</v>
      </c>
      <c r="M100" s="24" t="s">
        <v>1256</v>
      </c>
      <c r="N100" s="23" t="s">
        <v>1257</v>
      </c>
      <c r="O100" s="24" t="s">
        <v>1258</v>
      </c>
      <c r="P100" s="24" t="s">
        <v>1259</v>
      </c>
      <c r="Q100" s="24" t="s">
        <v>1260</v>
      </c>
      <c r="R100" s="25" t="s">
        <v>1261</v>
      </c>
      <c r="S100" s="24" t="s">
        <v>173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174</v>
      </c>
      <c r="Y100" s="23" t="s">
        <v>174</v>
      </c>
      <c r="Z100" s="23" t="s">
        <v>174</v>
      </c>
      <c r="AA100" s="23" t="s">
        <v>174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  <c r="AE100" s="24" t="str">
        <f aca="false">M100&amp;" | 출애굽기 14장 #"&amp;SUBSTITUTE(안내!$C$5," ","")</f>
        <v>바다 한가운데 마른 길이 생겼다 | 출애굽기 14장 #1분성경</v>
      </c>
      <c r="AF100" s="24" t="s">
        <v>1262</v>
      </c>
      <c r="AG100" s="24" t="s">
        <v>1263</v>
      </c>
      <c r="AH100" s="23" t="s">
        <v>290</v>
      </c>
      <c r="AI100" s="26" t="n">
        <f aca="false">U100-안내!$C$12</f>
        <v>46417</v>
      </c>
      <c r="AJ100" s="23" t="str">
        <f aca="false">IF(U100&lt;IF(C100=1,안내!$C$9,안내!$C$10)+안내!$C$12,"시즌 시작 전 제작","")</f>
        <v/>
      </c>
      <c r="AK100" s="24" t="s">
        <v>1063</v>
      </c>
      <c r="AL100" s="27"/>
      <c r="AM100" s="27"/>
      <c r="AN100" s="27"/>
      <c r="AO100" s="27"/>
      <c r="AP100" s="27"/>
      <c r="AQ100" s="23" t="str">
        <f aca="false">D100&amp;"|"&amp;TEXT(U100,"yyyy-mm-dd")</f>
        <v>구약|2027-02-27</v>
      </c>
      <c r="AR100" s="24" t="s">
        <v>1264</v>
      </c>
      <c r="AS100" s="24"/>
    </row>
    <row r="101" customFormat="false" ht="39.55" hidden="false" customHeight="false" outlineLevel="0" collapsed="false">
      <c r="A101" s="21" t="n">
        <v>100</v>
      </c>
      <c r="B101" s="18" t="s">
        <v>1265</v>
      </c>
      <c r="C101" s="20" t="n">
        <v>1</v>
      </c>
      <c r="D101" s="20" t="s">
        <v>160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1241</v>
      </c>
      <c r="H101" s="18" t="s">
        <v>1122</v>
      </c>
      <c r="I101" s="21" t="s">
        <v>1031</v>
      </c>
      <c r="J101" s="22" t="s">
        <v>1266</v>
      </c>
      <c r="K101" s="23" t="s">
        <v>165</v>
      </c>
      <c r="L101" s="24" t="s">
        <v>1267</v>
      </c>
      <c r="M101" s="24" t="s">
        <v>1268</v>
      </c>
      <c r="N101" s="23" t="s">
        <v>1269</v>
      </c>
      <c r="O101" s="24" t="s">
        <v>1270</v>
      </c>
      <c r="P101" s="24" t="s">
        <v>1271</v>
      </c>
      <c r="Q101" s="24" t="s">
        <v>1272</v>
      </c>
      <c r="R101" s="24"/>
      <c r="S101" s="24" t="s">
        <v>173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174</v>
      </c>
      <c r="Y101" s="23" t="s">
        <v>174</v>
      </c>
      <c r="Z101" s="23" t="s">
        <v>174</v>
      </c>
      <c r="AA101" s="23" t="s">
        <v>174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  <c r="AE101" s="24" t="str">
        <f aca="false">M101&amp;" | 출애굽기 15장 #"&amp;SUBSTITUTE(안내!$C$5," ","")</f>
        <v>바다를 건넌 뒤 모두가 노래했다 | 출애굽기 15장 #1분성경</v>
      </c>
      <c r="AF101" s="24" t="s">
        <v>1273</v>
      </c>
      <c r="AG101" s="24" t="s">
        <v>1274</v>
      </c>
      <c r="AH101" s="23" t="s">
        <v>290</v>
      </c>
      <c r="AI101" s="26" t="n">
        <f aca="false">U101-안내!$C$12</f>
        <v>46418</v>
      </c>
      <c r="AJ101" s="23" t="str">
        <f aca="false">IF(U101&lt;IF(C101=1,안내!$C$9,안내!$C$10)+안내!$C$12,"시즌 시작 전 제작","")</f>
        <v/>
      </c>
      <c r="AK101" s="24" t="s">
        <v>1063</v>
      </c>
      <c r="AL101" s="27"/>
      <c r="AM101" s="27"/>
      <c r="AN101" s="27"/>
      <c r="AO101" s="27"/>
      <c r="AP101" s="27"/>
      <c r="AQ101" s="23" t="str">
        <f aca="false">D101&amp;"|"&amp;TEXT(U101,"yyyy-mm-dd")</f>
        <v>구약|2027-02-28</v>
      </c>
      <c r="AR101" s="24" t="s">
        <v>1275</v>
      </c>
      <c r="AS101" s="24"/>
    </row>
    <row r="102" customFormat="false" ht="52.2" hidden="false" customHeight="false" outlineLevel="0" collapsed="false">
      <c r="A102" s="21" t="n">
        <v>101</v>
      </c>
      <c r="B102" s="18" t="s">
        <v>1276</v>
      </c>
      <c r="C102" s="23" t="n">
        <v>2</v>
      </c>
      <c r="D102" s="23" t="s">
        <v>160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1241</v>
      </c>
      <c r="H102" s="18" t="s">
        <v>1157</v>
      </c>
      <c r="I102" s="21" t="s">
        <v>1031</v>
      </c>
      <c r="J102" s="22" t="s">
        <v>1277</v>
      </c>
      <c r="K102" s="23" t="s">
        <v>165</v>
      </c>
      <c r="L102" s="24" t="s">
        <v>1278</v>
      </c>
      <c r="M102" s="24" t="s">
        <v>1279</v>
      </c>
      <c r="N102" s="23" t="s">
        <v>1280</v>
      </c>
      <c r="O102" s="24" t="s">
        <v>1281</v>
      </c>
      <c r="P102" s="24" t="s">
        <v>1235</v>
      </c>
      <c r="Q102" s="24" t="s">
        <v>1282</v>
      </c>
      <c r="R102" s="24"/>
      <c r="S102" s="24" t="s">
        <v>1283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174</v>
      </c>
      <c r="Y102" s="23" t="s">
        <v>174</v>
      </c>
      <c r="Z102" s="23" t="s">
        <v>174</v>
      </c>
      <c r="AA102" s="23" t="s">
        <v>174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  <c r="AE102" s="24" t="str">
        <f aca="false">M102&amp;" | 출애굽기 15장 #"&amp;SUBSTITUTE(안내!$C$5," ","")</f>
        <v>사흘 만에 찾은 물이 써서 못 마신다면? | 출애굽기 15장 #1분성경</v>
      </c>
      <c r="AF102" s="24" t="s">
        <v>304</v>
      </c>
      <c r="AG102" s="24" t="s">
        <v>1284</v>
      </c>
      <c r="AH102" s="23" t="s">
        <v>176</v>
      </c>
      <c r="AI102" s="26" t="n">
        <f aca="false">U102-안내!$C$12</f>
        <v>46596</v>
      </c>
      <c r="AJ102" s="23" t="str">
        <f aca="false">IF(U102&lt;IF(C102=1,안내!$C$9,안내!$C$10)+안내!$C$12,"시즌 시작 전 제작","")</f>
        <v/>
      </c>
      <c r="AK102" s="24" t="s">
        <v>1063</v>
      </c>
      <c r="AL102" s="27"/>
      <c r="AM102" s="27"/>
      <c r="AN102" s="27"/>
      <c r="AO102" s="27"/>
      <c r="AP102" s="27"/>
      <c r="AQ102" s="23" t="str">
        <f aca="false">D102&amp;"|"&amp;TEXT(U102,"yyyy-mm-dd")</f>
        <v>구약|2027-08-25</v>
      </c>
      <c r="AR102" s="24" t="s">
        <v>1285</v>
      </c>
      <c r="AS102" s="24"/>
    </row>
    <row r="103" customFormat="false" ht="39.55" hidden="false" customHeight="false" outlineLevel="0" collapsed="false">
      <c r="A103" s="21" t="n">
        <v>102</v>
      </c>
      <c r="B103" s="18" t="s">
        <v>1286</v>
      </c>
      <c r="C103" s="20" t="n">
        <v>1</v>
      </c>
      <c r="D103" s="20" t="s">
        <v>160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1241</v>
      </c>
      <c r="H103" s="18" t="s">
        <v>1122</v>
      </c>
      <c r="I103" s="21" t="s">
        <v>1031</v>
      </c>
      <c r="J103" s="22" t="s">
        <v>1287</v>
      </c>
      <c r="K103" s="23" t="s">
        <v>165</v>
      </c>
      <c r="L103" s="24" t="s">
        <v>1288</v>
      </c>
      <c r="M103" s="24" t="s">
        <v>1289</v>
      </c>
      <c r="N103" s="23" t="s">
        <v>1290</v>
      </c>
      <c r="O103" s="24" t="s">
        <v>1291</v>
      </c>
      <c r="P103" s="24" t="s">
        <v>1292</v>
      </c>
      <c r="Q103" s="24" t="s">
        <v>1293</v>
      </c>
      <c r="R103" s="25" t="s">
        <v>1294</v>
      </c>
      <c r="S103" s="29" t="s">
        <v>1295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174</v>
      </c>
      <c r="Y103" s="23" t="s">
        <v>174</v>
      </c>
      <c r="Z103" s="23" t="s">
        <v>174</v>
      </c>
      <c r="AA103" s="23" t="s">
        <v>174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  <c r="AE103" s="24" t="str">
        <f aca="false">M103&amp;" | 출애굽기 16장 #"&amp;SUBSTITUTE(안내!$C$5," ","")</f>
        <v>매일 아침 하늘에서 음식이 내렸다 | 출애굽기 16장 #1분성경</v>
      </c>
      <c r="AF103" s="24" t="s">
        <v>1296</v>
      </c>
      <c r="AG103" s="24" t="s">
        <v>1297</v>
      </c>
      <c r="AH103" s="23" t="s">
        <v>290</v>
      </c>
      <c r="AI103" s="26" t="n">
        <f aca="false">U103-안내!$C$12</f>
        <v>46419</v>
      </c>
      <c r="AJ103" s="23" t="str">
        <f aca="false">IF(U103&lt;IF(C103=1,안내!$C$9,안내!$C$10)+안내!$C$12,"시즌 시작 전 제작","")</f>
        <v/>
      </c>
      <c r="AK103" s="24" t="s">
        <v>1063</v>
      </c>
      <c r="AL103" s="27"/>
      <c r="AM103" s="27"/>
      <c r="AN103" s="27"/>
      <c r="AO103" s="27"/>
      <c r="AP103" s="27"/>
      <c r="AQ103" s="23" t="str">
        <f aca="false">D103&amp;"|"&amp;TEXT(U103,"yyyy-mm-dd")</f>
        <v>구약|2027-03-01</v>
      </c>
      <c r="AR103" s="24" t="s">
        <v>1298</v>
      </c>
      <c r="AS103" s="24"/>
    </row>
    <row r="104" customFormat="false" ht="39.55" hidden="false" customHeight="false" outlineLevel="0" collapsed="false">
      <c r="A104" s="21" t="n">
        <v>103</v>
      </c>
      <c r="B104" s="18" t="s">
        <v>1299</v>
      </c>
      <c r="C104" s="20" t="n">
        <v>1</v>
      </c>
      <c r="D104" s="20" t="s">
        <v>160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1241</v>
      </c>
      <c r="H104" s="18" t="s">
        <v>1122</v>
      </c>
      <c r="I104" s="21" t="s">
        <v>1031</v>
      </c>
      <c r="J104" s="22" t="s">
        <v>1300</v>
      </c>
      <c r="K104" s="23" t="s">
        <v>165</v>
      </c>
      <c r="L104" s="24" t="s">
        <v>1301</v>
      </c>
      <c r="M104" s="24" t="s">
        <v>1302</v>
      </c>
      <c r="N104" s="23" t="s">
        <v>1303</v>
      </c>
      <c r="O104" s="24" t="s">
        <v>1304</v>
      </c>
      <c r="P104" s="24" t="s">
        <v>1305</v>
      </c>
      <c r="Q104" s="24" t="s">
        <v>1306</v>
      </c>
      <c r="R104" s="25" t="s">
        <v>1307</v>
      </c>
      <c r="S104" s="24" t="s">
        <v>173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174</v>
      </c>
      <c r="Y104" s="23" t="s">
        <v>174</v>
      </c>
      <c r="Z104" s="23" t="s">
        <v>174</v>
      </c>
      <c r="AA104" s="23" t="s">
        <v>174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  <c r="AE104" s="24" t="str">
        <f aca="false">M104&amp;" | 출애굽기 17장 #"&amp;SUBSTITUTE(안내!$C$5," ","")</f>
        <v>바위를 쳤더니 물이 터졌다 | 출애굽기 17장 #1분성경</v>
      </c>
      <c r="AF104" s="24" t="s">
        <v>1308</v>
      </c>
      <c r="AG104" s="24" t="s">
        <v>1309</v>
      </c>
      <c r="AH104" s="23" t="s">
        <v>290</v>
      </c>
      <c r="AI104" s="26" t="n">
        <f aca="false">U104-안내!$C$12</f>
        <v>46420</v>
      </c>
      <c r="AJ104" s="23" t="str">
        <f aca="false">IF(U104&lt;IF(C104=1,안내!$C$9,안내!$C$10)+안내!$C$12,"시즌 시작 전 제작","")</f>
        <v/>
      </c>
      <c r="AK104" s="24" t="s">
        <v>1063</v>
      </c>
      <c r="AL104" s="27"/>
      <c r="AM104" s="27"/>
      <c r="AN104" s="27"/>
      <c r="AO104" s="27"/>
      <c r="AP104" s="27"/>
      <c r="AQ104" s="23" t="str">
        <f aca="false">D104&amp;"|"&amp;TEXT(U104,"yyyy-mm-dd")</f>
        <v>구약|2027-03-02</v>
      </c>
      <c r="AR104" s="24" t="s">
        <v>1310</v>
      </c>
      <c r="AS104" s="24"/>
    </row>
    <row r="105" customFormat="false" ht="26.85" hidden="false" customHeight="false" outlineLevel="0" collapsed="false">
      <c r="A105" s="21" t="n">
        <v>104</v>
      </c>
      <c r="B105" s="18" t="s">
        <v>1311</v>
      </c>
      <c r="C105" s="20" t="n">
        <v>1</v>
      </c>
      <c r="D105" s="20" t="s">
        <v>160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1241</v>
      </c>
      <c r="H105" s="18" t="s">
        <v>1122</v>
      </c>
      <c r="I105" s="21" t="s">
        <v>1031</v>
      </c>
      <c r="J105" s="22" t="s">
        <v>1312</v>
      </c>
      <c r="K105" s="23" t="s">
        <v>165</v>
      </c>
      <c r="L105" s="24" t="s">
        <v>1313</v>
      </c>
      <c r="M105" s="24" t="s">
        <v>1314</v>
      </c>
      <c r="N105" s="23" t="s">
        <v>1315</v>
      </c>
      <c r="O105" s="24" t="s">
        <v>1316</v>
      </c>
      <c r="P105" s="24" t="s">
        <v>1317</v>
      </c>
      <c r="Q105" s="24" t="s">
        <v>1318</v>
      </c>
      <c r="R105" s="25" t="s">
        <v>1319</v>
      </c>
      <c r="S105" s="24" t="s">
        <v>173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174</v>
      </c>
      <c r="Y105" s="23" t="s">
        <v>174</v>
      </c>
      <c r="Z105" s="23" t="s">
        <v>174</v>
      </c>
      <c r="AA105" s="23" t="s">
        <v>174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  <c r="AE105" s="24" t="str">
        <f aca="false">M105&amp;" | 출애굽기 17장 #"&amp;SUBSTITUTE(안내!$C$5," ","")</f>
        <v>손이 내려가면 지고, 올라가면 이긴다? | 출애굽기 17장 #1분성경</v>
      </c>
      <c r="AF105" s="24" t="s">
        <v>1320</v>
      </c>
      <c r="AG105" s="24"/>
      <c r="AH105" s="23" t="s">
        <v>176</v>
      </c>
      <c r="AI105" s="26" t="n">
        <f aca="false">U105-안내!$C$12</f>
        <v>46421</v>
      </c>
      <c r="AJ105" s="23" t="str">
        <f aca="false">IF(U105&lt;IF(C105=1,안내!$C$9,안내!$C$10)+안내!$C$12,"시즌 시작 전 제작","")</f>
        <v/>
      </c>
      <c r="AK105" s="24" t="s">
        <v>1321</v>
      </c>
      <c r="AL105" s="27"/>
      <c r="AM105" s="27"/>
      <c r="AN105" s="27"/>
      <c r="AO105" s="27"/>
      <c r="AP105" s="27"/>
      <c r="AQ105" s="23" t="str">
        <f aca="false">D105&amp;"|"&amp;TEXT(U105,"yyyy-mm-dd")</f>
        <v>구약|2027-03-03</v>
      </c>
      <c r="AR105" s="24" t="s">
        <v>1322</v>
      </c>
      <c r="AS105" s="24"/>
    </row>
    <row r="106" customFormat="false" ht="26.85" hidden="false" customHeight="false" outlineLevel="0" collapsed="false">
      <c r="A106" s="21" t="n">
        <v>105</v>
      </c>
      <c r="B106" s="18" t="s">
        <v>1323</v>
      </c>
      <c r="C106" s="23" t="n">
        <v>2</v>
      </c>
      <c r="D106" s="23" t="s">
        <v>160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1241</v>
      </c>
      <c r="H106" s="18" t="s">
        <v>1157</v>
      </c>
      <c r="I106" s="21" t="s">
        <v>1031</v>
      </c>
      <c r="J106" s="22" t="s">
        <v>1324</v>
      </c>
      <c r="K106" s="23" t="s">
        <v>165</v>
      </c>
      <c r="L106" s="24" t="s">
        <v>1325</v>
      </c>
      <c r="M106" s="24" t="s">
        <v>1326</v>
      </c>
      <c r="N106" s="23" t="s">
        <v>1327</v>
      </c>
      <c r="O106" s="24" t="s">
        <v>1328</v>
      </c>
      <c r="P106" s="24" t="s">
        <v>1329</v>
      </c>
      <c r="Q106" s="24" t="s">
        <v>1330</v>
      </c>
      <c r="R106" s="24"/>
      <c r="S106" s="24" t="s">
        <v>1331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174</v>
      </c>
      <c r="Y106" s="23" t="s">
        <v>174</v>
      </c>
      <c r="Z106" s="23" t="s">
        <v>174</v>
      </c>
      <c r="AA106" s="23" t="s">
        <v>174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  <c r="AE106" s="24" t="str">
        <f aca="false">M106&amp;" | 출애굽기 18장 #"&amp;SUBSTITUTE(안내!$C$5," ","")</f>
        <v>장인이 사위에게 해 준 조언 | 출애굽기 18장 #1분성경</v>
      </c>
      <c r="AF106" s="24" t="s">
        <v>304</v>
      </c>
      <c r="AG106" s="24"/>
      <c r="AH106" s="23" t="s">
        <v>290</v>
      </c>
      <c r="AI106" s="26" t="n">
        <f aca="false">U106-안내!$C$12</f>
        <v>46597</v>
      </c>
      <c r="AJ106" s="23" t="str">
        <f aca="false">IF(U106&lt;IF(C106=1,안내!$C$9,안내!$C$10)+안내!$C$12,"시즌 시작 전 제작","")</f>
        <v/>
      </c>
      <c r="AK106" s="24" t="s">
        <v>1063</v>
      </c>
      <c r="AL106" s="27"/>
      <c r="AM106" s="27"/>
      <c r="AN106" s="27"/>
      <c r="AO106" s="27"/>
      <c r="AP106" s="27"/>
      <c r="AQ106" s="23" t="str">
        <f aca="false">D106&amp;"|"&amp;TEXT(U106,"yyyy-mm-dd")</f>
        <v>구약|2027-08-26</v>
      </c>
      <c r="AR106" s="24" t="s">
        <v>1332</v>
      </c>
      <c r="AS106" s="24"/>
    </row>
    <row r="107" customFormat="false" ht="26.85" hidden="false" customHeight="false" outlineLevel="0" collapsed="false">
      <c r="A107" s="21" t="n">
        <v>106</v>
      </c>
      <c r="B107" s="18" t="s">
        <v>1333</v>
      </c>
      <c r="C107" s="20" t="n">
        <v>1</v>
      </c>
      <c r="D107" s="20" t="s">
        <v>160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1334</v>
      </c>
      <c r="H107" s="18" t="s">
        <v>1335</v>
      </c>
      <c r="I107" s="21" t="s">
        <v>1031</v>
      </c>
      <c r="J107" s="22" t="s">
        <v>1336</v>
      </c>
      <c r="K107" s="23" t="s">
        <v>165</v>
      </c>
      <c r="L107" s="24" t="s">
        <v>1337</v>
      </c>
      <c r="M107" s="24" t="s">
        <v>1338</v>
      </c>
      <c r="N107" s="23" t="s">
        <v>1339</v>
      </c>
      <c r="O107" s="24" t="s">
        <v>1340</v>
      </c>
      <c r="P107" s="24" t="s">
        <v>1235</v>
      </c>
      <c r="Q107" s="24" t="s">
        <v>1341</v>
      </c>
      <c r="R107" s="25" t="s">
        <v>1342</v>
      </c>
      <c r="S107" s="29" t="s">
        <v>1343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174</v>
      </c>
      <c r="Y107" s="23" t="s">
        <v>174</v>
      </c>
      <c r="Z107" s="23" t="s">
        <v>174</v>
      </c>
      <c r="AA107" s="23" t="s">
        <v>174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  <c r="AE107" s="24" t="str">
        <f aca="false">M107&amp;" | 출애굽기 19장 #"&amp;SUBSTITUTE(안내!$C$5," ","")</f>
        <v>산 전체가 연기로 뒤덮이고 떨렸다 | 출애굽기 19장 #1분성경</v>
      </c>
      <c r="AF107" s="24" t="s">
        <v>1344</v>
      </c>
      <c r="AG107" s="24" t="s">
        <v>1345</v>
      </c>
      <c r="AH107" s="23" t="s">
        <v>290</v>
      </c>
      <c r="AI107" s="26" t="n">
        <f aca="false">U107-안내!$C$12</f>
        <v>46422</v>
      </c>
      <c r="AJ107" s="23" t="str">
        <f aca="false">IF(U107&lt;IF(C107=1,안내!$C$9,안내!$C$10)+안내!$C$12,"시즌 시작 전 제작","")</f>
        <v/>
      </c>
      <c r="AK107" s="24" t="s">
        <v>1063</v>
      </c>
      <c r="AL107" s="27"/>
      <c r="AM107" s="27"/>
      <c r="AN107" s="27"/>
      <c r="AO107" s="27"/>
      <c r="AP107" s="27"/>
      <c r="AQ107" s="23" t="str">
        <f aca="false">D107&amp;"|"&amp;TEXT(U107,"yyyy-mm-dd")</f>
        <v>구약|2027-03-04</v>
      </c>
      <c r="AR107" s="24" t="s">
        <v>1346</v>
      </c>
      <c r="AS107" s="24"/>
    </row>
    <row r="108" customFormat="false" ht="39.55" hidden="false" customHeight="false" outlineLevel="0" collapsed="false">
      <c r="A108" s="21" t="n">
        <v>107</v>
      </c>
      <c r="B108" s="18" t="s">
        <v>1347</v>
      </c>
      <c r="C108" s="20" t="n">
        <v>1</v>
      </c>
      <c r="D108" s="20" t="s">
        <v>160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1334</v>
      </c>
      <c r="H108" s="18" t="s">
        <v>1335</v>
      </c>
      <c r="I108" s="21" t="s">
        <v>1031</v>
      </c>
      <c r="J108" s="22" t="s">
        <v>1348</v>
      </c>
      <c r="K108" s="23" t="s">
        <v>165</v>
      </c>
      <c r="L108" s="24" t="s">
        <v>1349</v>
      </c>
      <c r="M108" s="24" t="s">
        <v>1350</v>
      </c>
      <c r="N108" s="23" t="s">
        <v>1351</v>
      </c>
      <c r="O108" s="24" t="s">
        <v>1352</v>
      </c>
      <c r="P108" s="24" t="s">
        <v>1117</v>
      </c>
      <c r="Q108" s="24" t="s">
        <v>1353</v>
      </c>
      <c r="R108" s="28" t="s">
        <v>1354</v>
      </c>
      <c r="S108" s="24" t="s">
        <v>173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174</v>
      </c>
      <c r="Y108" s="23" t="s">
        <v>174</v>
      </c>
      <c r="Z108" s="23" t="s">
        <v>174</v>
      </c>
      <c r="AA108" s="23" t="s">
        <v>174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  <c r="AE108" s="24" t="str">
        <f aca="false">M108&amp;" | 출애굽기 20장 #"&amp;SUBSTITUTE(안내!$C$5," ","")</f>
        <v>첫 번째 계명은 무엇일까? | 출애굽기 20장 #1분성경</v>
      </c>
      <c r="AF108" s="24" t="s">
        <v>1355</v>
      </c>
      <c r="AG108" s="24" t="s">
        <v>1356</v>
      </c>
      <c r="AH108" s="23" t="s">
        <v>176</v>
      </c>
      <c r="AI108" s="26" t="n">
        <f aca="false">U108-안내!$C$12</f>
        <v>46423</v>
      </c>
      <c r="AJ108" s="23" t="str">
        <f aca="false">IF(U108&lt;IF(C108=1,안내!$C$9,안내!$C$10)+안내!$C$12,"시즌 시작 전 제작","")</f>
        <v/>
      </c>
      <c r="AK108" s="24" t="s">
        <v>1063</v>
      </c>
      <c r="AL108" s="27"/>
      <c r="AM108" s="27"/>
      <c r="AN108" s="27"/>
      <c r="AO108" s="27"/>
      <c r="AP108" s="27"/>
      <c r="AQ108" s="23" t="str">
        <f aca="false">D108&amp;"|"&amp;TEXT(U108,"yyyy-mm-dd")</f>
        <v>구약|2027-03-05</v>
      </c>
      <c r="AR108" s="24" t="s">
        <v>1357</v>
      </c>
      <c r="AS108" s="24"/>
    </row>
    <row r="109" customFormat="false" ht="26.85" hidden="false" customHeight="false" outlineLevel="0" collapsed="false">
      <c r="A109" s="21" t="n">
        <v>108</v>
      </c>
      <c r="B109" s="18" t="s">
        <v>1358</v>
      </c>
      <c r="C109" s="20" t="n">
        <v>1</v>
      </c>
      <c r="D109" s="20" t="s">
        <v>160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1334</v>
      </c>
      <c r="H109" s="18" t="s">
        <v>1335</v>
      </c>
      <c r="I109" s="21" t="s">
        <v>1031</v>
      </c>
      <c r="J109" s="22" t="s">
        <v>1359</v>
      </c>
      <c r="K109" s="23" t="s">
        <v>165</v>
      </c>
      <c r="L109" s="24" t="s">
        <v>1360</v>
      </c>
      <c r="M109" s="24" t="s">
        <v>1361</v>
      </c>
      <c r="N109" s="23" t="s">
        <v>1362</v>
      </c>
      <c r="O109" s="24" t="s">
        <v>1363</v>
      </c>
      <c r="P109" s="24" t="s">
        <v>1235</v>
      </c>
      <c r="Q109" s="24" t="s">
        <v>1364</v>
      </c>
      <c r="R109" s="24"/>
      <c r="S109" s="24" t="s">
        <v>173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174</v>
      </c>
      <c r="Y109" s="23" t="s">
        <v>174</v>
      </c>
      <c r="Z109" s="23" t="s">
        <v>174</v>
      </c>
      <c r="AA109" s="23" t="s">
        <v>174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  <c r="AE109" s="24" t="str">
        <f aca="false">M109&amp;" | 출애굽기 20장 #"&amp;SUBSTITUTE(안내!$C$5," ","")</f>
        <v>부모 공경이 왜 다섯 번째일까? | 출애굽기 20장 #1분성경</v>
      </c>
      <c r="AF109" s="24" t="s">
        <v>1365</v>
      </c>
      <c r="AG109" s="24"/>
      <c r="AH109" s="23" t="s">
        <v>176</v>
      </c>
      <c r="AI109" s="26" t="n">
        <f aca="false">U109-안내!$C$12</f>
        <v>46424</v>
      </c>
      <c r="AJ109" s="23" t="str">
        <f aca="false">IF(U109&lt;IF(C109=1,안내!$C$9,안내!$C$10)+안내!$C$12,"시즌 시작 전 제작","")</f>
        <v/>
      </c>
      <c r="AK109" s="24" t="s">
        <v>1063</v>
      </c>
      <c r="AL109" s="27"/>
      <c r="AM109" s="27"/>
      <c r="AN109" s="27"/>
      <c r="AO109" s="27"/>
      <c r="AP109" s="27"/>
      <c r="AQ109" s="23" t="str">
        <f aca="false">D109&amp;"|"&amp;TEXT(U109,"yyyy-mm-dd")</f>
        <v>구약|2027-03-06</v>
      </c>
      <c r="AR109" s="24" t="s">
        <v>1366</v>
      </c>
      <c r="AS109" s="24"/>
    </row>
    <row r="110" customFormat="false" ht="26.85" hidden="false" customHeight="false" outlineLevel="0" collapsed="false">
      <c r="A110" s="21" t="n">
        <v>109</v>
      </c>
      <c r="B110" s="18" t="s">
        <v>1367</v>
      </c>
      <c r="C110" s="23" t="n">
        <v>2</v>
      </c>
      <c r="D110" s="23" t="s">
        <v>160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1334</v>
      </c>
      <c r="H110" s="18" t="s">
        <v>1368</v>
      </c>
      <c r="I110" s="21" t="s">
        <v>1031</v>
      </c>
      <c r="J110" s="22" t="s">
        <v>1369</v>
      </c>
      <c r="K110" s="23" t="s">
        <v>1370</v>
      </c>
      <c r="L110" s="24" t="s">
        <v>1371</v>
      </c>
      <c r="M110" s="30" t="s">
        <v>1372</v>
      </c>
      <c r="N110" s="23" t="s">
        <v>1373</v>
      </c>
      <c r="O110" s="24" t="s">
        <v>1374</v>
      </c>
      <c r="P110" s="24" t="s">
        <v>1235</v>
      </c>
      <c r="Q110" s="24" t="s">
        <v>1375</v>
      </c>
      <c r="R110" s="24"/>
      <c r="S110" s="24" t="s">
        <v>1376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174</v>
      </c>
      <c r="Y110" s="23" t="s">
        <v>174</v>
      </c>
      <c r="Z110" s="23" t="s">
        <v>174</v>
      </c>
      <c r="AA110" s="23" t="s">
        <v>174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  <c r="AE110" s="24" t="str">
        <f aca="false">M110&amp;" | 출애굽기 20~23장 #"&amp;SUBSTITUTE(안내!$C$5," ","")</f>
        <v>3천 년 전 율법이 나그네를 보호했다? | 출애굽기 20~23장 #1분성경</v>
      </c>
      <c r="AF110" s="24" t="s">
        <v>304</v>
      </c>
      <c r="AG110" s="24"/>
      <c r="AH110" s="23" t="s">
        <v>360</v>
      </c>
      <c r="AI110" s="26" t="n">
        <f aca="false">U110-안내!$C$12</f>
        <v>46598</v>
      </c>
      <c r="AJ110" s="23" t="str">
        <f aca="false">IF(U110&lt;IF(C110=1,안내!$C$9,안내!$C$10)+안내!$C$12,"시즌 시작 전 제작","")</f>
        <v/>
      </c>
      <c r="AK110" s="24" t="s">
        <v>1063</v>
      </c>
      <c r="AL110" s="27"/>
      <c r="AM110" s="27"/>
      <c r="AN110" s="27"/>
      <c r="AO110" s="27"/>
      <c r="AP110" s="27"/>
      <c r="AQ110" s="23" t="str">
        <f aca="false">D110&amp;"|"&amp;TEXT(U110,"yyyy-mm-dd")</f>
        <v>구약|2027-08-27</v>
      </c>
      <c r="AR110" s="24" t="s">
        <v>1377</v>
      </c>
      <c r="AS110" s="24"/>
    </row>
    <row r="111" customFormat="false" ht="26.85" hidden="false" customHeight="false" outlineLevel="0" collapsed="false">
      <c r="A111" s="21" t="n">
        <v>110</v>
      </c>
      <c r="B111" s="18" t="s">
        <v>1378</v>
      </c>
      <c r="C111" s="23" t="n">
        <v>2</v>
      </c>
      <c r="D111" s="23" t="s">
        <v>160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1334</v>
      </c>
      <c r="H111" s="18" t="s">
        <v>1368</v>
      </c>
      <c r="I111" s="21" t="s">
        <v>1031</v>
      </c>
      <c r="J111" s="22" t="s">
        <v>1379</v>
      </c>
      <c r="K111" s="23" t="s">
        <v>165</v>
      </c>
      <c r="L111" s="24" t="s">
        <v>1380</v>
      </c>
      <c r="M111" s="24" t="s">
        <v>1381</v>
      </c>
      <c r="N111" s="23" t="s">
        <v>1382</v>
      </c>
      <c r="O111" s="24" t="s">
        <v>1383</v>
      </c>
      <c r="P111" s="24" t="s">
        <v>1384</v>
      </c>
      <c r="Q111" s="24" t="s">
        <v>1385</v>
      </c>
      <c r="R111" s="25" t="s">
        <v>1386</v>
      </c>
      <c r="S111" s="24" t="s">
        <v>1376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174</v>
      </c>
      <c r="Y111" s="23" t="s">
        <v>174</v>
      </c>
      <c r="Z111" s="23" t="s">
        <v>174</v>
      </c>
      <c r="AA111" s="23" t="s">
        <v>174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  <c r="AE111" s="24" t="str">
        <f aca="false">M111&amp;" | 출애굽기 24장 #"&amp;SUBSTITUTE(안내!$C$5," ","")</f>
        <v>피를 백성에게 뿌린 이유 | 출애굽기 24장 #1분성경</v>
      </c>
      <c r="AF111" s="24" t="s">
        <v>304</v>
      </c>
      <c r="AG111" s="24"/>
      <c r="AH111" s="23" t="s">
        <v>290</v>
      </c>
      <c r="AI111" s="26" t="n">
        <f aca="false">U111-안내!$C$12</f>
        <v>46599</v>
      </c>
      <c r="AJ111" s="23" t="str">
        <f aca="false">IF(U111&lt;IF(C111=1,안내!$C$9,안내!$C$10)+안내!$C$12,"시즌 시작 전 제작","")</f>
        <v/>
      </c>
      <c r="AK111" s="24" t="s">
        <v>1063</v>
      </c>
      <c r="AL111" s="27"/>
      <c r="AM111" s="27"/>
      <c r="AN111" s="27"/>
      <c r="AO111" s="27"/>
      <c r="AP111" s="27"/>
      <c r="AQ111" s="23" t="str">
        <f aca="false">D111&amp;"|"&amp;TEXT(U111,"yyyy-mm-dd")</f>
        <v>구약|2027-08-28</v>
      </c>
      <c r="AR111" s="24" t="s">
        <v>1387</v>
      </c>
      <c r="AS111" s="24"/>
    </row>
    <row r="112" customFormat="false" ht="39.55" hidden="false" customHeight="false" outlineLevel="0" collapsed="false">
      <c r="A112" s="21" t="n">
        <v>111</v>
      </c>
      <c r="B112" s="18" t="s">
        <v>1388</v>
      </c>
      <c r="C112" s="20" t="n">
        <v>1</v>
      </c>
      <c r="D112" s="20" t="s">
        <v>160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1334</v>
      </c>
      <c r="H112" s="18" t="s">
        <v>1335</v>
      </c>
      <c r="I112" s="21" t="s">
        <v>1031</v>
      </c>
      <c r="J112" s="22" t="s">
        <v>1389</v>
      </c>
      <c r="K112" s="23" t="s">
        <v>1370</v>
      </c>
      <c r="L112" s="24" t="s">
        <v>1390</v>
      </c>
      <c r="M112" s="24" t="s">
        <v>1391</v>
      </c>
      <c r="N112" s="23" t="s">
        <v>1392</v>
      </c>
      <c r="O112" s="24" t="s">
        <v>1393</v>
      </c>
      <c r="P112" s="24" t="s">
        <v>1063</v>
      </c>
      <c r="Q112" s="24" t="s">
        <v>1394</v>
      </c>
      <c r="R112" s="25" t="s">
        <v>1395</v>
      </c>
      <c r="S112" s="29" t="s">
        <v>1396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174</v>
      </c>
      <c r="Y112" s="23" t="s">
        <v>174</v>
      </c>
      <c r="Z112" s="23" t="s">
        <v>174</v>
      </c>
      <c r="AA112" s="23" t="s">
        <v>174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  <c r="AE112" s="24" t="str">
        <f aca="false">M112&amp;" | 출애굽기 25~27장 #"&amp;SUBSTITUTE(안내!$C$5," ","")</f>
        <v>하나님이 왜 텐트를 지으라고 하셨을까? | 출애굽기 25~27장 #1분성경</v>
      </c>
      <c r="AF112" s="24" t="s">
        <v>1397</v>
      </c>
      <c r="AG112" s="24"/>
      <c r="AH112" s="23" t="s">
        <v>176</v>
      </c>
      <c r="AI112" s="26" t="n">
        <f aca="false">U112-안내!$C$12</f>
        <v>46425</v>
      </c>
      <c r="AJ112" s="23" t="str">
        <f aca="false">IF(U112&lt;IF(C112=1,안내!$C$9,안내!$C$10)+안내!$C$12,"시즌 시작 전 제작","")</f>
        <v/>
      </c>
      <c r="AK112" s="24" t="s">
        <v>1063</v>
      </c>
      <c r="AL112" s="27"/>
      <c r="AM112" s="27"/>
      <c r="AN112" s="27"/>
      <c r="AO112" s="27"/>
      <c r="AP112" s="27"/>
      <c r="AQ112" s="23" t="str">
        <f aca="false">D112&amp;"|"&amp;TEXT(U112,"yyyy-mm-dd")</f>
        <v>구약|2027-03-07</v>
      </c>
      <c r="AR112" s="24" t="s">
        <v>1398</v>
      </c>
      <c r="AS112" s="24"/>
    </row>
    <row r="113" customFormat="false" ht="26.85" hidden="false" customHeight="false" outlineLevel="0" collapsed="false">
      <c r="A113" s="21" t="n">
        <v>112</v>
      </c>
      <c r="B113" s="18" t="s">
        <v>1399</v>
      </c>
      <c r="C113" s="23" t="n">
        <v>2</v>
      </c>
      <c r="D113" s="23" t="s">
        <v>160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1334</v>
      </c>
      <c r="H113" s="18" t="s">
        <v>1368</v>
      </c>
      <c r="I113" s="21" t="s">
        <v>1031</v>
      </c>
      <c r="J113" s="22" t="s">
        <v>1400</v>
      </c>
      <c r="K113" s="23" t="s">
        <v>1370</v>
      </c>
      <c r="L113" s="24" t="s">
        <v>1401</v>
      </c>
      <c r="M113" s="24" t="s">
        <v>1402</v>
      </c>
      <c r="N113" s="23" t="s">
        <v>1403</v>
      </c>
      <c r="O113" s="24" t="s">
        <v>1404</v>
      </c>
      <c r="P113" s="24" t="s">
        <v>1405</v>
      </c>
      <c r="Q113" s="24" t="s">
        <v>1406</v>
      </c>
      <c r="R113" s="25" t="s">
        <v>1407</v>
      </c>
      <c r="S113" s="24" t="s">
        <v>1408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174</v>
      </c>
      <c r="Y113" s="23" t="s">
        <v>174</v>
      </c>
      <c r="Z113" s="23" t="s">
        <v>174</v>
      </c>
      <c r="AA113" s="23" t="s">
        <v>174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  <c r="AE113" s="24" t="str">
        <f aca="false">M113&amp;" | 출애굽기 28~29장 #"&amp;SUBSTITUTE(안내!$C$5," ","")</f>
        <v>가슴에 열두 지파 이름을 품은 사람 | 출애굽기 28~29장 #1분성경</v>
      </c>
      <c r="AF113" s="24" t="s">
        <v>304</v>
      </c>
      <c r="AG113" s="24"/>
      <c r="AH113" s="23" t="s">
        <v>290</v>
      </c>
      <c r="AI113" s="26" t="n">
        <f aca="false">U113-안내!$C$12</f>
        <v>46600</v>
      </c>
      <c r="AJ113" s="23" t="str">
        <f aca="false">IF(U113&lt;IF(C113=1,안내!$C$9,안내!$C$10)+안내!$C$12,"시즌 시작 전 제작","")</f>
        <v/>
      </c>
      <c r="AK113" s="24"/>
      <c r="AL113" s="27"/>
      <c r="AM113" s="27"/>
      <c r="AN113" s="27"/>
      <c r="AO113" s="27"/>
      <c r="AP113" s="27"/>
      <c r="AQ113" s="23" t="str">
        <f aca="false">D113&amp;"|"&amp;TEXT(U113,"yyyy-mm-dd")</f>
        <v>구약|2027-08-29</v>
      </c>
      <c r="AR113" s="24" t="s">
        <v>1409</v>
      </c>
      <c r="AS113" s="24"/>
    </row>
    <row r="114" customFormat="false" ht="26.85" hidden="false" customHeight="false" outlineLevel="0" collapsed="false">
      <c r="A114" s="21" t="n">
        <v>113</v>
      </c>
      <c r="B114" s="18" t="s">
        <v>1410</v>
      </c>
      <c r="C114" s="23" t="n">
        <v>2</v>
      </c>
      <c r="D114" s="23" t="s">
        <v>160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1334</v>
      </c>
      <c r="H114" s="18" t="s">
        <v>1368</v>
      </c>
      <c r="I114" s="21" t="s">
        <v>1031</v>
      </c>
      <c r="J114" s="22" t="s">
        <v>1411</v>
      </c>
      <c r="K114" s="23" t="s">
        <v>1370</v>
      </c>
      <c r="L114" s="24" t="s">
        <v>1412</v>
      </c>
      <c r="M114" s="24" t="s">
        <v>1413</v>
      </c>
      <c r="N114" s="23" t="s">
        <v>1414</v>
      </c>
      <c r="O114" s="24" t="s">
        <v>1415</v>
      </c>
      <c r="P114" s="24" t="s">
        <v>1416</v>
      </c>
      <c r="Q114" s="24" t="s">
        <v>1417</v>
      </c>
      <c r="R114" s="25" t="s">
        <v>1418</v>
      </c>
      <c r="S114" s="24" t="s">
        <v>1408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174</v>
      </c>
      <c r="Y114" s="23" t="s">
        <v>174</v>
      </c>
      <c r="Z114" s="23" t="s">
        <v>174</v>
      </c>
      <c r="AA114" s="23" t="s">
        <v>174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  <c r="AE114" s="24" t="str">
        <f aca="false">M114&amp;" | 출애굽기 30~31장 #"&amp;SUBSTITUTE(안내!$C$5," ","")</f>
        <v>하나님이 예술가를 부르셨다? | 출애굽기 30~31장 #1분성경</v>
      </c>
      <c r="AF114" s="24" t="s">
        <v>304</v>
      </c>
      <c r="AG114" s="24"/>
      <c r="AH114" s="23" t="s">
        <v>176</v>
      </c>
      <c r="AI114" s="26" t="n">
        <f aca="false">U114-안내!$C$12</f>
        <v>46601</v>
      </c>
      <c r="AJ114" s="23" t="str">
        <f aca="false">IF(U114&lt;IF(C114=1,안내!$C$9,안내!$C$10)+안내!$C$12,"시즌 시작 전 제작","")</f>
        <v/>
      </c>
      <c r="AK114" s="24"/>
      <c r="AL114" s="27"/>
      <c r="AM114" s="27"/>
      <c r="AN114" s="27"/>
      <c r="AO114" s="27"/>
      <c r="AP114" s="27"/>
      <c r="AQ114" s="23" t="str">
        <f aca="false">D114&amp;"|"&amp;TEXT(U114,"yyyy-mm-dd")</f>
        <v>구약|2027-08-30</v>
      </c>
      <c r="AR114" s="24" t="s">
        <v>1419</v>
      </c>
      <c r="AS114" s="24"/>
    </row>
    <row r="115" customFormat="false" ht="39.55" hidden="false" customHeight="false" outlineLevel="0" collapsed="false">
      <c r="A115" s="21" t="n">
        <v>114</v>
      </c>
      <c r="B115" s="18" t="s">
        <v>1420</v>
      </c>
      <c r="C115" s="20" t="n">
        <v>1</v>
      </c>
      <c r="D115" s="20" t="s">
        <v>160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1421</v>
      </c>
      <c r="H115" s="18" t="s">
        <v>1335</v>
      </c>
      <c r="I115" s="21" t="s">
        <v>1031</v>
      </c>
      <c r="J115" s="22" t="s">
        <v>1422</v>
      </c>
      <c r="K115" s="23" t="s">
        <v>165</v>
      </c>
      <c r="L115" s="24" t="s">
        <v>1423</v>
      </c>
      <c r="M115" s="30" t="s">
        <v>1424</v>
      </c>
      <c r="N115" s="23" t="s">
        <v>1425</v>
      </c>
      <c r="O115" s="24" t="s">
        <v>1426</v>
      </c>
      <c r="P115" s="24" t="s">
        <v>1427</v>
      </c>
      <c r="Q115" s="24" t="s">
        <v>1428</v>
      </c>
      <c r="R115" s="25" t="s">
        <v>1429</v>
      </c>
      <c r="S115" s="29" t="s">
        <v>1430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174</v>
      </c>
      <c r="Y115" s="23" t="s">
        <v>174</v>
      </c>
      <c r="Z115" s="23" t="s">
        <v>174</v>
      </c>
      <c r="AA115" s="23" t="s">
        <v>174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  <c r="AE115" s="24" t="str">
        <f aca="false">M115&amp;" | 출애굽기 32장 #"&amp;SUBSTITUTE(안내!$C$5," ","")</f>
        <v>40일을 못 기다리고 신을 만들었다 | 출애굽기 32장 #1분성경</v>
      </c>
      <c r="AF115" s="24" t="s">
        <v>1431</v>
      </c>
      <c r="AG115" s="24" t="s">
        <v>1432</v>
      </c>
      <c r="AH115" s="23" t="s">
        <v>360</v>
      </c>
      <c r="AI115" s="26" t="n">
        <f aca="false">U115-안내!$C$12</f>
        <v>46426</v>
      </c>
      <c r="AJ115" s="23" t="str">
        <f aca="false">IF(U115&lt;IF(C115=1,안내!$C$9,안내!$C$10)+안내!$C$12,"시즌 시작 전 제작","")</f>
        <v/>
      </c>
      <c r="AK115" s="24" t="s">
        <v>1063</v>
      </c>
      <c r="AL115" s="27"/>
      <c r="AM115" s="27"/>
      <c r="AN115" s="27"/>
      <c r="AO115" s="27"/>
      <c r="AP115" s="27"/>
      <c r="AQ115" s="23" t="str">
        <f aca="false">D115&amp;"|"&amp;TEXT(U115,"yyyy-mm-dd")</f>
        <v>구약|2027-03-08</v>
      </c>
      <c r="AR115" s="24" t="s">
        <v>1433</v>
      </c>
      <c r="AS115" s="24"/>
    </row>
    <row r="116" customFormat="false" ht="26.85" hidden="false" customHeight="false" outlineLevel="0" collapsed="false">
      <c r="A116" s="21" t="n">
        <v>115</v>
      </c>
      <c r="B116" s="18" t="s">
        <v>1434</v>
      </c>
      <c r="C116" s="23" t="n">
        <v>2</v>
      </c>
      <c r="D116" s="23" t="s">
        <v>160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1421</v>
      </c>
      <c r="H116" s="18" t="s">
        <v>1368</v>
      </c>
      <c r="I116" s="21" t="s">
        <v>1031</v>
      </c>
      <c r="J116" s="22" t="s">
        <v>1435</v>
      </c>
      <c r="K116" s="23" t="s">
        <v>165</v>
      </c>
      <c r="L116" s="24" t="s">
        <v>1436</v>
      </c>
      <c r="M116" s="24" t="s">
        <v>1437</v>
      </c>
      <c r="N116" s="23" t="s">
        <v>1438</v>
      </c>
      <c r="O116" s="24" t="s">
        <v>1439</v>
      </c>
      <c r="P116" s="24" t="s">
        <v>1440</v>
      </c>
      <c r="Q116" s="24" t="s">
        <v>1441</v>
      </c>
      <c r="R116" s="25" t="s">
        <v>1442</v>
      </c>
      <c r="S116" s="24" t="s">
        <v>1443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174</v>
      </c>
      <c r="Y116" s="23" t="s">
        <v>174</v>
      </c>
      <c r="Z116" s="23" t="s">
        <v>174</v>
      </c>
      <c r="AA116" s="23" t="s">
        <v>174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  <c r="AE116" s="24" t="str">
        <f aca="false">M116&amp;" | 출애굽기 32장 #"&amp;SUBSTITUTE(안내!$C$5," ","")</f>
        <v>모세가 하나님이 쓰신 돌판을 깨뜨렸다 | 출애굽기 32장 #1분성경</v>
      </c>
      <c r="AF116" s="24" t="s">
        <v>304</v>
      </c>
      <c r="AG116" s="24" t="s">
        <v>1444</v>
      </c>
      <c r="AH116" s="23" t="s">
        <v>290</v>
      </c>
      <c r="AI116" s="26" t="n">
        <f aca="false">U116-안내!$C$12</f>
        <v>46602</v>
      </c>
      <c r="AJ116" s="23" t="str">
        <f aca="false">IF(U116&lt;IF(C116=1,안내!$C$9,안내!$C$10)+안내!$C$12,"시즌 시작 전 제작","")</f>
        <v/>
      </c>
      <c r="AK116" s="24" t="s">
        <v>1321</v>
      </c>
      <c r="AL116" s="27"/>
      <c r="AM116" s="27"/>
      <c r="AN116" s="27"/>
      <c r="AO116" s="27"/>
      <c r="AP116" s="27"/>
      <c r="AQ116" s="23" t="str">
        <f aca="false">D116&amp;"|"&amp;TEXT(U116,"yyyy-mm-dd")</f>
        <v>구약|2027-08-31</v>
      </c>
      <c r="AR116" s="24" t="s">
        <v>1445</v>
      </c>
      <c r="AS116" s="24"/>
    </row>
    <row r="117" customFormat="false" ht="26.85" hidden="false" customHeight="false" outlineLevel="0" collapsed="false">
      <c r="A117" s="21" t="n">
        <v>116</v>
      </c>
      <c r="B117" s="18" t="s">
        <v>1446</v>
      </c>
      <c r="C117" s="23" t="n">
        <v>2</v>
      </c>
      <c r="D117" s="23" t="s">
        <v>160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1421</v>
      </c>
      <c r="H117" s="18" t="s">
        <v>1368</v>
      </c>
      <c r="I117" s="21" t="s">
        <v>1031</v>
      </c>
      <c r="J117" s="22" t="s">
        <v>1447</v>
      </c>
      <c r="K117" s="23" t="s">
        <v>165</v>
      </c>
      <c r="L117" s="24" t="s">
        <v>1448</v>
      </c>
      <c r="M117" s="24" t="s">
        <v>1449</v>
      </c>
      <c r="N117" s="23" t="s">
        <v>1450</v>
      </c>
      <c r="O117" s="24" t="s">
        <v>1451</v>
      </c>
      <c r="P117" s="24" t="s">
        <v>1452</v>
      </c>
      <c r="Q117" s="24" t="s">
        <v>1453</v>
      </c>
      <c r="R117" s="25" t="s">
        <v>1454</v>
      </c>
      <c r="S117" s="24" t="s">
        <v>1443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174</v>
      </c>
      <c r="Y117" s="23" t="s">
        <v>174</v>
      </c>
      <c r="Z117" s="23" t="s">
        <v>174</v>
      </c>
      <c r="AA117" s="23" t="s">
        <v>174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  <c r="AE117" s="24" t="str">
        <f aca="false">M117&amp;" | 출애굽기 33장 #"&amp;SUBSTITUTE(안내!$C$5," ","")</f>
        <v>하나님 얼굴을 보면 죽는다? | 출애굽기 33장 #1분성경</v>
      </c>
      <c r="AF117" s="24" t="s">
        <v>304</v>
      </c>
      <c r="AG117" s="24" t="s">
        <v>1455</v>
      </c>
      <c r="AH117" s="23" t="s">
        <v>176</v>
      </c>
      <c r="AI117" s="26" t="n">
        <f aca="false">U117-안내!$C$12</f>
        <v>46603</v>
      </c>
      <c r="AJ117" s="23" t="str">
        <f aca="false">IF(U117&lt;IF(C117=1,안내!$C$9,안내!$C$10)+안내!$C$12,"시즌 시작 전 제작","")</f>
        <v/>
      </c>
      <c r="AK117" s="24" t="s">
        <v>1063</v>
      </c>
      <c r="AL117" s="27"/>
      <c r="AM117" s="27"/>
      <c r="AN117" s="27"/>
      <c r="AO117" s="27"/>
      <c r="AP117" s="27"/>
      <c r="AQ117" s="23" t="str">
        <f aca="false">D117&amp;"|"&amp;TEXT(U117,"yyyy-mm-dd")</f>
        <v>구약|2027-09-01</v>
      </c>
      <c r="AR117" s="24" t="s">
        <v>1456</v>
      </c>
      <c r="AS117" s="24"/>
    </row>
    <row r="118" customFormat="false" ht="26.85" hidden="false" customHeight="false" outlineLevel="0" collapsed="false">
      <c r="A118" s="21" t="n">
        <v>117</v>
      </c>
      <c r="B118" s="18" t="s">
        <v>1457</v>
      </c>
      <c r="C118" s="23" t="n">
        <v>2</v>
      </c>
      <c r="D118" s="23" t="s">
        <v>160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1421</v>
      </c>
      <c r="H118" s="18" t="s">
        <v>1368</v>
      </c>
      <c r="I118" s="21" t="s">
        <v>1031</v>
      </c>
      <c r="J118" s="22" t="s">
        <v>1458</v>
      </c>
      <c r="K118" s="23" t="s">
        <v>165</v>
      </c>
      <c r="L118" s="24" t="s">
        <v>1459</v>
      </c>
      <c r="M118" s="24" t="s">
        <v>1460</v>
      </c>
      <c r="N118" s="23" t="s">
        <v>1461</v>
      </c>
      <c r="O118" s="24" t="s">
        <v>1462</v>
      </c>
      <c r="P118" s="24" t="s">
        <v>1235</v>
      </c>
      <c r="Q118" s="24" t="s">
        <v>1463</v>
      </c>
      <c r="R118" s="24"/>
      <c r="S118" s="24" t="s">
        <v>1443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174</v>
      </c>
      <c r="Y118" s="23" t="s">
        <v>174</v>
      </c>
      <c r="Z118" s="23" t="s">
        <v>174</v>
      </c>
      <c r="AA118" s="23" t="s">
        <v>174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  <c r="AE118" s="24" t="str">
        <f aca="false">M118&amp;" | 출애굽기 34장 #"&amp;SUBSTITUTE(안내!$C$5," ","")</f>
        <v>모세의 얼굴이 빛나서 가렸다 | 출애굽기 34장 #1분성경</v>
      </c>
      <c r="AF118" s="24" t="s">
        <v>304</v>
      </c>
      <c r="AG118" s="24"/>
      <c r="AH118" s="23" t="s">
        <v>290</v>
      </c>
      <c r="AI118" s="26" t="n">
        <f aca="false">U118-안내!$C$12</f>
        <v>46604</v>
      </c>
      <c r="AJ118" s="23" t="str">
        <f aca="false">IF(U118&lt;IF(C118=1,안내!$C$9,안내!$C$10)+안내!$C$12,"시즌 시작 전 제작","")</f>
        <v/>
      </c>
      <c r="AK118" s="24" t="s">
        <v>1063</v>
      </c>
      <c r="AL118" s="27"/>
      <c r="AM118" s="27"/>
      <c r="AN118" s="27"/>
      <c r="AO118" s="27"/>
      <c r="AP118" s="27"/>
      <c r="AQ118" s="23" t="str">
        <f aca="false">D118&amp;"|"&amp;TEXT(U118,"yyyy-mm-dd")</f>
        <v>구약|2027-09-02</v>
      </c>
      <c r="AR118" s="24" t="s">
        <v>1464</v>
      </c>
      <c r="AS118" s="24"/>
    </row>
    <row r="119" customFormat="false" ht="26.85" hidden="false" customHeight="false" outlineLevel="0" collapsed="false">
      <c r="A119" s="21" t="n">
        <v>118</v>
      </c>
      <c r="B119" s="18" t="s">
        <v>1465</v>
      </c>
      <c r="C119" s="23" t="n">
        <v>2</v>
      </c>
      <c r="D119" s="23" t="s">
        <v>160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1421</v>
      </c>
      <c r="H119" s="18" t="s">
        <v>1368</v>
      </c>
      <c r="I119" s="21" t="s">
        <v>1031</v>
      </c>
      <c r="J119" s="22" t="s">
        <v>1466</v>
      </c>
      <c r="K119" s="23" t="s">
        <v>1370</v>
      </c>
      <c r="L119" s="24" t="s">
        <v>1467</v>
      </c>
      <c r="M119" s="24" t="s">
        <v>1468</v>
      </c>
      <c r="N119" s="23" t="s">
        <v>1469</v>
      </c>
      <c r="O119" s="24" t="s">
        <v>1470</v>
      </c>
      <c r="P119" s="24" t="s">
        <v>1471</v>
      </c>
      <c r="Q119" s="24" t="s">
        <v>1417</v>
      </c>
      <c r="R119" s="25" t="s">
        <v>1472</v>
      </c>
      <c r="S119" s="24" t="s">
        <v>1443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174</v>
      </c>
      <c r="Y119" s="23" t="s">
        <v>174</v>
      </c>
      <c r="Z119" s="23" t="s">
        <v>174</v>
      </c>
      <c r="AA119" s="23" t="s">
        <v>174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  <c r="AE119" s="24" t="str">
        <f aca="false">M119&amp;" | 출애굽기 35~36장 #"&amp;SUBSTITUTE(안내!$C$5," ","")</f>
        <v>헌물이 너무 많아서 그만 내라고 했다 | 출애굽기 35~36장 #1분성경</v>
      </c>
      <c r="AF119" s="24" t="s">
        <v>304</v>
      </c>
      <c r="AG119" s="24"/>
      <c r="AH119" s="23" t="s">
        <v>290</v>
      </c>
      <c r="AI119" s="26" t="n">
        <f aca="false">U119-안내!$C$12</f>
        <v>46605</v>
      </c>
      <c r="AJ119" s="23" t="str">
        <f aca="false">IF(U119&lt;IF(C119=1,안내!$C$9,안내!$C$10)+안내!$C$12,"시즌 시작 전 제작","")</f>
        <v/>
      </c>
      <c r="AK119" s="24" t="s">
        <v>1063</v>
      </c>
      <c r="AL119" s="27"/>
      <c r="AM119" s="27"/>
      <c r="AN119" s="27"/>
      <c r="AO119" s="27"/>
      <c r="AP119" s="27"/>
      <c r="AQ119" s="23" t="str">
        <f aca="false">D119&amp;"|"&amp;TEXT(U119,"yyyy-mm-dd")</f>
        <v>구약|2027-09-03</v>
      </c>
      <c r="AR119" s="24" t="s">
        <v>1473</v>
      </c>
      <c r="AS119" s="24"/>
    </row>
    <row r="120" customFormat="false" ht="26.85" hidden="false" customHeight="false" outlineLevel="0" collapsed="false">
      <c r="A120" s="21" t="n">
        <v>119</v>
      </c>
      <c r="B120" s="18" t="s">
        <v>1474</v>
      </c>
      <c r="C120" s="23" t="n">
        <v>2</v>
      </c>
      <c r="D120" s="23" t="s">
        <v>160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1421</v>
      </c>
      <c r="H120" s="18" t="s">
        <v>1368</v>
      </c>
      <c r="I120" s="21" t="s">
        <v>1031</v>
      </c>
      <c r="J120" s="22" t="s">
        <v>1475</v>
      </c>
      <c r="K120" s="23" t="s">
        <v>1370</v>
      </c>
      <c r="L120" s="24" t="s">
        <v>1476</v>
      </c>
      <c r="M120" s="24" t="s">
        <v>1477</v>
      </c>
      <c r="N120" s="23" t="s">
        <v>1478</v>
      </c>
      <c r="O120" s="24" t="s">
        <v>1479</v>
      </c>
      <c r="P120" s="24" t="s">
        <v>1480</v>
      </c>
      <c r="Q120" s="24" t="s">
        <v>1481</v>
      </c>
      <c r="R120" s="24"/>
      <c r="S120" s="24" t="s">
        <v>1443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174</v>
      </c>
      <c r="Y120" s="23" t="s">
        <v>174</v>
      </c>
      <c r="Z120" s="23" t="s">
        <v>174</v>
      </c>
      <c r="AA120" s="23" t="s">
        <v>174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  <c r="AE120" s="24" t="str">
        <f aca="false">M120&amp;" | 출애굽기 36~39장 #"&amp;SUBSTITUTE(안내!$C$5," ","")</f>
        <v>하나님이 보여 주신 그대로 만들었다 | 출애굽기 36~39장 #1분성경</v>
      </c>
      <c r="AF120" s="24" t="s">
        <v>304</v>
      </c>
      <c r="AG120" s="24"/>
      <c r="AH120" s="23" t="s">
        <v>290</v>
      </c>
      <c r="AI120" s="26" t="n">
        <f aca="false">U120-안내!$C$12</f>
        <v>46606</v>
      </c>
      <c r="AJ120" s="23" t="str">
        <f aca="false">IF(U120&lt;IF(C120=1,안내!$C$9,안내!$C$10)+안내!$C$12,"시즌 시작 전 제작","")</f>
        <v/>
      </c>
      <c r="AK120" s="24"/>
      <c r="AL120" s="27"/>
      <c r="AM120" s="27"/>
      <c r="AN120" s="27"/>
      <c r="AO120" s="27"/>
      <c r="AP120" s="27"/>
      <c r="AQ120" s="23" t="str">
        <f aca="false">D120&amp;"|"&amp;TEXT(U120,"yyyy-mm-dd")</f>
        <v>구약|2027-09-04</v>
      </c>
      <c r="AR120" s="24" t="s">
        <v>1482</v>
      </c>
      <c r="AS120" s="24"/>
    </row>
    <row r="121" customFormat="false" ht="52.2" hidden="false" customHeight="false" outlineLevel="0" collapsed="false">
      <c r="A121" s="21" t="n">
        <v>120</v>
      </c>
      <c r="B121" s="18" t="s">
        <v>1483</v>
      </c>
      <c r="C121" s="20" t="n">
        <v>1</v>
      </c>
      <c r="D121" s="20" t="s">
        <v>160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1421</v>
      </c>
      <c r="H121" s="18" t="s">
        <v>1335</v>
      </c>
      <c r="I121" s="21" t="s">
        <v>1031</v>
      </c>
      <c r="J121" s="22" t="s">
        <v>1484</v>
      </c>
      <c r="K121" s="23" t="s">
        <v>165</v>
      </c>
      <c r="L121" s="24" t="s">
        <v>1485</v>
      </c>
      <c r="M121" s="24" t="s">
        <v>1486</v>
      </c>
      <c r="N121" s="23" t="s">
        <v>1487</v>
      </c>
      <c r="O121" s="24" t="s">
        <v>1488</v>
      </c>
      <c r="P121" s="24" t="s">
        <v>1235</v>
      </c>
      <c r="Q121" s="24" t="s">
        <v>1489</v>
      </c>
      <c r="R121" s="24"/>
      <c r="S121" s="29" t="s">
        <v>1490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174</v>
      </c>
      <c r="Y121" s="23" t="s">
        <v>174</v>
      </c>
      <c r="Z121" s="23" t="s">
        <v>174</v>
      </c>
      <c r="AA121" s="23" t="s">
        <v>174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  <c r="AE121" s="24" t="str">
        <f aca="false">M121&amp;" | 출애굽기 40장 #"&amp;SUBSTITUTE(안내!$C$5," ","")</f>
        <v>모세도 들어갈 수 없을 만큼 가득한 영광 | 출애굽기 40장 #1분성경</v>
      </c>
      <c r="AF121" s="24" t="s">
        <v>1491</v>
      </c>
      <c r="AG121" s="24"/>
      <c r="AH121" s="23" t="s">
        <v>290</v>
      </c>
      <c r="AI121" s="26" t="n">
        <f aca="false">U121-안내!$C$12</f>
        <v>46427</v>
      </c>
      <c r="AJ121" s="23" t="str">
        <f aca="false">IF(U121&lt;IF(C121=1,안내!$C$9,안내!$C$10)+안내!$C$12,"시즌 시작 전 제작","")</f>
        <v/>
      </c>
      <c r="AK121" s="24" t="s">
        <v>1063</v>
      </c>
      <c r="AL121" s="27"/>
      <c r="AM121" s="27"/>
      <c r="AN121" s="27"/>
      <c r="AO121" s="27"/>
      <c r="AP121" s="27"/>
      <c r="AQ121" s="23" t="str">
        <f aca="false">D121&amp;"|"&amp;TEXT(U121,"yyyy-mm-dd")</f>
        <v>구약|2027-03-09</v>
      </c>
      <c r="AR121" s="24" t="s">
        <v>1492</v>
      </c>
      <c r="AS121" s="24"/>
    </row>
    <row r="122" customFormat="false" ht="26.85" hidden="false" customHeight="false" outlineLevel="0" collapsed="false">
      <c r="A122" s="21" t="n">
        <v>121</v>
      </c>
      <c r="B122" s="18" t="s">
        <v>1493</v>
      </c>
      <c r="C122" s="23" t="n">
        <v>2</v>
      </c>
      <c r="D122" s="23" t="s">
        <v>160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1494</v>
      </c>
      <c r="H122" s="18" t="s">
        <v>1495</v>
      </c>
      <c r="I122" s="21" t="s">
        <v>1496</v>
      </c>
      <c r="J122" s="22" t="s">
        <v>1497</v>
      </c>
      <c r="K122" s="23" t="s">
        <v>1370</v>
      </c>
      <c r="L122" s="24" t="s">
        <v>1498</v>
      </c>
      <c r="M122" s="30" t="s">
        <v>1499</v>
      </c>
      <c r="N122" s="23" t="s">
        <v>1500</v>
      </c>
      <c r="O122" s="24" t="s">
        <v>1501</v>
      </c>
      <c r="P122" s="24" t="s">
        <v>1502</v>
      </c>
      <c r="Q122" s="24" t="s">
        <v>1503</v>
      </c>
      <c r="R122" s="25" t="s">
        <v>1504</v>
      </c>
      <c r="S122" s="24" t="s">
        <v>1505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174</v>
      </c>
      <c r="Y122" s="23" t="s">
        <v>174</v>
      </c>
      <c r="Z122" s="23" t="s">
        <v>174</v>
      </c>
      <c r="AA122" s="23" t="s">
        <v>174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  <c r="AE122" s="24" t="str">
        <f aca="false">M122&amp;" | 레위기 1~3장 #"&amp;SUBSTITUTE(안내!$C$5," ","")</f>
        <v>3천 년 전 사람들은 왜 동물을 제물로 드렸을까? | 레위기 1~3장 #1분성경</v>
      </c>
      <c r="AF122" s="24" t="s">
        <v>304</v>
      </c>
      <c r="AG122" s="24"/>
      <c r="AH122" s="23" t="s">
        <v>360</v>
      </c>
      <c r="AI122" s="26" t="n">
        <f aca="false">U122-안내!$C$12</f>
        <v>46607</v>
      </c>
      <c r="AJ122" s="23" t="str">
        <f aca="false">IF(U122&lt;IF(C122=1,안내!$C$9,안내!$C$10)+안내!$C$12,"시즌 시작 전 제작","")</f>
        <v/>
      </c>
      <c r="AK122" s="24"/>
      <c r="AL122" s="27"/>
      <c r="AM122" s="27"/>
      <c r="AN122" s="27"/>
      <c r="AO122" s="27"/>
      <c r="AP122" s="27"/>
      <c r="AQ122" s="23" t="str">
        <f aca="false">D122&amp;"|"&amp;TEXT(U122,"yyyy-mm-dd")</f>
        <v>구약|2027-09-05</v>
      </c>
      <c r="AR122" s="24" t="s">
        <v>1506</v>
      </c>
      <c r="AS122" s="24"/>
    </row>
    <row r="123" customFormat="false" ht="26.85" hidden="false" customHeight="false" outlineLevel="0" collapsed="false">
      <c r="A123" s="21" t="n">
        <v>122</v>
      </c>
      <c r="B123" s="18" t="s">
        <v>1507</v>
      </c>
      <c r="C123" s="23" t="n">
        <v>2</v>
      </c>
      <c r="D123" s="23" t="s">
        <v>160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1494</v>
      </c>
      <c r="H123" s="18" t="s">
        <v>1495</v>
      </c>
      <c r="I123" s="21" t="s">
        <v>1496</v>
      </c>
      <c r="J123" s="22" t="s">
        <v>1508</v>
      </c>
      <c r="K123" s="23" t="s">
        <v>1370</v>
      </c>
      <c r="L123" s="24" t="s">
        <v>1509</v>
      </c>
      <c r="M123" s="24" t="s">
        <v>1510</v>
      </c>
      <c r="N123" s="23" t="s">
        <v>1511</v>
      </c>
      <c r="O123" s="24" t="s">
        <v>1512</v>
      </c>
      <c r="P123" s="24" t="s">
        <v>1513</v>
      </c>
      <c r="Q123" s="24" t="s">
        <v>1514</v>
      </c>
      <c r="R123" s="24"/>
      <c r="S123" s="24" t="s">
        <v>1505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174</v>
      </c>
      <c r="Y123" s="23" t="s">
        <v>174</v>
      </c>
      <c r="Z123" s="23" t="s">
        <v>174</v>
      </c>
      <c r="AA123" s="23" t="s">
        <v>174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  <c r="AE123" s="24" t="str">
        <f aca="false">M123&amp;" | 레위기 4~7장 #"&amp;SUBSTITUTE(안내!$C$5," ","")</f>
        <v>실수로 지은 죄도 용서가 필요할까? | 레위기 4~7장 #1분성경</v>
      </c>
      <c r="AF123" s="24" t="s">
        <v>304</v>
      </c>
      <c r="AG123" s="24"/>
      <c r="AH123" s="23" t="s">
        <v>176</v>
      </c>
      <c r="AI123" s="26" t="n">
        <f aca="false">U123-안내!$C$12</f>
        <v>46608</v>
      </c>
      <c r="AJ123" s="23" t="str">
        <f aca="false">IF(U123&lt;IF(C123=1,안내!$C$9,안내!$C$10)+안내!$C$12,"시즌 시작 전 제작","")</f>
        <v/>
      </c>
      <c r="AK123" s="24"/>
      <c r="AL123" s="27"/>
      <c r="AM123" s="27"/>
      <c r="AN123" s="27"/>
      <c r="AO123" s="27"/>
      <c r="AP123" s="27"/>
      <c r="AQ123" s="23" t="str">
        <f aca="false">D123&amp;"|"&amp;TEXT(U123,"yyyy-mm-dd")</f>
        <v>구약|2027-09-06</v>
      </c>
      <c r="AR123" s="24" t="s">
        <v>1515</v>
      </c>
      <c r="AS123" s="24"/>
    </row>
    <row r="124" customFormat="false" ht="39.55" hidden="false" customHeight="false" outlineLevel="0" collapsed="false">
      <c r="A124" s="21" t="n">
        <v>123</v>
      </c>
      <c r="B124" s="18" t="s">
        <v>1516</v>
      </c>
      <c r="C124" s="23" t="n">
        <v>2</v>
      </c>
      <c r="D124" s="23" t="s">
        <v>160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1494</v>
      </c>
      <c r="H124" s="18" t="s">
        <v>1495</v>
      </c>
      <c r="I124" s="21" t="s">
        <v>1496</v>
      </c>
      <c r="J124" s="22" t="s">
        <v>1517</v>
      </c>
      <c r="K124" s="23" t="s">
        <v>1370</v>
      </c>
      <c r="L124" s="24" t="s">
        <v>1518</v>
      </c>
      <c r="M124" s="24" t="s">
        <v>1519</v>
      </c>
      <c r="N124" s="23" t="s">
        <v>1520</v>
      </c>
      <c r="O124" s="24" t="s">
        <v>1521</v>
      </c>
      <c r="P124" s="24" t="s">
        <v>1522</v>
      </c>
      <c r="Q124" s="24" t="s">
        <v>1523</v>
      </c>
      <c r="R124" s="25" t="s">
        <v>1524</v>
      </c>
      <c r="S124" s="24" t="s">
        <v>1505</v>
      </c>
      <c r="T124" s="24" t="str">
        <f aca="false">"["&amp;안내!$C$5&amp;" "&amp;F124&amp;"] "&amp;L124&amp;" | "&amp;J124</f>
        <v>[1분 성경 구약 #240] 다른 불 | 레 8:1-10:20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174</v>
      </c>
      <c r="Y124" s="23" t="s">
        <v>174</v>
      </c>
      <c r="Z124" s="23" t="s">
        <v>174</v>
      </c>
      <c r="AA124" s="23" t="s">
        <v>174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  <c r="AE124" s="24" t="str">
        <f aca="false">M124&amp;" | 레위기 8~10장 #"&amp;SUBSTITUTE(안내!$C$5," ","")</f>
        <v>제사장 첫 주에 두 아들이 죽었다 | 레위기 8~10장 #1분성경</v>
      </c>
      <c r="AF124" s="24" t="s">
        <v>304</v>
      </c>
      <c r="AG124" s="24"/>
      <c r="AH124" s="23" t="s">
        <v>290</v>
      </c>
      <c r="AI124" s="26" t="n">
        <f aca="false">U124-안내!$C$12</f>
        <v>46609</v>
      </c>
      <c r="AJ124" s="23" t="str">
        <f aca="false">IF(U124&lt;IF(C124=1,안내!$C$9,안내!$C$10)+안내!$C$12,"시즌 시작 전 제작","")</f>
        <v/>
      </c>
      <c r="AK124" s="24" t="s">
        <v>1063</v>
      </c>
      <c r="AL124" s="27"/>
      <c r="AM124" s="27"/>
      <c r="AN124" s="27"/>
      <c r="AO124" s="27"/>
      <c r="AP124" s="27"/>
      <c r="AQ124" s="23" t="str">
        <f aca="false">D124&amp;"|"&amp;TEXT(U124,"yyyy-mm-dd")</f>
        <v>구약|2027-09-07</v>
      </c>
      <c r="AR124" s="24" t="s">
        <v>1525</v>
      </c>
      <c r="AS124" s="24" t="s">
        <v>292</v>
      </c>
    </row>
    <row r="125" customFormat="false" ht="26.85" hidden="false" customHeight="false" outlineLevel="0" collapsed="false">
      <c r="A125" s="21" t="n">
        <v>124</v>
      </c>
      <c r="B125" s="18" t="s">
        <v>1526</v>
      </c>
      <c r="C125" s="23" t="n">
        <v>2</v>
      </c>
      <c r="D125" s="23" t="s">
        <v>160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1494</v>
      </c>
      <c r="H125" s="18" t="s">
        <v>1495</v>
      </c>
      <c r="I125" s="21" t="s">
        <v>1496</v>
      </c>
      <c r="J125" s="22" t="s">
        <v>1527</v>
      </c>
      <c r="K125" s="23" t="s">
        <v>1370</v>
      </c>
      <c r="L125" s="24" t="s">
        <v>1528</v>
      </c>
      <c r="M125" s="24" t="s">
        <v>1529</v>
      </c>
      <c r="N125" s="23" t="s">
        <v>1530</v>
      </c>
      <c r="O125" s="24" t="s">
        <v>1531</v>
      </c>
      <c r="P125" s="24" t="s">
        <v>1513</v>
      </c>
      <c r="Q125" s="24" t="s">
        <v>1441</v>
      </c>
      <c r="R125" s="25" t="s">
        <v>1532</v>
      </c>
      <c r="S125" s="24" t="s">
        <v>1505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174</v>
      </c>
      <c r="Y125" s="23" t="s">
        <v>174</v>
      </c>
      <c r="Z125" s="23" t="s">
        <v>174</v>
      </c>
      <c r="AA125" s="23" t="s">
        <v>174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  <c r="AE125" s="24" t="str">
        <f aca="false">M125&amp;" | 레위기 11~15장 #"&amp;SUBSTITUTE(안내!$C$5," ","")</f>
        <v>돼지고기는 왜 먹지 말라고 했을까? | 레위기 11~15장 #1분성경</v>
      </c>
      <c r="AF125" s="24" t="s">
        <v>304</v>
      </c>
      <c r="AG125" s="24"/>
      <c r="AH125" s="23" t="s">
        <v>176</v>
      </c>
      <c r="AI125" s="26" t="n">
        <f aca="false">U125-안내!$C$12</f>
        <v>46610</v>
      </c>
      <c r="AJ125" s="23" t="str">
        <f aca="false">IF(U125&lt;IF(C125=1,안내!$C$9,안내!$C$10)+안내!$C$12,"시즌 시작 전 제작","")</f>
        <v/>
      </c>
      <c r="AK125" s="24"/>
      <c r="AL125" s="27"/>
      <c r="AM125" s="27"/>
      <c r="AN125" s="27"/>
      <c r="AO125" s="27"/>
      <c r="AP125" s="27"/>
      <c r="AQ125" s="23" t="str">
        <f aca="false">D125&amp;"|"&amp;TEXT(U125,"yyyy-mm-dd")</f>
        <v>구약|2027-09-08</v>
      </c>
      <c r="AR125" s="24" t="s">
        <v>1533</v>
      </c>
      <c r="AS125" s="24"/>
    </row>
    <row r="126" customFormat="false" ht="52.2" hidden="false" customHeight="false" outlineLevel="0" collapsed="false">
      <c r="A126" s="21" t="n">
        <v>125</v>
      </c>
      <c r="B126" s="18" t="s">
        <v>1534</v>
      </c>
      <c r="C126" s="20" t="n">
        <v>1</v>
      </c>
      <c r="D126" s="20" t="s">
        <v>160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1494</v>
      </c>
      <c r="H126" s="18" t="s">
        <v>1335</v>
      </c>
      <c r="I126" s="21" t="s">
        <v>1496</v>
      </c>
      <c r="J126" s="22" t="s">
        <v>1535</v>
      </c>
      <c r="K126" s="23" t="s">
        <v>1370</v>
      </c>
      <c r="L126" s="30" t="s">
        <v>1536</v>
      </c>
      <c r="M126" s="24" t="s">
        <v>1537</v>
      </c>
      <c r="N126" s="23" t="s">
        <v>1538</v>
      </c>
      <c r="O126" s="24" t="s">
        <v>1539</v>
      </c>
      <c r="P126" s="24" t="s">
        <v>1540</v>
      </c>
      <c r="Q126" s="24" t="s">
        <v>1541</v>
      </c>
      <c r="R126" s="25" t="s">
        <v>1542</v>
      </c>
      <c r="S126" s="29" t="s">
        <v>1543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174</v>
      </c>
      <c r="Y126" s="23" t="s">
        <v>174</v>
      </c>
      <c r="Z126" s="23" t="s">
        <v>174</v>
      </c>
      <c r="AA126" s="23" t="s">
        <v>174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  <c r="AE126" s="24" t="str">
        <f aca="false">M126&amp;" | 레위기 16장 #"&amp;SUBSTITUTE(안내!$C$5," ","")</f>
        <v>대제사장이 1년에 한 번만 들어간 방 | 레위기 16장 #1분성경</v>
      </c>
      <c r="AF126" s="24" t="s">
        <v>1544</v>
      </c>
      <c r="AG126" s="24"/>
      <c r="AH126" s="23" t="s">
        <v>360</v>
      </c>
      <c r="AI126" s="26" t="n">
        <f aca="false">U126-안내!$C$12</f>
        <v>46428</v>
      </c>
      <c r="AJ126" s="23" t="str">
        <f aca="false">IF(U126&lt;IF(C126=1,안내!$C$9,안내!$C$10)+안내!$C$12,"시즌 시작 전 제작","")</f>
        <v/>
      </c>
      <c r="AK126" s="24"/>
      <c r="AL126" s="27"/>
      <c r="AM126" s="27"/>
      <c r="AN126" s="27"/>
      <c r="AO126" s="27"/>
      <c r="AP126" s="27"/>
      <c r="AQ126" s="23" t="str">
        <f aca="false">D126&amp;"|"&amp;TEXT(U126,"yyyy-mm-dd")</f>
        <v>구약|2027-03-10</v>
      </c>
      <c r="AR126" s="24" t="s">
        <v>1545</v>
      </c>
      <c r="AS126" s="24"/>
    </row>
    <row r="127" customFormat="false" ht="39.55" hidden="false" customHeight="false" outlineLevel="0" collapsed="false">
      <c r="A127" s="21" t="n">
        <v>126</v>
      </c>
      <c r="B127" s="18" t="s">
        <v>1546</v>
      </c>
      <c r="C127" s="23" t="n">
        <v>2</v>
      </c>
      <c r="D127" s="23" t="s">
        <v>160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1494</v>
      </c>
      <c r="H127" s="18" t="s">
        <v>1495</v>
      </c>
      <c r="I127" s="21" t="s">
        <v>1496</v>
      </c>
      <c r="J127" s="22" t="s">
        <v>1547</v>
      </c>
      <c r="K127" s="23" t="s">
        <v>1370</v>
      </c>
      <c r="L127" s="24" t="s">
        <v>1548</v>
      </c>
      <c r="M127" s="24" t="s">
        <v>1549</v>
      </c>
      <c r="N127" s="23" t="s">
        <v>1550</v>
      </c>
      <c r="O127" s="24" t="s">
        <v>1551</v>
      </c>
      <c r="P127" s="24" t="s">
        <v>1235</v>
      </c>
      <c r="Q127" s="24" t="s">
        <v>1441</v>
      </c>
      <c r="R127" s="28" t="s">
        <v>1552</v>
      </c>
      <c r="S127" s="24" t="s">
        <v>1553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174</v>
      </c>
      <c r="Y127" s="23" t="s">
        <v>174</v>
      </c>
      <c r="Z127" s="23" t="s">
        <v>174</v>
      </c>
      <c r="AA127" s="23" t="s">
        <v>174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  <c r="AE127" s="24" t="str">
        <f aca="false">M127&amp;" | 레위기 17~18장 #"&amp;SUBSTITUTE(안내!$C$5," ","")</f>
        <v>피를 먹지 말라고 한 이유 | 레위기 17~18장 #1분성경</v>
      </c>
      <c r="AF127" s="24" t="s">
        <v>304</v>
      </c>
      <c r="AG127" s="24"/>
      <c r="AH127" s="23" t="s">
        <v>290</v>
      </c>
      <c r="AI127" s="26" t="n">
        <f aca="false">U127-안내!$C$12</f>
        <v>46611</v>
      </c>
      <c r="AJ127" s="23" t="str">
        <f aca="false">IF(U127&lt;IF(C127=1,안내!$C$9,안내!$C$10)+안내!$C$12,"시즌 시작 전 제작","")</f>
        <v/>
      </c>
      <c r="AK127" s="24" t="s">
        <v>1063</v>
      </c>
      <c r="AL127" s="27"/>
      <c r="AM127" s="27"/>
      <c r="AN127" s="27"/>
      <c r="AO127" s="27"/>
      <c r="AP127" s="27"/>
      <c r="AQ127" s="23" t="str">
        <f aca="false">D127&amp;"|"&amp;TEXT(U127,"yyyy-mm-dd")</f>
        <v>구약|2027-09-09</v>
      </c>
      <c r="AR127" s="24" t="s">
        <v>1554</v>
      </c>
      <c r="AS127" s="24"/>
    </row>
    <row r="128" customFormat="false" ht="26.85" hidden="false" customHeight="false" outlineLevel="0" collapsed="false">
      <c r="A128" s="21" t="n">
        <v>127</v>
      </c>
      <c r="B128" s="18" t="s">
        <v>1555</v>
      </c>
      <c r="C128" s="23" t="n">
        <v>2</v>
      </c>
      <c r="D128" s="23" t="s">
        <v>160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1494</v>
      </c>
      <c r="H128" s="18" t="s">
        <v>1495</v>
      </c>
      <c r="I128" s="21" t="s">
        <v>1496</v>
      </c>
      <c r="J128" s="22" t="s">
        <v>1556</v>
      </c>
      <c r="K128" s="23" t="s">
        <v>1370</v>
      </c>
      <c r="L128" s="24" t="s">
        <v>1557</v>
      </c>
      <c r="M128" s="24" t="s">
        <v>1558</v>
      </c>
      <c r="N128" s="23" t="s">
        <v>1559</v>
      </c>
      <c r="O128" s="24" t="s">
        <v>1560</v>
      </c>
      <c r="P128" s="24" t="s">
        <v>1235</v>
      </c>
      <c r="Q128" s="24" t="s">
        <v>1561</v>
      </c>
      <c r="R128" s="24"/>
      <c r="S128" s="24" t="s">
        <v>1553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174</v>
      </c>
      <c r="Y128" s="23" t="s">
        <v>174</v>
      </c>
      <c r="Z128" s="23" t="s">
        <v>174</v>
      </c>
      <c r="AA128" s="23" t="s">
        <v>174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  <c r="AE128" s="24" t="str">
        <f aca="false">M128&amp;" | 레위기 19장 #"&amp;SUBSTITUTE(안내!$C$5," ","")</f>
        <v>예수님이 인용하신 레위기 한 구절 | 레위기 19장 #1분성경</v>
      </c>
      <c r="AF128" s="24" t="s">
        <v>304</v>
      </c>
      <c r="AG128" s="24"/>
      <c r="AH128" s="23" t="s">
        <v>290</v>
      </c>
      <c r="AI128" s="26" t="n">
        <f aca="false">U128-안내!$C$12</f>
        <v>46612</v>
      </c>
      <c r="AJ128" s="23" t="str">
        <f aca="false">IF(U128&lt;IF(C128=1,안내!$C$9,안내!$C$10)+안내!$C$12,"시즌 시작 전 제작","")</f>
        <v/>
      </c>
      <c r="AK128" s="24" t="s">
        <v>1063</v>
      </c>
      <c r="AL128" s="27"/>
      <c r="AM128" s="27"/>
      <c r="AN128" s="27"/>
      <c r="AO128" s="27"/>
      <c r="AP128" s="27"/>
      <c r="AQ128" s="23" t="str">
        <f aca="false">D128&amp;"|"&amp;TEXT(U128,"yyyy-mm-dd")</f>
        <v>구약|2027-09-10</v>
      </c>
      <c r="AR128" s="24" t="s">
        <v>1562</v>
      </c>
      <c r="AS128" s="24"/>
    </row>
    <row r="129" customFormat="false" ht="26.85" hidden="false" customHeight="false" outlineLevel="0" collapsed="false">
      <c r="A129" s="21" t="n">
        <v>128</v>
      </c>
      <c r="B129" s="18" t="s">
        <v>1563</v>
      </c>
      <c r="C129" s="23" t="n">
        <v>2</v>
      </c>
      <c r="D129" s="23" t="s">
        <v>160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1494</v>
      </c>
      <c r="H129" s="18" t="s">
        <v>1495</v>
      </c>
      <c r="I129" s="21" t="s">
        <v>1496</v>
      </c>
      <c r="J129" s="22" t="s">
        <v>1564</v>
      </c>
      <c r="K129" s="23" t="s">
        <v>1370</v>
      </c>
      <c r="L129" s="24" t="s">
        <v>1565</v>
      </c>
      <c r="M129" s="24" t="s">
        <v>1566</v>
      </c>
      <c r="N129" s="23" t="s">
        <v>1567</v>
      </c>
      <c r="O129" s="24" t="s">
        <v>1568</v>
      </c>
      <c r="P129" s="24" t="s">
        <v>1513</v>
      </c>
      <c r="Q129" s="24" t="s">
        <v>1569</v>
      </c>
      <c r="R129" s="25" t="s">
        <v>1570</v>
      </c>
      <c r="S129" s="24" t="s">
        <v>1553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174</v>
      </c>
      <c r="Y129" s="23" t="s">
        <v>174</v>
      </c>
      <c r="Z129" s="23" t="s">
        <v>174</v>
      </c>
      <c r="AA129" s="23" t="s">
        <v>174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  <c r="AE129" s="24" t="str">
        <f aca="false">M129&amp;" | 레위기 20~22장 #"&amp;SUBSTITUTE(안내!$C$5," ","")</f>
        <v>너희는 거룩하라, 나도 거룩함이라 | 레위기 20~22장 #1분성경</v>
      </c>
      <c r="AF129" s="24" t="s">
        <v>304</v>
      </c>
      <c r="AG129" s="24"/>
      <c r="AH129" s="23" t="s">
        <v>290</v>
      </c>
      <c r="AI129" s="26" t="n">
        <f aca="false">U129-안내!$C$12</f>
        <v>46613</v>
      </c>
      <c r="AJ129" s="23" t="str">
        <f aca="false">IF(U129&lt;IF(C129=1,안내!$C$9,안내!$C$10)+안내!$C$12,"시즌 시작 전 제작","")</f>
        <v/>
      </c>
      <c r="AK129" s="24"/>
      <c r="AL129" s="27"/>
      <c r="AM129" s="27"/>
      <c r="AN129" s="27"/>
      <c r="AO129" s="27"/>
      <c r="AP129" s="27"/>
      <c r="AQ129" s="23" t="str">
        <f aca="false">D129&amp;"|"&amp;TEXT(U129,"yyyy-mm-dd")</f>
        <v>구약|2027-09-11</v>
      </c>
      <c r="AR129" s="24" t="s">
        <v>1571</v>
      </c>
      <c r="AS129" s="24"/>
    </row>
    <row r="130" customFormat="false" ht="26.85" hidden="false" customHeight="false" outlineLevel="0" collapsed="false">
      <c r="A130" s="21" t="n">
        <v>129</v>
      </c>
      <c r="B130" s="18" t="s">
        <v>1572</v>
      </c>
      <c r="C130" s="23" t="n">
        <v>2</v>
      </c>
      <c r="D130" s="23" t="s">
        <v>160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1494</v>
      </c>
      <c r="H130" s="18" t="s">
        <v>1495</v>
      </c>
      <c r="I130" s="21" t="s">
        <v>1496</v>
      </c>
      <c r="J130" s="22" t="s">
        <v>1573</v>
      </c>
      <c r="K130" s="23" t="s">
        <v>1370</v>
      </c>
      <c r="L130" s="24" t="s">
        <v>1574</v>
      </c>
      <c r="M130" s="24" t="s">
        <v>1575</v>
      </c>
      <c r="N130" s="23" t="s">
        <v>1576</v>
      </c>
      <c r="O130" s="24" t="s">
        <v>1577</v>
      </c>
      <c r="P130" s="24" t="s">
        <v>1578</v>
      </c>
      <c r="Q130" s="24" t="s">
        <v>1579</v>
      </c>
      <c r="R130" s="25" t="s">
        <v>1580</v>
      </c>
      <c r="S130" s="24" t="s">
        <v>1553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174</v>
      </c>
      <c r="Y130" s="23" t="s">
        <v>174</v>
      </c>
      <c r="Z130" s="23" t="s">
        <v>174</v>
      </c>
      <c r="AA130" s="23" t="s">
        <v>174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  <c r="AE130" s="24" t="str">
        <f aca="false">M130&amp;" | 레위기 23장 #"&amp;SUBSTITUTE(안내!$C$5," ","")</f>
        <v>일곱 축제 안에 숨은 예수님 이야기 | 레위기 23장 #1분성경</v>
      </c>
      <c r="AF130" s="24" t="s">
        <v>304</v>
      </c>
      <c r="AG130" s="24"/>
      <c r="AH130" s="23" t="s">
        <v>290</v>
      </c>
      <c r="AI130" s="26" t="n">
        <f aca="false">U130-안내!$C$12</f>
        <v>46614</v>
      </c>
      <c r="AJ130" s="23" t="str">
        <f aca="false">IF(U130&lt;IF(C130=1,안내!$C$9,안내!$C$10)+안내!$C$12,"시즌 시작 전 제작","")</f>
        <v/>
      </c>
      <c r="AK130" s="24"/>
      <c r="AL130" s="27"/>
      <c r="AM130" s="27"/>
      <c r="AN130" s="27"/>
      <c r="AO130" s="27"/>
      <c r="AP130" s="27"/>
      <c r="AQ130" s="23" t="str">
        <f aca="false">D130&amp;"|"&amp;TEXT(U130,"yyyy-mm-dd")</f>
        <v>구약|2027-09-12</v>
      </c>
      <c r="AR130" s="24" t="s">
        <v>1581</v>
      </c>
      <c r="AS130" s="24"/>
    </row>
    <row r="131" customFormat="false" ht="26.85" hidden="false" customHeight="false" outlineLevel="0" collapsed="false">
      <c r="A131" s="21" t="n">
        <v>130</v>
      </c>
      <c r="B131" s="18" t="s">
        <v>1582</v>
      </c>
      <c r="C131" s="23" t="n">
        <v>2</v>
      </c>
      <c r="D131" s="23" t="s">
        <v>160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1494</v>
      </c>
      <c r="H131" s="18" t="s">
        <v>1495</v>
      </c>
      <c r="I131" s="21" t="s">
        <v>1496</v>
      </c>
      <c r="J131" s="22" t="s">
        <v>1583</v>
      </c>
      <c r="K131" s="23" t="s">
        <v>1370</v>
      </c>
      <c r="L131" s="24" t="s">
        <v>1584</v>
      </c>
      <c r="M131" s="24" t="s">
        <v>1585</v>
      </c>
      <c r="N131" s="23" t="s">
        <v>1586</v>
      </c>
      <c r="O131" s="24" t="s">
        <v>1587</v>
      </c>
      <c r="P131" s="24" t="s">
        <v>1513</v>
      </c>
      <c r="Q131" s="24" t="s">
        <v>1588</v>
      </c>
      <c r="R131" s="25" t="s">
        <v>885</v>
      </c>
      <c r="S131" s="24" t="s">
        <v>1553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174</v>
      </c>
      <c r="Y131" s="23" t="s">
        <v>174</v>
      </c>
      <c r="Z131" s="23" t="s">
        <v>174</v>
      </c>
      <c r="AA131" s="23" t="s">
        <v>174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  <c r="AE131" s="24" t="str">
        <f aca="false">M131&amp;" | 레위기 24장 #"&amp;SUBSTITUTE(안내!$C$5," ","")</f>
        <v>꺼지지 않는 등불, 매주 바뀌는 떡 | 레위기 24장 #1분성경</v>
      </c>
      <c r="AF131" s="24" t="s">
        <v>304</v>
      </c>
      <c r="AG131" s="24"/>
      <c r="AH131" s="23" t="s">
        <v>290</v>
      </c>
      <c r="AI131" s="26" t="n">
        <f aca="false">U131-안내!$C$12</f>
        <v>46615</v>
      </c>
      <c r="AJ131" s="23" t="str">
        <f aca="false">IF(U131&lt;IF(C131=1,안내!$C$9,안내!$C$10)+안내!$C$12,"시즌 시작 전 제작","")</f>
        <v/>
      </c>
      <c r="AK131" s="24"/>
      <c r="AL131" s="27"/>
      <c r="AM131" s="27"/>
      <c r="AN131" s="27"/>
      <c r="AO131" s="27"/>
      <c r="AP131" s="27"/>
      <c r="AQ131" s="23" t="str">
        <f aca="false">D131&amp;"|"&amp;TEXT(U131,"yyyy-mm-dd")</f>
        <v>구약|2027-09-13</v>
      </c>
      <c r="AR131" s="24" t="s">
        <v>1589</v>
      </c>
      <c r="AS131" s="24" t="s">
        <v>292</v>
      </c>
    </row>
    <row r="132" customFormat="false" ht="39.55" hidden="false" customHeight="false" outlineLevel="0" collapsed="false">
      <c r="A132" s="21" t="n">
        <v>131</v>
      </c>
      <c r="B132" s="18" t="s">
        <v>1590</v>
      </c>
      <c r="C132" s="23" t="n">
        <v>2</v>
      </c>
      <c r="D132" s="23" t="s">
        <v>160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1494</v>
      </c>
      <c r="H132" s="18" t="s">
        <v>1495</v>
      </c>
      <c r="I132" s="21" t="s">
        <v>1496</v>
      </c>
      <c r="J132" s="22" t="s">
        <v>1591</v>
      </c>
      <c r="K132" s="23" t="s">
        <v>1370</v>
      </c>
      <c r="L132" s="30" t="s">
        <v>1592</v>
      </c>
      <c r="M132" s="24" t="s">
        <v>1593</v>
      </c>
      <c r="N132" s="23" t="s">
        <v>1594</v>
      </c>
      <c r="O132" s="24" t="s">
        <v>1595</v>
      </c>
      <c r="P132" s="24" t="s">
        <v>1578</v>
      </c>
      <c r="Q132" s="24" t="s">
        <v>1596</v>
      </c>
      <c r="R132" s="25" t="s">
        <v>1597</v>
      </c>
      <c r="S132" s="24" t="s">
        <v>1553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174</v>
      </c>
      <c r="Y132" s="23" t="s">
        <v>174</v>
      </c>
      <c r="Z132" s="23" t="s">
        <v>174</v>
      </c>
      <c r="AA132" s="23" t="s">
        <v>174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  <c r="AE132" s="24" t="str">
        <f aca="false">M132&amp;" | 레위기 25장 #"&amp;SUBSTITUTE(안내!$C$5," ","")</f>
        <v>빚도, 땅도, 종도 자유가 되는 해 | 레위기 25장 #1분성경</v>
      </c>
      <c r="AF132" s="24" t="s">
        <v>304</v>
      </c>
      <c r="AG132" s="24"/>
      <c r="AH132" s="23" t="s">
        <v>290</v>
      </c>
      <c r="AI132" s="26" t="n">
        <f aca="false">U132-안내!$C$12</f>
        <v>46616</v>
      </c>
      <c r="AJ132" s="23" t="str">
        <f aca="false">IF(U132&lt;IF(C132=1,안내!$C$9,안내!$C$10)+안내!$C$12,"시즌 시작 전 제작","")</f>
        <v/>
      </c>
      <c r="AK132" s="24"/>
      <c r="AL132" s="27"/>
      <c r="AM132" s="27"/>
      <c r="AN132" s="27"/>
      <c r="AO132" s="27"/>
      <c r="AP132" s="27"/>
      <c r="AQ132" s="23" t="str">
        <f aca="false">D132&amp;"|"&amp;TEXT(U132,"yyyy-mm-dd")</f>
        <v>구약|2027-09-14</v>
      </c>
      <c r="AR132" s="24" t="s">
        <v>1598</v>
      </c>
      <c r="AS132" s="24"/>
    </row>
    <row r="133" customFormat="false" ht="26.85" hidden="false" customHeight="false" outlineLevel="0" collapsed="false">
      <c r="A133" s="21" t="n">
        <v>132</v>
      </c>
      <c r="B133" s="18" t="s">
        <v>1599</v>
      </c>
      <c r="C133" s="23" t="n">
        <v>2</v>
      </c>
      <c r="D133" s="23" t="s">
        <v>160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1494</v>
      </c>
      <c r="H133" s="18" t="s">
        <v>1495</v>
      </c>
      <c r="I133" s="21" t="s">
        <v>1496</v>
      </c>
      <c r="J133" s="22" t="s">
        <v>1600</v>
      </c>
      <c r="K133" s="23" t="s">
        <v>1370</v>
      </c>
      <c r="L133" s="24" t="s">
        <v>1601</v>
      </c>
      <c r="M133" s="24" t="s">
        <v>1602</v>
      </c>
      <c r="N133" s="23" t="s">
        <v>1603</v>
      </c>
      <c r="O133" s="24" t="s">
        <v>1604</v>
      </c>
      <c r="P133" s="24" t="s">
        <v>1235</v>
      </c>
      <c r="Q133" s="24" t="s">
        <v>1441</v>
      </c>
      <c r="R133" s="25" t="s">
        <v>1605</v>
      </c>
      <c r="S133" s="24" t="s">
        <v>1553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174</v>
      </c>
      <c r="Y133" s="23" t="s">
        <v>174</v>
      </c>
      <c r="Z133" s="23" t="s">
        <v>174</v>
      </c>
      <c r="AA133" s="23" t="s">
        <v>174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  <c r="AE133" s="24" t="str">
        <f aca="false">M133&amp;" | 레위기 26~27장 #"&amp;SUBSTITUTE(안내!$C$5," ","")</f>
        <v>나는 너희 하나님이 되고 너희는 내 백성이 되리라 | 레위기 26~27장 #1분성경</v>
      </c>
      <c r="AF133" s="24" t="s">
        <v>304</v>
      </c>
      <c r="AG133" s="24"/>
      <c r="AH133" s="23" t="s">
        <v>290</v>
      </c>
      <c r="AI133" s="26" t="n">
        <f aca="false">U133-안내!$C$12</f>
        <v>46617</v>
      </c>
      <c r="AJ133" s="23" t="str">
        <f aca="false">IF(U133&lt;IF(C133=1,안내!$C$9,안내!$C$10)+안내!$C$12,"시즌 시작 전 제작","")</f>
        <v/>
      </c>
      <c r="AK133" s="24" t="s">
        <v>1063</v>
      </c>
      <c r="AL133" s="27"/>
      <c r="AM133" s="27"/>
      <c r="AN133" s="27"/>
      <c r="AO133" s="27"/>
      <c r="AP133" s="27"/>
      <c r="AQ133" s="23" t="str">
        <f aca="false">D133&amp;"|"&amp;TEXT(U133,"yyyy-mm-dd")</f>
        <v>구약|2027-09-15</v>
      </c>
      <c r="AR133" s="24" t="s">
        <v>1606</v>
      </c>
      <c r="AS133" s="24"/>
    </row>
    <row r="134" customFormat="false" ht="26.85" hidden="false" customHeight="false" outlineLevel="0" collapsed="false">
      <c r="A134" s="21" t="n">
        <v>133</v>
      </c>
      <c r="B134" s="18" t="s">
        <v>1607</v>
      </c>
      <c r="C134" s="23" t="n">
        <v>2</v>
      </c>
      <c r="D134" s="23" t="s">
        <v>160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1608</v>
      </c>
      <c r="H134" s="18" t="s">
        <v>1609</v>
      </c>
      <c r="I134" s="21" t="s">
        <v>1610</v>
      </c>
      <c r="J134" s="22" t="s">
        <v>1611</v>
      </c>
      <c r="K134" s="23" t="s">
        <v>1370</v>
      </c>
      <c r="L134" s="24" t="s">
        <v>1612</v>
      </c>
      <c r="M134" s="30" t="s">
        <v>1613</v>
      </c>
      <c r="N134" s="23" t="s">
        <v>1614</v>
      </c>
      <c r="O134" s="24" t="s">
        <v>1615</v>
      </c>
      <c r="P134" s="24" t="s">
        <v>1616</v>
      </c>
      <c r="Q134" s="24" t="s">
        <v>1617</v>
      </c>
      <c r="R134" s="24"/>
      <c r="S134" s="24" t="s">
        <v>1553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174</v>
      </c>
      <c r="Y134" s="23" t="s">
        <v>174</v>
      </c>
      <c r="Z134" s="23" t="s">
        <v>174</v>
      </c>
      <c r="AA134" s="23" t="s">
        <v>174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  <c r="AE134" s="24" t="str">
        <f aca="false">M134&amp;" | 민수기 1~4장 #"&amp;SUBSTITUTE(안내!$C$5," ","")</f>
        <v>60만 명이 하나님 중심으로 진을 쳤다 | 민수기 1~4장 #1분성경</v>
      </c>
      <c r="AF134" s="24" t="s">
        <v>304</v>
      </c>
      <c r="AG134" s="24"/>
      <c r="AH134" s="23" t="s">
        <v>360</v>
      </c>
      <c r="AI134" s="26" t="n">
        <f aca="false">U134-안내!$C$12</f>
        <v>46618</v>
      </c>
      <c r="AJ134" s="23" t="str">
        <f aca="false">IF(U134&lt;IF(C134=1,안내!$C$9,안내!$C$10)+안내!$C$12,"시즌 시작 전 제작","")</f>
        <v/>
      </c>
      <c r="AK134" s="24" t="s">
        <v>1063</v>
      </c>
      <c r="AL134" s="27"/>
      <c r="AM134" s="27"/>
      <c r="AN134" s="27"/>
      <c r="AO134" s="27"/>
      <c r="AP134" s="27"/>
      <c r="AQ134" s="23" t="str">
        <f aca="false">D134&amp;"|"&amp;TEXT(U134,"yyyy-mm-dd")</f>
        <v>구약|2027-09-16</v>
      </c>
      <c r="AR134" s="24" t="s">
        <v>1618</v>
      </c>
      <c r="AS134" s="24"/>
    </row>
    <row r="135" customFormat="false" ht="26.85" hidden="false" customHeight="false" outlineLevel="0" collapsed="false">
      <c r="A135" s="21" t="n">
        <v>134</v>
      </c>
      <c r="B135" s="18" t="s">
        <v>1619</v>
      </c>
      <c r="C135" s="23" t="n">
        <v>2</v>
      </c>
      <c r="D135" s="23" t="s">
        <v>160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1608</v>
      </c>
      <c r="H135" s="18" t="s">
        <v>1609</v>
      </c>
      <c r="I135" s="21" t="s">
        <v>1610</v>
      </c>
      <c r="J135" s="22" t="s">
        <v>1620</v>
      </c>
      <c r="K135" s="23" t="s">
        <v>1370</v>
      </c>
      <c r="L135" s="30" t="s">
        <v>1621</v>
      </c>
      <c r="M135" s="24" t="s">
        <v>1622</v>
      </c>
      <c r="N135" s="23" t="s">
        <v>1623</v>
      </c>
      <c r="O135" s="24" t="s">
        <v>1624</v>
      </c>
      <c r="P135" s="24" t="s">
        <v>1625</v>
      </c>
      <c r="Q135" s="24" t="s">
        <v>1626</v>
      </c>
      <c r="R135" s="24"/>
      <c r="S135" s="24" t="s">
        <v>1553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174</v>
      </c>
      <c r="Y135" s="23" t="s">
        <v>174</v>
      </c>
      <c r="Z135" s="23" t="s">
        <v>174</v>
      </c>
      <c r="AA135" s="23" t="s">
        <v>174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  <c r="AE135" s="24" t="str">
        <f aca="false">M135&amp;" | 민수기 5~6장 #"&amp;SUBSTITUTE(안내!$C$5," ","")</f>
        <v>지금도 예배 끝에 하는 그 축복 | 민수기 5~6장 #1분성경</v>
      </c>
      <c r="AF135" s="24" t="s">
        <v>304</v>
      </c>
      <c r="AG135" s="24"/>
      <c r="AH135" s="23" t="s">
        <v>290</v>
      </c>
      <c r="AI135" s="26" t="n">
        <f aca="false">U135-안내!$C$12</f>
        <v>46619</v>
      </c>
      <c r="AJ135" s="23" t="str">
        <f aca="false">IF(U135&lt;IF(C135=1,안내!$C$9,안내!$C$10)+안내!$C$12,"시즌 시작 전 제작","")</f>
        <v/>
      </c>
      <c r="AK135" s="24"/>
      <c r="AL135" s="27"/>
      <c r="AM135" s="27"/>
      <c r="AN135" s="27"/>
      <c r="AO135" s="27"/>
      <c r="AP135" s="27"/>
      <c r="AQ135" s="23" t="str">
        <f aca="false">D135&amp;"|"&amp;TEXT(U135,"yyyy-mm-dd")</f>
        <v>구약|2027-09-17</v>
      </c>
      <c r="AR135" s="24" t="s">
        <v>1627</v>
      </c>
      <c r="AS135" s="24"/>
    </row>
    <row r="136" customFormat="false" ht="26.85" hidden="false" customHeight="false" outlineLevel="0" collapsed="false">
      <c r="A136" s="21" t="n">
        <v>135</v>
      </c>
      <c r="B136" s="18" t="s">
        <v>1628</v>
      </c>
      <c r="C136" s="23" t="n">
        <v>2</v>
      </c>
      <c r="D136" s="23" t="s">
        <v>160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1608</v>
      </c>
      <c r="H136" s="18" t="s">
        <v>1609</v>
      </c>
      <c r="I136" s="21" t="s">
        <v>1610</v>
      </c>
      <c r="J136" s="22" t="s">
        <v>1629</v>
      </c>
      <c r="K136" s="23" t="s">
        <v>165</v>
      </c>
      <c r="L136" s="24" t="s">
        <v>1630</v>
      </c>
      <c r="M136" s="24" t="s">
        <v>1631</v>
      </c>
      <c r="N136" s="23" t="s">
        <v>1632</v>
      </c>
      <c r="O136" s="24" t="s">
        <v>1633</v>
      </c>
      <c r="P136" s="24" t="s">
        <v>1235</v>
      </c>
      <c r="Q136" s="24" t="s">
        <v>1634</v>
      </c>
      <c r="R136" s="24"/>
      <c r="S136" s="24" t="s">
        <v>1553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174</v>
      </c>
      <c r="Y136" s="23" t="s">
        <v>174</v>
      </c>
      <c r="Z136" s="23" t="s">
        <v>174</v>
      </c>
      <c r="AA136" s="23" t="s">
        <v>174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  <c r="AE136" s="24" t="str">
        <f aca="false">M136&amp;" | 민수기 7~9장 #"&amp;SUBSTITUTE(안내!$C$5," ","")</f>
        <v>구름이 떠오르면 출발, 머물면 멈춤 | 민수기 7~9장 #1분성경</v>
      </c>
      <c r="AF136" s="24" t="s">
        <v>304</v>
      </c>
      <c r="AG136" s="24" t="s">
        <v>1635</v>
      </c>
      <c r="AH136" s="23" t="s">
        <v>290</v>
      </c>
      <c r="AI136" s="26" t="n">
        <f aca="false">U136-안내!$C$12</f>
        <v>46620</v>
      </c>
      <c r="AJ136" s="23" t="str">
        <f aca="false">IF(U136&lt;IF(C136=1,안내!$C$9,안내!$C$10)+안내!$C$12,"시즌 시작 전 제작","")</f>
        <v/>
      </c>
      <c r="AK136" s="24" t="s">
        <v>1063</v>
      </c>
      <c r="AL136" s="27"/>
      <c r="AM136" s="27"/>
      <c r="AN136" s="27"/>
      <c r="AO136" s="27"/>
      <c r="AP136" s="27"/>
      <c r="AQ136" s="23" t="str">
        <f aca="false">D136&amp;"|"&amp;TEXT(U136,"yyyy-mm-dd")</f>
        <v>구약|2027-09-18</v>
      </c>
      <c r="AR136" s="24" t="s">
        <v>1636</v>
      </c>
      <c r="AS136" s="24"/>
    </row>
    <row r="137" customFormat="false" ht="26.85" hidden="false" customHeight="false" outlineLevel="0" collapsed="false">
      <c r="A137" s="21" t="n">
        <v>136</v>
      </c>
      <c r="B137" s="18" t="s">
        <v>1637</v>
      </c>
      <c r="C137" s="23" t="n">
        <v>2</v>
      </c>
      <c r="D137" s="23" t="s">
        <v>160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1608</v>
      </c>
      <c r="H137" s="18" t="s">
        <v>1609</v>
      </c>
      <c r="I137" s="21" t="s">
        <v>1610</v>
      </c>
      <c r="J137" s="22" t="s">
        <v>1638</v>
      </c>
      <c r="K137" s="23" t="s">
        <v>165</v>
      </c>
      <c r="L137" s="24" t="s">
        <v>1639</v>
      </c>
      <c r="M137" s="24" t="s">
        <v>1640</v>
      </c>
      <c r="N137" s="23" t="s">
        <v>1641</v>
      </c>
      <c r="O137" s="24" t="s">
        <v>1642</v>
      </c>
      <c r="P137" s="24" t="s">
        <v>1643</v>
      </c>
      <c r="Q137" s="24" t="s">
        <v>1644</v>
      </c>
      <c r="R137" s="24"/>
      <c r="S137" s="24" t="s">
        <v>1553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174</v>
      </c>
      <c r="Y137" s="23" t="s">
        <v>174</v>
      </c>
      <c r="Z137" s="23" t="s">
        <v>174</v>
      </c>
      <c r="AA137" s="23" t="s">
        <v>174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  <c r="AE137" s="24" t="str">
        <f aca="false">M137&amp;" | 민수기 10장 #"&amp;SUBSTITUTE(안내!$C$5," ","")</f>
        <v>시내산을 떠나 약속의 땅으로 | 민수기 10장 #1분성경</v>
      </c>
      <c r="AF137" s="24" t="s">
        <v>304</v>
      </c>
      <c r="AG137" s="24" t="s">
        <v>1645</v>
      </c>
      <c r="AH137" s="23" t="s">
        <v>290</v>
      </c>
      <c r="AI137" s="26" t="n">
        <f aca="false">U137-안내!$C$12</f>
        <v>46621</v>
      </c>
      <c r="AJ137" s="23" t="str">
        <f aca="false">IF(U137&lt;IF(C137=1,안내!$C$9,안내!$C$10)+안내!$C$12,"시즌 시작 전 제작","")</f>
        <v/>
      </c>
      <c r="AK137" s="24" t="s">
        <v>1063</v>
      </c>
      <c r="AL137" s="27"/>
      <c r="AM137" s="27"/>
      <c r="AN137" s="27"/>
      <c r="AO137" s="27"/>
      <c r="AP137" s="27"/>
      <c r="AQ137" s="23" t="str">
        <f aca="false">D137&amp;"|"&amp;TEXT(U137,"yyyy-mm-dd")</f>
        <v>구약|2027-09-19</v>
      </c>
      <c r="AR137" s="24" t="s">
        <v>1646</v>
      </c>
      <c r="AS137" s="24"/>
    </row>
    <row r="138" customFormat="false" ht="26.85" hidden="false" customHeight="false" outlineLevel="0" collapsed="false">
      <c r="A138" s="21" t="n">
        <v>137</v>
      </c>
      <c r="B138" s="18" t="s">
        <v>1647</v>
      </c>
      <c r="C138" s="23" t="n">
        <v>2</v>
      </c>
      <c r="D138" s="23" t="s">
        <v>160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1608</v>
      </c>
      <c r="H138" s="18" t="s">
        <v>1609</v>
      </c>
      <c r="I138" s="21" t="s">
        <v>1610</v>
      </c>
      <c r="J138" s="22" t="s">
        <v>1648</v>
      </c>
      <c r="K138" s="23" t="s">
        <v>165</v>
      </c>
      <c r="L138" s="24" t="s">
        <v>1649</v>
      </c>
      <c r="M138" s="24" t="s">
        <v>1650</v>
      </c>
      <c r="N138" s="23" t="s">
        <v>1651</v>
      </c>
      <c r="O138" s="24" t="s">
        <v>1652</v>
      </c>
      <c r="P138" s="24" t="s">
        <v>1653</v>
      </c>
      <c r="Q138" s="24" t="s">
        <v>1654</v>
      </c>
      <c r="R138" s="24"/>
      <c r="S138" s="24" t="s">
        <v>1553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174</v>
      </c>
      <c r="Y138" s="23" t="s">
        <v>174</v>
      </c>
      <c r="Z138" s="23" t="s">
        <v>174</v>
      </c>
      <c r="AA138" s="23" t="s">
        <v>174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  <c r="AE138" s="24" t="str">
        <f aca="false">M138&amp;" | 민수기 11장 #"&amp;SUBSTITUTE(안내!$C$5," ","")</f>
        <v>고기가 먹고 싶다고 울었다 | 민수기 11장 #1분성경</v>
      </c>
      <c r="AF138" s="24" t="s">
        <v>304</v>
      </c>
      <c r="AG138" s="24" t="s">
        <v>1655</v>
      </c>
      <c r="AH138" s="23" t="s">
        <v>290</v>
      </c>
      <c r="AI138" s="26" t="n">
        <f aca="false">U138-안내!$C$12</f>
        <v>46622</v>
      </c>
      <c r="AJ138" s="23" t="str">
        <f aca="false">IF(U138&lt;IF(C138=1,안내!$C$9,안내!$C$10)+안내!$C$12,"시즌 시작 전 제작","")</f>
        <v/>
      </c>
      <c r="AK138" s="24" t="s">
        <v>1063</v>
      </c>
      <c r="AL138" s="27"/>
      <c r="AM138" s="27"/>
      <c r="AN138" s="27"/>
      <c r="AO138" s="27"/>
      <c r="AP138" s="27"/>
      <c r="AQ138" s="23" t="str">
        <f aca="false">D138&amp;"|"&amp;TEXT(U138,"yyyy-mm-dd")</f>
        <v>구약|2027-09-20</v>
      </c>
      <c r="AR138" s="24" t="s">
        <v>1656</v>
      </c>
      <c r="AS138" s="24"/>
    </row>
    <row r="139" customFormat="false" ht="26.85" hidden="false" customHeight="false" outlineLevel="0" collapsed="false">
      <c r="A139" s="21" t="n">
        <v>138</v>
      </c>
      <c r="B139" s="18" t="s">
        <v>1657</v>
      </c>
      <c r="C139" s="23" t="n">
        <v>2</v>
      </c>
      <c r="D139" s="23" t="s">
        <v>160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1608</v>
      </c>
      <c r="H139" s="18" t="s">
        <v>1609</v>
      </c>
      <c r="I139" s="21" t="s">
        <v>1610</v>
      </c>
      <c r="J139" s="22" t="s">
        <v>1658</v>
      </c>
      <c r="K139" s="23" t="s">
        <v>165</v>
      </c>
      <c r="L139" s="24" t="s">
        <v>1659</v>
      </c>
      <c r="M139" s="24" t="s">
        <v>1660</v>
      </c>
      <c r="N139" s="23" t="s">
        <v>1661</v>
      </c>
      <c r="O139" s="24" t="s">
        <v>1662</v>
      </c>
      <c r="P139" s="24" t="s">
        <v>1663</v>
      </c>
      <c r="Q139" s="24" t="s">
        <v>1664</v>
      </c>
      <c r="R139" s="25" t="s">
        <v>1665</v>
      </c>
      <c r="S139" s="24" t="s">
        <v>1553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174</v>
      </c>
      <c r="Y139" s="23" t="s">
        <v>174</v>
      </c>
      <c r="Z139" s="23" t="s">
        <v>174</v>
      </c>
      <c r="AA139" s="23" t="s">
        <v>174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  <c r="AE139" s="24" t="str">
        <f aca="false">M139&amp;" | 민수기 12장 #"&amp;SUBSTITUTE(안내!$C$5," ","")</f>
        <v>모세는 온유함이 세상에서 가장 뛰어났다 | 민수기 12장 #1분성경</v>
      </c>
      <c r="AF139" s="24" t="s">
        <v>304</v>
      </c>
      <c r="AG139" s="24"/>
      <c r="AH139" s="23" t="s">
        <v>290</v>
      </c>
      <c r="AI139" s="26" t="n">
        <f aca="false">U139-안내!$C$12</f>
        <v>46623</v>
      </c>
      <c r="AJ139" s="23" t="str">
        <f aca="false">IF(U139&lt;IF(C139=1,안내!$C$9,안내!$C$10)+안내!$C$12,"시즌 시작 전 제작","")</f>
        <v/>
      </c>
      <c r="AK139" s="24" t="s">
        <v>1063</v>
      </c>
      <c r="AL139" s="27"/>
      <c r="AM139" s="27"/>
      <c r="AN139" s="27"/>
      <c r="AO139" s="27"/>
      <c r="AP139" s="27"/>
      <c r="AQ139" s="23" t="str">
        <f aca="false">D139&amp;"|"&amp;TEXT(U139,"yyyy-mm-dd")</f>
        <v>구약|2027-09-21</v>
      </c>
      <c r="AR139" s="24" t="s">
        <v>1666</v>
      </c>
      <c r="AS139" s="24"/>
    </row>
    <row r="140" customFormat="false" ht="52.2" hidden="false" customHeight="false" outlineLevel="0" collapsed="false">
      <c r="A140" s="21" t="n">
        <v>139</v>
      </c>
      <c r="B140" s="18" t="s">
        <v>1667</v>
      </c>
      <c r="C140" s="20" t="n">
        <v>1</v>
      </c>
      <c r="D140" s="20" t="s">
        <v>160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1608</v>
      </c>
      <c r="H140" s="18" t="s">
        <v>1335</v>
      </c>
      <c r="I140" s="21" t="s">
        <v>1610</v>
      </c>
      <c r="J140" s="22" t="s">
        <v>1668</v>
      </c>
      <c r="K140" s="23" t="s">
        <v>165</v>
      </c>
      <c r="L140" s="24" t="s">
        <v>1669</v>
      </c>
      <c r="M140" s="24" t="s">
        <v>1670</v>
      </c>
      <c r="N140" s="23" t="s">
        <v>1671</v>
      </c>
      <c r="O140" s="24" t="s">
        <v>1672</v>
      </c>
      <c r="P140" s="24" t="s">
        <v>1673</v>
      </c>
      <c r="Q140" s="24" t="s">
        <v>1674</v>
      </c>
      <c r="R140" s="24"/>
      <c r="S140" s="29" t="s">
        <v>1675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174</v>
      </c>
      <c r="Y140" s="23" t="s">
        <v>174</v>
      </c>
      <c r="Z140" s="23" t="s">
        <v>174</v>
      </c>
      <c r="AA140" s="23" t="s">
        <v>174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  <c r="AE140" s="24" t="str">
        <f aca="false">M140&amp;" | 민수기 13장 #"&amp;SUBSTITUTE(안내!$C$5," ","")</f>
        <v>우리는 메뚜기 같았다 | 민수기 13장 #1분성경</v>
      </c>
      <c r="AF140" s="24" t="s">
        <v>1676</v>
      </c>
      <c r="AG140" s="24" t="s">
        <v>1677</v>
      </c>
      <c r="AH140" s="23" t="s">
        <v>290</v>
      </c>
      <c r="AI140" s="26" t="n">
        <f aca="false">U140-안내!$C$12</f>
        <v>46429</v>
      </c>
      <c r="AJ140" s="23" t="str">
        <f aca="false">IF(U140&lt;IF(C140=1,안내!$C$9,안내!$C$10)+안내!$C$12,"시즌 시작 전 제작","")</f>
        <v/>
      </c>
      <c r="AK140" s="24" t="s">
        <v>1678</v>
      </c>
      <c r="AL140" s="27"/>
      <c r="AM140" s="27"/>
      <c r="AN140" s="27"/>
      <c r="AO140" s="27"/>
      <c r="AP140" s="27"/>
      <c r="AQ140" s="23" t="str">
        <f aca="false">D140&amp;"|"&amp;TEXT(U140,"yyyy-mm-dd")</f>
        <v>구약|2027-03-11</v>
      </c>
      <c r="AR140" s="24" t="s">
        <v>1679</v>
      </c>
      <c r="AS140" s="24"/>
    </row>
    <row r="141" customFormat="false" ht="26.85" hidden="false" customHeight="false" outlineLevel="0" collapsed="false">
      <c r="A141" s="21" t="n">
        <v>140</v>
      </c>
      <c r="B141" s="18" t="s">
        <v>1680</v>
      </c>
      <c r="C141" s="20" t="n">
        <v>1</v>
      </c>
      <c r="D141" s="20" t="s">
        <v>160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1608</v>
      </c>
      <c r="H141" s="18" t="s">
        <v>1335</v>
      </c>
      <c r="I141" s="21" t="s">
        <v>1610</v>
      </c>
      <c r="J141" s="22" t="s">
        <v>1681</v>
      </c>
      <c r="K141" s="23" t="s">
        <v>165</v>
      </c>
      <c r="L141" s="30" t="s">
        <v>1682</v>
      </c>
      <c r="M141" s="24" t="s">
        <v>1683</v>
      </c>
      <c r="N141" s="23" t="s">
        <v>1684</v>
      </c>
      <c r="O141" s="24" t="s">
        <v>1685</v>
      </c>
      <c r="P141" s="24" t="s">
        <v>1686</v>
      </c>
      <c r="Q141" s="24" t="s">
        <v>1687</v>
      </c>
      <c r="R141" s="24"/>
      <c r="S141" s="24" t="s">
        <v>173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174</v>
      </c>
      <c r="Y141" s="23" t="s">
        <v>174</v>
      </c>
      <c r="Z141" s="23" t="s">
        <v>174</v>
      </c>
      <c r="AA141" s="23" t="s">
        <v>174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  <c r="AE141" s="24" t="str">
        <f aca="false">M141&amp;" | 민수기 14장 #"&amp;SUBSTITUTE(안내!$C$5," ","")</f>
        <v>하루가 1년이 되었다 | 민수기 14장 #1분성경</v>
      </c>
      <c r="AF141" s="24" t="s">
        <v>1688</v>
      </c>
      <c r="AG141" s="24"/>
      <c r="AH141" s="23" t="s">
        <v>360</v>
      </c>
      <c r="AI141" s="26" t="n">
        <f aca="false">U141-안내!$C$12</f>
        <v>46430</v>
      </c>
      <c r="AJ141" s="23" t="str">
        <f aca="false">IF(U141&lt;IF(C141=1,안내!$C$9,안내!$C$10)+안내!$C$12,"시즌 시작 전 제작","")</f>
        <v/>
      </c>
      <c r="AK141" s="24" t="s">
        <v>1321</v>
      </c>
      <c r="AL141" s="27"/>
      <c r="AM141" s="27"/>
      <c r="AN141" s="27"/>
      <c r="AO141" s="27"/>
      <c r="AP141" s="27"/>
      <c r="AQ141" s="23" t="str">
        <f aca="false">D141&amp;"|"&amp;TEXT(U141,"yyyy-mm-dd")</f>
        <v>구약|2027-03-12</v>
      </c>
      <c r="AR141" s="24" t="s">
        <v>1689</v>
      </c>
      <c r="AS141" s="24"/>
    </row>
    <row r="142" customFormat="false" ht="26.85" hidden="false" customHeight="false" outlineLevel="0" collapsed="false">
      <c r="A142" s="21" t="n">
        <v>141</v>
      </c>
      <c r="B142" s="18" t="s">
        <v>1690</v>
      </c>
      <c r="C142" s="23" t="n">
        <v>2</v>
      </c>
      <c r="D142" s="23" t="s">
        <v>160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1691</v>
      </c>
      <c r="H142" s="18" t="s">
        <v>1609</v>
      </c>
      <c r="I142" s="21" t="s">
        <v>1610</v>
      </c>
      <c r="J142" s="22" t="s">
        <v>1692</v>
      </c>
      <c r="K142" s="23" t="s">
        <v>1370</v>
      </c>
      <c r="L142" s="24" t="s">
        <v>1693</v>
      </c>
      <c r="M142" s="24" t="s">
        <v>1694</v>
      </c>
      <c r="N142" s="23" t="s">
        <v>1695</v>
      </c>
      <c r="O142" s="24" t="s">
        <v>1696</v>
      </c>
      <c r="P142" s="24" t="s">
        <v>1578</v>
      </c>
      <c r="Q142" s="24" t="s">
        <v>1441</v>
      </c>
      <c r="R142" s="24"/>
      <c r="S142" s="24" t="s">
        <v>1697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174</v>
      </c>
      <c r="Y142" s="23" t="s">
        <v>174</v>
      </c>
      <c r="Z142" s="23" t="s">
        <v>174</v>
      </c>
      <c r="AA142" s="23" t="s">
        <v>174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  <c r="AE142" s="24" t="str">
        <f aca="false">M142&amp;" | 민수기 15장 #"&amp;SUBSTITUTE(안내!$C$5," ","")</f>
        <v>옷술을 보며 무엇을 기억했을까? | 민수기 15장 #1분성경</v>
      </c>
      <c r="AF142" s="24" t="s">
        <v>304</v>
      </c>
      <c r="AG142" s="24"/>
      <c r="AH142" s="23" t="s">
        <v>176</v>
      </c>
      <c r="AI142" s="26" t="n">
        <f aca="false">U142-안내!$C$12</f>
        <v>46624</v>
      </c>
      <c r="AJ142" s="23" t="str">
        <f aca="false">IF(U142&lt;IF(C142=1,안내!$C$9,안내!$C$10)+안내!$C$12,"시즌 시작 전 제작","")</f>
        <v/>
      </c>
      <c r="AK142" s="24"/>
      <c r="AL142" s="27"/>
      <c r="AM142" s="27"/>
      <c r="AN142" s="27"/>
      <c r="AO142" s="27"/>
      <c r="AP142" s="27"/>
      <c r="AQ142" s="23" t="str">
        <f aca="false">D142&amp;"|"&amp;TEXT(U142,"yyyy-mm-dd")</f>
        <v>구약|2027-09-22</v>
      </c>
      <c r="AR142" s="24" t="s">
        <v>1698</v>
      </c>
      <c r="AS142" s="24"/>
    </row>
    <row r="143" customFormat="false" ht="26.85" hidden="false" customHeight="false" outlineLevel="0" collapsed="false">
      <c r="A143" s="21" t="n">
        <v>142</v>
      </c>
      <c r="B143" s="18" t="s">
        <v>1699</v>
      </c>
      <c r="C143" s="23" t="n">
        <v>2</v>
      </c>
      <c r="D143" s="23" t="s">
        <v>160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1691</v>
      </c>
      <c r="H143" s="18" t="s">
        <v>1609</v>
      </c>
      <c r="I143" s="21" t="s">
        <v>1610</v>
      </c>
      <c r="J143" s="22" t="s">
        <v>1700</v>
      </c>
      <c r="K143" s="23" t="s">
        <v>165</v>
      </c>
      <c r="L143" s="24" t="s">
        <v>1701</v>
      </c>
      <c r="M143" s="24" t="s">
        <v>1702</v>
      </c>
      <c r="N143" s="23" t="s">
        <v>1703</v>
      </c>
      <c r="O143" s="24" t="s">
        <v>1704</v>
      </c>
      <c r="P143" s="24" t="s">
        <v>1705</v>
      </c>
      <c r="Q143" s="24" t="s">
        <v>1706</v>
      </c>
      <c r="R143" s="25" t="s">
        <v>1707</v>
      </c>
      <c r="S143" s="24" t="s">
        <v>1697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174</v>
      </c>
      <c r="Y143" s="23" t="s">
        <v>174</v>
      </c>
      <c r="Z143" s="23" t="s">
        <v>174</v>
      </c>
      <c r="AA143" s="23" t="s">
        <v>174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  <c r="AE143" s="24" t="str">
        <f aca="false">M143&amp;" | 민수기 16장 #"&amp;SUBSTITUTE(안내!$C$5," ","")</f>
        <v>땅이 입을 벌렸다 | 민수기 16장 #1분성경</v>
      </c>
      <c r="AF143" s="24" t="s">
        <v>304</v>
      </c>
      <c r="AG143" s="24" t="s">
        <v>1708</v>
      </c>
      <c r="AH143" s="23" t="s">
        <v>290</v>
      </c>
      <c r="AI143" s="26" t="n">
        <f aca="false">U143-안내!$C$12</f>
        <v>46625</v>
      </c>
      <c r="AJ143" s="23" t="str">
        <f aca="false">IF(U143&lt;IF(C143=1,안내!$C$9,안내!$C$10)+안내!$C$12,"시즌 시작 전 제작","")</f>
        <v/>
      </c>
      <c r="AK143" s="24" t="s">
        <v>1063</v>
      </c>
      <c r="AL143" s="27"/>
      <c r="AM143" s="27"/>
      <c r="AN143" s="27"/>
      <c r="AO143" s="27"/>
      <c r="AP143" s="27"/>
      <c r="AQ143" s="23" t="str">
        <f aca="false">D143&amp;"|"&amp;TEXT(U143,"yyyy-mm-dd")</f>
        <v>구약|2027-09-23</v>
      </c>
      <c r="AR143" s="24" t="s">
        <v>1709</v>
      </c>
      <c r="AS143" s="24"/>
    </row>
    <row r="144" customFormat="false" ht="26.85" hidden="false" customHeight="false" outlineLevel="0" collapsed="false">
      <c r="A144" s="21" t="n">
        <v>143</v>
      </c>
      <c r="B144" s="18" t="s">
        <v>1710</v>
      </c>
      <c r="C144" s="23" t="n">
        <v>2</v>
      </c>
      <c r="D144" s="23" t="s">
        <v>160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1691</v>
      </c>
      <c r="H144" s="18" t="s">
        <v>1609</v>
      </c>
      <c r="I144" s="21" t="s">
        <v>1610</v>
      </c>
      <c r="J144" s="22" t="s">
        <v>1711</v>
      </c>
      <c r="K144" s="23" t="s">
        <v>165</v>
      </c>
      <c r="L144" s="24" t="s">
        <v>1712</v>
      </c>
      <c r="M144" s="24" t="s">
        <v>1713</v>
      </c>
      <c r="N144" s="23" t="s">
        <v>1714</v>
      </c>
      <c r="O144" s="24" t="s">
        <v>1715</v>
      </c>
      <c r="P144" s="24" t="s">
        <v>1716</v>
      </c>
      <c r="Q144" s="24" t="s">
        <v>1717</v>
      </c>
      <c r="R144" s="24"/>
      <c r="S144" s="24" t="s">
        <v>1697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174</v>
      </c>
      <c r="Y144" s="23" t="s">
        <v>174</v>
      </c>
      <c r="Z144" s="23" t="s">
        <v>174</v>
      </c>
      <c r="AA144" s="23" t="s">
        <v>174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  <c r="AE144" s="24" t="str">
        <f aca="false">M144&amp;" | 민수기 17장 #"&amp;SUBSTITUTE(안내!$C$5," ","")</f>
        <v>마른 지팡이에서 하룻밤에 꽃이 피었다 | 민수기 17장 #1분성경</v>
      </c>
      <c r="AF144" s="24" t="s">
        <v>304</v>
      </c>
      <c r="AG144" s="24"/>
      <c r="AH144" s="23" t="s">
        <v>290</v>
      </c>
      <c r="AI144" s="26" t="n">
        <f aca="false">U144-안내!$C$12</f>
        <v>46626</v>
      </c>
      <c r="AJ144" s="23" t="str">
        <f aca="false">IF(U144&lt;IF(C144=1,안내!$C$9,안내!$C$10)+안내!$C$12,"시즌 시작 전 제작","")</f>
        <v/>
      </c>
      <c r="AK144" s="24" t="s">
        <v>1063</v>
      </c>
      <c r="AL144" s="27"/>
      <c r="AM144" s="27"/>
      <c r="AN144" s="27"/>
      <c r="AO144" s="27"/>
      <c r="AP144" s="27"/>
      <c r="AQ144" s="23" t="str">
        <f aca="false">D144&amp;"|"&amp;TEXT(U144,"yyyy-mm-dd")</f>
        <v>구약|2027-09-24</v>
      </c>
      <c r="AR144" s="24" t="s">
        <v>1718</v>
      </c>
      <c r="AS144" s="24"/>
    </row>
    <row r="145" customFormat="false" ht="39.55" hidden="false" customHeight="false" outlineLevel="0" collapsed="false">
      <c r="A145" s="21" t="n">
        <v>144</v>
      </c>
      <c r="B145" s="18" t="s">
        <v>1719</v>
      </c>
      <c r="C145" s="23" t="n">
        <v>2</v>
      </c>
      <c r="D145" s="23" t="s">
        <v>160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1691</v>
      </c>
      <c r="H145" s="18" t="s">
        <v>1720</v>
      </c>
      <c r="I145" s="21" t="s">
        <v>1610</v>
      </c>
      <c r="J145" s="22" t="s">
        <v>1721</v>
      </c>
      <c r="K145" s="23" t="s">
        <v>1370</v>
      </c>
      <c r="L145" s="24" t="s">
        <v>1722</v>
      </c>
      <c r="M145" s="24" t="s">
        <v>1723</v>
      </c>
      <c r="N145" s="23" t="s">
        <v>1724</v>
      </c>
      <c r="O145" s="24" t="s">
        <v>1725</v>
      </c>
      <c r="P145" s="24" t="s">
        <v>1405</v>
      </c>
      <c r="Q145" s="24" t="s">
        <v>1726</v>
      </c>
      <c r="R145" s="25" t="s">
        <v>1727</v>
      </c>
      <c r="S145" s="24" t="s">
        <v>1697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174</v>
      </c>
      <c r="Y145" s="23" t="s">
        <v>174</v>
      </c>
      <c r="Z145" s="23" t="s">
        <v>174</v>
      </c>
      <c r="AA145" s="23" t="s">
        <v>174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  <c r="AE145" s="24" t="str">
        <f aca="false">M145&amp;" | 민수기 18~19장 #"&amp;SUBSTITUTE(안내!$C$5," ","")</f>
        <v>불에 태운 재로 정결하게 했다? | 민수기 18~19장 #1분성경</v>
      </c>
      <c r="AF145" s="24" t="s">
        <v>304</v>
      </c>
      <c r="AG145" s="24"/>
      <c r="AH145" s="23" t="s">
        <v>176</v>
      </c>
      <c r="AI145" s="26" t="n">
        <f aca="false">U145-안내!$C$12</f>
        <v>46627</v>
      </c>
      <c r="AJ145" s="23" t="str">
        <f aca="false">IF(U145&lt;IF(C145=1,안내!$C$9,안내!$C$10)+안내!$C$12,"시즌 시작 전 제작","")</f>
        <v/>
      </c>
      <c r="AK145" s="24"/>
      <c r="AL145" s="27"/>
      <c r="AM145" s="27"/>
      <c r="AN145" s="27"/>
      <c r="AO145" s="27"/>
      <c r="AP145" s="27"/>
      <c r="AQ145" s="23" t="str">
        <f aca="false">D145&amp;"|"&amp;TEXT(U145,"yyyy-mm-dd")</f>
        <v>구약|2027-09-25</v>
      </c>
      <c r="AR145" s="24" t="s">
        <v>1728</v>
      </c>
      <c r="AS145" s="24"/>
    </row>
    <row r="146" customFormat="false" ht="39.55" hidden="false" customHeight="false" outlineLevel="0" collapsed="false">
      <c r="A146" s="21" t="n">
        <v>145</v>
      </c>
      <c r="B146" s="18" t="s">
        <v>1729</v>
      </c>
      <c r="C146" s="23" t="n">
        <v>2</v>
      </c>
      <c r="D146" s="23" t="s">
        <v>160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1691</v>
      </c>
      <c r="H146" s="18" t="s">
        <v>1720</v>
      </c>
      <c r="I146" s="21" t="s">
        <v>1610</v>
      </c>
      <c r="J146" s="22" t="s">
        <v>1730</v>
      </c>
      <c r="K146" s="23" t="s">
        <v>165</v>
      </c>
      <c r="L146" s="24" t="s">
        <v>1731</v>
      </c>
      <c r="M146" s="24" t="s">
        <v>1732</v>
      </c>
      <c r="N146" s="23" t="s">
        <v>1733</v>
      </c>
      <c r="O146" s="24" t="s">
        <v>1734</v>
      </c>
      <c r="P146" s="24" t="s">
        <v>1292</v>
      </c>
      <c r="Q146" s="24" t="s">
        <v>1735</v>
      </c>
      <c r="R146" s="24"/>
      <c r="S146" s="24" t="s">
        <v>1697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174</v>
      </c>
      <c r="Y146" s="23" t="s">
        <v>174</v>
      </c>
      <c r="Z146" s="23" t="s">
        <v>174</v>
      </c>
      <c r="AA146" s="23" t="s">
        <v>174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  <c r="AE146" s="24" t="str">
        <f aca="false">M146&amp;" | 민수기 20장 #"&amp;SUBSTITUTE(안내!$C$5," ","")</f>
        <v>모세가 약속의 땅에 못 들어간 이유 | 민수기 20장 #1분성경</v>
      </c>
      <c r="AF146" s="24" t="s">
        <v>304</v>
      </c>
      <c r="AG146" s="24" t="s">
        <v>1736</v>
      </c>
      <c r="AH146" s="23" t="s">
        <v>290</v>
      </c>
      <c r="AI146" s="26" t="n">
        <f aca="false">U146-안내!$C$12</f>
        <v>46628</v>
      </c>
      <c r="AJ146" s="23" t="str">
        <f aca="false">IF(U146&lt;IF(C146=1,안내!$C$9,안내!$C$10)+안내!$C$12,"시즌 시작 전 제작","")</f>
        <v/>
      </c>
      <c r="AK146" s="24" t="s">
        <v>1063</v>
      </c>
      <c r="AL146" s="27"/>
      <c r="AM146" s="27"/>
      <c r="AN146" s="27"/>
      <c r="AO146" s="27"/>
      <c r="AP146" s="27"/>
      <c r="AQ146" s="23" t="str">
        <f aca="false">D146&amp;"|"&amp;TEXT(U146,"yyyy-mm-dd")</f>
        <v>구약|2027-09-26</v>
      </c>
      <c r="AR146" s="24" t="s">
        <v>1737</v>
      </c>
      <c r="AS146" s="24"/>
    </row>
    <row r="147" customFormat="false" ht="39.55" hidden="false" customHeight="false" outlineLevel="0" collapsed="false">
      <c r="A147" s="21" t="n">
        <v>146</v>
      </c>
      <c r="B147" s="18" t="s">
        <v>1738</v>
      </c>
      <c r="C147" s="20" t="n">
        <v>1</v>
      </c>
      <c r="D147" s="20" t="s">
        <v>160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1691</v>
      </c>
      <c r="H147" s="18" t="s">
        <v>1739</v>
      </c>
      <c r="I147" s="21" t="s">
        <v>1610</v>
      </c>
      <c r="J147" s="22" t="s">
        <v>1740</v>
      </c>
      <c r="K147" s="23" t="s">
        <v>165</v>
      </c>
      <c r="L147" s="24" t="s">
        <v>1741</v>
      </c>
      <c r="M147" s="24" t="s">
        <v>1742</v>
      </c>
      <c r="N147" s="23" t="s">
        <v>1743</v>
      </c>
      <c r="O147" s="24" t="s">
        <v>1744</v>
      </c>
      <c r="P147" s="24" t="s">
        <v>1292</v>
      </c>
      <c r="Q147" s="24" t="s">
        <v>1745</v>
      </c>
      <c r="R147" s="25" t="s">
        <v>1746</v>
      </c>
      <c r="S147" s="29" t="s">
        <v>1747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174</v>
      </c>
      <c r="Y147" s="23" t="s">
        <v>174</v>
      </c>
      <c r="Z147" s="23" t="s">
        <v>174</v>
      </c>
      <c r="AA147" s="23" t="s">
        <v>174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  <c r="AE147" s="24" t="str">
        <f aca="false">M147&amp;" | 민수기 20~21장 #"&amp;SUBSTITUTE(안내!$C$5," ","")</f>
        <v>뱀에 물린 사람이 놋뱀을 보면 살았다 | 민수기 20~21장 #1분성경</v>
      </c>
      <c r="AF147" s="24" t="s">
        <v>1748</v>
      </c>
      <c r="AG147" s="24"/>
      <c r="AH147" s="23" t="s">
        <v>290</v>
      </c>
      <c r="AI147" s="26" t="n">
        <f aca="false">U147-안내!$C$12</f>
        <v>46431</v>
      </c>
      <c r="AJ147" s="23" t="str">
        <f aca="false">IF(U147&lt;IF(C147=1,안내!$C$9,안내!$C$10)+안내!$C$12,"시즌 시작 전 제작","")</f>
        <v/>
      </c>
      <c r="AK147" s="24" t="s">
        <v>1063</v>
      </c>
      <c r="AL147" s="27"/>
      <c r="AM147" s="27"/>
      <c r="AN147" s="27"/>
      <c r="AO147" s="27"/>
      <c r="AP147" s="27"/>
      <c r="AQ147" s="23" t="str">
        <f aca="false">D147&amp;"|"&amp;TEXT(U147,"yyyy-mm-dd")</f>
        <v>구약|2027-03-13</v>
      </c>
      <c r="AR147" s="24" t="s">
        <v>1749</v>
      </c>
      <c r="AS147" s="24"/>
    </row>
    <row r="148" customFormat="false" ht="39.55" hidden="false" customHeight="false" outlineLevel="0" collapsed="false">
      <c r="A148" s="21" t="n">
        <v>147</v>
      </c>
      <c r="B148" s="18" t="s">
        <v>1750</v>
      </c>
      <c r="C148" s="23" t="n">
        <v>2</v>
      </c>
      <c r="D148" s="23" t="s">
        <v>160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1691</v>
      </c>
      <c r="H148" s="18" t="s">
        <v>1720</v>
      </c>
      <c r="I148" s="21" t="s">
        <v>1610</v>
      </c>
      <c r="J148" s="22" t="s">
        <v>1751</v>
      </c>
      <c r="K148" s="23" t="s">
        <v>165</v>
      </c>
      <c r="L148" s="24" t="s">
        <v>1752</v>
      </c>
      <c r="M148" s="24" t="s">
        <v>1753</v>
      </c>
      <c r="N148" s="23" t="s">
        <v>1754</v>
      </c>
      <c r="O148" s="24" t="s">
        <v>1755</v>
      </c>
      <c r="P148" s="24" t="s">
        <v>1756</v>
      </c>
      <c r="Q148" s="24" t="s">
        <v>1757</v>
      </c>
      <c r="R148" s="25" t="s">
        <v>1758</v>
      </c>
      <c r="S148" s="24" t="s">
        <v>1759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174</v>
      </c>
      <c r="Y148" s="23" t="s">
        <v>174</v>
      </c>
      <c r="Z148" s="23" t="s">
        <v>174</v>
      </c>
      <c r="AA148" s="23" t="s">
        <v>174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  <c r="AE148" s="24" t="str">
        <f aca="false">M148&amp;" | 민수기 21장 #"&amp;SUBSTITUTE(안내!$C$5," ","")</f>
        <v>거인 왕 옥의 침대 길이가 9규빗? | 민수기 21장 #1분성경</v>
      </c>
      <c r="AF148" s="24" t="s">
        <v>304</v>
      </c>
      <c r="AG148" s="24"/>
      <c r="AH148" s="23" t="s">
        <v>360</v>
      </c>
      <c r="AI148" s="26" t="n">
        <f aca="false">U148-안내!$C$12</f>
        <v>46629</v>
      </c>
      <c r="AJ148" s="23" t="str">
        <f aca="false">IF(U148&lt;IF(C148=1,안내!$C$9,안내!$C$10)+안내!$C$12,"시즌 시작 전 제작","")</f>
        <v/>
      </c>
      <c r="AK148" s="24" t="s">
        <v>1063</v>
      </c>
      <c r="AL148" s="27"/>
      <c r="AM148" s="27"/>
      <c r="AN148" s="27"/>
      <c r="AO148" s="27"/>
      <c r="AP148" s="27"/>
      <c r="AQ148" s="23" t="str">
        <f aca="false">D148&amp;"|"&amp;TEXT(U148,"yyyy-mm-dd")</f>
        <v>구약|2027-09-27</v>
      </c>
      <c r="AR148" s="24" t="s">
        <v>1760</v>
      </c>
      <c r="AS148" s="24"/>
    </row>
    <row r="149" customFormat="false" ht="26.85" hidden="false" customHeight="false" outlineLevel="0" collapsed="false">
      <c r="A149" s="21" t="n">
        <v>148</v>
      </c>
      <c r="B149" s="18" t="s">
        <v>1761</v>
      </c>
      <c r="C149" s="20" t="n">
        <v>1</v>
      </c>
      <c r="D149" s="20" t="s">
        <v>160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1691</v>
      </c>
      <c r="H149" s="18" t="s">
        <v>1739</v>
      </c>
      <c r="I149" s="21" t="s">
        <v>1610</v>
      </c>
      <c r="J149" s="22" t="s">
        <v>1762</v>
      </c>
      <c r="K149" s="23" t="s">
        <v>165</v>
      </c>
      <c r="L149" s="24" t="s">
        <v>1763</v>
      </c>
      <c r="M149" s="24" t="s">
        <v>1764</v>
      </c>
      <c r="N149" s="23" t="s">
        <v>1765</v>
      </c>
      <c r="O149" s="24" t="s">
        <v>1766</v>
      </c>
      <c r="P149" s="24" t="s">
        <v>1767</v>
      </c>
      <c r="Q149" s="24" t="s">
        <v>1768</v>
      </c>
      <c r="R149" s="25" t="s">
        <v>1769</v>
      </c>
      <c r="S149" s="29" t="s">
        <v>1770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174</v>
      </c>
      <c r="Y149" s="23" t="s">
        <v>174</v>
      </c>
      <c r="Z149" s="23" t="s">
        <v>174</v>
      </c>
      <c r="AA149" s="23" t="s">
        <v>174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  <c r="AE149" s="24" t="str">
        <f aca="false">M149&amp;" | 민수기 22장 #"&amp;SUBSTITUTE(안내!$C$5," ","")</f>
        <v>나귀가 주인에게 말을 했다 | 민수기 22장 #1분성경</v>
      </c>
      <c r="AF149" s="24" t="s">
        <v>1771</v>
      </c>
      <c r="AG149" s="24"/>
      <c r="AH149" s="23" t="s">
        <v>290</v>
      </c>
      <c r="AI149" s="26" t="n">
        <f aca="false">U149-안내!$C$12</f>
        <v>46432</v>
      </c>
      <c r="AJ149" s="23" t="str">
        <f aca="false">IF(U149&lt;IF(C149=1,안내!$C$9,안내!$C$10)+안내!$C$12,"시즌 시작 전 제작","")</f>
        <v/>
      </c>
      <c r="AK149" s="24"/>
      <c r="AL149" s="27"/>
      <c r="AM149" s="27"/>
      <c r="AN149" s="27"/>
      <c r="AO149" s="27"/>
      <c r="AP149" s="27"/>
      <c r="AQ149" s="23" t="str">
        <f aca="false">D149&amp;"|"&amp;TEXT(U149,"yyyy-mm-dd")</f>
        <v>구약|2027-03-14</v>
      </c>
      <c r="AR149" s="24" t="s">
        <v>1772</v>
      </c>
      <c r="AS149" s="24"/>
    </row>
    <row r="150" customFormat="false" ht="52.2" hidden="false" customHeight="false" outlineLevel="0" collapsed="false">
      <c r="A150" s="21" t="n">
        <v>149</v>
      </c>
      <c r="B150" s="18" t="s">
        <v>1773</v>
      </c>
      <c r="C150" s="23" t="n">
        <v>2</v>
      </c>
      <c r="D150" s="23" t="s">
        <v>160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1691</v>
      </c>
      <c r="H150" s="18" t="s">
        <v>1720</v>
      </c>
      <c r="I150" s="21" t="s">
        <v>1610</v>
      </c>
      <c r="J150" s="22" t="s">
        <v>1774</v>
      </c>
      <c r="K150" s="23" t="s">
        <v>165</v>
      </c>
      <c r="L150" s="24" t="s">
        <v>1775</v>
      </c>
      <c r="M150" s="24" t="s">
        <v>1776</v>
      </c>
      <c r="N150" s="23" t="s">
        <v>1777</v>
      </c>
      <c r="O150" s="24" t="s">
        <v>1778</v>
      </c>
      <c r="P150" s="24" t="s">
        <v>1779</v>
      </c>
      <c r="Q150" s="24" t="s">
        <v>1780</v>
      </c>
      <c r="R150" s="28" t="s">
        <v>1781</v>
      </c>
      <c r="S150" s="24" t="s">
        <v>1782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174</v>
      </c>
      <c r="Y150" s="23" t="s">
        <v>174</v>
      </c>
      <c r="Z150" s="23" t="s">
        <v>174</v>
      </c>
      <c r="AA150" s="23" t="s">
        <v>174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  <c r="AE150" s="24" t="str">
        <f aca="false">M150&amp;" | 민수기 23~24장 #"&amp;SUBSTITUTE(안내!$C$5," ","")</f>
        <v>돈 받고 저주하러 온 예언자가 네 번이나 축복했다 | 민수기 23~24장 #1분성경</v>
      </c>
      <c r="AF150" s="24" t="s">
        <v>304</v>
      </c>
      <c r="AG150" s="24"/>
      <c r="AH150" s="23" t="s">
        <v>290</v>
      </c>
      <c r="AI150" s="26" t="n">
        <f aca="false">U150-안내!$C$12</f>
        <v>46630</v>
      </c>
      <c r="AJ150" s="23" t="str">
        <f aca="false">IF(U150&lt;IF(C150=1,안내!$C$9,안내!$C$10)+안내!$C$12,"시즌 시작 전 제작","")</f>
        <v/>
      </c>
      <c r="AK150" s="24"/>
      <c r="AL150" s="27"/>
      <c r="AM150" s="27"/>
      <c r="AN150" s="27"/>
      <c r="AO150" s="27"/>
      <c r="AP150" s="27"/>
      <c r="AQ150" s="23" t="str">
        <f aca="false">D150&amp;"|"&amp;TEXT(U150,"yyyy-mm-dd")</f>
        <v>구약|2027-09-28</v>
      </c>
      <c r="AR150" s="24" t="s">
        <v>1783</v>
      </c>
      <c r="AS150" s="24"/>
    </row>
    <row r="151" customFormat="false" ht="39.55" hidden="false" customHeight="false" outlineLevel="0" collapsed="false">
      <c r="A151" s="21" t="n">
        <v>150</v>
      </c>
      <c r="B151" s="18" t="s">
        <v>1784</v>
      </c>
      <c r="C151" s="23" t="n">
        <v>2</v>
      </c>
      <c r="D151" s="23" t="s">
        <v>160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1691</v>
      </c>
      <c r="H151" s="18" t="s">
        <v>1720</v>
      </c>
      <c r="I151" s="21" t="s">
        <v>1610</v>
      </c>
      <c r="J151" s="22" t="s">
        <v>1785</v>
      </c>
      <c r="K151" s="23" t="s">
        <v>165</v>
      </c>
      <c r="L151" s="24" t="s">
        <v>1786</v>
      </c>
      <c r="M151" s="24" t="s">
        <v>1787</v>
      </c>
      <c r="N151" s="23" t="s">
        <v>1788</v>
      </c>
      <c r="O151" s="24" t="s">
        <v>1789</v>
      </c>
      <c r="P151" s="24" t="s">
        <v>1790</v>
      </c>
      <c r="Q151" s="24" t="s">
        <v>1791</v>
      </c>
      <c r="R151" s="25" t="s">
        <v>1792</v>
      </c>
      <c r="S151" s="24" t="s">
        <v>1782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174</v>
      </c>
      <c r="Y151" s="23" t="s">
        <v>174</v>
      </c>
      <c r="Z151" s="23" t="s">
        <v>174</v>
      </c>
      <c r="AA151" s="23" t="s">
        <v>174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  <c r="AE151" s="24" t="str">
        <f aca="false">M151&amp;" | 민수기 25장 #"&amp;SUBSTITUTE(안내!$C$5," ","")</f>
        <v>가장 가까이 와서 무너진 백성 | 민수기 25장 #1분성경</v>
      </c>
      <c r="AF151" s="24" t="s">
        <v>304</v>
      </c>
      <c r="AG151" s="24"/>
      <c r="AH151" s="23" t="s">
        <v>290</v>
      </c>
      <c r="AI151" s="26" t="n">
        <f aca="false">U151-안내!$C$12</f>
        <v>46631</v>
      </c>
      <c r="AJ151" s="23" t="str">
        <f aca="false">IF(U151&lt;IF(C151=1,안내!$C$9,안내!$C$10)+안내!$C$12,"시즌 시작 전 제작","")</f>
        <v/>
      </c>
      <c r="AK151" s="24"/>
      <c r="AL151" s="27"/>
      <c r="AM151" s="27"/>
      <c r="AN151" s="27"/>
      <c r="AO151" s="27"/>
      <c r="AP151" s="27"/>
      <c r="AQ151" s="23" t="str">
        <f aca="false">D151&amp;"|"&amp;TEXT(U151,"yyyy-mm-dd")</f>
        <v>구약|2027-09-29</v>
      </c>
      <c r="AR151" s="24" t="s">
        <v>1793</v>
      </c>
      <c r="AS151" s="24"/>
    </row>
    <row r="152" customFormat="false" ht="26.85" hidden="false" customHeight="false" outlineLevel="0" collapsed="false">
      <c r="A152" s="21" t="n">
        <v>151</v>
      </c>
      <c r="B152" s="18" t="s">
        <v>1794</v>
      </c>
      <c r="C152" s="23" t="n">
        <v>2</v>
      </c>
      <c r="D152" s="23" t="s">
        <v>160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1691</v>
      </c>
      <c r="H152" s="18" t="s">
        <v>1720</v>
      </c>
      <c r="I152" s="21" t="s">
        <v>1610</v>
      </c>
      <c r="J152" s="22" t="s">
        <v>1795</v>
      </c>
      <c r="K152" s="23" t="s">
        <v>1370</v>
      </c>
      <c r="L152" s="24" t="s">
        <v>1796</v>
      </c>
      <c r="M152" s="24" t="s">
        <v>1797</v>
      </c>
      <c r="N152" s="23" t="s">
        <v>1798</v>
      </c>
      <c r="O152" s="24" t="s">
        <v>1799</v>
      </c>
      <c r="P152" s="24" t="s">
        <v>1800</v>
      </c>
      <c r="Q152" s="24" t="s">
        <v>1801</v>
      </c>
      <c r="R152" s="24"/>
      <c r="S152" s="24" t="s">
        <v>1782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174</v>
      </c>
      <c r="Y152" s="23" t="s">
        <v>174</v>
      </c>
      <c r="Z152" s="23" t="s">
        <v>174</v>
      </c>
      <c r="AA152" s="23" t="s">
        <v>174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  <c r="AE152" s="24" t="str">
        <f aca="false">M152&amp;" | 민수기 26~27장 #"&amp;SUBSTITUTE(안내!$C$5," ","")</f>
        <v>슬로브핫의 딸들이 용기를 냈다 | 민수기 26~27장 #1분성경</v>
      </c>
      <c r="AF152" s="24" t="s">
        <v>304</v>
      </c>
      <c r="AG152" s="24"/>
      <c r="AH152" s="23" t="s">
        <v>290</v>
      </c>
      <c r="AI152" s="26" t="n">
        <f aca="false">U152-안내!$C$12</f>
        <v>46632</v>
      </c>
      <c r="AJ152" s="23" t="str">
        <f aca="false">IF(U152&lt;IF(C152=1,안내!$C$9,안내!$C$10)+안내!$C$12,"시즌 시작 전 제작","")</f>
        <v/>
      </c>
      <c r="AK152" s="24" t="s">
        <v>1321</v>
      </c>
      <c r="AL152" s="27"/>
      <c r="AM152" s="27"/>
      <c r="AN152" s="27"/>
      <c r="AO152" s="27"/>
      <c r="AP152" s="27"/>
      <c r="AQ152" s="23" t="str">
        <f aca="false">D152&amp;"|"&amp;TEXT(U152,"yyyy-mm-dd")</f>
        <v>구약|2027-09-30</v>
      </c>
      <c r="AR152" s="24" t="s">
        <v>1802</v>
      </c>
      <c r="AS152" s="24"/>
    </row>
    <row r="153" customFormat="false" ht="26.85" hidden="false" customHeight="false" outlineLevel="0" collapsed="false">
      <c r="A153" s="21" t="n">
        <v>152</v>
      </c>
      <c r="B153" s="18" t="s">
        <v>1803</v>
      </c>
      <c r="C153" s="23" t="n">
        <v>2</v>
      </c>
      <c r="D153" s="23" t="s">
        <v>160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1691</v>
      </c>
      <c r="H153" s="18" t="s">
        <v>1720</v>
      </c>
      <c r="I153" s="21" t="s">
        <v>1610</v>
      </c>
      <c r="J153" s="22" t="s">
        <v>1804</v>
      </c>
      <c r="K153" s="23" t="s">
        <v>1370</v>
      </c>
      <c r="L153" s="24" t="s">
        <v>1805</v>
      </c>
      <c r="M153" s="24" t="s">
        <v>1806</v>
      </c>
      <c r="N153" s="23" t="s">
        <v>1807</v>
      </c>
      <c r="O153" s="24" t="s">
        <v>1808</v>
      </c>
      <c r="P153" s="24" t="s">
        <v>1513</v>
      </c>
      <c r="Q153" s="24" t="s">
        <v>1569</v>
      </c>
      <c r="R153" s="24"/>
      <c r="S153" s="24" t="s">
        <v>1782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174</v>
      </c>
      <c r="Y153" s="23" t="s">
        <v>174</v>
      </c>
      <c r="Z153" s="23" t="s">
        <v>174</v>
      </c>
      <c r="AA153" s="23" t="s">
        <v>174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  <c r="AE153" s="24" t="str">
        <f aca="false">M153&amp;" | 민수기 28~30장 #"&amp;SUBSTITUTE(안내!$C$5," ","")</f>
        <v>매일 아침, 매일 저녁 | 민수기 28~30장 #1분성경</v>
      </c>
      <c r="AF153" s="24" t="s">
        <v>304</v>
      </c>
      <c r="AG153" s="24"/>
      <c r="AH153" s="23" t="s">
        <v>290</v>
      </c>
      <c r="AI153" s="26" t="n">
        <f aca="false">U153-안내!$C$12</f>
        <v>46633</v>
      </c>
      <c r="AJ153" s="23" t="str">
        <f aca="false">IF(U153&lt;IF(C153=1,안내!$C$9,안내!$C$10)+안내!$C$12,"시즌 시작 전 제작","")</f>
        <v/>
      </c>
      <c r="AK153" s="24"/>
      <c r="AL153" s="27"/>
      <c r="AM153" s="27"/>
      <c r="AN153" s="27"/>
      <c r="AO153" s="27"/>
      <c r="AP153" s="27"/>
      <c r="AQ153" s="23" t="str">
        <f aca="false">D153&amp;"|"&amp;TEXT(U153,"yyyy-mm-dd")</f>
        <v>구약|2027-10-01</v>
      </c>
      <c r="AR153" s="24" t="s">
        <v>1809</v>
      </c>
      <c r="AS153" s="24"/>
    </row>
    <row r="154" customFormat="false" ht="26.85" hidden="false" customHeight="false" outlineLevel="0" collapsed="false">
      <c r="A154" s="21" t="n">
        <v>153</v>
      </c>
      <c r="B154" s="18" t="s">
        <v>1810</v>
      </c>
      <c r="C154" s="23" t="n">
        <v>2</v>
      </c>
      <c r="D154" s="23" t="s">
        <v>160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1691</v>
      </c>
      <c r="H154" s="18" t="s">
        <v>1720</v>
      </c>
      <c r="I154" s="21" t="s">
        <v>1610</v>
      </c>
      <c r="J154" s="22" t="s">
        <v>1811</v>
      </c>
      <c r="K154" s="23" t="s">
        <v>165</v>
      </c>
      <c r="L154" s="24" t="s">
        <v>1812</v>
      </c>
      <c r="M154" s="24" t="s">
        <v>1813</v>
      </c>
      <c r="N154" s="23" t="s">
        <v>1814</v>
      </c>
      <c r="O154" s="24" t="s">
        <v>1815</v>
      </c>
      <c r="P154" s="24" t="s">
        <v>1816</v>
      </c>
      <c r="Q154" s="24" t="s">
        <v>1817</v>
      </c>
      <c r="R154" s="28" t="s">
        <v>1818</v>
      </c>
      <c r="S154" s="24" t="s">
        <v>1782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174</v>
      </c>
      <c r="Y154" s="23" t="s">
        <v>174</v>
      </c>
      <c r="Z154" s="23" t="s">
        <v>174</v>
      </c>
      <c r="AA154" s="23" t="s">
        <v>174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  <c r="AE154" s="24" t="str">
        <f aca="false">M154&amp;" | 민수기 31~32장 #"&amp;SUBSTITUTE(안내!$C$5," ","")</f>
        <v>강 이쪽에 남겠다고 한 지파들 | 민수기 31~32장 #1분성경</v>
      </c>
      <c r="AF154" s="24" t="s">
        <v>304</v>
      </c>
      <c r="AG154" s="24"/>
      <c r="AH154" s="23" t="s">
        <v>290</v>
      </c>
      <c r="AI154" s="26" t="n">
        <f aca="false">U154-안내!$C$12</f>
        <v>46634</v>
      </c>
      <c r="AJ154" s="23" t="str">
        <f aca="false">IF(U154&lt;IF(C154=1,안내!$C$9,안내!$C$10)+안내!$C$12,"시즌 시작 전 제작","")</f>
        <v/>
      </c>
      <c r="AK154" s="24" t="s">
        <v>1063</v>
      </c>
      <c r="AL154" s="27"/>
      <c r="AM154" s="27"/>
      <c r="AN154" s="27"/>
      <c r="AO154" s="27"/>
      <c r="AP154" s="27"/>
      <c r="AQ154" s="23" t="str">
        <f aca="false">D154&amp;"|"&amp;TEXT(U154,"yyyy-mm-dd")</f>
        <v>구약|2027-10-02</v>
      </c>
      <c r="AR154" s="24" t="s">
        <v>1819</v>
      </c>
      <c r="AS154" s="24"/>
    </row>
    <row r="155" customFormat="false" ht="26.85" hidden="false" customHeight="false" outlineLevel="0" collapsed="false">
      <c r="A155" s="21" t="n">
        <v>154</v>
      </c>
      <c r="B155" s="18" t="s">
        <v>1820</v>
      </c>
      <c r="C155" s="23" t="n">
        <v>2</v>
      </c>
      <c r="D155" s="23" t="s">
        <v>160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1691</v>
      </c>
      <c r="H155" s="18" t="s">
        <v>1720</v>
      </c>
      <c r="I155" s="21" t="s">
        <v>1610</v>
      </c>
      <c r="J155" s="22" t="s">
        <v>1821</v>
      </c>
      <c r="K155" s="23" t="s">
        <v>1370</v>
      </c>
      <c r="L155" s="24" t="s">
        <v>1822</v>
      </c>
      <c r="M155" s="24" t="s">
        <v>1823</v>
      </c>
      <c r="N155" s="23" t="s">
        <v>1824</v>
      </c>
      <c r="O155" s="24" t="s">
        <v>1825</v>
      </c>
      <c r="P155" s="24" t="s">
        <v>1235</v>
      </c>
      <c r="Q155" s="24" t="s">
        <v>1826</v>
      </c>
      <c r="R155" s="25" t="s">
        <v>1827</v>
      </c>
      <c r="S155" s="24" t="s">
        <v>1782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174</v>
      </c>
      <c r="Y155" s="23" t="s">
        <v>174</v>
      </c>
      <c r="Z155" s="23" t="s">
        <v>174</v>
      </c>
      <c r="AA155" s="23" t="s">
        <v>174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  <c r="AE155" s="24" t="str">
        <f aca="false">M155&amp;" | 민수기 33~36장 #"&amp;SUBSTITUTE(안내!$C$5," ","")</f>
        <v>실수로 사람을 죽였다면 도망칠 성이 있었다 | 민수기 33~36장 #1분성경</v>
      </c>
      <c r="AF155" s="24" t="s">
        <v>304</v>
      </c>
      <c r="AG155" s="24"/>
      <c r="AH155" s="23" t="s">
        <v>290</v>
      </c>
      <c r="AI155" s="26" t="n">
        <f aca="false">U155-안내!$C$12</f>
        <v>46635</v>
      </c>
      <c r="AJ155" s="23" t="str">
        <f aca="false">IF(U155&lt;IF(C155=1,안내!$C$9,안내!$C$10)+안내!$C$12,"시즌 시작 전 제작","")</f>
        <v/>
      </c>
      <c r="AK155" s="24" t="s">
        <v>1063</v>
      </c>
      <c r="AL155" s="27"/>
      <c r="AM155" s="27"/>
      <c r="AN155" s="27"/>
      <c r="AO155" s="27"/>
      <c r="AP155" s="27"/>
      <c r="AQ155" s="23" t="str">
        <f aca="false">D155&amp;"|"&amp;TEXT(U155,"yyyy-mm-dd")</f>
        <v>구약|2027-10-03</v>
      </c>
      <c r="AR155" s="24" t="s">
        <v>1828</v>
      </c>
      <c r="AS155" s="24"/>
    </row>
    <row r="156" customFormat="false" ht="39.55" hidden="false" customHeight="false" outlineLevel="0" collapsed="false">
      <c r="A156" s="21" t="n">
        <v>155</v>
      </c>
      <c r="B156" s="18" t="s">
        <v>1829</v>
      </c>
      <c r="C156" s="23" t="n">
        <v>2</v>
      </c>
      <c r="D156" s="23" t="s">
        <v>160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1830</v>
      </c>
      <c r="H156" s="18" t="s">
        <v>1831</v>
      </c>
      <c r="I156" s="21" t="s">
        <v>1832</v>
      </c>
      <c r="J156" s="22" t="s">
        <v>1833</v>
      </c>
      <c r="K156" s="23" t="s">
        <v>1370</v>
      </c>
      <c r="L156" s="24" t="s">
        <v>1834</v>
      </c>
      <c r="M156" s="24" t="s">
        <v>1835</v>
      </c>
      <c r="N156" s="23" t="s">
        <v>1836</v>
      </c>
      <c r="O156" s="24" t="s">
        <v>1837</v>
      </c>
      <c r="P156" s="24" t="s">
        <v>1235</v>
      </c>
      <c r="Q156" s="24" t="s">
        <v>1801</v>
      </c>
      <c r="R156" s="24"/>
      <c r="S156" s="24" t="s">
        <v>1782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174</v>
      </c>
      <c r="Y156" s="23" t="s">
        <v>174</v>
      </c>
      <c r="Z156" s="23" t="s">
        <v>174</v>
      </c>
      <c r="AA156" s="23" t="s">
        <v>174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  <c r="AE156" s="24" t="str">
        <f aca="false">M156&amp;" | 신명기 1~3장 #"&amp;SUBSTITUTE(안내!$C$5," ","")</f>
        <v>광야 40년을 돌아보니 보이는 것 | 신명기 1~3장 #1분성경</v>
      </c>
      <c r="AF156" s="24" t="s">
        <v>304</v>
      </c>
      <c r="AG156" s="24"/>
      <c r="AH156" s="23" t="s">
        <v>360</v>
      </c>
      <c r="AI156" s="26" t="n">
        <f aca="false">U156-안내!$C$12</f>
        <v>46636</v>
      </c>
      <c r="AJ156" s="23" t="str">
        <f aca="false">IF(U156&lt;IF(C156=1,안내!$C$9,안내!$C$10)+안내!$C$12,"시즌 시작 전 제작","")</f>
        <v/>
      </c>
      <c r="AK156" s="24" t="s">
        <v>1063</v>
      </c>
      <c r="AL156" s="27"/>
      <c r="AM156" s="27"/>
      <c r="AN156" s="27"/>
      <c r="AO156" s="27"/>
      <c r="AP156" s="27"/>
      <c r="AQ156" s="23" t="str">
        <f aca="false">D156&amp;"|"&amp;TEXT(U156,"yyyy-mm-dd")</f>
        <v>구약|2027-10-04</v>
      </c>
      <c r="AR156" s="24" t="s">
        <v>1838</v>
      </c>
      <c r="AS156" s="24" t="s">
        <v>292</v>
      </c>
    </row>
    <row r="157" customFormat="false" ht="26.85" hidden="false" customHeight="false" outlineLevel="0" collapsed="false">
      <c r="A157" s="21" t="n">
        <v>156</v>
      </c>
      <c r="B157" s="18" t="s">
        <v>1839</v>
      </c>
      <c r="C157" s="23" t="n">
        <v>2</v>
      </c>
      <c r="D157" s="23" t="s">
        <v>160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1830</v>
      </c>
      <c r="H157" s="18" t="s">
        <v>1831</v>
      </c>
      <c r="I157" s="21" t="s">
        <v>1832</v>
      </c>
      <c r="J157" s="22" t="s">
        <v>1840</v>
      </c>
      <c r="K157" s="23" t="s">
        <v>1370</v>
      </c>
      <c r="L157" s="24" t="s">
        <v>1841</v>
      </c>
      <c r="M157" s="24" t="s">
        <v>1842</v>
      </c>
      <c r="N157" s="23" t="s">
        <v>1843</v>
      </c>
      <c r="O157" s="24" t="s">
        <v>1844</v>
      </c>
      <c r="P157" s="24" t="s">
        <v>1235</v>
      </c>
      <c r="Q157" s="24" t="s">
        <v>1801</v>
      </c>
      <c r="R157" s="25" t="s">
        <v>1845</v>
      </c>
      <c r="S157" s="24" t="s">
        <v>1782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174</v>
      </c>
      <c r="Y157" s="23" t="s">
        <v>174</v>
      </c>
      <c r="Z157" s="23" t="s">
        <v>174</v>
      </c>
      <c r="AA157" s="23" t="s">
        <v>174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  <c r="AE157" s="24" t="str">
        <f aca="false">M157&amp;" | 신명기 4장 #"&amp;SUBSTITUTE(안내!$C$5," ","")</f>
        <v>왜 하나님은 모양이 없으셨을까? | 신명기 4장 #1분성경</v>
      </c>
      <c r="AF157" s="24" t="s">
        <v>304</v>
      </c>
      <c r="AG157" s="24"/>
      <c r="AH157" s="23" t="s">
        <v>176</v>
      </c>
      <c r="AI157" s="26" t="n">
        <f aca="false">U157-안내!$C$12</f>
        <v>46637</v>
      </c>
      <c r="AJ157" s="23" t="str">
        <f aca="false">IF(U157&lt;IF(C157=1,안내!$C$9,안내!$C$10)+안내!$C$12,"시즌 시작 전 제작","")</f>
        <v/>
      </c>
      <c r="AK157" s="24" t="s">
        <v>1063</v>
      </c>
      <c r="AL157" s="27"/>
      <c r="AM157" s="27"/>
      <c r="AN157" s="27"/>
      <c r="AO157" s="27"/>
      <c r="AP157" s="27"/>
      <c r="AQ157" s="23" t="str">
        <f aca="false">D157&amp;"|"&amp;TEXT(U157,"yyyy-mm-dd")</f>
        <v>구약|2027-10-05</v>
      </c>
      <c r="AR157" s="24" t="s">
        <v>1846</v>
      </c>
      <c r="AS157" s="24"/>
    </row>
    <row r="158" customFormat="false" ht="26.85" hidden="false" customHeight="false" outlineLevel="0" collapsed="false">
      <c r="A158" s="21" t="n">
        <v>157</v>
      </c>
      <c r="B158" s="18" t="s">
        <v>1847</v>
      </c>
      <c r="C158" s="23" t="n">
        <v>2</v>
      </c>
      <c r="D158" s="23" t="s">
        <v>160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1830</v>
      </c>
      <c r="H158" s="18" t="s">
        <v>1831</v>
      </c>
      <c r="I158" s="21" t="s">
        <v>1832</v>
      </c>
      <c r="J158" s="22" t="s">
        <v>1848</v>
      </c>
      <c r="K158" s="23" t="s">
        <v>1370</v>
      </c>
      <c r="L158" s="24" t="s">
        <v>1849</v>
      </c>
      <c r="M158" s="30" t="s">
        <v>1850</v>
      </c>
      <c r="N158" s="23" t="s">
        <v>1851</v>
      </c>
      <c r="O158" s="24" t="s">
        <v>1852</v>
      </c>
      <c r="P158" s="24" t="s">
        <v>1853</v>
      </c>
      <c r="Q158" s="24" t="s">
        <v>1801</v>
      </c>
      <c r="R158" s="24"/>
      <c r="S158" s="24" t="s">
        <v>1782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174</v>
      </c>
      <c r="Y158" s="23" t="s">
        <v>174</v>
      </c>
      <c r="Z158" s="23" t="s">
        <v>174</v>
      </c>
      <c r="AA158" s="23" t="s">
        <v>174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  <c r="AE158" s="24" t="str">
        <f aca="false">M158&amp;" | 신명기 5장 #"&amp;SUBSTITUTE(안내!$C$5," ","")</f>
        <v>40년 뒤 다시 십계명을 외친 이유 | 신명기 5장 #1분성경</v>
      </c>
      <c r="AF158" s="24" t="s">
        <v>304</v>
      </c>
      <c r="AG158" s="24"/>
      <c r="AH158" s="23" t="s">
        <v>360</v>
      </c>
      <c r="AI158" s="26" t="n">
        <f aca="false">U158-안내!$C$12</f>
        <v>46638</v>
      </c>
      <c r="AJ158" s="23" t="str">
        <f aca="false">IF(U158&lt;IF(C158=1,안내!$C$9,안내!$C$10)+안내!$C$12,"시즌 시작 전 제작","")</f>
        <v/>
      </c>
      <c r="AK158" s="24" t="s">
        <v>1063</v>
      </c>
      <c r="AL158" s="27"/>
      <c r="AM158" s="27"/>
      <c r="AN158" s="27"/>
      <c r="AO158" s="27"/>
      <c r="AP158" s="27"/>
      <c r="AQ158" s="23" t="str">
        <f aca="false">D158&amp;"|"&amp;TEXT(U158,"yyyy-mm-dd")</f>
        <v>구약|2027-10-06</v>
      </c>
      <c r="AR158" s="24" t="s">
        <v>1854</v>
      </c>
      <c r="AS158" s="24"/>
    </row>
    <row r="159" customFormat="false" ht="52.2" hidden="false" customHeight="false" outlineLevel="0" collapsed="false">
      <c r="A159" s="21" t="n">
        <v>158</v>
      </c>
      <c r="B159" s="18" t="s">
        <v>1855</v>
      </c>
      <c r="C159" s="20" t="n">
        <v>1</v>
      </c>
      <c r="D159" s="20" t="s">
        <v>160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1830</v>
      </c>
      <c r="H159" s="18" t="s">
        <v>1739</v>
      </c>
      <c r="I159" s="21" t="s">
        <v>1832</v>
      </c>
      <c r="J159" s="22" t="s">
        <v>1856</v>
      </c>
      <c r="K159" s="23" t="s">
        <v>1370</v>
      </c>
      <c r="L159" s="24" t="s">
        <v>1857</v>
      </c>
      <c r="M159" s="24" t="s">
        <v>1858</v>
      </c>
      <c r="N159" s="23" t="s">
        <v>1859</v>
      </c>
      <c r="O159" s="24" t="s">
        <v>1860</v>
      </c>
      <c r="P159" s="24" t="s">
        <v>1861</v>
      </c>
      <c r="Q159" s="24" t="s">
        <v>1862</v>
      </c>
      <c r="R159" s="25" t="s">
        <v>1863</v>
      </c>
      <c r="S159" s="29" t="s">
        <v>1864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174</v>
      </c>
      <c r="Y159" s="23" t="s">
        <v>174</v>
      </c>
      <c r="Z159" s="23" t="s">
        <v>174</v>
      </c>
      <c r="AA159" s="23" t="s">
        <v>174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  <c r="AE159" s="24" t="str">
        <f aca="false">M159&amp;" | 신명기 6장 #"&amp;SUBSTITUTE(안내!$C$5," ","")</f>
        <v>이스라엘 아이들이 매일 외운 한 문장 | 신명기 6장 #1분성경</v>
      </c>
      <c r="AF159" s="24" t="s">
        <v>1865</v>
      </c>
      <c r="AG159" s="24"/>
      <c r="AH159" s="23" t="s">
        <v>290</v>
      </c>
      <c r="AI159" s="26" t="n">
        <f aca="false">U159-안내!$C$12</f>
        <v>46433</v>
      </c>
      <c r="AJ159" s="23" t="str">
        <f aca="false">IF(U159&lt;IF(C159=1,안내!$C$9,안내!$C$10)+안내!$C$12,"시즌 시작 전 제작","")</f>
        <v/>
      </c>
      <c r="AK159" s="24" t="s">
        <v>1063</v>
      </c>
      <c r="AL159" s="27"/>
      <c r="AM159" s="27"/>
      <c r="AN159" s="27"/>
      <c r="AO159" s="27"/>
      <c r="AP159" s="27"/>
      <c r="AQ159" s="23" t="str">
        <f aca="false">D159&amp;"|"&amp;TEXT(U159,"yyyy-mm-dd")</f>
        <v>구약|2027-03-15</v>
      </c>
      <c r="AR159" s="24" t="s">
        <v>1866</v>
      </c>
      <c r="AS159" s="24"/>
    </row>
    <row r="160" customFormat="false" ht="39.55" hidden="false" customHeight="false" outlineLevel="0" collapsed="false">
      <c r="A160" s="21" t="n">
        <v>159</v>
      </c>
      <c r="B160" s="18" t="s">
        <v>1867</v>
      </c>
      <c r="C160" s="23" t="n">
        <v>2</v>
      </c>
      <c r="D160" s="23" t="s">
        <v>160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1830</v>
      </c>
      <c r="H160" s="18" t="s">
        <v>1831</v>
      </c>
      <c r="I160" s="21" t="s">
        <v>1832</v>
      </c>
      <c r="J160" s="22" t="s">
        <v>1868</v>
      </c>
      <c r="K160" s="23" t="s">
        <v>1370</v>
      </c>
      <c r="L160" s="24" t="s">
        <v>1869</v>
      </c>
      <c r="M160" s="24" t="s">
        <v>1870</v>
      </c>
      <c r="N160" s="23" t="s">
        <v>1871</v>
      </c>
      <c r="O160" s="24" t="s">
        <v>1872</v>
      </c>
      <c r="P160" s="24" t="s">
        <v>1235</v>
      </c>
      <c r="Q160" s="24" t="s">
        <v>1801</v>
      </c>
      <c r="R160" s="25" t="s">
        <v>1873</v>
      </c>
      <c r="S160" s="24" t="s">
        <v>1874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174</v>
      </c>
      <c r="Y160" s="23" t="s">
        <v>174</v>
      </c>
      <c r="Z160" s="23" t="s">
        <v>174</v>
      </c>
      <c r="AA160" s="23" t="s">
        <v>174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  <c r="AE160" s="24" t="str">
        <f aca="false">M160&amp;" | 신명기 7장 #"&amp;SUBSTITUTE(안내!$C$5," ","")</f>
        <v>많아서도, 잘나서도 아니었다 | 신명기 7장 #1분성경</v>
      </c>
      <c r="AF160" s="24" t="s">
        <v>304</v>
      </c>
      <c r="AG160" s="24"/>
      <c r="AH160" s="23" t="s">
        <v>290</v>
      </c>
      <c r="AI160" s="26" t="n">
        <f aca="false">U160-안내!$C$12</f>
        <v>46639</v>
      </c>
      <c r="AJ160" s="23" t="str">
        <f aca="false">IF(U160&lt;IF(C160=1,안내!$C$9,안내!$C$10)+안내!$C$12,"시즌 시작 전 제작","")</f>
        <v/>
      </c>
      <c r="AK160" s="24" t="s">
        <v>1063</v>
      </c>
      <c r="AL160" s="27"/>
      <c r="AM160" s="27"/>
      <c r="AN160" s="27"/>
      <c r="AO160" s="27"/>
      <c r="AP160" s="27"/>
      <c r="AQ160" s="23" t="str">
        <f aca="false">D160&amp;"|"&amp;TEXT(U160,"yyyy-mm-dd")</f>
        <v>구약|2027-10-07</v>
      </c>
      <c r="AR160" s="24" t="s">
        <v>1875</v>
      </c>
      <c r="AS160" s="24"/>
    </row>
    <row r="161" customFormat="false" ht="52.2" hidden="false" customHeight="false" outlineLevel="0" collapsed="false">
      <c r="A161" s="21" t="n">
        <v>160</v>
      </c>
      <c r="B161" s="18" t="s">
        <v>1876</v>
      </c>
      <c r="C161" s="23" t="n">
        <v>2</v>
      </c>
      <c r="D161" s="23" t="s">
        <v>160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1830</v>
      </c>
      <c r="H161" s="18" t="s">
        <v>1831</v>
      </c>
      <c r="I161" s="21" t="s">
        <v>1832</v>
      </c>
      <c r="J161" s="22" t="s">
        <v>1877</v>
      </c>
      <c r="K161" s="23" t="s">
        <v>1370</v>
      </c>
      <c r="L161" s="24" t="s">
        <v>1878</v>
      </c>
      <c r="M161" s="24" t="s">
        <v>1879</v>
      </c>
      <c r="N161" s="23" t="s">
        <v>1880</v>
      </c>
      <c r="O161" s="24" t="s">
        <v>1881</v>
      </c>
      <c r="P161" s="24" t="s">
        <v>1235</v>
      </c>
      <c r="Q161" s="24" t="s">
        <v>1882</v>
      </c>
      <c r="R161" s="25" t="s">
        <v>1883</v>
      </c>
      <c r="S161" s="24" t="s">
        <v>1874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174</v>
      </c>
      <c r="Y161" s="23" t="s">
        <v>174</v>
      </c>
      <c r="Z161" s="23" t="s">
        <v>174</v>
      </c>
      <c r="AA161" s="23" t="s">
        <v>174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  <c r="AE161" s="24" t="str">
        <f aca="false">M161&amp;" | 신명기 8장 #"&amp;SUBSTITUTE(안내!$C$5," ","")</f>
        <v>광야에서 배고프게 하신 이유 | 신명기 8장 #1분성경</v>
      </c>
      <c r="AF161" s="24" t="s">
        <v>304</v>
      </c>
      <c r="AG161" s="24"/>
      <c r="AH161" s="23" t="s">
        <v>290</v>
      </c>
      <c r="AI161" s="26" t="n">
        <f aca="false">U161-안내!$C$12</f>
        <v>46640</v>
      </c>
      <c r="AJ161" s="23" t="str">
        <f aca="false">IF(U161&lt;IF(C161=1,안내!$C$9,안내!$C$10)+안내!$C$12,"시즌 시작 전 제작","")</f>
        <v/>
      </c>
      <c r="AK161" s="24" t="s">
        <v>1063</v>
      </c>
      <c r="AL161" s="27"/>
      <c r="AM161" s="27"/>
      <c r="AN161" s="27"/>
      <c r="AO161" s="27"/>
      <c r="AP161" s="27"/>
      <c r="AQ161" s="23" t="str">
        <f aca="false">D161&amp;"|"&amp;TEXT(U161,"yyyy-mm-dd")</f>
        <v>구약|2027-10-08</v>
      </c>
      <c r="AR161" s="24" t="s">
        <v>1884</v>
      </c>
      <c r="AS161" s="24"/>
    </row>
    <row r="162" customFormat="false" ht="39.55" hidden="false" customHeight="false" outlineLevel="0" collapsed="false">
      <c r="A162" s="21" t="n">
        <v>161</v>
      </c>
      <c r="B162" s="18" t="s">
        <v>1885</v>
      </c>
      <c r="C162" s="23" t="n">
        <v>2</v>
      </c>
      <c r="D162" s="23" t="s">
        <v>160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1830</v>
      </c>
      <c r="H162" s="18" t="s">
        <v>1831</v>
      </c>
      <c r="I162" s="21" t="s">
        <v>1832</v>
      </c>
      <c r="J162" s="22" t="s">
        <v>1886</v>
      </c>
      <c r="K162" s="23" t="s">
        <v>1370</v>
      </c>
      <c r="L162" s="24" t="s">
        <v>1887</v>
      </c>
      <c r="M162" s="24" t="s">
        <v>1888</v>
      </c>
      <c r="N162" s="23" t="s">
        <v>1889</v>
      </c>
      <c r="O162" s="24" t="s">
        <v>1890</v>
      </c>
      <c r="P162" s="24" t="s">
        <v>1235</v>
      </c>
      <c r="Q162" s="24" t="s">
        <v>1801</v>
      </c>
      <c r="R162" s="25" t="s">
        <v>1891</v>
      </c>
      <c r="S162" s="24" t="s">
        <v>1874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174</v>
      </c>
      <c r="Y162" s="23" t="s">
        <v>174</v>
      </c>
      <c r="Z162" s="23" t="s">
        <v>174</v>
      </c>
      <c r="AA162" s="23" t="s">
        <v>174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  <c r="AE162" s="24" t="str">
        <f aca="false">M162&amp;" | 신명기 9~11장 #"&amp;SUBSTITUTE(안내!$C$5," ","")</f>
        <v>약속의 땅을 받은 진짜 이유 | 신명기 9~11장 #1분성경</v>
      </c>
      <c r="AF162" s="24" t="s">
        <v>304</v>
      </c>
      <c r="AG162" s="24"/>
      <c r="AH162" s="23" t="s">
        <v>290</v>
      </c>
      <c r="AI162" s="26" t="n">
        <f aca="false">U162-안내!$C$12</f>
        <v>46641</v>
      </c>
      <c r="AJ162" s="23" t="str">
        <f aca="false">IF(U162&lt;IF(C162=1,안내!$C$9,안내!$C$10)+안내!$C$12,"시즌 시작 전 제작","")</f>
        <v/>
      </c>
      <c r="AK162" s="24" t="s">
        <v>1063</v>
      </c>
      <c r="AL162" s="27"/>
      <c r="AM162" s="27"/>
      <c r="AN162" s="27"/>
      <c r="AO162" s="27"/>
      <c r="AP162" s="27"/>
      <c r="AQ162" s="23" t="str">
        <f aca="false">D162&amp;"|"&amp;TEXT(U162,"yyyy-mm-dd")</f>
        <v>구약|2027-10-09</v>
      </c>
      <c r="AR162" s="24" t="s">
        <v>1892</v>
      </c>
      <c r="AS162" s="24"/>
    </row>
    <row r="163" customFormat="false" ht="26.85" hidden="false" customHeight="false" outlineLevel="0" collapsed="false">
      <c r="A163" s="21" t="n">
        <v>162</v>
      </c>
      <c r="B163" s="18" t="s">
        <v>1893</v>
      </c>
      <c r="C163" s="23" t="n">
        <v>2</v>
      </c>
      <c r="D163" s="23" t="s">
        <v>160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1830</v>
      </c>
      <c r="H163" s="18" t="s">
        <v>1831</v>
      </c>
      <c r="I163" s="21" t="s">
        <v>1832</v>
      </c>
      <c r="J163" s="22" t="s">
        <v>1894</v>
      </c>
      <c r="K163" s="23" t="s">
        <v>1370</v>
      </c>
      <c r="L163" s="24" t="s">
        <v>1895</v>
      </c>
      <c r="M163" s="24" t="s">
        <v>1896</v>
      </c>
      <c r="N163" s="23" t="s">
        <v>1897</v>
      </c>
      <c r="O163" s="24" t="s">
        <v>1898</v>
      </c>
      <c r="P163" s="24" t="s">
        <v>1235</v>
      </c>
      <c r="Q163" s="24" t="s">
        <v>1899</v>
      </c>
      <c r="R163" s="24"/>
      <c r="S163" s="24" t="s">
        <v>1874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174</v>
      </c>
      <c r="Y163" s="23" t="s">
        <v>174</v>
      </c>
      <c r="Z163" s="23" t="s">
        <v>174</v>
      </c>
      <c r="AA163" s="23" t="s">
        <v>174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  <c r="AE163" s="24" t="str">
        <f aca="false">M163&amp;" | 신명기 12~16장 #"&amp;SUBSTITUTE(안내!$C$5," ","")</f>
        <v>아무 데서나 예배하지 말라고 한 이유 | 신명기 12~16장 #1분성경</v>
      </c>
      <c r="AF163" s="24" t="s">
        <v>304</v>
      </c>
      <c r="AG163" s="24"/>
      <c r="AH163" s="23" t="s">
        <v>290</v>
      </c>
      <c r="AI163" s="26" t="n">
        <f aca="false">U163-안내!$C$12</f>
        <v>46642</v>
      </c>
      <c r="AJ163" s="23" t="str">
        <f aca="false">IF(U163&lt;IF(C163=1,안내!$C$9,안내!$C$10)+안내!$C$12,"시즌 시작 전 제작","")</f>
        <v/>
      </c>
      <c r="AK163" s="24" t="s">
        <v>1063</v>
      </c>
      <c r="AL163" s="27"/>
      <c r="AM163" s="27"/>
      <c r="AN163" s="27"/>
      <c r="AO163" s="27"/>
      <c r="AP163" s="27"/>
      <c r="AQ163" s="23" t="str">
        <f aca="false">D163&amp;"|"&amp;TEXT(U163,"yyyy-mm-dd")</f>
        <v>구약|2027-10-10</v>
      </c>
      <c r="AR163" s="24" t="s">
        <v>1900</v>
      </c>
      <c r="AS163" s="24"/>
    </row>
    <row r="164" customFormat="false" ht="26.85" hidden="false" customHeight="false" outlineLevel="0" collapsed="false">
      <c r="A164" s="21" t="n">
        <v>163</v>
      </c>
      <c r="B164" s="18" t="s">
        <v>1901</v>
      </c>
      <c r="C164" s="23" t="n">
        <v>2</v>
      </c>
      <c r="D164" s="23" t="s">
        <v>160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1830</v>
      </c>
      <c r="H164" s="18" t="s">
        <v>1831</v>
      </c>
      <c r="I164" s="21" t="s">
        <v>1832</v>
      </c>
      <c r="J164" s="22" t="s">
        <v>1902</v>
      </c>
      <c r="K164" s="23" t="s">
        <v>1370</v>
      </c>
      <c r="L164" s="24" t="s">
        <v>1903</v>
      </c>
      <c r="M164" s="24" t="s">
        <v>1904</v>
      </c>
      <c r="N164" s="23" t="s">
        <v>1905</v>
      </c>
      <c r="O164" s="24" t="s">
        <v>1906</v>
      </c>
      <c r="P164" s="24" t="s">
        <v>1235</v>
      </c>
      <c r="Q164" s="24" t="s">
        <v>1801</v>
      </c>
      <c r="R164" s="25" t="s">
        <v>1907</v>
      </c>
      <c r="S164" s="24" t="s">
        <v>1874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174</v>
      </c>
      <c r="Y164" s="23" t="s">
        <v>174</v>
      </c>
      <c r="Z164" s="23" t="s">
        <v>174</v>
      </c>
      <c r="AA164" s="23" t="s">
        <v>174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  <c r="AE164" s="24" t="str">
        <f aca="false">M164&amp;" | 신명기 16~20장 #"&amp;SUBSTITUTE(안내!$C$5," ","")</f>
        <v>모세가 예언한 또 한 명의 선지자 | 신명기 16~20장 #1분성경</v>
      </c>
      <c r="AF164" s="24" t="s">
        <v>304</v>
      </c>
      <c r="AG164" s="24"/>
      <c r="AH164" s="23" t="s">
        <v>290</v>
      </c>
      <c r="AI164" s="26" t="n">
        <f aca="false">U164-안내!$C$12</f>
        <v>46643</v>
      </c>
      <c r="AJ164" s="23" t="str">
        <f aca="false">IF(U164&lt;IF(C164=1,안내!$C$9,안내!$C$10)+안내!$C$12,"시즌 시작 전 제작","")</f>
        <v/>
      </c>
      <c r="AK164" s="24" t="s">
        <v>1063</v>
      </c>
      <c r="AL164" s="27"/>
      <c r="AM164" s="27"/>
      <c r="AN164" s="27"/>
      <c r="AO164" s="27"/>
      <c r="AP164" s="27"/>
      <c r="AQ164" s="23" t="str">
        <f aca="false">D164&amp;"|"&amp;TEXT(U164,"yyyy-mm-dd")</f>
        <v>구약|2027-10-11</v>
      </c>
      <c r="AR164" s="24" t="s">
        <v>1908</v>
      </c>
      <c r="AS164" s="24"/>
    </row>
    <row r="165" customFormat="false" ht="39.55" hidden="false" customHeight="false" outlineLevel="0" collapsed="false">
      <c r="A165" s="21" t="n">
        <v>164</v>
      </c>
      <c r="B165" s="18" t="s">
        <v>1909</v>
      </c>
      <c r="C165" s="23" t="n">
        <v>2</v>
      </c>
      <c r="D165" s="23" t="s">
        <v>160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1830</v>
      </c>
      <c r="H165" s="18" t="s">
        <v>1831</v>
      </c>
      <c r="I165" s="21" t="s">
        <v>1832</v>
      </c>
      <c r="J165" s="22" t="s">
        <v>1910</v>
      </c>
      <c r="K165" s="23" t="s">
        <v>1370</v>
      </c>
      <c r="L165" s="24" t="s">
        <v>1911</v>
      </c>
      <c r="M165" s="24" t="s">
        <v>1912</v>
      </c>
      <c r="N165" s="23" t="s">
        <v>1913</v>
      </c>
      <c r="O165" s="24" t="s">
        <v>1914</v>
      </c>
      <c r="P165" s="24" t="s">
        <v>1235</v>
      </c>
      <c r="Q165" s="24" t="s">
        <v>1915</v>
      </c>
      <c r="R165" s="24"/>
      <c r="S165" s="24" t="s">
        <v>1874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174</v>
      </c>
      <c r="Y165" s="23" t="s">
        <v>174</v>
      </c>
      <c r="Z165" s="23" t="s">
        <v>174</v>
      </c>
      <c r="AA165" s="23" t="s">
        <v>174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  <c r="AE165" s="24" t="str">
        <f aca="false">M165&amp;" | 신명기 21~26장 #"&amp;SUBSTITUTE(안내!$C$5," ","")</f>
        <v>추수할 때 일부러 남겨 두라는 법 | 신명기 21~26장 #1분성경</v>
      </c>
      <c r="AF165" s="24" t="s">
        <v>304</v>
      </c>
      <c r="AG165" s="24"/>
      <c r="AH165" s="23" t="s">
        <v>290</v>
      </c>
      <c r="AI165" s="26" t="n">
        <f aca="false">U165-안내!$C$12</f>
        <v>46644</v>
      </c>
      <c r="AJ165" s="23" t="str">
        <f aca="false">IF(U165&lt;IF(C165=1,안내!$C$9,안내!$C$10)+안내!$C$12,"시즌 시작 전 제작","")</f>
        <v/>
      </c>
      <c r="AK165" s="24" t="s">
        <v>1063</v>
      </c>
      <c r="AL165" s="27"/>
      <c r="AM165" s="27"/>
      <c r="AN165" s="27"/>
      <c r="AO165" s="27"/>
      <c r="AP165" s="27"/>
      <c r="AQ165" s="23" t="str">
        <f aca="false">D165&amp;"|"&amp;TEXT(U165,"yyyy-mm-dd")</f>
        <v>구약|2027-10-12</v>
      </c>
      <c r="AR165" s="24" t="s">
        <v>1916</v>
      </c>
      <c r="AS165" s="24"/>
    </row>
    <row r="166" customFormat="false" ht="26.85" hidden="false" customHeight="false" outlineLevel="0" collapsed="false">
      <c r="A166" s="21" t="n">
        <v>165</v>
      </c>
      <c r="B166" s="18" t="s">
        <v>1917</v>
      </c>
      <c r="C166" s="23" t="n">
        <v>2</v>
      </c>
      <c r="D166" s="23" t="s">
        <v>160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1830</v>
      </c>
      <c r="H166" s="18" t="s">
        <v>1831</v>
      </c>
      <c r="I166" s="21" t="s">
        <v>1832</v>
      </c>
      <c r="J166" s="22" t="s">
        <v>1918</v>
      </c>
      <c r="K166" s="23" t="s">
        <v>1370</v>
      </c>
      <c r="L166" s="24" t="s">
        <v>1919</v>
      </c>
      <c r="M166" s="24" t="s">
        <v>1920</v>
      </c>
      <c r="N166" s="23" t="s">
        <v>1921</v>
      </c>
      <c r="O166" s="24" t="s">
        <v>1922</v>
      </c>
      <c r="P166" s="24" t="s">
        <v>1235</v>
      </c>
      <c r="Q166" s="24" t="s">
        <v>1923</v>
      </c>
      <c r="R166" s="25" t="s">
        <v>1605</v>
      </c>
      <c r="S166" s="24" t="s">
        <v>1874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174</v>
      </c>
      <c r="Y166" s="23" t="s">
        <v>174</v>
      </c>
      <c r="Z166" s="23" t="s">
        <v>174</v>
      </c>
      <c r="AA166" s="23" t="s">
        <v>174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  <c r="AE166" s="24" t="str">
        <f aca="false">M166&amp;" | 신명기 27~28장 #"&amp;SUBSTITUTE(안내!$C$5," ","")</f>
        <v>두 산에서 외친 축복과 저주 | 신명기 27~28장 #1분성경</v>
      </c>
      <c r="AF166" s="24" t="s">
        <v>304</v>
      </c>
      <c r="AG166" s="24"/>
      <c r="AH166" s="23" t="s">
        <v>290</v>
      </c>
      <c r="AI166" s="26" t="n">
        <f aca="false">U166-안내!$C$12</f>
        <v>46645</v>
      </c>
      <c r="AJ166" s="23" t="str">
        <f aca="false">IF(U166&lt;IF(C166=1,안내!$C$9,안내!$C$10)+안내!$C$12,"시즌 시작 전 제작","")</f>
        <v/>
      </c>
      <c r="AK166" s="24" t="s">
        <v>1063</v>
      </c>
      <c r="AL166" s="27"/>
      <c r="AM166" s="27"/>
      <c r="AN166" s="27"/>
      <c r="AO166" s="27"/>
      <c r="AP166" s="27"/>
      <c r="AQ166" s="23" t="str">
        <f aca="false">D166&amp;"|"&amp;TEXT(U166,"yyyy-mm-dd")</f>
        <v>구약|2027-10-13</v>
      </c>
      <c r="AR166" s="24" t="s">
        <v>1924</v>
      </c>
      <c r="AS166" s="24"/>
    </row>
    <row r="167" customFormat="false" ht="26.85" hidden="false" customHeight="false" outlineLevel="0" collapsed="false">
      <c r="A167" s="21" t="n">
        <v>166</v>
      </c>
      <c r="B167" s="18" t="s">
        <v>1925</v>
      </c>
      <c r="C167" s="23" t="n">
        <v>2</v>
      </c>
      <c r="D167" s="23" t="s">
        <v>160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1830</v>
      </c>
      <c r="H167" s="18" t="s">
        <v>1831</v>
      </c>
      <c r="I167" s="21" t="s">
        <v>1832</v>
      </c>
      <c r="J167" s="22" t="s">
        <v>1926</v>
      </c>
      <c r="K167" s="23" t="s">
        <v>1370</v>
      </c>
      <c r="L167" s="24" t="s">
        <v>1927</v>
      </c>
      <c r="M167" s="24" t="s">
        <v>1928</v>
      </c>
      <c r="N167" s="23" t="s">
        <v>1929</v>
      </c>
      <c r="O167" s="24" t="s">
        <v>1930</v>
      </c>
      <c r="P167" s="24" t="s">
        <v>1235</v>
      </c>
      <c r="Q167" s="24" t="s">
        <v>1801</v>
      </c>
      <c r="R167" s="28" t="s">
        <v>1931</v>
      </c>
      <c r="S167" s="24" t="s">
        <v>1874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174</v>
      </c>
      <c r="Y167" s="23" t="s">
        <v>174</v>
      </c>
      <c r="Z167" s="23" t="s">
        <v>174</v>
      </c>
      <c r="AA167" s="23" t="s">
        <v>174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  <c r="AE167" s="24" t="str">
        <f aca="false">M167&amp;" | 신명기 29~30장 #"&amp;SUBSTITUTE(안내!$C$5," ","")</f>
        <v>오늘 생명과 사망을 네 앞에 두었다 | 신명기 29~30장 #1분성경</v>
      </c>
      <c r="AF167" s="24" t="s">
        <v>304</v>
      </c>
      <c r="AG167" s="24"/>
      <c r="AH167" s="23" t="s">
        <v>290</v>
      </c>
      <c r="AI167" s="26" t="n">
        <f aca="false">U167-안내!$C$12</f>
        <v>46646</v>
      </c>
      <c r="AJ167" s="23" t="str">
        <f aca="false">IF(U167&lt;IF(C167=1,안내!$C$9,안내!$C$10)+안내!$C$12,"시즌 시작 전 제작","")</f>
        <v/>
      </c>
      <c r="AK167" s="24" t="s">
        <v>1063</v>
      </c>
      <c r="AL167" s="27"/>
      <c r="AM167" s="27"/>
      <c r="AN167" s="27"/>
      <c r="AO167" s="27"/>
      <c r="AP167" s="27"/>
      <c r="AQ167" s="23" t="str">
        <f aca="false">D167&amp;"|"&amp;TEXT(U167,"yyyy-mm-dd")</f>
        <v>구약|2027-10-14</v>
      </c>
      <c r="AR167" s="24" t="s">
        <v>1932</v>
      </c>
      <c r="AS167" s="24"/>
    </row>
    <row r="168" customFormat="false" ht="39.55" hidden="false" customHeight="false" outlineLevel="0" collapsed="false">
      <c r="A168" s="21" t="n">
        <v>167</v>
      </c>
      <c r="B168" s="18" t="s">
        <v>1933</v>
      </c>
      <c r="C168" s="23" t="n">
        <v>2</v>
      </c>
      <c r="D168" s="23" t="s">
        <v>160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1830</v>
      </c>
      <c r="H168" s="18" t="s">
        <v>1831</v>
      </c>
      <c r="I168" s="21" t="s">
        <v>1832</v>
      </c>
      <c r="J168" s="22" t="s">
        <v>1934</v>
      </c>
      <c r="K168" s="23" t="s">
        <v>1370</v>
      </c>
      <c r="L168" s="24" t="s">
        <v>1935</v>
      </c>
      <c r="M168" s="30" t="s">
        <v>1936</v>
      </c>
      <c r="N168" s="23" t="s">
        <v>1937</v>
      </c>
      <c r="O168" s="24" t="s">
        <v>1938</v>
      </c>
      <c r="P168" s="24" t="s">
        <v>1939</v>
      </c>
      <c r="Q168" s="24" t="s">
        <v>1940</v>
      </c>
      <c r="R168" s="24"/>
      <c r="S168" s="24" t="s">
        <v>1874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174</v>
      </c>
      <c r="Y168" s="23" t="s">
        <v>174</v>
      </c>
      <c r="Z168" s="23" t="s">
        <v>174</v>
      </c>
      <c r="AA168" s="23" t="s">
        <v>174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  <c r="AE168" s="24" t="str">
        <f aca="false">M168&amp;" | 신명기 31~32장 #"&amp;SUBSTITUTE(안내!$C$5," ","")</f>
        <v>120세 모세가 후계자에게 한 말 | 신명기 31~32장 #1분성경</v>
      </c>
      <c r="AF168" s="24" t="s">
        <v>304</v>
      </c>
      <c r="AG168" s="24"/>
      <c r="AH168" s="23" t="s">
        <v>360</v>
      </c>
      <c r="AI168" s="26" t="n">
        <f aca="false">U168-안내!$C$12</f>
        <v>46647</v>
      </c>
      <c r="AJ168" s="23" t="str">
        <f aca="false">IF(U168&lt;IF(C168=1,안내!$C$9,안내!$C$10)+안내!$C$12,"시즌 시작 전 제작","")</f>
        <v/>
      </c>
      <c r="AK168" s="24" t="s">
        <v>1321</v>
      </c>
      <c r="AL168" s="27"/>
      <c r="AM168" s="27"/>
      <c r="AN168" s="27"/>
      <c r="AO168" s="27"/>
      <c r="AP168" s="27"/>
      <c r="AQ168" s="23" t="str">
        <f aca="false">D168&amp;"|"&amp;TEXT(U168,"yyyy-mm-dd")</f>
        <v>구약|2027-10-15</v>
      </c>
      <c r="AR168" s="24" t="s">
        <v>1941</v>
      </c>
      <c r="AS168" s="24"/>
    </row>
    <row r="169" customFormat="false" ht="52.2" hidden="false" customHeight="false" outlineLevel="0" collapsed="false">
      <c r="A169" s="21" t="n">
        <v>168</v>
      </c>
      <c r="B169" s="18" t="s">
        <v>1942</v>
      </c>
      <c r="C169" s="20" t="n">
        <v>1</v>
      </c>
      <c r="D169" s="20" t="s">
        <v>160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1830</v>
      </c>
      <c r="H169" s="18" t="s">
        <v>1739</v>
      </c>
      <c r="I169" s="21" t="s">
        <v>1832</v>
      </c>
      <c r="J169" s="22" t="s">
        <v>1943</v>
      </c>
      <c r="K169" s="23" t="s">
        <v>1370</v>
      </c>
      <c r="L169" s="24" t="s">
        <v>1944</v>
      </c>
      <c r="M169" s="24" t="s">
        <v>1945</v>
      </c>
      <c r="N169" s="23" t="s">
        <v>1946</v>
      </c>
      <c r="O169" s="24" t="s">
        <v>1947</v>
      </c>
      <c r="P169" s="24" t="s">
        <v>1063</v>
      </c>
      <c r="Q169" s="24" t="s">
        <v>1948</v>
      </c>
      <c r="R169" s="25" t="s">
        <v>1949</v>
      </c>
      <c r="S169" s="29" t="s">
        <v>1950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174</v>
      </c>
      <c r="Y169" s="23" t="s">
        <v>174</v>
      </c>
      <c r="Z169" s="23" t="s">
        <v>174</v>
      </c>
      <c r="AA169" s="23" t="s">
        <v>174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  <c r="AE169" s="24" t="str">
        <f aca="false">M169&amp;" | 신명기 33~34장 #"&amp;SUBSTITUTE(안내!$C$5," ","")</f>
        <v>들어가지 못한 땅을 바라본 모세 | 신명기 33~34장 #1분성경</v>
      </c>
      <c r="AF169" s="24" t="s">
        <v>1951</v>
      </c>
      <c r="AG169" s="24"/>
      <c r="AH169" s="23" t="s">
        <v>290</v>
      </c>
      <c r="AI169" s="26" t="n">
        <f aca="false">U169-안내!$C$12</f>
        <v>46434</v>
      </c>
      <c r="AJ169" s="23" t="str">
        <f aca="false">IF(U169&lt;IF(C169=1,안내!$C$9,안내!$C$10)+안내!$C$12,"시즌 시작 전 제작","")</f>
        <v/>
      </c>
      <c r="AK169" s="24" t="s">
        <v>1063</v>
      </c>
      <c r="AL169" s="27"/>
      <c r="AM169" s="27"/>
      <c r="AN169" s="27"/>
      <c r="AO169" s="27"/>
      <c r="AP169" s="27"/>
      <c r="AQ169" s="23" t="str">
        <f aca="false">D169&amp;"|"&amp;TEXT(U169,"yyyy-mm-dd")</f>
        <v>구약|2027-03-16</v>
      </c>
      <c r="AR169" s="24" t="s">
        <v>1952</v>
      </c>
      <c r="AS169" s="24"/>
    </row>
    <row r="170" customFormat="false" ht="39.55" hidden="false" customHeight="false" outlineLevel="0" collapsed="false">
      <c r="A170" s="21" t="n">
        <v>169</v>
      </c>
      <c r="B170" s="18" t="s">
        <v>1953</v>
      </c>
      <c r="C170" s="20" t="n">
        <v>1</v>
      </c>
      <c r="D170" s="20" t="s">
        <v>160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1954</v>
      </c>
      <c r="H170" s="18" t="s">
        <v>1739</v>
      </c>
      <c r="I170" s="21" t="s">
        <v>1678</v>
      </c>
      <c r="J170" s="22" t="s">
        <v>1955</v>
      </c>
      <c r="K170" s="23" t="s">
        <v>165</v>
      </c>
      <c r="L170" s="24" t="s">
        <v>1935</v>
      </c>
      <c r="M170" s="24" t="s">
        <v>1956</v>
      </c>
      <c r="N170" s="23" t="s">
        <v>1957</v>
      </c>
      <c r="O170" s="24" t="s">
        <v>1958</v>
      </c>
      <c r="P170" s="24" t="s">
        <v>1959</v>
      </c>
      <c r="Q170" s="24" t="s">
        <v>1960</v>
      </c>
      <c r="R170" s="24"/>
      <c r="S170" s="24" t="s">
        <v>173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174</v>
      </c>
      <c r="Y170" s="23" t="s">
        <v>174</v>
      </c>
      <c r="Z170" s="23" t="s">
        <v>174</v>
      </c>
      <c r="AA170" s="23" t="s">
        <v>174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  <c r="AE170" s="24" t="str">
        <f aca="false">M170&amp;" | 여호수아 1장 #"&amp;SUBSTITUTE(안내!$C$5," ","")</f>
        <v>모세가 죽은 뒤 홀로 남은 지도자 | 여호수아 1장 #1분성경</v>
      </c>
      <c r="AF170" s="24" t="s">
        <v>1961</v>
      </c>
      <c r="AG170" s="24"/>
      <c r="AH170" s="23" t="s">
        <v>290</v>
      </c>
      <c r="AI170" s="26" t="n">
        <f aca="false">U170-안내!$C$12</f>
        <v>46435</v>
      </c>
      <c r="AJ170" s="23" t="str">
        <f aca="false">IF(U170&lt;IF(C170=1,안내!$C$9,안내!$C$10)+안내!$C$12,"시즌 시작 전 제작","")</f>
        <v/>
      </c>
      <c r="AK170" s="24" t="s">
        <v>1678</v>
      </c>
      <c r="AL170" s="27"/>
      <c r="AM170" s="27"/>
      <c r="AN170" s="27"/>
      <c r="AO170" s="27"/>
      <c r="AP170" s="27"/>
      <c r="AQ170" s="23" t="str">
        <f aca="false">D170&amp;"|"&amp;TEXT(U170,"yyyy-mm-dd")</f>
        <v>구약|2027-03-17</v>
      </c>
      <c r="AR170" s="24" t="s">
        <v>1962</v>
      </c>
      <c r="AS170" s="24"/>
    </row>
    <row r="171" customFormat="false" ht="26.85" hidden="false" customHeight="false" outlineLevel="0" collapsed="false">
      <c r="A171" s="21" t="n">
        <v>170</v>
      </c>
      <c r="B171" s="18" t="s">
        <v>1963</v>
      </c>
      <c r="C171" s="20" t="n">
        <v>1</v>
      </c>
      <c r="D171" s="20" t="s">
        <v>160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1954</v>
      </c>
      <c r="H171" s="18" t="s">
        <v>1739</v>
      </c>
      <c r="I171" s="21" t="s">
        <v>1678</v>
      </c>
      <c r="J171" s="22" t="s">
        <v>1964</v>
      </c>
      <c r="K171" s="23" t="s">
        <v>165</v>
      </c>
      <c r="L171" s="24" t="s">
        <v>1965</v>
      </c>
      <c r="M171" s="24" t="s">
        <v>1966</v>
      </c>
      <c r="N171" s="23" t="s">
        <v>1967</v>
      </c>
      <c r="O171" s="24" t="s">
        <v>1968</v>
      </c>
      <c r="P171" s="24" t="s">
        <v>1969</v>
      </c>
      <c r="Q171" s="24" t="s">
        <v>1970</v>
      </c>
      <c r="R171" s="25" t="s">
        <v>1971</v>
      </c>
      <c r="S171" s="24" t="s">
        <v>173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174</v>
      </c>
      <c r="Y171" s="23" t="s">
        <v>174</v>
      </c>
      <c r="Z171" s="23" t="s">
        <v>174</v>
      </c>
      <c r="AA171" s="23" t="s">
        <v>174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  <c r="AE171" s="24" t="str">
        <f aca="false">M171&amp;" | 여호수아 2장 #"&amp;SUBSTITUTE(안내!$C$5," ","")</f>
        <v>적국의 여인이 정탐꾼을 숨겨 주었다 | 여호수아 2장 #1분성경</v>
      </c>
      <c r="AF171" s="24" t="s">
        <v>1972</v>
      </c>
      <c r="AG171" s="24"/>
      <c r="AH171" s="23" t="s">
        <v>290</v>
      </c>
      <c r="AI171" s="26" t="n">
        <f aca="false">U171-안내!$C$12</f>
        <v>46436</v>
      </c>
      <c r="AJ171" s="23" t="str">
        <f aca="false">IF(U171&lt;IF(C171=1,안내!$C$9,안내!$C$10)+안내!$C$12,"시즌 시작 전 제작","")</f>
        <v/>
      </c>
      <c r="AK171" s="24"/>
      <c r="AL171" s="27"/>
      <c r="AM171" s="27"/>
      <c r="AN171" s="27"/>
      <c r="AO171" s="27"/>
      <c r="AP171" s="27"/>
      <c r="AQ171" s="23" t="str">
        <f aca="false">D171&amp;"|"&amp;TEXT(U171,"yyyy-mm-dd")</f>
        <v>구약|2027-03-18</v>
      </c>
      <c r="AR171" s="24" t="s">
        <v>1973</v>
      </c>
      <c r="AS171" s="24"/>
    </row>
    <row r="172" customFormat="false" ht="26.85" hidden="false" customHeight="false" outlineLevel="0" collapsed="false">
      <c r="A172" s="21" t="n">
        <v>171</v>
      </c>
      <c r="B172" s="18" t="s">
        <v>1974</v>
      </c>
      <c r="C172" s="20" t="n">
        <v>1</v>
      </c>
      <c r="D172" s="20" t="s">
        <v>160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1954</v>
      </c>
      <c r="H172" s="18" t="s">
        <v>1739</v>
      </c>
      <c r="I172" s="21" t="s">
        <v>1678</v>
      </c>
      <c r="J172" s="22" t="s">
        <v>1975</v>
      </c>
      <c r="K172" s="23" t="s">
        <v>165</v>
      </c>
      <c r="L172" s="24" t="s">
        <v>1976</v>
      </c>
      <c r="M172" s="24" t="s">
        <v>1977</v>
      </c>
      <c r="N172" s="23" t="s">
        <v>1978</v>
      </c>
      <c r="O172" s="24" t="s">
        <v>1979</v>
      </c>
      <c r="P172" s="24" t="s">
        <v>1980</v>
      </c>
      <c r="Q172" s="24" t="s">
        <v>1981</v>
      </c>
      <c r="R172" s="24"/>
      <c r="S172" s="24" t="s">
        <v>173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174</v>
      </c>
      <c r="Y172" s="23" t="s">
        <v>174</v>
      </c>
      <c r="Z172" s="23" t="s">
        <v>174</v>
      </c>
      <c r="AA172" s="23" t="s">
        <v>174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  <c r="AE172" s="24" t="str">
        <f aca="false">M172&amp;" | 여호수아 3~4장 #"&amp;SUBSTITUTE(안내!$C$5," ","")</f>
        <v>제사장의 발이 물에 닿자 강이 멈췄다 | 여호수아 3~4장 #1분성경</v>
      </c>
      <c r="AF172" s="24" t="s">
        <v>1982</v>
      </c>
      <c r="AG172" s="24" t="s">
        <v>1983</v>
      </c>
      <c r="AH172" s="23" t="s">
        <v>290</v>
      </c>
      <c r="AI172" s="26" t="n">
        <f aca="false">U172-안내!$C$12</f>
        <v>46437</v>
      </c>
      <c r="AJ172" s="23" t="str">
        <f aca="false">IF(U172&lt;IF(C172=1,안내!$C$9,안내!$C$10)+안내!$C$12,"시즌 시작 전 제작","")</f>
        <v/>
      </c>
      <c r="AK172" s="24" t="s">
        <v>1678</v>
      </c>
      <c r="AL172" s="27"/>
      <c r="AM172" s="27"/>
      <c r="AN172" s="27"/>
      <c r="AO172" s="27"/>
      <c r="AP172" s="27"/>
      <c r="AQ172" s="23" t="str">
        <f aca="false">D172&amp;"|"&amp;TEXT(U172,"yyyy-mm-dd")</f>
        <v>구약|2027-03-19</v>
      </c>
      <c r="AR172" s="24" t="s">
        <v>1984</v>
      </c>
      <c r="AS172" s="24"/>
    </row>
    <row r="173" customFormat="false" ht="39.55" hidden="false" customHeight="false" outlineLevel="0" collapsed="false">
      <c r="A173" s="21" t="n">
        <v>172</v>
      </c>
      <c r="B173" s="18" t="s">
        <v>1985</v>
      </c>
      <c r="C173" s="23" t="n">
        <v>2</v>
      </c>
      <c r="D173" s="23" t="s">
        <v>160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1954</v>
      </c>
      <c r="H173" s="18" t="s">
        <v>1986</v>
      </c>
      <c r="I173" s="21" t="s">
        <v>1678</v>
      </c>
      <c r="J173" s="22" t="s">
        <v>1987</v>
      </c>
      <c r="K173" s="23" t="s">
        <v>165</v>
      </c>
      <c r="L173" s="24" t="s">
        <v>1988</v>
      </c>
      <c r="M173" s="24" t="s">
        <v>1989</v>
      </c>
      <c r="N173" s="23" t="s">
        <v>1990</v>
      </c>
      <c r="O173" s="24" t="s">
        <v>1991</v>
      </c>
      <c r="P173" s="24" t="s">
        <v>1992</v>
      </c>
      <c r="Q173" s="24" t="s">
        <v>1993</v>
      </c>
      <c r="R173" s="25" t="s">
        <v>1994</v>
      </c>
      <c r="S173" s="24" t="s">
        <v>1995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174</v>
      </c>
      <c r="Y173" s="23" t="s">
        <v>174</v>
      </c>
      <c r="Z173" s="23" t="s">
        <v>174</v>
      </c>
      <c r="AA173" s="23" t="s">
        <v>174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  <c r="AE173" s="24" t="str">
        <f aca="false">M173&amp;" | 여호수아 5장 #"&amp;SUBSTITUTE(안내!$C$5," ","")</f>
        <v>칼을 든 사람이 여호수아 앞에 섰다 | 여호수아 5장 #1분성경</v>
      </c>
      <c r="AF173" s="24" t="s">
        <v>304</v>
      </c>
      <c r="AG173" s="24" t="s">
        <v>1996</v>
      </c>
      <c r="AH173" s="23" t="s">
        <v>290</v>
      </c>
      <c r="AI173" s="26" t="n">
        <f aca="false">U173-안내!$C$12</f>
        <v>46648</v>
      </c>
      <c r="AJ173" s="23" t="str">
        <f aca="false">IF(U173&lt;IF(C173=1,안내!$C$9,안내!$C$10)+안내!$C$12,"시즌 시작 전 제작","")</f>
        <v/>
      </c>
      <c r="AK173" s="24" t="s">
        <v>1678</v>
      </c>
      <c r="AL173" s="27"/>
      <c r="AM173" s="27"/>
      <c r="AN173" s="27"/>
      <c r="AO173" s="27"/>
      <c r="AP173" s="27"/>
      <c r="AQ173" s="23" t="str">
        <f aca="false">D173&amp;"|"&amp;TEXT(U173,"yyyy-mm-dd")</f>
        <v>구약|2027-10-16</v>
      </c>
      <c r="AR173" s="24" t="s">
        <v>1997</v>
      </c>
      <c r="AS173" s="24"/>
    </row>
    <row r="174" customFormat="false" ht="39.55" hidden="false" customHeight="false" outlineLevel="0" collapsed="false">
      <c r="A174" s="21" t="n">
        <v>173</v>
      </c>
      <c r="B174" s="18" t="s">
        <v>1998</v>
      </c>
      <c r="C174" s="20" t="n">
        <v>1</v>
      </c>
      <c r="D174" s="20" t="s">
        <v>160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1954</v>
      </c>
      <c r="H174" s="18" t="s">
        <v>1739</v>
      </c>
      <c r="I174" s="21" t="s">
        <v>1678</v>
      </c>
      <c r="J174" s="22" t="s">
        <v>1999</v>
      </c>
      <c r="K174" s="23" t="s">
        <v>165</v>
      </c>
      <c r="L174" s="24" t="s">
        <v>2000</v>
      </c>
      <c r="M174" s="30" t="s">
        <v>2001</v>
      </c>
      <c r="N174" s="23" t="s">
        <v>2002</v>
      </c>
      <c r="O174" s="24" t="s">
        <v>2003</v>
      </c>
      <c r="P174" s="24" t="s">
        <v>2004</v>
      </c>
      <c r="Q174" s="24" t="s">
        <v>2005</v>
      </c>
      <c r="R174" s="25" t="s">
        <v>2006</v>
      </c>
      <c r="S174" s="29" t="s">
        <v>2007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174</v>
      </c>
      <c r="Y174" s="23" t="s">
        <v>174</v>
      </c>
      <c r="Z174" s="23" t="s">
        <v>174</v>
      </c>
      <c r="AA174" s="23" t="s">
        <v>174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  <c r="AE174" s="24" t="str">
        <f aca="false">M174&amp;" | 여호수아 6장 #"&amp;SUBSTITUTE(안내!$C$5," ","")</f>
        <v>7일 동안 돌기만 했는데 성벽이 무너졌다 | 여호수아 6장 #1분성경</v>
      </c>
      <c r="AF174" s="24" t="s">
        <v>2008</v>
      </c>
      <c r="AG174" s="24" t="s">
        <v>2009</v>
      </c>
      <c r="AH174" s="23" t="s">
        <v>360</v>
      </c>
      <c r="AI174" s="26" t="n">
        <f aca="false">U174-안내!$C$12</f>
        <v>46438</v>
      </c>
      <c r="AJ174" s="23" t="str">
        <f aca="false">IF(U174&lt;IF(C174=1,안내!$C$9,안내!$C$10)+안내!$C$12,"시즌 시작 전 제작","")</f>
        <v/>
      </c>
      <c r="AK174" s="24" t="s">
        <v>1678</v>
      </c>
      <c r="AL174" s="27"/>
      <c r="AM174" s="27"/>
      <c r="AN174" s="27"/>
      <c r="AO174" s="27"/>
      <c r="AP174" s="27"/>
      <c r="AQ174" s="23" t="str">
        <f aca="false">D174&amp;"|"&amp;TEXT(U174,"yyyy-mm-dd")</f>
        <v>구약|2027-03-20</v>
      </c>
      <c r="AR174" s="24" t="s">
        <v>2010</v>
      </c>
      <c r="AS174" s="24"/>
    </row>
    <row r="175" customFormat="false" ht="39.55" hidden="false" customHeight="false" outlineLevel="0" collapsed="false">
      <c r="A175" s="21" t="n">
        <v>174</v>
      </c>
      <c r="B175" s="18" t="s">
        <v>2011</v>
      </c>
      <c r="C175" s="20" t="n">
        <v>1</v>
      </c>
      <c r="D175" s="20" t="s">
        <v>160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1954</v>
      </c>
      <c r="H175" s="18" t="s">
        <v>1739</v>
      </c>
      <c r="I175" s="21" t="s">
        <v>1678</v>
      </c>
      <c r="J175" s="22" t="s">
        <v>2012</v>
      </c>
      <c r="K175" s="23" t="s">
        <v>165</v>
      </c>
      <c r="L175" s="24" t="s">
        <v>2013</v>
      </c>
      <c r="M175" s="24" t="s">
        <v>2014</v>
      </c>
      <c r="N175" s="23" t="s">
        <v>2015</v>
      </c>
      <c r="O175" s="24" t="s">
        <v>2016</v>
      </c>
      <c r="P175" s="24" t="s">
        <v>2017</v>
      </c>
      <c r="Q175" s="24" t="s">
        <v>2018</v>
      </c>
      <c r="R175" s="25" t="s">
        <v>885</v>
      </c>
      <c r="S175" s="24" t="s">
        <v>173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174</v>
      </c>
      <c r="Y175" s="23" t="s">
        <v>174</v>
      </c>
      <c r="Z175" s="23" t="s">
        <v>174</v>
      </c>
      <c r="AA175" s="23" t="s">
        <v>174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  <c r="AE175" s="24" t="str">
        <f aca="false">M175&amp;" | 여호수아 7장 #"&amp;SUBSTITUTE(안내!$C$5," ","")</f>
        <v>작은 성에서 대패한 이유 | 여호수아 7장 #1분성경</v>
      </c>
      <c r="AF175" s="24" t="s">
        <v>2019</v>
      </c>
      <c r="AG175" s="24"/>
      <c r="AH175" s="23" t="s">
        <v>290</v>
      </c>
      <c r="AI175" s="26" t="n">
        <f aca="false">U175-안내!$C$12</f>
        <v>46439</v>
      </c>
      <c r="AJ175" s="23" t="str">
        <f aca="false">IF(U175&lt;IF(C175=1,안내!$C$9,안내!$C$10)+안내!$C$12,"시즌 시작 전 제작","")</f>
        <v/>
      </c>
      <c r="AK175" s="24" t="s">
        <v>1678</v>
      </c>
      <c r="AL175" s="27"/>
      <c r="AM175" s="27"/>
      <c r="AN175" s="27"/>
      <c r="AO175" s="27"/>
      <c r="AP175" s="27"/>
      <c r="AQ175" s="23" t="str">
        <f aca="false">D175&amp;"|"&amp;TEXT(U175,"yyyy-mm-dd")</f>
        <v>구약|2027-03-21</v>
      </c>
      <c r="AR175" s="24" t="s">
        <v>2020</v>
      </c>
      <c r="AS175" s="24" t="s">
        <v>292</v>
      </c>
    </row>
    <row r="176" customFormat="false" ht="39.55" hidden="false" customHeight="false" outlineLevel="0" collapsed="false">
      <c r="A176" s="21" t="n">
        <v>175</v>
      </c>
      <c r="B176" s="18" t="s">
        <v>2021</v>
      </c>
      <c r="C176" s="23" t="n">
        <v>2</v>
      </c>
      <c r="D176" s="23" t="s">
        <v>160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1954</v>
      </c>
      <c r="H176" s="18" t="s">
        <v>1986</v>
      </c>
      <c r="I176" s="21" t="s">
        <v>1678</v>
      </c>
      <c r="J176" s="22" t="s">
        <v>2022</v>
      </c>
      <c r="K176" s="23" t="s">
        <v>165</v>
      </c>
      <c r="L176" s="24" t="s">
        <v>2023</v>
      </c>
      <c r="M176" s="24" t="s">
        <v>2024</v>
      </c>
      <c r="N176" s="23" t="s">
        <v>2025</v>
      </c>
      <c r="O176" s="24" t="s">
        <v>2026</v>
      </c>
      <c r="P176" s="24" t="s">
        <v>2027</v>
      </c>
      <c r="Q176" s="24" t="s">
        <v>2028</v>
      </c>
      <c r="R176" s="24"/>
      <c r="S176" s="24" t="s">
        <v>2029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174</v>
      </c>
      <c r="Y176" s="23" t="s">
        <v>174</v>
      </c>
      <c r="Z176" s="23" t="s">
        <v>174</v>
      </c>
      <c r="AA176" s="23" t="s">
        <v>174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  <c r="AE176" s="24" t="str">
        <f aca="false">M176&amp;" | 여호수아 8장 #"&amp;SUBSTITUTE(안내!$C$5," ","")</f>
        <v>실패한 그 성을 다시 공격하라 | 여호수아 8장 #1분성경</v>
      </c>
      <c r="AF176" s="24" t="s">
        <v>304</v>
      </c>
      <c r="AG176" s="24"/>
      <c r="AH176" s="23" t="s">
        <v>290</v>
      </c>
      <c r="AI176" s="26" t="n">
        <f aca="false">U176-안내!$C$12</f>
        <v>46649</v>
      </c>
      <c r="AJ176" s="23" t="str">
        <f aca="false">IF(U176&lt;IF(C176=1,안내!$C$9,안내!$C$10)+안내!$C$12,"시즌 시작 전 제작","")</f>
        <v/>
      </c>
      <c r="AK176" s="24" t="s">
        <v>1678</v>
      </c>
      <c r="AL176" s="27"/>
      <c r="AM176" s="27"/>
      <c r="AN176" s="27"/>
      <c r="AO176" s="27"/>
      <c r="AP176" s="27"/>
      <c r="AQ176" s="23" t="str">
        <f aca="false">D176&amp;"|"&amp;TEXT(U176,"yyyy-mm-dd")</f>
        <v>구약|2027-10-17</v>
      </c>
      <c r="AR176" s="24" t="s">
        <v>2030</v>
      </c>
      <c r="AS176" s="24"/>
    </row>
    <row r="177" customFormat="false" ht="26.85" hidden="false" customHeight="false" outlineLevel="0" collapsed="false">
      <c r="A177" s="21" t="n">
        <v>176</v>
      </c>
      <c r="B177" s="18" t="s">
        <v>2031</v>
      </c>
      <c r="C177" s="23" t="n">
        <v>2</v>
      </c>
      <c r="D177" s="23" t="s">
        <v>160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2032</v>
      </c>
      <c r="H177" s="18" t="s">
        <v>1986</v>
      </c>
      <c r="I177" s="21" t="s">
        <v>1678</v>
      </c>
      <c r="J177" s="22" t="s">
        <v>2033</v>
      </c>
      <c r="K177" s="23" t="s">
        <v>165</v>
      </c>
      <c r="L177" s="24" t="s">
        <v>2034</v>
      </c>
      <c r="M177" s="24" t="s">
        <v>2035</v>
      </c>
      <c r="N177" s="23" t="s">
        <v>2036</v>
      </c>
      <c r="O177" s="24" t="s">
        <v>2037</v>
      </c>
      <c r="P177" s="24" t="s">
        <v>2038</v>
      </c>
      <c r="Q177" s="24" t="s">
        <v>2039</v>
      </c>
      <c r="R177" s="24"/>
      <c r="S177" s="24" t="s">
        <v>2029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174</v>
      </c>
      <c r="Y177" s="23" t="s">
        <v>174</v>
      </c>
      <c r="Z177" s="23" t="s">
        <v>174</v>
      </c>
      <c r="AA177" s="23" t="s">
        <v>174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  <c r="AE177" s="24" t="str">
        <f aca="false">M177&amp;" | 여호수아 9장 #"&amp;SUBSTITUTE(안내!$C$5," ","")</f>
        <v>낡은 옷과 곰팡이 핀 빵에 속았다 | 여호수아 9장 #1분성경</v>
      </c>
      <c r="AF177" s="24" t="s">
        <v>304</v>
      </c>
      <c r="AG177" s="24"/>
      <c r="AH177" s="23" t="s">
        <v>290</v>
      </c>
      <c r="AI177" s="26" t="n">
        <f aca="false">U177-안내!$C$12</f>
        <v>46650</v>
      </c>
      <c r="AJ177" s="23" t="str">
        <f aca="false">IF(U177&lt;IF(C177=1,안내!$C$9,안내!$C$10)+안내!$C$12,"시즌 시작 전 제작","")</f>
        <v/>
      </c>
      <c r="AK177" s="24" t="s">
        <v>1678</v>
      </c>
      <c r="AL177" s="27"/>
      <c r="AM177" s="27"/>
      <c r="AN177" s="27"/>
      <c r="AO177" s="27"/>
      <c r="AP177" s="27"/>
      <c r="AQ177" s="23" t="str">
        <f aca="false">D177&amp;"|"&amp;TEXT(U177,"yyyy-mm-dd")</f>
        <v>구약|2027-10-18</v>
      </c>
      <c r="AR177" s="24" t="s">
        <v>2040</v>
      </c>
      <c r="AS177" s="24"/>
    </row>
    <row r="178" customFormat="false" ht="39.55" hidden="false" customHeight="false" outlineLevel="0" collapsed="false">
      <c r="A178" s="21" t="n">
        <v>177</v>
      </c>
      <c r="B178" s="18" t="s">
        <v>2041</v>
      </c>
      <c r="C178" s="20" t="n">
        <v>1</v>
      </c>
      <c r="D178" s="20" t="s">
        <v>160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2032</v>
      </c>
      <c r="H178" s="18" t="s">
        <v>2042</v>
      </c>
      <c r="I178" s="21" t="s">
        <v>1678</v>
      </c>
      <c r="J178" s="22" t="s">
        <v>2043</v>
      </c>
      <c r="K178" s="23" t="s">
        <v>165</v>
      </c>
      <c r="L178" s="24" t="s">
        <v>2044</v>
      </c>
      <c r="M178" s="24" t="s">
        <v>2045</v>
      </c>
      <c r="N178" s="23" t="s">
        <v>2046</v>
      </c>
      <c r="O178" s="24" t="s">
        <v>2047</v>
      </c>
      <c r="P178" s="24" t="s">
        <v>2048</v>
      </c>
      <c r="Q178" s="24" t="s">
        <v>2049</v>
      </c>
      <c r="R178" s="24"/>
      <c r="S178" s="29" t="s">
        <v>2050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174</v>
      </c>
      <c r="Y178" s="23" t="s">
        <v>174</v>
      </c>
      <c r="Z178" s="23" t="s">
        <v>174</v>
      </c>
      <c r="AA178" s="23" t="s">
        <v>174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  <c r="AE178" s="24" t="str">
        <f aca="false">M178&amp;" | 여호수아 10장 #"&amp;SUBSTITUTE(안내!$C$5," ","")</f>
        <v>해가 하루 종일 멈춰 섰다 | 여호수아 10장 #1분성경</v>
      </c>
      <c r="AF178" s="24" t="s">
        <v>2051</v>
      </c>
      <c r="AG178" s="24" t="s">
        <v>2052</v>
      </c>
      <c r="AH178" s="23" t="s">
        <v>290</v>
      </c>
      <c r="AI178" s="26" t="n">
        <f aca="false">U178-안내!$C$12</f>
        <v>46440</v>
      </c>
      <c r="AJ178" s="23" t="str">
        <f aca="false">IF(U178&lt;IF(C178=1,안내!$C$9,안내!$C$10)+안내!$C$12,"시즌 시작 전 제작","")</f>
        <v/>
      </c>
      <c r="AK178" s="24" t="s">
        <v>1678</v>
      </c>
      <c r="AL178" s="27"/>
      <c r="AM178" s="27"/>
      <c r="AN178" s="27"/>
      <c r="AO178" s="27"/>
      <c r="AP178" s="27"/>
      <c r="AQ178" s="23" t="str">
        <f aca="false">D178&amp;"|"&amp;TEXT(U178,"yyyy-mm-dd")</f>
        <v>구약|2027-03-22</v>
      </c>
      <c r="AR178" s="24" t="s">
        <v>2053</v>
      </c>
      <c r="AS178" s="24"/>
    </row>
    <row r="179" customFormat="false" ht="39.55" hidden="false" customHeight="false" outlineLevel="0" collapsed="false">
      <c r="A179" s="21" t="n">
        <v>178</v>
      </c>
      <c r="B179" s="18" t="s">
        <v>2054</v>
      </c>
      <c r="C179" s="23" t="n">
        <v>2</v>
      </c>
      <c r="D179" s="23" t="s">
        <v>160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2032</v>
      </c>
      <c r="H179" s="18" t="s">
        <v>1986</v>
      </c>
      <c r="I179" s="21" t="s">
        <v>1678</v>
      </c>
      <c r="J179" s="22" t="s">
        <v>2055</v>
      </c>
      <c r="K179" s="23" t="s">
        <v>1370</v>
      </c>
      <c r="L179" s="24" t="s">
        <v>2056</v>
      </c>
      <c r="M179" s="30" t="s">
        <v>2057</v>
      </c>
      <c r="N179" s="23" t="s">
        <v>2058</v>
      </c>
      <c r="O179" s="24" t="s">
        <v>2059</v>
      </c>
      <c r="P179" s="24" t="s">
        <v>2060</v>
      </c>
      <c r="Q179" s="24" t="s">
        <v>2061</v>
      </c>
      <c r="R179" s="25" t="s">
        <v>2062</v>
      </c>
      <c r="S179" s="24" t="s">
        <v>2063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174</v>
      </c>
      <c r="Y179" s="23" t="s">
        <v>174</v>
      </c>
      <c r="Z179" s="23" t="s">
        <v>174</v>
      </c>
      <c r="AA179" s="23" t="s">
        <v>174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  <c r="AE179" s="24" t="str">
        <f aca="false">M179&amp;" | 여호수아 10~12장 #"&amp;SUBSTITUTE(안내!$C$5," ","")</f>
        <v>31명의 왕을 이기다 | 여호수아 10~12장 #1분성경</v>
      </c>
      <c r="AF179" s="24" t="s">
        <v>304</v>
      </c>
      <c r="AG179" s="24"/>
      <c r="AH179" s="23" t="s">
        <v>360</v>
      </c>
      <c r="AI179" s="26" t="n">
        <f aca="false">U179-안내!$C$12</f>
        <v>46651</v>
      </c>
      <c r="AJ179" s="23" t="str">
        <f aca="false">IF(U179&lt;IF(C179=1,안내!$C$9,안내!$C$10)+안내!$C$12,"시즌 시작 전 제작","")</f>
        <v/>
      </c>
      <c r="AK179" s="24" t="s">
        <v>1678</v>
      </c>
      <c r="AL179" s="27"/>
      <c r="AM179" s="27"/>
      <c r="AN179" s="27"/>
      <c r="AO179" s="27"/>
      <c r="AP179" s="27"/>
      <c r="AQ179" s="23" t="str">
        <f aca="false">D179&amp;"|"&amp;TEXT(U179,"yyyy-mm-dd")</f>
        <v>구약|2027-10-19</v>
      </c>
      <c r="AR179" s="24" t="s">
        <v>2064</v>
      </c>
      <c r="AS179" s="24" t="s">
        <v>292</v>
      </c>
    </row>
    <row r="180" customFormat="false" ht="26.85" hidden="false" customHeight="false" outlineLevel="0" collapsed="false">
      <c r="A180" s="21" t="n">
        <v>179</v>
      </c>
      <c r="B180" s="18" t="s">
        <v>2065</v>
      </c>
      <c r="C180" s="23" t="n">
        <v>2</v>
      </c>
      <c r="D180" s="23" t="s">
        <v>160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2032</v>
      </c>
      <c r="H180" s="18" t="s">
        <v>1986</v>
      </c>
      <c r="I180" s="21" t="s">
        <v>1678</v>
      </c>
      <c r="J180" s="22" t="s">
        <v>2066</v>
      </c>
      <c r="K180" s="23" t="s">
        <v>1370</v>
      </c>
      <c r="L180" s="24" t="s">
        <v>2067</v>
      </c>
      <c r="M180" s="24" t="s">
        <v>2068</v>
      </c>
      <c r="N180" s="23" t="s">
        <v>2069</v>
      </c>
      <c r="O180" s="24" t="s">
        <v>2070</v>
      </c>
      <c r="P180" s="24" t="s">
        <v>2071</v>
      </c>
      <c r="Q180" s="24" t="s">
        <v>2072</v>
      </c>
      <c r="R180" s="24"/>
      <c r="S180" s="24" t="s">
        <v>2063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174</v>
      </c>
      <c r="Y180" s="23" t="s">
        <v>174</v>
      </c>
      <c r="Z180" s="23" t="s">
        <v>174</v>
      </c>
      <c r="AA180" s="23" t="s">
        <v>174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  <c r="AE180" s="24" t="str">
        <f aca="false">M180&amp;" | 여호수아 13~14장 #"&amp;SUBSTITUTE(안내!$C$5," ","")</f>
        <v>아직 정복할 땅이 많이 남았다 | 여호수아 13~14장 #1분성경</v>
      </c>
      <c r="AF180" s="24" t="s">
        <v>304</v>
      </c>
      <c r="AG180" s="24"/>
      <c r="AH180" s="23" t="s">
        <v>290</v>
      </c>
      <c r="AI180" s="26" t="n">
        <f aca="false">U180-안내!$C$12</f>
        <v>46652</v>
      </c>
      <c r="AJ180" s="23" t="str">
        <f aca="false">IF(U180&lt;IF(C180=1,안내!$C$9,안내!$C$10)+안내!$C$12,"시즌 시작 전 제작","")</f>
        <v/>
      </c>
      <c r="AK180" s="24" t="s">
        <v>1678</v>
      </c>
      <c r="AL180" s="27"/>
      <c r="AM180" s="27"/>
      <c r="AN180" s="27"/>
      <c r="AO180" s="27"/>
      <c r="AP180" s="27"/>
      <c r="AQ180" s="23" t="str">
        <f aca="false">D180&amp;"|"&amp;TEXT(U180,"yyyy-mm-dd")</f>
        <v>구약|2027-10-20</v>
      </c>
      <c r="AR180" s="24" t="s">
        <v>2073</v>
      </c>
      <c r="AS180" s="24"/>
    </row>
    <row r="181" customFormat="false" ht="52.2" hidden="false" customHeight="false" outlineLevel="0" collapsed="false">
      <c r="A181" s="21" t="n">
        <v>180</v>
      </c>
      <c r="B181" s="18" t="s">
        <v>2074</v>
      </c>
      <c r="C181" s="23" t="n">
        <v>2</v>
      </c>
      <c r="D181" s="23" t="s">
        <v>160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2032</v>
      </c>
      <c r="H181" s="18" t="s">
        <v>1986</v>
      </c>
      <c r="I181" s="21" t="s">
        <v>1678</v>
      </c>
      <c r="J181" s="22" t="s">
        <v>2075</v>
      </c>
      <c r="K181" s="23" t="s">
        <v>165</v>
      </c>
      <c r="L181" s="30" t="s">
        <v>2076</v>
      </c>
      <c r="M181" s="24" t="s">
        <v>2077</v>
      </c>
      <c r="N181" s="23" t="s">
        <v>2078</v>
      </c>
      <c r="O181" s="24" t="s">
        <v>2079</v>
      </c>
      <c r="P181" s="24" t="s">
        <v>2080</v>
      </c>
      <c r="Q181" s="24" t="s">
        <v>2081</v>
      </c>
      <c r="R181" s="24"/>
      <c r="S181" s="24" t="s">
        <v>2063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174</v>
      </c>
      <c r="Y181" s="23" t="s">
        <v>174</v>
      </c>
      <c r="Z181" s="23" t="s">
        <v>174</v>
      </c>
      <c r="AA181" s="23" t="s">
        <v>174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  <c r="AE181" s="24" t="str">
        <f aca="false">M181&amp;" | 여호수아 14장 #"&amp;SUBSTITUTE(안내!$C$5," ","")</f>
        <v>이 산지를 내게 주소서 | 여호수아 14장 #1분성경</v>
      </c>
      <c r="AF181" s="24" t="s">
        <v>304</v>
      </c>
      <c r="AG181" s="24"/>
      <c r="AH181" s="23" t="s">
        <v>290</v>
      </c>
      <c r="AI181" s="26" t="n">
        <f aca="false">U181-안내!$C$12</f>
        <v>46653</v>
      </c>
      <c r="AJ181" s="23" t="str">
        <f aca="false">IF(U181&lt;IF(C181=1,안내!$C$9,안내!$C$10)+안내!$C$12,"시즌 시작 전 제작","")</f>
        <v/>
      </c>
      <c r="AK181" s="24" t="s">
        <v>1678</v>
      </c>
      <c r="AL181" s="27"/>
      <c r="AM181" s="27"/>
      <c r="AN181" s="27"/>
      <c r="AO181" s="27"/>
      <c r="AP181" s="27"/>
      <c r="AQ181" s="23" t="str">
        <f aca="false">D181&amp;"|"&amp;TEXT(U181,"yyyy-mm-dd")</f>
        <v>구약|2027-10-21</v>
      </c>
      <c r="AR181" s="24" t="s">
        <v>2082</v>
      </c>
      <c r="AS181" s="24"/>
    </row>
    <row r="182" customFormat="false" ht="26.85" hidden="false" customHeight="false" outlineLevel="0" collapsed="false">
      <c r="A182" s="21" t="n">
        <v>181</v>
      </c>
      <c r="B182" s="18" t="s">
        <v>2083</v>
      </c>
      <c r="C182" s="23" t="n">
        <v>2</v>
      </c>
      <c r="D182" s="23" t="s">
        <v>160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2032</v>
      </c>
      <c r="H182" s="18" t="s">
        <v>1986</v>
      </c>
      <c r="I182" s="21" t="s">
        <v>1678</v>
      </c>
      <c r="J182" s="22" t="s">
        <v>2084</v>
      </c>
      <c r="K182" s="23" t="s">
        <v>1370</v>
      </c>
      <c r="L182" s="24" t="s">
        <v>2085</v>
      </c>
      <c r="M182" s="24" t="s">
        <v>2086</v>
      </c>
      <c r="N182" s="23" t="s">
        <v>2087</v>
      </c>
      <c r="O182" s="24" t="s">
        <v>2088</v>
      </c>
      <c r="P182" s="24" t="s">
        <v>2089</v>
      </c>
      <c r="Q182" s="24" t="s">
        <v>2090</v>
      </c>
      <c r="R182" s="24"/>
      <c r="S182" s="24" t="s">
        <v>2063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174</v>
      </c>
      <c r="Y182" s="23" t="s">
        <v>174</v>
      </c>
      <c r="Z182" s="23" t="s">
        <v>174</v>
      </c>
      <c r="AA182" s="23" t="s">
        <v>174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  <c r="AE182" s="24" t="str">
        <f aca="false">M182&amp;" | 여호수아 15~19장 #"&amp;SUBSTITUTE(안내!$C$5," ","")</f>
        <v>각 지파가 받은 땅은 어디였을까? | 여호수아 15~19장 #1분성경</v>
      </c>
      <c r="AF182" s="24" t="s">
        <v>304</v>
      </c>
      <c r="AG182" s="24"/>
      <c r="AH182" s="23" t="s">
        <v>176</v>
      </c>
      <c r="AI182" s="26" t="n">
        <f aca="false">U182-안내!$C$12</f>
        <v>46654</v>
      </c>
      <c r="AJ182" s="23" t="str">
        <f aca="false">IF(U182&lt;IF(C182=1,안내!$C$9,안내!$C$10)+안내!$C$12,"시즌 시작 전 제작","")</f>
        <v/>
      </c>
      <c r="AK182" s="24"/>
      <c r="AL182" s="27"/>
      <c r="AM182" s="27"/>
      <c r="AN182" s="27"/>
      <c r="AO182" s="27"/>
      <c r="AP182" s="27"/>
      <c r="AQ182" s="23" t="str">
        <f aca="false">D182&amp;"|"&amp;TEXT(U182,"yyyy-mm-dd")</f>
        <v>구약|2027-10-22</v>
      </c>
      <c r="AR182" s="24" t="s">
        <v>2091</v>
      </c>
      <c r="AS182" s="24" t="s">
        <v>292</v>
      </c>
    </row>
    <row r="183" customFormat="false" ht="26.85" hidden="false" customHeight="false" outlineLevel="0" collapsed="false">
      <c r="A183" s="21" t="n">
        <v>182</v>
      </c>
      <c r="B183" s="18" t="s">
        <v>2092</v>
      </c>
      <c r="C183" s="23" t="n">
        <v>2</v>
      </c>
      <c r="D183" s="23" t="s">
        <v>160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2032</v>
      </c>
      <c r="H183" s="18" t="s">
        <v>1986</v>
      </c>
      <c r="I183" s="21" t="s">
        <v>1678</v>
      </c>
      <c r="J183" s="22" t="s">
        <v>2093</v>
      </c>
      <c r="K183" s="23" t="s">
        <v>165</v>
      </c>
      <c r="L183" s="24" t="s">
        <v>2094</v>
      </c>
      <c r="M183" s="24" t="s">
        <v>2095</v>
      </c>
      <c r="N183" s="23" t="s">
        <v>2096</v>
      </c>
      <c r="O183" s="24" t="s">
        <v>2097</v>
      </c>
      <c r="P183" s="24" t="s">
        <v>2098</v>
      </c>
      <c r="Q183" s="24" t="s">
        <v>2099</v>
      </c>
      <c r="R183" s="24"/>
      <c r="S183" s="24" t="s">
        <v>2063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174</v>
      </c>
      <c r="Y183" s="23" t="s">
        <v>174</v>
      </c>
      <c r="Z183" s="23" t="s">
        <v>174</v>
      </c>
      <c r="AA183" s="23" t="s">
        <v>174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  <c r="AE183" s="24" t="str">
        <f aca="false">M183&amp;" | 여호수아 20~21장 #"&amp;SUBSTITUTE(안내!$C$5," ","")</f>
        <v>하나님의 약속은 하나도 빠짐없이 이루어졌다 | 여호수아 20~21장 #1분성경</v>
      </c>
      <c r="AF183" s="24" t="s">
        <v>304</v>
      </c>
      <c r="AG183" s="24"/>
      <c r="AH183" s="23" t="s">
        <v>290</v>
      </c>
      <c r="AI183" s="26" t="n">
        <f aca="false">U183-안내!$C$12</f>
        <v>46655</v>
      </c>
      <c r="AJ183" s="23" t="str">
        <f aca="false">IF(U183&lt;IF(C183=1,안내!$C$9,안내!$C$10)+안내!$C$12,"시즌 시작 전 제작","")</f>
        <v/>
      </c>
      <c r="AK183" s="24" t="s">
        <v>1678</v>
      </c>
      <c r="AL183" s="27"/>
      <c r="AM183" s="27"/>
      <c r="AN183" s="27"/>
      <c r="AO183" s="27"/>
      <c r="AP183" s="27"/>
      <c r="AQ183" s="23" t="str">
        <f aca="false">D183&amp;"|"&amp;TEXT(U183,"yyyy-mm-dd")</f>
        <v>구약|2027-10-23</v>
      </c>
      <c r="AR183" s="24" t="s">
        <v>2100</v>
      </c>
      <c r="AS183" s="24"/>
    </row>
    <row r="184" customFormat="false" ht="26.85" hidden="false" customHeight="false" outlineLevel="0" collapsed="false">
      <c r="A184" s="21" t="n">
        <v>183</v>
      </c>
      <c r="B184" s="18" t="s">
        <v>2101</v>
      </c>
      <c r="C184" s="23" t="n">
        <v>2</v>
      </c>
      <c r="D184" s="23" t="s">
        <v>160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2032</v>
      </c>
      <c r="H184" s="18" t="s">
        <v>1986</v>
      </c>
      <c r="I184" s="21" t="s">
        <v>1678</v>
      </c>
      <c r="J184" s="22" t="s">
        <v>2102</v>
      </c>
      <c r="K184" s="23" t="s">
        <v>165</v>
      </c>
      <c r="L184" s="24" t="s">
        <v>2103</v>
      </c>
      <c r="M184" s="24" t="s">
        <v>2104</v>
      </c>
      <c r="N184" s="23" t="s">
        <v>2105</v>
      </c>
      <c r="O184" s="24" t="s">
        <v>2106</v>
      </c>
      <c r="P184" s="24" t="s">
        <v>2107</v>
      </c>
      <c r="Q184" s="24" t="s">
        <v>2108</v>
      </c>
      <c r="R184" s="24"/>
      <c r="S184" s="24" t="s">
        <v>2063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174</v>
      </c>
      <c r="Y184" s="23" t="s">
        <v>174</v>
      </c>
      <c r="Z184" s="23" t="s">
        <v>174</v>
      </c>
      <c r="AA184" s="23" t="s">
        <v>174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  <c r="AE184" s="24" t="str">
        <f aca="false">M184&amp;" | 여호수아 22장 #"&amp;SUBSTITUTE(안내!$C$5," ","")</f>
        <v>오해로 전쟁이 날 뻔했다 | 여호수아 22장 #1분성경</v>
      </c>
      <c r="AF184" s="24" t="s">
        <v>304</v>
      </c>
      <c r="AG184" s="24"/>
      <c r="AH184" s="23" t="s">
        <v>290</v>
      </c>
      <c r="AI184" s="26" t="n">
        <f aca="false">U184-안내!$C$12</f>
        <v>46656</v>
      </c>
      <c r="AJ184" s="23" t="str">
        <f aca="false">IF(U184&lt;IF(C184=1,안내!$C$9,안내!$C$10)+안내!$C$12,"시즌 시작 전 제작","")</f>
        <v/>
      </c>
      <c r="AK184" s="24"/>
      <c r="AL184" s="27"/>
      <c r="AM184" s="27"/>
      <c r="AN184" s="27"/>
      <c r="AO184" s="27"/>
      <c r="AP184" s="27"/>
      <c r="AQ184" s="23" t="str">
        <f aca="false">D184&amp;"|"&amp;TEXT(U184,"yyyy-mm-dd")</f>
        <v>구약|2027-10-24</v>
      </c>
      <c r="AR184" s="24" t="s">
        <v>2109</v>
      </c>
      <c r="AS184" s="24"/>
    </row>
    <row r="185" customFormat="false" ht="39.55" hidden="false" customHeight="false" outlineLevel="0" collapsed="false">
      <c r="A185" s="21" t="n">
        <v>184</v>
      </c>
      <c r="B185" s="18" t="s">
        <v>2110</v>
      </c>
      <c r="C185" s="20" t="n">
        <v>1</v>
      </c>
      <c r="D185" s="20" t="s">
        <v>160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2032</v>
      </c>
      <c r="H185" s="18" t="s">
        <v>2042</v>
      </c>
      <c r="I185" s="21" t="s">
        <v>1678</v>
      </c>
      <c r="J185" s="22" t="s">
        <v>2111</v>
      </c>
      <c r="K185" s="23" t="s">
        <v>165</v>
      </c>
      <c r="L185" s="24" t="s">
        <v>2112</v>
      </c>
      <c r="M185" s="24" t="s">
        <v>2113</v>
      </c>
      <c r="N185" s="23" t="s">
        <v>2114</v>
      </c>
      <c r="O185" s="24" t="s">
        <v>2115</v>
      </c>
      <c r="P185" s="24" t="s">
        <v>2027</v>
      </c>
      <c r="Q185" s="24" t="s">
        <v>794</v>
      </c>
      <c r="R185" s="24"/>
      <c r="S185" s="29" t="s">
        <v>2116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174</v>
      </c>
      <c r="Y185" s="23" t="s">
        <v>174</v>
      </c>
      <c r="Z185" s="23" t="s">
        <v>174</v>
      </c>
      <c r="AA185" s="23" t="s">
        <v>174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  <c r="AE185" s="24" t="str">
        <f aca="false">M185&amp;" | 여호수아 23~24장 #"&amp;SUBSTITUTE(안내!$C$5," ","")</f>
        <v>떠나기 전 마지막으로 남긴 결단 | 여호수아 23~24장 #1분성경</v>
      </c>
      <c r="AF185" s="24" t="s">
        <v>2117</v>
      </c>
      <c r="AG185" s="24"/>
      <c r="AH185" s="23" t="s">
        <v>290</v>
      </c>
      <c r="AI185" s="26" t="n">
        <f aca="false">U185-안내!$C$12</f>
        <v>46441</v>
      </c>
      <c r="AJ185" s="23" t="str">
        <f aca="false">IF(U185&lt;IF(C185=1,안내!$C$9,안내!$C$10)+안내!$C$12,"시즌 시작 전 제작","")</f>
        <v/>
      </c>
      <c r="AK185" s="24" t="s">
        <v>1678</v>
      </c>
      <c r="AL185" s="27"/>
      <c r="AM185" s="27"/>
      <c r="AN185" s="27"/>
      <c r="AO185" s="27"/>
      <c r="AP185" s="27"/>
      <c r="AQ185" s="23" t="str">
        <f aca="false">D185&amp;"|"&amp;TEXT(U185,"yyyy-mm-dd")</f>
        <v>구약|2027-03-23</v>
      </c>
      <c r="AR185" s="24" t="s">
        <v>2118</v>
      </c>
      <c r="AS185" s="24"/>
    </row>
    <row r="186" customFormat="false" ht="26.85" hidden="false" customHeight="false" outlineLevel="0" collapsed="false">
      <c r="A186" s="21" t="n">
        <v>185</v>
      </c>
      <c r="B186" s="18" t="s">
        <v>2119</v>
      </c>
      <c r="C186" s="23" t="n">
        <v>2</v>
      </c>
      <c r="D186" s="23" t="s">
        <v>160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2120</v>
      </c>
      <c r="H186" s="18" t="s">
        <v>2121</v>
      </c>
      <c r="I186" s="21" t="s">
        <v>2122</v>
      </c>
      <c r="J186" s="22" t="s">
        <v>2123</v>
      </c>
      <c r="K186" s="23" t="s">
        <v>165</v>
      </c>
      <c r="L186" s="24" t="s">
        <v>2124</v>
      </c>
      <c r="M186" s="24" t="s">
        <v>2125</v>
      </c>
      <c r="N186" s="23" t="s">
        <v>2126</v>
      </c>
      <c r="O186" s="24" t="s">
        <v>2127</v>
      </c>
      <c r="P186" s="24" t="s">
        <v>2128</v>
      </c>
      <c r="Q186" s="24" t="s">
        <v>2129</v>
      </c>
      <c r="R186" s="24"/>
      <c r="S186" s="24" t="s">
        <v>2130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174</v>
      </c>
      <c r="Y186" s="23" t="s">
        <v>174</v>
      </c>
      <c r="Z186" s="23" t="s">
        <v>174</v>
      </c>
      <c r="AA186" s="23" t="s">
        <v>174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  <c r="AE186" s="24" t="str">
        <f aca="false">M186&amp;" | 사사기 1~2장 #"&amp;SUBSTITUTE(안내!$C$5," ","")</f>
        <v>가나안 사람을 다 쫓아내지 않았다 | 사사기 1~2장 #1분성경</v>
      </c>
      <c r="AF186" s="24" t="s">
        <v>304</v>
      </c>
      <c r="AG186" s="24"/>
      <c r="AH186" s="23" t="s">
        <v>290</v>
      </c>
      <c r="AI186" s="26" t="n">
        <f aca="false">U186-안내!$C$12</f>
        <v>46657</v>
      </c>
      <c r="AJ186" s="23" t="str">
        <f aca="false">IF(U186&lt;IF(C186=1,안내!$C$9,안내!$C$10)+안내!$C$12,"시즌 시작 전 제작","")</f>
        <v/>
      </c>
      <c r="AK186" s="24"/>
      <c r="AL186" s="27"/>
      <c r="AM186" s="27"/>
      <c r="AN186" s="27"/>
      <c r="AO186" s="27"/>
      <c r="AP186" s="27"/>
      <c r="AQ186" s="23" t="str">
        <f aca="false">D186&amp;"|"&amp;TEXT(U186,"yyyy-mm-dd")</f>
        <v>구약|2027-10-25</v>
      </c>
      <c r="AR186" s="24" t="s">
        <v>2131</v>
      </c>
      <c r="AS186" s="24"/>
    </row>
    <row r="187" customFormat="false" ht="39.55" hidden="false" customHeight="false" outlineLevel="0" collapsed="false">
      <c r="A187" s="21" t="n">
        <v>186</v>
      </c>
      <c r="B187" s="18" t="s">
        <v>2132</v>
      </c>
      <c r="C187" s="23" t="n">
        <v>2</v>
      </c>
      <c r="D187" s="23" t="s">
        <v>160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2120</v>
      </c>
      <c r="H187" s="18" t="s">
        <v>2121</v>
      </c>
      <c r="I187" s="21" t="s">
        <v>2122</v>
      </c>
      <c r="J187" s="22" t="s">
        <v>2133</v>
      </c>
      <c r="K187" s="23" t="s">
        <v>165</v>
      </c>
      <c r="L187" s="24" t="s">
        <v>2134</v>
      </c>
      <c r="M187" s="24" t="s">
        <v>2135</v>
      </c>
      <c r="N187" s="23" t="s">
        <v>2136</v>
      </c>
      <c r="O187" s="24" t="s">
        <v>2137</v>
      </c>
      <c r="P187" s="24" t="s">
        <v>1578</v>
      </c>
      <c r="Q187" s="24" t="s">
        <v>2138</v>
      </c>
      <c r="R187" s="24"/>
      <c r="S187" s="24" t="s">
        <v>2130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174</v>
      </c>
      <c r="Y187" s="23" t="s">
        <v>174</v>
      </c>
      <c r="Z187" s="23" t="s">
        <v>174</v>
      </c>
      <c r="AA187" s="23" t="s">
        <v>174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  <c r="AE187" s="24" t="str">
        <f aca="false">M187&amp;" | 사사기 2~3장 #"&amp;SUBSTITUTE(안내!$C$5," ","")</f>
        <v>단 한 세대 만에 하나님을 잊었다 | 사사기 2~3장 #1분성경</v>
      </c>
      <c r="AF187" s="24" t="s">
        <v>304</v>
      </c>
      <c r="AG187" s="24"/>
      <c r="AH187" s="23" t="s">
        <v>290</v>
      </c>
      <c r="AI187" s="26" t="n">
        <f aca="false">U187-안내!$C$12</f>
        <v>46658</v>
      </c>
      <c r="AJ187" s="23" t="str">
        <f aca="false">IF(U187&lt;IF(C187=1,안내!$C$9,안내!$C$10)+안내!$C$12,"시즌 시작 전 제작","")</f>
        <v/>
      </c>
      <c r="AK187" s="24"/>
      <c r="AL187" s="27"/>
      <c r="AM187" s="27"/>
      <c r="AN187" s="27"/>
      <c r="AO187" s="27"/>
      <c r="AP187" s="27"/>
      <c r="AQ187" s="23" t="str">
        <f aca="false">D187&amp;"|"&amp;TEXT(U187,"yyyy-mm-dd")</f>
        <v>구약|2027-10-26</v>
      </c>
      <c r="AR187" s="24" t="s">
        <v>2139</v>
      </c>
      <c r="AS187" s="24"/>
    </row>
    <row r="188" customFormat="false" ht="39.55" hidden="false" customHeight="false" outlineLevel="0" collapsed="false">
      <c r="A188" s="21" t="n">
        <v>187</v>
      </c>
      <c r="B188" s="18" t="s">
        <v>2140</v>
      </c>
      <c r="C188" s="23" t="n">
        <v>2</v>
      </c>
      <c r="D188" s="23" t="s">
        <v>160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2120</v>
      </c>
      <c r="H188" s="18" t="s">
        <v>2121</v>
      </c>
      <c r="I188" s="21" t="s">
        <v>2122</v>
      </c>
      <c r="J188" s="22" t="s">
        <v>2141</v>
      </c>
      <c r="K188" s="23" t="s">
        <v>165</v>
      </c>
      <c r="L188" s="24" t="s">
        <v>2142</v>
      </c>
      <c r="M188" s="24" t="s">
        <v>2143</v>
      </c>
      <c r="N188" s="23" t="s">
        <v>2144</v>
      </c>
      <c r="O188" s="24" t="s">
        <v>2145</v>
      </c>
      <c r="P188" s="24" t="s">
        <v>2146</v>
      </c>
      <c r="Q188" s="24" t="s">
        <v>2147</v>
      </c>
      <c r="R188" s="25" t="s">
        <v>2148</v>
      </c>
      <c r="S188" s="24" t="s">
        <v>2130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174</v>
      </c>
      <c r="Y188" s="23" t="s">
        <v>174</v>
      </c>
      <c r="Z188" s="23" t="s">
        <v>174</v>
      </c>
      <c r="AA188" s="23" t="s">
        <v>174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  <c r="AE188" s="24" t="str">
        <f aca="false">M188&amp;" | 사사기 3장 #"&amp;SUBSTITUTE(안내!$C$5," ","")</f>
        <v>칼을 오른쪽 허벅지에 숨긴 사사 | 사사기 3장 #1분성경</v>
      </c>
      <c r="AF188" s="24" t="s">
        <v>304</v>
      </c>
      <c r="AG188" s="24"/>
      <c r="AH188" s="23" t="s">
        <v>290</v>
      </c>
      <c r="AI188" s="26" t="n">
        <f aca="false">U188-안내!$C$12</f>
        <v>46659</v>
      </c>
      <c r="AJ188" s="23" t="str">
        <f aca="false">IF(U188&lt;IF(C188=1,안내!$C$9,안내!$C$10)+안내!$C$12,"시즌 시작 전 제작","")</f>
        <v/>
      </c>
      <c r="AK188" s="24"/>
      <c r="AL188" s="27"/>
      <c r="AM188" s="27"/>
      <c r="AN188" s="27"/>
      <c r="AO188" s="27"/>
      <c r="AP188" s="27"/>
      <c r="AQ188" s="23" t="str">
        <f aca="false">D188&amp;"|"&amp;TEXT(U188,"yyyy-mm-dd")</f>
        <v>구약|2027-10-27</v>
      </c>
      <c r="AR188" s="24" t="s">
        <v>2149</v>
      </c>
      <c r="AS188" s="24"/>
    </row>
    <row r="189" customFormat="false" ht="52.2" hidden="false" customHeight="false" outlineLevel="0" collapsed="false">
      <c r="A189" s="21" t="n">
        <v>188</v>
      </c>
      <c r="B189" s="18" t="s">
        <v>2150</v>
      </c>
      <c r="C189" s="20" t="n">
        <v>1</v>
      </c>
      <c r="D189" s="20" t="s">
        <v>160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2120</v>
      </c>
      <c r="H189" s="18" t="s">
        <v>2042</v>
      </c>
      <c r="I189" s="21" t="s">
        <v>2122</v>
      </c>
      <c r="J189" s="22" t="s">
        <v>2151</v>
      </c>
      <c r="K189" s="23" t="s">
        <v>165</v>
      </c>
      <c r="L189" s="24" t="s">
        <v>2152</v>
      </c>
      <c r="M189" s="24" t="s">
        <v>2153</v>
      </c>
      <c r="N189" s="23" t="s">
        <v>2154</v>
      </c>
      <c r="O189" s="24" t="s">
        <v>2155</v>
      </c>
      <c r="P189" s="24" t="s">
        <v>2156</v>
      </c>
      <c r="Q189" s="24" t="s">
        <v>2157</v>
      </c>
      <c r="R189" s="25" t="s">
        <v>2158</v>
      </c>
      <c r="S189" s="29" t="s">
        <v>2159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174</v>
      </c>
      <c r="Y189" s="23" t="s">
        <v>174</v>
      </c>
      <c r="Z189" s="23" t="s">
        <v>174</v>
      </c>
      <c r="AA189" s="23" t="s">
        <v>174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  <c r="AE189" s="24" t="str">
        <f aca="false">M189&amp;" | 사사기 4장 #"&amp;SUBSTITUTE(안내!$C$5," ","")</f>
        <v>여자 사사와 겁 많은 장군 | 사사기 4장 #1분성경</v>
      </c>
      <c r="AF189" s="24" t="s">
        <v>2160</v>
      </c>
      <c r="AG189" s="24"/>
      <c r="AH189" s="23" t="s">
        <v>290</v>
      </c>
      <c r="AI189" s="26" t="n">
        <f aca="false">U189-안내!$C$12</f>
        <v>46442</v>
      </c>
      <c r="AJ189" s="23" t="str">
        <f aca="false">IF(U189&lt;IF(C189=1,안내!$C$9,안내!$C$10)+안내!$C$12,"시즌 시작 전 제작","")</f>
        <v/>
      </c>
      <c r="AK189" s="24"/>
      <c r="AL189" s="27"/>
      <c r="AM189" s="27"/>
      <c r="AN189" s="27"/>
      <c r="AO189" s="27"/>
      <c r="AP189" s="27"/>
      <c r="AQ189" s="23" t="str">
        <f aca="false">D189&amp;"|"&amp;TEXT(U189,"yyyy-mm-dd")</f>
        <v>구약|2027-03-24</v>
      </c>
      <c r="AR189" s="24" t="s">
        <v>2161</v>
      </c>
      <c r="AS189" s="24"/>
    </row>
    <row r="190" customFormat="false" ht="39.55" hidden="false" customHeight="false" outlineLevel="0" collapsed="false">
      <c r="A190" s="21" t="n">
        <v>189</v>
      </c>
      <c r="B190" s="18" t="s">
        <v>2162</v>
      </c>
      <c r="C190" s="23" t="n">
        <v>2</v>
      </c>
      <c r="D190" s="23" t="s">
        <v>160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2120</v>
      </c>
      <c r="H190" s="18" t="s">
        <v>2121</v>
      </c>
      <c r="I190" s="21" t="s">
        <v>2122</v>
      </c>
      <c r="J190" s="22" t="s">
        <v>2163</v>
      </c>
      <c r="K190" s="23" t="s">
        <v>165</v>
      </c>
      <c r="L190" s="24" t="s">
        <v>2164</v>
      </c>
      <c r="M190" s="24" t="s">
        <v>2165</v>
      </c>
      <c r="N190" s="23" t="s">
        <v>2166</v>
      </c>
      <c r="O190" s="24" t="s">
        <v>2167</v>
      </c>
      <c r="P190" s="24" t="s">
        <v>2168</v>
      </c>
      <c r="Q190" s="24" t="s">
        <v>2169</v>
      </c>
      <c r="R190" s="24"/>
      <c r="S190" s="24" t="s">
        <v>2170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174</v>
      </c>
      <c r="Y190" s="23" t="s">
        <v>174</v>
      </c>
      <c r="Z190" s="23" t="s">
        <v>174</v>
      </c>
      <c r="AA190" s="23" t="s">
        <v>174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  <c r="AE190" s="24" t="str">
        <f aca="false">M190&amp;" | 사사기 5장 #"&amp;SUBSTITUTE(안내!$C$5," ","")</f>
        <v>별들도 하늘에서 싸웠다 | 사사기 5장 #1분성경</v>
      </c>
      <c r="AF190" s="24" t="s">
        <v>304</v>
      </c>
      <c r="AG190" s="24"/>
      <c r="AH190" s="23" t="s">
        <v>290</v>
      </c>
      <c r="AI190" s="26" t="n">
        <f aca="false">U190-안내!$C$12</f>
        <v>46660</v>
      </c>
      <c r="AJ190" s="23" t="str">
        <f aca="false">IF(U190&lt;IF(C190=1,안내!$C$9,안내!$C$10)+안내!$C$12,"시즌 시작 전 제작","")</f>
        <v/>
      </c>
      <c r="AK190" s="24"/>
      <c r="AL190" s="27"/>
      <c r="AM190" s="27"/>
      <c r="AN190" s="27"/>
      <c r="AO190" s="27"/>
      <c r="AP190" s="27"/>
      <c r="AQ190" s="23" t="str">
        <f aca="false">D190&amp;"|"&amp;TEXT(U190,"yyyy-mm-dd")</f>
        <v>구약|2027-10-28</v>
      </c>
      <c r="AR190" s="24" t="s">
        <v>2171</v>
      </c>
      <c r="AS190" s="24"/>
    </row>
    <row r="191" customFormat="false" ht="26.85" hidden="false" customHeight="false" outlineLevel="0" collapsed="false">
      <c r="A191" s="21" t="n">
        <v>190</v>
      </c>
      <c r="B191" s="18" t="s">
        <v>2172</v>
      </c>
      <c r="C191" s="20" t="n">
        <v>1</v>
      </c>
      <c r="D191" s="20" t="s">
        <v>160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2120</v>
      </c>
      <c r="H191" s="18" t="s">
        <v>2042</v>
      </c>
      <c r="I191" s="21" t="s">
        <v>2122</v>
      </c>
      <c r="J191" s="22" t="s">
        <v>2173</v>
      </c>
      <c r="K191" s="23" t="s">
        <v>165</v>
      </c>
      <c r="L191" s="24" t="s">
        <v>2174</v>
      </c>
      <c r="M191" s="24" t="s">
        <v>2175</v>
      </c>
      <c r="N191" s="23" t="s">
        <v>2176</v>
      </c>
      <c r="O191" s="24" t="s">
        <v>2177</v>
      </c>
      <c r="P191" s="24" t="s">
        <v>2178</v>
      </c>
      <c r="Q191" s="24" t="s">
        <v>2179</v>
      </c>
      <c r="R191" s="25" t="s">
        <v>2180</v>
      </c>
      <c r="S191" s="29" t="s">
        <v>2181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174</v>
      </c>
      <c r="Y191" s="23" t="s">
        <v>174</v>
      </c>
      <c r="Z191" s="23" t="s">
        <v>174</v>
      </c>
      <c r="AA191" s="23" t="s">
        <v>174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  <c r="AE191" s="24" t="str">
        <f aca="false">M191&amp;" | 사사기 6장 #"&amp;SUBSTITUTE(안내!$C$5," ","")</f>
        <v>숨어서 밀을 타작하던 겁쟁이를 부르셨다 | 사사기 6장 #1분성경</v>
      </c>
      <c r="AF191" s="24" t="s">
        <v>2182</v>
      </c>
      <c r="AG191" s="24" t="s">
        <v>2183</v>
      </c>
      <c r="AH191" s="23" t="s">
        <v>290</v>
      </c>
      <c r="AI191" s="26" t="n">
        <f aca="false">U191-안내!$C$12</f>
        <v>46443</v>
      </c>
      <c r="AJ191" s="23" t="str">
        <f aca="false">IF(U191&lt;IF(C191=1,안내!$C$9,안내!$C$10)+안내!$C$12,"시즌 시작 전 제작","")</f>
        <v/>
      </c>
      <c r="AK191" s="24" t="s">
        <v>2184</v>
      </c>
      <c r="AL191" s="27"/>
      <c r="AM191" s="27"/>
      <c r="AN191" s="27"/>
      <c r="AO191" s="27"/>
      <c r="AP191" s="27"/>
      <c r="AQ191" s="23" t="str">
        <f aca="false">D191&amp;"|"&amp;TEXT(U191,"yyyy-mm-dd")</f>
        <v>구약|2027-03-25</v>
      </c>
      <c r="AR191" s="24" t="s">
        <v>2185</v>
      </c>
      <c r="AS191" s="24"/>
    </row>
    <row r="192" customFormat="false" ht="26.85" hidden="false" customHeight="false" outlineLevel="0" collapsed="false">
      <c r="A192" s="21" t="n">
        <v>191</v>
      </c>
      <c r="B192" s="18" t="s">
        <v>2186</v>
      </c>
      <c r="C192" s="23" t="n">
        <v>2</v>
      </c>
      <c r="D192" s="23" t="s">
        <v>160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2120</v>
      </c>
      <c r="H192" s="18" t="s">
        <v>2121</v>
      </c>
      <c r="I192" s="21" t="s">
        <v>2122</v>
      </c>
      <c r="J192" s="22" t="s">
        <v>2187</v>
      </c>
      <c r="K192" s="23" t="s">
        <v>165</v>
      </c>
      <c r="L192" s="24" t="s">
        <v>2188</v>
      </c>
      <c r="M192" s="24" t="s">
        <v>2189</v>
      </c>
      <c r="N192" s="23" t="s">
        <v>2190</v>
      </c>
      <c r="O192" s="24" t="s">
        <v>2191</v>
      </c>
      <c r="P192" s="24" t="s">
        <v>2184</v>
      </c>
      <c r="Q192" s="24" t="s">
        <v>2192</v>
      </c>
      <c r="R192" s="24"/>
      <c r="S192" s="24" t="s">
        <v>2193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174</v>
      </c>
      <c r="Y192" s="23" t="s">
        <v>174</v>
      </c>
      <c r="Z192" s="23" t="s">
        <v>174</v>
      </c>
      <c r="AA192" s="23" t="s">
        <v>174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  <c r="AE192" s="24" t="str">
        <f aca="false">M192&amp;" | 사사기 6장 #"&amp;SUBSTITUTE(안내!$C$5," ","")</f>
        <v>이슬로 두 번이나 확인한 믿음 | 사사기 6장 #1분성경</v>
      </c>
      <c r="AF192" s="24" t="s">
        <v>304</v>
      </c>
      <c r="AG192" s="24" t="s">
        <v>2194</v>
      </c>
      <c r="AH192" s="23" t="s">
        <v>290</v>
      </c>
      <c r="AI192" s="26" t="n">
        <f aca="false">U192-안내!$C$12</f>
        <v>46661</v>
      </c>
      <c r="AJ192" s="23" t="str">
        <f aca="false">IF(U192&lt;IF(C192=1,안내!$C$9,안내!$C$10)+안내!$C$12,"시즌 시작 전 제작","")</f>
        <v/>
      </c>
      <c r="AK192" s="24" t="s">
        <v>2184</v>
      </c>
      <c r="AL192" s="27"/>
      <c r="AM192" s="27"/>
      <c r="AN192" s="27"/>
      <c r="AO192" s="27"/>
      <c r="AP192" s="27"/>
      <c r="AQ192" s="23" t="str">
        <f aca="false">D192&amp;"|"&amp;TEXT(U192,"yyyy-mm-dd")</f>
        <v>구약|2027-10-29</v>
      </c>
      <c r="AR192" s="24" t="s">
        <v>2195</v>
      </c>
      <c r="AS192" s="24"/>
    </row>
    <row r="193" customFormat="false" ht="39.55" hidden="false" customHeight="false" outlineLevel="0" collapsed="false">
      <c r="A193" s="21" t="n">
        <v>192</v>
      </c>
      <c r="B193" s="18" t="s">
        <v>2196</v>
      </c>
      <c r="C193" s="20" t="n">
        <v>1</v>
      </c>
      <c r="D193" s="20" t="s">
        <v>160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2120</v>
      </c>
      <c r="H193" s="18" t="s">
        <v>2042</v>
      </c>
      <c r="I193" s="21" t="s">
        <v>2122</v>
      </c>
      <c r="J193" s="22" t="s">
        <v>2197</v>
      </c>
      <c r="K193" s="23" t="s">
        <v>165</v>
      </c>
      <c r="L193" s="30" t="s">
        <v>2198</v>
      </c>
      <c r="M193" s="30" t="s">
        <v>2199</v>
      </c>
      <c r="N193" s="23" t="s">
        <v>2200</v>
      </c>
      <c r="O193" s="24" t="s">
        <v>2201</v>
      </c>
      <c r="P193" s="24" t="s">
        <v>2202</v>
      </c>
      <c r="Q193" s="24" t="s">
        <v>2203</v>
      </c>
      <c r="R193" s="24"/>
      <c r="S193" s="29" t="s">
        <v>2204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174</v>
      </c>
      <c r="Y193" s="23" t="s">
        <v>174</v>
      </c>
      <c r="Z193" s="23" t="s">
        <v>174</v>
      </c>
      <c r="AA193" s="23" t="s">
        <v>174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  <c r="AE193" s="24" t="str">
        <f aca="false">M193&amp;" | 사사기 7장 #"&amp;SUBSTITUTE(안내!$C$5," ","")</f>
        <v>3만 2천 명에서 300명으로 | 사사기 7장 #1분성경</v>
      </c>
      <c r="AF193" s="24" t="s">
        <v>2205</v>
      </c>
      <c r="AG193" s="24"/>
      <c r="AH193" s="23" t="s">
        <v>360</v>
      </c>
      <c r="AI193" s="26" t="n">
        <f aca="false">U193-안내!$C$12</f>
        <v>46444</v>
      </c>
      <c r="AJ193" s="23" t="str">
        <f aca="false">IF(U193&lt;IF(C193=1,안내!$C$9,안내!$C$10)+안내!$C$12,"시즌 시작 전 제작","")</f>
        <v/>
      </c>
      <c r="AK193" s="24" t="s">
        <v>2184</v>
      </c>
      <c r="AL193" s="27"/>
      <c r="AM193" s="27"/>
      <c r="AN193" s="27"/>
      <c r="AO193" s="27"/>
      <c r="AP193" s="27"/>
      <c r="AQ193" s="23" t="str">
        <f aca="false">D193&amp;"|"&amp;TEXT(U193,"yyyy-mm-dd")</f>
        <v>구약|2027-03-26</v>
      </c>
      <c r="AR193" s="24" t="s">
        <v>2206</v>
      </c>
      <c r="AS193" s="24"/>
    </row>
    <row r="194" customFormat="false" ht="26.85" hidden="false" customHeight="false" outlineLevel="0" collapsed="false">
      <c r="A194" s="21" t="n">
        <v>193</v>
      </c>
      <c r="B194" s="18" t="s">
        <v>2207</v>
      </c>
      <c r="C194" s="23" t="n">
        <v>2</v>
      </c>
      <c r="D194" s="23" t="s">
        <v>160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2120</v>
      </c>
      <c r="H194" s="18" t="s">
        <v>2121</v>
      </c>
      <c r="I194" s="21" t="s">
        <v>2122</v>
      </c>
      <c r="J194" s="22" t="s">
        <v>2208</v>
      </c>
      <c r="K194" s="23" t="s">
        <v>165</v>
      </c>
      <c r="L194" s="24" t="s">
        <v>2209</v>
      </c>
      <c r="M194" s="24" t="s">
        <v>2210</v>
      </c>
      <c r="N194" s="23" t="s">
        <v>2211</v>
      </c>
      <c r="O194" s="24" t="s">
        <v>2212</v>
      </c>
      <c r="P194" s="24" t="s">
        <v>2213</v>
      </c>
      <c r="Q194" s="24" t="s">
        <v>2214</v>
      </c>
      <c r="R194" s="24"/>
      <c r="S194" s="24" t="s">
        <v>2215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174</v>
      </c>
      <c r="Y194" s="23" t="s">
        <v>174</v>
      </c>
      <c r="Z194" s="23" t="s">
        <v>174</v>
      </c>
      <c r="AA194" s="23" t="s">
        <v>174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  <c r="AE194" s="24" t="str">
        <f aca="false">M194&amp;" | 사사기 8장 #"&amp;SUBSTITUTE(안내!$C$5," ","")</f>
        <v>큰 승리 뒤에 만든 금 에봇 | 사사기 8장 #1분성경</v>
      </c>
      <c r="AF194" s="24" t="s">
        <v>304</v>
      </c>
      <c r="AG194" s="24"/>
      <c r="AH194" s="23" t="s">
        <v>290</v>
      </c>
      <c r="AI194" s="26" t="n">
        <f aca="false">U194-안내!$C$12</f>
        <v>46662</v>
      </c>
      <c r="AJ194" s="23" t="str">
        <f aca="false">IF(U194&lt;IF(C194=1,안내!$C$9,안내!$C$10)+안내!$C$12,"시즌 시작 전 제작","")</f>
        <v/>
      </c>
      <c r="AK194" s="24" t="s">
        <v>2184</v>
      </c>
      <c r="AL194" s="27"/>
      <c r="AM194" s="27"/>
      <c r="AN194" s="27"/>
      <c r="AO194" s="27"/>
      <c r="AP194" s="27"/>
      <c r="AQ194" s="23" t="str">
        <f aca="false">D194&amp;"|"&amp;TEXT(U194,"yyyy-mm-dd")</f>
        <v>구약|2027-10-30</v>
      </c>
      <c r="AR194" s="24" t="s">
        <v>2216</v>
      </c>
      <c r="AS194" s="24"/>
    </row>
    <row r="195" customFormat="false" ht="39.55" hidden="false" customHeight="false" outlineLevel="0" collapsed="false">
      <c r="A195" s="21" t="n">
        <v>194</v>
      </c>
      <c r="B195" s="18" t="s">
        <v>2217</v>
      </c>
      <c r="C195" s="23" t="n">
        <v>2</v>
      </c>
      <c r="D195" s="23" t="s">
        <v>160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2218</v>
      </c>
      <c r="H195" s="18" t="s">
        <v>2121</v>
      </c>
      <c r="I195" s="21" t="s">
        <v>2122</v>
      </c>
      <c r="J195" s="22" t="s">
        <v>2219</v>
      </c>
      <c r="K195" s="23" t="s">
        <v>165</v>
      </c>
      <c r="L195" s="24" t="s">
        <v>2220</v>
      </c>
      <c r="M195" s="24" t="s">
        <v>2221</v>
      </c>
      <c r="N195" s="23" t="s">
        <v>2222</v>
      </c>
      <c r="O195" s="24" t="s">
        <v>2223</v>
      </c>
      <c r="P195" s="24" t="s">
        <v>2224</v>
      </c>
      <c r="Q195" s="24" t="s">
        <v>2225</v>
      </c>
      <c r="R195" s="25" t="s">
        <v>2226</v>
      </c>
      <c r="S195" s="24" t="s">
        <v>2215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174</v>
      </c>
      <c r="Y195" s="23" t="s">
        <v>174</v>
      </c>
      <c r="Z195" s="23" t="s">
        <v>174</v>
      </c>
      <c r="AA195" s="23" t="s">
        <v>174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  <c r="AE195" s="24" t="str">
        <f aca="false">M195&amp;" | 사사기 9장 #"&amp;SUBSTITUTE(안내!$C$5," ","")</f>
        <v>형제 70명을 죽이고 왕이 된 사람 | 사사기 9장 #1분성경</v>
      </c>
      <c r="AF195" s="24" t="s">
        <v>304</v>
      </c>
      <c r="AG195" s="24"/>
      <c r="AH195" s="23" t="s">
        <v>360</v>
      </c>
      <c r="AI195" s="26" t="n">
        <f aca="false">U195-안내!$C$12</f>
        <v>46663</v>
      </c>
      <c r="AJ195" s="23" t="str">
        <f aca="false">IF(U195&lt;IF(C195=1,안내!$C$9,안내!$C$10)+안내!$C$12,"시즌 시작 전 제작","")</f>
        <v/>
      </c>
      <c r="AK195" s="24"/>
      <c r="AL195" s="27"/>
      <c r="AM195" s="27"/>
      <c r="AN195" s="27"/>
      <c r="AO195" s="27"/>
      <c r="AP195" s="27"/>
      <c r="AQ195" s="23" t="str">
        <f aca="false">D195&amp;"|"&amp;TEXT(U195,"yyyy-mm-dd")</f>
        <v>구약|2027-10-31</v>
      </c>
      <c r="AR195" s="24" t="s">
        <v>2227</v>
      </c>
      <c r="AS195" s="24"/>
    </row>
    <row r="196" customFormat="false" ht="26.85" hidden="false" customHeight="false" outlineLevel="0" collapsed="false">
      <c r="A196" s="21" t="n">
        <v>195</v>
      </c>
      <c r="B196" s="18" t="s">
        <v>2228</v>
      </c>
      <c r="C196" s="23" t="n">
        <v>2</v>
      </c>
      <c r="D196" s="23" t="s">
        <v>160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2218</v>
      </c>
      <c r="H196" s="18" t="s">
        <v>2121</v>
      </c>
      <c r="I196" s="21" t="s">
        <v>2122</v>
      </c>
      <c r="J196" s="22" t="s">
        <v>2229</v>
      </c>
      <c r="K196" s="23" t="s">
        <v>165</v>
      </c>
      <c r="L196" s="24" t="s">
        <v>2230</v>
      </c>
      <c r="M196" s="24" t="s">
        <v>2231</v>
      </c>
      <c r="N196" s="23" t="s">
        <v>2232</v>
      </c>
      <c r="O196" s="24" t="s">
        <v>2233</v>
      </c>
      <c r="P196" s="24" t="s">
        <v>2234</v>
      </c>
      <c r="Q196" s="24" t="s">
        <v>2235</v>
      </c>
      <c r="R196" s="24"/>
      <c r="S196" s="24" t="s">
        <v>2215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174</v>
      </c>
      <c r="Y196" s="23" t="s">
        <v>174</v>
      </c>
      <c r="Z196" s="23" t="s">
        <v>174</v>
      </c>
      <c r="AA196" s="23" t="s">
        <v>174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  <c r="AE196" s="24" t="str">
        <f aca="false">M196&amp;" | 사사기 10~11장 #"&amp;SUBSTITUTE(안내!$C$5," ","")</f>
        <v>버림받은 사람이 지도자가 되다 | 사사기 10~11장 #1분성경</v>
      </c>
      <c r="AF196" s="24" t="s">
        <v>304</v>
      </c>
      <c r="AG196" s="24" t="s">
        <v>2236</v>
      </c>
      <c r="AH196" s="23" t="s">
        <v>290</v>
      </c>
      <c r="AI196" s="26" t="n">
        <f aca="false">U196-안내!$C$12</f>
        <v>46664</v>
      </c>
      <c r="AJ196" s="23" t="str">
        <f aca="false">IF(U196&lt;IF(C196=1,안내!$C$9,안내!$C$10)+안내!$C$12,"시즌 시작 전 제작","")</f>
        <v/>
      </c>
      <c r="AK196" s="24"/>
      <c r="AL196" s="27"/>
      <c r="AM196" s="27"/>
      <c r="AN196" s="27"/>
      <c r="AO196" s="27"/>
      <c r="AP196" s="27"/>
      <c r="AQ196" s="23" t="str">
        <f aca="false">D196&amp;"|"&amp;TEXT(U196,"yyyy-mm-dd")</f>
        <v>구약|2027-11-01</v>
      </c>
      <c r="AR196" s="24" t="s">
        <v>2237</v>
      </c>
      <c r="AS196" s="24"/>
    </row>
    <row r="197" customFormat="false" ht="39.55" hidden="false" customHeight="false" outlineLevel="0" collapsed="false">
      <c r="A197" s="21" t="n">
        <v>196</v>
      </c>
      <c r="B197" s="18" t="s">
        <v>2238</v>
      </c>
      <c r="C197" s="23" t="n">
        <v>2</v>
      </c>
      <c r="D197" s="23" t="s">
        <v>160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2218</v>
      </c>
      <c r="H197" s="18" t="s">
        <v>2121</v>
      </c>
      <c r="I197" s="21" t="s">
        <v>2122</v>
      </c>
      <c r="J197" s="22" t="s">
        <v>2239</v>
      </c>
      <c r="K197" s="23" t="s">
        <v>165</v>
      </c>
      <c r="L197" s="24" t="s">
        <v>2240</v>
      </c>
      <c r="M197" s="24" t="s">
        <v>2241</v>
      </c>
      <c r="N197" s="23" t="s">
        <v>2242</v>
      </c>
      <c r="O197" s="24" t="s">
        <v>2243</v>
      </c>
      <c r="P197" s="24" t="s">
        <v>2244</v>
      </c>
      <c r="Q197" s="24" t="s">
        <v>2245</v>
      </c>
      <c r="R197" s="25" t="s">
        <v>2246</v>
      </c>
      <c r="S197" s="24" t="s">
        <v>2215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174</v>
      </c>
      <c r="Y197" s="23" t="s">
        <v>174</v>
      </c>
      <c r="Z197" s="23" t="s">
        <v>174</v>
      </c>
      <c r="AA197" s="23" t="s">
        <v>174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  <c r="AE197" s="24" t="str">
        <f aca="false">M197&amp;" | 사사기 11장 #"&amp;SUBSTITUTE(안내!$C$5," ","")</f>
        <v>함부로 한 약속이 부른 슬픔 | 사사기 11장 #1분성경</v>
      </c>
      <c r="AF197" s="24" t="s">
        <v>304</v>
      </c>
      <c r="AG197" s="24" t="s">
        <v>2247</v>
      </c>
      <c r="AH197" s="23" t="s">
        <v>290</v>
      </c>
      <c r="AI197" s="26" t="n">
        <f aca="false">U197-안내!$C$12</f>
        <v>46665</v>
      </c>
      <c r="AJ197" s="23" t="str">
        <f aca="false">IF(U197&lt;IF(C197=1,안내!$C$9,안내!$C$10)+안내!$C$12,"시즌 시작 전 제작","")</f>
        <v/>
      </c>
      <c r="AK197" s="24"/>
      <c r="AL197" s="27"/>
      <c r="AM197" s="27"/>
      <c r="AN197" s="27"/>
      <c r="AO197" s="27"/>
      <c r="AP197" s="27"/>
      <c r="AQ197" s="23" t="str">
        <f aca="false">D197&amp;"|"&amp;TEXT(U197,"yyyy-mm-dd")</f>
        <v>구약|2027-11-02</v>
      </c>
      <c r="AR197" s="24" t="s">
        <v>2248</v>
      </c>
      <c r="AS197" s="24"/>
    </row>
    <row r="198" customFormat="false" ht="39.55" hidden="false" customHeight="false" outlineLevel="0" collapsed="false">
      <c r="A198" s="21" t="n">
        <v>197</v>
      </c>
      <c r="B198" s="18" t="s">
        <v>2249</v>
      </c>
      <c r="C198" s="23" t="n">
        <v>2</v>
      </c>
      <c r="D198" s="23" t="s">
        <v>160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2218</v>
      </c>
      <c r="H198" s="18" t="s">
        <v>2121</v>
      </c>
      <c r="I198" s="21" t="s">
        <v>2122</v>
      </c>
      <c r="J198" s="22" t="s">
        <v>2250</v>
      </c>
      <c r="K198" s="23" t="s">
        <v>165</v>
      </c>
      <c r="L198" s="24" t="s">
        <v>2251</v>
      </c>
      <c r="M198" s="24" t="s">
        <v>2252</v>
      </c>
      <c r="N198" s="23" t="s">
        <v>2253</v>
      </c>
      <c r="O198" s="24" t="s">
        <v>2254</v>
      </c>
      <c r="P198" s="24" t="s">
        <v>2255</v>
      </c>
      <c r="Q198" s="24" t="s">
        <v>2256</v>
      </c>
      <c r="R198" s="25" t="s">
        <v>2257</v>
      </c>
      <c r="S198" s="24" t="s">
        <v>2215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174</v>
      </c>
      <c r="Y198" s="23" t="s">
        <v>174</v>
      </c>
      <c r="Z198" s="23" t="s">
        <v>174</v>
      </c>
      <c r="AA198" s="23" t="s">
        <v>174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  <c r="AE198" s="24" t="str">
        <f aca="false">M198&amp;" | 사사기 12장 #"&amp;SUBSTITUTE(안내!$C$5," ","")</f>
        <v>발음 하나로 생사가 갈렸다 | 사사기 12장 #1분성경</v>
      </c>
      <c r="AF198" s="24" t="s">
        <v>304</v>
      </c>
      <c r="AG198" s="24"/>
      <c r="AH198" s="23" t="s">
        <v>290</v>
      </c>
      <c r="AI198" s="26" t="n">
        <f aca="false">U198-안내!$C$12</f>
        <v>46666</v>
      </c>
      <c r="AJ198" s="23" t="str">
        <f aca="false">IF(U198&lt;IF(C198=1,안내!$C$9,안내!$C$10)+안내!$C$12,"시즌 시작 전 제작","")</f>
        <v/>
      </c>
      <c r="AK198" s="24"/>
      <c r="AL198" s="27"/>
      <c r="AM198" s="27"/>
      <c r="AN198" s="27"/>
      <c r="AO198" s="27"/>
      <c r="AP198" s="27"/>
      <c r="AQ198" s="23" t="str">
        <f aca="false">D198&amp;"|"&amp;TEXT(U198,"yyyy-mm-dd")</f>
        <v>구약|2027-11-03</v>
      </c>
      <c r="AR198" s="24" t="s">
        <v>2258</v>
      </c>
      <c r="AS198" s="24"/>
    </row>
    <row r="199" customFormat="false" ht="39.55" hidden="false" customHeight="false" outlineLevel="0" collapsed="false">
      <c r="A199" s="21" t="n">
        <v>198</v>
      </c>
      <c r="B199" s="18" t="s">
        <v>2259</v>
      </c>
      <c r="C199" s="20" t="n">
        <v>1</v>
      </c>
      <c r="D199" s="20" t="s">
        <v>160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2218</v>
      </c>
      <c r="H199" s="18" t="s">
        <v>2042</v>
      </c>
      <c r="I199" s="21" t="s">
        <v>2122</v>
      </c>
      <c r="J199" s="22" t="s">
        <v>2260</v>
      </c>
      <c r="K199" s="23" t="s">
        <v>165</v>
      </c>
      <c r="L199" s="24" t="s">
        <v>2261</v>
      </c>
      <c r="M199" s="24" t="s">
        <v>2262</v>
      </c>
      <c r="N199" s="23" t="s">
        <v>2263</v>
      </c>
      <c r="O199" s="24" t="s">
        <v>2264</v>
      </c>
      <c r="P199" s="24" t="s">
        <v>2265</v>
      </c>
      <c r="Q199" s="24" t="s">
        <v>2266</v>
      </c>
      <c r="R199" s="24"/>
      <c r="S199" s="29" t="s">
        <v>2267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174</v>
      </c>
      <c r="Y199" s="23" t="s">
        <v>174</v>
      </c>
      <c r="Z199" s="23" t="s">
        <v>174</v>
      </c>
      <c r="AA199" s="23" t="s">
        <v>174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  <c r="AE199" s="24" t="str">
        <f aca="false">M199&amp;" | 사사기 13장 #"&amp;SUBSTITUTE(안내!$C$5," ","")</f>
        <v>태어나기 전부터 정해진 나실인 | 사사기 13장 #1분성경</v>
      </c>
      <c r="AF199" s="24" t="s">
        <v>2268</v>
      </c>
      <c r="AG199" s="24"/>
      <c r="AH199" s="23" t="s">
        <v>290</v>
      </c>
      <c r="AI199" s="26" t="n">
        <f aca="false">U199-안내!$C$12</f>
        <v>46445</v>
      </c>
      <c r="AJ199" s="23" t="str">
        <f aca="false">IF(U199&lt;IF(C199=1,안내!$C$9,안내!$C$10)+안내!$C$12,"시즌 시작 전 제작","")</f>
        <v/>
      </c>
      <c r="AK199" s="24"/>
      <c r="AL199" s="27"/>
      <c r="AM199" s="27"/>
      <c r="AN199" s="27"/>
      <c r="AO199" s="27"/>
      <c r="AP199" s="27"/>
      <c r="AQ199" s="23" t="str">
        <f aca="false">D199&amp;"|"&amp;TEXT(U199,"yyyy-mm-dd")</f>
        <v>구약|2027-03-27</v>
      </c>
      <c r="AR199" s="24" t="s">
        <v>2269</v>
      </c>
      <c r="AS199" s="24" t="s">
        <v>292</v>
      </c>
    </row>
    <row r="200" customFormat="false" ht="39.55" hidden="false" customHeight="false" outlineLevel="0" collapsed="false">
      <c r="A200" s="21" t="n">
        <v>199</v>
      </c>
      <c r="B200" s="18" t="s">
        <v>2270</v>
      </c>
      <c r="C200" s="23" t="n">
        <v>2</v>
      </c>
      <c r="D200" s="23" t="s">
        <v>160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2218</v>
      </c>
      <c r="H200" s="18" t="s">
        <v>2121</v>
      </c>
      <c r="I200" s="21" t="s">
        <v>2122</v>
      </c>
      <c r="J200" s="22" t="s">
        <v>2271</v>
      </c>
      <c r="K200" s="23" t="s">
        <v>165</v>
      </c>
      <c r="L200" s="24" t="s">
        <v>2272</v>
      </c>
      <c r="M200" s="24" t="s">
        <v>2273</v>
      </c>
      <c r="N200" s="23" t="s">
        <v>2274</v>
      </c>
      <c r="O200" s="24" t="s">
        <v>2275</v>
      </c>
      <c r="P200" s="24" t="s">
        <v>2276</v>
      </c>
      <c r="Q200" s="24" t="s">
        <v>2277</v>
      </c>
      <c r="R200" s="24"/>
      <c r="S200" s="24" t="s">
        <v>2278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174</v>
      </c>
      <c r="Y200" s="23" t="s">
        <v>174</v>
      </c>
      <c r="Z200" s="23" t="s">
        <v>174</v>
      </c>
      <c r="AA200" s="23" t="s">
        <v>174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  <c r="AE200" s="24" t="str">
        <f aca="false">M200&amp;" | 사사기 14장 #"&amp;SUBSTITUTE(안내!$C$5," ","")</f>
        <v>맨손으로 사자를 찢은 청년 | 사사기 14장 #1분성경</v>
      </c>
      <c r="AF200" s="24" t="s">
        <v>304</v>
      </c>
      <c r="AG200" s="24" t="s">
        <v>2279</v>
      </c>
      <c r="AH200" s="23" t="s">
        <v>290</v>
      </c>
      <c r="AI200" s="26" t="n">
        <f aca="false">U200-안내!$C$12</f>
        <v>46667</v>
      </c>
      <c r="AJ200" s="23" t="str">
        <f aca="false">IF(U200&lt;IF(C200=1,안내!$C$9,안내!$C$10)+안내!$C$12,"시즌 시작 전 제작","")</f>
        <v/>
      </c>
      <c r="AK200" s="24" t="s">
        <v>2280</v>
      </c>
      <c r="AL200" s="27"/>
      <c r="AM200" s="27"/>
      <c r="AN200" s="27"/>
      <c r="AO200" s="27"/>
      <c r="AP200" s="27"/>
      <c r="AQ200" s="23" t="str">
        <f aca="false">D200&amp;"|"&amp;TEXT(U200,"yyyy-mm-dd")</f>
        <v>구약|2027-11-04</v>
      </c>
      <c r="AR200" s="24" t="s">
        <v>2281</v>
      </c>
      <c r="AS200" s="24"/>
    </row>
    <row r="201" customFormat="false" ht="39.55" hidden="false" customHeight="false" outlineLevel="0" collapsed="false">
      <c r="A201" s="21" t="n">
        <v>200</v>
      </c>
      <c r="B201" s="18" t="s">
        <v>2282</v>
      </c>
      <c r="C201" s="23" t="n">
        <v>2</v>
      </c>
      <c r="D201" s="23" t="s">
        <v>160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2218</v>
      </c>
      <c r="H201" s="18" t="s">
        <v>2121</v>
      </c>
      <c r="I201" s="21" t="s">
        <v>2122</v>
      </c>
      <c r="J201" s="22" t="s">
        <v>2283</v>
      </c>
      <c r="K201" s="23" t="s">
        <v>165</v>
      </c>
      <c r="L201" s="24" t="s">
        <v>2284</v>
      </c>
      <c r="M201" s="24" t="s">
        <v>2285</v>
      </c>
      <c r="N201" s="23" t="s">
        <v>2286</v>
      </c>
      <c r="O201" s="24" t="s">
        <v>2287</v>
      </c>
      <c r="P201" s="24" t="s">
        <v>2288</v>
      </c>
      <c r="Q201" s="24" t="s">
        <v>2289</v>
      </c>
      <c r="R201" s="25" t="s">
        <v>2290</v>
      </c>
      <c r="S201" s="24" t="s">
        <v>2278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174</v>
      </c>
      <c r="Y201" s="23" t="s">
        <v>174</v>
      </c>
      <c r="Z201" s="23" t="s">
        <v>174</v>
      </c>
      <c r="AA201" s="23" t="s">
        <v>174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  <c r="AE201" s="24" t="str">
        <f aca="false">M201&amp;" | 사사기 15장 #"&amp;SUBSTITUTE(안내!$C$5," ","")</f>
        <v>턱뼈 하나로 천 명을 이겼다 | 사사기 15장 #1분성경</v>
      </c>
      <c r="AF201" s="24" t="s">
        <v>304</v>
      </c>
      <c r="AG201" s="24"/>
      <c r="AH201" s="23" t="s">
        <v>290</v>
      </c>
      <c r="AI201" s="26" t="n">
        <f aca="false">U201-안내!$C$12</f>
        <v>46668</v>
      </c>
      <c r="AJ201" s="23" t="str">
        <f aca="false">IF(U201&lt;IF(C201=1,안내!$C$9,안내!$C$10)+안내!$C$12,"시즌 시작 전 제작","")</f>
        <v/>
      </c>
      <c r="AK201" s="24" t="s">
        <v>2280</v>
      </c>
      <c r="AL201" s="27"/>
      <c r="AM201" s="27"/>
      <c r="AN201" s="27"/>
      <c r="AO201" s="27"/>
      <c r="AP201" s="27"/>
      <c r="AQ201" s="23" t="str">
        <f aca="false">D201&amp;"|"&amp;TEXT(U201,"yyyy-mm-dd")</f>
        <v>구약|2027-11-05</v>
      </c>
      <c r="AR201" s="24" t="s">
        <v>2291</v>
      </c>
      <c r="AS201" s="24"/>
    </row>
    <row r="202" customFormat="false" ht="39.55" hidden="false" customHeight="false" outlineLevel="0" collapsed="false">
      <c r="A202" s="21" t="n">
        <v>201</v>
      </c>
      <c r="B202" s="18" t="s">
        <v>2292</v>
      </c>
      <c r="C202" s="20" t="n">
        <v>1</v>
      </c>
      <c r="D202" s="20" t="s">
        <v>160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2218</v>
      </c>
      <c r="H202" s="18" t="s">
        <v>2042</v>
      </c>
      <c r="I202" s="21" t="s">
        <v>2122</v>
      </c>
      <c r="J202" s="22" t="s">
        <v>2293</v>
      </c>
      <c r="K202" s="23" t="s">
        <v>165</v>
      </c>
      <c r="L202" s="24" t="s">
        <v>2294</v>
      </c>
      <c r="M202" s="24" t="s">
        <v>2295</v>
      </c>
      <c r="N202" s="23" t="s">
        <v>2296</v>
      </c>
      <c r="O202" s="24" t="s">
        <v>2297</v>
      </c>
      <c r="P202" s="24" t="s">
        <v>2298</v>
      </c>
      <c r="Q202" s="24" t="s">
        <v>2299</v>
      </c>
      <c r="R202" s="25" t="s">
        <v>2300</v>
      </c>
      <c r="S202" s="29" t="s">
        <v>2301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174</v>
      </c>
      <c r="Y202" s="23" t="s">
        <v>174</v>
      </c>
      <c r="Z202" s="23" t="s">
        <v>174</v>
      </c>
      <c r="AA202" s="23" t="s">
        <v>174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  <c r="AE202" s="24" t="str">
        <f aca="false">M202&amp;" | 사사기 16장 #"&amp;SUBSTITUTE(안내!$C$5," ","")</f>
        <v>가장 큰 힘이 가장 약한 곳에서 무너졌다 | 사사기 16장 #1분성경</v>
      </c>
      <c r="AF202" s="24" t="s">
        <v>2302</v>
      </c>
      <c r="AG202" s="24" t="s">
        <v>2303</v>
      </c>
      <c r="AH202" s="23" t="s">
        <v>290</v>
      </c>
      <c r="AI202" s="26" t="n">
        <f aca="false">U202-안내!$C$12</f>
        <v>46446</v>
      </c>
      <c r="AJ202" s="23" t="str">
        <f aca="false">IF(U202&lt;IF(C202=1,안내!$C$9,안내!$C$10)+안내!$C$12,"시즌 시작 전 제작","")</f>
        <v/>
      </c>
      <c r="AK202" s="24" t="s">
        <v>2280</v>
      </c>
      <c r="AL202" s="27"/>
      <c r="AM202" s="27"/>
      <c r="AN202" s="27"/>
      <c r="AO202" s="27"/>
      <c r="AP202" s="27"/>
      <c r="AQ202" s="23" t="str">
        <f aca="false">D202&amp;"|"&amp;TEXT(U202,"yyyy-mm-dd")</f>
        <v>구약|2027-03-28</v>
      </c>
      <c r="AR202" s="24" t="s">
        <v>2304</v>
      </c>
      <c r="AS202" s="24"/>
    </row>
    <row r="203" customFormat="false" ht="39.55" hidden="false" customHeight="false" outlineLevel="0" collapsed="false">
      <c r="A203" s="21" t="n">
        <v>202</v>
      </c>
      <c r="B203" s="18" t="s">
        <v>2305</v>
      </c>
      <c r="C203" s="20" t="n">
        <v>1</v>
      </c>
      <c r="D203" s="20" t="s">
        <v>160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2218</v>
      </c>
      <c r="H203" s="18" t="s">
        <v>2042</v>
      </c>
      <c r="I203" s="21" t="s">
        <v>2122</v>
      </c>
      <c r="J203" s="22" t="s">
        <v>2306</v>
      </c>
      <c r="K203" s="23" t="s">
        <v>165</v>
      </c>
      <c r="L203" s="24" t="s">
        <v>2307</v>
      </c>
      <c r="M203" s="24" t="s">
        <v>2308</v>
      </c>
      <c r="N203" s="23" t="s">
        <v>2309</v>
      </c>
      <c r="O203" s="24" t="s">
        <v>2310</v>
      </c>
      <c r="P203" s="24" t="s">
        <v>2311</v>
      </c>
      <c r="Q203" s="24" t="s">
        <v>2312</v>
      </c>
      <c r="R203" s="24"/>
      <c r="S203" s="24" t="s">
        <v>173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174</v>
      </c>
      <c r="Y203" s="23" t="s">
        <v>174</v>
      </c>
      <c r="Z203" s="23" t="s">
        <v>174</v>
      </c>
      <c r="AA203" s="23" t="s">
        <v>174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  <c r="AE203" s="24" t="str">
        <f aca="false">M203&amp;" | 사사기 16장 #"&amp;SUBSTITUTE(안내!$C$5," ","")</f>
        <v>이번 한 번만 강하게 하소서 | 사사기 16장 #1분성경</v>
      </c>
      <c r="AF203" s="24" t="s">
        <v>2313</v>
      </c>
      <c r="AG203" s="24"/>
      <c r="AH203" s="23" t="s">
        <v>290</v>
      </c>
      <c r="AI203" s="26" t="n">
        <f aca="false">U203-안내!$C$12</f>
        <v>46447</v>
      </c>
      <c r="AJ203" s="23" t="str">
        <f aca="false">IF(U203&lt;IF(C203=1,안내!$C$9,안내!$C$10)+안내!$C$12,"시즌 시작 전 제작","")</f>
        <v/>
      </c>
      <c r="AK203" s="24" t="s">
        <v>2280</v>
      </c>
      <c r="AL203" s="27"/>
      <c r="AM203" s="27"/>
      <c r="AN203" s="27"/>
      <c r="AO203" s="27"/>
      <c r="AP203" s="27"/>
      <c r="AQ203" s="23" t="str">
        <f aca="false">D203&amp;"|"&amp;TEXT(U203,"yyyy-mm-dd")</f>
        <v>구약|2027-03-29</v>
      </c>
      <c r="AR203" s="24" t="s">
        <v>2314</v>
      </c>
      <c r="AS203" s="24"/>
    </row>
    <row r="204" customFormat="false" ht="26.85" hidden="false" customHeight="false" outlineLevel="0" collapsed="false">
      <c r="A204" s="21" t="n">
        <v>203</v>
      </c>
      <c r="B204" s="18" t="s">
        <v>2315</v>
      </c>
      <c r="C204" s="23" t="n">
        <v>2</v>
      </c>
      <c r="D204" s="23" t="s">
        <v>160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2218</v>
      </c>
      <c r="H204" s="18" t="s">
        <v>2121</v>
      </c>
      <c r="I204" s="21" t="s">
        <v>2122</v>
      </c>
      <c r="J204" s="22" t="s">
        <v>2316</v>
      </c>
      <c r="K204" s="23" t="s">
        <v>165</v>
      </c>
      <c r="L204" s="24" t="s">
        <v>2317</v>
      </c>
      <c r="M204" s="24" t="s">
        <v>2318</v>
      </c>
      <c r="N204" s="23" t="s">
        <v>2319</v>
      </c>
      <c r="O204" s="24" t="s">
        <v>2320</v>
      </c>
      <c r="P204" s="24" t="s">
        <v>2321</v>
      </c>
      <c r="Q204" s="24" t="s">
        <v>2322</v>
      </c>
      <c r="R204" s="24"/>
      <c r="S204" s="24" t="s">
        <v>2323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174</v>
      </c>
      <c r="Y204" s="23" t="s">
        <v>174</v>
      </c>
      <c r="Z204" s="23" t="s">
        <v>174</v>
      </c>
      <c r="AA204" s="23" t="s">
        <v>174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  <c r="AE204" s="24" t="str">
        <f aca="false">M204&amp;" | 사사기 17~18장 #"&amp;SUBSTITUTE(안내!$C$5," ","")</f>
        <v>은 1,100개로 만든 우상 | 사사기 17~18장 #1분성경</v>
      </c>
      <c r="AF204" s="24" t="s">
        <v>304</v>
      </c>
      <c r="AG204" s="24" t="s">
        <v>2324</v>
      </c>
      <c r="AH204" s="23" t="s">
        <v>360</v>
      </c>
      <c r="AI204" s="26" t="n">
        <f aca="false">U204-안내!$C$12</f>
        <v>46669</v>
      </c>
      <c r="AJ204" s="23" t="str">
        <f aca="false">IF(U204&lt;IF(C204=1,안내!$C$9,안내!$C$10)+안내!$C$12,"시즌 시작 전 제작","")</f>
        <v/>
      </c>
      <c r="AK204" s="24"/>
      <c r="AL204" s="27"/>
      <c r="AM204" s="27"/>
      <c r="AN204" s="27"/>
      <c r="AO204" s="27"/>
      <c r="AP204" s="27"/>
      <c r="AQ204" s="23" t="str">
        <f aca="false">D204&amp;"|"&amp;TEXT(U204,"yyyy-mm-dd")</f>
        <v>구약|2027-11-06</v>
      </c>
      <c r="AR204" s="24" t="s">
        <v>2325</v>
      </c>
      <c r="AS204" s="24"/>
    </row>
    <row r="205" customFormat="false" ht="26.85" hidden="false" customHeight="false" outlineLevel="0" collapsed="false">
      <c r="A205" s="21" t="n">
        <v>204</v>
      </c>
      <c r="B205" s="18" t="s">
        <v>2326</v>
      </c>
      <c r="C205" s="23" t="n">
        <v>2</v>
      </c>
      <c r="D205" s="23" t="s">
        <v>160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2218</v>
      </c>
      <c r="H205" s="18" t="s">
        <v>2121</v>
      </c>
      <c r="I205" s="21" t="s">
        <v>2122</v>
      </c>
      <c r="J205" s="22" t="s">
        <v>2327</v>
      </c>
      <c r="K205" s="23" t="s">
        <v>165</v>
      </c>
      <c r="L205" s="24" t="s">
        <v>2328</v>
      </c>
      <c r="M205" s="24" t="s">
        <v>2329</v>
      </c>
      <c r="N205" s="23" t="s">
        <v>2330</v>
      </c>
      <c r="O205" s="24" t="s">
        <v>2331</v>
      </c>
      <c r="P205" s="24" t="s">
        <v>2332</v>
      </c>
      <c r="Q205" s="24" t="s">
        <v>2333</v>
      </c>
      <c r="R205" s="28" t="s">
        <v>2334</v>
      </c>
      <c r="S205" s="24" t="s">
        <v>2323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174</v>
      </c>
      <c r="Y205" s="23" t="s">
        <v>174</v>
      </c>
      <c r="Z205" s="23" t="s">
        <v>174</v>
      </c>
      <c r="AA205" s="23" t="s">
        <v>174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  <c r="AE205" s="24" t="str">
        <f aca="false">M205&amp;" | 사사기 19~21장 #"&amp;SUBSTITUTE(안내!$C$5," ","")</f>
        <v>이스라엘 지파들끼리 전쟁이 났다 | 사사기 19~21장 #1분성경</v>
      </c>
      <c r="AF205" s="24" t="s">
        <v>304</v>
      </c>
      <c r="AG205" s="24"/>
      <c r="AH205" s="23" t="s">
        <v>290</v>
      </c>
      <c r="AI205" s="26" t="n">
        <f aca="false">U205-안내!$C$12</f>
        <v>46670</v>
      </c>
      <c r="AJ205" s="23" t="str">
        <f aca="false">IF(U205&lt;IF(C205=1,안내!$C$9,안내!$C$10)+안내!$C$12,"시즌 시작 전 제작","")</f>
        <v/>
      </c>
      <c r="AK205" s="24"/>
      <c r="AL205" s="27"/>
      <c r="AM205" s="27"/>
      <c r="AN205" s="27"/>
      <c r="AO205" s="27"/>
      <c r="AP205" s="27"/>
      <c r="AQ205" s="23" t="str">
        <f aca="false">D205&amp;"|"&amp;TEXT(U205,"yyyy-mm-dd")</f>
        <v>구약|2027-11-07</v>
      </c>
      <c r="AR205" s="24" t="s">
        <v>2335</v>
      </c>
      <c r="AS205" s="24"/>
    </row>
    <row r="206" customFormat="false" ht="52.2" hidden="false" customHeight="false" outlineLevel="0" collapsed="false">
      <c r="A206" s="21" t="n">
        <v>205</v>
      </c>
      <c r="B206" s="18" t="s">
        <v>2336</v>
      </c>
      <c r="C206" s="20" t="n">
        <v>1</v>
      </c>
      <c r="D206" s="20" t="s">
        <v>160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2337</v>
      </c>
      <c r="H206" s="18" t="s">
        <v>2338</v>
      </c>
      <c r="I206" s="21" t="s">
        <v>2339</v>
      </c>
      <c r="J206" s="22" t="s">
        <v>2340</v>
      </c>
      <c r="K206" s="23" t="s">
        <v>165</v>
      </c>
      <c r="L206" s="24" t="s">
        <v>2341</v>
      </c>
      <c r="M206" s="24" t="s">
        <v>2342</v>
      </c>
      <c r="N206" s="23" t="s">
        <v>2343</v>
      </c>
      <c r="O206" s="24" t="s">
        <v>2344</v>
      </c>
      <c r="P206" s="24" t="s">
        <v>2345</v>
      </c>
      <c r="Q206" s="24" t="s">
        <v>2346</v>
      </c>
      <c r="R206" s="24"/>
      <c r="S206" s="29" t="s">
        <v>2347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174</v>
      </c>
      <c r="Y206" s="23" t="s">
        <v>174</v>
      </c>
      <c r="Z206" s="23" t="s">
        <v>174</v>
      </c>
      <c r="AA206" s="23" t="s">
        <v>174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  <c r="AE206" s="24" t="str">
        <f aca="false">M206&amp;" | 룻기 1장 #"&amp;SUBSTITUTE(안내!$C$5," ","")</f>
        <v>모든 것을 잃은 시어머니를 따라간 며느리 | 룻기 1장 #1분성경</v>
      </c>
      <c r="AF206" s="24" t="s">
        <v>2348</v>
      </c>
      <c r="AG206" s="24" t="s">
        <v>2349</v>
      </c>
      <c r="AH206" s="23" t="s">
        <v>290</v>
      </c>
      <c r="AI206" s="26" t="n">
        <f aca="false">U206-안내!$C$12</f>
        <v>46448</v>
      </c>
      <c r="AJ206" s="23" t="str">
        <f aca="false">IF(U206&lt;IF(C206=1,안내!$C$9,안내!$C$10)+안내!$C$12,"시즌 시작 전 제작","")</f>
        <v/>
      </c>
      <c r="AK206" s="24" t="s">
        <v>2350</v>
      </c>
      <c r="AL206" s="27"/>
      <c r="AM206" s="27"/>
      <c r="AN206" s="27"/>
      <c r="AO206" s="27"/>
      <c r="AP206" s="27"/>
      <c r="AQ206" s="23" t="str">
        <f aca="false">D206&amp;"|"&amp;TEXT(U206,"yyyy-mm-dd")</f>
        <v>구약|2027-03-30</v>
      </c>
      <c r="AR206" s="24" t="s">
        <v>2351</v>
      </c>
      <c r="AS206" s="24"/>
    </row>
    <row r="207" customFormat="false" ht="39.55" hidden="false" customHeight="false" outlineLevel="0" collapsed="false">
      <c r="A207" s="21" t="n">
        <v>206</v>
      </c>
      <c r="B207" s="18" t="s">
        <v>2352</v>
      </c>
      <c r="C207" s="20" t="n">
        <v>1</v>
      </c>
      <c r="D207" s="20" t="s">
        <v>160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2337</v>
      </c>
      <c r="H207" s="18" t="s">
        <v>2338</v>
      </c>
      <c r="I207" s="21" t="s">
        <v>2339</v>
      </c>
      <c r="J207" s="22" t="s">
        <v>2353</v>
      </c>
      <c r="K207" s="23" t="s">
        <v>165</v>
      </c>
      <c r="L207" s="24" t="s">
        <v>2354</v>
      </c>
      <c r="M207" s="24" t="s">
        <v>2355</v>
      </c>
      <c r="N207" s="23" t="s">
        <v>2356</v>
      </c>
      <c r="O207" s="24" t="s">
        <v>2357</v>
      </c>
      <c r="P207" s="24" t="s">
        <v>2358</v>
      </c>
      <c r="Q207" s="24" t="s">
        <v>2359</v>
      </c>
      <c r="R207" s="24"/>
      <c r="S207" s="24" t="s">
        <v>173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174</v>
      </c>
      <c r="Y207" s="23" t="s">
        <v>174</v>
      </c>
      <c r="Z207" s="23" t="s">
        <v>174</v>
      </c>
      <c r="AA207" s="23" t="s">
        <v>174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  <c r="AE207" s="24" t="str">
        <f aca="false">M207&amp;" | 룻기 2장 #"&amp;SUBSTITUTE(안내!$C$5," ","")</f>
        <v>하필 그 밭이 보아스의 밭이었다 | 룻기 2장 #1분성경</v>
      </c>
      <c r="AF207" s="24" t="s">
        <v>2360</v>
      </c>
      <c r="AG207" s="24" t="s">
        <v>2361</v>
      </c>
      <c r="AH207" s="23" t="s">
        <v>290</v>
      </c>
      <c r="AI207" s="26" t="n">
        <f aca="false">U207-안내!$C$12</f>
        <v>46449</v>
      </c>
      <c r="AJ207" s="23" t="str">
        <f aca="false">IF(U207&lt;IF(C207=1,안내!$C$9,안내!$C$10)+안내!$C$12,"시즌 시작 전 제작","")</f>
        <v/>
      </c>
      <c r="AK207" s="24" t="s">
        <v>2350</v>
      </c>
      <c r="AL207" s="27"/>
      <c r="AM207" s="27"/>
      <c r="AN207" s="27"/>
      <c r="AO207" s="27"/>
      <c r="AP207" s="27"/>
      <c r="AQ207" s="23" t="str">
        <f aca="false">D207&amp;"|"&amp;TEXT(U207,"yyyy-mm-dd")</f>
        <v>구약|2027-03-31</v>
      </c>
      <c r="AR207" s="24" t="s">
        <v>2362</v>
      </c>
      <c r="AS207" s="24"/>
    </row>
    <row r="208" customFormat="false" ht="26.85" hidden="false" customHeight="false" outlineLevel="0" collapsed="false">
      <c r="A208" s="21" t="n">
        <v>207</v>
      </c>
      <c r="B208" s="18" t="s">
        <v>2363</v>
      </c>
      <c r="C208" s="23" t="n">
        <v>2</v>
      </c>
      <c r="D208" s="23" t="s">
        <v>160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2337</v>
      </c>
      <c r="H208" s="18" t="s">
        <v>2364</v>
      </c>
      <c r="I208" s="21" t="s">
        <v>2339</v>
      </c>
      <c r="J208" s="22" t="s">
        <v>2365</v>
      </c>
      <c r="K208" s="23" t="s">
        <v>165</v>
      </c>
      <c r="L208" s="24" t="s">
        <v>2366</v>
      </c>
      <c r="M208" s="24" t="s">
        <v>2367</v>
      </c>
      <c r="N208" s="23" t="s">
        <v>2368</v>
      </c>
      <c r="O208" s="24" t="s">
        <v>2369</v>
      </c>
      <c r="P208" s="24" t="s">
        <v>2358</v>
      </c>
      <c r="Q208" s="24" t="s">
        <v>2370</v>
      </c>
      <c r="R208" s="25" t="s">
        <v>2371</v>
      </c>
      <c r="S208" s="24" t="s">
        <v>2372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174</v>
      </c>
      <c r="Y208" s="23" t="s">
        <v>174</v>
      </c>
      <c r="Z208" s="23" t="s">
        <v>174</v>
      </c>
      <c r="AA208" s="23" t="s">
        <v>174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  <c r="AE208" s="24" t="str">
        <f aca="false">M208&amp;" | 룻기 3장 #"&amp;SUBSTITUTE(안내!$C$5," ","")</f>
        <v>밤에 타작마당에 찾아간 이유 | 룻기 3장 #1분성경</v>
      </c>
      <c r="AF208" s="24" t="s">
        <v>304</v>
      </c>
      <c r="AG208" s="24"/>
      <c r="AH208" s="23" t="s">
        <v>290</v>
      </c>
      <c r="AI208" s="26" t="n">
        <f aca="false">U208-안내!$C$12</f>
        <v>46671</v>
      </c>
      <c r="AJ208" s="23" t="str">
        <f aca="false">IF(U208&lt;IF(C208=1,안내!$C$9,안내!$C$10)+안내!$C$12,"시즌 시작 전 제작","")</f>
        <v/>
      </c>
      <c r="AK208" s="24" t="s">
        <v>2350</v>
      </c>
      <c r="AL208" s="27"/>
      <c r="AM208" s="27"/>
      <c r="AN208" s="27"/>
      <c r="AO208" s="27"/>
      <c r="AP208" s="27"/>
      <c r="AQ208" s="23" t="str">
        <f aca="false">D208&amp;"|"&amp;TEXT(U208,"yyyy-mm-dd")</f>
        <v>구약|2027-11-08</v>
      </c>
      <c r="AR208" s="24" t="s">
        <v>2373</v>
      </c>
      <c r="AS208" s="24" t="s">
        <v>292</v>
      </c>
    </row>
    <row r="209" customFormat="false" ht="39.55" hidden="false" customHeight="false" outlineLevel="0" collapsed="false">
      <c r="A209" s="21" t="n">
        <v>208</v>
      </c>
      <c r="B209" s="18" t="s">
        <v>2374</v>
      </c>
      <c r="C209" s="20" t="n">
        <v>1</v>
      </c>
      <c r="D209" s="20" t="s">
        <v>160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2337</v>
      </c>
      <c r="H209" s="18" t="s">
        <v>2338</v>
      </c>
      <c r="I209" s="21" t="s">
        <v>2339</v>
      </c>
      <c r="J209" s="22" t="s">
        <v>2375</v>
      </c>
      <c r="K209" s="23" t="s">
        <v>165</v>
      </c>
      <c r="L209" s="24" t="s">
        <v>2376</v>
      </c>
      <c r="M209" s="24" t="s">
        <v>2377</v>
      </c>
      <c r="N209" s="23" t="s">
        <v>2378</v>
      </c>
      <c r="O209" s="24" t="s">
        <v>2379</v>
      </c>
      <c r="P209" s="24" t="s">
        <v>2380</v>
      </c>
      <c r="Q209" s="24" t="s">
        <v>2381</v>
      </c>
      <c r="R209" s="25" t="s">
        <v>2382</v>
      </c>
      <c r="S209" s="29" t="s">
        <v>2383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174</v>
      </c>
      <c r="Y209" s="23" t="s">
        <v>174</v>
      </c>
      <c r="Z209" s="23" t="s">
        <v>174</v>
      </c>
      <c r="AA209" s="23" t="s">
        <v>174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  <c r="AE209" s="24" t="str">
        <f aca="false">M209&amp;" | 룻기 4장 #"&amp;SUBSTITUTE(안내!$C$5," ","")</f>
        <v>자기 손해를 감수하고 값을 치른 사람 | 룻기 4장 #1분성경</v>
      </c>
      <c r="AF209" s="24" t="s">
        <v>2384</v>
      </c>
      <c r="AG209" s="24" t="s">
        <v>2385</v>
      </c>
      <c r="AH209" s="23" t="s">
        <v>290</v>
      </c>
      <c r="AI209" s="26" t="n">
        <f aca="false">U209-안내!$C$12</f>
        <v>46450</v>
      </c>
      <c r="AJ209" s="23" t="str">
        <f aca="false">IF(U209&lt;IF(C209=1,안내!$C$9,안내!$C$10)+안내!$C$12,"시즌 시작 전 제작","")</f>
        <v/>
      </c>
      <c r="AK209" s="24"/>
      <c r="AL209" s="27"/>
      <c r="AM209" s="27"/>
      <c r="AN209" s="27"/>
      <c r="AO209" s="27"/>
      <c r="AP209" s="27"/>
      <c r="AQ209" s="23" t="str">
        <f aca="false">D209&amp;"|"&amp;TEXT(U209,"yyyy-mm-dd")</f>
        <v>구약|2027-04-01</v>
      </c>
      <c r="AR209" s="24" t="s">
        <v>2386</v>
      </c>
      <c r="AS209" s="24"/>
    </row>
    <row r="210" customFormat="false" ht="26.85" hidden="false" customHeight="false" outlineLevel="0" collapsed="false">
      <c r="A210" s="21" t="n">
        <v>209</v>
      </c>
      <c r="B210" s="18" t="s">
        <v>2387</v>
      </c>
      <c r="C210" s="20" t="n">
        <v>1</v>
      </c>
      <c r="D210" s="20" t="s">
        <v>160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2337</v>
      </c>
      <c r="H210" s="18" t="s">
        <v>2338</v>
      </c>
      <c r="I210" s="21" t="s">
        <v>2339</v>
      </c>
      <c r="J210" s="22" t="s">
        <v>2388</v>
      </c>
      <c r="K210" s="23" t="s">
        <v>165</v>
      </c>
      <c r="L210" s="24" t="s">
        <v>2389</v>
      </c>
      <c r="M210" s="24" t="s">
        <v>2390</v>
      </c>
      <c r="N210" s="23" t="s">
        <v>2391</v>
      </c>
      <c r="O210" s="24" t="s">
        <v>2392</v>
      </c>
      <c r="P210" s="24" t="s">
        <v>2393</v>
      </c>
      <c r="Q210" s="24" t="s">
        <v>2394</v>
      </c>
      <c r="R210" s="25" t="s">
        <v>2395</v>
      </c>
      <c r="S210" s="24" t="s">
        <v>173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174</v>
      </c>
      <c r="Y210" s="23" t="s">
        <v>174</v>
      </c>
      <c r="Z210" s="23" t="s">
        <v>174</v>
      </c>
      <c r="AA210" s="23" t="s">
        <v>174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  <c r="AE210" s="24" t="str">
        <f aca="false">M210&amp;" | 룻기 4장 #"&amp;SUBSTITUTE(안내!$C$5," ","")</f>
        <v>모압 여인이 왕의 족보에 들어가다 | 룻기 4장 #1분성경</v>
      </c>
      <c r="AF210" s="24" t="s">
        <v>2396</v>
      </c>
      <c r="AG210" s="24"/>
      <c r="AH210" s="23" t="s">
        <v>290</v>
      </c>
      <c r="AI210" s="26" t="n">
        <f aca="false">U210-안내!$C$12</f>
        <v>46451</v>
      </c>
      <c r="AJ210" s="23" t="str">
        <f aca="false">IF(U210&lt;IF(C210=1,안내!$C$9,안내!$C$10)+안내!$C$12,"시즌 시작 전 제작","")</f>
        <v/>
      </c>
      <c r="AK210" s="24" t="s">
        <v>2350</v>
      </c>
      <c r="AL210" s="27"/>
      <c r="AM210" s="27"/>
      <c r="AN210" s="27"/>
      <c r="AO210" s="27"/>
      <c r="AP210" s="27"/>
      <c r="AQ210" s="23" t="str">
        <f aca="false">D210&amp;"|"&amp;TEXT(U210,"yyyy-mm-dd")</f>
        <v>구약|2027-04-02</v>
      </c>
      <c r="AR210" s="24" t="s">
        <v>2397</v>
      </c>
      <c r="AS210" s="24"/>
    </row>
    <row r="211" customFormat="false" ht="26.85" hidden="false" customHeight="false" outlineLevel="0" collapsed="false">
      <c r="A211" s="21" t="n">
        <v>210</v>
      </c>
      <c r="B211" s="18" t="s">
        <v>2398</v>
      </c>
      <c r="C211" s="20" t="n">
        <v>1</v>
      </c>
      <c r="D211" s="20" t="s">
        <v>160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2337</v>
      </c>
      <c r="H211" s="18" t="s">
        <v>2338</v>
      </c>
      <c r="I211" s="21" t="s">
        <v>2399</v>
      </c>
      <c r="J211" s="22" t="s">
        <v>2400</v>
      </c>
      <c r="K211" s="23" t="s">
        <v>165</v>
      </c>
      <c r="L211" s="24" t="s">
        <v>2401</v>
      </c>
      <c r="M211" s="24" t="s">
        <v>2402</v>
      </c>
      <c r="N211" s="23" t="s">
        <v>2403</v>
      </c>
      <c r="O211" s="24" t="s">
        <v>2404</v>
      </c>
      <c r="P211" s="24" t="s">
        <v>2405</v>
      </c>
      <c r="Q211" s="24" t="s">
        <v>2406</v>
      </c>
      <c r="R211" s="24"/>
      <c r="S211" s="24" t="s">
        <v>173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174</v>
      </c>
      <c r="Y211" s="23" t="s">
        <v>174</v>
      </c>
      <c r="Z211" s="23" t="s">
        <v>174</v>
      </c>
      <c r="AA211" s="23" t="s">
        <v>174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  <c r="AE211" s="24" t="str">
        <f aca="false">M211&amp;" | 사무엘상 1장 #"&amp;SUBSTITUTE(안내!$C$5," ","")</f>
        <v>입술만 움직이며 기도한 여인 | 사무엘상 1장 #1분성경</v>
      </c>
      <c r="AF211" s="24" t="s">
        <v>2407</v>
      </c>
      <c r="AG211" s="24" t="s">
        <v>2408</v>
      </c>
      <c r="AH211" s="23" t="s">
        <v>290</v>
      </c>
      <c r="AI211" s="26" t="n">
        <f aca="false">U211-안내!$C$12</f>
        <v>46452</v>
      </c>
      <c r="AJ211" s="23" t="str">
        <f aca="false">IF(U211&lt;IF(C211=1,안내!$C$9,안내!$C$10)+안내!$C$12,"시즌 시작 전 제작","")</f>
        <v/>
      </c>
      <c r="AK211" s="24"/>
      <c r="AL211" s="27"/>
      <c r="AM211" s="27"/>
      <c r="AN211" s="27"/>
      <c r="AO211" s="27"/>
      <c r="AP211" s="27"/>
      <c r="AQ211" s="23" t="str">
        <f aca="false">D211&amp;"|"&amp;TEXT(U211,"yyyy-mm-dd")</f>
        <v>구약|2027-04-03</v>
      </c>
      <c r="AR211" s="24" t="s">
        <v>2409</v>
      </c>
      <c r="AS211" s="24"/>
    </row>
    <row r="212" customFormat="false" ht="52.2" hidden="false" customHeight="false" outlineLevel="0" collapsed="false">
      <c r="A212" s="21" t="n">
        <v>211</v>
      </c>
      <c r="B212" s="18" t="s">
        <v>2410</v>
      </c>
      <c r="C212" s="23" t="n">
        <v>2</v>
      </c>
      <c r="D212" s="23" t="s">
        <v>160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2337</v>
      </c>
      <c r="H212" s="18" t="s">
        <v>2364</v>
      </c>
      <c r="I212" s="21" t="s">
        <v>2399</v>
      </c>
      <c r="J212" s="22" t="s">
        <v>2411</v>
      </c>
      <c r="K212" s="23" t="s">
        <v>165</v>
      </c>
      <c r="L212" s="24" t="s">
        <v>2412</v>
      </c>
      <c r="M212" s="24" t="s">
        <v>2413</v>
      </c>
      <c r="N212" s="23" t="s">
        <v>2414</v>
      </c>
      <c r="O212" s="24" t="s">
        <v>2415</v>
      </c>
      <c r="P212" s="24" t="s">
        <v>2416</v>
      </c>
      <c r="Q212" s="24" t="s">
        <v>2406</v>
      </c>
      <c r="R212" s="24"/>
      <c r="S212" s="24" t="s">
        <v>2417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174</v>
      </c>
      <c r="Y212" s="23" t="s">
        <v>174</v>
      </c>
      <c r="Z212" s="23" t="s">
        <v>174</v>
      </c>
      <c r="AA212" s="23" t="s">
        <v>174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  <c r="AE212" s="24" t="str">
        <f aca="false">M212&amp;" | 사무엘상 2장 #"&amp;SUBSTITUTE(안내!$C$5," ","")</f>
        <v>기도의 어머니와 망가진 제사장 아들들 | 사무엘상 2장 #1분성경</v>
      </c>
      <c r="AF212" s="24" t="s">
        <v>304</v>
      </c>
      <c r="AG212" s="24"/>
      <c r="AH212" s="23" t="s">
        <v>290</v>
      </c>
      <c r="AI212" s="26" t="n">
        <f aca="false">U212-안내!$C$12</f>
        <v>46672</v>
      </c>
      <c r="AJ212" s="23" t="str">
        <f aca="false">IF(U212&lt;IF(C212=1,안내!$C$9,안내!$C$10)+안내!$C$12,"시즌 시작 전 제작","")</f>
        <v/>
      </c>
      <c r="AK212" s="24"/>
      <c r="AL212" s="27"/>
      <c r="AM212" s="27"/>
      <c r="AN212" s="27"/>
      <c r="AO212" s="27"/>
      <c r="AP212" s="27"/>
      <c r="AQ212" s="23" t="str">
        <f aca="false">D212&amp;"|"&amp;TEXT(U212,"yyyy-mm-dd")</f>
        <v>구약|2027-11-09</v>
      </c>
      <c r="AR212" s="24" t="s">
        <v>2418</v>
      </c>
      <c r="AS212" s="24"/>
    </row>
    <row r="213" customFormat="false" ht="39.55" hidden="false" customHeight="false" outlineLevel="0" collapsed="false">
      <c r="A213" s="21" t="n">
        <v>212</v>
      </c>
      <c r="B213" s="18" t="s">
        <v>2419</v>
      </c>
      <c r="C213" s="20" t="n">
        <v>1</v>
      </c>
      <c r="D213" s="20" t="s">
        <v>160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2337</v>
      </c>
      <c r="H213" s="18" t="s">
        <v>2338</v>
      </c>
      <c r="I213" s="21" t="s">
        <v>2399</v>
      </c>
      <c r="J213" s="22" t="s">
        <v>2420</v>
      </c>
      <c r="K213" s="23" t="s">
        <v>165</v>
      </c>
      <c r="L213" s="24" t="s">
        <v>2421</v>
      </c>
      <c r="M213" s="24" t="s">
        <v>2422</v>
      </c>
      <c r="N213" s="23" t="s">
        <v>2423</v>
      </c>
      <c r="O213" s="24" t="s">
        <v>2424</v>
      </c>
      <c r="P213" s="24" t="s">
        <v>2425</v>
      </c>
      <c r="Q213" s="24" t="s">
        <v>2426</v>
      </c>
      <c r="R213" s="24"/>
      <c r="S213" s="29" t="s">
        <v>2427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174</v>
      </c>
      <c r="Y213" s="23" t="s">
        <v>174</v>
      </c>
      <c r="Z213" s="23" t="s">
        <v>174</v>
      </c>
      <c r="AA213" s="23" t="s">
        <v>174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  <c r="AE213" s="24" t="str">
        <f aca="false">M213&amp;" | 사무엘상 3장 #"&amp;SUBSTITUTE(안내!$C$5," ","")</f>
        <v>한밤중에 소년의 이름을 부른 목소리 | 사무엘상 3장 #1분성경</v>
      </c>
      <c r="AF213" s="24" t="s">
        <v>2428</v>
      </c>
      <c r="AG213" s="24"/>
      <c r="AH213" s="23" t="s">
        <v>290</v>
      </c>
      <c r="AI213" s="26" t="n">
        <f aca="false">U213-안내!$C$12</f>
        <v>46453</v>
      </c>
      <c r="AJ213" s="23" t="str">
        <f aca="false">IF(U213&lt;IF(C213=1,안내!$C$9,안내!$C$10)+안내!$C$12,"시즌 시작 전 제작","")</f>
        <v/>
      </c>
      <c r="AK213" s="24" t="s">
        <v>2429</v>
      </c>
      <c r="AL213" s="27"/>
      <c r="AM213" s="27"/>
      <c r="AN213" s="27"/>
      <c r="AO213" s="27"/>
      <c r="AP213" s="27"/>
      <c r="AQ213" s="23" t="str">
        <f aca="false">D213&amp;"|"&amp;TEXT(U213,"yyyy-mm-dd")</f>
        <v>구약|2027-04-04</v>
      </c>
      <c r="AR213" s="24" t="s">
        <v>2430</v>
      </c>
      <c r="AS213" s="24"/>
    </row>
    <row r="214" customFormat="false" ht="26.85" hidden="false" customHeight="false" outlineLevel="0" collapsed="false">
      <c r="A214" s="21" t="n">
        <v>213</v>
      </c>
      <c r="B214" s="18" t="s">
        <v>2431</v>
      </c>
      <c r="C214" s="20" t="n">
        <v>1</v>
      </c>
      <c r="D214" s="20" t="s">
        <v>160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2432</v>
      </c>
      <c r="H214" s="18" t="s">
        <v>2338</v>
      </c>
      <c r="I214" s="21" t="s">
        <v>2399</v>
      </c>
      <c r="J214" s="22" t="s">
        <v>2433</v>
      </c>
      <c r="K214" s="23" t="s">
        <v>165</v>
      </c>
      <c r="L214" s="24" t="s">
        <v>2434</v>
      </c>
      <c r="M214" s="24" t="s">
        <v>2435</v>
      </c>
      <c r="N214" s="23" t="s">
        <v>2436</v>
      </c>
      <c r="O214" s="24" t="s">
        <v>2437</v>
      </c>
      <c r="P214" s="24" t="s">
        <v>2438</v>
      </c>
      <c r="Q214" s="24" t="s">
        <v>2439</v>
      </c>
      <c r="R214" s="25" t="s">
        <v>2440</v>
      </c>
      <c r="S214" s="24" t="s">
        <v>173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174</v>
      </c>
      <c r="Y214" s="23" t="s">
        <v>174</v>
      </c>
      <c r="Z214" s="23" t="s">
        <v>174</v>
      </c>
      <c r="AA214" s="23" t="s">
        <v>174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  <c r="AE214" s="24" t="str">
        <f aca="false">M214&amp;" | 사무엘상 4장 #"&amp;SUBSTITUTE(안내!$C$5," ","")</f>
        <v>언약궤를 부적처럼 들고 나갔다가 | 사무엘상 4장 #1분성경</v>
      </c>
      <c r="AF214" s="24" t="s">
        <v>2441</v>
      </c>
      <c r="AG214" s="24"/>
      <c r="AH214" s="23" t="s">
        <v>290</v>
      </c>
      <c r="AI214" s="26" t="n">
        <f aca="false">U214-안내!$C$12</f>
        <v>46454</v>
      </c>
      <c r="AJ214" s="23" t="str">
        <f aca="false">IF(U214&lt;IF(C214=1,안내!$C$9,안내!$C$10)+안내!$C$12,"시즌 시작 전 제작","")</f>
        <v/>
      </c>
      <c r="AK214" s="24"/>
      <c r="AL214" s="27"/>
      <c r="AM214" s="27"/>
      <c r="AN214" s="27"/>
      <c r="AO214" s="27"/>
      <c r="AP214" s="27"/>
      <c r="AQ214" s="23" t="str">
        <f aca="false">D214&amp;"|"&amp;TEXT(U214,"yyyy-mm-dd")</f>
        <v>구약|2027-04-05</v>
      </c>
      <c r="AR214" s="24" t="s">
        <v>2442</v>
      </c>
      <c r="AS214" s="24" t="s">
        <v>292</v>
      </c>
    </row>
    <row r="215" customFormat="false" ht="39.55" hidden="false" customHeight="false" outlineLevel="0" collapsed="false">
      <c r="A215" s="21" t="n">
        <v>214</v>
      </c>
      <c r="B215" s="18" t="s">
        <v>2443</v>
      </c>
      <c r="C215" s="23" t="n">
        <v>2</v>
      </c>
      <c r="D215" s="23" t="s">
        <v>160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2432</v>
      </c>
      <c r="H215" s="18" t="s">
        <v>2364</v>
      </c>
      <c r="I215" s="21" t="s">
        <v>2399</v>
      </c>
      <c r="J215" s="22" t="s">
        <v>2444</v>
      </c>
      <c r="K215" s="23" t="s">
        <v>165</v>
      </c>
      <c r="L215" s="24" t="s">
        <v>2445</v>
      </c>
      <c r="M215" s="24" t="s">
        <v>2446</v>
      </c>
      <c r="N215" s="23" t="s">
        <v>2447</v>
      </c>
      <c r="O215" s="24" t="s">
        <v>2448</v>
      </c>
      <c r="P215" s="24" t="s">
        <v>2449</v>
      </c>
      <c r="Q215" s="24" t="s">
        <v>2450</v>
      </c>
      <c r="R215" s="24"/>
      <c r="S215" s="24" t="s">
        <v>2451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174</v>
      </c>
      <c r="Y215" s="23" t="s">
        <v>174</v>
      </c>
      <c r="Z215" s="23" t="s">
        <v>174</v>
      </c>
      <c r="AA215" s="23" t="s">
        <v>174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  <c r="AE215" s="24" t="str">
        <f aca="false">M215&amp;" | 사무엘상 5~6장 #"&amp;SUBSTITUTE(안내!$C$5," ","")</f>
        <v>블레셋 신상이 언약궤 앞에 엎드렸다 | 사무엘상 5~6장 #1분성경</v>
      </c>
      <c r="AF215" s="24" t="s">
        <v>304</v>
      </c>
      <c r="AG215" s="24"/>
      <c r="AH215" s="23" t="s">
        <v>290</v>
      </c>
      <c r="AI215" s="26" t="n">
        <f aca="false">U215-안내!$C$12</f>
        <v>46673</v>
      </c>
      <c r="AJ215" s="23" t="str">
        <f aca="false">IF(U215&lt;IF(C215=1,안내!$C$9,안내!$C$10)+안내!$C$12,"시즌 시작 전 제작","")</f>
        <v/>
      </c>
      <c r="AK215" s="24"/>
      <c r="AL215" s="27"/>
      <c r="AM215" s="27"/>
      <c r="AN215" s="27"/>
      <c r="AO215" s="27"/>
      <c r="AP215" s="27"/>
      <c r="AQ215" s="23" t="str">
        <f aca="false">D215&amp;"|"&amp;TEXT(U215,"yyyy-mm-dd")</f>
        <v>구약|2027-11-10</v>
      </c>
      <c r="AR215" s="24" t="s">
        <v>2452</v>
      </c>
      <c r="AS215" s="24"/>
    </row>
    <row r="216" customFormat="false" ht="39.55" hidden="false" customHeight="false" outlineLevel="0" collapsed="false">
      <c r="A216" s="21" t="n">
        <v>215</v>
      </c>
      <c r="B216" s="18" t="s">
        <v>2453</v>
      </c>
      <c r="C216" s="23" t="n">
        <v>2</v>
      </c>
      <c r="D216" s="23" t="s">
        <v>160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2432</v>
      </c>
      <c r="H216" s="18" t="s">
        <v>2364</v>
      </c>
      <c r="I216" s="21" t="s">
        <v>2399</v>
      </c>
      <c r="J216" s="22" t="s">
        <v>2454</v>
      </c>
      <c r="K216" s="23" t="s">
        <v>165</v>
      </c>
      <c r="L216" s="24" t="s">
        <v>2455</v>
      </c>
      <c r="M216" s="24" t="s">
        <v>2456</v>
      </c>
      <c r="N216" s="23" t="s">
        <v>2457</v>
      </c>
      <c r="O216" s="24" t="s">
        <v>2458</v>
      </c>
      <c r="P216" s="24" t="s">
        <v>2459</v>
      </c>
      <c r="Q216" s="24" t="s">
        <v>2460</v>
      </c>
      <c r="R216" s="24"/>
      <c r="S216" s="24" t="s">
        <v>2451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174</v>
      </c>
      <c r="Y216" s="23" t="s">
        <v>174</v>
      </c>
      <c r="Z216" s="23" t="s">
        <v>174</v>
      </c>
      <c r="AA216" s="23" t="s">
        <v>174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  <c r="AE216" s="24" t="str">
        <f aca="false">M216&amp;" | 사무엘상 7장 #"&amp;SUBSTITUTE(안내!$C$5," ","")</f>
        <v>여기까지 우리를 도우셨다 | 사무엘상 7장 #1분성경</v>
      </c>
      <c r="AF216" s="24" t="s">
        <v>304</v>
      </c>
      <c r="AG216" s="24" t="s">
        <v>2461</v>
      </c>
      <c r="AH216" s="23" t="s">
        <v>290</v>
      </c>
      <c r="AI216" s="26" t="n">
        <f aca="false">U216-안내!$C$12</f>
        <v>46674</v>
      </c>
      <c r="AJ216" s="23" t="str">
        <f aca="false">IF(U216&lt;IF(C216=1,안내!$C$9,안내!$C$10)+안내!$C$12,"시즌 시작 전 제작","")</f>
        <v/>
      </c>
      <c r="AK216" s="24" t="s">
        <v>2429</v>
      </c>
      <c r="AL216" s="27"/>
      <c r="AM216" s="27"/>
      <c r="AN216" s="27"/>
      <c r="AO216" s="27"/>
      <c r="AP216" s="27"/>
      <c r="AQ216" s="23" t="str">
        <f aca="false">D216&amp;"|"&amp;TEXT(U216,"yyyy-mm-dd")</f>
        <v>구약|2027-11-11</v>
      </c>
      <c r="AR216" s="24" t="s">
        <v>2462</v>
      </c>
      <c r="AS216" s="24"/>
    </row>
    <row r="217" customFormat="false" ht="39.55" hidden="false" customHeight="false" outlineLevel="0" collapsed="false">
      <c r="A217" s="21" t="n">
        <v>216</v>
      </c>
      <c r="B217" s="18" t="s">
        <v>2463</v>
      </c>
      <c r="C217" s="20" t="n">
        <v>1</v>
      </c>
      <c r="D217" s="20" t="s">
        <v>160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2432</v>
      </c>
      <c r="H217" s="18" t="s">
        <v>2338</v>
      </c>
      <c r="I217" s="21" t="s">
        <v>2399</v>
      </c>
      <c r="J217" s="22" t="s">
        <v>2464</v>
      </c>
      <c r="K217" s="23" t="s">
        <v>165</v>
      </c>
      <c r="L217" s="24" t="s">
        <v>2465</v>
      </c>
      <c r="M217" s="24" t="s">
        <v>2466</v>
      </c>
      <c r="N217" s="23" t="s">
        <v>2467</v>
      </c>
      <c r="O217" s="24" t="s">
        <v>2468</v>
      </c>
      <c r="P217" s="24" t="s">
        <v>2469</v>
      </c>
      <c r="Q217" s="24" t="s">
        <v>2470</v>
      </c>
      <c r="R217" s="24"/>
      <c r="S217" s="29" t="s">
        <v>2471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174</v>
      </c>
      <c r="Y217" s="23" t="s">
        <v>174</v>
      </c>
      <c r="Z217" s="23" t="s">
        <v>174</v>
      </c>
      <c r="AA217" s="23" t="s">
        <v>174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  <c r="AE217" s="24" t="str">
        <f aca="false">M217&amp;" | 사무엘상 8장 #"&amp;SUBSTITUTE(안내!$C$5," ","")</f>
        <v>백성이 버린 것은 사무엘이 아니었다 | 사무엘상 8장 #1분성경</v>
      </c>
      <c r="AF217" s="24" t="s">
        <v>2472</v>
      </c>
      <c r="AG217" s="24" t="s">
        <v>2473</v>
      </c>
      <c r="AH217" s="23" t="s">
        <v>290</v>
      </c>
      <c r="AI217" s="26" t="n">
        <f aca="false">U217-안내!$C$12</f>
        <v>46455</v>
      </c>
      <c r="AJ217" s="23" t="str">
        <f aca="false">IF(U217&lt;IF(C217=1,안내!$C$9,안내!$C$10)+안내!$C$12,"시즌 시작 전 제작","")</f>
        <v/>
      </c>
      <c r="AK217" s="24" t="s">
        <v>2429</v>
      </c>
      <c r="AL217" s="27"/>
      <c r="AM217" s="27"/>
      <c r="AN217" s="27"/>
      <c r="AO217" s="27"/>
      <c r="AP217" s="27"/>
      <c r="AQ217" s="23" t="str">
        <f aca="false">D217&amp;"|"&amp;TEXT(U217,"yyyy-mm-dd")</f>
        <v>구약|2027-04-06</v>
      </c>
      <c r="AR217" s="24" t="s">
        <v>2474</v>
      </c>
      <c r="AS217" s="24"/>
    </row>
    <row r="218" customFormat="false" ht="26.85" hidden="false" customHeight="false" outlineLevel="0" collapsed="false">
      <c r="A218" s="21" t="n">
        <v>217</v>
      </c>
      <c r="B218" s="18" t="s">
        <v>2475</v>
      </c>
      <c r="C218" s="20" t="n">
        <v>1</v>
      </c>
      <c r="D218" s="20" t="s">
        <v>160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2432</v>
      </c>
      <c r="H218" s="18" t="s">
        <v>2338</v>
      </c>
      <c r="I218" s="21" t="s">
        <v>2399</v>
      </c>
      <c r="J218" s="22" t="s">
        <v>2476</v>
      </c>
      <c r="K218" s="23" t="s">
        <v>165</v>
      </c>
      <c r="L218" s="24" t="s">
        <v>2477</v>
      </c>
      <c r="M218" s="24" t="s">
        <v>2478</v>
      </c>
      <c r="N218" s="23" t="s">
        <v>2479</v>
      </c>
      <c r="O218" s="24" t="s">
        <v>2480</v>
      </c>
      <c r="P218" s="24" t="s">
        <v>2481</v>
      </c>
      <c r="Q218" s="24" t="s">
        <v>2482</v>
      </c>
      <c r="R218" s="24"/>
      <c r="S218" s="24" t="s">
        <v>173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174</v>
      </c>
      <c r="Y218" s="23" t="s">
        <v>174</v>
      </c>
      <c r="Z218" s="23" t="s">
        <v>174</v>
      </c>
      <c r="AA218" s="23" t="s">
        <v>174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  <c r="AE218" s="24" t="str">
        <f aca="false">M218&amp;" | 사무엘상 9~10장 #"&amp;SUBSTITUTE(안내!$C$5," ","")</f>
        <v>잃어버린 나귀를 찾으러 갔는데 | 사무엘상 9~10장 #1분성경</v>
      </c>
      <c r="AF218" s="24" t="s">
        <v>2483</v>
      </c>
      <c r="AG218" s="24" t="s">
        <v>2484</v>
      </c>
      <c r="AH218" s="23" t="s">
        <v>290</v>
      </c>
      <c r="AI218" s="26" t="n">
        <f aca="false">U218-안내!$C$12</f>
        <v>46456</v>
      </c>
      <c r="AJ218" s="23" t="str">
        <f aca="false">IF(U218&lt;IF(C218=1,안내!$C$9,안내!$C$10)+안내!$C$12,"시즌 시작 전 제작","")</f>
        <v/>
      </c>
      <c r="AK218" s="24" t="s">
        <v>2485</v>
      </c>
      <c r="AL218" s="27"/>
      <c r="AM218" s="27"/>
      <c r="AN218" s="27"/>
      <c r="AO218" s="27"/>
      <c r="AP218" s="27"/>
      <c r="AQ218" s="23" t="str">
        <f aca="false">D218&amp;"|"&amp;TEXT(U218,"yyyy-mm-dd")</f>
        <v>구약|2027-04-07</v>
      </c>
      <c r="AR218" s="24" t="s">
        <v>2486</v>
      </c>
      <c r="AS218" s="24"/>
    </row>
    <row r="219" customFormat="false" ht="26.85" hidden="false" customHeight="false" outlineLevel="0" collapsed="false">
      <c r="A219" s="21" t="n">
        <v>218</v>
      </c>
      <c r="B219" s="18" t="s">
        <v>2487</v>
      </c>
      <c r="C219" s="23" t="n">
        <v>2</v>
      </c>
      <c r="D219" s="23" t="s">
        <v>160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2432</v>
      </c>
      <c r="H219" s="18" t="s">
        <v>2364</v>
      </c>
      <c r="I219" s="21" t="s">
        <v>2399</v>
      </c>
      <c r="J219" s="22" t="s">
        <v>2488</v>
      </c>
      <c r="K219" s="23" t="s">
        <v>165</v>
      </c>
      <c r="L219" s="24" t="s">
        <v>2489</v>
      </c>
      <c r="M219" s="24" t="s">
        <v>2490</v>
      </c>
      <c r="N219" s="23" t="s">
        <v>2491</v>
      </c>
      <c r="O219" s="24" t="s">
        <v>2492</v>
      </c>
      <c r="P219" s="24" t="s">
        <v>2493</v>
      </c>
      <c r="Q219" s="24" t="s">
        <v>2494</v>
      </c>
      <c r="R219" s="24"/>
      <c r="S219" s="24" t="s">
        <v>2495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174</v>
      </c>
      <c r="Y219" s="23" t="s">
        <v>174</v>
      </c>
      <c r="Z219" s="23" t="s">
        <v>174</v>
      </c>
      <c r="AA219" s="23" t="s">
        <v>174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  <c r="AE219" s="24" t="str">
        <f aca="false">M219&amp;" | 사무엘상 11~12장 #"&amp;SUBSTITUTE(안내!$C$5," ","")</f>
        <v>기도를 쉬는 죄를 짓지 않겠다 | 사무엘상 11~12장 #1분성경</v>
      </c>
      <c r="AF219" s="24" t="s">
        <v>304</v>
      </c>
      <c r="AG219" s="24" t="s">
        <v>2496</v>
      </c>
      <c r="AH219" s="23" t="s">
        <v>290</v>
      </c>
      <c r="AI219" s="26" t="n">
        <f aca="false">U219-안내!$C$12</f>
        <v>46675</v>
      </c>
      <c r="AJ219" s="23" t="str">
        <f aca="false">IF(U219&lt;IF(C219=1,안내!$C$9,안내!$C$10)+안내!$C$12,"시즌 시작 전 제작","")</f>
        <v/>
      </c>
      <c r="AK219" s="24" t="s">
        <v>2485</v>
      </c>
      <c r="AL219" s="27"/>
      <c r="AM219" s="27"/>
      <c r="AN219" s="27"/>
      <c r="AO219" s="27"/>
      <c r="AP219" s="27"/>
      <c r="AQ219" s="23" t="str">
        <f aca="false">D219&amp;"|"&amp;TEXT(U219,"yyyy-mm-dd")</f>
        <v>구약|2027-11-12</v>
      </c>
      <c r="AR219" s="24" t="s">
        <v>2497</v>
      </c>
      <c r="AS219" s="24"/>
    </row>
    <row r="220" customFormat="false" ht="39.55" hidden="false" customHeight="false" outlineLevel="0" collapsed="false">
      <c r="A220" s="21" t="n">
        <v>219</v>
      </c>
      <c r="B220" s="18" t="s">
        <v>2498</v>
      </c>
      <c r="C220" s="23" t="n">
        <v>2</v>
      </c>
      <c r="D220" s="23" t="s">
        <v>160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2432</v>
      </c>
      <c r="H220" s="18" t="s">
        <v>2364</v>
      </c>
      <c r="I220" s="21" t="s">
        <v>2399</v>
      </c>
      <c r="J220" s="22" t="s">
        <v>2499</v>
      </c>
      <c r="K220" s="23" t="s">
        <v>165</v>
      </c>
      <c r="L220" s="24" t="s">
        <v>2500</v>
      </c>
      <c r="M220" s="30" t="s">
        <v>2501</v>
      </c>
      <c r="N220" s="23" t="s">
        <v>2502</v>
      </c>
      <c r="O220" s="24" t="s">
        <v>2503</v>
      </c>
      <c r="P220" s="24" t="s">
        <v>2481</v>
      </c>
      <c r="Q220" s="24" t="s">
        <v>2504</v>
      </c>
      <c r="R220" s="24"/>
      <c r="S220" s="24" t="s">
        <v>2495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174</v>
      </c>
      <c r="Y220" s="23" t="s">
        <v>174</v>
      </c>
      <c r="Z220" s="23" t="s">
        <v>174</v>
      </c>
      <c r="AA220" s="23" t="s">
        <v>174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  <c r="AE220" s="24" t="str">
        <f aca="false">M220&amp;" | 사무엘상 13장 #"&amp;SUBSTITUTE(안내!$C$5," ","")</f>
        <v>7일을 못 기다리고 제사를 드렸다 | 사무엘상 13장 #1분성경</v>
      </c>
      <c r="AF220" s="24" t="s">
        <v>304</v>
      </c>
      <c r="AG220" s="24" t="s">
        <v>2505</v>
      </c>
      <c r="AH220" s="23" t="s">
        <v>360</v>
      </c>
      <c r="AI220" s="26" t="n">
        <f aca="false">U220-안내!$C$12</f>
        <v>46676</v>
      </c>
      <c r="AJ220" s="23" t="str">
        <f aca="false">IF(U220&lt;IF(C220=1,안내!$C$9,안내!$C$10)+안내!$C$12,"시즌 시작 전 제작","")</f>
        <v/>
      </c>
      <c r="AK220" s="24" t="s">
        <v>2485</v>
      </c>
      <c r="AL220" s="27"/>
      <c r="AM220" s="27"/>
      <c r="AN220" s="27"/>
      <c r="AO220" s="27"/>
      <c r="AP220" s="27"/>
      <c r="AQ220" s="23" t="str">
        <f aca="false">D220&amp;"|"&amp;TEXT(U220,"yyyy-mm-dd")</f>
        <v>구약|2027-11-13</v>
      </c>
      <c r="AR220" s="24" t="s">
        <v>2506</v>
      </c>
      <c r="AS220" s="24"/>
    </row>
    <row r="221" customFormat="false" ht="39.55" hidden="false" customHeight="false" outlineLevel="0" collapsed="false">
      <c r="A221" s="21" t="n">
        <v>220</v>
      </c>
      <c r="B221" s="18" t="s">
        <v>2507</v>
      </c>
      <c r="C221" s="23" t="n">
        <v>2</v>
      </c>
      <c r="D221" s="23" t="s">
        <v>160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2432</v>
      </c>
      <c r="H221" s="18" t="s">
        <v>2364</v>
      </c>
      <c r="I221" s="21" t="s">
        <v>2399</v>
      </c>
      <c r="J221" s="22" t="s">
        <v>2508</v>
      </c>
      <c r="K221" s="23" t="s">
        <v>165</v>
      </c>
      <c r="L221" s="24" t="s">
        <v>2509</v>
      </c>
      <c r="M221" s="24" t="s">
        <v>2510</v>
      </c>
      <c r="N221" s="23" t="s">
        <v>2511</v>
      </c>
      <c r="O221" s="24" t="s">
        <v>2512</v>
      </c>
      <c r="P221" s="24" t="s">
        <v>2513</v>
      </c>
      <c r="Q221" s="24" t="s">
        <v>2514</v>
      </c>
      <c r="R221" s="24"/>
      <c r="S221" s="24" t="s">
        <v>2495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174</v>
      </c>
      <c r="Y221" s="23" t="s">
        <v>174</v>
      </c>
      <c r="Z221" s="23" t="s">
        <v>174</v>
      </c>
      <c r="AA221" s="23" t="s">
        <v>174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  <c r="AE221" s="24" t="str">
        <f aca="false">M221&amp;" | 사무엘상 14장 #"&amp;SUBSTITUTE(안내!$C$5," ","")</f>
        <v>단 두 명이 블레셋 진영으로 | 사무엘상 14장 #1분성경</v>
      </c>
      <c r="AF221" s="24" t="s">
        <v>304</v>
      </c>
      <c r="AG221" s="24"/>
      <c r="AH221" s="23" t="s">
        <v>290</v>
      </c>
      <c r="AI221" s="26" t="n">
        <f aca="false">U221-안내!$C$12</f>
        <v>46677</v>
      </c>
      <c r="AJ221" s="23" t="str">
        <f aca="false">IF(U221&lt;IF(C221=1,안내!$C$9,안내!$C$10)+안내!$C$12,"시즌 시작 전 제작","")</f>
        <v/>
      </c>
      <c r="AK221" s="24" t="s">
        <v>2515</v>
      </c>
      <c r="AL221" s="27"/>
      <c r="AM221" s="27"/>
      <c r="AN221" s="27"/>
      <c r="AO221" s="27"/>
      <c r="AP221" s="27"/>
      <c r="AQ221" s="23" t="str">
        <f aca="false">D221&amp;"|"&amp;TEXT(U221,"yyyy-mm-dd")</f>
        <v>구약|2027-11-14</v>
      </c>
      <c r="AR221" s="24" t="s">
        <v>2516</v>
      </c>
      <c r="AS221" s="24"/>
    </row>
    <row r="222" customFormat="false" ht="52.2" hidden="false" customHeight="false" outlineLevel="0" collapsed="false">
      <c r="A222" s="21" t="n">
        <v>221</v>
      </c>
      <c r="B222" s="18" t="s">
        <v>2517</v>
      </c>
      <c r="C222" s="20" t="n">
        <v>1</v>
      </c>
      <c r="D222" s="20" t="s">
        <v>160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2432</v>
      </c>
      <c r="H222" s="18" t="s">
        <v>2338</v>
      </c>
      <c r="I222" s="21" t="s">
        <v>2399</v>
      </c>
      <c r="J222" s="22" t="s">
        <v>2518</v>
      </c>
      <c r="K222" s="23" t="s">
        <v>165</v>
      </c>
      <c r="L222" s="24" t="s">
        <v>2519</v>
      </c>
      <c r="M222" s="24" t="s">
        <v>2520</v>
      </c>
      <c r="N222" s="23" t="s">
        <v>2521</v>
      </c>
      <c r="O222" s="24" t="s">
        <v>2522</v>
      </c>
      <c r="P222" s="24" t="s">
        <v>2523</v>
      </c>
      <c r="Q222" s="24" t="s">
        <v>2504</v>
      </c>
      <c r="R222" s="25" t="s">
        <v>885</v>
      </c>
      <c r="S222" s="29" t="s">
        <v>2524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174</v>
      </c>
      <c r="Y222" s="23" t="s">
        <v>174</v>
      </c>
      <c r="Z222" s="23" t="s">
        <v>174</v>
      </c>
      <c r="AA222" s="23" t="s">
        <v>174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  <c r="AE222" s="24" t="str">
        <f aca="false">M222&amp;" | 사무엘상 15장 #"&amp;SUBSTITUTE(안내!$C$5," ","")</f>
        <v>양 떼를 남긴 진짜 이유 | 사무엘상 15장 #1분성경</v>
      </c>
      <c r="AF222" s="24" t="s">
        <v>2525</v>
      </c>
      <c r="AG222" s="24"/>
      <c r="AH222" s="23" t="s">
        <v>290</v>
      </c>
      <c r="AI222" s="26" t="n">
        <f aca="false">U222-안내!$C$12</f>
        <v>46457</v>
      </c>
      <c r="AJ222" s="23" t="str">
        <f aca="false">IF(U222&lt;IF(C222=1,안내!$C$9,안내!$C$10)+안내!$C$12,"시즌 시작 전 제작","")</f>
        <v/>
      </c>
      <c r="AK222" s="24" t="s">
        <v>2485</v>
      </c>
      <c r="AL222" s="27"/>
      <c r="AM222" s="27"/>
      <c r="AN222" s="27"/>
      <c r="AO222" s="27"/>
      <c r="AP222" s="27"/>
      <c r="AQ222" s="23" t="str">
        <f aca="false">D222&amp;"|"&amp;TEXT(U222,"yyyy-mm-dd")</f>
        <v>구약|2027-04-08</v>
      </c>
      <c r="AR222" s="24" t="s">
        <v>2526</v>
      </c>
      <c r="AS222" s="24"/>
    </row>
    <row r="223" customFormat="false" ht="39.55" hidden="false" customHeight="false" outlineLevel="0" collapsed="false">
      <c r="A223" s="21" t="n">
        <v>222</v>
      </c>
      <c r="B223" s="18" t="s">
        <v>2527</v>
      </c>
      <c r="C223" s="20" t="n">
        <v>1</v>
      </c>
      <c r="D223" s="20" t="s">
        <v>160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2528</v>
      </c>
      <c r="H223" s="18" t="s">
        <v>2529</v>
      </c>
      <c r="I223" s="21" t="s">
        <v>2399</v>
      </c>
      <c r="J223" s="22" t="s">
        <v>2530</v>
      </c>
      <c r="K223" s="23" t="s">
        <v>165</v>
      </c>
      <c r="L223" s="24" t="s">
        <v>2531</v>
      </c>
      <c r="M223" s="24" t="s">
        <v>2532</v>
      </c>
      <c r="N223" s="23" t="s">
        <v>2533</v>
      </c>
      <c r="O223" s="24" t="s">
        <v>2534</v>
      </c>
      <c r="P223" s="24" t="s">
        <v>2535</v>
      </c>
      <c r="Q223" s="24" t="s">
        <v>2394</v>
      </c>
      <c r="R223" s="24"/>
      <c r="S223" s="24" t="s">
        <v>173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174</v>
      </c>
      <c r="Y223" s="23" t="s">
        <v>174</v>
      </c>
      <c r="Z223" s="23" t="s">
        <v>174</v>
      </c>
      <c r="AA223" s="23" t="s">
        <v>174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  <c r="AE223" s="24" t="str">
        <f aca="false">M223&amp;" | 사무엘상 16장 #"&amp;SUBSTITUTE(안내!$C$5," ","")</f>
        <v>막내 목동이 왕으로 뽑혔다 | 사무엘상 16장 #1분성경</v>
      </c>
      <c r="AF223" s="24" t="s">
        <v>2536</v>
      </c>
      <c r="AG223" s="24" t="s">
        <v>2537</v>
      </c>
      <c r="AH223" s="23" t="s">
        <v>290</v>
      </c>
      <c r="AI223" s="26" t="n">
        <f aca="false">U223-안내!$C$12</f>
        <v>46458</v>
      </c>
      <c r="AJ223" s="23" t="str">
        <f aca="false">IF(U223&lt;IF(C223=1,안내!$C$9,안내!$C$10)+안내!$C$12,"시즌 시작 전 제작","")</f>
        <v/>
      </c>
      <c r="AK223" s="24" t="s">
        <v>2538</v>
      </c>
      <c r="AL223" s="27"/>
      <c r="AM223" s="27"/>
      <c r="AN223" s="27"/>
      <c r="AO223" s="27"/>
      <c r="AP223" s="27"/>
      <c r="AQ223" s="23" t="str">
        <f aca="false">D223&amp;"|"&amp;TEXT(U223,"yyyy-mm-dd")</f>
        <v>구약|2027-04-09</v>
      </c>
      <c r="AR223" s="24" t="s">
        <v>2539</v>
      </c>
      <c r="AS223" s="24"/>
    </row>
    <row r="224" customFormat="false" ht="26.85" hidden="false" customHeight="false" outlineLevel="0" collapsed="false">
      <c r="A224" s="21" t="n">
        <v>223</v>
      </c>
      <c r="B224" s="18" t="s">
        <v>2540</v>
      </c>
      <c r="C224" s="23" t="n">
        <v>2</v>
      </c>
      <c r="D224" s="23" t="s">
        <v>160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2528</v>
      </c>
      <c r="H224" s="18" t="s">
        <v>2364</v>
      </c>
      <c r="I224" s="21" t="s">
        <v>2399</v>
      </c>
      <c r="J224" s="22" t="s">
        <v>2541</v>
      </c>
      <c r="K224" s="23" t="s">
        <v>165</v>
      </c>
      <c r="L224" s="24" t="s">
        <v>2542</v>
      </c>
      <c r="M224" s="24" t="s">
        <v>2543</v>
      </c>
      <c r="N224" s="23" t="s">
        <v>2544</v>
      </c>
      <c r="O224" s="24" t="s">
        <v>2545</v>
      </c>
      <c r="P224" s="24" t="s">
        <v>2546</v>
      </c>
      <c r="Q224" s="24" t="s">
        <v>2547</v>
      </c>
      <c r="R224" s="28" t="s">
        <v>2548</v>
      </c>
      <c r="S224" s="24" t="s">
        <v>2549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174</v>
      </c>
      <c r="Y224" s="23" t="s">
        <v>174</v>
      </c>
      <c r="Z224" s="23" t="s">
        <v>174</v>
      </c>
      <c r="AA224" s="23" t="s">
        <v>174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  <c r="AE224" s="24" t="str">
        <f aca="false">M224&amp;" | 사무엘상 16장 #"&amp;SUBSTITUTE(안내!$C$5," ","")</f>
        <v>다윗이 연주하면 사울이 편안해졌다 | 사무엘상 16장 #1분성경</v>
      </c>
      <c r="AF224" s="24" t="s">
        <v>304</v>
      </c>
      <c r="AG224" s="24" t="s">
        <v>2550</v>
      </c>
      <c r="AH224" s="23" t="s">
        <v>290</v>
      </c>
      <c r="AI224" s="26" t="n">
        <f aca="false">U224-안내!$C$12</f>
        <v>46678</v>
      </c>
      <c r="AJ224" s="23" t="str">
        <f aca="false">IF(U224&lt;IF(C224=1,안내!$C$9,안내!$C$10)+안내!$C$12,"시즌 시작 전 제작","")</f>
        <v/>
      </c>
      <c r="AK224" s="24" t="s">
        <v>2551</v>
      </c>
      <c r="AL224" s="27"/>
      <c r="AM224" s="27"/>
      <c r="AN224" s="27"/>
      <c r="AO224" s="27"/>
      <c r="AP224" s="27"/>
      <c r="AQ224" s="23" t="str">
        <f aca="false">D224&amp;"|"&amp;TEXT(U224,"yyyy-mm-dd")</f>
        <v>구약|2027-11-15</v>
      </c>
      <c r="AR224" s="24" t="s">
        <v>2552</v>
      </c>
      <c r="AS224" s="24" t="s">
        <v>292</v>
      </c>
    </row>
    <row r="225" customFormat="false" ht="39.55" hidden="false" customHeight="false" outlineLevel="0" collapsed="false">
      <c r="A225" s="21" t="n">
        <v>224</v>
      </c>
      <c r="B225" s="18" t="s">
        <v>2553</v>
      </c>
      <c r="C225" s="20" t="n">
        <v>1</v>
      </c>
      <c r="D225" s="20" t="s">
        <v>160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2528</v>
      </c>
      <c r="H225" s="18" t="s">
        <v>2529</v>
      </c>
      <c r="I225" s="21" t="s">
        <v>2399</v>
      </c>
      <c r="J225" s="22" t="s">
        <v>2554</v>
      </c>
      <c r="K225" s="23" t="s">
        <v>165</v>
      </c>
      <c r="L225" s="24" t="s">
        <v>2555</v>
      </c>
      <c r="M225" s="30" t="s">
        <v>2556</v>
      </c>
      <c r="N225" s="23" t="s">
        <v>2557</v>
      </c>
      <c r="O225" s="24" t="s">
        <v>2558</v>
      </c>
      <c r="P225" s="24" t="s">
        <v>2559</v>
      </c>
      <c r="Q225" s="24" t="s">
        <v>2560</v>
      </c>
      <c r="R225" s="24"/>
      <c r="S225" s="29" t="s">
        <v>2561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174</v>
      </c>
      <c r="Y225" s="23" t="s">
        <v>174</v>
      </c>
      <c r="Z225" s="23" t="s">
        <v>174</v>
      </c>
      <c r="AA225" s="23" t="s">
        <v>174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  <c r="AE225" s="24" t="str">
        <f aca="false">M225&amp;" | 사무엘상 17장 #"&amp;SUBSTITUTE(안내!$C$5," ","")</f>
        <v>40일 동안 아무도 나서지 못했다 | 사무엘상 17장 #1분성경</v>
      </c>
      <c r="AF225" s="24" t="s">
        <v>2562</v>
      </c>
      <c r="AG225" s="24" t="s">
        <v>2563</v>
      </c>
      <c r="AH225" s="23" t="s">
        <v>360</v>
      </c>
      <c r="AI225" s="26" t="n">
        <f aca="false">U225-안내!$C$12</f>
        <v>46459</v>
      </c>
      <c r="AJ225" s="23" t="str">
        <f aca="false">IF(U225&lt;IF(C225=1,안내!$C$9,안내!$C$10)+안내!$C$12,"시즌 시작 전 제작","")</f>
        <v/>
      </c>
      <c r="AK225" s="24" t="s">
        <v>2551</v>
      </c>
      <c r="AL225" s="27"/>
      <c r="AM225" s="27"/>
      <c r="AN225" s="27"/>
      <c r="AO225" s="27"/>
      <c r="AP225" s="27"/>
      <c r="AQ225" s="23" t="str">
        <f aca="false">D225&amp;"|"&amp;TEXT(U225,"yyyy-mm-dd")</f>
        <v>구약|2027-04-10</v>
      </c>
      <c r="AR225" s="24" t="s">
        <v>2564</v>
      </c>
      <c r="AS225" s="24"/>
    </row>
    <row r="226" customFormat="false" ht="39.55" hidden="false" customHeight="false" outlineLevel="0" collapsed="false">
      <c r="A226" s="21" t="n">
        <v>225</v>
      </c>
      <c r="B226" s="18" t="s">
        <v>2565</v>
      </c>
      <c r="C226" s="20" t="n">
        <v>1</v>
      </c>
      <c r="D226" s="20" t="s">
        <v>160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2528</v>
      </c>
      <c r="H226" s="18" t="s">
        <v>2529</v>
      </c>
      <c r="I226" s="21" t="s">
        <v>2399</v>
      </c>
      <c r="J226" s="22" t="s">
        <v>2566</v>
      </c>
      <c r="K226" s="23" t="s">
        <v>165</v>
      </c>
      <c r="L226" s="24" t="s">
        <v>2567</v>
      </c>
      <c r="M226" s="24" t="s">
        <v>2568</v>
      </c>
      <c r="N226" s="23" t="s">
        <v>2569</v>
      </c>
      <c r="O226" s="24" t="s">
        <v>2570</v>
      </c>
      <c r="P226" s="24" t="s">
        <v>2571</v>
      </c>
      <c r="Q226" s="24" t="s">
        <v>2560</v>
      </c>
      <c r="R226" s="25" t="s">
        <v>2572</v>
      </c>
      <c r="S226" s="24" t="s">
        <v>173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174</v>
      </c>
      <c r="Y226" s="23" t="s">
        <v>174</v>
      </c>
      <c r="Z226" s="23" t="s">
        <v>174</v>
      </c>
      <c r="AA226" s="23" t="s">
        <v>174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  <c r="AE226" s="24" t="str">
        <f aca="false">M226&amp;" | 사무엘상 17장 #"&amp;SUBSTITUTE(안내!$C$5," ","")</f>
        <v>소년이 거인 앞으로 달려갔다 | 사무엘상 17장 #1분성경</v>
      </c>
      <c r="AF226" s="24" t="s">
        <v>2573</v>
      </c>
      <c r="AG226" s="24" t="s">
        <v>2574</v>
      </c>
      <c r="AH226" s="23" t="s">
        <v>290</v>
      </c>
      <c r="AI226" s="26" t="n">
        <f aca="false">U226-안내!$C$12</f>
        <v>46460</v>
      </c>
      <c r="AJ226" s="23" t="str">
        <f aca="false">IF(U226&lt;IF(C226=1,안내!$C$9,안내!$C$10)+안내!$C$12,"시즌 시작 전 제작","")</f>
        <v/>
      </c>
      <c r="AK226" s="24" t="s">
        <v>2551</v>
      </c>
      <c r="AL226" s="27"/>
      <c r="AM226" s="27"/>
      <c r="AN226" s="27"/>
      <c r="AO226" s="27"/>
      <c r="AP226" s="27"/>
      <c r="AQ226" s="23" t="str">
        <f aca="false">D226&amp;"|"&amp;TEXT(U226,"yyyy-mm-dd")</f>
        <v>구약|2027-04-11</v>
      </c>
      <c r="AR226" s="24" t="s">
        <v>2575</v>
      </c>
      <c r="AS226" s="24"/>
    </row>
    <row r="227" customFormat="false" ht="26.85" hidden="false" customHeight="false" outlineLevel="0" collapsed="false">
      <c r="A227" s="21" t="n">
        <v>226</v>
      </c>
      <c r="B227" s="18" t="s">
        <v>2576</v>
      </c>
      <c r="C227" s="20" t="n">
        <v>1</v>
      </c>
      <c r="D227" s="20" t="s">
        <v>160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2528</v>
      </c>
      <c r="H227" s="18" t="s">
        <v>2529</v>
      </c>
      <c r="I227" s="21" t="s">
        <v>2399</v>
      </c>
      <c r="J227" s="22" t="s">
        <v>2577</v>
      </c>
      <c r="K227" s="23" t="s">
        <v>165</v>
      </c>
      <c r="L227" s="24" t="s">
        <v>2578</v>
      </c>
      <c r="M227" s="24" t="s">
        <v>2579</v>
      </c>
      <c r="N227" s="23" t="s">
        <v>2580</v>
      </c>
      <c r="O227" s="24" t="s">
        <v>2581</v>
      </c>
      <c r="P227" s="24" t="s">
        <v>2582</v>
      </c>
      <c r="Q227" s="24" t="s">
        <v>2547</v>
      </c>
      <c r="R227" s="24"/>
      <c r="S227" s="24" t="s">
        <v>173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174</v>
      </c>
      <c r="Y227" s="23" t="s">
        <v>174</v>
      </c>
      <c r="Z227" s="23" t="s">
        <v>174</v>
      </c>
      <c r="AA227" s="23" t="s">
        <v>174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  <c r="AE227" s="24" t="str">
        <f aca="false">M227&amp;" | 사무엘상 18장 #"&amp;SUBSTITUTE(안내!$C$5," ","")</f>
        <v>천천과 만만이라는 노래 한 구절 | 사무엘상 18장 #1분성경</v>
      </c>
      <c r="AF227" s="24" t="s">
        <v>2583</v>
      </c>
      <c r="AG227" s="24" t="s">
        <v>2584</v>
      </c>
      <c r="AH227" s="23" t="s">
        <v>290</v>
      </c>
      <c r="AI227" s="26" t="n">
        <f aca="false">U227-안내!$C$12</f>
        <v>46461</v>
      </c>
      <c r="AJ227" s="23" t="str">
        <f aca="false">IF(U227&lt;IF(C227=1,안내!$C$9,안내!$C$10)+안내!$C$12,"시즌 시작 전 제작","")</f>
        <v/>
      </c>
      <c r="AK227" s="24" t="s">
        <v>2551</v>
      </c>
      <c r="AL227" s="27"/>
      <c r="AM227" s="27"/>
      <c r="AN227" s="27"/>
      <c r="AO227" s="27"/>
      <c r="AP227" s="27"/>
      <c r="AQ227" s="23" t="str">
        <f aca="false">D227&amp;"|"&amp;TEXT(U227,"yyyy-mm-dd")</f>
        <v>구약|2027-04-12</v>
      </c>
      <c r="AR227" s="24" t="s">
        <v>2585</v>
      </c>
      <c r="AS227" s="24" t="s">
        <v>292</v>
      </c>
    </row>
    <row r="228" customFormat="false" ht="26.85" hidden="false" customHeight="false" outlineLevel="0" collapsed="false">
      <c r="A228" s="21" t="n">
        <v>227</v>
      </c>
      <c r="B228" s="18" t="s">
        <v>2586</v>
      </c>
      <c r="C228" s="23" t="n">
        <v>2</v>
      </c>
      <c r="D228" s="23" t="s">
        <v>160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2528</v>
      </c>
      <c r="H228" s="18" t="s">
        <v>2364</v>
      </c>
      <c r="I228" s="21" t="s">
        <v>2399</v>
      </c>
      <c r="J228" s="22" t="s">
        <v>2587</v>
      </c>
      <c r="K228" s="23" t="s">
        <v>165</v>
      </c>
      <c r="L228" s="24" t="s">
        <v>2588</v>
      </c>
      <c r="M228" s="24" t="s">
        <v>2589</v>
      </c>
      <c r="N228" s="23" t="s">
        <v>2590</v>
      </c>
      <c r="O228" s="24" t="s">
        <v>2591</v>
      </c>
      <c r="P228" s="24" t="s">
        <v>2592</v>
      </c>
      <c r="Q228" s="24" t="s">
        <v>2593</v>
      </c>
      <c r="R228" s="24"/>
      <c r="S228" s="24" t="s">
        <v>2594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174</v>
      </c>
      <c r="Y228" s="23" t="s">
        <v>174</v>
      </c>
      <c r="Z228" s="23" t="s">
        <v>174</v>
      </c>
      <c r="AA228" s="23" t="s">
        <v>174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  <c r="AE228" s="24" t="str">
        <f aca="false">M228&amp;" | 사무엘상 19장 #"&amp;SUBSTITUTE(안내!$C$5," ","")</f>
        <v>아내가 남편을 창문으로 내려 보냈다 | 사무엘상 19장 #1분성경</v>
      </c>
      <c r="AF228" s="24" t="s">
        <v>304</v>
      </c>
      <c r="AG228" s="24" t="s">
        <v>2595</v>
      </c>
      <c r="AH228" s="23" t="s">
        <v>290</v>
      </c>
      <c r="AI228" s="26" t="n">
        <f aca="false">U228-안내!$C$12</f>
        <v>46679</v>
      </c>
      <c r="AJ228" s="23" t="str">
        <f aca="false">IF(U228&lt;IF(C228=1,안내!$C$9,안내!$C$10)+안내!$C$12,"시즌 시작 전 제작","")</f>
        <v/>
      </c>
      <c r="AK228" s="24" t="s">
        <v>2551</v>
      </c>
      <c r="AL228" s="27"/>
      <c r="AM228" s="27"/>
      <c r="AN228" s="27"/>
      <c r="AO228" s="27"/>
      <c r="AP228" s="27"/>
      <c r="AQ228" s="23" t="str">
        <f aca="false">D228&amp;"|"&amp;TEXT(U228,"yyyy-mm-dd")</f>
        <v>구약|2027-11-16</v>
      </c>
      <c r="AR228" s="24" t="s">
        <v>2596</v>
      </c>
      <c r="AS228" s="24"/>
    </row>
    <row r="229" customFormat="false" ht="52.2" hidden="false" customHeight="false" outlineLevel="0" collapsed="false">
      <c r="A229" s="21" t="n">
        <v>228</v>
      </c>
      <c r="B229" s="18" t="s">
        <v>2597</v>
      </c>
      <c r="C229" s="20" t="n">
        <v>1</v>
      </c>
      <c r="D229" s="20" t="s">
        <v>160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2528</v>
      </c>
      <c r="H229" s="18" t="s">
        <v>2529</v>
      </c>
      <c r="I229" s="21" t="s">
        <v>2399</v>
      </c>
      <c r="J229" s="22" t="s">
        <v>2598</v>
      </c>
      <c r="K229" s="23" t="s">
        <v>165</v>
      </c>
      <c r="L229" s="24" t="s">
        <v>2599</v>
      </c>
      <c r="M229" s="24" t="s">
        <v>2600</v>
      </c>
      <c r="N229" s="23" t="s">
        <v>2601</v>
      </c>
      <c r="O229" s="24" t="s">
        <v>2602</v>
      </c>
      <c r="P229" s="24" t="s">
        <v>2603</v>
      </c>
      <c r="Q229" s="24" t="s">
        <v>2604</v>
      </c>
      <c r="R229" s="24"/>
      <c r="S229" s="29" t="s">
        <v>2605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174</v>
      </c>
      <c r="Y229" s="23" t="s">
        <v>174</v>
      </c>
      <c r="Z229" s="23" t="s">
        <v>174</v>
      </c>
      <c r="AA229" s="23" t="s">
        <v>174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  <c r="AE229" s="24" t="str">
        <f aca="false">M229&amp;" | 사무엘상 20장 #"&amp;SUBSTITUTE(안내!$C$5," ","")</f>
        <v>화살이 멀리 날아가면 도망쳐라 | 사무엘상 20장 #1분성경</v>
      </c>
      <c r="AF229" s="24" t="s">
        <v>2606</v>
      </c>
      <c r="AG229" s="24" t="s">
        <v>2607</v>
      </c>
      <c r="AH229" s="23" t="s">
        <v>290</v>
      </c>
      <c r="AI229" s="26" t="n">
        <f aca="false">U229-안내!$C$12</f>
        <v>46462</v>
      </c>
      <c r="AJ229" s="23" t="str">
        <f aca="false">IF(U229&lt;IF(C229=1,안내!$C$9,안내!$C$10)+안내!$C$12,"시즌 시작 전 제작","")</f>
        <v/>
      </c>
      <c r="AK229" s="24" t="s">
        <v>2608</v>
      </c>
      <c r="AL229" s="27"/>
      <c r="AM229" s="27"/>
      <c r="AN229" s="27"/>
      <c r="AO229" s="27"/>
      <c r="AP229" s="27"/>
      <c r="AQ229" s="23" t="str">
        <f aca="false">D229&amp;"|"&amp;TEXT(U229,"yyyy-mm-dd")</f>
        <v>구약|2027-04-13</v>
      </c>
      <c r="AR229" s="24" t="s">
        <v>2609</v>
      </c>
      <c r="AS229" s="24"/>
    </row>
    <row r="230" customFormat="false" ht="26.85" hidden="false" customHeight="false" outlineLevel="0" collapsed="false">
      <c r="A230" s="21" t="n">
        <v>229</v>
      </c>
      <c r="B230" s="18" t="s">
        <v>2610</v>
      </c>
      <c r="C230" s="23" t="n">
        <v>2</v>
      </c>
      <c r="D230" s="23" t="s">
        <v>160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2528</v>
      </c>
      <c r="H230" s="18" t="s">
        <v>2364</v>
      </c>
      <c r="I230" s="21" t="s">
        <v>2399</v>
      </c>
      <c r="J230" s="22" t="s">
        <v>2611</v>
      </c>
      <c r="K230" s="23" t="s">
        <v>165</v>
      </c>
      <c r="L230" s="24" t="s">
        <v>2612</v>
      </c>
      <c r="M230" s="24" t="s">
        <v>2613</v>
      </c>
      <c r="N230" s="23" t="s">
        <v>2614</v>
      </c>
      <c r="O230" s="24" t="s">
        <v>2615</v>
      </c>
      <c r="P230" s="24" t="s">
        <v>2616</v>
      </c>
      <c r="Q230" s="24" t="s">
        <v>2617</v>
      </c>
      <c r="R230" s="25" t="s">
        <v>2618</v>
      </c>
      <c r="S230" s="24" t="s">
        <v>2619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174</v>
      </c>
      <c r="Y230" s="23" t="s">
        <v>174</v>
      </c>
      <c r="Z230" s="23" t="s">
        <v>174</v>
      </c>
      <c r="AA230" s="23" t="s">
        <v>174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  <c r="AE230" s="24" t="str">
        <f aca="false">M230&amp;" | 사무엘상 21~22장 #"&amp;SUBSTITUTE(안내!$C$5," ","")</f>
        <v>도망자 다윗에게 모인 400명 | 사무엘상 21~22장 #1분성경</v>
      </c>
      <c r="AF230" s="24" t="s">
        <v>304</v>
      </c>
      <c r="AG230" s="24" t="s">
        <v>2620</v>
      </c>
      <c r="AH230" s="23" t="s">
        <v>360</v>
      </c>
      <c r="AI230" s="26" t="n">
        <f aca="false">U230-안내!$C$12</f>
        <v>46680</v>
      </c>
      <c r="AJ230" s="23" t="str">
        <f aca="false">IF(U230&lt;IF(C230=1,안내!$C$9,안내!$C$10)+안내!$C$12,"시즌 시작 전 제작","")</f>
        <v/>
      </c>
      <c r="AK230" s="24" t="s">
        <v>2608</v>
      </c>
      <c r="AL230" s="27"/>
      <c r="AM230" s="27"/>
      <c r="AN230" s="27"/>
      <c r="AO230" s="27"/>
      <c r="AP230" s="27"/>
      <c r="AQ230" s="23" t="str">
        <f aca="false">D230&amp;"|"&amp;TEXT(U230,"yyyy-mm-dd")</f>
        <v>구약|2027-11-17</v>
      </c>
      <c r="AR230" s="24" t="s">
        <v>2621</v>
      </c>
      <c r="AS230" s="24"/>
    </row>
    <row r="231" customFormat="false" ht="26.85" hidden="false" customHeight="false" outlineLevel="0" collapsed="false">
      <c r="A231" s="21" t="n">
        <v>230</v>
      </c>
      <c r="B231" s="18" t="s">
        <v>2622</v>
      </c>
      <c r="C231" s="23" t="n">
        <v>2</v>
      </c>
      <c r="D231" s="23" t="s">
        <v>160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2528</v>
      </c>
      <c r="H231" s="18" t="s">
        <v>2364</v>
      </c>
      <c r="I231" s="21" t="s">
        <v>2399</v>
      </c>
      <c r="J231" s="22" t="s">
        <v>2623</v>
      </c>
      <c r="K231" s="23" t="s">
        <v>165</v>
      </c>
      <c r="L231" s="24" t="s">
        <v>2624</v>
      </c>
      <c r="M231" s="24" t="s">
        <v>2625</v>
      </c>
      <c r="N231" s="23" t="s">
        <v>2626</v>
      </c>
      <c r="O231" s="24" t="s">
        <v>2627</v>
      </c>
      <c r="P231" s="24" t="s">
        <v>2628</v>
      </c>
      <c r="Q231" s="24" t="s">
        <v>2629</v>
      </c>
      <c r="R231" s="24"/>
      <c r="S231" s="24" t="s">
        <v>2619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174</v>
      </c>
      <c r="Y231" s="23" t="s">
        <v>174</v>
      </c>
      <c r="Z231" s="23" t="s">
        <v>174</v>
      </c>
      <c r="AA231" s="23" t="s">
        <v>174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  <c r="AE231" s="24" t="str">
        <f aca="false">M231&amp;" | 사무엘상 23장 #"&amp;SUBSTITUTE(안내!$C$5," ","")</f>
        <v>요나단이 다윗을 찾아가 힘을 주었다 | 사무엘상 23장 #1분성경</v>
      </c>
      <c r="AF231" s="24" t="s">
        <v>304</v>
      </c>
      <c r="AG231" s="24"/>
      <c r="AH231" s="23" t="s">
        <v>290</v>
      </c>
      <c r="AI231" s="26" t="n">
        <f aca="false">U231-안내!$C$12</f>
        <v>46681</v>
      </c>
      <c r="AJ231" s="23" t="str">
        <f aca="false">IF(U231&lt;IF(C231=1,안내!$C$9,안내!$C$10)+안내!$C$12,"시즌 시작 전 제작","")</f>
        <v/>
      </c>
      <c r="AK231" s="24" t="s">
        <v>2551</v>
      </c>
      <c r="AL231" s="27"/>
      <c r="AM231" s="27"/>
      <c r="AN231" s="27"/>
      <c r="AO231" s="27"/>
      <c r="AP231" s="27"/>
      <c r="AQ231" s="23" t="str">
        <f aca="false">D231&amp;"|"&amp;TEXT(U231,"yyyy-mm-dd")</f>
        <v>구약|2027-11-18</v>
      </c>
      <c r="AR231" s="24" t="s">
        <v>2630</v>
      </c>
      <c r="AS231" s="24"/>
    </row>
    <row r="232" customFormat="false" ht="39.55" hidden="false" customHeight="false" outlineLevel="0" collapsed="false">
      <c r="A232" s="21" t="n">
        <v>231</v>
      </c>
      <c r="B232" s="18" t="s">
        <v>2631</v>
      </c>
      <c r="C232" s="20" t="n">
        <v>1</v>
      </c>
      <c r="D232" s="20" t="s">
        <v>160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2528</v>
      </c>
      <c r="H232" s="18" t="s">
        <v>2529</v>
      </c>
      <c r="I232" s="21" t="s">
        <v>2399</v>
      </c>
      <c r="J232" s="22" t="s">
        <v>2632</v>
      </c>
      <c r="K232" s="23" t="s">
        <v>165</v>
      </c>
      <c r="L232" s="24" t="s">
        <v>2633</v>
      </c>
      <c r="M232" s="24" t="s">
        <v>2634</v>
      </c>
      <c r="N232" s="23" t="s">
        <v>2635</v>
      </c>
      <c r="O232" s="24" t="s">
        <v>2636</v>
      </c>
      <c r="P232" s="24" t="s">
        <v>2637</v>
      </c>
      <c r="Q232" s="24" t="s">
        <v>2638</v>
      </c>
      <c r="R232" s="24"/>
      <c r="S232" s="29" t="s">
        <v>2639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174</v>
      </c>
      <c r="Y232" s="23" t="s">
        <v>174</v>
      </c>
      <c r="Z232" s="23" t="s">
        <v>174</v>
      </c>
      <c r="AA232" s="23" t="s">
        <v>174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  <c r="AE232" s="24" t="str">
        <f aca="false">M232&amp;" | 사무엘상 24장 #"&amp;SUBSTITUTE(안내!$C$5," ","")</f>
        <v>원수의 옷자락만 자른 사람 | 사무엘상 24장 #1분성경</v>
      </c>
      <c r="AF232" s="24" t="s">
        <v>2640</v>
      </c>
      <c r="AG232" s="24"/>
      <c r="AH232" s="23" t="s">
        <v>290</v>
      </c>
      <c r="AI232" s="26" t="n">
        <f aca="false">U232-안내!$C$12</f>
        <v>46463</v>
      </c>
      <c r="AJ232" s="23" t="str">
        <f aca="false">IF(U232&lt;IF(C232=1,안내!$C$9,안내!$C$10)+안내!$C$12,"시즌 시작 전 제작","")</f>
        <v/>
      </c>
      <c r="AK232" s="24" t="s">
        <v>2551</v>
      </c>
      <c r="AL232" s="27"/>
      <c r="AM232" s="27"/>
      <c r="AN232" s="27"/>
      <c r="AO232" s="27"/>
      <c r="AP232" s="27"/>
      <c r="AQ232" s="23" t="str">
        <f aca="false">D232&amp;"|"&amp;TEXT(U232,"yyyy-mm-dd")</f>
        <v>구약|2027-04-14</v>
      </c>
      <c r="AR232" s="24" t="s">
        <v>2641</v>
      </c>
      <c r="AS232" s="24"/>
    </row>
    <row r="233" customFormat="false" ht="26.85" hidden="false" customHeight="false" outlineLevel="0" collapsed="false">
      <c r="A233" s="21" t="n">
        <v>232</v>
      </c>
      <c r="B233" s="18" t="s">
        <v>2642</v>
      </c>
      <c r="C233" s="23" t="n">
        <v>2</v>
      </c>
      <c r="D233" s="23" t="s">
        <v>160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2643</v>
      </c>
      <c r="H233" s="18" t="s">
        <v>2644</v>
      </c>
      <c r="I233" s="21" t="s">
        <v>2399</v>
      </c>
      <c r="J233" s="22" t="s">
        <v>2645</v>
      </c>
      <c r="K233" s="23" t="s">
        <v>165</v>
      </c>
      <c r="L233" s="24" t="s">
        <v>2646</v>
      </c>
      <c r="M233" s="24" t="s">
        <v>2647</v>
      </c>
      <c r="N233" s="23" t="s">
        <v>2648</v>
      </c>
      <c r="O233" s="24" t="s">
        <v>2649</v>
      </c>
      <c r="P233" s="24" t="s">
        <v>2650</v>
      </c>
      <c r="Q233" s="24" t="s">
        <v>2651</v>
      </c>
      <c r="R233" s="24"/>
      <c r="S233" s="24" t="s">
        <v>2652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174</v>
      </c>
      <c r="Y233" s="23" t="s">
        <v>174</v>
      </c>
      <c r="Z233" s="23" t="s">
        <v>174</v>
      </c>
      <c r="AA233" s="23" t="s">
        <v>174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  <c r="AE233" s="24" t="str">
        <f aca="false">M233&amp;" | 사무엘상 25장 #"&amp;SUBSTITUTE(안내!$C$5," ","")</f>
        <v>화난 다윗을 막아선 여인 | 사무엘상 25장 #1분성경</v>
      </c>
      <c r="AF233" s="24" t="s">
        <v>304</v>
      </c>
      <c r="AG233" s="24" t="s">
        <v>2653</v>
      </c>
      <c r="AH233" s="23" t="s">
        <v>290</v>
      </c>
      <c r="AI233" s="26" t="n">
        <f aca="false">U233-안내!$C$12</f>
        <v>46682</v>
      </c>
      <c r="AJ233" s="23" t="str">
        <f aca="false">IF(U233&lt;IF(C233=1,안내!$C$9,안내!$C$10)+안내!$C$12,"시즌 시작 전 제작","")</f>
        <v/>
      </c>
      <c r="AK233" s="24" t="s">
        <v>2608</v>
      </c>
      <c r="AL233" s="27"/>
      <c r="AM233" s="27"/>
      <c r="AN233" s="27"/>
      <c r="AO233" s="27"/>
      <c r="AP233" s="27"/>
      <c r="AQ233" s="23" t="str">
        <f aca="false">D233&amp;"|"&amp;TEXT(U233,"yyyy-mm-dd")</f>
        <v>구약|2027-11-19</v>
      </c>
      <c r="AR233" s="24" t="s">
        <v>2654</v>
      </c>
      <c r="AS233" s="24"/>
    </row>
    <row r="234" customFormat="false" ht="39.55" hidden="false" customHeight="false" outlineLevel="0" collapsed="false">
      <c r="A234" s="21" t="n">
        <v>233</v>
      </c>
      <c r="B234" s="18" t="s">
        <v>2655</v>
      </c>
      <c r="C234" s="23" t="n">
        <v>2</v>
      </c>
      <c r="D234" s="23" t="s">
        <v>160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2643</v>
      </c>
      <c r="H234" s="18" t="s">
        <v>2644</v>
      </c>
      <c r="I234" s="21" t="s">
        <v>2399</v>
      </c>
      <c r="J234" s="22" t="s">
        <v>2656</v>
      </c>
      <c r="K234" s="23" t="s">
        <v>165</v>
      </c>
      <c r="L234" s="24" t="s">
        <v>2657</v>
      </c>
      <c r="M234" s="24" t="s">
        <v>2658</v>
      </c>
      <c r="N234" s="23" t="s">
        <v>2659</v>
      </c>
      <c r="O234" s="24" t="s">
        <v>2660</v>
      </c>
      <c r="P234" s="24" t="s">
        <v>2661</v>
      </c>
      <c r="Q234" s="24" t="s">
        <v>2662</v>
      </c>
      <c r="R234" s="24"/>
      <c r="S234" s="24" t="s">
        <v>2652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174</v>
      </c>
      <c r="Y234" s="23" t="s">
        <v>174</v>
      </c>
      <c r="Z234" s="23" t="s">
        <v>174</v>
      </c>
      <c r="AA234" s="23" t="s">
        <v>174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  <c r="AE234" s="24" t="str">
        <f aca="false">M234&amp;" | 사무엘상 26장 #"&amp;SUBSTITUTE(안내!$C$5," ","")</f>
        <v>창과 물병만 가지고 나왔다 | 사무엘상 26장 #1분성경</v>
      </c>
      <c r="AF234" s="24" t="s">
        <v>304</v>
      </c>
      <c r="AG234" s="24" t="s">
        <v>2663</v>
      </c>
      <c r="AH234" s="23" t="s">
        <v>290</v>
      </c>
      <c r="AI234" s="26" t="n">
        <f aca="false">U234-안내!$C$12</f>
        <v>46683</v>
      </c>
      <c r="AJ234" s="23" t="str">
        <f aca="false">IF(U234&lt;IF(C234=1,안내!$C$9,안내!$C$10)+안내!$C$12,"시즌 시작 전 제작","")</f>
        <v/>
      </c>
      <c r="AK234" s="24" t="s">
        <v>2551</v>
      </c>
      <c r="AL234" s="27"/>
      <c r="AM234" s="27"/>
      <c r="AN234" s="27"/>
      <c r="AO234" s="27"/>
      <c r="AP234" s="27"/>
      <c r="AQ234" s="23" t="str">
        <f aca="false">D234&amp;"|"&amp;TEXT(U234,"yyyy-mm-dd")</f>
        <v>구약|2027-11-20</v>
      </c>
      <c r="AR234" s="24" t="s">
        <v>2664</v>
      </c>
      <c r="AS234" s="24" t="s">
        <v>292</v>
      </c>
    </row>
    <row r="235" customFormat="false" ht="39.55" hidden="false" customHeight="false" outlineLevel="0" collapsed="false">
      <c r="A235" s="21" t="n">
        <v>234</v>
      </c>
      <c r="B235" s="18" t="s">
        <v>2665</v>
      </c>
      <c r="C235" s="23" t="n">
        <v>2</v>
      </c>
      <c r="D235" s="23" t="s">
        <v>160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2643</v>
      </c>
      <c r="H235" s="18" t="s">
        <v>2644</v>
      </c>
      <c r="I235" s="21" t="s">
        <v>2399</v>
      </c>
      <c r="J235" s="22" t="s">
        <v>2666</v>
      </c>
      <c r="K235" s="23" t="s">
        <v>165</v>
      </c>
      <c r="L235" s="24" t="s">
        <v>2667</v>
      </c>
      <c r="M235" s="24" t="s">
        <v>2668</v>
      </c>
      <c r="N235" s="23" t="s">
        <v>2669</v>
      </c>
      <c r="O235" s="24" t="s">
        <v>2670</v>
      </c>
      <c r="P235" s="24" t="s">
        <v>2671</v>
      </c>
      <c r="Q235" s="24" t="s">
        <v>2672</v>
      </c>
      <c r="R235" s="24"/>
      <c r="S235" s="24" t="s">
        <v>2652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174</v>
      </c>
      <c r="Y235" s="23" t="s">
        <v>174</v>
      </c>
      <c r="Z235" s="23" t="s">
        <v>174</v>
      </c>
      <c r="AA235" s="23" t="s">
        <v>174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  <c r="AE235" s="24" t="str">
        <f aca="false">M235&amp;" | 사무엘상 27~28장 #"&amp;SUBSTITUTE(안내!$C$5," ","")</f>
        <v>지쳐서 블레셋으로 도망치다 | 사무엘상 27~28장 #1분성경</v>
      </c>
      <c r="AF235" s="24" t="s">
        <v>304</v>
      </c>
      <c r="AG235" s="24"/>
      <c r="AH235" s="23" t="s">
        <v>290</v>
      </c>
      <c r="AI235" s="26" t="n">
        <f aca="false">U235-안내!$C$12</f>
        <v>46684</v>
      </c>
      <c r="AJ235" s="23" t="str">
        <f aca="false">IF(U235&lt;IF(C235=1,안내!$C$9,안내!$C$10)+안내!$C$12,"시즌 시작 전 제작","")</f>
        <v/>
      </c>
      <c r="AK235" s="24" t="s">
        <v>2608</v>
      </c>
      <c r="AL235" s="27"/>
      <c r="AM235" s="27"/>
      <c r="AN235" s="27"/>
      <c r="AO235" s="27"/>
      <c r="AP235" s="27"/>
      <c r="AQ235" s="23" t="str">
        <f aca="false">D235&amp;"|"&amp;TEXT(U235,"yyyy-mm-dd")</f>
        <v>구약|2027-11-21</v>
      </c>
      <c r="AR235" s="24" t="s">
        <v>2673</v>
      </c>
      <c r="AS235" s="24"/>
    </row>
    <row r="236" customFormat="false" ht="26.85" hidden="false" customHeight="false" outlineLevel="0" collapsed="false">
      <c r="A236" s="21" t="n">
        <v>235</v>
      </c>
      <c r="B236" s="18" t="s">
        <v>2674</v>
      </c>
      <c r="C236" s="23" t="n">
        <v>2</v>
      </c>
      <c r="D236" s="23" t="s">
        <v>160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2643</v>
      </c>
      <c r="H236" s="18" t="s">
        <v>2644</v>
      </c>
      <c r="I236" s="21" t="s">
        <v>2399</v>
      </c>
      <c r="J236" s="22" t="s">
        <v>2675</v>
      </c>
      <c r="K236" s="23" t="s">
        <v>165</v>
      </c>
      <c r="L236" s="24" t="s">
        <v>2676</v>
      </c>
      <c r="M236" s="24" t="s">
        <v>2677</v>
      </c>
      <c r="N236" s="23" t="s">
        <v>2678</v>
      </c>
      <c r="O236" s="24" t="s">
        <v>2679</v>
      </c>
      <c r="P236" s="24" t="s">
        <v>2680</v>
      </c>
      <c r="Q236" s="24" t="s">
        <v>2681</v>
      </c>
      <c r="R236" s="25" t="s">
        <v>2682</v>
      </c>
      <c r="S236" s="24" t="s">
        <v>2652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174</v>
      </c>
      <c r="Y236" s="23" t="s">
        <v>174</v>
      </c>
      <c r="Z236" s="23" t="s">
        <v>174</v>
      </c>
      <c r="AA236" s="23" t="s">
        <v>174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  <c r="AE236" s="24" t="str">
        <f aca="false">M236&amp;" | 사무엘상 28장 #"&amp;SUBSTITUTE(안내!$C$5," ","")</f>
        <v>하나님이 대답하지 않으시자 사울이 찾아간 곳 | 사무엘상 28장 #1분성경</v>
      </c>
      <c r="AF236" s="24" t="s">
        <v>304</v>
      </c>
      <c r="AG236" s="24"/>
      <c r="AH236" s="23" t="s">
        <v>290</v>
      </c>
      <c r="AI236" s="26" t="n">
        <f aca="false">U236-안내!$C$12</f>
        <v>46685</v>
      </c>
      <c r="AJ236" s="23" t="str">
        <f aca="false">IF(U236&lt;IF(C236=1,안내!$C$9,안내!$C$10)+안내!$C$12,"시즌 시작 전 제작","")</f>
        <v/>
      </c>
      <c r="AK236" s="24" t="s">
        <v>2515</v>
      </c>
      <c r="AL236" s="27"/>
      <c r="AM236" s="27"/>
      <c r="AN236" s="27"/>
      <c r="AO236" s="27"/>
      <c r="AP236" s="27"/>
      <c r="AQ236" s="23" t="str">
        <f aca="false">D236&amp;"|"&amp;TEXT(U236,"yyyy-mm-dd")</f>
        <v>구약|2027-11-22</v>
      </c>
      <c r="AR236" s="24" t="s">
        <v>2683</v>
      </c>
      <c r="AS236" s="24"/>
    </row>
    <row r="237" customFormat="false" ht="26.85" hidden="false" customHeight="false" outlineLevel="0" collapsed="false">
      <c r="A237" s="21" t="n">
        <v>236</v>
      </c>
      <c r="B237" s="18" t="s">
        <v>2684</v>
      </c>
      <c r="C237" s="23" t="n">
        <v>2</v>
      </c>
      <c r="D237" s="23" t="s">
        <v>160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2643</v>
      </c>
      <c r="H237" s="18" t="s">
        <v>2644</v>
      </c>
      <c r="I237" s="21" t="s">
        <v>2399</v>
      </c>
      <c r="J237" s="22" t="s">
        <v>2685</v>
      </c>
      <c r="K237" s="23" t="s">
        <v>165</v>
      </c>
      <c r="L237" s="24" t="s">
        <v>2686</v>
      </c>
      <c r="M237" s="24" t="s">
        <v>2687</v>
      </c>
      <c r="N237" s="23" t="s">
        <v>2688</v>
      </c>
      <c r="O237" s="24" t="s">
        <v>2689</v>
      </c>
      <c r="P237" s="24" t="s">
        <v>2690</v>
      </c>
      <c r="Q237" s="24" t="s">
        <v>2691</v>
      </c>
      <c r="R237" s="24"/>
      <c r="S237" s="24" t="s">
        <v>2652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174</v>
      </c>
      <c r="Y237" s="23" t="s">
        <v>174</v>
      </c>
      <c r="Z237" s="23" t="s">
        <v>174</v>
      </c>
      <c r="AA237" s="23" t="s">
        <v>174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  <c r="AE237" s="24" t="str">
        <f aca="false">M237&amp;" | 사무엘상 29~30장 #"&amp;SUBSTITUTE(안내!$C$5," ","")</f>
        <v>가족을 다 잃고 부하들까지 돌을 들었다 | 사무엘상 29~30장 #1분성경</v>
      </c>
      <c r="AF237" s="24" t="s">
        <v>304</v>
      </c>
      <c r="AG237" s="24"/>
      <c r="AH237" s="23" t="s">
        <v>290</v>
      </c>
      <c r="AI237" s="26" t="n">
        <f aca="false">U237-안내!$C$12</f>
        <v>46686</v>
      </c>
      <c r="AJ237" s="23" t="str">
        <f aca="false">IF(U237&lt;IF(C237=1,안내!$C$9,안내!$C$10)+안내!$C$12,"시즌 시작 전 제작","")</f>
        <v/>
      </c>
      <c r="AK237" s="24" t="s">
        <v>2608</v>
      </c>
      <c r="AL237" s="27"/>
      <c r="AM237" s="27"/>
      <c r="AN237" s="27"/>
      <c r="AO237" s="27"/>
      <c r="AP237" s="27"/>
      <c r="AQ237" s="23" t="str">
        <f aca="false">D237&amp;"|"&amp;TEXT(U237,"yyyy-mm-dd")</f>
        <v>구약|2027-11-23</v>
      </c>
      <c r="AR237" s="24" t="s">
        <v>2692</v>
      </c>
      <c r="AS237" s="24"/>
    </row>
    <row r="238" customFormat="false" ht="52.2" hidden="false" customHeight="false" outlineLevel="0" collapsed="false">
      <c r="A238" s="21" t="n">
        <v>237</v>
      </c>
      <c r="B238" s="18" t="s">
        <v>2693</v>
      </c>
      <c r="C238" s="23" t="n">
        <v>2</v>
      </c>
      <c r="D238" s="23" t="s">
        <v>160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2643</v>
      </c>
      <c r="H238" s="18" t="s">
        <v>2644</v>
      </c>
      <c r="I238" s="21" t="s">
        <v>2399</v>
      </c>
      <c r="J238" s="22" t="s">
        <v>2694</v>
      </c>
      <c r="K238" s="23" t="s">
        <v>165</v>
      </c>
      <c r="L238" s="24" t="s">
        <v>2695</v>
      </c>
      <c r="M238" s="24" t="s">
        <v>2696</v>
      </c>
      <c r="N238" s="23" t="s">
        <v>2697</v>
      </c>
      <c r="O238" s="24" t="s">
        <v>2698</v>
      </c>
      <c r="P238" s="24" t="s">
        <v>2699</v>
      </c>
      <c r="Q238" s="24" t="s">
        <v>2700</v>
      </c>
      <c r="R238" s="25" t="s">
        <v>2701</v>
      </c>
      <c r="S238" s="24" t="s">
        <v>2652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174</v>
      </c>
      <c r="Y238" s="23" t="s">
        <v>174</v>
      </c>
      <c r="Z238" s="23" t="s">
        <v>174</v>
      </c>
      <c r="AA238" s="23" t="s">
        <v>174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  <c r="AE238" s="24" t="str">
        <f aca="false">M238&amp;" | 사무엘상 31장 #"&amp;SUBSTITUTE(안내!$C$5," ","")</f>
        <v>길보아 산에서 끝난 첫 번째 왕 | 사무엘상 31장 #1분성경</v>
      </c>
      <c r="AF238" s="24" t="s">
        <v>304</v>
      </c>
      <c r="AG238" s="24"/>
      <c r="AH238" s="23" t="s">
        <v>290</v>
      </c>
      <c r="AI238" s="26" t="n">
        <f aca="false">U238-안내!$C$12</f>
        <v>46687</v>
      </c>
      <c r="AJ238" s="23" t="str">
        <f aca="false">IF(U238&lt;IF(C238=1,안내!$C$9,안내!$C$10)+안내!$C$12,"시즌 시작 전 제작","")</f>
        <v/>
      </c>
      <c r="AK238" s="24" t="s">
        <v>2515</v>
      </c>
      <c r="AL238" s="27"/>
      <c r="AM238" s="27"/>
      <c r="AN238" s="27"/>
      <c r="AO238" s="27"/>
      <c r="AP238" s="27"/>
      <c r="AQ238" s="23" t="str">
        <f aca="false">D238&amp;"|"&amp;TEXT(U238,"yyyy-mm-dd")</f>
        <v>구약|2027-11-24</v>
      </c>
      <c r="AR238" s="24" t="s">
        <v>2702</v>
      </c>
      <c r="AS238" s="24"/>
    </row>
    <row r="239" customFormat="false" ht="26.85" hidden="false" customHeight="false" outlineLevel="0" collapsed="false">
      <c r="A239" s="21" t="n">
        <v>238</v>
      </c>
      <c r="B239" s="18" t="s">
        <v>2703</v>
      </c>
      <c r="C239" s="23" t="n">
        <v>2</v>
      </c>
      <c r="D239" s="23" t="s">
        <v>160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2643</v>
      </c>
      <c r="H239" s="18" t="s">
        <v>2644</v>
      </c>
      <c r="I239" s="21" t="s">
        <v>2704</v>
      </c>
      <c r="J239" s="22" t="s">
        <v>2705</v>
      </c>
      <c r="K239" s="23" t="s">
        <v>165</v>
      </c>
      <c r="L239" s="24" t="s">
        <v>2706</v>
      </c>
      <c r="M239" s="24" t="s">
        <v>2707</v>
      </c>
      <c r="N239" s="23" t="s">
        <v>2708</v>
      </c>
      <c r="O239" s="24" t="s">
        <v>2709</v>
      </c>
      <c r="P239" s="24" t="s">
        <v>2710</v>
      </c>
      <c r="Q239" s="24" t="s">
        <v>2711</v>
      </c>
      <c r="R239" s="24"/>
      <c r="S239" s="24" t="s">
        <v>2652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174</v>
      </c>
      <c r="Y239" s="23" t="s">
        <v>174</v>
      </c>
      <c r="Z239" s="23" t="s">
        <v>174</v>
      </c>
      <c r="AA239" s="23" t="s">
        <v>174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  <c r="AE239" s="24" t="str">
        <f aca="false">M239&amp;" | 사무엘하 1장 #"&amp;SUBSTITUTE(안내!$C$5," ","")</f>
        <v>원수의 죽음 앞에서 운 다윗 | 사무엘하 1장 #1분성경</v>
      </c>
      <c r="AF239" s="24" t="s">
        <v>304</v>
      </c>
      <c r="AG239" s="24" t="s">
        <v>2712</v>
      </c>
      <c r="AH239" s="23" t="s">
        <v>290</v>
      </c>
      <c r="AI239" s="26" t="n">
        <f aca="false">U239-안내!$C$12</f>
        <v>46688</v>
      </c>
      <c r="AJ239" s="23" t="str">
        <f aca="false">IF(U239&lt;IF(C239=1,안내!$C$9,안내!$C$10)+안내!$C$12,"시즌 시작 전 제작","")</f>
        <v/>
      </c>
      <c r="AK239" s="24" t="s">
        <v>2608</v>
      </c>
      <c r="AL239" s="27"/>
      <c r="AM239" s="27"/>
      <c r="AN239" s="27"/>
      <c r="AO239" s="27"/>
      <c r="AP239" s="27"/>
      <c r="AQ239" s="23" t="str">
        <f aca="false">D239&amp;"|"&amp;TEXT(U239,"yyyy-mm-dd")</f>
        <v>구약|2027-11-25</v>
      </c>
      <c r="AR239" s="24" t="s">
        <v>2713</v>
      </c>
      <c r="AS239" s="24"/>
    </row>
    <row r="240" customFormat="false" ht="39.55" hidden="false" customHeight="false" outlineLevel="0" collapsed="false">
      <c r="A240" s="21" t="n">
        <v>239</v>
      </c>
      <c r="B240" s="18" t="s">
        <v>2714</v>
      </c>
      <c r="C240" s="23" t="n">
        <v>2</v>
      </c>
      <c r="D240" s="23" t="s">
        <v>160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2643</v>
      </c>
      <c r="H240" s="18" t="s">
        <v>2644</v>
      </c>
      <c r="I240" s="21" t="s">
        <v>2704</v>
      </c>
      <c r="J240" s="22" t="s">
        <v>2715</v>
      </c>
      <c r="K240" s="23" t="s">
        <v>165</v>
      </c>
      <c r="L240" s="24" t="s">
        <v>2716</v>
      </c>
      <c r="M240" s="24" t="s">
        <v>2717</v>
      </c>
      <c r="N240" s="23" t="s">
        <v>2718</v>
      </c>
      <c r="O240" s="24" t="s">
        <v>2719</v>
      </c>
      <c r="P240" s="24" t="s">
        <v>2720</v>
      </c>
      <c r="Q240" s="24" t="s">
        <v>2721</v>
      </c>
      <c r="R240" s="24"/>
      <c r="S240" s="24" t="s">
        <v>2652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174</v>
      </c>
      <c r="Y240" s="23" t="s">
        <v>174</v>
      </c>
      <c r="Z240" s="23" t="s">
        <v>174</v>
      </c>
      <c r="AA240" s="23" t="s">
        <v>174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  <c r="AE240" s="24" t="str">
        <f aca="false">M240&amp;" | 사무엘하 2장 #"&amp;SUBSTITUTE(안내!$C$5," ","")</f>
        <v>왕이 되기 전에 먼저 물은 질문 | 사무엘하 2장 #1분성경</v>
      </c>
      <c r="AF240" s="24" t="s">
        <v>304</v>
      </c>
      <c r="AG240" s="24"/>
      <c r="AH240" s="23" t="s">
        <v>290</v>
      </c>
      <c r="AI240" s="26" t="n">
        <f aca="false">U240-안내!$C$12</f>
        <v>46689</v>
      </c>
      <c r="AJ240" s="23" t="str">
        <f aca="false">IF(U240&lt;IF(C240=1,안내!$C$9,안내!$C$10)+안내!$C$12,"시즌 시작 전 제작","")</f>
        <v/>
      </c>
      <c r="AK240" s="24" t="s">
        <v>2608</v>
      </c>
      <c r="AL240" s="27"/>
      <c r="AM240" s="27"/>
      <c r="AN240" s="27"/>
      <c r="AO240" s="27"/>
      <c r="AP240" s="27"/>
      <c r="AQ240" s="23" t="str">
        <f aca="false">D240&amp;"|"&amp;TEXT(U240,"yyyy-mm-dd")</f>
        <v>구약|2027-11-26</v>
      </c>
      <c r="AR240" s="24" t="s">
        <v>2722</v>
      </c>
      <c r="AS240" s="24"/>
    </row>
    <row r="241" customFormat="false" ht="26.85" hidden="false" customHeight="false" outlineLevel="0" collapsed="false">
      <c r="A241" s="21" t="n">
        <v>240</v>
      </c>
      <c r="B241" s="18" t="s">
        <v>2723</v>
      </c>
      <c r="C241" s="23" t="n">
        <v>2</v>
      </c>
      <c r="D241" s="23" t="s">
        <v>160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2724</v>
      </c>
      <c r="H241" s="18" t="s">
        <v>2725</v>
      </c>
      <c r="I241" s="21" t="s">
        <v>2704</v>
      </c>
      <c r="J241" s="22" t="s">
        <v>2726</v>
      </c>
      <c r="K241" s="23" t="s">
        <v>165</v>
      </c>
      <c r="L241" s="24" t="s">
        <v>2727</v>
      </c>
      <c r="M241" s="24" t="s">
        <v>2728</v>
      </c>
      <c r="N241" s="23" t="s">
        <v>2729</v>
      </c>
      <c r="O241" s="24" t="s">
        <v>2730</v>
      </c>
      <c r="P241" s="24" t="s">
        <v>2731</v>
      </c>
      <c r="Q241" s="24" t="s">
        <v>2732</v>
      </c>
      <c r="R241" s="25" t="s">
        <v>2257</v>
      </c>
      <c r="S241" s="24" t="s">
        <v>2652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174</v>
      </c>
      <c r="Y241" s="23" t="s">
        <v>174</v>
      </c>
      <c r="Z241" s="23" t="s">
        <v>174</v>
      </c>
      <c r="AA241" s="23" t="s">
        <v>174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  <c r="AE241" s="24" t="str">
        <f aca="false">M241&amp;" | 사무엘하 2~3장 #"&amp;SUBSTITUTE(안내!$C$5," ","")</f>
        <v>다윗의 집은 점점 강해지고 | 사무엘하 2~3장 #1분성경</v>
      </c>
      <c r="AF241" s="24" t="s">
        <v>304</v>
      </c>
      <c r="AG241" s="24"/>
      <c r="AH241" s="23" t="s">
        <v>290</v>
      </c>
      <c r="AI241" s="26" t="n">
        <f aca="false">U241-안내!$C$12</f>
        <v>46690</v>
      </c>
      <c r="AJ241" s="23" t="str">
        <f aca="false">IF(U241&lt;IF(C241=1,안내!$C$9,안내!$C$10)+안내!$C$12,"시즌 시작 전 제작","")</f>
        <v/>
      </c>
      <c r="AK241" s="24"/>
      <c r="AL241" s="27"/>
      <c r="AM241" s="27"/>
      <c r="AN241" s="27"/>
      <c r="AO241" s="27"/>
      <c r="AP241" s="27"/>
      <c r="AQ241" s="23" t="str">
        <f aca="false">D241&amp;"|"&amp;TEXT(U241,"yyyy-mm-dd")</f>
        <v>구약|2027-11-27</v>
      </c>
      <c r="AR241" s="24" t="s">
        <v>2733</v>
      </c>
      <c r="AS241" s="24"/>
    </row>
    <row r="242" customFormat="false" ht="39.55" hidden="false" customHeight="false" outlineLevel="0" collapsed="false">
      <c r="A242" s="21" t="n">
        <v>241</v>
      </c>
      <c r="B242" s="18" t="s">
        <v>2734</v>
      </c>
      <c r="C242" s="23" t="n">
        <v>2</v>
      </c>
      <c r="D242" s="23" t="s">
        <v>160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2724</v>
      </c>
      <c r="H242" s="18" t="s">
        <v>2725</v>
      </c>
      <c r="I242" s="21" t="s">
        <v>2704</v>
      </c>
      <c r="J242" s="22" t="s">
        <v>2735</v>
      </c>
      <c r="K242" s="23" t="s">
        <v>165</v>
      </c>
      <c r="L242" s="24" t="s">
        <v>2736</v>
      </c>
      <c r="M242" s="24" t="s">
        <v>2737</v>
      </c>
      <c r="N242" s="23" t="s">
        <v>2738</v>
      </c>
      <c r="O242" s="24" t="s">
        <v>2739</v>
      </c>
      <c r="P242" s="24" t="s">
        <v>2740</v>
      </c>
      <c r="Q242" s="24" t="s">
        <v>2721</v>
      </c>
      <c r="R242" s="25" t="s">
        <v>2741</v>
      </c>
      <c r="S242" s="24" t="s">
        <v>2652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174</v>
      </c>
      <c r="Y242" s="23" t="s">
        <v>174</v>
      </c>
      <c r="Z242" s="23" t="s">
        <v>174</v>
      </c>
      <c r="AA242" s="23" t="s">
        <v>174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  <c r="AE242" s="24" t="str">
        <f aca="false">M242&amp;" | 사무엘하 4장 #"&amp;SUBSTITUTE(안내!$C$5," ","")</f>
        <v>선물로 가져온 원수의 머리, 다윗의 반응은? | 사무엘하 4장 #1분성경</v>
      </c>
      <c r="AF242" s="24" t="s">
        <v>304</v>
      </c>
      <c r="AG242" s="24" t="s">
        <v>2742</v>
      </c>
      <c r="AH242" s="23" t="s">
        <v>176</v>
      </c>
      <c r="AI242" s="26" t="n">
        <f aca="false">U242-안내!$C$12</f>
        <v>46691</v>
      </c>
      <c r="AJ242" s="23" t="str">
        <f aca="false">IF(U242&lt;IF(C242=1,안내!$C$9,안내!$C$10)+안내!$C$12,"시즌 시작 전 제작","")</f>
        <v/>
      </c>
      <c r="AK242" s="24" t="s">
        <v>2608</v>
      </c>
      <c r="AL242" s="27"/>
      <c r="AM242" s="27"/>
      <c r="AN242" s="27"/>
      <c r="AO242" s="27"/>
      <c r="AP242" s="27"/>
      <c r="AQ242" s="23" t="str">
        <f aca="false">D242&amp;"|"&amp;TEXT(U242,"yyyy-mm-dd")</f>
        <v>구약|2027-11-28</v>
      </c>
      <c r="AR242" s="24" t="s">
        <v>2743</v>
      </c>
      <c r="AS242" s="24"/>
    </row>
    <row r="243" customFormat="false" ht="26.85" hidden="false" customHeight="false" outlineLevel="0" collapsed="false">
      <c r="A243" s="21" t="n">
        <v>242</v>
      </c>
      <c r="B243" s="18" t="s">
        <v>2744</v>
      </c>
      <c r="C243" s="23" t="n">
        <v>2</v>
      </c>
      <c r="D243" s="23" t="s">
        <v>160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2724</v>
      </c>
      <c r="H243" s="18" t="s">
        <v>2725</v>
      </c>
      <c r="I243" s="21" t="s">
        <v>2704</v>
      </c>
      <c r="J243" s="22" t="s">
        <v>2745</v>
      </c>
      <c r="K243" s="23" t="s">
        <v>165</v>
      </c>
      <c r="L243" s="24" t="s">
        <v>2746</v>
      </c>
      <c r="M243" s="24" t="s">
        <v>2747</v>
      </c>
      <c r="N243" s="23" t="s">
        <v>2748</v>
      </c>
      <c r="O243" s="24" t="s">
        <v>2749</v>
      </c>
      <c r="P243" s="24" t="s">
        <v>2750</v>
      </c>
      <c r="Q243" s="24" t="s">
        <v>2751</v>
      </c>
      <c r="R243" s="24"/>
      <c r="S243" s="24" t="s">
        <v>2652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174</v>
      </c>
      <c r="Y243" s="23" t="s">
        <v>174</v>
      </c>
      <c r="Z243" s="23" t="s">
        <v>174</v>
      </c>
      <c r="AA243" s="23" t="s">
        <v>174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  <c r="AE243" s="24" t="str">
        <f aca="false">M243&amp;" | 사무엘하 5장 #"&amp;SUBSTITUTE(안내!$C$5," ","")</f>
        <v>아무도 못 들어간다던 성 | 사무엘하 5장 #1분성경</v>
      </c>
      <c r="AF243" s="24" t="s">
        <v>304</v>
      </c>
      <c r="AG243" s="24" t="s">
        <v>2752</v>
      </c>
      <c r="AH243" s="23" t="s">
        <v>290</v>
      </c>
      <c r="AI243" s="26" t="n">
        <f aca="false">U243-안내!$C$12</f>
        <v>46692</v>
      </c>
      <c r="AJ243" s="23" t="str">
        <f aca="false">IF(U243&lt;IF(C243=1,안내!$C$9,안내!$C$10)+안내!$C$12,"시즌 시작 전 제작","")</f>
        <v/>
      </c>
      <c r="AK243" s="24" t="s">
        <v>2608</v>
      </c>
      <c r="AL243" s="27"/>
      <c r="AM243" s="27"/>
      <c r="AN243" s="27"/>
      <c r="AO243" s="27"/>
      <c r="AP243" s="27"/>
      <c r="AQ243" s="23" t="str">
        <f aca="false">D243&amp;"|"&amp;TEXT(U243,"yyyy-mm-dd")</f>
        <v>구약|2027-11-29</v>
      </c>
      <c r="AR243" s="24" t="s">
        <v>2753</v>
      </c>
      <c r="AS243" s="24"/>
    </row>
    <row r="244" customFormat="false" ht="52.2" hidden="false" customHeight="false" outlineLevel="0" collapsed="false">
      <c r="A244" s="21" t="n">
        <v>243</v>
      </c>
      <c r="B244" s="18" t="s">
        <v>2754</v>
      </c>
      <c r="C244" s="20" t="n">
        <v>1</v>
      </c>
      <c r="D244" s="20" t="s">
        <v>160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2724</v>
      </c>
      <c r="H244" s="18" t="s">
        <v>2529</v>
      </c>
      <c r="I244" s="21" t="s">
        <v>2704</v>
      </c>
      <c r="J244" s="22" t="s">
        <v>2755</v>
      </c>
      <c r="K244" s="23" t="s">
        <v>165</v>
      </c>
      <c r="L244" s="24" t="s">
        <v>2756</v>
      </c>
      <c r="M244" s="24" t="s">
        <v>2757</v>
      </c>
      <c r="N244" s="23" t="s">
        <v>2758</v>
      </c>
      <c r="O244" s="24" t="s">
        <v>2759</v>
      </c>
      <c r="P244" s="24" t="s">
        <v>2760</v>
      </c>
      <c r="Q244" s="24" t="s">
        <v>2761</v>
      </c>
      <c r="R244" s="25" t="s">
        <v>2762</v>
      </c>
      <c r="S244" s="29" t="s">
        <v>2763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174</v>
      </c>
      <c r="Y244" s="23" t="s">
        <v>174</v>
      </c>
      <c r="Z244" s="23" t="s">
        <v>174</v>
      </c>
      <c r="AA244" s="23" t="s">
        <v>174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  <c r="AE244" s="24" t="str">
        <f aca="false">M244&amp;" | 사무엘하 6장 #"&amp;SUBSTITUTE(안내!$C$5," ","")</f>
        <v>왕이 체면도 잊고 춤을 추었다 | 사무엘하 6장 #1분성경</v>
      </c>
      <c r="AF244" s="24" t="s">
        <v>2764</v>
      </c>
      <c r="AG244" s="24" t="s">
        <v>2765</v>
      </c>
      <c r="AH244" s="23" t="s">
        <v>290</v>
      </c>
      <c r="AI244" s="26" t="n">
        <f aca="false">U244-안내!$C$12</f>
        <v>46464</v>
      </c>
      <c r="AJ244" s="23" t="str">
        <f aca="false">IF(U244&lt;IF(C244=1,안내!$C$9,안내!$C$10)+안내!$C$12,"시즌 시작 전 제작","")</f>
        <v/>
      </c>
      <c r="AK244" s="24" t="s">
        <v>2608</v>
      </c>
      <c r="AL244" s="27"/>
      <c r="AM244" s="27"/>
      <c r="AN244" s="27"/>
      <c r="AO244" s="27"/>
      <c r="AP244" s="27"/>
      <c r="AQ244" s="23" t="str">
        <f aca="false">D244&amp;"|"&amp;TEXT(U244,"yyyy-mm-dd")</f>
        <v>구약|2027-04-15</v>
      </c>
      <c r="AR244" s="24" t="s">
        <v>2766</v>
      </c>
      <c r="AS244" s="24"/>
    </row>
    <row r="245" customFormat="false" ht="26.85" hidden="false" customHeight="false" outlineLevel="0" collapsed="false">
      <c r="A245" s="21" t="n">
        <v>244</v>
      </c>
      <c r="B245" s="18" t="s">
        <v>2767</v>
      </c>
      <c r="C245" s="20" t="n">
        <v>1</v>
      </c>
      <c r="D245" s="20" t="s">
        <v>160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2724</v>
      </c>
      <c r="H245" s="18" t="s">
        <v>2529</v>
      </c>
      <c r="I245" s="21" t="s">
        <v>2704</v>
      </c>
      <c r="J245" s="22" t="s">
        <v>2768</v>
      </c>
      <c r="K245" s="23" t="s">
        <v>165</v>
      </c>
      <c r="L245" s="24" t="s">
        <v>2769</v>
      </c>
      <c r="M245" s="24" t="s">
        <v>2770</v>
      </c>
      <c r="N245" s="23" t="s">
        <v>2771</v>
      </c>
      <c r="O245" s="24" t="s">
        <v>2772</v>
      </c>
      <c r="P245" s="24" t="s">
        <v>2773</v>
      </c>
      <c r="Q245" s="24" t="s">
        <v>2774</v>
      </c>
      <c r="R245" s="25" t="s">
        <v>2775</v>
      </c>
      <c r="S245" s="24" t="s">
        <v>173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174</v>
      </c>
      <c r="Y245" s="23" t="s">
        <v>174</v>
      </c>
      <c r="Z245" s="23" t="s">
        <v>174</v>
      </c>
      <c r="AA245" s="23" t="s">
        <v>174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  <c r="AE245" s="24" t="str">
        <f aca="false">M245&amp;" | 사무엘하 7장 #"&amp;SUBSTITUTE(안내!$C$5," ","")</f>
        <v>다윗이 하나님께 집을 지어 드리려 하자 | 사무엘하 7장 #1분성경</v>
      </c>
      <c r="AF245" s="24" t="s">
        <v>2776</v>
      </c>
      <c r="AG245" s="24" t="s">
        <v>2777</v>
      </c>
      <c r="AH245" s="23" t="s">
        <v>290</v>
      </c>
      <c r="AI245" s="26" t="n">
        <f aca="false">U245-안내!$C$12</f>
        <v>46465</v>
      </c>
      <c r="AJ245" s="23" t="str">
        <f aca="false">IF(U245&lt;IF(C245=1,안내!$C$9,안내!$C$10)+안내!$C$12,"시즌 시작 전 제작","")</f>
        <v/>
      </c>
      <c r="AK245" s="24" t="s">
        <v>2608</v>
      </c>
      <c r="AL245" s="27"/>
      <c r="AM245" s="27"/>
      <c r="AN245" s="27"/>
      <c r="AO245" s="27"/>
      <c r="AP245" s="27"/>
      <c r="AQ245" s="23" t="str">
        <f aca="false">D245&amp;"|"&amp;TEXT(U245,"yyyy-mm-dd")</f>
        <v>구약|2027-04-16</v>
      </c>
      <c r="AR245" s="24" t="s">
        <v>2778</v>
      </c>
      <c r="AS245" s="24"/>
    </row>
    <row r="246" customFormat="false" ht="26.85" hidden="false" customHeight="false" outlineLevel="0" collapsed="false">
      <c r="A246" s="21" t="n">
        <v>245</v>
      </c>
      <c r="B246" s="18" t="s">
        <v>2779</v>
      </c>
      <c r="C246" s="23" t="n">
        <v>2</v>
      </c>
      <c r="D246" s="23" t="s">
        <v>160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2724</v>
      </c>
      <c r="H246" s="18" t="s">
        <v>2725</v>
      </c>
      <c r="I246" s="21" t="s">
        <v>2704</v>
      </c>
      <c r="J246" s="22" t="s">
        <v>2780</v>
      </c>
      <c r="K246" s="23" t="s">
        <v>165</v>
      </c>
      <c r="L246" s="24" t="s">
        <v>2781</v>
      </c>
      <c r="M246" s="24" t="s">
        <v>2782</v>
      </c>
      <c r="N246" s="23" t="s">
        <v>2783</v>
      </c>
      <c r="O246" s="24" t="s">
        <v>2784</v>
      </c>
      <c r="P246" s="24" t="s">
        <v>2785</v>
      </c>
      <c r="Q246" s="24" t="s">
        <v>2786</v>
      </c>
      <c r="R246" s="24"/>
      <c r="S246" s="24" t="s">
        <v>2787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174</v>
      </c>
      <c r="Y246" s="23" t="s">
        <v>174</v>
      </c>
      <c r="Z246" s="23" t="s">
        <v>174</v>
      </c>
      <c r="AA246" s="23" t="s">
        <v>174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  <c r="AE246" s="24" t="str">
        <f aca="false">M246&amp;" | 사무엘하 8장 #"&amp;SUBSTITUTE(안내!$C$5," ","")</f>
        <v>어디로 가든지 이기게 하셨다 | 사무엘하 8장 #1분성경</v>
      </c>
      <c r="AF246" s="24" t="s">
        <v>304</v>
      </c>
      <c r="AG246" s="24" t="s">
        <v>2788</v>
      </c>
      <c r="AH246" s="23" t="s">
        <v>290</v>
      </c>
      <c r="AI246" s="26" t="n">
        <f aca="false">U246-안내!$C$12</f>
        <v>46693</v>
      </c>
      <c r="AJ246" s="23" t="str">
        <f aca="false">IF(U246&lt;IF(C246=1,안내!$C$9,안내!$C$10)+안내!$C$12,"시즌 시작 전 제작","")</f>
        <v/>
      </c>
      <c r="AK246" s="24" t="s">
        <v>2608</v>
      </c>
      <c r="AL246" s="27"/>
      <c r="AM246" s="27"/>
      <c r="AN246" s="27"/>
      <c r="AO246" s="27"/>
      <c r="AP246" s="27"/>
      <c r="AQ246" s="23" t="str">
        <f aca="false">D246&amp;"|"&amp;TEXT(U246,"yyyy-mm-dd")</f>
        <v>구약|2027-11-30</v>
      </c>
      <c r="AR246" s="24" t="s">
        <v>2789</v>
      </c>
      <c r="AS246" s="24"/>
    </row>
    <row r="247" customFormat="false" ht="39.55" hidden="false" customHeight="false" outlineLevel="0" collapsed="false">
      <c r="A247" s="21" t="n">
        <v>246</v>
      </c>
      <c r="B247" s="18" t="s">
        <v>2790</v>
      </c>
      <c r="C247" s="20" t="n">
        <v>1</v>
      </c>
      <c r="D247" s="20" t="s">
        <v>160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2724</v>
      </c>
      <c r="H247" s="18" t="s">
        <v>2529</v>
      </c>
      <c r="I247" s="21" t="s">
        <v>2704</v>
      </c>
      <c r="J247" s="22" t="s">
        <v>2791</v>
      </c>
      <c r="K247" s="23" t="s">
        <v>165</v>
      </c>
      <c r="L247" s="24" t="s">
        <v>2792</v>
      </c>
      <c r="M247" s="24" t="s">
        <v>2793</v>
      </c>
      <c r="N247" s="23" t="s">
        <v>2794</v>
      </c>
      <c r="O247" s="24" t="s">
        <v>2795</v>
      </c>
      <c r="P247" s="24" t="s">
        <v>2796</v>
      </c>
      <c r="Q247" s="24" t="s">
        <v>2797</v>
      </c>
      <c r="R247" s="25" t="s">
        <v>2798</v>
      </c>
      <c r="S247" s="29" t="s">
        <v>2799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174</v>
      </c>
      <c r="Y247" s="23" t="s">
        <v>174</v>
      </c>
      <c r="Z247" s="23" t="s">
        <v>174</v>
      </c>
      <c r="AA247" s="23" t="s">
        <v>174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  <c r="AE247" s="24" t="str">
        <f aca="false">M247&amp;" | 사무엘하 9장 #"&amp;SUBSTITUTE(안내!$C$5," ","")</f>
        <v>원수 집안의 장애인 손자를 초대하다 | 사무엘하 9장 #1분성경</v>
      </c>
      <c r="AF247" s="24" t="s">
        <v>2800</v>
      </c>
      <c r="AG247" s="24"/>
      <c r="AH247" s="23" t="s">
        <v>290</v>
      </c>
      <c r="AI247" s="26" t="n">
        <f aca="false">U247-안내!$C$12</f>
        <v>46466</v>
      </c>
      <c r="AJ247" s="23" t="str">
        <f aca="false">IF(U247&lt;IF(C247=1,안내!$C$9,안내!$C$10)+안내!$C$12,"시즌 시작 전 제작","")</f>
        <v/>
      </c>
      <c r="AK247" s="24" t="s">
        <v>2608</v>
      </c>
      <c r="AL247" s="27"/>
      <c r="AM247" s="27"/>
      <c r="AN247" s="27"/>
      <c r="AO247" s="27"/>
      <c r="AP247" s="27"/>
      <c r="AQ247" s="23" t="str">
        <f aca="false">D247&amp;"|"&amp;TEXT(U247,"yyyy-mm-dd")</f>
        <v>구약|2027-04-17</v>
      </c>
      <c r="AR247" s="24" t="s">
        <v>2801</v>
      </c>
      <c r="AS247" s="24"/>
    </row>
    <row r="248" customFormat="false" ht="26.85" hidden="false" customHeight="false" outlineLevel="0" collapsed="false">
      <c r="A248" s="21" t="n">
        <v>247</v>
      </c>
      <c r="B248" s="18" t="s">
        <v>2802</v>
      </c>
      <c r="C248" s="23" t="n">
        <v>2</v>
      </c>
      <c r="D248" s="23" t="s">
        <v>160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2724</v>
      </c>
      <c r="H248" s="18" t="s">
        <v>2725</v>
      </c>
      <c r="I248" s="21" t="s">
        <v>2704</v>
      </c>
      <c r="J248" s="22" t="s">
        <v>2803</v>
      </c>
      <c r="K248" s="23" t="s">
        <v>165</v>
      </c>
      <c r="L248" s="24" t="s">
        <v>2804</v>
      </c>
      <c r="M248" s="24" t="s">
        <v>2805</v>
      </c>
      <c r="N248" s="23" t="s">
        <v>2806</v>
      </c>
      <c r="O248" s="24" t="s">
        <v>2807</v>
      </c>
      <c r="P248" s="24" t="s">
        <v>2808</v>
      </c>
      <c r="Q248" s="24" t="s">
        <v>2809</v>
      </c>
      <c r="R248" s="24"/>
      <c r="S248" s="24" t="s">
        <v>2810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174</v>
      </c>
      <c r="Y248" s="23" t="s">
        <v>174</v>
      </c>
      <c r="Z248" s="23" t="s">
        <v>174</v>
      </c>
      <c r="AA248" s="23" t="s">
        <v>174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  <c r="AE248" s="24" t="str">
        <f aca="false">M248&amp;" | 사무엘하 10장 #"&amp;SUBSTITUTE(안내!$C$5," ","")</f>
        <v>친절을 모욕으로 갚은 왕 | 사무엘하 10장 #1분성경</v>
      </c>
      <c r="AF248" s="24" t="s">
        <v>304</v>
      </c>
      <c r="AG248" s="24"/>
      <c r="AH248" s="23" t="s">
        <v>290</v>
      </c>
      <c r="AI248" s="26" t="n">
        <f aca="false">U248-안내!$C$12</f>
        <v>46694</v>
      </c>
      <c r="AJ248" s="23" t="str">
        <f aca="false">IF(U248&lt;IF(C248=1,안내!$C$9,안내!$C$10)+안내!$C$12,"시즌 시작 전 제작","")</f>
        <v/>
      </c>
      <c r="AK248" s="24" t="s">
        <v>2608</v>
      </c>
      <c r="AL248" s="27"/>
      <c r="AM248" s="27"/>
      <c r="AN248" s="27"/>
      <c r="AO248" s="27"/>
      <c r="AP248" s="27"/>
      <c r="AQ248" s="23" t="str">
        <f aca="false">D248&amp;"|"&amp;TEXT(U248,"yyyy-mm-dd")</f>
        <v>구약|2027-12-01</v>
      </c>
      <c r="AR248" s="24" t="s">
        <v>2811</v>
      </c>
      <c r="AS248" s="24"/>
    </row>
    <row r="249" customFormat="false" ht="26.85" hidden="false" customHeight="false" outlineLevel="0" collapsed="false">
      <c r="A249" s="21" t="n">
        <v>248</v>
      </c>
      <c r="B249" s="18" t="s">
        <v>2812</v>
      </c>
      <c r="C249" s="20" t="n">
        <v>1</v>
      </c>
      <c r="D249" s="20" t="s">
        <v>160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2813</v>
      </c>
      <c r="H249" s="18" t="s">
        <v>2814</v>
      </c>
      <c r="I249" s="21" t="s">
        <v>2704</v>
      </c>
      <c r="J249" s="22" t="s">
        <v>2815</v>
      </c>
      <c r="K249" s="23" t="s">
        <v>165</v>
      </c>
      <c r="L249" s="24" t="s">
        <v>2816</v>
      </c>
      <c r="M249" s="24" t="s">
        <v>2817</v>
      </c>
      <c r="N249" s="23" t="s">
        <v>2818</v>
      </c>
      <c r="O249" s="24" t="s">
        <v>2819</v>
      </c>
      <c r="P249" s="24" t="s">
        <v>2820</v>
      </c>
      <c r="Q249" s="24" t="s">
        <v>2821</v>
      </c>
      <c r="R249" s="25" t="s">
        <v>2822</v>
      </c>
      <c r="S249" s="29" t="s">
        <v>2823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174</v>
      </c>
      <c r="Y249" s="23" t="s">
        <v>174</v>
      </c>
      <c r="Z249" s="23" t="s">
        <v>174</v>
      </c>
      <c r="AA249" s="23" t="s">
        <v>174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  <c r="AE249" s="24" t="str">
        <f aca="false">M249&amp;" | 사무엘하 11장 #"&amp;SUBSTITUTE(안내!$C$5," ","")</f>
        <v>전쟁터에 있어야 할 때 집에 있었다 | 사무엘하 11장 #1분성경</v>
      </c>
      <c r="AF249" s="24" t="s">
        <v>2824</v>
      </c>
      <c r="AG249" s="24" t="s">
        <v>2825</v>
      </c>
      <c r="AH249" s="23" t="s">
        <v>290</v>
      </c>
      <c r="AI249" s="26" t="n">
        <f aca="false">U249-안내!$C$12</f>
        <v>46467</v>
      </c>
      <c r="AJ249" s="23" t="str">
        <f aca="false">IF(U249&lt;IF(C249=1,안내!$C$9,안내!$C$10)+안내!$C$12,"시즌 시작 전 제작","")</f>
        <v/>
      </c>
      <c r="AK249" s="24" t="s">
        <v>2608</v>
      </c>
      <c r="AL249" s="27"/>
      <c r="AM249" s="27"/>
      <c r="AN249" s="27"/>
      <c r="AO249" s="27"/>
      <c r="AP249" s="27"/>
      <c r="AQ249" s="23" t="str">
        <f aca="false">D249&amp;"|"&amp;TEXT(U249,"yyyy-mm-dd")</f>
        <v>구약|2027-04-18</v>
      </c>
      <c r="AR249" s="24" t="s">
        <v>2826</v>
      </c>
      <c r="AS249" s="24"/>
    </row>
    <row r="250" customFormat="false" ht="39.55" hidden="false" customHeight="false" outlineLevel="0" collapsed="false">
      <c r="A250" s="21" t="n">
        <v>249</v>
      </c>
      <c r="B250" s="18" t="s">
        <v>2827</v>
      </c>
      <c r="C250" s="20" t="n">
        <v>1</v>
      </c>
      <c r="D250" s="20" t="s">
        <v>160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2813</v>
      </c>
      <c r="H250" s="18" t="s">
        <v>2814</v>
      </c>
      <c r="I250" s="21" t="s">
        <v>2704</v>
      </c>
      <c r="J250" s="22" t="s">
        <v>2828</v>
      </c>
      <c r="K250" s="23" t="s">
        <v>165</v>
      </c>
      <c r="L250" s="24" t="s">
        <v>2829</v>
      </c>
      <c r="M250" s="24" t="s">
        <v>2830</v>
      </c>
      <c r="N250" s="23" t="s">
        <v>2831</v>
      </c>
      <c r="O250" s="24" t="s">
        <v>2832</v>
      </c>
      <c r="P250" s="24" t="s">
        <v>2833</v>
      </c>
      <c r="Q250" s="24" t="s">
        <v>2774</v>
      </c>
      <c r="R250" s="25" t="s">
        <v>2834</v>
      </c>
      <c r="S250" s="24" t="s">
        <v>173</v>
      </c>
      <c r="T250" s="24" t="str">
        <f aca="false">"["&amp;안내!$C$5&amp;" "&amp;F250&amp;"] "&amp;L250&amp;" | "&amp;J250</f>
        <v>[1분 성경 구약 #106] 당신이 그 사람이라 | 삼하 12:1-31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174</v>
      </c>
      <c r="Y250" s="23" t="s">
        <v>174</v>
      </c>
      <c r="Z250" s="23" t="s">
        <v>174</v>
      </c>
      <c r="AA250" s="23" t="s">
        <v>174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  <c r="AE250" s="24" t="str">
        <f aca="false">M250&amp;" | 사무엘하 12장 #"&amp;SUBSTITUTE(안내!$C$5," ","")</f>
        <v>선지자가 왕에게 들려준 이야기 하나 | 사무엘하 12장 #1분성경</v>
      </c>
      <c r="AF250" s="24" t="s">
        <v>2835</v>
      </c>
      <c r="AG250" s="24" t="s">
        <v>2836</v>
      </c>
      <c r="AH250" s="23" t="s">
        <v>290</v>
      </c>
      <c r="AI250" s="26" t="n">
        <f aca="false">U250-안내!$C$12</f>
        <v>46468</v>
      </c>
      <c r="AJ250" s="23" t="str">
        <f aca="false">IF(U250&lt;IF(C250=1,안내!$C$9,안내!$C$10)+안내!$C$12,"시즌 시작 전 제작","")</f>
        <v/>
      </c>
      <c r="AK250" s="24" t="s">
        <v>2608</v>
      </c>
      <c r="AL250" s="27"/>
      <c r="AM250" s="27"/>
      <c r="AN250" s="27"/>
      <c r="AO250" s="27"/>
      <c r="AP250" s="27"/>
      <c r="AQ250" s="23" t="str">
        <f aca="false">D250&amp;"|"&amp;TEXT(U250,"yyyy-mm-dd")</f>
        <v>구약|2027-04-19</v>
      </c>
      <c r="AR250" s="24" t="s">
        <v>2837</v>
      </c>
      <c r="AS250" s="24"/>
    </row>
    <row r="251" customFormat="false" ht="26.85" hidden="false" customHeight="false" outlineLevel="0" collapsed="false">
      <c r="A251" s="21" t="n">
        <v>250</v>
      </c>
      <c r="B251" s="18" t="s">
        <v>2838</v>
      </c>
      <c r="C251" s="23" t="n">
        <v>2</v>
      </c>
      <c r="D251" s="23" t="s">
        <v>160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2813</v>
      </c>
      <c r="H251" s="18" t="s">
        <v>2725</v>
      </c>
      <c r="I251" s="21" t="s">
        <v>2704</v>
      </c>
      <c r="J251" s="22" t="s">
        <v>2839</v>
      </c>
      <c r="K251" s="23" t="s">
        <v>165</v>
      </c>
      <c r="L251" s="24" t="s">
        <v>2840</v>
      </c>
      <c r="M251" s="24" t="s">
        <v>2841</v>
      </c>
      <c r="N251" s="23" t="s">
        <v>2842</v>
      </c>
      <c r="O251" s="24" t="s">
        <v>2843</v>
      </c>
      <c r="P251" s="24" t="s">
        <v>2844</v>
      </c>
      <c r="Q251" s="24" t="s">
        <v>2774</v>
      </c>
      <c r="R251" s="25" t="s">
        <v>2845</v>
      </c>
      <c r="S251" s="24" t="s">
        <v>2846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174</v>
      </c>
      <c r="Y251" s="23" t="s">
        <v>174</v>
      </c>
      <c r="Z251" s="23" t="s">
        <v>174</v>
      </c>
      <c r="AA251" s="23" t="s">
        <v>174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  <c r="AE251" s="24" t="str">
        <f aca="false">M251&amp;" | 사무엘하 13장 #"&amp;SUBSTITUTE(안내!$C$5," ","")</f>
        <v>왕의 아들들 사이에 일어난 비극 | 사무엘하 13장 #1분성경</v>
      </c>
      <c r="AF251" s="24" t="s">
        <v>304</v>
      </c>
      <c r="AG251" s="24" t="s">
        <v>2847</v>
      </c>
      <c r="AH251" s="23" t="s">
        <v>290</v>
      </c>
      <c r="AI251" s="26" t="n">
        <f aca="false">U251-안내!$C$12</f>
        <v>46695</v>
      </c>
      <c r="AJ251" s="23" t="str">
        <f aca="false">IF(U251&lt;IF(C251=1,안내!$C$9,안내!$C$10)+안내!$C$12,"시즌 시작 전 제작","")</f>
        <v/>
      </c>
      <c r="AK251" s="24" t="s">
        <v>2608</v>
      </c>
      <c r="AL251" s="27"/>
      <c r="AM251" s="27"/>
      <c r="AN251" s="27"/>
      <c r="AO251" s="27"/>
      <c r="AP251" s="27"/>
      <c r="AQ251" s="23" t="str">
        <f aca="false">D251&amp;"|"&amp;TEXT(U251,"yyyy-mm-dd")</f>
        <v>구약|2027-12-02</v>
      </c>
      <c r="AR251" s="24" t="s">
        <v>2848</v>
      </c>
      <c r="AS251" s="24"/>
    </row>
    <row r="252" customFormat="false" ht="39.55" hidden="false" customHeight="false" outlineLevel="0" collapsed="false">
      <c r="A252" s="21" t="n">
        <v>251</v>
      </c>
      <c r="B252" s="18" t="s">
        <v>2849</v>
      </c>
      <c r="C252" s="23" t="n">
        <v>2</v>
      </c>
      <c r="D252" s="23" t="s">
        <v>160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2813</v>
      </c>
      <c r="H252" s="18" t="s">
        <v>2725</v>
      </c>
      <c r="I252" s="21" t="s">
        <v>2704</v>
      </c>
      <c r="J252" s="22" t="s">
        <v>2850</v>
      </c>
      <c r="K252" s="23" t="s">
        <v>165</v>
      </c>
      <c r="L252" s="24" t="s">
        <v>2851</v>
      </c>
      <c r="M252" s="24" t="s">
        <v>2852</v>
      </c>
      <c r="N252" s="23" t="s">
        <v>2853</v>
      </c>
      <c r="O252" s="24" t="s">
        <v>2854</v>
      </c>
      <c r="P252" s="24" t="s">
        <v>2855</v>
      </c>
      <c r="Q252" s="24" t="s">
        <v>2856</v>
      </c>
      <c r="R252" s="24"/>
      <c r="S252" s="24" t="s">
        <v>2846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174</v>
      </c>
      <c r="Y252" s="23" t="s">
        <v>174</v>
      </c>
      <c r="Z252" s="23" t="s">
        <v>174</v>
      </c>
      <c r="AA252" s="23" t="s">
        <v>174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  <c r="AE252" s="24" t="str">
        <f aca="false">M252&amp;" | 사무엘하 14장 #"&amp;SUBSTITUTE(안내!$C$5," ","")</f>
        <v>하나님은 버린 자를 그대로 두지 않으신다 | 사무엘하 14장 #1분성경</v>
      </c>
      <c r="AF252" s="24" t="s">
        <v>304</v>
      </c>
      <c r="AG252" s="24"/>
      <c r="AH252" s="23" t="s">
        <v>290</v>
      </c>
      <c r="AI252" s="26" t="n">
        <f aca="false">U252-안내!$C$12</f>
        <v>46696</v>
      </c>
      <c r="AJ252" s="23" t="str">
        <f aca="false">IF(U252&lt;IF(C252=1,안내!$C$9,안내!$C$10)+안내!$C$12,"시즌 시작 전 제작","")</f>
        <v/>
      </c>
      <c r="AK252" s="24"/>
      <c r="AL252" s="27"/>
      <c r="AM252" s="27"/>
      <c r="AN252" s="27"/>
      <c r="AO252" s="27"/>
      <c r="AP252" s="27"/>
      <c r="AQ252" s="23" t="str">
        <f aca="false">D252&amp;"|"&amp;TEXT(U252,"yyyy-mm-dd")</f>
        <v>구약|2027-12-03</v>
      </c>
      <c r="AR252" s="24" t="s">
        <v>2857</v>
      </c>
      <c r="AS252" s="24"/>
    </row>
    <row r="253" customFormat="false" ht="39.55" hidden="false" customHeight="false" outlineLevel="0" collapsed="false">
      <c r="A253" s="21" t="n">
        <v>252</v>
      </c>
      <c r="B253" s="18" t="s">
        <v>2858</v>
      </c>
      <c r="C253" s="20" t="n">
        <v>1</v>
      </c>
      <c r="D253" s="20" t="s">
        <v>160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2813</v>
      </c>
      <c r="H253" s="18" t="s">
        <v>2814</v>
      </c>
      <c r="I253" s="21" t="s">
        <v>2704</v>
      </c>
      <c r="J253" s="22" t="s">
        <v>2859</v>
      </c>
      <c r="K253" s="23" t="s">
        <v>165</v>
      </c>
      <c r="L253" s="24" t="s">
        <v>2860</v>
      </c>
      <c r="M253" s="24" t="s">
        <v>2861</v>
      </c>
      <c r="N253" s="23" t="s">
        <v>2862</v>
      </c>
      <c r="O253" s="24" t="s">
        <v>2863</v>
      </c>
      <c r="P253" s="24" t="s">
        <v>2864</v>
      </c>
      <c r="Q253" s="24" t="s">
        <v>2865</v>
      </c>
      <c r="R253" s="24"/>
      <c r="S253" s="29" t="s">
        <v>2866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174</v>
      </c>
      <c r="Y253" s="23" t="s">
        <v>174</v>
      </c>
      <c r="Z253" s="23" t="s">
        <v>174</v>
      </c>
      <c r="AA253" s="23" t="s">
        <v>174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  <c r="AE253" s="24" t="str">
        <f aca="false">M253&amp;" | 사무엘하 15장 #"&amp;SUBSTITUTE(안내!$C$5," ","")</f>
        <v>아들에게 쫓겨난 아버지 | 사무엘하 15장 #1분성경</v>
      </c>
      <c r="AF253" s="24" t="s">
        <v>2867</v>
      </c>
      <c r="AG253" s="24" t="s">
        <v>2868</v>
      </c>
      <c r="AH253" s="23" t="s">
        <v>290</v>
      </c>
      <c r="AI253" s="26" t="n">
        <f aca="false">U253-안내!$C$12</f>
        <v>46469</v>
      </c>
      <c r="AJ253" s="23" t="str">
        <f aca="false">IF(U253&lt;IF(C253=1,안내!$C$9,안내!$C$10)+안내!$C$12,"시즌 시작 전 제작","")</f>
        <v/>
      </c>
      <c r="AK253" s="24" t="s">
        <v>2608</v>
      </c>
      <c r="AL253" s="27"/>
      <c r="AM253" s="27"/>
      <c r="AN253" s="27"/>
      <c r="AO253" s="27"/>
      <c r="AP253" s="27"/>
      <c r="AQ253" s="23" t="str">
        <f aca="false">D253&amp;"|"&amp;TEXT(U253,"yyyy-mm-dd")</f>
        <v>구약|2027-04-20</v>
      </c>
      <c r="AR253" s="24" t="s">
        <v>2869</v>
      </c>
      <c r="AS253" s="24"/>
    </row>
    <row r="254" customFormat="false" ht="26.85" hidden="false" customHeight="false" outlineLevel="0" collapsed="false">
      <c r="A254" s="21" t="n">
        <v>253</v>
      </c>
      <c r="B254" s="18" t="s">
        <v>2870</v>
      </c>
      <c r="C254" s="23" t="n">
        <v>2</v>
      </c>
      <c r="D254" s="23" t="s">
        <v>160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2813</v>
      </c>
      <c r="H254" s="18" t="s">
        <v>2725</v>
      </c>
      <c r="I254" s="21" t="s">
        <v>2704</v>
      </c>
      <c r="J254" s="22" t="s">
        <v>2871</v>
      </c>
      <c r="K254" s="23" t="s">
        <v>165</v>
      </c>
      <c r="L254" s="24" t="s">
        <v>2872</v>
      </c>
      <c r="M254" s="24" t="s">
        <v>2873</v>
      </c>
      <c r="N254" s="23" t="s">
        <v>2874</v>
      </c>
      <c r="O254" s="24" t="s">
        <v>2875</v>
      </c>
      <c r="P254" s="24" t="s">
        <v>2876</v>
      </c>
      <c r="Q254" s="24" t="s">
        <v>2877</v>
      </c>
      <c r="R254" s="24"/>
      <c r="S254" s="24" t="s">
        <v>2878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174</v>
      </c>
      <c r="Y254" s="23" t="s">
        <v>174</v>
      </c>
      <c r="Z254" s="23" t="s">
        <v>174</v>
      </c>
      <c r="AA254" s="23" t="s">
        <v>174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  <c r="AE254" s="24" t="str">
        <f aca="false">M254&amp;" | 사무엘하 16장 #"&amp;SUBSTITUTE(안내!$C$5," ","")</f>
        <v>돌을 던지며 저주하는 사람을 그냥 두다 | 사무엘하 16장 #1분성경</v>
      </c>
      <c r="AF254" s="24" t="s">
        <v>304</v>
      </c>
      <c r="AG254" s="24"/>
      <c r="AH254" s="23" t="s">
        <v>290</v>
      </c>
      <c r="AI254" s="26" t="n">
        <f aca="false">U254-안내!$C$12</f>
        <v>46697</v>
      </c>
      <c r="AJ254" s="23" t="str">
        <f aca="false">IF(U254&lt;IF(C254=1,안내!$C$9,안내!$C$10)+안내!$C$12,"시즌 시작 전 제작","")</f>
        <v/>
      </c>
      <c r="AK254" s="24" t="s">
        <v>2608</v>
      </c>
      <c r="AL254" s="27"/>
      <c r="AM254" s="27"/>
      <c r="AN254" s="27"/>
      <c r="AO254" s="27"/>
      <c r="AP254" s="27"/>
      <c r="AQ254" s="23" t="str">
        <f aca="false">D254&amp;"|"&amp;TEXT(U254,"yyyy-mm-dd")</f>
        <v>구약|2027-12-04</v>
      </c>
      <c r="AR254" s="24" t="s">
        <v>2879</v>
      </c>
      <c r="AS254" s="24"/>
    </row>
    <row r="255" customFormat="false" ht="39.55" hidden="false" customHeight="false" outlineLevel="0" collapsed="false">
      <c r="A255" s="21" t="n">
        <v>254</v>
      </c>
      <c r="B255" s="18" t="s">
        <v>2880</v>
      </c>
      <c r="C255" s="23" t="n">
        <v>2</v>
      </c>
      <c r="D255" s="23" t="s">
        <v>160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2813</v>
      </c>
      <c r="H255" s="18" t="s">
        <v>2725</v>
      </c>
      <c r="I255" s="21" t="s">
        <v>2704</v>
      </c>
      <c r="J255" s="22" t="s">
        <v>2881</v>
      </c>
      <c r="K255" s="23" t="s">
        <v>165</v>
      </c>
      <c r="L255" s="24" t="s">
        <v>2882</v>
      </c>
      <c r="M255" s="24" t="s">
        <v>2883</v>
      </c>
      <c r="N255" s="23" t="s">
        <v>2884</v>
      </c>
      <c r="O255" s="24" t="s">
        <v>2885</v>
      </c>
      <c r="P255" s="24" t="s">
        <v>2886</v>
      </c>
      <c r="Q255" s="24" t="s">
        <v>2887</v>
      </c>
      <c r="R255" s="25" t="s">
        <v>2888</v>
      </c>
      <c r="S255" s="24" t="s">
        <v>2878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174</v>
      </c>
      <c r="Y255" s="23" t="s">
        <v>174</v>
      </c>
      <c r="Z255" s="23" t="s">
        <v>174</v>
      </c>
      <c r="AA255" s="23" t="s">
        <v>174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  <c r="AE255" s="24" t="str">
        <f aca="false">M255&amp;" | 사무엘하 17장 #"&amp;SUBSTITUTE(안내!$C$5," ","")</f>
        <v>가장 뛰어난 책사의 계략이 무너지다 | 사무엘하 17장 #1분성경</v>
      </c>
      <c r="AF255" s="24" t="s">
        <v>304</v>
      </c>
      <c r="AG255" s="24"/>
      <c r="AH255" s="23" t="s">
        <v>290</v>
      </c>
      <c r="AI255" s="26" t="n">
        <f aca="false">U255-안내!$C$12</f>
        <v>46698</v>
      </c>
      <c r="AJ255" s="23" t="str">
        <f aca="false">IF(U255&lt;IF(C255=1,안내!$C$9,안내!$C$10)+안내!$C$12,"시즌 시작 전 제작","")</f>
        <v/>
      </c>
      <c r="AK255" s="24"/>
      <c r="AL255" s="27"/>
      <c r="AM255" s="27"/>
      <c r="AN255" s="27"/>
      <c r="AO255" s="27"/>
      <c r="AP255" s="27"/>
      <c r="AQ255" s="23" t="str">
        <f aca="false">D255&amp;"|"&amp;TEXT(U255,"yyyy-mm-dd")</f>
        <v>구약|2027-12-05</v>
      </c>
      <c r="AR255" s="24" t="s">
        <v>2889</v>
      </c>
      <c r="AS255" s="24"/>
    </row>
    <row r="256" customFormat="false" ht="39.55" hidden="false" customHeight="false" outlineLevel="0" collapsed="false">
      <c r="A256" s="21" t="n">
        <v>255</v>
      </c>
      <c r="B256" s="18" t="s">
        <v>2890</v>
      </c>
      <c r="C256" s="20" t="n">
        <v>1</v>
      </c>
      <c r="D256" s="20" t="s">
        <v>160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2813</v>
      </c>
      <c r="H256" s="18" t="s">
        <v>2814</v>
      </c>
      <c r="I256" s="21" t="s">
        <v>2704</v>
      </c>
      <c r="J256" s="22" t="s">
        <v>2891</v>
      </c>
      <c r="K256" s="23" t="s">
        <v>165</v>
      </c>
      <c r="L256" s="24" t="s">
        <v>2892</v>
      </c>
      <c r="M256" s="24" t="s">
        <v>2893</v>
      </c>
      <c r="N256" s="23" t="s">
        <v>2894</v>
      </c>
      <c r="O256" s="24" t="s">
        <v>2895</v>
      </c>
      <c r="P256" s="24" t="s">
        <v>2896</v>
      </c>
      <c r="Q256" s="24" t="s">
        <v>2897</v>
      </c>
      <c r="R256" s="25" t="s">
        <v>2898</v>
      </c>
      <c r="S256" s="29" t="s">
        <v>2899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174</v>
      </c>
      <c r="Y256" s="23" t="s">
        <v>174</v>
      </c>
      <c r="Z256" s="23" t="s">
        <v>174</v>
      </c>
      <c r="AA256" s="23" t="s">
        <v>174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  <c r="AE256" s="24" t="str">
        <f aca="false">M256&amp;" | 사무엘하 18장 #"&amp;SUBSTITUTE(안내!$C$5," ","")</f>
        <v>전쟁에서 이겼는데 왕은 울었다 | 사무엘하 18장 #1분성경</v>
      </c>
      <c r="AF256" s="24" t="s">
        <v>2900</v>
      </c>
      <c r="AG256" s="24"/>
      <c r="AH256" s="23" t="s">
        <v>290</v>
      </c>
      <c r="AI256" s="26" t="n">
        <f aca="false">U256-안내!$C$12</f>
        <v>46470</v>
      </c>
      <c r="AJ256" s="23" t="str">
        <f aca="false">IF(U256&lt;IF(C256=1,안내!$C$9,안내!$C$10)+안내!$C$12,"시즌 시작 전 제작","")</f>
        <v/>
      </c>
      <c r="AK256" s="24" t="s">
        <v>2608</v>
      </c>
      <c r="AL256" s="27"/>
      <c r="AM256" s="27"/>
      <c r="AN256" s="27"/>
      <c r="AO256" s="27"/>
      <c r="AP256" s="27"/>
      <c r="AQ256" s="23" t="str">
        <f aca="false">D256&amp;"|"&amp;TEXT(U256,"yyyy-mm-dd")</f>
        <v>구약|2027-04-21</v>
      </c>
      <c r="AR256" s="24" t="s">
        <v>2901</v>
      </c>
      <c r="AS256" s="24"/>
    </row>
    <row r="257" customFormat="false" ht="26.85" hidden="false" customHeight="false" outlineLevel="0" collapsed="false">
      <c r="A257" s="21" t="n">
        <v>256</v>
      </c>
      <c r="B257" s="18" t="s">
        <v>2902</v>
      </c>
      <c r="C257" s="23" t="n">
        <v>2</v>
      </c>
      <c r="D257" s="23" t="s">
        <v>160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2813</v>
      </c>
      <c r="H257" s="18" t="s">
        <v>2725</v>
      </c>
      <c r="I257" s="21" t="s">
        <v>2704</v>
      </c>
      <c r="J257" s="22" t="s">
        <v>2903</v>
      </c>
      <c r="K257" s="23" t="s">
        <v>165</v>
      </c>
      <c r="L257" s="24" t="s">
        <v>2904</v>
      </c>
      <c r="M257" s="24" t="s">
        <v>2905</v>
      </c>
      <c r="N257" s="23" t="s">
        <v>2906</v>
      </c>
      <c r="O257" s="24" t="s">
        <v>2907</v>
      </c>
      <c r="P257" s="24" t="s">
        <v>2908</v>
      </c>
      <c r="Q257" s="24" t="s">
        <v>2909</v>
      </c>
      <c r="R257" s="24"/>
      <c r="S257" s="24" t="s">
        <v>2910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174</v>
      </c>
      <c r="Y257" s="23" t="s">
        <v>174</v>
      </c>
      <c r="Z257" s="23" t="s">
        <v>174</v>
      </c>
      <c r="AA257" s="23" t="s">
        <v>174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  <c r="AE257" s="24" t="str">
        <f aca="false">M257&amp;" | 사무엘하 19~20장 #"&amp;SUBSTITUTE(안내!$C$5," ","")</f>
        <v>다시 왕궁으로 돌아가는 길 | 사무엘하 19~20장 #1분성경</v>
      </c>
      <c r="AF257" s="24" t="s">
        <v>304</v>
      </c>
      <c r="AG257" s="24" t="s">
        <v>2911</v>
      </c>
      <c r="AH257" s="23" t="s">
        <v>290</v>
      </c>
      <c r="AI257" s="26" t="n">
        <f aca="false">U257-안내!$C$12</f>
        <v>46699</v>
      </c>
      <c r="AJ257" s="23" t="str">
        <f aca="false">IF(U257&lt;IF(C257=1,안내!$C$9,안내!$C$10)+안내!$C$12,"시즌 시작 전 제작","")</f>
        <v/>
      </c>
      <c r="AK257" s="24" t="s">
        <v>2608</v>
      </c>
      <c r="AL257" s="27"/>
      <c r="AM257" s="27"/>
      <c r="AN257" s="27"/>
      <c r="AO257" s="27"/>
      <c r="AP257" s="27"/>
      <c r="AQ257" s="23" t="str">
        <f aca="false">D257&amp;"|"&amp;TEXT(U257,"yyyy-mm-dd")</f>
        <v>구약|2027-12-06</v>
      </c>
      <c r="AR257" s="24" t="s">
        <v>2912</v>
      </c>
      <c r="AS257" s="24"/>
    </row>
    <row r="258" customFormat="false" ht="26.85" hidden="false" customHeight="false" outlineLevel="0" collapsed="false">
      <c r="A258" s="21" t="n">
        <v>257</v>
      </c>
      <c r="B258" s="18" t="s">
        <v>2913</v>
      </c>
      <c r="C258" s="23" t="n">
        <v>2</v>
      </c>
      <c r="D258" s="23" t="s">
        <v>160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2813</v>
      </c>
      <c r="H258" s="18" t="s">
        <v>2725</v>
      </c>
      <c r="I258" s="21" t="s">
        <v>2704</v>
      </c>
      <c r="J258" s="22" t="s">
        <v>2914</v>
      </c>
      <c r="K258" s="23" t="s">
        <v>165</v>
      </c>
      <c r="L258" s="24" t="s">
        <v>2915</v>
      </c>
      <c r="M258" s="24" t="s">
        <v>2916</v>
      </c>
      <c r="N258" s="23" t="s">
        <v>2917</v>
      </c>
      <c r="O258" s="24" t="s">
        <v>2918</v>
      </c>
      <c r="P258" s="24" t="s">
        <v>2919</v>
      </c>
      <c r="Q258" s="24" t="s">
        <v>2856</v>
      </c>
      <c r="R258" s="28" t="s">
        <v>2920</v>
      </c>
      <c r="S258" s="24" t="s">
        <v>2910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174</v>
      </c>
      <c r="Y258" s="23" t="s">
        <v>174</v>
      </c>
      <c r="Z258" s="23" t="s">
        <v>174</v>
      </c>
      <c r="AA258" s="23" t="s">
        <v>174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  <c r="AE258" s="24" t="str">
        <f aca="false">M258&amp;" | 사무엘하 21~22장 #"&amp;SUBSTITUTE(안내!$C$5," ","")</f>
        <v>평생의 전쟁을 돌아보며 부른 노래 | 사무엘하 21~22장 #1분성경</v>
      </c>
      <c r="AF258" s="24" t="s">
        <v>304</v>
      </c>
      <c r="AG258" s="24" t="s">
        <v>2921</v>
      </c>
      <c r="AH258" s="23" t="s">
        <v>290</v>
      </c>
      <c r="AI258" s="26" t="n">
        <f aca="false">U258-안내!$C$12</f>
        <v>46700</v>
      </c>
      <c r="AJ258" s="23" t="str">
        <f aca="false">IF(U258&lt;IF(C258=1,안내!$C$9,안내!$C$10)+안내!$C$12,"시즌 시작 전 제작","")</f>
        <v/>
      </c>
      <c r="AK258" s="24" t="s">
        <v>2608</v>
      </c>
      <c r="AL258" s="27"/>
      <c r="AM258" s="27"/>
      <c r="AN258" s="27"/>
      <c r="AO258" s="27"/>
      <c r="AP258" s="27"/>
      <c r="AQ258" s="23" t="str">
        <f aca="false">D258&amp;"|"&amp;TEXT(U258,"yyyy-mm-dd")</f>
        <v>구약|2027-12-07</v>
      </c>
      <c r="AR258" s="24" t="s">
        <v>2922</v>
      </c>
      <c r="AS258" s="24"/>
    </row>
    <row r="259" customFormat="false" ht="39.55" hidden="false" customHeight="false" outlineLevel="0" collapsed="false">
      <c r="A259" s="21" t="n">
        <v>258</v>
      </c>
      <c r="B259" s="18" t="s">
        <v>2923</v>
      </c>
      <c r="C259" s="23" t="n">
        <v>2</v>
      </c>
      <c r="D259" s="23" t="s">
        <v>160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2813</v>
      </c>
      <c r="H259" s="18" t="s">
        <v>2725</v>
      </c>
      <c r="I259" s="21" t="s">
        <v>2704</v>
      </c>
      <c r="J259" s="22" t="s">
        <v>2924</v>
      </c>
      <c r="K259" s="23" t="s">
        <v>165</v>
      </c>
      <c r="L259" s="24" t="s">
        <v>2925</v>
      </c>
      <c r="M259" s="24" t="s">
        <v>2926</v>
      </c>
      <c r="N259" s="23" t="s">
        <v>2927</v>
      </c>
      <c r="O259" s="24" t="s">
        <v>2928</v>
      </c>
      <c r="P259" s="24" t="s">
        <v>2929</v>
      </c>
      <c r="Q259" s="24" t="s">
        <v>2930</v>
      </c>
      <c r="R259" s="25" t="s">
        <v>2931</v>
      </c>
      <c r="S259" s="24" t="s">
        <v>2910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174</v>
      </c>
      <c r="Y259" s="23" t="s">
        <v>174</v>
      </c>
      <c r="Z259" s="23" t="s">
        <v>174</v>
      </c>
      <c r="AA259" s="23" t="s">
        <v>174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  <c r="AE259" s="24" t="str">
        <f aca="false">M259&amp;" | 사무엘하 23~24장 #"&amp;SUBSTITUTE(안내!$C$5," ","")</f>
        <v>공짜로 주겠다는 땅을 굳이 값을 치르고 산 이유 | 사무엘하 23~24장 #1분성경</v>
      </c>
      <c r="AF259" s="24" t="s">
        <v>304</v>
      </c>
      <c r="AG259" s="24"/>
      <c r="AH259" s="23" t="s">
        <v>290</v>
      </c>
      <c r="AI259" s="26" t="n">
        <f aca="false">U259-안내!$C$12</f>
        <v>46701</v>
      </c>
      <c r="AJ259" s="23" t="str">
        <f aca="false">IF(U259&lt;IF(C259=1,안내!$C$9,안내!$C$10)+안내!$C$12,"시즌 시작 전 제작","")</f>
        <v/>
      </c>
      <c r="AK259" s="24" t="s">
        <v>2608</v>
      </c>
      <c r="AL259" s="27"/>
      <c r="AM259" s="27"/>
      <c r="AN259" s="27"/>
      <c r="AO259" s="27"/>
      <c r="AP259" s="27"/>
      <c r="AQ259" s="23" t="str">
        <f aca="false">D259&amp;"|"&amp;TEXT(U259,"yyyy-mm-dd")</f>
        <v>구약|2027-12-08</v>
      </c>
      <c r="AR259" s="24" t="s">
        <v>2932</v>
      </c>
      <c r="AS259" s="24"/>
    </row>
    <row r="260" customFormat="false" ht="26.85" hidden="false" customHeight="false" outlineLevel="0" collapsed="false">
      <c r="A260" s="21" t="n">
        <v>259</v>
      </c>
      <c r="B260" s="18" t="s">
        <v>2933</v>
      </c>
      <c r="C260" s="23" t="n">
        <v>2</v>
      </c>
      <c r="D260" s="23" t="s">
        <v>160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2934</v>
      </c>
      <c r="H260" s="18" t="s">
        <v>2935</v>
      </c>
      <c r="I260" s="21" t="s">
        <v>2936</v>
      </c>
      <c r="J260" s="22" t="s">
        <v>2937</v>
      </c>
      <c r="K260" s="23" t="s">
        <v>165</v>
      </c>
      <c r="L260" s="24" t="s">
        <v>2938</v>
      </c>
      <c r="M260" s="24" t="s">
        <v>2939</v>
      </c>
      <c r="N260" s="23" t="s">
        <v>2940</v>
      </c>
      <c r="O260" s="24" t="s">
        <v>2941</v>
      </c>
      <c r="P260" s="24" t="s">
        <v>2942</v>
      </c>
      <c r="Q260" s="24" t="s">
        <v>2943</v>
      </c>
      <c r="R260" s="24"/>
      <c r="S260" s="24" t="s">
        <v>2910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174</v>
      </c>
      <c r="Y260" s="23" t="s">
        <v>174</v>
      </c>
      <c r="Z260" s="23" t="s">
        <v>174</v>
      </c>
      <c r="AA260" s="23" t="s">
        <v>174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  <c r="AE260" s="24" t="str">
        <f aca="false">M260&amp;" | 열왕기상 1장 #"&amp;SUBSTITUTE(안내!$C$5," ","")</f>
        <v>늙은 다윗 몰래 스스로 왕이 된 아들 | 열왕기상 1장 #1분성경</v>
      </c>
      <c r="AF260" s="24" t="s">
        <v>304</v>
      </c>
      <c r="AG260" s="24" t="s">
        <v>2944</v>
      </c>
      <c r="AH260" s="23" t="s">
        <v>290</v>
      </c>
      <c r="AI260" s="26" t="n">
        <f aca="false">U260-안내!$C$12</f>
        <v>46702</v>
      </c>
      <c r="AJ260" s="23" t="str">
        <f aca="false">IF(U260&lt;IF(C260=1,안내!$C$9,안내!$C$10)+안내!$C$12,"시즌 시작 전 제작","")</f>
        <v/>
      </c>
      <c r="AK260" s="24" t="s">
        <v>2945</v>
      </c>
      <c r="AL260" s="27"/>
      <c r="AM260" s="27"/>
      <c r="AN260" s="27"/>
      <c r="AO260" s="27"/>
      <c r="AP260" s="27"/>
      <c r="AQ260" s="23" t="str">
        <f aca="false">D260&amp;"|"&amp;TEXT(U260,"yyyy-mm-dd")</f>
        <v>구약|2027-12-09</v>
      </c>
      <c r="AR260" s="24" t="s">
        <v>2946</v>
      </c>
      <c r="AS260" s="24"/>
    </row>
    <row r="261" customFormat="false" ht="39.55" hidden="false" customHeight="false" outlineLevel="0" collapsed="false">
      <c r="A261" s="21" t="n">
        <v>260</v>
      </c>
      <c r="B261" s="18" t="s">
        <v>2947</v>
      </c>
      <c r="C261" s="23" t="n">
        <v>2</v>
      </c>
      <c r="D261" s="23" t="s">
        <v>160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2934</v>
      </c>
      <c r="H261" s="18" t="s">
        <v>2935</v>
      </c>
      <c r="I261" s="21" t="s">
        <v>2936</v>
      </c>
      <c r="J261" s="22" t="s">
        <v>2948</v>
      </c>
      <c r="K261" s="23" t="s">
        <v>165</v>
      </c>
      <c r="L261" s="24" t="s">
        <v>2949</v>
      </c>
      <c r="M261" s="24" t="s">
        <v>2950</v>
      </c>
      <c r="N261" s="23" t="s">
        <v>2951</v>
      </c>
      <c r="O261" s="24" t="s">
        <v>2952</v>
      </c>
      <c r="P261" s="24" t="s">
        <v>2953</v>
      </c>
      <c r="Q261" s="24" t="s">
        <v>2954</v>
      </c>
      <c r="R261" s="25" t="s">
        <v>885</v>
      </c>
      <c r="S261" s="24" t="s">
        <v>2910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174</v>
      </c>
      <c r="Y261" s="23" t="s">
        <v>174</v>
      </c>
      <c r="Z261" s="23" t="s">
        <v>174</v>
      </c>
      <c r="AA261" s="23" t="s">
        <v>174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  <c r="AE261" s="24" t="str">
        <f aca="false">M261&amp;" | 열왕기상 2장 #"&amp;SUBSTITUTE(안내!$C$5," ","")</f>
        <v>대장부가 되라 | 열왕기상 2장 #1분성경</v>
      </c>
      <c r="AF261" s="24" t="s">
        <v>304</v>
      </c>
      <c r="AG261" s="24"/>
      <c r="AH261" s="23" t="s">
        <v>290</v>
      </c>
      <c r="AI261" s="26" t="n">
        <f aca="false">U261-안내!$C$12</f>
        <v>46703</v>
      </c>
      <c r="AJ261" s="23" t="str">
        <f aca="false">IF(U261&lt;IF(C261=1,안내!$C$9,안내!$C$10)+안내!$C$12,"시즌 시작 전 제작","")</f>
        <v/>
      </c>
      <c r="AK261" s="24" t="s">
        <v>2945</v>
      </c>
      <c r="AL261" s="27"/>
      <c r="AM261" s="27"/>
      <c r="AN261" s="27"/>
      <c r="AO261" s="27"/>
      <c r="AP261" s="27"/>
      <c r="AQ261" s="23" t="str">
        <f aca="false">D261&amp;"|"&amp;TEXT(U261,"yyyy-mm-dd")</f>
        <v>구약|2027-12-10</v>
      </c>
      <c r="AR261" s="24" t="s">
        <v>2955</v>
      </c>
      <c r="AS261" s="24"/>
    </row>
    <row r="262" customFormat="false" ht="52.2" hidden="false" customHeight="false" outlineLevel="0" collapsed="false">
      <c r="A262" s="21" t="n">
        <v>261</v>
      </c>
      <c r="B262" s="18" t="s">
        <v>2956</v>
      </c>
      <c r="C262" s="20" t="n">
        <v>1</v>
      </c>
      <c r="D262" s="20" t="s">
        <v>160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2934</v>
      </c>
      <c r="H262" s="18" t="s">
        <v>2814</v>
      </c>
      <c r="I262" s="21" t="s">
        <v>2936</v>
      </c>
      <c r="J262" s="22" t="s">
        <v>2957</v>
      </c>
      <c r="K262" s="23" t="s">
        <v>165</v>
      </c>
      <c r="L262" s="24" t="s">
        <v>2958</v>
      </c>
      <c r="M262" s="24" t="s">
        <v>2959</v>
      </c>
      <c r="N262" s="23" t="s">
        <v>2960</v>
      </c>
      <c r="O262" s="24" t="s">
        <v>2961</v>
      </c>
      <c r="P262" s="24" t="s">
        <v>2962</v>
      </c>
      <c r="Q262" s="24" t="s">
        <v>2963</v>
      </c>
      <c r="R262" s="24"/>
      <c r="S262" s="29" t="s">
        <v>2964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174</v>
      </c>
      <c r="Y262" s="23" t="s">
        <v>174</v>
      </c>
      <c r="Z262" s="23" t="s">
        <v>174</v>
      </c>
      <c r="AA262" s="23" t="s">
        <v>174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  <c r="AE262" s="24" t="str">
        <f aca="false">M262&amp;" | 열왕기상 3장 #"&amp;SUBSTITUTE(안내!$C$5," ","")</f>
        <v>하나님이 꿈에서 물으셨다 | 열왕기상 3장 #1분성경</v>
      </c>
      <c r="AF262" s="24" t="s">
        <v>2965</v>
      </c>
      <c r="AG262" s="24" t="s">
        <v>2966</v>
      </c>
      <c r="AH262" s="23" t="s">
        <v>290</v>
      </c>
      <c r="AI262" s="26" t="n">
        <f aca="false">U262-안내!$C$12</f>
        <v>46471</v>
      </c>
      <c r="AJ262" s="23" t="str">
        <f aca="false">IF(U262&lt;IF(C262=1,안내!$C$9,안내!$C$10)+안내!$C$12,"시즌 시작 전 제작","")</f>
        <v/>
      </c>
      <c r="AK262" s="24" t="s">
        <v>2967</v>
      </c>
      <c r="AL262" s="27"/>
      <c r="AM262" s="27"/>
      <c r="AN262" s="27"/>
      <c r="AO262" s="27"/>
      <c r="AP262" s="27"/>
      <c r="AQ262" s="23" t="str">
        <f aca="false">D262&amp;"|"&amp;TEXT(U262,"yyyy-mm-dd")</f>
        <v>구약|2027-04-22</v>
      </c>
      <c r="AR262" s="24" t="s">
        <v>2968</v>
      </c>
      <c r="AS262" s="24"/>
    </row>
    <row r="263" customFormat="false" ht="26.85" hidden="false" customHeight="false" outlineLevel="0" collapsed="false">
      <c r="A263" s="21" t="n">
        <v>262</v>
      </c>
      <c r="B263" s="18" t="s">
        <v>2969</v>
      </c>
      <c r="C263" s="20" t="n">
        <v>1</v>
      </c>
      <c r="D263" s="20" t="s">
        <v>160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2934</v>
      </c>
      <c r="H263" s="18" t="s">
        <v>2814</v>
      </c>
      <c r="I263" s="21" t="s">
        <v>2936</v>
      </c>
      <c r="J263" s="22" t="s">
        <v>2970</v>
      </c>
      <c r="K263" s="23" t="s">
        <v>165</v>
      </c>
      <c r="L263" s="24" t="s">
        <v>2971</v>
      </c>
      <c r="M263" s="24" t="s">
        <v>2972</v>
      </c>
      <c r="N263" s="23" t="s">
        <v>2973</v>
      </c>
      <c r="O263" s="24" t="s">
        <v>2974</v>
      </c>
      <c r="P263" s="24" t="s">
        <v>2975</v>
      </c>
      <c r="Q263" s="24" t="s">
        <v>2976</v>
      </c>
      <c r="R263" s="25" t="s">
        <v>2977</v>
      </c>
      <c r="S263" s="24" t="s">
        <v>173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174</v>
      </c>
      <c r="Y263" s="23" t="s">
        <v>174</v>
      </c>
      <c r="Z263" s="23" t="s">
        <v>174</v>
      </c>
      <c r="AA263" s="23" t="s">
        <v>174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  <c r="AE263" s="24" t="str">
        <f aca="false">M263&amp;" | 열왕기상 3장 #"&amp;SUBSTITUTE(안내!$C$5," ","")</f>
        <v>아기를 반으로 나누라는 판결 | 열왕기상 3장 #1분성경</v>
      </c>
      <c r="AF263" s="24" t="s">
        <v>2978</v>
      </c>
      <c r="AG263" s="24" t="s">
        <v>2979</v>
      </c>
      <c r="AH263" s="23" t="s">
        <v>290</v>
      </c>
      <c r="AI263" s="26" t="n">
        <f aca="false">U263-안내!$C$12</f>
        <v>46472</v>
      </c>
      <c r="AJ263" s="23" t="str">
        <f aca="false">IF(U263&lt;IF(C263=1,안내!$C$9,안내!$C$10)+안내!$C$12,"시즌 시작 전 제작","")</f>
        <v/>
      </c>
      <c r="AK263" s="24" t="s">
        <v>2967</v>
      </c>
      <c r="AL263" s="27"/>
      <c r="AM263" s="27"/>
      <c r="AN263" s="27"/>
      <c r="AO263" s="27"/>
      <c r="AP263" s="27"/>
      <c r="AQ263" s="23" t="str">
        <f aca="false">D263&amp;"|"&amp;TEXT(U263,"yyyy-mm-dd")</f>
        <v>구약|2027-04-23</v>
      </c>
      <c r="AR263" s="24" t="s">
        <v>2980</v>
      </c>
      <c r="AS263" s="24"/>
    </row>
    <row r="264" customFormat="false" ht="26.85" hidden="false" customHeight="false" outlineLevel="0" collapsed="false">
      <c r="A264" s="21" t="n">
        <v>263</v>
      </c>
      <c r="B264" s="18" t="s">
        <v>2981</v>
      </c>
      <c r="C264" s="23" t="n">
        <v>2</v>
      </c>
      <c r="D264" s="23" t="s">
        <v>160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2934</v>
      </c>
      <c r="H264" s="18" t="s">
        <v>2935</v>
      </c>
      <c r="I264" s="21" t="s">
        <v>2936</v>
      </c>
      <c r="J264" s="22" t="s">
        <v>2982</v>
      </c>
      <c r="K264" s="23" t="s">
        <v>1370</v>
      </c>
      <c r="L264" s="24" t="s">
        <v>2983</v>
      </c>
      <c r="M264" s="24" t="s">
        <v>2984</v>
      </c>
      <c r="N264" s="23" t="s">
        <v>2985</v>
      </c>
      <c r="O264" s="24" t="s">
        <v>2986</v>
      </c>
      <c r="P264" s="24" t="s">
        <v>2967</v>
      </c>
      <c r="Q264" s="24" t="s">
        <v>2987</v>
      </c>
      <c r="R264" s="24"/>
      <c r="S264" s="24" t="s">
        <v>2988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174</v>
      </c>
      <c r="Y264" s="23" t="s">
        <v>174</v>
      </c>
      <c r="Z264" s="23" t="s">
        <v>174</v>
      </c>
      <c r="AA264" s="23" t="s">
        <v>174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  <c r="AE264" s="24" t="str">
        <f aca="false">M264&amp;" | 열왕기상 4장 #"&amp;SUBSTITUTE(안내!$C$5," ","")</f>
        <v>잠언 3천 개, 노래 1,005편 | 열왕기상 4장 #1분성경</v>
      </c>
      <c r="AF264" s="24" t="s">
        <v>304</v>
      </c>
      <c r="AG264" s="24"/>
      <c r="AH264" s="23" t="s">
        <v>360</v>
      </c>
      <c r="AI264" s="26" t="n">
        <f aca="false">U264-안내!$C$12</f>
        <v>46704</v>
      </c>
      <c r="AJ264" s="23" t="str">
        <f aca="false">IF(U264&lt;IF(C264=1,안내!$C$9,안내!$C$10)+안내!$C$12,"시즌 시작 전 제작","")</f>
        <v/>
      </c>
      <c r="AK264" s="24" t="s">
        <v>2967</v>
      </c>
      <c r="AL264" s="27"/>
      <c r="AM264" s="27"/>
      <c r="AN264" s="27"/>
      <c r="AO264" s="27"/>
      <c r="AP264" s="27"/>
      <c r="AQ264" s="23" t="str">
        <f aca="false">D264&amp;"|"&amp;TEXT(U264,"yyyy-mm-dd")</f>
        <v>구약|2027-12-11</v>
      </c>
      <c r="AR264" s="24" t="s">
        <v>2989</v>
      </c>
      <c r="AS264" s="24"/>
    </row>
    <row r="265" customFormat="false" ht="26.85" hidden="false" customHeight="false" outlineLevel="0" collapsed="false">
      <c r="A265" s="21" t="n">
        <v>264</v>
      </c>
      <c r="B265" s="18" t="s">
        <v>2990</v>
      </c>
      <c r="C265" s="23" t="n">
        <v>2</v>
      </c>
      <c r="D265" s="23" t="s">
        <v>160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2934</v>
      </c>
      <c r="H265" s="18" t="s">
        <v>2935</v>
      </c>
      <c r="I265" s="21" t="s">
        <v>2936</v>
      </c>
      <c r="J265" s="22" t="s">
        <v>2991</v>
      </c>
      <c r="K265" s="23" t="s">
        <v>165</v>
      </c>
      <c r="L265" s="24" t="s">
        <v>2992</v>
      </c>
      <c r="M265" s="24" t="s">
        <v>2993</v>
      </c>
      <c r="N265" s="23" t="s">
        <v>2994</v>
      </c>
      <c r="O265" s="24" t="s">
        <v>2995</v>
      </c>
      <c r="P265" s="24" t="s">
        <v>2996</v>
      </c>
      <c r="Q265" s="24" t="s">
        <v>2997</v>
      </c>
      <c r="R265" s="24"/>
      <c r="S265" s="24" t="s">
        <v>2988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174</v>
      </c>
      <c r="Y265" s="23" t="s">
        <v>174</v>
      </c>
      <c r="Z265" s="23" t="s">
        <v>174</v>
      </c>
      <c r="AA265" s="23" t="s">
        <v>174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  <c r="AE265" s="24" t="str">
        <f aca="false">M265&amp;" | 열왕기상 5~6장 #"&amp;SUBSTITUTE(안내!$C$5," ","")</f>
        <v>망치 소리 하나 없이 지은 성전 | 열왕기상 5~6장 #1분성경</v>
      </c>
      <c r="AF265" s="24" t="s">
        <v>304</v>
      </c>
      <c r="AG265" s="24"/>
      <c r="AH265" s="23" t="s">
        <v>290</v>
      </c>
      <c r="AI265" s="26" t="n">
        <f aca="false">U265-안내!$C$12</f>
        <v>46705</v>
      </c>
      <c r="AJ265" s="23" t="str">
        <f aca="false">IF(U265&lt;IF(C265=1,안내!$C$9,안내!$C$10)+안내!$C$12,"시즌 시작 전 제작","")</f>
        <v/>
      </c>
      <c r="AK265" s="24" t="s">
        <v>2967</v>
      </c>
      <c r="AL265" s="27"/>
      <c r="AM265" s="27"/>
      <c r="AN265" s="27"/>
      <c r="AO265" s="27"/>
      <c r="AP265" s="27"/>
      <c r="AQ265" s="23" t="str">
        <f aca="false">D265&amp;"|"&amp;TEXT(U265,"yyyy-mm-dd")</f>
        <v>구약|2027-12-12</v>
      </c>
      <c r="AR265" s="24" t="s">
        <v>2998</v>
      </c>
      <c r="AS265" s="24"/>
    </row>
    <row r="266" customFormat="false" ht="39.55" hidden="false" customHeight="false" outlineLevel="0" collapsed="false">
      <c r="A266" s="21" t="n">
        <v>265</v>
      </c>
      <c r="B266" s="18" t="s">
        <v>2999</v>
      </c>
      <c r="C266" s="23" t="n">
        <v>2</v>
      </c>
      <c r="D266" s="23" t="s">
        <v>160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2934</v>
      </c>
      <c r="H266" s="18" t="s">
        <v>2935</v>
      </c>
      <c r="I266" s="21" t="s">
        <v>2936</v>
      </c>
      <c r="J266" s="22" t="s">
        <v>3000</v>
      </c>
      <c r="K266" s="23" t="s">
        <v>1370</v>
      </c>
      <c r="L266" s="24" t="s">
        <v>3001</v>
      </c>
      <c r="M266" s="24" t="s">
        <v>3002</v>
      </c>
      <c r="N266" s="23" t="s">
        <v>3003</v>
      </c>
      <c r="O266" s="24" t="s">
        <v>3004</v>
      </c>
      <c r="P266" s="24" t="s">
        <v>3005</v>
      </c>
      <c r="Q266" s="24" t="s">
        <v>3006</v>
      </c>
      <c r="R266" s="24"/>
      <c r="S266" s="24" t="s">
        <v>2988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174</v>
      </c>
      <c r="Y266" s="23" t="s">
        <v>174</v>
      </c>
      <c r="Z266" s="23" t="s">
        <v>174</v>
      </c>
      <c r="AA266" s="23" t="s">
        <v>174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  <c r="AE266" s="24" t="str">
        <f aca="false">M266&amp;" | 열왕기상 7장 #"&amp;SUBSTITUTE(안내!$C$5," ","")</f>
        <v>놋바다와 두 기둥 야긴과 보아스 | 열왕기상 7장 #1분성경</v>
      </c>
      <c r="AF266" s="24" t="s">
        <v>304</v>
      </c>
      <c r="AG266" s="24"/>
      <c r="AH266" s="23" t="s">
        <v>290</v>
      </c>
      <c r="AI266" s="26" t="n">
        <f aca="false">U266-안내!$C$12</f>
        <v>46706</v>
      </c>
      <c r="AJ266" s="23" t="str">
        <f aca="false">IF(U266&lt;IF(C266=1,안내!$C$9,안내!$C$10)+안내!$C$12,"시즌 시작 전 제작","")</f>
        <v/>
      </c>
      <c r="AK266" s="24" t="s">
        <v>2967</v>
      </c>
      <c r="AL266" s="27"/>
      <c r="AM266" s="27"/>
      <c r="AN266" s="27"/>
      <c r="AO266" s="27"/>
      <c r="AP266" s="27"/>
      <c r="AQ266" s="23" t="str">
        <f aca="false">D266&amp;"|"&amp;TEXT(U266,"yyyy-mm-dd")</f>
        <v>구약|2027-12-13</v>
      </c>
      <c r="AR266" s="24" t="s">
        <v>3007</v>
      </c>
      <c r="AS266" s="24"/>
    </row>
    <row r="267" customFormat="false" ht="52.2" hidden="false" customHeight="false" outlineLevel="0" collapsed="false">
      <c r="A267" s="21" t="n">
        <v>266</v>
      </c>
      <c r="B267" s="18" t="s">
        <v>3008</v>
      </c>
      <c r="C267" s="20" t="n">
        <v>1</v>
      </c>
      <c r="D267" s="20" t="s">
        <v>160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2934</v>
      </c>
      <c r="H267" s="18" t="s">
        <v>2814</v>
      </c>
      <c r="I267" s="21" t="s">
        <v>2936</v>
      </c>
      <c r="J267" s="22" t="s">
        <v>3009</v>
      </c>
      <c r="K267" s="23" t="s">
        <v>165</v>
      </c>
      <c r="L267" s="24" t="s">
        <v>3010</v>
      </c>
      <c r="M267" s="24" t="s">
        <v>3011</v>
      </c>
      <c r="N267" s="23" t="s">
        <v>3012</v>
      </c>
      <c r="O267" s="24" t="s">
        <v>3013</v>
      </c>
      <c r="P267" s="24" t="s">
        <v>3014</v>
      </c>
      <c r="Q267" s="24" t="s">
        <v>3015</v>
      </c>
      <c r="R267" s="24"/>
      <c r="S267" s="29" t="s">
        <v>3016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174</v>
      </c>
      <c r="Y267" s="23" t="s">
        <v>174</v>
      </c>
      <c r="Z267" s="23" t="s">
        <v>174</v>
      </c>
      <c r="AA267" s="23" t="s">
        <v>174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  <c r="AE267" s="24" t="str">
        <f aca="false">M267&amp;" | 열왕기상 8장 #"&amp;SUBSTITUTE(안내!$C$5," ","")</f>
        <v>하늘도 주를 담을 수 없다 | 열왕기상 8장 #1분성경</v>
      </c>
      <c r="AF267" s="24" t="s">
        <v>3017</v>
      </c>
      <c r="AG267" s="24" t="s">
        <v>3018</v>
      </c>
      <c r="AH267" s="23" t="s">
        <v>290</v>
      </c>
      <c r="AI267" s="26" t="n">
        <f aca="false">U267-안내!$C$12</f>
        <v>46473</v>
      </c>
      <c r="AJ267" s="23" t="str">
        <f aca="false">IF(U267&lt;IF(C267=1,안내!$C$9,안내!$C$10)+안내!$C$12,"시즌 시작 전 제작","")</f>
        <v/>
      </c>
      <c r="AK267" s="24" t="s">
        <v>2967</v>
      </c>
      <c r="AL267" s="27"/>
      <c r="AM267" s="27"/>
      <c r="AN267" s="27"/>
      <c r="AO267" s="27"/>
      <c r="AP267" s="27"/>
      <c r="AQ267" s="23" t="str">
        <f aca="false">D267&amp;"|"&amp;TEXT(U267,"yyyy-mm-dd")</f>
        <v>구약|2027-04-24</v>
      </c>
      <c r="AR267" s="24" t="s">
        <v>3019</v>
      </c>
      <c r="AS267" s="24"/>
    </row>
    <row r="268" customFormat="false" ht="39.55" hidden="false" customHeight="false" outlineLevel="0" collapsed="false">
      <c r="A268" s="21" t="n">
        <v>267</v>
      </c>
      <c r="B268" s="18" t="s">
        <v>3020</v>
      </c>
      <c r="C268" s="20" t="n">
        <v>1</v>
      </c>
      <c r="D268" s="20" t="s">
        <v>160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2934</v>
      </c>
      <c r="H268" s="18" t="s">
        <v>2814</v>
      </c>
      <c r="I268" s="21" t="s">
        <v>2936</v>
      </c>
      <c r="J268" s="22" t="s">
        <v>3021</v>
      </c>
      <c r="K268" s="23" t="s">
        <v>165</v>
      </c>
      <c r="L268" s="24" t="s">
        <v>3022</v>
      </c>
      <c r="M268" s="24" t="s">
        <v>3023</v>
      </c>
      <c r="N268" s="23" t="s">
        <v>3024</v>
      </c>
      <c r="O268" s="24" t="s">
        <v>3025</v>
      </c>
      <c r="P268" s="24" t="s">
        <v>3026</v>
      </c>
      <c r="Q268" s="24" t="s">
        <v>3027</v>
      </c>
      <c r="R268" s="24"/>
      <c r="S268" s="24" t="s">
        <v>173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174</v>
      </c>
      <c r="Y268" s="23" t="s">
        <v>174</v>
      </c>
      <c r="Z268" s="23" t="s">
        <v>174</v>
      </c>
      <c r="AA268" s="23" t="s">
        <v>174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  <c r="AE268" s="24" t="str">
        <f aca="false">M268&amp;" | 열왕기상 9~10장 #"&amp;SUBSTITUTE(안내!$C$5," ","")</f>
        <v>먼 나라 여왕이 직접 확인하러 왔다 | 열왕기상 9~10장 #1분성경</v>
      </c>
      <c r="AF268" s="24" t="s">
        <v>3028</v>
      </c>
      <c r="AG268" s="24" t="s">
        <v>3029</v>
      </c>
      <c r="AH268" s="23" t="s">
        <v>290</v>
      </c>
      <c r="AI268" s="26" t="n">
        <f aca="false">U268-안내!$C$12</f>
        <v>46474</v>
      </c>
      <c r="AJ268" s="23" t="str">
        <f aca="false">IF(U268&lt;IF(C268=1,안내!$C$9,안내!$C$10)+안내!$C$12,"시즌 시작 전 제작","")</f>
        <v/>
      </c>
      <c r="AK268" s="24" t="s">
        <v>2967</v>
      </c>
      <c r="AL268" s="27"/>
      <c r="AM268" s="27"/>
      <c r="AN268" s="27"/>
      <c r="AO268" s="27"/>
      <c r="AP268" s="27"/>
      <c r="AQ268" s="23" t="str">
        <f aca="false">D268&amp;"|"&amp;TEXT(U268,"yyyy-mm-dd")</f>
        <v>구약|2027-04-25</v>
      </c>
      <c r="AR268" s="24" t="s">
        <v>3030</v>
      </c>
      <c r="AS268" s="24" t="s">
        <v>292</v>
      </c>
    </row>
    <row r="269" customFormat="false" ht="39.55" hidden="false" customHeight="false" outlineLevel="0" collapsed="false">
      <c r="A269" s="21" t="n">
        <v>268</v>
      </c>
      <c r="B269" s="18" t="s">
        <v>3031</v>
      </c>
      <c r="C269" s="20" t="n">
        <v>1</v>
      </c>
      <c r="D269" s="20" t="s">
        <v>160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2934</v>
      </c>
      <c r="H269" s="18" t="s">
        <v>2814</v>
      </c>
      <c r="I269" s="21" t="s">
        <v>2936</v>
      </c>
      <c r="J269" s="22" t="s">
        <v>3032</v>
      </c>
      <c r="K269" s="23" t="s">
        <v>165</v>
      </c>
      <c r="L269" s="24" t="s">
        <v>3033</v>
      </c>
      <c r="M269" s="24" t="s">
        <v>3034</v>
      </c>
      <c r="N269" s="23" t="s">
        <v>3035</v>
      </c>
      <c r="O269" s="24" t="s">
        <v>3036</v>
      </c>
      <c r="P269" s="24" t="s">
        <v>3037</v>
      </c>
      <c r="Q269" s="24" t="s">
        <v>3038</v>
      </c>
      <c r="R269" s="25" t="s">
        <v>3039</v>
      </c>
      <c r="S269" s="24" t="s">
        <v>173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174</v>
      </c>
      <c r="Y269" s="23" t="s">
        <v>174</v>
      </c>
      <c r="Z269" s="23" t="s">
        <v>174</v>
      </c>
      <c r="AA269" s="23" t="s">
        <v>174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  <c r="AE269" s="24" t="str">
        <f aca="false">M269&amp;" | 열왕기상 11장 #"&amp;SUBSTITUTE(안내!$C$5," ","")</f>
        <v>가장 지혜로운 왕이 우상을 섬겼다 | 열왕기상 11장 #1분성경</v>
      </c>
      <c r="AF269" s="24" t="s">
        <v>3040</v>
      </c>
      <c r="AG269" s="24"/>
      <c r="AH269" s="23" t="s">
        <v>290</v>
      </c>
      <c r="AI269" s="26" t="n">
        <f aca="false">U269-안내!$C$12</f>
        <v>46475</v>
      </c>
      <c r="AJ269" s="23" t="str">
        <f aca="false">IF(U269&lt;IF(C269=1,안내!$C$9,안내!$C$10)+안내!$C$12,"시즌 시작 전 제작","")</f>
        <v/>
      </c>
      <c r="AK269" s="24" t="s">
        <v>2967</v>
      </c>
      <c r="AL269" s="27"/>
      <c r="AM269" s="27"/>
      <c r="AN269" s="27"/>
      <c r="AO269" s="27"/>
      <c r="AP269" s="27"/>
      <c r="AQ269" s="23" t="str">
        <f aca="false">D269&amp;"|"&amp;TEXT(U269,"yyyy-mm-dd")</f>
        <v>구약|2027-04-26</v>
      </c>
      <c r="AR269" s="24" t="s">
        <v>3041</v>
      </c>
      <c r="AS269" s="24"/>
    </row>
    <row r="270" customFormat="false" ht="39.55" hidden="false" customHeight="false" outlineLevel="0" collapsed="false">
      <c r="A270" s="21" t="n">
        <v>269</v>
      </c>
      <c r="B270" s="18" t="s">
        <v>3042</v>
      </c>
      <c r="C270" s="20" t="n">
        <v>1</v>
      </c>
      <c r="D270" s="20" t="s">
        <v>160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3043</v>
      </c>
      <c r="H270" s="18" t="s">
        <v>3044</v>
      </c>
      <c r="I270" s="21" t="s">
        <v>2936</v>
      </c>
      <c r="J270" s="22" t="s">
        <v>3045</v>
      </c>
      <c r="K270" s="23" t="s">
        <v>165</v>
      </c>
      <c r="L270" s="24" t="s">
        <v>3046</v>
      </c>
      <c r="M270" s="24" t="s">
        <v>3047</v>
      </c>
      <c r="N270" s="23" t="s">
        <v>3048</v>
      </c>
      <c r="O270" s="24" t="s">
        <v>3049</v>
      </c>
      <c r="P270" s="24" t="s">
        <v>3050</v>
      </c>
      <c r="Q270" s="24" t="s">
        <v>794</v>
      </c>
      <c r="R270" s="24"/>
      <c r="S270" s="24" t="s">
        <v>173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174</v>
      </c>
      <c r="Y270" s="23" t="s">
        <v>174</v>
      </c>
      <c r="Z270" s="23" t="s">
        <v>174</v>
      </c>
      <c r="AA270" s="23" t="s">
        <v>174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  <c r="AE270" s="24" t="str">
        <f aca="false">M270&amp;" | 열왕기상 12장 #"&amp;SUBSTITUTE(안내!$C$5," ","")</f>
        <v>무거운 멍에를 더 무겁게 하겠다 | 열왕기상 12장 #1분성경</v>
      </c>
      <c r="AF270" s="24" t="s">
        <v>3051</v>
      </c>
      <c r="AG270" s="24"/>
      <c r="AH270" s="23" t="s">
        <v>290</v>
      </c>
      <c r="AI270" s="26" t="n">
        <f aca="false">U270-안내!$C$12</f>
        <v>46476</v>
      </c>
      <c r="AJ270" s="23" t="str">
        <f aca="false">IF(U270&lt;IF(C270=1,안내!$C$9,안내!$C$10)+안내!$C$12,"시즌 시작 전 제작","")</f>
        <v/>
      </c>
      <c r="AK270" s="24"/>
      <c r="AL270" s="27"/>
      <c r="AM270" s="27"/>
      <c r="AN270" s="27"/>
      <c r="AO270" s="27"/>
      <c r="AP270" s="27"/>
      <c r="AQ270" s="23" t="str">
        <f aca="false">D270&amp;"|"&amp;TEXT(U270,"yyyy-mm-dd")</f>
        <v>구약|2027-04-27</v>
      </c>
      <c r="AR270" s="24" t="s">
        <v>3052</v>
      </c>
      <c r="AS270" s="24"/>
    </row>
    <row r="271" customFormat="false" ht="39.55" hidden="false" customHeight="false" outlineLevel="0" collapsed="false">
      <c r="A271" s="21" t="n">
        <v>270</v>
      </c>
      <c r="B271" s="18" t="s">
        <v>3053</v>
      </c>
      <c r="C271" s="23" t="n">
        <v>2</v>
      </c>
      <c r="D271" s="23" t="s">
        <v>160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3043</v>
      </c>
      <c r="H271" s="18" t="s">
        <v>2935</v>
      </c>
      <c r="I271" s="21" t="s">
        <v>2936</v>
      </c>
      <c r="J271" s="22" t="s">
        <v>3054</v>
      </c>
      <c r="K271" s="23" t="s">
        <v>165</v>
      </c>
      <c r="L271" s="24" t="s">
        <v>3055</v>
      </c>
      <c r="M271" s="24" t="s">
        <v>3056</v>
      </c>
      <c r="N271" s="23" t="s">
        <v>3057</v>
      </c>
      <c r="O271" s="24" t="s">
        <v>3058</v>
      </c>
      <c r="P271" s="24" t="s">
        <v>3059</v>
      </c>
      <c r="Q271" s="24" t="s">
        <v>805</v>
      </c>
      <c r="R271" s="25" t="s">
        <v>3060</v>
      </c>
      <c r="S271" s="24" t="s">
        <v>3061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174</v>
      </c>
      <c r="Y271" s="23" t="s">
        <v>174</v>
      </c>
      <c r="Z271" s="23" t="s">
        <v>174</v>
      </c>
      <c r="AA271" s="23" t="s">
        <v>174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  <c r="AE271" s="24" t="str">
        <f aca="false">M271&amp;" | 열왕기상 12~13장 #"&amp;SUBSTITUTE(안내!$C$5," ","")</f>
        <v>왕의 손이 말라 버렸다 | 열왕기상 12~13장 #1분성경</v>
      </c>
      <c r="AF271" s="24" t="s">
        <v>304</v>
      </c>
      <c r="AG271" s="24"/>
      <c r="AH271" s="23" t="s">
        <v>290</v>
      </c>
      <c r="AI271" s="26" t="n">
        <f aca="false">U271-안내!$C$12</f>
        <v>46707</v>
      </c>
      <c r="AJ271" s="23" t="str">
        <f aca="false">IF(U271&lt;IF(C271=1,안내!$C$9,안내!$C$10)+안내!$C$12,"시즌 시작 전 제작","")</f>
        <v/>
      </c>
      <c r="AK271" s="24"/>
      <c r="AL271" s="27"/>
      <c r="AM271" s="27"/>
      <c r="AN271" s="27"/>
      <c r="AO271" s="27"/>
      <c r="AP271" s="27"/>
      <c r="AQ271" s="23" t="str">
        <f aca="false">D271&amp;"|"&amp;TEXT(U271,"yyyy-mm-dd")</f>
        <v>구약|2027-12-14</v>
      </c>
      <c r="AR271" s="24" t="s">
        <v>3062</v>
      </c>
      <c r="AS271" s="24"/>
    </row>
    <row r="272" customFormat="false" ht="39.55" hidden="false" customHeight="false" outlineLevel="0" collapsed="false">
      <c r="A272" s="21" t="n">
        <v>271</v>
      </c>
      <c r="B272" s="18" t="s">
        <v>3063</v>
      </c>
      <c r="C272" s="23" t="n">
        <v>2</v>
      </c>
      <c r="D272" s="23" t="s">
        <v>160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3043</v>
      </c>
      <c r="H272" s="18" t="s">
        <v>2935</v>
      </c>
      <c r="I272" s="21" t="s">
        <v>2936</v>
      </c>
      <c r="J272" s="22" t="s">
        <v>3064</v>
      </c>
      <c r="K272" s="23" t="s">
        <v>165</v>
      </c>
      <c r="L272" s="24" t="s">
        <v>3065</v>
      </c>
      <c r="M272" s="24" t="s">
        <v>3066</v>
      </c>
      <c r="N272" s="23" t="s">
        <v>3067</v>
      </c>
      <c r="O272" s="24" t="s">
        <v>3068</v>
      </c>
      <c r="P272" s="24" t="s">
        <v>3069</v>
      </c>
      <c r="Q272" s="24" t="s">
        <v>3070</v>
      </c>
      <c r="R272" s="24"/>
      <c r="S272" s="24" t="s">
        <v>3061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174</v>
      </c>
      <c r="Y272" s="23" t="s">
        <v>174</v>
      </c>
      <c r="Z272" s="23" t="s">
        <v>174</v>
      </c>
      <c r="AA272" s="23" t="s">
        <v>174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  <c r="AE272" s="24" t="str">
        <f aca="false">M272&amp;" | 열왕기상 14장 #"&amp;SUBSTITUTE(안내!$C$5," ","")</f>
        <v>변장하고 선지자를 찾아간 왕비 | 열왕기상 14장 #1분성경</v>
      </c>
      <c r="AF272" s="24" t="s">
        <v>304</v>
      </c>
      <c r="AG272" s="24"/>
      <c r="AH272" s="23" t="s">
        <v>290</v>
      </c>
      <c r="AI272" s="26" t="n">
        <f aca="false">U272-안내!$C$12</f>
        <v>46708</v>
      </c>
      <c r="AJ272" s="23" t="str">
        <f aca="false">IF(U272&lt;IF(C272=1,안내!$C$9,안내!$C$10)+안내!$C$12,"시즌 시작 전 제작","")</f>
        <v/>
      </c>
      <c r="AK272" s="24"/>
      <c r="AL272" s="27"/>
      <c r="AM272" s="27"/>
      <c r="AN272" s="27"/>
      <c r="AO272" s="27"/>
      <c r="AP272" s="27"/>
      <c r="AQ272" s="23" t="str">
        <f aca="false">D272&amp;"|"&amp;TEXT(U272,"yyyy-mm-dd")</f>
        <v>구약|2027-12-15</v>
      </c>
      <c r="AR272" s="24" t="s">
        <v>3071</v>
      </c>
      <c r="AS272" s="24"/>
    </row>
    <row r="273" customFormat="false" ht="26.85" hidden="false" customHeight="false" outlineLevel="0" collapsed="false">
      <c r="A273" s="21" t="n">
        <v>272</v>
      </c>
      <c r="B273" s="18" t="s">
        <v>3072</v>
      </c>
      <c r="C273" s="23" t="n">
        <v>2</v>
      </c>
      <c r="D273" s="23" t="s">
        <v>160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3043</v>
      </c>
      <c r="H273" s="18" t="s">
        <v>2935</v>
      </c>
      <c r="I273" s="21" t="s">
        <v>2936</v>
      </c>
      <c r="J273" s="22" t="s">
        <v>3073</v>
      </c>
      <c r="K273" s="23" t="s">
        <v>1370</v>
      </c>
      <c r="L273" s="24" t="s">
        <v>3074</v>
      </c>
      <c r="M273" s="24" t="s">
        <v>3075</v>
      </c>
      <c r="N273" s="23" t="s">
        <v>3076</v>
      </c>
      <c r="O273" s="24" t="s">
        <v>3077</v>
      </c>
      <c r="P273" s="24" t="s">
        <v>3078</v>
      </c>
      <c r="Q273" s="24" t="s">
        <v>3079</v>
      </c>
      <c r="R273" s="24"/>
      <c r="S273" s="24" t="s">
        <v>3061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174</v>
      </c>
      <c r="Y273" s="23" t="s">
        <v>174</v>
      </c>
      <c r="Z273" s="23" t="s">
        <v>174</v>
      </c>
      <c r="AA273" s="23" t="s">
        <v>174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  <c r="AE273" s="24" t="str">
        <f aca="false">M273&amp;" | 열왕기상 15~16장 #"&amp;SUBSTITUTE(안내!$C$5," ","")</f>
        <v>좋은 왕과 나쁜 왕은 무엇이 달랐을까? | 열왕기상 15~16장 #1분성경</v>
      </c>
      <c r="AF273" s="24" t="s">
        <v>304</v>
      </c>
      <c r="AG273" s="24"/>
      <c r="AH273" s="23" t="s">
        <v>176</v>
      </c>
      <c r="AI273" s="26" t="n">
        <f aca="false">U273-안내!$C$12</f>
        <v>46709</v>
      </c>
      <c r="AJ273" s="23" t="str">
        <f aca="false">IF(U273&lt;IF(C273=1,안내!$C$9,안내!$C$10)+안내!$C$12,"시즌 시작 전 제작","")</f>
        <v/>
      </c>
      <c r="AK273" s="24"/>
      <c r="AL273" s="27"/>
      <c r="AM273" s="27"/>
      <c r="AN273" s="27"/>
      <c r="AO273" s="27"/>
      <c r="AP273" s="27"/>
      <c r="AQ273" s="23" t="str">
        <f aca="false">D273&amp;"|"&amp;TEXT(U273,"yyyy-mm-dd")</f>
        <v>구약|2027-12-16</v>
      </c>
      <c r="AR273" s="24" t="s">
        <v>3080</v>
      </c>
      <c r="AS273" s="24"/>
    </row>
    <row r="274" customFormat="false" ht="52.2" hidden="false" customHeight="false" outlineLevel="0" collapsed="false">
      <c r="A274" s="21" t="n">
        <v>273</v>
      </c>
      <c r="B274" s="18" t="s">
        <v>3081</v>
      </c>
      <c r="C274" s="20" t="n">
        <v>1</v>
      </c>
      <c r="D274" s="20" t="s">
        <v>160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3043</v>
      </c>
      <c r="H274" s="18" t="s">
        <v>3044</v>
      </c>
      <c r="I274" s="21" t="s">
        <v>2936</v>
      </c>
      <c r="J274" s="22" t="s">
        <v>3082</v>
      </c>
      <c r="K274" s="23" t="s">
        <v>165</v>
      </c>
      <c r="L274" s="24" t="s">
        <v>3083</v>
      </c>
      <c r="M274" s="24" t="s">
        <v>3084</v>
      </c>
      <c r="N274" s="23" t="s">
        <v>3085</v>
      </c>
      <c r="O274" s="24" t="s">
        <v>3086</v>
      </c>
      <c r="P274" s="24" t="s">
        <v>3087</v>
      </c>
      <c r="Q274" s="24" t="s">
        <v>3088</v>
      </c>
      <c r="R274" s="24"/>
      <c r="S274" s="29" t="s">
        <v>3089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174</v>
      </c>
      <c r="Y274" s="23" t="s">
        <v>174</v>
      </c>
      <c r="Z274" s="23" t="s">
        <v>174</v>
      </c>
      <c r="AA274" s="23" t="s">
        <v>174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  <c r="AE274" s="24" t="str">
        <f aca="false">M274&amp;" | 열왕기상 17장 #"&amp;SUBSTITUTE(안내!$C$5," ","")</f>
        <v>까마귀가 아침저녁으로 빵과 고기를 | 열왕기상 17장 #1분성경</v>
      </c>
      <c r="AF274" s="24" t="s">
        <v>3090</v>
      </c>
      <c r="AG274" s="24" t="s">
        <v>3091</v>
      </c>
      <c r="AH274" s="23" t="s">
        <v>290</v>
      </c>
      <c r="AI274" s="26" t="n">
        <f aca="false">U274-안내!$C$12</f>
        <v>46477</v>
      </c>
      <c r="AJ274" s="23" t="str">
        <f aca="false">IF(U274&lt;IF(C274=1,안내!$C$9,안내!$C$10)+안내!$C$12,"시즌 시작 전 제작","")</f>
        <v/>
      </c>
      <c r="AK274" s="24" t="s">
        <v>3092</v>
      </c>
      <c r="AL274" s="27"/>
      <c r="AM274" s="27"/>
      <c r="AN274" s="27"/>
      <c r="AO274" s="27"/>
      <c r="AP274" s="27"/>
      <c r="AQ274" s="23" t="str">
        <f aca="false">D274&amp;"|"&amp;TEXT(U274,"yyyy-mm-dd")</f>
        <v>구약|2027-04-28</v>
      </c>
      <c r="AR274" s="24" t="s">
        <v>3093</v>
      </c>
      <c r="AS274" s="24"/>
    </row>
    <row r="275" customFormat="false" ht="26.85" hidden="false" customHeight="false" outlineLevel="0" collapsed="false">
      <c r="A275" s="21" t="n">
        <v>274</v>
      </c>
      <c r="B275" s="18" t="s">
        <v>3094</v>
      </c>
      <c r="C275" s="20" t="n">
        <v>1</v>
      </c>
      <c r="D275" s="20" t="s">
        <v>160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3043</v>
      </c>
      <c r="H275" s="18" t="s">
        <v>3044</v>
      </c>
      <c r="I275" s="21" t="s">
        <v>2936</v>
      </c>
      <c r="J275" s="22" t="s">
        <v>3095</v>
      </c>
      <c r="K275" s="23" t="s">
        <v>165</v>
      </c>
      <c r="L275" s="24" t="s">
        <v>3096</v>
      </c>
      <c r="M275" s="24" t="s">
        <v>3097</v>
      </c>
      <c r="N275" s="23" t="s">
        <v>3098</v>
      </c>
      <c r="O275" s="24" t="s">
        <v>3099</v>
      </c>
      <c r="P275" s="24" t="s">
        <v>3100</v>
      </c>
      <c r="Q275" s="24" t="s">
        <v>3101</v>
      </c>
      <c r="R275" s="24"/>
      <c r="S275" s="24" t="s">
        <v>173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174</v>
      </c>
      <c r="Y275" s="23" t="s">
        <v>174</v>
      </c>
      <c r="Z275" s="23" t="s">
        <v>174</v>
      </c>
      <c r="AA275" s="23" t="s">
        <v>174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  <c r="AE275" s="24" t="str">
        <f aca="false">M275&amp;" | 열왕기상 17장 #"&amp;SUBSTITUTE(안내!$C$5," ","")</f>
        <v>떨어지지 않는 통의 가루 | 열왕기상 17장 #1분성경</v>
      </c>
      <c r="AF275" s="24" t="s">
        <v>3102</v>
      </c>
      <c r="AG275" s="24" t="s">
        <v>3103</v>
      </c>
      <c r="AH275" s="23" t="s">
        <v>290</v>
      </c>
      <c r="AI275" s="26" t="n">
        <f aca="false">U275-안내!$C$12</f>
        <v>46478</v>
      </c>
      <c r="AJ275" s="23" t="str">
        <f aca="false">IF(U275&lt;IF(C275=1,안내!$C$9,안내!$C$10)+안내!$C$12,"시즌 시작 전 제작","")</f>
        <v/>
      </c>
      <c r="AK275" s="24" t="s">
        <v>3092</v>
      </c>
      <c r="AL275" s="27"/>
      <c r="AM275" s="27"/>
      <c r="AN275" s="27"/>
      <c r="AO275" s="27"/>
      <c r="AP275" s="27"/>
      <c r="AQ275" s="23" t="str">
        <f aca="false">D275&amp;"|"&amp;TEXT(U275,"yyyy-mm-dd")</f>
        <v>구약|2027-04-29</v>
      </c>
      <c r="AR275" s="24" t="s">
        <v>3104</v>
      </c>
      <c r="AS275" s="24"/>
    </row>
    <row r="276" customFormat="false" ht="52.2" hidden="false" customHeight="false" outlineLevel="0" collapsed="false">
      <c r="A276" s="21" t="n">
        <v>275</v>
      </c>
      <c r="B276" s="18" t="s">
        <v>3105</v>
      </c>
      <c r="C276" s="20" t="n">
        <v>1</v>
      </c>
      <c r="D276" s="20" t="s">
        <v>160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3043</v>
      </c>
      <c r="H276" s="18" t="s">
        <v>3044</v>
      </c>
      <c r="I276" s="21" t="s">
        <v>2936</v>
      </c>
      <c r="J276" s="22" t="s">
        <v>3106</v>
      </c>
      <c r="K276" s="23" t="s">
        <v>165</v>
      </c>
      <c r="L276" s="24" t="s">
        <v>3107</v>
      </c>
      <c r="M276" s="30" t="s">
        <v>3108</v>
      </c>
      <c r="N276" s="23" t="s">
        <v>3109</v>
      </c>
      <c r="O276" s="24" t="s">
        <v>3110</v>
      </c>
      <c r="P276" s="24" t="s">
        <v>3111</v>
      </c>
      <c r="Q276" s="24" t="s">
        <v>3112</v>
      </c>
      <c r="R276" s="24"/>
      <c r="S276" s="24" t="s">
        <v>173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174</v>
      </c>
      <c r="Y276" s="23" t="s">
        <v>174</v>
      </c>
      <c r="Z276" s="23" t="s">
        <v>174</v>
      </c>
      <c r="AA276" s="23" t="s">
        <v>174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  <c r="AE276" s="24" t="str">
        <f aca="false">M276&amp;" | 열왕기상 18장 #"&amp;SUBSTITUTE(안내!$C$5," ","")</f>
        <v>450 대 1의 대결 | 열왕기상 18장 #1분성경</v>
      </c>
      <c r="AF276" s="24" t="s">
        <v>3113</v>
      </c>
      <c r="AG276" s="24" t="s">
        <v>3114</v>
      </c>
      <c r="AH276" s="23" t="s">
        <v>360</v>
      </c>
      <c r="AI276" s="26" t="n">
        <f aca="false">U276-안내!$C$12</f>
        <v>46479</v>
      </c>
      <c r="AJ276" s="23" t="str">
        <f aca="false">IF(U276&lt;IF(C276=1,안내!$C$9,안내!$C$10)+안내!$C$12,"시즌 시작 전 제작","")</f>
        <v/>
      </c>
      <c r="AK276" s="24" t="s">
        <v>3092</v>
      </c>
      <c r="AL276" s="27"/>
      <c r="AM276" s="27"/>
      <c r="AN276" s="27"/>
      <c r="AO276" s="27"/>
      <c r="AP276" s="27"/>
      <c r="AQ276" s="23" t="str">
        <f aca="false">D276&amp;"|"&amp;TEXT(U276,"yyyy-mm-dd")</f>
        <v>구약|2027-04-30</v>
      </c>
      <c r="AR276" s="24" t="s">
        <v>3115</v>
      </c>
      <c r="AS276" s="24"/>
    </row>
    <row r="277" customFormat="false" ht="26.85" hidden="false" customHeight="false" outlineLevel="0" collapsed="false">
      <c r="A277" s="21" t="n">
        <v>276</v>
      </c>
      <c r="B277" s="18" t="s">
        <v>3116</v>
      </c>
      <c r="C277" s="20" t="n">
        <v>1</v>
      </c>
      <c r="D277" s="20" t="s">
        <v>160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3043</v>
      </c>
      <c r="H277" s="18" t="s">
        <v>3044</v>
      </c>
      <c r="I277" s="21" t="s">
        <v>2936</v>
      </c>
      <c r="J277" s="22" t="s">
        <v>3117</v>
      </c>
      <c r="K277" s="23" t="s">
        <v>165</v>
      </c>
      <c r="L277" s="24" t="s">
        <v>3118</v>
      </c>
      <c r="M277" s="24" t="s">
        <v>3119</v>
      </c>
      <c r="N277" s="23" t="s">
        <v>3120</v>
      </c>
      <c r="O277" s="24" t="s">
        <v>3121</v>
      </c>
      <c r="P277" s="24" t="s">
        <v>3122</v>
      </c>
      <c r="Q277" s="24" t="s">
        <v>3123</v>
      </c>
      <c r="R277" s="25" t="s">
        <v>3124</v>
      </c>
      <c r="S277" s="24" t="s">
        <v>173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174</v>
      </c>
      <c r="Y277" s="23" t="s">
        <v>174</v>
      </c>
      <c r="Z277" s="23" t="s">
        <v>174</v>
      </c>
      <c r="AA277" s="23" t="s">
        <v>174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  <c r="AE277" s="24" t="str">
        <f aca="false">M277&amp;" | 열왕기상 18장 #"&amp;SUBSTITUTE(안내!$C$5," ","")</f>
        <v>물을 세 번이나 부었는데 불이 붙었다 | 열왕기상 18장 #1분성경</v>
      </c>
      <c r="AF277" s="24" t="s">
        <v>3125</v>
      </c>
      <c r="AG277" s="24"/>
      <c r="AH277" s="23" t="s">
        <v>290</v>
      </c>
      <c r="AI277" s="26" t="n">
        <f aca="false">U277-안내!$C$12</f>
        <v>46480</v>
      </c>
      <c r="AJ277" s="23" t="str">
        <f aca="false">IF(U277&lt;IF(C277=1,안내!$C$9,안내!$C$10)+안내!$C$12,"시즌 시작 전 제작","")</f>
        <v/>
      </c>
      <c r="AK277" s="24" t="s">
        <v>3092</v>
      </c>
      <c r="AL277" s="27"/>
      <c r="AM277" s="27"/>
      <c r="AN277" s="27"/>
      <c r="AO277" s="27"/>
      <c r="AP277" s="27"/>
      <c r="AQ277" s="23" t="str">
        <f aca="false">D277&amp;"|"&amp;TEXT(U277,"yyyy-mm-dd")</f>
        <v>구약|2027-05-01</v>
      </c>
      <c r="AR277" s="24" t="s">
        <v>3126</v>
      </c>
      <c r="AS277" s="24"/>
    </row>
    <row r="278" customFormat="false" ht="26.85" hidden="false" customHeight="false" outlineLevel="0" collapsed="false">
      <c r="A278" s="21" t="n">
        <v>277</v>
      </c>
      <c r="B278" s="18" t="s">
        <v>3127</v>
      </c>
      <c r="C278" s="20" t="n">
        <v>1</v>
      </c>
      <c r="D278" s="20" t="s">
        <v>160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3128</v>
      </c>
      <c r="H278" s="18" t="s">
        <v>3044</v>
      </c>
      <c r="I278" s="21" t="s">
        <v>2936</v>
      </c>
      <c r="J278" s="22" t="s">
        <v>3129</v>
      </c>
      <c r="K278" s="23" t="s">
        <v>165</v>
      </c>
      <c r="L278" s="24" t="s">
        <v>3130</v>
      </c>
      <c r="M278" s="24" t="s">
        <v>3131</v>
      </c>
      <c r="N278" s="23" t="s">
        <v>3132</v>
      </c>
      <c r="O278" s="24" t="s">
        <v>3133</v>
      </c>
      <c r="P278" s="24" t="s">
        <v>3134</v>
      </c>
      <c r="Q278" s="24" t="s">
        <v>3135</v>
      </c>
      <c r="R278" s="25" t="s">
        <v>3136</v>
      </c>
      <c r="S278" s="24" t="s">
        <v>173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174</v>
      </c>
      <c r="Y278" s="23" t="s">
        <v>174</v>
      </c>
      <c r="Z278" s="23" t="s">
        <v>174</v>
      </c>
      <c r="AA278" s="23" t="s">
        <v>174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  <c r="AE278" s="24" t="str">
        <f aca="false">M278&amp;" | 열왕기상 18~19장 #"&amp;SUBSTITUTE(안내!$C$5," ","")</f>
        <v>큰 승리 직후 죽고 싶다고 한 선지자 | 열왕기상 18~19장 #1분성경</v>
      </c>
      <c r="AF278" s="24" t="s">
        <v>3137</v>
      </c>
      <c r="AG278" s="24" t="s">
        <v>3138</v>
      </c>
      <c r="AH278" s="23" t="s">
        <v>290</v>
      </c>
      <c r="AI278" s="26" t="n">
        <f aca="false">U278-안내!$C$12</f>
        <v>46481</v>
      </c>
      <c r="AJ278" s="23" t="str">
        <f aca="false">IF(U278&lt;IF(C278=1,안내!$C$9,안내!$C$10)+안내!$C$12,"시즌 시작 전 제작","")</f>
        <v/>
      </c>
      <c r="AK278" s="24" t="s">
        <v>3092</v>
      </c>
      <c r="AL278" s="27"/>
      <c r="AM278" s="27"/>
      <c r="AN278" s="27"/>
      <c r="AO278" s="27"/>
      <c r="AP278" s="27"/>
      <c r="AQ278" s="23" t="str">
        <f aca="false">D278&amp;"|"&amp;TEXT(U278,"yyyy-mm-dd")</f>
        <v>구약|2027-05-02</v>
      </c>
      <c r="AR278" s="24" t="s">
        <v>3139</v>
      </c>
      <c r="AS278" s="24"/>
    </row>
    <row r="279" customFormat="false" ht="26.85" hidden="false" customHeight="false" outlineLevel="0" collapsed="false">
      <c r="A279" s="21" t="n">
        <v>278</v>
      </c>
      <c r="B279" s="18" t="s">
        <v>3140</v>
      </c>
      <c r="C279" s="20" t="n">
        <v>1</v>
      </c>
      <c r="D279" s="20" t="s">
        <v>160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3128</v>
      </c>
      <c r="H279" s="18" t="s">
        <v>3044</v>
      </c>
      <c r="I279" s="21" t="s">
        <v>2936</v>
      </c>
      <c r="J279" s="22" t="s">
        <v>3141</v>
      </c>
      <c r="K279" s="23" t="s">
        <v>165</v>
      </c>
      <c r="L279" s="24" t="s">
        <v>3142</v>
      </c>
      <c r="M279" s="24" t="s">
        <v>3143</v>
      </c>
      <c r="N279" s="23" t="s">
        <v>3144</v>
      </c>
      <c r="O279" s="24" t="s">
        <v>3145</v>
      </c>
      <c r="P279" s="24" t="s">
        <v>3146</v>
      </c>
      <c r="Q279" s="24" t="s">
        <v>3147</v>
      </c>
      <c r="R279" s="24"/>
      <c r="S279" s="24" t="s">
        <v>173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174</v>
      </c>
      <c r="Y279" s="23" t="s">
        <v>174</v>
      </c>
      <c r="Z279" s="23" t="s">
        <v>174</v>
      </c>
      <c r="AA279" s="23" t="s">
        <v>174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  <c r="AE279" s="24" t="str">
        <f aca="false">M279&amp;" | 열왕기상 19장 #"&amp;SUBSTITUTE(안내!$C$5," ","")</f>
        <v>바람도 지진도 불도 아니었다 | 열왕기상 19장 #1분성경</v>
      </c>
      <c r="AF279" s="24" t="s">
        <v>3148</v>
      </c>
      <c r="AG279" s="24" t="s">
        <v>3149</v>
      </c>
      <c r="AH279" s="23" t="s">
        <v>290</v>
      </c>
      <c r="AI279" s="26" t="n">
        <f aca="false">U279-안내!$C$12</f>
        <v>46482</v>
      </c>
      <c r="AJ279" s="23" t="str">
        <f aca="false">IF(U279&lt;IF(C279=1,안내!$C$9,안내!$C$10)+안내!$C$12,"시즌 시작 전 제작","")</f>
        <v/>
      </c>
      <c r="AK279" s="24" t="s">
        <v>3150</v>
      </c>
      <c r="AL279" s="27"/>
      <c r="AM279" s="27"/>
      <c r="AN279" s="27"/>
      <c r="AO279" s="27"/>
      <c r="AP279" s="27"/>
      <c r="AQ279" s="23" t="str">
        <f aca="false">D279&amp;"|"&amp;TEXT(U279,"yyyy-mm-dd")</f>
        <v>구약|2027-05-03</v>
      </c>
      <c r="AR279" s="24" t="s">
        <v>3151</v>
      </c>
      <c r="AS279" s="24"/>
    </row>
    <row r="280" customFormat="false" ht="52.2" hidden="false" customHeight="false" outlineLevel="0" collapsed="false">
      <c r="A280" s="21" t="n">
        <v>279</v>
      </c>
      <c r="B280" s="18" t="s">
        <v>3152</v>
      </c>
      <c r="C280" s="23" t="n">
        <v>2</v>
      </c>
      <c r="D280" s="23" t="s">
        <v>160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3128</v>
      </c>
      <c r="H280" s="18" t="s">
        <v>3153</v>
      </c>
      <c r="I280" s="21" t="s">
        <v>2936</v>
      </c>
      <c r="J280" s="22" t="s">
        <v>3154</v>
      </c>
      <c r="K280" s="23" t="s">
        <v>165</v>
      </c>
      <c r="L280" s="24" t="s">
        <v>3155</v>
      </c>
      <c r="M280" s="24" t="s">
        <v>3156</v>
      </c>
      <c r="N280" s="23" t="s">
        <v>3157</v>
      </c>
      <c r="O280" s="24" t="s">
        <v>3158</v>
      </c>
      <c r="P280" s="24" t="s">
        <v>3159</v>
      </c>
      <c r="Q280" s="24" t="s">
        <v>3160</v>
      </c>
      <c r="R280" s="24"/>
      <c r="S280" s="24" t="s">
        <v>3161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174</v>
      </c>
      <c r="Y280" s="23" t="s">
        <v>174</v>
      </c>
      <c r="Z280" s="23" t="s">
        <v>174</v>
      </c>
      <c r="AA280" s="23" t="s">
        <v>174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  <c r="AE280" s="24" t="str">
        <f aca="false">M280&amp;" | 열왕기상 20장 #"&amp;SUBSTITUTE(안내!$C$5," ","")</f>
        <v>아람 왕의 큰 착각 | 열왕기상 20장 #1분성경</v>
      </c>
      <c r="AF280" s="24" t="s">
        <v>304</v>
      </c>
      <c r="AG280" s="24" t="s">
        <v>3162</v>
      </c>
      <c r="AH280" s="23" t="s">
        <v>290</v>
      </c>
      <c r="AI280" s="26" t="n">
        <f aca="false">U280-안내!$C$12</f>
        <v>46710</v>
      </c>
      <c r="AJ280" s="23" t="str">
        <f aca="false">IF(U280&lt;IF(C280=1,안내!$C$9,안내!$C$10)+안내!$C$12,"시즌 시작 전 제작","")</f>
        <v/>
      </c>
      <c r="AK280" s="24"/>
      <c r="AL280" s="27"/>
      <c r="AM280" s="27"/>
      <c r="AN280" s="27"/>
      <c r="AO280" s="27"/>
      <c r="AP280" s="27"/>
      <c r="AQ280" s="23" t="str">
        <f aca="false">D280&amp;"|"&amp;TEXT(U280,"yyyy-mm-dd")</f>
        <v>구약|2027-12-17</v>
      </c>
      <c r="AR280" s="24" t="s">
        <v>3163</v>
      </c>
      <c r="AS280" s="24"/>
    </row>
    <row r="281" customFormat="false" ht="39.55" hidden="false" customHeight="false" outlineLevel="0" collapsed="false">
      <c r="A281" s="21" t="n">
        <v>280</v>
      </c>
      <c r="B281" s="18" t="s">
        <v>3164</v>
      </c>
      <c r="C281" s="23" t="n">
        <v>2</v>
      </c>
      <c r="D281" s="23" t="s">
        <v>160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3128</v>
      </c>
      <c r="H281" s="18" t="s">
        <v>3153</v>
      </c>
      <c r="I281" s="21" t="s">
        <v>2936</v>
      </c>
      <c r="J281" s="22" t="s">
        <v>3165</v>
      </c>
      <c r="K281" s="23" t="s">
        <v>165</v>
      </c>
      <c r="L281" s="24" t="s">
        <v>3166</v>
      </c>
      <c r="M281" s="24" t="s">
        <v>3167</v>
      </c>
      <c r="N281" s="23" t="s">
        <v>3168</v>
      </c>
      <c r="O281" s="24" t="s">
        <v>3169</v>
      </c>
      <c r="P281" s="24" t="s">
        <v>3170</v>
      </c>
      <c r="Q281" s="24" t="s">
        <v>3171</v>
      </c>
      <c r="R281" s="25" t="s">
        <v>885</v>
      </c>
      <c r="S281" s="24" t="s">
        <v>3161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174</v>
      </c>
      <c r="Y281" s="23" t="s">
        <v>174</v>
      </c>
      <c r="Z281" s="23" t="s">
        <v>174</v>
      </c>
      <c r="AA281" s="23" t="s">
        <v>174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  <c r="AE281" s="24" t="str">
        <f aca="false">M281&amp;" | 열왕기상 21장 #"&amp;SUBSTITUTE(안내!$C$5," ","")</f>
        <v>포도원 하나 때문에 사람을 죽였다 | 열왕기상 21장 #1분성경</v>
      </c>
      <c r="AF281" s="24" t="s">
        <v>304</v>
      </c>
      <c r="AG281" s="24" t="s">
        <v>3172</v>
      </c>
      <c r="AH281" s="23" t="s">
        <v>290</v>
      </c>
      <c r="AI281" s="26" t="n">
        <f aca="false">U281-안내!$C$12</f>
        <v>46711</v>
      </c>
      <c r="AJ281" s="23" t="str">
        <f aca="false">IF(U281&lt;IF(C281=1,안내!$C$9,안내!$C$10)+안내!$C$12,"시즌 시작 전 제작","")</f>
        <v/>
      </c>
      <c r="AK281" s="24" t="s">
        <v>3092</v>
      </c>
      <c r="AL281" s="27"/>
      <c r="AM281" s="27"/>
      <c r="AN281" s="27"/>
      <c r="AO281" s="27"/>
      <c r="AP281" s="27"/>
      <c r="AQ281" s="23" t="str">
        <f aca="false">D281&amp;"|"&amp;TEXT(U281,"yyyy-mm-dd")</f>
        <v>구약|2027-12-18</v>
      </c>
      <c r="AR281" s="24" t="s">
        <v>3173</v>
      </c>
      <c r="AS281" s="24"/>
    </row>
    <row r="282" customFormat="false" ht="26.85" hidden="false" customHeight="false" outlineLevel="0" collapsed="false">
      <c r="A282" s="21" t="n">
        <v>281</v>
      </c>
      <c r="B282" s="18" t="s">
        <v>3174</v>
      </c>
      <c r="C282" s="23" t="n">
        <v>2</v>
      </c>
      <c r="D282" s="23" t="s">
        <v>160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3128</v>
      </c>
      <c r="H282" s="18" t="s">
        <v>3153</v>
      </c>
      <c r="I282" s="21" t="s">
        <v>2936</v>
      </c>
      <c r="J282" s="22" t="s">
        <v>3175</v>
      </c>
      <c r="K282" s="23" t="s">
        <v>165</v>
      </c>
      <c r="L282" s="30" t="s">
        <v>3176</v>
      </c>
      <c r="M282" s="24" t="s">
        <v>3177</v>
      </c>
      <c r="N282" s="23" t="s">
        <v>3178</v>
      </c>
      <c r="O282" s="24" t="s">
        <v>3179</v>
      </c>
      <c r="P282" s="24" t="s">
        <v>3180</v>
      </c>
      <c r="Q282" s="24" t="s">
        <v>3181</v>
      </c>
      <c r="R282" s="25" t="s">
        <v>3182</v>
      </c>
      <c r="S282" s="24" t="s">
        <v>3161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174</v>
      </c>
      <c r="Y282" s="23" t="s">
        <v>174</v>
      </c>
      <c r="Z282" s="23" t="s">
        <v>174</v>
      </c>
      <c r="AA282" s="23" t="s">
        <v>174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  <c r="AE282" s="24" t="str">
        <f aca="false">M282&amp;" | 열왕기상 22장 #"&amp;SUBSTITUTE(안내!$C$5," ","")</f>
        <v>모든 선지자가 '이긴다'고 할 때 한 사람만 | 열왕기상 22장 #1분성경</v>
      </c>
      <c r="AF282" s="24" t="s">
        <v>304</v>
      </c>
      <c r="AG282" s="24"/>
      <c r="AH282" s="23" t="s">
        <v>290</v>
      </c>
      <c r="AI282" s="26" t="n">
        <f aca="false">U282-안내!$C$12</f>
        <v>46712</v>
      </c>
      <c r="AJ282" s="23" t="str">
        <f aca="false">IF(U282&lt;IF(C282=1,안내!$C$9,안내!$C$10)+안내!$C$12,"시즌 시작 전 제작","")</f>
        <v/>
      </c>
      <c r="AK282" s="24"/>
      <c r="AL282" s="27"/>
      <c r="AM282" s="27"/>
      <c r="AN282" s="27"/>
      <c r="AO282" s="27"/>
      <c r="AP282" s="27"/>
      <c r="AQ282" s="23" t="str">
        <f aca="false">D282&amp;"|"&amp;TEXT(U282,"yyyy-mm-dd")</f>
        <v>구약|2027-12-19</v>
      </c>
      <c r="AR282" s="24" t="s">
        <v>3183</v>
      </c>
      <c r="AS282" s="24"/>
    </row>
    <row r="283" customFormat="false" ht="39.55" hidden="false" customHeight="false" outlineLevel="0" collapsed="false">
      <c r="A283" s="21" t="n">
        <v>282</v>
      </c>
      <c r="B283" s="18" t="s">
        <v>3184</v>
      </c>
      <c r="C283" s="23" t="n">
        <v>2</v>
      </c>
      <c r="D283" s="23" t="s">
        <v>160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3128</v>
      </c>
      <c r="H283" s="18" t="s">
        <v>3153</v>
      </c>
      <c r="I283" s="21" t="s">
        <v>3185</v>
      </c>
      <c r="J283" s="22" t="s">
        <v>3186</v>
      </c>
      <c r="K283" s="23" t="s">
        <v>165</v>
      </c>
      <c r="L283" s="24" t="s">
        <v>3187</v>
      </c>
      <c r="M283" s="24" t="s">
        <v>3188</v>
      </c>
      <c r="N283" s="23" t="s">
        <v>3189</v>
      </c>
      <c r="O283" s="24" t="s">
        <v>3190</v>
      </c>
      <c r="P283" s="24" t="s">
        <v>3191</v>
      </c>
      <c r="Q283" s="24" t="s">
        <v>3192</v>
      </c>
      <c r="R283" s="25" t="s">
        <v>3193</v>
      </c>
      <c r="S283" s="24" t="s">
        <v>3161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174</v>
      </c>
      <c r="Y283" s="23" t="s">
        <v>174</v>
      </c>
      <c r="Z283" s="23" t="s">
        <v>174</v>
      </c>
      <c r="AA283" s="23" t="s">
        <v>174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  <c r="AE283" s="24" t="str">
        <f aca="false">M283&amp;" | 열왕기하 1장 #"&amp;SUBSTITUTE(안내!$C$5," ","")</f>
        <v>이스라엘에 하나님이 없어서 다른 신에게 묻느냐 | 열왕기하 1장 #1분성경</v>
      </c>
      <c r="AF283" s="24" t="s">
        <v>304</v>
      </c>
      <c r="AG283" s="24"/>
      <c r="AH283" s="23" t="s">
        <v>290</v>
      </c>
      <c r="AI283" s="26" t="n">
        <f aca="false">U283-안내!$C$12</f>
        <v>46713</v>
      </c>
      <c r="AJ283" s="23" t="str">
        <f aca="false">IF(U283&lt;IF(C283=1,안내!$C$9,안내!$C$10)+안내!$C$12,"시즌 시작 전 제작","")</f>
        <v/>
      </c>
      <c r="AK283" s="24" t="s">
        <v>3092</v>
      </c>
      <c r="AL283" s="27"/>
      <c r="AM283" s="27"/>
      <c r="AN283" s="27"/>
      <c r="AO283" s="27"/>
      <c r="AP283" s="27"/>
      <c r="AQ283" s="23" t="str">
        <f aca="false">D283&amp;"|"&amp;TEXT(U283,"yyyy-mm-dd")</f>
        <v>구약|2027-12-20</v>
      </c>
      <c r="AR283" s="24" t="s">
        <v>3194</v>
      </c>
      <c r="AS283" s="24"/>
    </row>
    <row r="284" customFormat="false" ht="52.2" hidden="false" customHeight="false" outlineLevel="0" collapsed="false">
      <c r="A284" s="21" t="n">
        <v>283</v>
      </c>
      <c r="B284" s="18" t="s">
        <v>3195</v>
      </c>
      <c r="C284" s="20" t="n">
        <v>1</v>
      </c>
      <c r="D284" s="20" t="s">
        <v>160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3128</v>
      </c>
      <c r="H284" s="18" t="s">
        <v>3044</v>
      </c>
      <c r="I284" s="21" t="s">
        <v>3185</v>
      </c>
      <c r="J284" s="22" t="s">
        <v>3196</v>
      </c>
      <c r="K284" s="23" t="s">
        <v>165</v>
      </c>
      <c r="L284" s="24" t="s">
        <v>3197</v>
      </c>
      <c r="M284" s="24" t="s">
        <v>3198</v>
      </c>
      <c r="N284" s="23" t="s">
        <v>3199</v>
      </c>
      <c r="O284" s="24" t="s">
        <v>3200</v>
      </c>
      <c r="P284" s="24" t="s">
        <v>3201</v>
      </c>
      <c r="Q284" s="24" t="s">
        <v>3202</v>
      </c>
      <c r="R284" s="25" t="s">
        <v>3203</v>
      </c>
      <c r="S284" s="29" t="s">
        <v>3204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174</v>
      </c>
      <c r="Y284" s="23" t="s">
        <v>174</v>
      </c>
      <c r="Z284" s="23" t="s">
        <v>174</v>
      </c>
      <c r="AA284" s="23" t="s">
        <v>174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  <c r="AE284" s="24" t="str">
        <f aca="false">M284&amp;" | 열왕기하 2장 #"&amp;SUBSTITUTE(안내!$C$5," ","")</f>
        <v>하늘로 올라간 선지자 | 열왕기하 2장 #1분성경</v>
      </c>
      <c r="AF284" s="24" t="s">
        <v>3205</v>
      </c>
      <c r="AG284" s="24"/>
      <c r="AH284" s="23" t="s">
        <v>290</v>
      </c>
      <c r="AI284" s="26" t="n">
        <f aca="false">U284-안내!$C$12</f>
        <v>46483</v>
      </c>
      <c r="AJ284" s="23" t="str">
        <f aca="false">IF(U284&lt;IF(C284=1,안내!$C$9,안내!$C$10)+안내!$C$12,"시즌 시작 전 제작","")</f>
        <v/>
      </c>
      <c r="AK284" s="24" t="s">
        <v>3150</v>
      </c>
      <c r="AL284" s="27"/>
      <c r="AM284" s="27"/>
      <c r="AN284" s="27"/>
      <c r="AO284" s="27"/>
      <c r="AP284" s="27"/>
      <c r="AQ284" s="23" t="str">
        <f aca="false">D284&amp;"|"&amp;TEXT(U284,"yyyy-mm-dd")</f>
        <v>구약|2027-05-04</v>
      </c>
      <c r="AR284" s="24" t="s">
        <v>3206</v>
      </c>
      <c r="AS284" s="24"/>
    </row>
    <row r="285" customFormat="false" ht="39.55" hidden="false" customHeight="false" outlineLevel="0" collapsed="false">
      <c r="A285" s="21" t="n">
        <v>284</v>
      </c>
      <c r="B285" s="18" t="s">
        <v>3207</v>
      </c>
      <c r="C285" s="23" t="n">
        <v>2</v>
      </c>
      <c r="D285" s="23" t="s">
        <v>160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3128</v>
      </c>
      <c r="H285" s="18" t="s">
        <v>3153</v>
      </c>
      <c r="I285" s="21" t="s">
        <v>3185</v>
      </c>
      <c r="J285" s="22" t="s">
        <v>3208</v>
      </c>
      <c r="K285" s="23" t="s">
        <v>165</v>
      </c>
      <c r="L285" s="24" t="s">
        <v>3209</v>
      </c>
      <c r="M285" s="24" t="s">
        <v>3210</v>
      </c>
      <c r="N285" s="23" t="s">
        <v>3211</v>
      </c>
      <c r="O285" s="24" t="s">
        <v>3212</v>
      </c>
      <c r="P285" s="24" t="s">
        <v>3213</v>
      </c>
      <c r="Q285" s="24" t="s">
        <v>3214</v>
      </c>
      <c r="R285" s="25" t="s">
        <v>3215</v>
      </c>
      <c r="S285" s="24" t="s">
        <v>3216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174</v>
      </c>
      <c r="Y285" s="23" t="s">
        <v>174</v>
      </c>
      <c r="Z285" s="23" t="s">
        <v>174</v>
      </c>
      <c r="AA285" s="23" t="s">
        <v>174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  <c r="AE285" s="24" t="str">
        <f aca="false">M285&amp;" | 열왕기하 2장 #"&amp;SUBSTITUTE(안내!$C$5," ","")</f>
        <v>소금 한 그릇으로 고친 샘물 | 열왕기하 2장 #1분성경</v>
      </c>
      <c r="AF285" s="24" t="s">
        <v>304</v>
      </c>
      <c r="AG285" s="24"/>
      <c r="AH285" s="23" t="s">
        <v>290</v>
      </c>
      <c r="AI285" s="26" t="n">
        <f aca="false">U285-안내!$C$12</f>
        <v>46714</v>
      </c>
      <c r="AJ285" s="23" t="str">
        <f aca="false">IF(U285&lt;IF(C285=1,안내!$C$9,안내!$C$10)+안내!$C$12,"시즌 시작 전 제작","")</f>
        <v/>
      </c>
      <c r="AK285" s="24" t="s">
        <v>3217</v>
      </c>
      <c r="AL285" s="27"/>
      <c r="AM285" s="27"/>
      <c r="AN285" s="27"/>
      <c r="AO285" s="27"/>
      <c r="AP285" s="27"/>
      <c r="AQ285" s="23" t="str">
        <f aca="false">D285&amp;"|"&amp;TEXT(U285,"yyyy-mm-dd")</f>
        <v>구약|2027-12-21</v>
      </c>
      <c r="AR285" s="24" t="s">
        <v>3218</v>
      </c>
      <c r="AS285" s="24"/>
    </row>
    <row r="286" customFormat="false" ht="26.85" hidden="false" customHeight="false" outlineLevel="0" collapsed="false">
      <c r="A286" s="21" t="n">
        <v>285</v>
      </c>
      <c r="B286" s="18" t="s">
        <v>3219</v>
      </c>
      <c r="C286" s="23" t="n">
        <v>2</v>
      </c>
      <c r="D286" s="23" t="s">
        <v>160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3220</v>
      </c>
      <c r="H286" s="18" t="s">
        <v>3153</v>
      </c>
      <c r="I286" s="21" t="s">
        <v>3185</v>
      </c>
      <c r="J286" s="22" t="s">
        <v>3221</v>
      </c>
      <c r="K286" s="23" t="s">
        <v>165</v>
      </c>
      <c r="L286" s="24" t="s">
        <v>3222</v>
      </c>
      <c r="M286" s="24" t="s">
        <v>3223</v>
      </c>
      <c r="N286" s="23" t="s">
        <v>3224</v>
      </c>
      <c r="O286" s="24" t="s">
        <v>3225</v>
      </c>
      <c r="P286" s="24" t="s">
        <v>3226</v>
      </c>
      <c r="Q286" s="24" t="s">
        <v>3227</v>
      </c>
      <c r="R286" s="28" t="s">
        <v>3228</v>
      </c>
      <c r="S286" s="24" t="s">
        <v>3216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174</v>
      </c>
      <c r="Y286" s="23" t="s">
        <v>174</v>
      </c>
      <c r="Z286" s="23" t="s">
        <v>174</v>
      </c>
      <c r="AA286" s="23" t="s">
        <v>174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  <c r="AE286" s="24" t="str">
        <f aca="false">M286&amp;" | 열왕기하 3장 #"&amp;SUBSTITUTE(안내!$C$5," ","")</f>
        <v>비도 바람도 없이 골짜기에 물이 찼다 | 열왕기하 3장 #1분성경</v>
      </c>
      <c r="AF286" s="24" t="s">
        <v>304</v>
      </c>
      <c r="AG286" s="24" t="s">
        <v>3229</v>
      </c>
      <c r="AH286" s="23" t="s">
        <v>290</v>
      </c>
      <c r="AI286" s="26" t="n">
        <f aca="false">U286-안내!$C$12</f>
        <v>46715</v>
      </c>
      <c r="AJ286" s="23" t="str">
        <f aca="false">IF(U286&lt;IF(C286=1,안내!$C$9,안내!$C$10)+안내!$C$12,"시즌 시작 전 제작","")</f>
        <v/>
      </c>
      <c r="AK286" s="24" t="s">
        <v>3217</v>
      </c>
      <c r="AL286" s="27"/>
      <c r="AM286" s="27"/>
      <c r="AN286" s="27"/>
      <c r="AO286" s="27"/>
      <c r="AP286" s="27"/>
      <c r="AQ286" s="23" t="str">
        <f aca="false">D286&amp;"|"&amp;TEXT(U286,"yyyy-mm-dd")</f>
        <v>구약|2027-12-22</v>
      </c>
      <c r="AR286" s="24" t="s">
        <v>3230</v>
      </c>
      <c r="AS286" s="24"/>
    </row>
    <row r="287" customFormat="false" ht="26.85" hidden="false" customHeight="false" outlineLevel="0" collapsed="false">
      <c r="A287" s="21" t="n">
        <v>286</v>
      </c>
      <c r="B287" s="18" t="s">
        <v>3231</v>
      </c>
      <c r="C287" s="23" t="n">
        <v>2</v>
      </c>
      <c r="D287" s="23" t="s">
        <v>160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3220</v>
      </c>
      <c r="H287" s="18" t="s">
        <v>3153</v>
      </c>
      <c r="I287" s="21" t="s">
        <v>3185</v>
      </c>
      <c r="J287" s="22" t="s">
        <v>3232</v>
      </c>
      <c r="K287" s="23" t="s">
        <v>165</v>
      </c>
      <c r="L287" s="24" t="s">
        <v>3233</v>
      </c>
      <c r="M287" s="24" t="s">
        <v>3234</v>
      </c>
      <c r="N287" s="23" t="s">
        <v>3235</v>
      </c>
      <c r="O287" s="24" t="s">
        <v>3236</v>
      </c>
      <c r="P287" s="24" t="s">
        <v>3237</v>
      </c>
      <c r="Q287" s="24" t="s">
        <v>3238</v>
      </c>
      <c r="R287" s="24"/>
      <c r="S287" s="24" t="s">
        <v>3216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174</v>
      </c>
      <c r="Y287" s="23" t="s">
        <v>174</v>
      </c>
      <c r="Z287" s="23" t="s">
        <v>174</v>
      </c>
      <c r="AA287" s="23" t="s">
        <v>174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  <c r="AE287" s="24" t="str">
        <f aca="false">M287&amp;" | 열왕기하 4장 #"&amp;SUBSTITUTE(안내!$C$5," ","")</f>
        <v>빈 그릇을 빌리러 다닌 엄마와 아들들 | 열왕기하 4장 #1분성경</v>
      </c>
      <c r="AF287" s="24" t="s">
        <v>304</v>
      </c>
      <c r="AG287" s="24" t="s">
        <v>3239</v>
      </c>
      <c r="AH287" s="23" t="s">
        <v>290</v>
      </c>
      <c r="AI287" s="26" t="n">
        <f aca="false">U287-안내!$C$12</f>
        <v>46716</v>
      </c>
      <c r="AJ287" s="23" t="str">
        <f aca="false">IF(U287&lt;IF(C287=1,안내!$C$9,안내!$C$10)+안내!$C$12,"시즌 시작 전 제작","")</f>
        <v/>
      </c>
      <c r="AK287" s="24" t="s">
        <v>3217</v>
      </c>
      <c r="AL287" s="27"/>
      <c r="AM287" s="27"/>
      <c r="AN287" s="27"/>
      <c r="AO287" s="27"/>
      <c r="AP287" s="27"/>
      <c r="AQ287" s="23" t="str">
        <f aca="false">D287&amp;"|"&amp;TEXT(U287,"yyyy-mm-dd")</f>
        <v>구약|2027-12-23</v>
      </c>
      <c r="AR287" s="24" t="s">
        <v>3240</v>
      </c>
      <c r="AS287" s="24"/>
    </row>
    <row r="288" customFormat="false" ht="52.2" hidden="false" customHeight="false" outlineLevel="0" collapsed="false">
      <c r="A288" s="21" t="n">
        <v>287</v>
      </c>
      <c r="B288" s="18" t="s">
        <v>3241</v>
      </c>
      <c r="C288" s="20" t="n">
        <v>1</v>
      </c>
      <c r="D288" s="20" t="s">
        <v>160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3220</v>
      </c>
      <c r="H288" s="18" t="s">
        <v>3242</v>
      </c>
      <c r="I288" s="21" t="s">
        <v>3185</v>
      </c>
      <c r="J288" s="22" t="s">
        <v>3243</v>
      </c>
      <c r="K288" s="23" t="s">
        <v>165</v>
      </c>
      <c r="L288" s="24" t="s">
        <v>3244</v>
      </c>
      <c r="M288" s="24" t="s">
        <v>3245</v>
      </c>
      <c r="N288" s="23" t="s">
        <v>3246</v>
      </c>
      <c r="O288" s="24" t="s">
        <v>3247</v>
      </c>
      <c r="P288" s="24" t="s">
        <v>3248</v>
      </c>
      <c r="Q288" s="24" t="s">
        <v>3249</v>
      </c>
      <c r="R288" s="24"/>
      <c r="S288" s="29" t="s">
        <v>3250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174</v>
      </c>
      <c r="Y288" s="23" t="s">
        <v>174</v>
      </c>
      <c r="Z288" s="23" t="s">
        <v>174</v>
      </c>
      <c r="AA288" s="23" t="s">
        <v>174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  <c r="AE288" s="24" t="str">
        <f aca="false">M288&amp;" | 열왕기하 4장 #"&amp;SUBSTITUTE(안내!$C$5," ","")</f>
        <v>선물로 받은 아들이 죽었다 | 열왕기하 4장 #1분성경</v>
      </c>
      <c r="AF288" s="24" t="s">
        <v>3251</v>
      </c>
      <c r="AG288" s="24" t="s">
        <v>3252</v>
      </c>
      <c r="AH288" s="23" t="s">
        <v>290</v>
      </c>
      <c r="AI288" s="26" t="n">
        <f aca="false">U288-안내!$C$12</f>
        <v>46484</v>
      </c>
      <c r="AJ288" s="23" t="str">
        <f aca="false">IF(U288&lt;IF(C288=1,안내!$C$9,안내!$C$10)+안내!$C$12,"시즌 시작 전 제작","")</f>
        <v/>
      </c>
      <c r="AK288" s="24" t="s">
        <v>3217</v>
      </c>
      <c r="AL288" s="27"/>
      <c r="AM288" s="27"/>
      <c r="AN288" s="27"/>
      <c r="AO288" s="27"/>
      <c r="AP288" s="27"/>
      <c r="AQ288" s="23" t="str">
        <f aca="false">D288&amp;"|"&amp;TEXT(U288,"yyyy-mm-dd")</f>
        <v>구약|2027-05-05</v>
      </c>
      <c r="AR288" s="24" t="s">
        <v>3253</v>
      </c>
      <c r="AS288" s="24"/>
    </row>
    <row r="289" customFormat="false" ht="26.85" hidden="false" customHeight="false" outlineLevel="0" collapsed="false">
      <c r="A289" s="21" t="n">
        <v>288</v>
      </c>
      <c r="B289" s="18" t="s">
        <v>3254</v>
      </c>
      <c r="C289" s="23" t="n">
        <v>2</v>
      </c>
      <c r="D289" s="23" t="s">
        <v>160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3220</v>
      </c>
      <c r="H289" s="18" t="s">
        <v>3153</v>
      </c>
      <c r="I289" s="21" t="s">
        <v>3185</v>
      </c>
      <c r="J289" s="22" t="s">
        <v>3255</v>
      </c>
      <c r="K289" s="23" t="s">
        <v>165</v>
      </c>
      <c r="L289" s="24" t="s">
        <v>3256</v>
      </c>
      <c r="M289" s="24" t="s">
        <v>3257</v>
      </c>
      <c r="N289" s="23" t="s">
        <v>3258</v>
      </c>
      <c r="O289" s="24" t="s">
        <v>3259</v>
      </c>
      <c r="P289" s="24" t="s">
        <v>3260</v>
      </c>
      <c r="Q289" s="24" t="s">
        <v>2504</v>
      </c>
      <c r="R289" s="25" t="s">
        <v>3261</v>
      </c>
      <c r="S289" s="24" t="s">
        <v>3262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174</v>
      </c>
      <c r="Y289" s="23" t="s">
        <v>174</v>
      </c>
      <c r="Z289" s="23" t="s">
        <v>174</v>
      </c>
      <c r="AA289" s="23" t="s">
        <v>174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  <c r="AE289" s="24" t="str">
        <f aca="false">M289&amp;" | 열왕기하 4장 #"&amp;SUBSTITUTE(안내!$C$5," ","")</f>
        <v>떡 20개로 100명이 먹고 남았다 | 열왕기하 4장 #1분성경</v>
      </c>
      <c r="AF289" s="24" t="s">
        <v>304</v>
      </c>
      <c r="AG289" s="24" t="s">
        <v>3263</v>
      </c>
      <c r="AH289" s="23" t="s">
        <v>360</v>
      </c>
      <c r="AI289" s="26" t="n">
        <f aca="false">U289-안내!$C$12</f>
        <v>46717</v>
      </c>
      <c r="AJ289" s="23" t="str">
        <f aca="false">IF(U289&lt;IF(C289=1,안내!$C$9,안내!$C$10)+안내!$C$12,"시즌 시작 전 제작","")</f>
        <v/>
      </c>
      <c r="AK289" s="24" t="s">
        <v>3217</v>
      </c>
      <c r="AL289" s="27"/>
      <c r="AM289" s="27"/>
      <c r="AN289" s="27"/>
      <c r="AO289" s="27"/>
      <c r="AP289" s="27"/>
      <c r="AQ289" s="23" t="str">
        <f aca="false">D289&amp;"|"&amp;TEXT(U289,"yyyy-mm-dd")</f>
        <v>구약|2027-12-24</v>
      </c>
      <c r="AR289" s="24" t="s">
        <v>3264</v>
      </c>
      <c r="AS289" s="24"/>
    </row>
    <row r="290" customFormat="false" ht="26.85" hidden="false" customHeight="false" outlineLevel="0" collapsed="false">
      <c r="A290" s="21" t="n">
        <v>289</v>
      </c>
      <c r="B290" s="18" t="s">
        <v>3265</v>
      </c>
      <c r="C290" s="20" t="n">
        <v>1</v>
      </c>
      <c r="D290" s="20" t="s">
        <v>160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3220</v>
      </c>
      <c r="H290" s="18" t="s">
        <v>3242</v>
      </c>
      <c r="I290" s="21" t="s">
        <v>3185</v>
      </c>
      <c r="J290" s="22" t="s">
        <v>3266</v>
      </c>
      <c r="K290" s="23" t="s">
        <v>165</v>
      </c>
      <c r="L290" s="24" t="s">
        <v>3267</v>
      </c>
      <c r="M290" s="24" t="s">
        <v>3268</v>
      </c>
      <c r="N290" s="23" t="s">
        <v>3269</v>
      </c>
      <c r="O290" s="24" t="s">
        <v>3270</v>
      </c>
      <c r="P290" s="24" t="s">
        <v>3271</v>
      </c>
      <c r="Q290" s="24" t="s">
        <v>3272</v>
      </c>
      <c r="R290" s="24"/>
      <c r="S290" s="29" t="s">
        <v>3273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174</v>
      </c>
      <c r="Y290" s="23" t="s">
        <v>174</v>
      </c>
      <c r="Z290" s="23" t="s">
        <v>174</v>
      </c>
      <c r="AA290" s="23" t="s">
        <v>174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  <c r="AE290" s="24" t="str">
        <f aca="false">M290&amp;" | 열왕기하 5장 #"&amp;SUBSTITUTE(안내!$C$5," ","")</f>
        <v>장군이 어린 여종의 말을 들었다 | 열왕기하 5장 #1분성경</v>
      </c>
      <c r="AF290" s="24" t="s">
        <v>3274</v>
      </c>
      <c r="AG290" s="24" t="s">
        <v>3275</v>
      </c>
      <c r="AH290" s="23" t="s">
        <v>290</v>
      </c>
      <c r="AI290" s="26" t="n">
        <f aca="false">U290-안내!$C$12</f>
        <v>46485</v>
      </c>
      <c r="AJ290" s="23" t="str">
        <f aca="false">IF(U290&lt;IF(C290=1,안내!$C$9,안내!$C$10)+안내!$C$12,"시즌 시작 전 제작","")</f>
        <v/>
      </c>
      <c r="AK290" s="24" t="s">
        <v>3217</v>
      </c>
      <c r="AL290" s="27"/>
      <c r="AM290" s="27"/>
      <c r="AN290" s="27"/>
      <c r="AO290" s="27"/>
      <c r="AP290" s="27"/>
      <c r="AQ290" s="23" t="str">
        <f aca="false">D290&amp;"|"&amp;TEXT(U290,"yyyy-mm-dd")</f>
        <v>구약|2027-05-06</v>
      </c>
      <c r="AR290" s="24" t="s">
        <v>3276</v>
      </c>
      <c r="AS290" s="24"/>
    </row>
    <row r="291" customFormat="false" ht="39.55" hidden="false" customHeight="false" outlineLevel="0" collapsed="false">
      <c r="A291" s="21" t="n">
        <v>290</v>
      </c>
      <c r="B291" s="18" t="s">
        <v>3277</v>
      </c>
      <c r="C291" s="23" t="n">
        <v>2</v>
      </c>
      <c r="D291" s="23" t="s">
        <v>160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3220</v>
      </c>
      <c r="H291" s="18" t="s">
        <v>3153</v>
      </c>
      <c r="I291" s="21" t="s">
        <v>3185</v>
      </c>
      <c r="J291" s="22" t="s">
        <v>3278</v>
      </c>
      <c r="K291" s="23" t="s">
        <v>165</v>
      </c>
      <c r="L291" s="24" t="s">
        <v>3279</v>
      </c>
      <c r="M291" s="24" t="s">
        <v>3280</v>
      </c>
      <c r="N291" s="23" t="s">
        <v>3281</v>
      </c>
      <c r="O291" s="24" t="s">
        <v>3282</v>
      </c>
      <c r="P291" s="24" t="s">
        <v>3283</v>
      </c>
      <c r="Q291" s="24" t="s">
        <v>3284</v>
      </c>
      <c r="R291" s="24"/>
      <c r="S291" s="24" t="s">
        <v>3285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174</v>
      </c>
      <c r="Y291" s="23" t="s">
        <v>174</v>
      </c>
      <c r="Z291" s="23" t="s">
        <v>174</v>
      </c>
      <c r="AA291" s="23" t="s">
        <v>174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  <c r="AE291" s="24" t="str">
        <f aca="false">M291&amp;" | 열왕기하 5장 #"&amp;SUBSTITUTE(안내!$C$5," ","")</f>
        <v>선물을 몰래 받으러 달려간 종 | 열왕기하 5장 #1분성경</v>
      </c>
      <c r="AF291" s="24" t="s">
        <v>304</v>
      </c>
      <c r="AG291" s="24" t="s">
        <v>3286</v>
      </c>
      <c r="AH291" s="23" t="s">
        <v>290</v>
      </c>
      <c r="AI291" s="26" t="n">
        <f aca="false">U291-안내!$C$12</f>
        <v>46718</v>
      </c>
      <c r="AJ291" s="23" t="str">
        <f aca="false">IF(U291&lt;IF(C291=1,안내!$C$9,안내!$C$10)+안내!$C$12,"시즌 시작 전 제작","")</f>
        <v/>
      </c>
      <c r="AK291" s="24" t="s">
        <v>3217</v>
      </c>
      <c r="AL291" s="27"/>
      <c r="AM291" s="27"/>
      <c r="AN291" s="27"/>
      <c r="AO291" s="27"/>
      <c r="AP291" s="27"/>
      <c r="AQ291" s="23" t="str">
        <f aca="false">D291&amp;"|"&amp;TEXT(U291,"yyyy-mm-dd")</f>
        <v>구약|2027-12-25</v>
      </c>
      <c r="AR291" s="24" t="s">
        <v>3287</v>
      </c>
      <c r="AS291" s="24"/>
    </row>
    <row r="292" customFormat="false" ht="26.85" hidden="false" customHeight="false" outlineLevel="0" collapsed="false">
      <c r="A292" s="21" t="n">
        <v>291</v>
      </c>
      <c r="B292" s="18" t="s">
        <v>3288</v>
      </c>
      <c r="C292" s="23" t="n">
        <v>2</v>
      </c>
      <c r="D292" s="23" t="s">
        <v>160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3220</v>
      </c>
      <c r="H292" s="18" t="s">
        <v>3153</v>
      </c>
      <c r="I292" s="21" t="s">
        <v>3185</v>
      </c>
      <c r="J292" s="22" t="s">
        <v>3289</v>
      </c>
      <c r="K292" s="23" t="s">
        <v>165</v>
      </c>
      <c r="L292" s="24" t="s">
        <v>3290</v>
      </c>
      <c r="M292" s="24" t="s">
        <v>3291</v>
      </c>
      <c r="N292" s="23" t="s">
        <v>3292</v>
      </c>
      <c r="O292" s="24" t="s">
        <v>3293</v>
      </c>
      <c r="P292" s="24" t="s">
        <v>3294</v>
      </c>
      <c r="Q292" s="24" t="s">
        <v>3295</v>
      </c>
      <c r="R292" s="24"/>
      <c r="S292" s="24" t="s">
        <v>3285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174</v>
      </c>
      <c r="Y292" s="23" t="s">
        <v>174</v>
      </c>
      <c r="Z292" s="23" t="s">
        <v>174</v>
      </c>
      <c r="AA292" s="23" t="s">
        <v>174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  <c r="AE292" s="24" t="str">
        <f aca="false">M292&amp;" | 열왕기하 6장 #"&amp;SUBSTITUTE(안내!$C$5," ","")</f>
        <v>빌린 도끼가 물에 빠졌다 | 열왕기하 6장 #1분성경</v>
      </c>
      <c r="AF292" s="24" t="s">
        <v>304</v>
      </c>
      <c r="AG292" s="24"/>
      <c r="AH292" s="23" t="s">
        <v>290</v>
      </c>
      <c r="AI292" s="26" t="n">
        <f aca="false">U292-안내!$C$12</f>
        <v>46719</v>
      </c>
      <c r="AJ292" s="23" t="str">
        <f aca="false">IF(U292&lt;IF(C292=1,안내!$C$9,안내!$C$10)+안내!$C$12,"시즌 시작 전 제작","")</f>
        <v/>
      </c>
      <c r="AK292" s="24" t="s">
        <v>3217</v>
      </c>
      <c r="AL292" s="27"/>
      <c r="AM292" s="27"/>
      <c r="AN292" s="27"/>
      <c r="AO292" s="27"/>
      <c r="AP292" s="27"/>
      <c r="AQ292" s="23" t="str">
        <f aca="false">D292&amp;"|"&amp;TEXT(U292,"yyyy-mm-dd")</f>
        <v>구약|2027-12-26</v>
      </c>
      <c r="AR292" s="24" t="s">
        <v>3296</v>
      </c>
      <c r="AS292" s="24" t="s">
        <v>292</v>
      </c>
    </row>
    <row r="293" customFormat="false" ht="39.55" hidden="false" customHeight="false" outlineLevel="0" collapsed="false">
      <c r="A293" s="21" t="n">
        <v>292</v>
      </c>
      <c r="B293" s="18" t="s">
        <v>3297</v>
      </c>
      <c r="C293" s="20" t="n">
        <v>1</v>
      </c>
      <c r="D293" s="20" t="s">
        <v>160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3220</v>
      </c>
      <c r="H293" s="18" t="s">
        <v>3242</v>
      </c>
      <c r="I293" s="21" t="s">
        <v>3185</v>
      </c>
      <c r="J293" s="22" t="s">
        <v>3298</v>
      </c>
      <c r="K293" s="23" t="s">
        <v>165</v>
      </c>
      <c r="L293" s="24" t="s">
        <v>3299</v>
      </c>
      <c r="M293" s="24" t="s">
        <v>3300</v>
      </c>
      <c r="N293" s="23" t="s">
        <v>3301</v>
      </c>
      <c r="O293" s="24" t="s">
        <v>3302</v>
      </c>
      <c r="P293" s="24" t="s">
        <v>3303</v>
      </c>
      <c r="Q293" s="24" t="s">
        <v>3304</v>
      </c>
      <c r="R293" s="24"/>
      <c r="S293" s="29" t="s">
        <v>3305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174</v>
      </c>
      <c r="Y293" s="23" t="s">
        <v>174</v>
      </c>
      <c r="Z293" s="23" t="s">
        <v>174</v>
      </c>
      <c r="AA293" s="23" t="s">
        <v>174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  <c r="AE293" s="24" t="str">
        <f aca="false">M293&amp;" | 열왕기하 6장 #"&amp;SUBSTITUTE(안내!$C$5," ","")</f>
        <v>우리 편이 더 많다 | 열왕기하 6장 #1분성경</v>
      </c>
      <c r="AF293" s="24" t="s">
        <v>3306</v>
      </c>
      <c r="AG293" s="24" t="s">
        <v>3307</v>
      </c>
      <c r="AH293" s="23" t="s">
        <v>290</v>
      </c>
      <c r="AI293" s="26" t="n">
        <f aca="false">U293-안내!$C$12</f>
        <v>46486</v>
      </c>
      <c r="AJ293" s="23" t="str">
        <f aca="false">IF(U293&lt;IF(C293=1,안내!$C$9,안내!$C$10)+안내!$C$12,"시즌 시작 전 제작","")</f>
        <v/>
      </c>
      <c r="AK293" s="24" t="s">
        <v>3217</v>
      </c>
      <c r="AL293" s="27"/>
      <c r="AM293" s="27"/>
      <c r="AN293" s="27"/>
      <c r="AO293" s="27"/>
      <c r="AP293" s="27"/>
      <c r="AQ293" s="23" t="str">
        <f aca="false">D293&amp;"|"&amp;TEXT(U293,"yyyy-mm-dd")</f>
        <v>구약|2027-05-07</v>
      </c>
      <c r="AR293" s="24" t="s">
        <v>3308</v>
      </c>
      <c r="AS293" s="24"/>
    </row>
    <row r="294" customFormat="false" ht="39.55" hidden="false" customHeight="false" outlineLevel="0" collapsed="false">
      <c r="A294" s="21" t="n">
        <v>293</v>
      </c>
      <c r="B294" s="18" t="s">
        <v>3309</v>
      </c>
      <c r="C294" s="20" t="n">
        <v>1</v>
      </c>
      <c r="D294" s="20" t="s">
        <v>160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3220</v>
      </c>
      <c r="H294" s="18" t="s">
        <v>3242</v>
      </c>
      <c r="I294" s="21" t="s">
        <v>3185</v>
      </c>
      <c r="J294" s="22" t="s">
        <v>3310</v>
      </c>
      <c r="K294" s="23" t="s">
        <v>165</v>
      </c>
      <c r="L294" s="24" t="s">
        <v>3311</v>
      </c>
      <c r="M294" s="24" t="s">
        <v>3312</v>
      </c>
      <c r="N294" s="23" t="s">
        <v>3313</v>
      </c>
      <c r="O294" s="24" t="s">
        <v>3314</v>
      </c>
      <c r="P294" s="24" t="s">
        <v>3315</v>
      </c>
      <c r="Q294" s="24" t="s">
        <v>3316</v>
      </c>
      <c r="R294" s="28" t="s">
        <v>3317</v>
      </c>
      <c r="S294" s="24" t="s">
        <v>173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174</v>
      </c>
      <c r="Y294" s="23" t="s">
        <v>174</v>
      </c>
      <c r="Z294" s="23" t="s">
        <v>174</v>
      </c>
      <c r="AA294" s="23" t="s">
        <v>174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  <c r="AE294" s="24" t="str">
        <f aca="false">M294&amp;" | 열왕기하 6~7장 #"&amp;SUBSTITUTE(안내!$C$5," ","")</f>
        <v>버려진 사람들이 가장 먼저 기쁜 소식을 알았다 | 열왕기하 6~7장 #1분성경</v>
      </c>
      <c r="AF294" s="24" t="s">
        <v>3318</v>
      </c>
      <c r="AG294" s="24"/>
      <c r="AH294" s="23" t="s">
        <v>290</v>
      </c>
      <c r="AI294" s="26" t="n">
        <f aca="false">U294-안내!$C$12</f>
        <v>46487</v>
      </c>
      <c r="AJ294" s="23" t="str">
        <f aca="false">IF(U294&lt;IF(C294=1,안내!$C$9,안내!$C$10)+안내!$C$12,"시즌 시작 전 제작","")</f>
        <v/>
      </c>
      <c r="AK294" s="24" t="s">
        <v>3217</v>
      </c>
      <c r="AL294" s="27"/>
      <c r="AM294" s="27"/>
      <c r="AN294" s="27"/>
      <c r="AO294" s="27"/>
      <c r="AP294" s="27"/>
      <c r="AQ294" s="23" t="str">
        <f aca="false">D294&amp;"|"&amp;TEXT(U294,"yyyy-mm-dd")</f>
        <v>구약|2027-05-08</v>
      </c>
      <c r="AR294" s="24" t="s">
        <v>3319</v>
      </c>
      <c r="AS294" s="24"/>
    </row>
    <row r="295" customFormat="false" ht="39.55" hidden="false" customHeight="false" outlineLevel="0" collapsed="false">
      <c r="A295" s="21" t="n">
        <v>294</v>
      </c>
      <c r="B295" s="18" t="s">
        <v>3320</v>
      </c>
      <c r="C295" s="23" t="n">
        <v>2</v>
      </c>
      <c r="D295" s="23" t="s">
        <v>160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3220</v>
      </c>
      <c r="H295" s="18" t="s">
        <v>3153</v>
      </c>
      <c r="I295" s="21" t="s">
        <v>3185</v>
      </c>
      <c r="J295" s="22" t="s">
        <v>3321</v>
      </c>
      <c r="K295" s="23" t="s">
        <v>165</v>
      </c>
      <c r="L295" s="24" t="s">
        <v>3322</v>
      </c>
      <c r="M295" s="24" t="s">
        <v>3323</v>
      </c>
      <c r="N295" s="23" t="s">
        <v>3324</v>
      </c>
      <c r="O295" s="24" t="s">
        <v>3325</v>
      </c>
      <c r="P295" s="24" t="s">
        <v>3326</v>
      </c>
      <c r="Q295" s="24" t="s">
        <v>3327</v>
      </c>
      <c r="R295" s="24"/>
      <c r="S295" s="24" t="s">
        <v>3328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174</v>
      </c>
      <c r="Y295" s="23" t="s">
        <v>174</v>
      </c>
      <c r="Z295" s="23" t="s">
        <v>174</v>
      </c>
      <c r="AA295" s="23" t="s">
        <v>174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  <c r="AE295" s="24" t="str">
        <f aca="false">M295&amp;" | 열왕기하 8장 #"&amp;SUBSTITUTE(안내!$C$5," ","")</f>
        <v>딱 그 순간에 왕 앞에 선 여인 | 열왕기하 8장 #1분성경</v>
      </c>
      <c r="AF295" s="24" t="s">
        <v>304</v>
      </c>
      <c r="AG295" s="24"/>
      <c r="AH295" s="23" t="s">
        <v>290</v>
      </c>
      <c r="AI295" s="26" t="n">
        <f aca="false">U295-안내!$C$12</f>
        <v>46720</v>
      </c>
      <c r="AJ295" s="23" t="str">
        <f aca="false">IF(U295&lt;IF(C295=1,안내!$C$9,안내!$C$10)+안내!$C$12,"시즌 시작 전 제작","")</f>
        <v/>
      </c>
      <c r="AK295" s="24"/>
      <c r="AL295" s="27"/>
      <c r="AM295" s="27"/>
      <c r="AN295" s="27"/>
      <c r="AO295" s="27"/>
      <c r="AP295" s="27"/>
      <c r="AQ295" s="23" t="str">
        <f aca="false">D295&amp;"|"&amp;TEXT(U295,"yyyy-mm-dd")</f>
        <v>구약|2027-12-27</v>
      </c>
      <c r="AR295" s="24" t="s">
        <v>3329</v>
      </c>
      <c r="AS295" s="24"/>
    </row>
    <row r="296" customFormat="false" ht="39.55" hidden="false" customHeight="false" outlineLevel="0" collapsed="false">
      <c r="A296" s="21" t="n">
        <v>295</v>
      </c>
      <c r="B296" s="18" t="s">
        <v>3330</v>
      </c>
      <c r="C296" s="23" t="n">
        <v>2</v>
      </c>
      <c r="D296" s="23" t="s">
        <v>160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3331</v>
      </c>
      <c r="H296" s="18" t="s">
        <v>3332</v>
      </c>
      <c r="I296" s="21" t="s">
        <v>3185</v>
      </c>
      <c r="J296" s="22" t="s">
        <v>3333</v>
      </c>
      <c r="K296" s="23" t="s">
        <v>165</v>
      </c>
      <c r="L296" s="24" t="s">
        <v>3334</v>
      </c>
      <c r="M296" s="24" t="s">
        <v>3335</v>
      </c>
      <c r="N296" s="23" t="s">
        <v>3336</v>
      </c>
      <c r="O296" s="24" t="s">
        <v>917</v>
      </c>
      <c r="P296" s="24" t="s">
        <v>3337</v>
      </c>
      <c r="Q296" s="24" t="s">
        <v>3338</v>
      </c>
      <c r="R296" s="25" t="s">
        <v>3339</v>
      </c>
      <c r="S296" s="24" t="s">
        <v>3328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174</v>
      </c>
      <c r="Y296" s="23" t="s">
        <v>174</v>
      </c>
      <c r="Z296" s="23" t="s">
        <v>174</v>
      </c>
      <c r="AA296" s="23" t="s">
        <v>174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  <c r="AE296" s="24" t="str">
        <f aca="false">M296&amp;" | 열왕기하 9장 #"&amp;SUBSTITUTE(안내!$C$5," ","")</f>
        <v>미친 듯이 병거를 모는 사람 | 열왕기하 9장 #1분성경</v>
      </c>
      <c r="AF296" s="24" t="s">
        <v>304</v>
      </c>
      <c r="AG296" s="24" t="s">
        <v>3340</v>
      </c>
      <c r="AH296" s="23" t="s">
        <v>290</v>
      </c>
      <c r="AI296" s="26" t="n">
        <f aca="false">U296-안내!$C$12</f>
        <v>46721</v>
      </c>
      <c r="AJ296" s="23" t="str">
        <f aca="false">IF(U296&lt;IF(C296=1,안내!$C$9,안내!$C$10)+안내!$C$12,"시즌 시작 전 제작","")</f>
        <v/>
      </c>
      <c r="AK296" s="24"/>
      <c r="AL296" s="27"/>
      <c r="AM296" s="27"/>
      <c r="AN296" s="27"/>
      <c r="AO296" s="27"/>
      <c r="AP296" s="27"/>
      <c r="AQ296" s="23" t="str">
        <f aca="false">D296&amp;"|"&amp;TEXT(U296,"yyyy-mm-dd")</f>
        <v>구약|2027-12-28</v>
      </c>
      <c r="AR296" s="24" t="s">
        <v>3341</v>
      </c>
      <c r="AS296" s="24"/>
    </row>
    <row r="297" customFormat="false" ht="39.55" hidden="false" customHeight="false" outlineLevel="0" collapsed="false">
      <c r="A297" s="21" t="n">
        <v>296</v>
      </c>
      <c r="B297" s="18" t="s">
        <v>3342</v>
      </c>
      <c r="C297" s="23" t="n">
        <v>2</v>
      </c>
      <c r="D297" s="23" t="s">
        <v>160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3331</v>
      </c>
      <c r="H297" s="18" t="s">
        <v>3332</v>
      </c>
      <c r="I297" s="21" t="s">
        <v>3185</v>
      </c>
      <c r="J297" s="22" t="s">
        <v>3343</v>
      </c>
      <c r="K297" s="23" t="s">
        <v>165</v>
      </c>
      <c r="L297" s="24" t="s">
        <v>3344</v>
      </c>
      <c r="M297" s="24" t="s">
        <v>3345</v>
      </c>
      <c r="N297" s="23" t="s">
        <v>3346</v>
      </c>
      <c r="O297" s="24" t="s">
        <v>3347</v>
      </c>
      <c r="P297" s="24" t="s">
        <v>3348</v>
      </c>
      <c r="Q297" s="24" t="s">
        <v>3349</v>
      </c>
      <c r="R297" s="25" t="s">
        <v>2226</v>
      </c>
      <c r="S297" s="24" t="s">
        <v>3328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174</v>
      </c>
      <c r="Y297" s="23" t="s">
        <v>174</v>
      </c>
      <c r="Z297" s="23" t="s">
        <v>174</v>
      </c>
      <c r="AA297" s="23" t="s">
        <v>174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  <c r="AE297" s="24" t="str">
        <f aca="false">M297&amp;" | 열왕기하 10장 #"&amp;SUBSTITUTE(안내!$C$5," ","")</f>
        <v>바알은 없앴지만 금송아지는 남겼다 | 열왕기하 10장 #1분성경</v>
      </c>
      <c r="AF297" s="24" t="s">
        <v>304</v>
      </c>
      <c r="AG297" s="24"/>
      <c r="AH297" s="23" t="s">
        <v>290</v>
      </c>
      <c r="AI297" s="26" t="n">
        <f aca="false">U297-안내!$C$12</f>
        <v>46722</v>
      </c>
      <c r="AJ297" s="23" t="str">
        <f aca="false">IF(U297&lt;IF(C297=1,안내!$C$9,안내!$C$10)+안내!$C$12,"시즌 시작 전 제작","")</f>
        <v/>
      </c>
      <c r="AK297" s="24"/>
      <c r="AL297" s="27"/>
      <c r="AM297" s="27"/>
      <c r="AN297" s="27"/>
      <c r="AO297" s="27"/>
      <c r="AP297" s="27"/>
      <c r="AQ297" s="23" t="str">
        <f aca="false">D297&amp;"|"&amp;TEXT(U297,"yyyy-mm-dd")</f>
        <v>구약|2027-12-29</v>
      </c>
      <c r="AR297" s="24" t="s">
        <v>3350</v>
      </c>
      <c r="AS297" s="24"/>
    </row>
    <row r="298" customFormat="false" ht="39.55" hidden="false" customHeight="false" outlineLevel="0" collapsed="false">
      <c r="A298" s="21" t="n">
        <v>297</v>
      </c>
      <c r="B298" s="18" t="s">
        <v>3351</v>
      </c>
      <c r="C298" s="20" t="n">
        <v>1</v>
      </c>
      <c r="D298" s="20" t="s">
        <v>160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3331</v>
      </c>
      <c r="H298" s="18" t="s">
        <v>3242</v>
      </c>
      <c r="I298" s="21" t="s">
        <v>3185</v>
      </c>
      <c r="J298" s="22" t="s">
        <v>3352</v>
      </c>
      <c r="K298" s="23" t="s">
        <v>165</v>
      </c>
      <c r="L298" s="30" t="s">
        <v>3353</v>
      </c>
      <c r="M298" s="24" t="s">
        <v>3354</v>
      </c>
      <c r="N298" s="23" t="s">
        <v>3355</v>
      </c>
      <c r="O298" s="24" t="s">
        <v>3356</v>
      </c>
      <c r="P298" s="24" t="s">
        <v>3357</v>
      </c>
      <c r="Q298" s="24" t="s">
        <v>3358</v>
      </c>
      <c r="R298" s="24"/>
      <c r="S298" s="29" t="s">
        <v>3359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174</v>
      </c>
      <c r="Y298" s="23" t="s">
        <v>174</v>
      </c>
      <c r="Z298" s="23" t="s">
        <v>174</v>
      </c>
      <c r="AA298" s="23" t="s">
        <v>174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  <c r="AE298" s="24" t="str">
        <f aca="false">M298&amp;" | 열왕기하 11장 #"&amp;SUBSTITUTE(안내!$C$5," ","")</f>
        <v>왕족을 다 죽인 할머니, 살아남은 아기 | 열왕기하 11장 #1분성경</v>
      </c>
      <c r="AF298" s="24" t="s">
        <v>3360</v>
      </c>
      <c r="AG298" s="24"/>
      <c r="AH298" s="23" t="s">
        <v>290</v>
      </c>
      <c r="AI298" s="26" t="n">
        <f aca="false">U298-안내!$C$12</f>
        <v>46488</v>
      </c>
      <c r="AJ298" s="23" t="str">
        <f aca="false">IF(U298&lt;IF(C298=1,안내!$C$9,안내!$C$10)+안내!$C$12,"시즌 시작 전 제작","")</f>
        <v/>
      </c>
      <c r="AK298" s="24"/>
      <c r="AL298" s="27"/>
      <c r="AM298" s="27"/>
      <c r="AN298" s="27"/>
      <c r="AO298" s="27"/>
      <c r="AP298" s="27"/>
      <c r="AQ298" s="23" t="str">
        <f aca="false">D298&amp;"|"&amp;TEXT(U298,"yyyy-mm-dd")</f>
        <v>구약|2027-05-09</v>
      </c>
      <c r="AR298" s="24" t="s">
        <v>3361</v>
      </c>
      <c r="AS298" s="24"/>
    </row>
    <row r="299" customFormat="false" ht="26.85" hidden="false" customHeight="false" outlineLevel="0" collapsed="false">
      <c r="A299" s="21" t="n">
        <v>298</v>
      </c>
      <c r="B299" s="18" t="s">
        <v>3362</v>
      </c>
      <c r="C299" s="23" t="n">
        <v>2</v>
      </c>
      <c r="D299" s="23" t="s">
        <v>160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3331</v>
      </c>
      <c r="H299" s="18" t="s">
        <v>3332</v>
      </c>
      <c r="I299" s="21" t="s">
        <v>3185</v>
      </c>
      <c r="J299" s="22" t="s">
        <v>3363</v>
      </c>
      <c r="K299" s="23" t="s">
        <v>165</v>
      </c>
      <c r="L299" s="24" t="s">
        <v>3364</v>
      </c>
      <c r="M299" s="24" t="s">
        <v>3365</v>
      </c>
      <c r="N299" s="23" t="s">
        <v>3366</v>
      </c>
      <c r="O299" s="24" t="s">
        <v>3367</v>
      </c>
      <c r="P299" s="24" t="s">
        <v>3368</v>
      </c>
      <c r="Q299" s="24" t="s">
        <v>3369</v>
      </c>
      <c r="R299" s="24"/>
      <c r="S299" s="24" t="s">
        <v>3370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174</v>
      </c>
      <c r="Y299" s="23" t="s">
        <v>174</v>
      </c>
      <c r="Z299" s="23" t="s">
        <v>174</v>
      </c>
      <c r="AA299" s="23" t="s">
        <v>174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  <c r="AE299" s="24" t="str">
        <f aca="false">M299&amp;" | 열왕기하 12장 #"&amp;SUBSTITUTE(안내!$C$5," ","")</f>
        <v>헌금함을 처음 만든 왕 | 열왕기하 12장 #1분성경</v>
      </c>
      <c r="AF299" s="24" t="s">
        <v>304</v>
      </c>
      <c r="AG299" s="24"/>
      <c r="AH299" s="23" t="s">
        <v>290</v>
      </c>
      <c r="AI299" s="26" t="n">
        <f aca="false">U299-안내!$C$12</f>
        <v>46723</v>
      </c>
      <c r="AJ299" s="23" t="str">
        <f aca="false">IF(U299&lt;IF(C299=1,안내!$C$9,안내!$C$10)+안내!$C$12,"시즌 시작 전 제작","")</f>
        <v/>
      </c>
      <c r="AK299" s="24"/>
      <c r="AL299" s="27"/>
      <c r="AM299" s="27"/>
      <c r="AN299" s="27"/>
      <c r="AO299" s="27"/>
      <c r="AP299" s="27"/>
      <c r="AQ299" s="23" t="str">
        <f aca="false">D299&amp;"|"&amp;TEXT(U299,"yyyy-mm-dd")</f>
        <v>구약|2027-12-30</v>
      </c>
      <c r="AR299" s="24" t="s">
        <v>3371</v>
      </c>
      <c r="AS299" s="24"/>
    </row>
    <row r="300" customFormat="false" ht="26.85" hidden="false" customHeight="false" outlineLevel="0" collapsed="false">
      <c r="A300" s="21" t="n">
        <v>299</v>
      </c>
      <c r="B300" s="18" t="s">
        <v>3372</v>
      </c>
      <c r="C300" s="23" t="n">
        <v>2</v>
      </c>
      <c r="D300" s="23" t="s">
        <v>160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3331</v>
      </c>
      <c r="H300" s="18" t="s">
        <v>3332</v>
      </c>
      <c r="I300" s="21" t="s">
        <v>3185</v>
      </c>
      <c r="J300" s="22" t="s">
        <v>3373</v>
      </c>
      <c r="K300" s="23" t="s">
        <v>165</v>
      </c>
      <c r="L300" s="24" t="s">
        <v>3374</v>
      </c>
      <c r="M300" s="24" t="s">
        <v>3375</v>
      </c>
      <c r="N300" s="23" t="s">
        <v>3376</v>
      </c>
      <c r="O300" s="24" t="s">
        <v>3377</v>
      </c>
      <c r="P300" s="24" t="s">
        <v>3378</v>
      </c>
      <c r="Q300" s="24" t="s">
        <v>3379</v>
      </c>
      <c r="R300" s="25" t="s">
        <v>3380</v>
      </c>
      <c r="S300" s="24" t="s">
        <v>3370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174</v>
      </c>
      <c r="Y300" s="23" t="s">
        <v>174</v>
      </c>
      <c r="Z300" s="23" t="s">
        <v>174</v>
      </c>
      <c r="AA300" s="23" t="s">
        <v>174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  <c r="AE300" s="24" t="str">
        <f aca="false">M300&amp;" | 열왕기하 13장 #"&amp;SUBSTITUTE(안내!$C$5," ","")</f>
        <v>죽은 사람이 엘리사의 뼈에 닿자 살아났다 | 열왕기하 13장 #1분성경</v>
      </c>
      <c r="AF300" s="24" t="s">
        <v>304</v>
      </c>
      <c r="AG300" s="24"/>
      <c r="AH300" s="23" t="s">
        <v>290</v>
      </c>
      <c r="AI300" s="26" t="n">
        <f aca="false">U300-안내!$C$12</f>
        <v>46724</v>
      </c>
      <c r="AJ300" s="23" t="str">
        <f aca="false">IF(U300&lt;IF(C300=1,안내!$C$9,안내!$C$10)+안내!$C$12,"시즌 시작 전 제작","")</f>
        <v/>
      </c>
      <c r="AK300" s="24" t="s">
        <v>3217</v>
      </c>
      <c r="AL300" s="27"/>
      <c r="AM300" s="27"/>
      <c r="AN300" s="27"/>
      <c r="AO300" s="27"/>
      <c r="AP300" s="27"/>
      <c r="AQ300" s="23" t="str">
        <f aca="false">D300&amp;"|"&amp;TEXT(U300,"yyyy-mm-dd")</f>
        <v>구약|2027-12-31</v>
      </c>
      <c r="AR300" s="24" t="s">
        <v>3381</v>
      </c>
      <c r="AS300" s="24"/>
    </row>
    <row r="301" customFormat="false" ht="26.85" hidden="false" customHeight="false" outlineLevel="0" collapsed="false">
      <c r="A301" s="21" t="n">
        <v>300</v>
      </c>
      <c r="B301" s="18" t="s">
        <v>3382</v>
      </c>
      <c r="C301" s="23" t="n">
        <v>2</v>
      </c>
      <c r="D301" s="23" t="s">
        <v>160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3331</v>
      </c>
      <c r="H301" s="18" t="s">
        <v>3332</v>
      </c>
      <c r="I301" s="21" t="s">
        <v>3185</v>
      </c>
      <c r="J301" s="22" t="s">
        <v>3383</v>
      </c>
      <c r="K301" s="23" t="s">
        <v>1370</v>
      </c>
      <c r="L301" s="24" t="s">
        <v>3384</v>
      </c>
      <c r="M301" s="24" t="s">
        <v>3385</v>
      </c>
      <c r="N301" s="23" t="s">
        <v>3386</v>
      </c>
      <c r="O301" s="24" t="s">
        <v>3387</v>
      </c>
      <c r="P301" s="24" t="s">
        <v>3388</v>
      </c>
      <c r="Q301" s="24" t="s">
        <v>3079</v>
      </c>
      <c r="R301" s="28" t="s">
        <v>3389</v>
      </c>
      <c r="S301" s="24" t="s">
        <v>3370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174</v>
      </c>
      <c r="Y301" s="23" t="s">
        <v>174</v>
      </c>
      <c r="Z301" s="23" t="s">
        <v>174</v>
      </c>
      <c r="AA301" s="23" t="s">
        <v>174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  <c r="AE301" s="24" t="str">
        <f aca="false">M301&amp;" | 열왕기하 14~16장 #"&amp;SUBSTITUTE(안내!$C$5," ","")</f>
        <v>하나님은 아직 이스라엘을 버리지 않으셨다 | 열왕기하 14~16장 #1분성경</v>
      </c>
      <c r="AF301" s="24" t="s">
        <v>304</v>
      </c>
      <c r="AG301" s="24"/>
      <c r="AH301" s="23" t="s">
        <v>290</v>
      </c>
      <c r="AI301" s="26" t="n">
        <f aca="false">U301-안내!$C$12</f>
        <v>46725</v>
      </c>
      <c r="AJ301" s="23" t="str">
        <f aca="false">IF(U301&lt;IF(C301=1,안내!$C$9,안내!$C$10)+안내!$C$12,"시즌 시작 전 제작","")</f>
        <v/>
      </c>
      <c r="AK301" s="24"/>
      <c r="AL301" s="27"/>
      <c r="AM301" s="27"/>
      <c r="AN301" s="27"/>
      <c r="AO301" s="27"/>
      <c r="AP301" s="27"/>
      <c r="AQ301" s="23" t="str">
        <f aca="false">D301&amp;"|"&amp;TEXT(U301,"yyyy-mm-dd")</f>
        <v>구약|2028-01-01</v>
      </c>
      <c r="AR301" s="24" t="s">
        <v>3390</v>
      </c>
      <c r="AS301" s="24"/>
    </row>
    <row r="302" customFormat="false" ht="52.2" hidden="false" customHeight="false" outlineLevel="0" collapsed="false">
      <c r="A302" s="21" t="n">
        <v>301</v>
      </c>
      <c r="B302" s="18" t="s">
        <v>3391</v>
      </c>
      <c r="C302" s="20" t="n">
        <v>1</v>
      </c>
      <c r="D302" s="20" t="s">
        <v>160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3331</v>
      </c>
      <c r="H302" s="18" t="s">
        <v>3242</v>
      </c>
      <c r="I302" s="21" t="s">
        <v>3185</v>
      </c>
      <c r="J302" s="22" t="s">
        <v>3392</v>
      </c>
      <c r="K302" s="23" t="s">
        <v>165</v>
      </c>
      <c r="L302" s="24" t="s">
        <v>3393</v>
      </c>
      <c r="M302" s="24" t="s">
        <v>3394</v>
      </c>
      <c r="N302" s="23" t="s">
        <v>3395</v>
      </c>
      <c r="O302" s="24" t="s">
        <v>3396</v>
      </c>
      <c r="P302" s="24" t="s">
        <v>3397</v>
      </c>
      <c r="Q302" s="24" t="s">
        <v>3398</v>
      </c>
      <c r="R302" s="24"/>
      <c r="S302" s="29" t="s">
        <v>3399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174</v>
      </c>
      <c r="Y302" s="23" t="s">
        <v>174</v>
      </c>
      <c r="Z302" s="23" t="s">
        <v>174</v>
      </c>
      <c r="AA302" s="23" t="s">
        <v>174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  <c r="AE302" s="24" t="str">
        <f aca="false">M302&amp;" | 열왕기하 17장 #"&amp;SUBSTITUTE(안내!$C$5," ","")</f>
        <v>왜 이스라엘은 망했을까? | 열왕기하 17장 #1분성경</v>
      </c>
      <c r="AF302" s="24" t="s">
        <v>3400</v>
      </c>
      <c r="AG302" s="24"/>
      <c r="AH302" s="23" t="s">
        <v>176</v>
      </c>
      <c r="AI302" s="26" t="n">
        <f aca="false">U302-안내!$C$12</f>
        <v>46489</v>
      </c>
      <c r="AJ302" s="23" t="str">
        <f aca="false">IF(U302&lt;IF(C302=1,안내!$C$9,안내!$C$10)+안내!$C$12,"시즌 시작 전 제작","")</f>
        <v/>
      </c>
      <c r="AK302" s="24"/>
      <c r="AL302" s="27"/>
      <c r="AM302" s="27"/>
      <c r="AN302" s="27"/>
      <c r="AO302" s="27"/>
      <c r="AP302" s="27"/>
      <c r="AQ302" s="23" t="str">
        <f aca="false">D302&amp;"|"&amp;TEXT(U302,"yyyy-mm-dd")</f>
        <v>구약|2027-05-10</v>
      </c>
      <c r="AR302" s="24" t="s">
        <v>3401</v>
      </c>
      <c r="AS302" s="24"/>
    </row>
    <row r="303" customFormat="false" ht="26.85" hidden="false" customHeight="false" outlineLevel="0" collapsed="false">
      <c r="A303" s="21" t="n">
        <v>302</v>
      </c>
      <c r="B303" s="18" t="s">
        <v>3402</v>
      </c>
      <c r="C303" s="23" t="n">
        <v>2</v>
      </c>
      <c r="D303" s="23" t="s">
        <v>160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3403</v>
      </c>
      <c r="H303" s="18" t="s">
        <v>3332</v>
      </c>
      <c r="I303" s="21" t="s">
        <v>3185</v>
      </c>
      <c r="J303" s="22" t="s">
        <v>3404</v>
      </c>
      <c r="K303" s="23" t="s">
        <v>165</v>
      </c>
      <c r="L303" s="24" t="s">
        <v>3405</v>
      </c>
      <c r="M303" s="24" t="s">
        <v>3406</v>
      </c>
      <c r="N303" s="23" t="s">
        <v>3407</v>
      </c>
      <c r="O303" s="24" t="s">
        <v>3408</v>
      </c>
      <c r="P303" s="24" t="s">
        <v>3409</v>
      </c>
      <c r="Q303" s="24" t="s">
        <v>3410</v>
      </c>
      <c r="R303" s="24"/>
      <c r="S303" s="24" t="s">
        <v>3411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174</v>
      </c>
      <c r="Y303" s="23" t="s">
        <v>174</v>
      </c>
      <c r="Z303" s="23" t="s">
        <v>174</v>
      </c>
      <c r="AA303" s="23" t="s">
        <v>174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  <c r="AE303" s="24" t="str">
        <f aca="false">M303&amp;" | 열왕기하 18장 #"&amp;SUBSTITUTE(안내!$C$5," ","")</f>
        <v>앗수르 장군이 하나님을 조롱했다 | 열왕기하 18장 #1분성경</v>
      </c>
      <c r="AF303" s="24" t="s">
        <v>304</v>
      </c>
      <c r="AG303" s="24" t="s">
        <v>3412</v>
      </c>
      <c r="AH303" s="23" t="s">
        <v>290</v>
      </c>
      <c r="AI303" s="26" t="n">
        <f aca="false">U303-안내!$C$12</f>
        <v>46726</v>
      </c>
      <c r="AJ303" s="23" t="str">
        <f aca="false">IF(U303&lt;IF(C303=1,안내!$C$9,안내!$C$10)+안내!$C$12,"시즌 시작 전 제작","")</f>
        <v/>
      </c>
      <c r="AK303" s="24"/>
      <c r="AL303" s="27"/>
      <c r="AM303" s="27"/>
      <c r="AN303" s="27"/>
      <c r="AO303" s="27"/>
      <c r="AP303" s="27"/>
      <c r="AQ303" s="23" t="str">
        <f aca="false">D303&amp;"|"&amp;TEXT(U303,"yyyy-mm-dd")</f>
        <v>구약|2028-01-02</v>
      </c>
      <c r="AR303" s="24" t="s">
        <v>3413</v>
      </c>
      <c r="AS303" s="24"/>
    </row>
    <row r="304" customFormat="false" ht="39.55" hidden="false" customHeight="false" outlineLevel="0" collapsed="false">
      <c r="A304" s="21" t="n">
        <v>303</v>
      </c>
      <c r="B304" s="18" t="s">
        <v>3414</v>
      </c>
      <c r="C304" s="20" t="n">
        <v>1</v>
      </c>
      <c r="D304" s="20" t="s">
        <v>160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3403</v>
      </c>
      <c r="H304" s="18" t="s">
        <v>3242</v>
      </c>
      <c r="I304" s="21" t="s">
        <v>3185</v>
      </c>
      <c r="J304" s="22" t="s">
        <v>3415</v>
      </c>
      <c r="K304" s="23" t="s">
        <v>165</v>
      </c>
      <c r="L304" s="24" t="s">
        <v>3416</v>
      </c>
      <c r="M304" s="24" t="s">
        <v>3417</v>
      </c>
      <c r="N304" s="23" t="s">
        <v>3418</v>
      </c>
      <c r="O304" s="24" t="s">
        <v>3419</v>
      </c>
      <c r="P304" s="24" t="s">
        <v>3420</v>
      </c>
      <c r="Q304" s="24" t="s">
        <v>3421</v>
      </c>
      <c r="R304" s="25" t="s">
        <v>3422</v>
      </c>
      <c r="S304" s="29" t="s">
        <v>3423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174</v>
      </c>
      <c r="Y304" s="23" t="s">
        <v>174</v>
      </c>
      <c r="Z304" s="23" t="s">
        <v>174</v>
      </c>
      <c r="AA304" s="23" t="s">
        <v>174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  <c r="AE304" s="24" t="str">
        <f aca="false">M304&amp;" | 열왕기하 19장 #"&amp;SUBSTITUTE(안내!$C$5," ","")</f>
        <v>하룻밤에 18만 5천 명이 | 열왕기하 19장 #1분성경</v>
      </c>
      <c r="AF304" s="24" t="s">
        <v>3424</v>
      </c>
      <c r="AG304" s="24"/>
      <c r="AH304" s="23" t="s">
        <v>360</v>
      </c>
      <c r="AI304" s="26" t="n">
        <f aca="false">U304-안내!$C$12</f>
        <v>46490</v>
      </c>
      <c r="AJ304" s="23" t="str">
        <f aca="false">IF(U304&lt;IF(C304=1,안내!$C$9,안내!$C$10)+안내!$C$12,"시즌 시작 전 제작","")</f>
        <v/>
      </c>
      <c r="AK304" s="24"/>
      <c r="AL304" s="27"/>
      <c r="AM304" s="27"/>
      <c r="AN304" s="27"/>
      <c r="AO304" s="27"/>
      <c r="AP304" s="27"/>
      <c r="AQ304" s="23" t="str">
        <f aca="false">D304&amp;"|"&amp;TEXT(U304,"yyyy-mm-dd")</f>
        <v>구약|2027-05-11</v>
      </c>
      <c r="AR304" s="24" t="s">
        <v>3425</v>
      </c>
      <c r="AS304" s="24" t="s">
        <v>292</v>
      </c>
    </row>
    <row r="305" customFormat="false" ht="39.55" hidden="false" customHeight="false" outlineLevel="0" collapsed="false">
      <c r="A305" s="21" t="n">
        <v>304</v>
      </c>
      <c r="B305" s="18" t="s">
        <v>3426</v>
      </c>
      <c r="C305" s="23" t="n">
        <v>2</v>
      </c>
      <c r="D305" s="23" t="s">
        <v>160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3403</v>
      </c>
      <c r="H305" s="18" t="s">
        <v>3332</v>
      </c>
      <c r="I305" s="21" t="s">
        <v>3185</v>
      </c>
      <c r="J305" s="22" t="s">
        <v>3427</v>
      </c>
      <c r="K305" s="23" t="s">
        <v>165</v>
      </c>
      <c r="L305" s="24" t="s">
        <v>3428</v>
      </c>
      <c r="M305" s="24" t="s">
        <v>3429</v>
      </c>
      <c r="N305" s="23" t="s">
        <v>3430</v>
      </c>
      <c r="O305" s="24" t="s">
        <v>3431</v>
      </c>
      <c r="P305" s="24" t="s">
        <v>3432</v>
      </c>
      <c r="Q305" s="24" t="s">
        <v>3433</v>
      </c>
      <c r="R305" s="24"/>
      <c r="S305" s="24" t="s">
        <v>3434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174</v>
      </c>
      <c r="Y305" s="23" t="s">
        <v>174</v>
      </c>
      <c r="Z305" s="23" t="s">
        <v>174</v>
      </c>
      <c r="AA305" s="23" t="s">
        <v>174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  <c r="AE305" s="24" t="str">
        <f aca="false">M305&amp;" | 열왕기하 20장 #"&amp;SUBSTITUTE(안내!$C$5," ","")</f>
        <v>해 그림자가 뒤로 물러갔다 | 열왕기하 20장 #1분성경</v>
      </c>
      <c r="AF305" s="24" t="s">
        <v>304</v>
      </c>
      <c r="AG305" s="24"/>
      <c r="AH305" s="23" t="s">
        <v>290</v>
      </c>
      <c r="AI305" s="26" t="n">
        <f aca="false">U305-안내!$C$12</f>
        <v>46727</v>
      </c>
      <c r="AJ305" s="23" t="str">
        <f aca="false">IF(U305&lt;IF(C305=1,안내!$C$9,안내!$C$10)+안내!$C$12,"시즌 시작 전 제작","")</f>
        <v/>
      </c>
      <c r="AK305" s="24"/>
      <c r="AL305" s="27"/>
      <c r="AM305" s="27"/>
      <c r="AN305" s="27"/>
      <c r="AO305" s="27"/>
      <c r="AP305" s="27"/>
      <c r="AQ305" s="23" t="str">
        <f aca="false">D305&amp;"|"&amp;TEXT(U305,"yyyy-mm-dd")</f>
        <v>구약|2028-01-03</v>
      </c>
      <c r="AR305" s="24" t="s">
        <v>3435</v>
      </c>
      <c r="AS305" s="24"/>
    </row>
    <row r="306" customFormat="false" ht="26.85" hidden="false" customHeight="false" outlineLevel="0" collapsed="false">
      <c r="A306" s="21" t="n">
        <v>305</v>
      </c>
      <c r="B306" s="18" t="s">
        <v>3436</v>
      </c>
      <c r="C306" s="23" t="n">
        <v>2</v>
      </c>
      <c r="D306" s="23" t="s">
        <v>160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3403</v>
      </c>
      <c r="H306" s="18" t="s">
        <v>3332</v>
      </c>
      <c r="I306" s="21" t="s">
        <v>3185</v>
      </c>
      <c r="J306" s="22" t="s">
        <v>3437</v>
      </c>
      <c r="K306" s="23" t="s">
        <v>165</v>
      </c>
      <c r="L306" s="24" t="s">
        <v>3438</v>
      </c>
      <c r="M306" s="30" t="s">
        <v>3439</v>
      </c>
      <c r="N306" s="23" t="s">
        <v>3440</v>
      </c>
      <c r="O306" s="24" t="s">
        <v>3441</v>
      </c>
      <c r="P306" s="24" t="s">
        <v>3442</v>
      </c>
      <c r="Q306" s="24" t="s">
        <v>2856</v>
      </c>
      <c r="R306" s="28" t="s">
        <v>3443</v>
      </c>
      <c r="S306" s="24" t="s">
        <v>3434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174</v>
      </c>
      <c r="Y306" s="23" t="s">
        <v>174</v>
      </c>
      <c r="Z306" s="23" t="s">
        <v>174</v>
      </c>
      <c r="AA306" s="23" t="s">
        <v>174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  <c r="AE306" s="24" t="str">
        <f aca="false">M306&amp;" | 열왕기하 21장 #"&amp;SUBSTITUTE(안내!$C$5," ","")</f>
        <v>55년 동안 다스린 최악의 왕 | 열왕기하 21장 #1분성경</v>
      </c>
      <c r="AF306" s="24" t="s">
        <v>304</v>
      </c>
      <c r="AG306" s="24"/>
      <c r="AH306" s="23" t="s">
        <v>360</v>
      </c>
      <c r="AI306" s="26" t="n">
        <f aca="false">U306-안내!$C$12</f>
        <v>46728</v>
      </c>
      <c r="AJ306" s="23" t="str">
        <f aca="false">IF(U306&lt;IF(C306=1,안내!$C$9,안내!$C$10)+안내!$C$12,"시즌 시작 전 제작","")</f>
        <v/>
      </c>
      <c r="AK306" s="24"/>
      <c r="AL306" s="27"/>
      <c r="AM306" s="27"/>
      <c r="AN306" s="27"/>
      <c r="AO306" s="27"/>
      <c r="AP306" s="27"/>
      <c r="AQ306" s="23" t="str">
        <f aca="false">D306&amp;"|"&amp;TEXT(U306,"yyyy-mm-dd")</f>
        <v>구약|2028-01-04</v>
      </c>
      <c r="AR306" s="24" t="s">
        <v>3444</v>
      </c>
      <c r="AS306" s="24"/>
    </row>
    <row r="307" customFormat="false" ht="39.55" hidden="false" customHeight="false" outlineLevel="0" collapsed="false">
      <c r="A307" s="21" t="n">
        <v>306</v>
      </c>
      <c r="B307" s="18" t="s">
        <v>3445</v>
      </c>
      <c r="C307" s="20" t="n">
        <v>1</v>
      </c>
      <c r="D307" s="20" t="s">
        <v>160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3403</v>
      </c>
      <c r="H307" s="18" t="s">
        <v>3242</v>
      </c>
      <c r="I307" s="21" t="s">
        <v>3185</v>
      </c>
      <c r="J307" s="22" t="s">
        <v>3446</v>
      </c>
      <c r="K307" s="23" t="s">
        <v>165</v>
      </c>
      <c r="L307" s="24" t="s">
        <v>3447</v>
      </c>
      <c r="M307" s="24" t="s">
        <v>3448</v>
      </c>
      <c r="N307" s="23" t="s">
        <v>3449</v>
      </c>
      <c r="O307" s="24" t="s">
        <v>3450</v>
      </c>
      <c r="P307" s="24" t="s">
        <v>3451</v>
      </c>
      <c r="Q307" s="24" t="s">
        <v>3369</v>
      </c>
      <c r="R307" s="24"/>
      <c r="S307" s="29" t="s">
        <v>3452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174</v>
      </c>
      <c r="Y307" s="23" t="s">
        <v>174</v>
      </c>
      <c r="Z307" s="23" t="s">
        <v>174</v>
      </c>
      <c r="AA307" s="23" t="s">
        <v>174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  <c r="AE307" s="24" t="str">
        <f aca="false">M307&amp;" | 열왕기하 22장 #"&amp;SUBSTITUTE(안내!$C$5," ","")</f>
        <v>잊혀진 율법책이 발견되었다 | 열왕기하 22장 #1분성경</v>
      </c>
      <c r="AF307" s="24" t="s">
        <v>3453</v>
      </c>
      <c r="AG307" s="24"/>
      <c r="AH307" s="23" t="s">
        <v>290</v>
      </c>
      <c r="AI307" s="26" t="n">
        <f aca="false">U307-안내!$C$12</f>
        <v>46491</v>
      </c>
      <c r="AJ307" s="23" t="str">
        <f aca="false">IF(U307&lt;IF(C307=1,안내!$C$9,안내!$C$10)+안내!$C$12,"시즌 시작 전 제작","")</f>
        <v/>
      </c>
      <c r="AK307" s="24"/>
      <c r="AL307" s="27"/>
      <c r="AM307" s="27"/>
      <c r="AN307" s="27"/>
      <c r="AO307" s="27"/>
      <c r="AP307" s="27"/>
      <c r="AQ307" s="23" t="str">
        <f aca="false">D307&amp;"|"&amp;TEXT(U307,"yyyy-mm-dd")</f>
        <v>구약|2027-05-12</v>
      </c>
      <c r="AR307" s="24" t="s">
        <v>3454</v>
      </c>
      <c r="AS307" s="24"/>
    </row>
    <row r="308" customFormat="false" ht="39.55" hidden="false" customHeight="false" outlineLevel="0" collapsed="false">
      <c r="A308" s="21" t="n">
        <v>307</v>
      </c>
      <c r="B308" s="18" t="s">
        <v>3455</v>
      </c>
      <c r="C308" s="23" t="n">
        <v>2</v>
      </c>
      <c r="D308" s="23" t="s">
        <v>160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3403</v>
      </c>
      <c r="H308" s="18" t="s">
        <v>3332</v>
      </c>
      <c r="I308" s="21" t="s">
        <v>3185</v>
      </c>
      <c r="J308" s="22" t="s">
        <v>3456</v>
      </c>
      <c r="K308" s="23" t="s">
        <v>165</v>
      </c>
      <c r="L308" s="24" t="s">
        <v>3457</v>
      </c>
      <c r="M308" s="24" t="s">
        <v>3458</v>
      </c>
      <c r="N308" s="23" t="s">
        <v>3459</v>
      </c>
      <c r="O308" s="24" t="s">
        <v>3460</v>
      </c>
      <c r="P308" s="24" t="s">
        <v>3461</v>
      </c>
      <c r="Q308" s="24" t="s">
        <v>3462</v>
      </c>
      <c r="R308" s="24"/>
      <c r="S308" s="24" t="s">
        <v>3463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174</v>
      </c>
      <c r="Y308" s="23" t="s">
        <v>174</v>
      </c>
      <c r="Z308" s="23" t="s">
        <v>174</v>
      </c>
      <c r="AA308" s="23" t="s">
        <v>174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  <c r="AE308" s="24" t="str">
        <f aca="false">M308&amp;" | 열왕기하 23장 #"&amp;SUBSTITUTE(안내!$C$5," ","")</f>
        <v>이런 왕은 전에도 후에도 없었다 | 열왕기하 23장 #1분성경</v>
      </c>
      <c r="AF308" s="24" t="s">
        <v>304</v>
      </c>
      <c r="AG308" s="24"/>
      <c r="AH308" s="23" t="s">
        <v>290</v>
      </c>
      <c r="AI308" s="26" t="n">
        <f aca="false">U308-안내!$C$12</f>
        <v>46729</v>
      </c>
      <c r="AJ308" s="23" t="str">
        <f aca="false">IF(U308&lt;IF(C308=1,안내!$C$9,안내!$C$10)+안내!$C$12,"시즌 시작 전 제작","")</f>
        <v/>
      </c>
      <c r="AK308" s="24"/>
      <c r="AL308" s="27"/>
      <c r="AM308" s="27"/>
      <c r="AN308" s="27"/>
      <c r="AO308" s="27"/>
      <c r="AP308" s="27"/>
      <c r="AQ308" s="23" t="str">
        <f aca="false">D308&amp;"|"&amp;TEXT(U308,"yyyy-mm-dd")</f>
        <v>구약|2028-01-05</v>
      </c>
      <c r="AR308" s="24" t="s">
        <v>3464</v>
      </c>
      <c r="AS308" s="24" t="s">
        <v>292</v>
      </c>
    </row>
    <row r="309" customFormat="false" ht="26.85" hidden="false" customHeight="false" outlineLevel="0" collapsed="false">
      <c r="A309" s="21" t="n">
        <v>308</v>
      </c>
      <c r="B309" s="18" t="s">
        <v>3465</v>
      </c>
      <c r="C309" s="23" t="n">
        <v>2</v>
      </c>
      <c r="D309" s="23" t="s">
        <v>160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3403</v>
      </c>
      <c r="H309" s="18" t="s">
        <v>3332</v>
      </c>
      <c r="I309" s="21" t="s">
        <v>3185</v>
      </c>
      <c r="J309" s="22" t="s">
        <v>3466</v>
      </c>
      <c r="K309" s="23" t="s">
        <v>165</v>
      </c>
      <c r="L309" s="24" t="s">
        <v>3467</v>
      </c>
      <c r="M309" s="24" t="s">
        <v>3468</v>
      </c>
      <c r="N309" s="23" t="s">
        <v>3469</v>
      </c>
      <c r="O309" s="24" t="s">
        <v>3470</v>
      </c>
      <c r="P309" s="24" t="s">
        <v>3471</v>
      </c>
      <c r="Q309" s="24" t="s">
        <v>3472</v>
      </c>
      <c r="R309" s="24"/>
      <c r="S309" s="24" t="s">
        <v>3463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174</v>
      </c>
      <c r="Y309" s="23" t="s">
        <v>174</v>
      </c>
      <c r="Z309" s="23" t="s">
        <v>174</v>
      </c>
      <c r="AA309" s="23" t="s">
        <v>174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  <c r="AE309" s="24" t="str">
        <f aca="false">M309&amp;" | 열왕기하 23~24장 #"&amp;SUBSTITUTE(안내!$C$5," ","")</f>
        <v>바벨론 포로가 시작되다(다니엘의 시대) | 열왕기하 23~24장 #1분성경</v>
      </c>
      <c r="AF309" s="24" t="s">
        <v>304</v>
      </c>
      <c r="AG309" s="24"/>
      <c r="AH309" s="23" t="s">
        <v>290</v>
      </c>
      <c r="AI309" s="26" t="n">
        <f aca="false">U309-안내!$C$12</f>
        <v>46730</v>
      </c>
      <c r="AJ309" s="23" t="str">
        <f aca="false">IF(U309&lt;IF(C309=1,안내!$C$9,안내!$C$10)+안내!$C$12,"시즌 시작 전 제작","")</f>
        <v/>
      </c>
      <c r="AK309" s="24"/>
      <c r="AL309" s="27"/>
      <c r="AM309" s="27"/>
      <c r="AN309" s="27"/>
      <c r="AO309" s="27"/>
      <c r="AP309" s="27"/>
      <c r="AQ309" s="23" t="str">
        <f aca="false">D309&amp;"|"&amp;TEXT(U309,"yyyy-mm-dd")</f>
        <v>구약|2028-01-06</v>
      </c>
      <c r="AR309" s="24" t="s">
        <v>3473</v>
      </c>
      <c r="AS309" s="24"/>
    </row>
    <row r="310" customFormat="false" ht="39.55" hidden="false" customHeight="false" outlineLevel="0" collapsed="false">
      <c r="A310" s="21" t="n">
        <v>309</v>
      </c>
      <c r="B310" s="18" t="s">
        <v>3474</v>
      </c>
      <c r="C310" s="20" t="n">
        <v>1</v>
      </c>
      <c r="D310" s="20" t="s">
        <v>160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3403</v>
      </c>
      <c r="H310" s="18" t="s">
        <v>3242</v>
      </c>
      <c r="I310" s="21" t="s">
        <v>3185</v>
      </c>
      <c r="J310" s="22" t="s">
        <v>3475</v>
      </c>
      <c r="K310" s="23" t="s">
        <v>165</v>
      </c>
      <c r="L310" s="24" t="s">
        <v>3476</v>
      </c>
      <c r="M310" s="24" t="s">
        <v>3477</v>
      </c>
      <c r="N310" s="23" t="s">
        <v>3478</v>
      </c>
      <c r="O310" s="24" t="s">
        <v>3479</v>
      </c>
      <c r="P310" s="24" t="s">
        <v>3480</v>
      </c>
      <c r="Q310" s="24" t="s">
        <v>3481</v>
      </c>
      <c r="R310" s="25" t="s">
        <v>3482</v>
      </c>
      <c r="S310" s="29" t="s">
        <v>3483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174</v>
      </c>
      <c r="Y310" s="23" t="s">
        <v>174</v>
      </c>
      <c r="Z310" s="23" t="s">
        <v>174</v>
      </c>
      <c r="AA310" s="23" t="s">
        <v>174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  <c r="AE310" s="24" t="str">
        <f aca="false">M310&amp;" | 열왕기하 25장 #"&amp;SUBSTITUTE(안내!$C$5," ","")</f>
        <v>모든 것이 무너진 뒤 감옥에서 풀려난 왕 | 열왕기하 25장 #1분성경</v>
      </c>
      <c r="AF310" s="24" t="s">
        <v>3484</v>
      </c>
      <c r="AG310" s="24"/>
      <c r="AH310" s="23" t="s">
        <v>290</v>
      </c>
      <c r="AI310" s="26" t="n">
        <f aca="false">U310-안내!$C$12</f>
        <v>46492</v>
      </c>
      <c r="AJ310" s="23" t="str">
        <f aca="false">IF(U310&lt;IF(C310=1,안내!$C$9,안내!$C$10)+안내!$C$12,"시즌 시작 전 제작","")</f>
        <v/>
      </c>
      <c r="AK310" s="24"/>
      <c r="AL310" s="27"/>
      <c r="AM310" s="27"/>
      <c r="AN310" s="27"/>
      <c r="AO310" s="27"/>
      <c r="AP310" s="27"/>
      <c r="AQ310" s="23" t="str">
        <f aca="false">D310&amp;"|"&amp;TEXT(U310,"yyyy-mm-dd")</f>
        <v>구약|2027-05-13</v>
      </c>
      <c r="AR310" s="24" t="s">
        <v>3485</v>
      </c>
      <c r="AS310" s="24"/>
    </row>
    <row r="311" customFormat="false" ht="26.85" hidden="false" customHeight="false" outlineLevel="0" collapsed="false">
      <c r="A311" s="21" t="n">
        <v>310</v>
      </c>
      <c r="B311" s="18" t="s">
        <v>3486</v>
      </c>
      <c r="C311" s="23" t="n">
        <v>2</v>
      </c>
      <c r="D311" s="23" t="s">
        <v>160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3487</v>
      </c>
      <c r="H311" s="18" t="s">
        <v>3488</v>
      </c>
      <c r="I311" s="21" t="s">
        <v>3489</v>
      </c>
      <c r="J311" s="22" t="s">
        <v>3490</v>
      </c>
      <c r="K311" s="23" t="s">
        <v>1370</v>
      </c>
      <c r="L311" s="24" t="s">
        <v>3491</v>
      </c>
      <c r="M311" s="24" t="s">
        <v>3492</v>
      </c>
      <c r="N311" s="23" t="s">
        <v>3493</v>
      </c>
      <c r="O311" s="24" t="s">
        <v>3494</v>
      </c>
      <c r="P311" s="24" t="s">
        <v>3495</v>
      </c>
      <c r="Q311" s="24" t="s">
        <v>322</v>
      </c>
      <c r="R311" s="24"/>
      <c r="S311" s="24" t="s">
        <v>3496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174</v>
      </c>
      <c r="Y311" s="23" t="s">
        <v>174</v>
      </c>
      <c r="Z311" s="23" t="s">
        <v>174</v>
      </c>
      <c r="AA311" s="23" t="s">
        <v>174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  <c r="AE311" s="24" t="str">
        <f aca="false">M311&amp;" | 역대상 1~9장 #"&amp;SUBSTITUTE(안내!$C$5," ","")</f>
        <v>이 긴 이름들을 왜 기록했을까? | 역대상 1~9장 #1분성경</v>
      </c>
      <c r="AF311" s="24" t="s">
        <v>304</v>
      </c>
      <c r="AG311" s="24"/>
      <c r="AH311" s="23" t="s">
        <v>176</v>
      </c>
      <c r="AI311" s="26" t="n">
        <f aca="false">U311-안내!$C$12</f>
        <v>46731</v>
      </c>
      <c r="AJ311" s="23" t="str">
        <f aca="false">IF(U311&lt;IF(C311=1,안내!$C$9,안내!$C$10)+안내!$C$12,"시즌 시작 전 제작","")</f>
        <v/>
      </c>
      <c r="AK311" s="24"/>
      <c r="AL311" s="27"/>
      <c r="AM311" s="27"/>
      <c r="AN311" s="27"/>
      <c r="AO311" s="27"/>
      <c r="AP311" s="27"/>
      <c r="AQ311" s="23" t="str">
        <f aca="false">D311&amp;"|"&amp;TEXT(U311,"yyyy-mm-dd")</f>
        <v>구약|2028-01-07</v>
      </c>
      <c r="AR311" s="24" t="s">
        <v>3497</v>
      </c>
      <c r="AS311" s="24"/>
    </row>
    <row r="312" customFormat="false" ht="52.2" hidden="false" customHeight="false" outlineLevel="0" collapsed="false">
      <c r="A312" s="21" t="n">
        <v>311</v>
      </c>
      <c r="B312" s="18" t="s">
        <v>3498</v>
      </c>
      <c r="C312" s="23" t="n">
        <v>2</v>
      </c>
      <c r="D312" s="23" t="s">
        <v>160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3487</v>
      </c>
      <c r="H312" s="18" t="s">
        <v>3488</v>
      </c>
      <c r="I312" s="21" t="s">
        <v>3489</v>
      </c>
      <c r="J312" s="22" t="s">
        <v>3499</v>
      </c>
      <c r="K312" s="23" t="s">
        <v>1370</v>
      </c>
      <c r="L312" s="24" t="s">
        <v>3500</v>
      </c>
      <c r="M312" s="24" t="s">
        <v>3501</v>
      </c>
      <c r="N312" s="23" t="s">
        <v>3502</v>
      </c>
      <c r="O312" s="24" t="s">
        <v>3503</v>
      </c>
      <c r="P312" s="24" t="s">
        <v>3504</v>
      </c>
      <c r="Q312" s="24" t="s">
        <v>3505</v>
      </c>
      <c r="R312" s="25" t="s">
        <v>3506</v>
      </c>
      <c r="S312" s="24" t="s">
        <v>3496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174</v>
      </c>
      <c r="Y312" s="23" t="s">
        <v>174</v>
      </c>
      <c r="Z312" s="23" t="s">
        <v>174</v>
      </c>
      <c r="AA312" s="23" t="s">
        <v>174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  <c r="AE312" s="24" t="str">
        <f aca="false">M312&amp;" | 역대상 4장 #"&amp;SUBSTITUTE(안내!$C$5," ","")</f>
        <v>고통이라는 이름을 가진 사람의 기도 | 역대상 4장 #1분성경</v>
      </c>
      <c r="AF312" s="24" t="s">
        <v>304</v>
      </c>
      <c r="AG312" s="24"/>
      <c r="AH312" s="23" t="s">
        <v>290</v>
      </c>
      <c r="AI312" s="26" t="n">
        <f aca="false">U312-안내!$C$12</f>
        <v>46732</v>
      </c>
      <c r="AJ312" s="23" t="str">
        <f aca="false">IF(U312&lt;IF(C312=1,안내!$C$9,안내!$C$10)+안내!$C$12,"시즌 시작 전 제작","")</f>
        <v/>
      </c>
      <c r="AK312" s="24"/>
      <c r="AL312" s="27"/>
      <c r="AM312" s="27"/>
      <c r="AN312" s="27"/>
      <c r="AO312" s="27"/>
      <c r="AP312" s="27"/>
      <c r="AQ312" s="23" t="str">
        <f aca="false">D312&amp;"|"&amp;TEXT(U312,"yyyy-mm-dd")</f>
        <v>구약|2028-01-08</v>
      </c>
      <c r="AR312" s="24" t="s">
        <v>3507</v>
      </c>
      <c r="AS312" s="24"/>
    </row>
    <row r="313" customFormat="false" ht="26.85" hidden="false" customHeight="false" outlineLevel="0" collapsed="false">
      <c r="A313" s="21" t="n">
        <v>312</v>
      </c>
      <c r="B313" s="18" t="s">
        <v>3508</v>
      </c>
      <c r="C313" s="23" t="n">
        <v>2</v>
      </c>
      <c r="D313" s="23" t="s">
        <v>160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3487</v>
      </c>
      <c r="H313" s="18" t="s">
        <v>3488</v>
      </c>
      <c r="I313" s="21" t="s">
        <v>3489</v>
      </c>
      <c r="J313" s="22" t="s">
        <v>3509</v>
      </c>
      <c r="K313" s="23" t="s">
        <v>1370</v>
      </c>
      <c r="L313" s="24" t="s">
        <v>3510</v>
      </c>
      <c r="M313" s="24" t="s">
        <v>3511</v>
      </c>
      <c r="N313" s="23" t="s">
        <v>3512</v>
      </c>
      <c r="O313" s="24" t="s">
        <v>3513</v>
      </c>
      <c r="P313" s="24" t="s">
        <v>3514</v>
      </c>
      <c r="Q313" s="24" t="s">
        <v>3515</v>
      </c>
      <c r="R313" s="24"/>
      <c r="S313" s="24" t="s">
        <v>3496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174</v>
      </c>
      <c r="Y313" s="23" t="s">
        <v>174</v>
      </c>
      <c r="Z313" s="23" t="s">
        <v>174</v>
      </c>
      <c r="AA313" s="23" t="s">
        <v>174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  <c r="AE313" s="24" t="str">
        <f aca="false">M313&amp;" | 역대상 10~12장 #"&amp;SUBSTITUTE(안내!$C$5," ","")</f>
        <v>하나님이 다윗을 점점 강하게 하셨다 | 역대상 10~12장 #1분성경</v>
      </c>
      <c r="AF313" s="24" t="s">
        <v>304</v>
      </c>
      <c r="AG313" s="24"/>
      <c r="AH313" s="23" t="s">
        <v>290</v>
      </c>
      <c r="AI313" s="26" t="n">
        <f aca="false">U313-안내!$C$12</f>
        <v>46733</v>
      </c>
      <c r="AJ313" s="23" t="str">
        <f aca="false">IF(U313&lt;IF(C313=1,안내!$C$9,안내!$C$10)+안내!$C$12,"시즌 시작 전 제작","")</f>
        <v/>
      </c>
      <c r="AK313" s="24" t="s">
        <v>2608</v>
      </c>
      <c r="AL313" s="27"/>
      <c r="AM313" s="27"/>
      <c r="AN313" s="27"/>
      <c r="AO313" s="27"/>
      <c r="AP313" s="27"/>
      <c r="AQ313" s="23" t="str">
        <f aca="false">D313&amp;"|"&amp;TEXT(U313,"yyyy-mm-dd")</f>
        <v>구약|2028-01-09</v>
      </c>
      <c r="AR313" s="24" t="s">
        <v>3516</v>
      </c>
      <c r="AS313" s="24"/>
    </row>
    <row r="314" customFormat="false" ht="26.85" hidden="false" customHeight="false" outlineLevel="0" collapsed="false">
      <c r="A314" s="21" t="n">
        <v>313</v>
      </c>
      <c r="B314" s="18" t="s">
        <v>3517</v>
      </c>
      <c r="C314" s="23" t="n">
        <v>2</v>
      </c>
      <c r="D314" s="23" t="s">
        <v>160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3487</v>
      </c>
      <c r="H314" s="18" t="s">
        <v>3488</v>
      </c>
      <c r="I314" s="21" t="s">
        <v>3489</v>
      </c>
      <c r="J314" s="22" t="s">
        <v>3518</v>
      </c>
      <c r="K314" s="23" t="s">
        <v>1370</v>
      </c>
      <c r="L314" s="24" t="s">
        <v>3519</v>
      </c>
      <c r="M314" s="24" t="s">
        <v>3520</v>
      </c>
      <c r="N314" s="23" t="s">
        <v>3521</v>
      </c>
      <c r="O314" s="24" t="s">
        <v>3522</v>
      </c>
      <c r="P314" s="24" t="s">
        <v>3523</v>
      </c>
      <c r="Q314" s="24" t="s">
        <v>3524</v>
      </c>
      <c r="R314" s="24"/>
      <c r="S314" s="24" t="s">
        <v>3496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174</v>
      </c>
      <c r="Y314" s="23" t="s">
        <v>174</v>
      </c>
      <c r="Z314" s="23" t="s">
        <v>174</v>
      </c>
      <c r="AA314" s="23" t="s">
        <v>174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  <c r="AE314" s="24" t="str">
        <f aca="false">M314&amp;" | 역대상 13~16장 #"&amp;SUBSTITUTE(안내!$C$5," ","")</f>
        <v>다윗이 만든 감사 찬양 | 역대상 13~16장 #1분성경</v>
      </c>
      <c r="AF314" s="24" t="s">
        <v>304</v>
      </c>
      <c r="AG314" s="24"/>
      <c r="AH314" s="23" t="s">
        <v>290</v>
      </c>
      <c r="AI314" s="26" t="n">
        <f aca="false">U314-안내!$C$12</f>
        <v>46734</v>
      </c>
      <c r="AJ314" s="23" t="str">
        <f aca="false">IF(U314&lt;IF(C314=1,안내!$C$9,안내!$C$10)+안내!$C$12,"시즌 시작 전 제작","")</f>
        <v/>
      </c>
      <c r="AK314" s="24" t="s">
        <v>2608</v>
      </c>
      <c r="AL314" s="27"/>
      <c r="AM314" s="27"/>
      <c r="AN314" s="27"/>
      <c r="AO314" s="27"/>
      <c r="AP314" s="27"/>
      <c r="AQ314" s="23" t="str">
        <f aca="false">D314&amp;"|"&amp;TEXT(U314,"yyyy-mm-dd")</f>
        <v>구약|2028-01-10</v>
      </c>
      <c r="AR314" s="24" t="s">
        <v>3522</v>
      </c>
      <c r="AS314" s="24"/>
    </row>
    <row r="315" customFormat="false" ht="26.85" hidden="false" customHeight="false" outlineLevel="0" collapsed="false">
      <c r="A315" s="21" t="n">
        <v>314</v>
      </c>
      <c r="B315" s="18" t="s">
        <v>3525</v>
      </c>
      <c r="C315" s="23" t="n">
        <v>2</v>
      </c>
      <c r="D315" s="23" t="s">
        <v>160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3487</v>
      </c>
      <c r="H315" s="18" t="s">
        <v>3488</v>
      </c>
      <c r="I315" s="21" t="s">
        <v>3489</v>
      </c>
      <c r="J315" s="22" t="s">
        <v>3526</v>
      </c>
      <c r="K315" s="23" t="s">
        <v>1370</v>
      </c>
      <c r="L315" s="24" t="s">
        <v>3527</v>
      </c>
      <c r="M315" s="24" t="s">
        <v>3528</v>
      </c>
      <c r="N315" s="23" t="s">
        <v>3529</v>
      </c>
      <c r="O315" s="24" t="s">
        <v>3530</v>
      </c>
      <c r="P315" s="24" t="s">
        <v>3531</v>
      </c>
      <c r="Q315" s="24" t="s">
        <v>3532</v>
      </c>
      <c r="R315" s="25" t="s">
        <v>2931</v>
      </c>
      <c r="S315" s="24" t="s">
        <v>3496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174</v>
      </c>
      <c r="Y315" s="23" t="s">
        <v>174</v>
      </c>
      <c r="Z315" s="23" t="s">
        <v>174</v>
      </c>
      <c r="AA315" s="23" t="s">
        <v>174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  <c r="AE315" s="24" t="str">
        <f aca="false">M315&amp;" | 역대상 17~21장 #"&amp;SUBSTITUTE(안내!$C$5," ","")</f>
        <v>성전이 세워질 자리가 정해진 날 | 역대상 17~21장 #1분성경</v>
      </c>
      <c r="AF315" s="24" t="s">
        <v>304</v>
      </c>
      <c r="AG315" s="24"/>
      <c r="AH315" s="23" t="s">
        <v>290</v>
      </c>
      <c r="AI315" s="26" t="n">
        <f aca="false">U315-안내!$C$12</f>
        <v>46735</v>
      </c>
      <c r="AJ315" s="23" t="str">
        <f aca="false">IF(U315&lt;IF(C315=1,안내!$C$9,안내!$C$10)+안내!$C$12,"시즌 시작 전 제작","")</f>
        <v/>
      </c>
      <c r="AK315" s="24" t="s">
        <v>2608</v>
      </c>
      <c r="AL315" s="27"/>
      <c r="AM315" s="27"/>
      <c r="AN315" s="27"/>
      <c r="AO315" s="27"/>
      <c r="AP315" s="27"/>
      <c r="AQ315" s="23" t="str">
        <f aca="false">D315&amp;"|"&amp;TEXT(U315,"yyyy-mm-dd")</f>
        <v>구약|2028-01-11</v>
      </c>
      <c r="AR315" s="24" t="s">
        <v>3533</v>
      </c>
      <c r="AS315" s="24"/>
    </row>
    <row r="316" customFormat="false" ht="39.55" hidden="false" customHeight="false" outlineLevel="0" collapsed="false">
      <c r="A316" s="21" t="n">
        <v>315</v>
      </c>
      <c r="B316" s="18" t="s">
        <v>3534</v>
      </c>
      <c r="C316" s="23" t="n">
        <v>2</v>
      </c>
      <c r="D316" s="23" t="s">
        <v>160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3487</v>
      </c>
      <c r="H316" s="18" t="s">
        <v>3488</v>
      </c>
      <c r="I316" s="21" t="s">
        <v>3489</v>
      </c>
      <c r="J316" s="22" t="s">
        <v>3535</v>
      </c>
      <c r="K316" s="23" t="s">
        <v>1370</v>
      </c>
      <c r="L316" s="24" t="s">
        <v>3536</v>
      </c>
      <c r="M316" s="24" t="s">
        <v>3537</v>
      </c>
      <c r="N316" s="23" t="s">
        <v>3538</v>
      </c>
      <c r="O316" s="24" t="s">
        <v>3539</v>
      </c>
      <c r="P316" s="24" t="s">
        <v>3540</v>
      </c>
      <c r="Q316" s="24" t="s">
        <v>3541</v>
      </c>
      <c r="R316" s="24"/>
      <c r="S316" s="24" t="s">
        <v>3496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174</v>
      </c>
      <c r="Y316" s="23" t="s">
        <v>174</v>
      </c>
      <c r="Z316" s="23" t="s">
        <v>174</v>
      </c>
      <c r="AA316" s="23" t="s">
        <v>174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  <c r="AE316" s="24" t="str">
        <f aca="false">M316&amp;" | 역대상 22~27장 #"&amp;SUBSTITUTE(안내!$C$5," ","")</f>
        <v>짓지는 못해도 모든 것을 준비했다 | 역대상 22~27장 #1분성경</v>
      </c>
      <c r="AF316" s="24" t="s">
        <v>304</v>
      </c>
      <c r="AG316" s="24"/>
      <c r="AH316" s="23" t="s">
        <v>290</v>
      </c>
      <c r="AI316" s="26" t="n">
        <f aca="false">U316-안내!$C$12</f>
        <v>46736</v>
      </c>
      <c r="AJ316" s="23" t="str">
        <f aca="false">IF(U316&lt;IF(C316=1,안내!$C$9,안내!$C$10)+안내!$C$12,"시즌 시작 전 제작","")</f>
        <v/>
      </c>
      <c r="AK316" s="24" t="s">
        <v>2945</v>
      </c>
      <c r="AL316" s="27"/>
      <c r="AM316" s="27"/>
      <c r="AN316" s="27"/>
      <c r="AO316" s="27"/>
      <c r="AP316" s="27"/>
      <c r="AQ316" s="23" t="str">
        <f aca="false">D316&amp;"|"&amp;TEXT(U316,"yyyy-mm-dd")</f>
        <v>구약|2028-01-12</v>
      </c>
      <c r="AR316" s="24" t="s">
        <v>3542</v>
      </c>
      <c r="AS316" s="24"/>
    </row>
    <row r="317" customFormat="false" ht="39.55" hidden="false" customHeight="false" outlineLevel="0" collapsed="false">
      <c r="A317" s="21" t="n">
        <v>316</v>
      </c>
      <c r="B317" s="18" t="s">
        <v>3543</v>
      </c>
      <c r="C317" s="23" t="n">
        <v>2</v>
      </c>
      <c r="D317" s="23" t="s">
        <v>160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3487</v>
      </c>
      <c r="H317" s="18" t="s">
        <v>3488</v>
      </c>
      <c r="I317" s="21" t="s">
        <v>3489</v>
      </c>
      <c r="J317" s="22" t="s">
        <v>3544</v>
      </c>
      <c r="K317" s="23" t="s">
        <v>1370</v>
      </c>
      <c r="L317" s="24" t="s">
        <v>3545</v>
      </c>
      <c r="M317" s="24" t="s">
        <v>3546</v>
      </c>
      <c r="N317" s="23" t="s">
        <v>3547</v>
      </c>
      <c r="O317" s="24" t="s">
        <v>3548</v>
      </c>
      <c r="P317" s="24" t="s">
        <v>3549</v>
      </c>
      <c r="Q317" s="24" t="s">
        <v>3550</v>
      </c>
      <c r="R317" s="24"/>
      <c r="S317" s="24" t="s">
        <v>3496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174</v>
      </c>
      <c r="Y317" s="23" t="s">
        <v>174</v>
      </c>
      <c r="Z317" s="23" t="s">
        <v>174</v>
      </c>
      <c r="AA317" s="23" t="s">
        <v>174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  <c r="AE317" s="24" t="str">
        <f aca="false">M317&amp;" | 역대상 28~29장 #"&amp;SUBSTITUTE(안내!$C$5," ","")</f>
        <v>다윗의 마지막 기도 | 역대상 28~29장 #1분성경</v>
      </c>
      <c r="AF317" s="24" t="s">
        <v>304</v>
      </c>
      <c r="AG317" s="24"/>
      <c r="AH317" s="23" t="s">
        <v>290</v>
      </c>
      <c r="AI317" s="26" t="n">
        <f aca="false">U317-안내!$C$12</f>
        <v>46737</v>
      </c>
      <c r="AJ317" s="23" t="str">
        <f aca="false">IF(U317&lt;IF(C317=1,안내!$C$9,안내!$C$10)+안내!$C$12,"시즌 시작 전 제작","")</f>
        <v/>
      </c>
      <c r="AK317" s="24" t="s">
        <v>2945</v>
      </c>
      <c r="AL317" s="27"/>
      <c r="AM317" s="27"/>
      <c r="AN317" s="27"/>
      <c r="AO317" s="27"/>
      <c r="AP317" s="27"/>
      <c r="AQ317" s="23" t="str">
        <f aca="false">D317&amp;"|"&amp;TEXT(U317,"yyyy-mm-dd")</f>
        <v>구약|2028-01-13</v>
      </c>
      <c r="AR317" s="24" t="s">
        <v>3551</v>
      </c>
      <c r="AS317" s="24"/>
    </row>
    <row r="318" customFormat="false" ht="39.55" hidden="false" customHeight="false" outlineLevel="0" collapsed="false">
      <c r="A318" s="21" t="n">
        <v>317</v>
      </c>
      <c r="B318" s="18" t="s">
        <v>3552</v>
      </c>
      <c r="C318" s="23" t="n">
        <v>2</v>
      </c>
      <c r="D318" s="23" t="s">
        <v>160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3553</v>
      </c>
      <c r="H318" s="18" t="s">
        <v>3488</v>
      </c>
      <c r="I318" s="21" t="s">
        <v>3554</v>
      </c>
      <c r="J318" s="22" t="s">
        <v>3555</v>
      </c>
      <c r="K318" s="23" t="s">
        <v>1370</v>
      </c>
      <c r="L318" s="24" t="s">
        <v>3556</v>
      </c>
      <c r="M318" s="24" t="s">
        <v>3557</v>
      </c>
      <c r="N318" s="23" t="s">
        <v>3558</v>
      </c>
      <c r="O318" s="24" t="s">
        <v>3559</v>
      </c>
      <c r="P318" s="24" t="s">
        <v>2962</v>
      </c>
      <c r="Q318" s="24" t="s">
        <v>3560</v>
      </c>
      <c r="R318" s="24"/>
      <c r="S318" s="24" t="s">
        <v>3496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174</v>
      </c>
      <c r="Y318" s="23" t="s">
        <v>174</v>
      </c>
      <c r="Z318" s="23" t="s">
        <v>174</v>
      </c>
      <c r="AA318" s="23" t="s">
        <v>174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  <c r="AE318" s="24" t="str">
        <f aca="false">M318&amp;" | 역대하 1~9장 #"&amp;SUBSTITUTE(안내!$C$5," ","")</f>
        <v>성전 봉헌 밤에 하나님이 하신 약속 | 역대하 1~9장 #1분성경</v>
      </c>
      <c r="AF318" s="24" t="s">
        <v>304</v>
      </c>
      <c r="AG318" s="24"/>
      <c r="AH318" s="23" t="s">
        <v>290</v>
      </c>
      <c r="AI318" s="26" t="n">
        <f aca="false">U318-안내!$C$12</f>
        <v>46738</v>
      </c>
      <c r="AJ318" s="23" t="str">
        <f aca="false">IF(U318&lt;IF(C318=1,안내!$C$9,안내!$C$10)+안내!$C$12,"시즌 시작 전 제작","")</f>
        <v/>
      </c>
      <c r="AK318" s="24" t="s">
        <v>2967</v>
      </c>
      <c r="AL318" s="27"/>
      <c r="AM318" s="27"/>
      <c r="AN318" s="27"/>
      <c r="AO318" s="27"/>
      <c r="AP318" s="27"/>
      <c r="AQ318" s="23" t="str">
        <f aca="false">D318&amp;"|"&amp;TEXT(U318,"yyyy-mm-dd")</f>
        <v>구약|2028-01-14</v>
      </c>
      <c r="AR318" s="24" t="s">
        <v>3561</v>
      </c>
      <c r="AS318" s="24"/>
    </row>
    <row r="319" customFormat="false" ht="39.55" hidden="false" customHeight="false" outlineLevel="0" collapsed="false">
      <c r="A319" s="21" t="n">
        <v>318</v>
      </c>
      <c r="B319" s="18" t="s">
        <v>3562</v>
      </c>
      <c r="C319" s="23" t="n">
        <v>2</v>
      </c>
      <c r="D319" s="23" t="s">
        <v>160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3553</v>
      </c>
      <c r="H319" s="18" t="s">
        <v>3488</v>
      </c>
      <c r="I319" s="21" t="s">
        <v>3554</v>
      </c>
      <c r="J319" s="22" t="s">
        <v>3563</v>
      </c>
      <c r="K319" s="23" t="s">
        <v>1370</v>
      </c>
      <c r="L319" s="24" t="s">
        <v>3564</v>
      </c>
      <c r="M319" s="24" t="s">
        <v>3565</v>
      </c>
      <c r="N319" s="23" t="s">
        <v>3566</v>
      </c>
      <c r="O319" s="24" t="s">
        <v>3567</v>
      </c>
      <c r="P319" s="24" t="s">
        <v>3568</v>
      </c>
      <c r="Q319" s="24" t="s">
        <v>2856</v>
      </c>
      <c r="R319" s="24"/>
      <c r="S319" s="24" t="s">
        <v>3496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174</v>
      </c>
      <c r="Y319" s="23" t="s">
        <v>174</v>
      </c>
      <c r="Z319" s="23" t="s">
        <v>174</v>
      </c>
      <c r="AA319" s="23" t="s">
        <v>174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  <c r="AE319" s="24" t="str">
        <f aca="false">M319&amp;" | 역대하 10~19장 #"&amp;SUBSTITUTE(안내!$C$5," ","")</f>
        <v>하나님의 눈은 지금도 찾고 계신다 | 역대하 10~19장 #1분성경</v>
      </c>
      <c r="AF319" s="24" t="s">
        <v>304</v>
      </c>
      <c r="AG319" s="24"/>
      <c r="AH319" s="23" t="s">
        <v>290</v>
      </c>
      <c r="AI319" s="26" t="n">
        <f aca="false">U319-안내!$C$12</f>
        <v>46739</v>
      </c>
      <c r="AJ319" s="23" t="str">
        <f aca="false">IF(U319&lt;IF(C319=1,안내!$C$9,안내!$C$10)+안내!$C$12,"시즌 시작 전 제작","")</f>
        <v/>
      </c>
      <c r="AK319" s="24"/>
      <c r="AL319" s="27"/>
      <c r="AM319" s="27"/>
      <c r="AN319" s="27"/>
      <c r="AO319" s="27"/>
      <c r="AP319" s="27"/>
      <c r="AQ319" s="23" t="str">
        <f aca="false">D319&amp;"|"&amp;TEXT(U319,"yyyy-mm-dd")</f>
        <v>구약|2028-01-15</v>
      </c>
      <c r="AR319" s="24" t="s">
        <v>3569</v>
      </c>
      <c r="AS319" s="24"/>
    </row>
    <row r="320" customFormat="false" ht="52.2" hidden="false" customHeight="false" outlineLevel="0" collapsed="false">
      <c r="A320" s="21" t="n">
        <v>319</v>
      </c>
      <c r="B320" s="18" t="s">
        <v>3570</v>
      </c>
      <c r="C320" s="20" t="n">
        <v>1</v>
      </c>
      <c r="D320" s="20" t="s">
        <v>160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3553</v>
      </c>
      <c r="H320" s="18" t="s">
        <v>3571</v>
      </c>
      <c r="I320" s="21" t="s">
        <v>3554</v>
      </c>
      <c r="J320" s="22" t="s">
        <v>3572</v>
      </c>
      <c r="K320" s="23" t="s">
        <v>1370</v>
      </c>
      <c r="L320" s="24" t="s">
        <v>3573</v>
      </c>
      <c r="M320" s="24" t="s">
        <v>3574</v>
      </c>
      <c r="N320" s="23" t="s">
        <v>3575</v>
      </c>
      <c r="O320" s="24" t="s">
        <v>3576</v>
      </c>
      <c r="P320" s="24" t="s">
        <v>3577</v>
      </c>
      <c r="Q320" s="24" t="s">
        <v>3578</v>
      </c>
      <c r="R320" s="24"/>
      <c r="S320" s="29" t="s">
        <v>3579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174</v>
      </c>
      <c r="Y320" s="23" t="s">
        <v>174</v>
      </c>
      <c r="Z320" s="23" t="s">
        <v>174</v>
      </c>
      <c r="AA320" s="23" t="s">
        <v>174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  <c r="AE320" s="24" t="str">
        <f aca="false">M320&amp;" | 역대하 20장 #"&amp;SUBSTITUTE(안내!$C$5," ","")</f>
        <v>군대보다 찬양대를 먼저 보낸 왕 | 역대하 20장 #1분성경</v>
      </c>
      <c r="AF320" s="24" t="s">
        <v>3580</v>
      </c>
      <c r="AG320" s="24"/>
      <c r="AH320" s="23" t="s">
        <v>290</v>
      </c>
      <c r="AI320" s="26" t="n">
        <f aca="false">U320-안내!$C$12</f>
        <v>46493</v>
      </c>
      <c r="AJ320" s="23" t="str">
        <f aca="false">IF(U320&lt;IF(C320=1,안내!$C$9,안내!$C$10)+안내!$C$12,"시즌 시작 전 제작","")</f>
        <v/>
      </c>
      <c r="AK320" s="24"/>
      <c r="AL320" s="27"/>
      <c r="AM320" s="27"/>
      <c r="AN320" s="27"/>
      <c r="AO320" s="27"/>
      <c r="AP320" s="27"/>
      <c r="AQ320" s="23" t="str">
        <f aca="false">D320&amp;"|"&amp;TEXT(U320,"yyyy-mm-dd")</f>
        <v>구약|2027-05-14</v>
      </c>
      <c r="AR320" s="24" t="s">
        <v>3581</v>
      </c>
      <c r="AS320" s="24"/>
    </row>
    <row r="321" customFormat="false" ht="26.85" hidden="false" customHeight="false" outlineLevel="0" collapsed="false">
      <c r="A321" s="21" t="n">
        <v>320</v>
      </c>
      <c r="B321" s="18" t="s">
        <v>3582</v>
      </c>
      <c r="C321" s="23" t="n">
        <v>2</v>
      </c>
      <c r="D321" s="23" t="s">
        <v>160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3553</v>
      </c>
      <c r="H321" s="18" t="s">
        <v>3488</v>
      </c>
      <c r="I321" s="21" t="s">
        <v>3554</v>
      </c>
      <c r="J321" s="22" t="s">
        <v>3583</v>
      </c>
      <c r="K321" s="23" t="s">
        <v>1370</v>
      </c>
      <c r="L321" s="24" t="s">
        <v>3584</v>
      </c>
      <c r="M321" s="24" t="s">
        <v>3585</v>
      </c>
      <c r="N321" s="23" t="s">
        <v>3586</v>
      </c>
      <c r="O321" s="24" t="s">
        <v>3587</v>
      </c>
      <c r="P321" s="24" t="s">
        <v>3588</v>
      </c>
      <c r="Q321" s="24" t="s">
        <v>3589</v>
      </c>
      <c r="R321" s="24"/>
      <c r="S321" s="24" t="s">
        <v>3590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174</v>
      </c>
      <c r="Y321" s="23" t="s">
        <v>174</v>
      </c>
      <c r="Z321" s="23" t="s">
        <v>174</v>
      </c>
      <c r="AA321" s="23" t="s">
        <v>174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  <c r="AE321" s="24" t="str">
        <f aca="false">M321&amp;" | 역대하 20~28장 #"&amp;SUBSTITUTE(안내!$C$5," ","")</f>
        <v>강해지자 마음이 높아졌다 | 역대하 20~28장 #1분성경</v>
      </c>
      <c r="AF321" s="24" t="s">
        <v>304</v>
      </c>
      <c r="AG321" s="24"/>
      <c r="AH321" s="23" t="s">
        <v>290</v>
      </c>
      <c r="AI321" s="26" t="n">
        <f aca="false">U321-안내!$C$12</f>
        <v>46740</v>
      </c>
      <c r="AJ321" s="23" t="str">
        <f aca="false">IF(U321&lt;IF(C321=1,안내!$C$9,안내!$C$10)+안내!$C$12,"시즌 시작 전 제작","")</f>
        <v/>
      </c>
      <c r="AK321" s="24"/>
      <c r="AL321" s="27"/>
      <c r="AM321" s="27"/>
      <c r="AN321" s="27"/>
      <c r="AO321" s="27"/>
      <c r="AP321" s="27"/>
      <c r="AQ321" s="23" t="str">
        <f aca="false">D321&amp;"|"&amp;TEXT(U321,"yyyy-mm-dd")</f>
        <v>구약|2028-01-16</v>
      </c>
      <c r="AR321" s="24" t="s">
        <v>3591</v>
      </c>
      <c r="AS321" s="24"/>
    </row>
    <row r="322" customFormat="false" ht="52.2" hidden="false" customHeight="false" outlineLevel="0" collapsed="false">
      <c r="A322" s="21" t="n">
        <v>321</v>
      </c>
      <c r="B322" s="18" t="s">
        <v>3592</v>
      </c>
      <c r="C322" s="23" t="n">
        <v>2</v>
      </c>
      <c r="D322" s="23" t="s">
        <v>160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3553</v>
      </c>
      <c r="H322" s="18" t="s">
        <v>3488</v>
      </c>
      <c r="I322" s="21" t="s">
        <v>3554</v>
      </c>
      <c r="J322" s="22" t="s">
        <v>3593</v>
      </c>
      <c r="K322" s="23" t="s">
        <v>1370</v>
      </c>
      <c r="L322" s="24" t="s">
        <v>3594</v>
      </c>
      <c r="M322" s="24" t="s">
        <v>3595</v>
      </c>
      <c r="N322" s="23" t="s">
        <v>3596</v>
      </c>
      <c r="O322" s="24" t="s">
        <v>3597</v>
      </c>
      <c r="P322" s="24" t="s">
        <v>3598</v>
      </c>
      <c r="Q322" s="24" t="s">
        <v>3599</v>
      </c>
      <c r="R322" s="24"/>
      <c r="S322" s="24" t="s">
        <v>3590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174</v>
      </c>
      <c r="Y322" s="23" t="s">
        <v>174</v>
      </c>
      <c r="Z322" s="23" t="s">
        <v>174</v>
      </c>
      <c r="AA322" s="23" t="s">
        <v>174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  <c r="AE322" s="24" t="str">
        <f aca="false">M322&amp;" | 역대하 29~32장 #"&amp;SUBSTITUTE(안내!$C$5," ","")</f>
        <v>떠나간 형제들에게 보낸 초대장 | 역대하 29~32장 #1분성경</v>
      </c>
      <c r="AF322" s="24" t="s">
        <v>304</v>
      </c>
      <c r="AG322" s="24"/>
      <c r="AH322" s="23" t="s">
        <v>290</v>
      </c>
      <c r="AI322" s="26" t="n">
        <f aca="false">U322-안내!$C$12</f>
        <v>46741</v>
      </c>
      <c r="AJ322" s="23" t="str">
        <f aca="false">IF(U322&lt;IF(C322=1,안내!$C$9,안내!$C$10)+안내!$C$12,"시즌 시작 전 제작","")</f>
        <v/>
      </c>
      <c r="AK322" s="24"/>
      <c r="AL322" s="27"/>
      <c r="AM322" s="27"/>
      <c r="AN322" s="27"/>
      <c r="AO322" s="27"/>
      <c r="AP322" s="27"/>
      <c r="AQ322" s="23" t="str">
        <f aca="false">D322&amp;"|"&amp;TEXT(U322,"yyyy-mm-dd")</f>
        <v>구약|2028-01-17</v>
      </c>
      <c r="AR322" s="24" t="s">
        <v>3600</v>
      </c>
      <c r="AS322" s="24"/>
    </row>
    <row r="323" customFormat="false" ht="39.55" hidden="false" customHeight="false" outlineLevel="0" collapsed="false">
      <c r="A323" s="21" t="n">
        <v>322</v>
      </c>
      <c r="B323" s="18" t="s">
        <v>3601</v>
      </c>
      <c r="C323" s="20" t="n">
        <v>1</v>
      </c>
      <c r="D323" s="20" t="s">
        <v>160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3553</v>
      </c>
      <c r="H323" s="18" t="s">
        <v>3571</v>
      </c>
      <c r="I323" s="21" t="s">
        <v>3554</v>
      </c>
      <c r="J323" s="22" t="s">
        <v>3602</v>
      </c>
      <c r="K323" s="23" t="s">
        <v>1370</v>
      </c>
      <c r="L323" s="24" t="s">
        <v>3603</v>
      </c>
      <c r="M323" s="24" t="s">
        <v>3604</v>
      </c>
      <c r="N323" s="23" t="s">
        <v>3605</v>
      </c>
      <c r="O323" s="24" t="s">
        <v>3606</v>
      </c>
      <c r="P323" s="24" t="s">
        <v>3607</v>
      </c>
      <c r="Q323" s="24" t="s">
        <v>3608</v>
      </c>
      <c r="R323" s="24"/>
      <c r="S323" s="29" t="s">
        <v>3609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174</v>
      </c>
      <c r="Y323" s="23" t="s">
        <v>174</v>
      </c>
      <c r="Z323" s="23" t="s">
        <v>174</v>
      </c>
      <c r="AA323" s="23" t="s">
        <v>174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  <c r="AE323" s="24" t="str">
        <f aca="false">M323&amp;" | 역대하 33장 #"&amp;SUBSTITUTE(안내!$C$5," ","")</f>
        <v>쇠사슬에 묶여 끌려간 뒤에 드린 기도 | 역대하 33장 #1분성경</v>
      </c>
      <c r="AF323" s="24" t="s">
        <v>3610</v>
      </c>
      <c r="AG323" s="24"/>
      <c r="AH323" s="23" t="s">
        <v>290</v>
      </c>
      <c r="AI323" s="26" t="n">
        <f aca="false">U323-안내!$C$12</f>
        <v>46494</v>
      </c>
      <c r="AJ323" s="23" t="str">
        <f aca="false">IF(U323&lt;IF(C323=1,안내!$C$9,안내!$C$10)+안내!$C$12,"시즌 시작 전 제작","")</f>
        <v/>
      </c>
      <c r="AK323" s="24"/>
      <c r="AL323" s="27"/>
      <c r="AM323" s="27"/>
      <c r="AN323" s="27"/>
      <c r="AO323" s="27"/>
      <c r="AP323" s="27"/>
      <c r="AQ323" s="23" t="str">
        <f aca="false">D323&amp;"|"&amp;TEXT(U323,"yyyy-mm-dd")</f>
        <v>구약|2027-05-15</v>
      </c>
      <c r="AR323" s="24" t="s">
        <v>3611</v>
      </c>
      <c r="AS323" s="24" t="s">
        <v>292</v>
      </c>
    </row>
    <row r="324" customFormat="false" ht="39.55" hidden="false" customHeight="false" outlineLevel="0" collapsed="false">
      <c r="A324" s="21" t="n">
        <v>323</v>
      </c>
      <c r="B324" s="18" t="s">
        <v>3612</v>
      </c>
      <c r="C324" s="23" t="n">
        <v>2</v>
      </c>
      <c r="D324" s="23" t="s">
        <v>160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3553</v>
      </c>
      <c r="H324" s="18" t="s">
        <v>3488</v>
      </c>
      <c r="I324" s="21" t="s">
        <v>3554</v>
      </c>
      <c r="J324" s="22" t="s">
        <v>3613</v>
      </c>
      <c r="K324" s="23" t="s">
        <v>1370</v>
      </c>
      <c r="L324" s="24" t="s">
        <v>3614</v>
      </c>
      <c r="M324" s="30" t="s">
        <v>3615</v>
      </c>
      <c r="N324" s="23" t="s">
        <v>3616</v>
      </c>
      <c r="O324" s="24" t="s">
        <v>3617</v>
      </c>
      <c r="P324" s="24" t="s">
        <v>3618</v>
      </c>
      <c r="Q324" s="24" t="s">
        <v>2856</v>
      </c>
      <c r="R324" s="24"/>
      <c r="S324" s="24" t="s">
        <v>3619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174</v>
      </c>
      <c r="Y324" s="23" t="s">
        <v>174</v>
      </c>
      <c r="Z324" s="23" t="s">
        <v>174</v>
      </c>
      <c r="AA324" s="23" t="s">
        <v>174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  <c r="AE324" s="24" t="str">
        <f aca="false">M324&amp;" | 역대하 33~35장 #"&amp;SUBSTITUTE(안내!$C$5," ","")</f>
        <v>16세에 하나님을 찾기 시작한 소년 왕 | 역대하 33~35장 #1분성경</v>
      </c>
      <c r="AF324" s="24" t="s">
        <v>304</v>
      </c>
      <c r="AG324" s="24"/>
      <c r="AH324" s="23" t="s">
        <v>360</v>
      </c>
      <c r="AI324" s="26" t="n">
        <f aca="false">U324-안내!$C$12</f>
        <v>46742</v>
      </c>
      <c r="AJ324" s="23" t="str">
        <f aca="false">IF(U324&lt;IF(C324=1,안내!$C$9,안내!$C$10)+안내!$C$12,"시즌 시작 전 제작","")</f>
        <v/>
      </c>
      <c r="AK324" s="24"/>
      <c r="AL324" s="27"/>
      <c r="AM324" s="27"/>
      <c r="AN324" s="27"/>
      <c r="AO324" s="27"/>
      <c r="AP324" s="27"/>
      <c r="AQ324" s="23" t="str">
        <f aca="false">D324&amp;"|"&amp;TEXT(U324,"yyyy-mm-dd")</f>
        <v>구약|2028-01-18</v>
      </c>
      <c r="AR324" s="24" t="s">
        <v>3620</v>
      </c>
      <c r="AS324" s="24" t="s">
        <v>292</v>
      </c>
    </row>
    <row r="325" customFormat="false" ht="52.2" hidden="false" customHeight="false" outlineLevel="0" collapsed="false">
      <c r="A325" s="21" t="n">
        <v>324</v>
      </c>
      <c r="B325" s="18" t="s">
        <v>3621</v>
      </c>
      <c r="C325" s="23" t="n">
        <v>2</v>
      </c>
      <c r="D325" s="23" t="s">
        <v>160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3553</v>
      </c>
      <c r="H325" s="18" t="s">
        <v>3488</v>
      </c>
      <c r="I325" s="21" t="s">
        <v>3554</v>
      </c>
      <c r="J325" s="22" t="s">
        <v>3622</v>
      </c>
      <c r="K325" s="23" t="s">
        <v>1370</v>
      </c>
      <c r="L325" s="24" t="s">
        <v>3623</v>
      </c>
      <c r="M325" s="30" t="s">
        <v>3624</v>
      </c>
      <c r="N325" s="23" t="s">
        <v>3625</v>
      </c>
      <c r="O325" s="24" t="s">
        <v>3626</v>
      </c>
      <c r="P325" s="24" t="s">
        <v>3627</v>
      </c>
      <c r="Q325" s="24" t="s">
        <v>3628</v>
      </c>
      <c r="R325" s="24"/>
      <c r="S325" s="24" t="s">
        <v>3619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174</v>
      </c>
      <c r="Y325" s="23" t="s">
        <v>174</v>
      </c>
      <c r="Z325" s="23" t="s">
        <v>174</v>
      </c>
      <c r="AA325" s="23" t="s">
        <v>174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  <c r="AE325" s="24" t="str">
        <f aca="false">M325&amp;" | 역대하 36장 #"&amp;SUBSTITUTE(안내!$C$5," ","")</f>
        <v>70년 뒤, 이방 왕이 돌아가라고 명령했다 | 역대하 36장 #1분성경</v>
      </c>
      <c r="AF325" s="24" t="s">
        <v>304</v>
      </c>
      <c r="AG325" s="24"/>
      <c r="AH325" s="23" t="s">
        <v>360</v>
      </c>
      <c r="AI325" s="26" t="n">
        <f aca="false">U325-안내!$C$12</f>
        <v>46743</v>
      </c>
      <c r="AJ325" s="23" t="str">
        <f aca="false">IF(U325&lt;IF(C325=1,안내!$C$9,안내!$C$10)+안내!$C$12,"시즌 시작 전 제작","")</f>
        <v/>
      </c>
      <c r="AK325" s="24"/>
      <c r="AL325" s="27"/>
      <c r="AM325" s="27"/>
      <c r="AN325" s="27"/>
      <c r="AO325" s="27"/>
      <c r="AP325" s="27"/>
      <c r="AQ325" s="23" t="str">
        <f aca="false">D325&amp;"|"&amp;TEXT(U325,"yyyy-mm-dd")</f>
        <v>구약|2028-01-19</v>
      </c>
      <c r="AR325" s="24" t="s">
        <v>3629</v>
      </c>
      <c r="AS325" s="24"/>
    </row>
    <row r="326" customFormat="false" ht="52.2" hidden="false" customHeight="false" outlineLevel="0" collapsed="false">
      <c r="A326" s="21" t="n">
        <v>325</v>
      </c>
      <c r="B326" s="18" t="s">
        <v>3630</v>
      </c>
      <c r="C326" s="20" t="n">
        <v>1</v>
      </c>
      <c r="D326" s="20" t="s">
        <v>160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3631</v>
      </c>
      <c r="H326" s="18" t="s">
        <v>3571</v>
      </c>
      <c r="I326" s="21" t="s">
        <v>3632</v>
      </c>
      <c r="J326" s="22" t="s">
        <v>3633</v>
      </c>
      <c r="K326" s="23" t="s">
        <v>165</v>
      </c>
      <c r="L326" s="24" t="s">
        <v>3634</v>
      </c>
      <c r="M326" s="24" t="s">
        <v>3635</v>
      </c>
      <c r="N326" s="23" t="s">
        <v>3636</v>
      </c>
      <c r="O326" s="24" t="s">
        <v>3637</v>
      </c>
      <c r="P326" s="24" t="s">
        <v>3638</v>
      </c>
      <c r="Q326" s="24" t="s">
        <v>3639</v>
      </c>
      <c r="R326" s="24"/>
      <c r="S326" s="29" t="s">
        <v>3640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174</v>
      </c>
      <c r="Y326" s="23" t="s">
        <v>174</v>
      </c>
      <c r="Z326" s="23" t="s">
        <v>174</v>
      </c>
      <c r="AA326" s="23" t="s">
        <v>174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  <c r="AE326" s="24" t="str">
        <f aca="false">M326&amp;" | 에스라 1장 #"&amp;SUBSTITUTE(안내!$C$5," ","")</f>
        <v>이방 왕의 마음을 움직이신 하나님 | 에스라 1장 #1분성경</v>
      </c>
      <c r="AF326" s="30" t="s">
        <v>3641</v>
      </c>
      <c r="AG326" s="24"/>
      <c r="AH326" s="23" t="s">
        <v>290</v>
      </c>
      <c r="AI326" s="26" t="n">
        <f aca="false">U326-안내!$C$12</f>
        <v>46495</v>
      </c>
      <c r="AJ326" s="23" t="str">
        <f aca="false">IF(U326&lt;IF(C326=1,안내!$C$9,안내!$C$10)+안내!$C$12,"시즌 시작 전 제작","")</f>
        <v/>
      </c>
      <c r="AK326" s="24"/>
      <c r="AL326" s="27"/>
      <c r="AM326" s="27"/>
      <c r="AN326" s="27"/>
      <c r="AO326" s="27"/>
      <c r="AP326" s="27"/>
      <c r="AQ326" s="23" t="str">
        <f aca="false">D326&amp;"|"&amp;TEXT(U326,"yyyy-mm-dd")</f>
        <v>구약|2027-05-16</v>
      </c>
      <c r="AR326" s="24" t="s">
        <v>3642</v>
      </c>
      <c r="AS326" s="24"/>
    </row>
    <row r="327" customFormat="false" ht="26.85" hidden="false" customHeight="false" outlineLevel="0" collapsed="false">
      <c r="A327" s="21" t="n">
        <v>326</v>
      </c>
      <c r="B327" s="18" t="s">
        <v>3643</v>
      </c>
      <c r="C327" s="23" t="n">
        <v>2</v>
      </c>
      <c r="D327" s="23" t="s">
        <v>160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3631</v>
      </c>
      <c r="H327" s="18" t="s">
        <v>3644</v>
      </c>
      <c r="I327" s="21" t="s">
        <v>3632</v>
      </c>
      <c r="J327" s="22" t="s">
        <v>3645</v>
      </c>
      <c r="K327" s="23" t="s">
        <v>1370</v>
      </c>
      <c r="L327" s="24" t="s">
        <v>3646</v>
      </c>
      <c r="M327" s="24" t="s">
        <v>3647</v>
      </c>
      <c r="N327" s="23" t="s">
        <v>3648</v>
      </c>
      <c r="O327" s="24" t="s">
        <v>3649</v>
      </c>
      <c r="P327" s="24" t="s">
        <v>3650</v>
      </c>
      <c r="Q327" s="24" t="s">
        <v>3651</v>
      </c>
      <c r="R327" s="24"/>
      <c r="S327" s="24" t="s">
        <v>3652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174</v>
      </c>
      <c r="Y327" s="23" t="s">
        <v>174</v>
      </c>
      <c r="Z327" s="23" t="s">
        <v>174</v>
      </c>
      <c r="AA327" s="23" t="s">
        <v>174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  <c r="AE327" s="24" t="str">
        <f aca="false">M327&amp;" | 에스라 2장 #"&amp;SUBSTITUTE(안내!$C$5," ","")</f>
        <v>약 5만 명이 70년 만에 고향으로 | 에스라 2장 #1분성경</v>
      </c>
      <c r="AF327" s="24" t="s">
        <v>304</v>
      </c>
      <c r="AG327" s="24"/>
      <c r="AH327" s="23" t="s">
        <v>360</v>
      </c>
      <c r="AI327" s="26" t="n">
        <f aca="false">U327-안내!$C$12</f>
        <v>46744</v>
      </c>
      <c r="AJ327" s="23" t="str">
        <f aca="false">IF(U327&lt;IF(C327=1,안내!$C$9,안내!$C$10)+안내!$C$12,"시즌 시작 전 제작","")</f>
        <v/>
      </c>
      <c r="AK327" s="24"/>
      <c r="AL327" s="27"/>
      <c r="AM327" s="27"/>
      <c r="AN327" s="27"/>
      <c r="AO327" s="27"/>
      <c r="AP327" s="27"/>
      <c r="AQ327" s="23" t="str">
        <f aca="false">D327&amp;"|"&amp;TEXT(U327,"yyyy-mm-dd")</f>
        <v>구약|2028-01-20</v>
      </c>
      <c r="AR327" s="24" t="s">
        <v>3653</v>
      </c>
      <c r="AS327" s="24" t="s">
        <v>292</v>
      </c>
    </row>
    <row r="328" customFormat="false" ht="39.55" hidden="false" customHeight="false" outlineLevel="0" collapsed="false">
      <c r="A328" s="21" t="n">
        <v>327</v>
      </c>
      <c r="B328" s="18" t="s">
        <v>3654</v>
      </c>
      <c r="C328" s="20" t="n">
        <v>1</v>
      </c>
      <c r="D328" s="20" t="s">
        <v>160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3631</v>
      </c>
      <c r="H328" s="18" t="s">
        <v>3571</v>
      </c>
      <c r="I328" s="21" t="s">
        <v>3632</v>
      </c>
      <c r="J328" s="22" t="s">
        <v>3655</v>
      </c>
      <c r="K328" s="23" t="s">
        <v>165</v>
      </c>
      <c r="L328" s="24" t="s">
        <v>3656</v>
      </c>
      <c r="M328" s="24" t="s">
        <v>3657</v>
      </c>
      <c r="N328" s="23" t="s">
        <v>3658</v>
      </c>
      <c r="O328" s="24" t="s">
        <v>3659</v>
      </c>
      <c r="P328" s="24" t="s">
        <v>3660</v>
      </c>
      <c r="Q328" s="24" t="s">
        <v>3661</v>
      </c>
      <c r="R328" s="24"/>
      <c r="S328" s="29" t="s">
        <v>3662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174</v>
      </c>
      <c r="Y328" s="23" t="s">
        <v>174</v>
      </c>
      <c r="Z328" s="23" t="s">
        <v>174</v>
      </c>
      <c r="AA328" s="23" t="s">
        <v>174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  <c r="AE328" s="24" t="str">
        <f aca="false">M328&amp;" | 에스라 3장 #"&amp;SUBSTITUTE(안내!$C$5," ","")</f>
        <v>성전 기초를 놓던 날 어떤 이는 울고 어떤 이는 외쳤다 | 에스라 3장 #1분성경</v>
      </c>
      <c r="AF328" s="24" t="s">
        <v>3663</v>
      </c>
      <c r="AG328" s="24"/>
      <c r="AH328" s="23" t="s">
        <v>290</v>
      </c>
      <c r="AI328" s="26" t="n">
        <f aca="false">U328-안내!$C$12</f>
        <v>46496</v>
      </c>
      <c r="AJ328" s="23" t="str">
        <f aca="false">IF(U328&lt;IF(C328=1,안내!$C$9,안내!$C$10)+안내!$C$12,"시즌 시작 전 제작","")</f>
        <v/>
      </c>
      <c r="AK328" s="24"/>
      <c r="AL328" s="27"/>
      <c r="AM328" s="27"/>
      <c r="AN328" s="27"/>
      <c r="AO328" s="27"/>
      <c r="AP328" s="27"/>
      <c r="AQ328" s="23" t="str">
        <f aca="false">D328&amp;"|"&amp;TEXT(U328,"yyyy-mm-dd")</f>
        <v>구약|2027-05-17</v>
      </c>
      <c r="AR328" s="24" t="s">
        <v>3664</v>
      </c>
      <c r="AS328" s="24"/>
    </row>
    <row r="329" customFormat="false" ht="26.85" hidden="false" customHeight="false" outlineLevel="0" collapsed="false">
      <c r="A329" s="21" t="n">
        <v>328</v>
      </c>
      <c r="B329" s="18" t="s">
        <v>3665</v>
      </c>
      <c r="C329" s="23" t="n">
        <v>2</v>
      </c>
      <c r="D329" s="23" t="s">
        <v>160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3631</v>
      </c>
      <c r="H329" s="18" t="s">
        <v>3644</v>
      </c>
      <c r="I329" s="21" t="s">
        <v>3632</v>
      </c>
      <c r="J329" s="22" t="s">
        <v>3666</v>
      </c>
      <c r="K329" s="23" t="s">
        <v>165</v>
      </c>
      <c r="L329" s="24" t="s">
        <v>3667</v>
      </c>
      <c r="M329" s="24" t="s">
        <v>3668</v>
      </c>
      <c r="N329" s="23" t="s">
        <v>3669</v>
      </c>
      <c r="O329" s="24" t="s">
        <v>3670</v>
      </c>
      <c r="P329" s="24" t="s">
        <v>3671</v>
      </c>
      <c r="Q329" s="24" t="s">
        <v>3672</v>
      </c>
      <c r="R329" s="24"/>
      <c r="S329" s="24" t="s">
        <v>3673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174</v>
      </c>
      <c r="Y329" s="23" t="s">
        <v>174</v>
      </c>
      <c r="Z329" s="23" t="s">
        <v>174</v>
      </c>
      <c r="AA329" s="23" t="s">
        <v>174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  <c r="AE329" s="24" t="str">
        <f aca="false">M329&amp;" | 에스라 4장 #"&amp;SUBSTITUTE(안내!$C$5," ","")</f>
        <v>방해 때문에 16년 동안 멈추다 | 에스라 4장 #1분성경</v>
      </c>
      <c r="AF329" s="24" t="s">
        <v>304</v>
      </c>
      <c r="AG329" s="24"/>
      <c r="AH329" s="23" t="s">
        <v>360</v>
      </c>
      <c r="AI329" s="26" t="n">
        <f aca="false">U329-안내!$C$12</f>
        <v>46745</v>
      </c>
      <c r="AJ329" s="23" t="str">
        <f aca="false">IF(U329&lt;IF(C329=1,안내!$C$9,안내!$C$10)+안내!$C$12,"시즌 시작 전 제작","")</f>
        <v/>
      </c>
      <c r="AK329" s="24"/>
      <c r="AL329" s="27"/>
      <c r="AM329" s="27"/>
      <c r="AN329" s="27"/>
      <c r="AO329" s="27"/>
      <c r="AP329" s="27"/>
      <c r="AQ329" s="23" t="str">
        <f aca="false">D329&amp;"|"&amp;TEXT(U329,"yyyy-mm-dd")</f>
        <v>구약|2028-01-21</v>
      </c>
      <c r="AR329" s="24" t="s">
        <v>3674</v>
      </c>
      <c r="AS329" s="24"/>
    </row>
    <row r="330" customFormat="false" ht="39.55" hidden="false" customHeight="false" outlineLevel="0" collapsed="false">
      <c r="A330" s="21" t="n">
        <v>329</v>
      </c>
      <c r="B330" s="18" t="s">
        <v>3675</v>
      </c>
      <c r="C330" s="23" t="n">
        <v>2</v>
      </c>
      <c r="D330" s="23" t="s">
        <v>160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3631</v>
      </c>
      <c r="H330" s="18" t="s">
        <v>3644</v>
      </c>
      <c r="I330" s="21" t="s">
        <v>3632</v>
      </c>
      <c r="J330" s="22" t="s">
        <v>3676</v>
      </c>
      <c r="K330" s="23" t="s">
        <v>165</v>
      </c>
      <c r="L330" s="24" t="s">
        <v>3677</v>
      </c>
      <c r="M330" s="24" t="s">
        <v>3678</v>
      </c>
      <c r="N330" s="23" t="s">
        <v>3679</v>
      </c>
      <c r="O330" s="24" t="s">
        <v>3680</v>
      </c>
      <c r="P330" s="24" t="s">
        <v>3681</v>
      </c>
      <c r="Q330" s="24" t="s">
        <v>3682</v>
      </c>
      <c r="R330" s="24"/>
      <c r="S330" s="24" t="s">
        <v>3673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174</v>
      </c>
      <c r="Y330" s="23" t="s">
        <v>174</v>
      </c>
      <c r="Z330" s="23" t="s">
        <v>174</v>
      </c>
      <c r="AA330" s="23" t="s">
        <v>174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  <c r="AE330" s="24" t="str">
        <f aca="false">M330&amp;" | 에스라 5~6장 #"&amp;SUBSTITUTE(안내!$C$5," ","")</f>
        <v>두 선지자의 격려로 다시 시작하다 | 에스라 5~6장 #1분성경</v>
      </c>
      <c r="AF330" s="24" t="s">
        <v>304</v>
      </c>
      <c r="AG330" s="24"/>
      <c r="AH330" s="23" t="s">
        <v>290</v>
      </c>
      <c r="AI330" s="26" t="n">
        <f aca="false">U330-안내!$C$12</f>
        <v>46746</v>
      </c>
      <c r="AJ330" s="23" t="str">
        <f aca="false">IF(U330&lt;IF(C330=1,안내!$C$9,안내!$C$10)+안내!$C$12,"시즌 시작 전 제작","")</f>
        <v/>
      </c>
      <c r="AK330" s="24"/>
      <c r="AL330" s="27"/>
      <c r="AM330" s="27"/>
      <c r="AN330" s="27"/>
      <c r="AO330" s="27"/>
      <c r="AP330" s="27"/>
      <c r="AQ330" s="23" t="str">
        <f aca="false">D330&amp;"|"&amp;TEXT(U330,"yyyy-mm-dd")</f>
        <v>구약|2028-01-22</v>
      </c>
      <c r="AR330" s="24" t="s">
        <v>3683</v>
      </c>
      <c r="AS330" s="24"/>
    </row>
    <row r="331" customFormat="false" ht="26.85" hidden="false" customHeight="false" outlineLevel="0" collapsed="false">
      <c r="A331" s="21" t="n">
        <v>330</v>
      </c>
      <c r="B331" s="18" t="s">
        <v>3684</v>
      </c>
      <c r="C331" s="23" t="n">
        <v>2</v>
      </c>
      <c r="D331" s="23" t="s">
        <v>160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3631</v>
      </c>
      <c r="H331" s="18" t="s">
        <v>3644</v>
      </c>
      <c r="I331" s="21" t="s">
        <v>3632</v>
      </c>
      <c r="J331" s="22" t="s">
        <v>3685</v>
      </c>
      <c r="K331" s="23" t="s">
        <v>165</v>
      </c>
      <c r="L331" s="24" t="s">
        <v>3686</v>
      </c>
      <c r="M331" s="24" t="s">
        <v>3687</v>
      </c>
      <c r="N331" s="23" t="s">
        <v>3688</v>
      </c>
      <c r="O331" s="24" t="s">
        <v>3689</v>
      </c>
      <c r="P331" s="24" t="s">
        <v>3690</v>
      </c>
      <c r="Q331" s="24" t="s">
        <v>3608</v>
      </c>
      <c r="R331" s="24"/>
      <c r="S331" s="24" t="s">
        <v>3673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174</v>
      </c>
      <c r="Y331" s="23" t="s">
        <v>174</v>
      </c>
      <c r="Z331" s="23" t="s">
        <v>174</v>
      </c>
      <c r="AA331" s="23" t="s">
        <v>174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  <c r="AE331" s="24" t="str">
        <f aca="false">M331&amp;" | 에스라 7장 #"&amp;SUBSTITUTE(안내!$C$5," ","")</f>
        <v>에스라가 결심한 세 가지 | 에스라 7장 #1분성경</v>
      </c>
      <c r="AF331" s="24" t="s">
        <v>304</v>
      </c>
      <c r="AG331" s="24" t="s">
        <v>3691</v>
      </c>
      <c r="AH331" s="23" t="s">
        <v>290</v>
      </c>
      <c r="AI331" s="26" t="n">
        <f aca="false">U331-안내!$C$12</f>
        <v>46747</v>
      </c>
      <c r="AJ331" s="23" t="str">
        <f aca="false">IF(U331&lt;IF(C331=1,안내!$C$9,안내!$C$10)+안내!$C$12,"시즌 시작 전 제작","")</f>
        <v/>
      </c>
      <c r="AK331" s="24"/>
      <c r="AL331" s="27"/>
      <c r="AM331" s="27"/>
      <c r="AN331" s="27"/>
      <c r="AO331" s="27"/>
      <c r="AP331" s="27"/>
      <c r="AQ331" s="23" t="str">
        <f aca="false">D331&amp;"|"&amp;TEXT(U331,"yyyy-mm-dd")</f>
        <v>구약|2028-01-23</v>
      </c>
      <c r="AR331" s="24" t="s">
        <v>3692</v>
      </c>
      <c r="AS331" s="24"/>
    </row>
    <row r="332" customFormat="false" ht="26.85" hidden="false" customHeight="false" outlineLevel="0" collapsed="false">
      <c r="A332" s="21" t="n">
        <v>331</v>
      </c>
      <c r="B332" s="18" t="s">
        <v>3693</v>
      </c>
      <c r="C332" s="23" t="n">
        <v>2</v>
      </c>
      <c r="D332" s="23" t="s">
        <v>160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3631</v>
      </c>
      <c r="H332" s="18" t="s">
        <v>3644</v>
      </c>
      <c r="I332" s="21" t="s">
        <v>3632</v>
      </c>
      <c r="J332" s="22" t="s">
        <v>3694</v>
      </c>
      <c r="K332" s="23" t="s">
        <v>165</v>
      </c>
      <c r="L332" s="24" t="s">
        <v>3695</v>
      </c>
      <c r="M332" s="24" t="s">
        <v>3696</v>
      </c>
      <c r="N332" s="23" t="s">
        <v>3697</v>
      </c>
      <c r="O332" s="24" t="s">
        <v>3698</v>
      </c>
      <c r="P332" s="24" t="s">
        <v>3699</v>
      </c>
      <c r="Q332" s="24" t="s">
        <v>3700</v>
      </c>
      <c r="R332" s="24"/>
      <c r="S332" s="24" t="s">
        <v>3673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174</v>
      </c>
      <c r="Y332" s="23" t="s">
        <v>174</v>
      </c>
      <c r="Z332" s="23" t="s">
        <v>174</v>
      </c>
      <c r="AA332" s="23" t="s">
        <v>174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  <c r="AE332" s="24" t="str">
        <f aca="false">M332&amp;" | 에스라 8장 #"&amp;SUBSTITUTE(안내!$C$5," ","")</f>
        <v>위험한 길에 호위병을 요청하지 않은 이유 | 에스라 8장 #1분성경</v>
      </c>
      <c r="AF332" s="24" t="s">
        <v>304</v>
      </c>
      <c r="AG332" s="24" t="s">
        <v>3701</v>
      </c>
      <c r="AH332" s="23" t="s">
        <v>290</v>
      </c>
      <c r="AI332" s="26" t="n">
        <f aca="false">U332-안내!$C$12</f>
        <v>46748</v>
      </c>
      <c r="AJ332" s="23" t="str">
        <f aca="false">IF(U332&lt;IF(C332=1,안내!$C$9,안내!$C$10)+안내!$C$12,"시즌 시작 전 제작","")</f>
        <v/>
      </c>
      <c r="AK332" s="24"/>
      <c r="AL332" s="27"/>
      <c r="AM332" s="27"/>
      <c r="AN332" s="27"/>
      <c r="AO332" s="27"/>
      <c r="AP332" s="27"/>
      <c r="AQ332" s="23" t="str">
        <f aca="false">D332&amp;"|"&amp;TEXT(U332,"yyyy-mm-dd")</f>
        <v>구약|2028-01-24</v>
      </c>
      <c r="AR332" s="24" t="s">
        <v>3702</v>
      </c>
      <c r="AS332" s="24"/>
    </row>
    <row r="333" customFormat="false" ht="39.55" hidden="false" customHeight="false" outlineLevel="0" collapsed="false">
      <c r="A333" s="21" t="n">
        <v>332</v>
      </c>
      <c r="B333" s="18" t="s">
        <v>3703</v>
      </c>
      <c r="C333" s="23" t="n">
        <v>2</v>
      </c>
      <c r="D333" s="23" t="s">
        <v>160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3631</v>
      </c>
      <c r="H333" s="18" t="s">
        <v>3644</v>
      </c>
      <c r="I333" s="21" t="s">
        <v>3632</v>
      </c>
      <c r="J333" s="22" t="s">
        <v>3704</v>
      </c>
      <c r="K333" s="23" t="s">
        <v>165</v>
      </c>
      <c r="L333" s="24" t="s">
        <v>3705</v>
      </c>
      <c r="M333" s="24" t="s">
        <v>3706</v>
      </c>
      <c r="N333" s="23" t="s">
        <v>3707</v>
      </c>
      <c r="O333" s="24" t="s">
        <v>3708</v>
      </c>
      <c r="P333" s="24" t="s">
        <v>3709</v>
      </c>
      <c r="Q333" s="24" t="s">
        <v>3710</v>
      </c>
      <c r="R333" s="25" t="s">
        <v>3711</v>
      </c>
      <c r="S333" s="24" t="s">
        <v>3673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174</v>
      </c>
      <c r="Y333" s="23" t="s">
        <v>174</v>
      </c>
      <c r="Z333" s="23" t="s">
        <v>174</v>
      </c>
      <c r="AA333" s="23" t="s">
        <v>174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  <c r="AE333" s="24" t="str">
        <f aca="false">M333&amp;" | 에스라 9~10장 #"&amp;SUBSTITUTE(안내!$C$5," ","")</f>
        <v>백성의 죄를 자기 죄처럼 부끄러워한 사람 | 에스라 9~10장 #1분성경</v>
      </c>
      <c r="AF333" s="24" t="s">
        <v>304</v>
      </c>
      <c r="AG333" s="24"/>
      <c r="AH333" s="23" t="s">
        <v>290</v>
      </c>
      <c r="AI333" s="26" t="n">
        <f aca="false">U333-안내!$C$12</f>
        <v>46749</v>
      </c>
      <c r="AJ333" s="23" t="str">
        <f aca="false">IF(U333&lt;IF(C333=1,안내!$C$9,안내!$C$10)+안내!$C$12,"시즌 시작 전 제작","")</f>
        <v/>
      </c>
      <c r="AK333" s="24"/>
      <c r="AL333" s="27"/>
      <c r="AM333" s="27"/>
      <c r="AN333" s="27"/>
      <c r="AO333" s="27"/>
      <c r="AP333" s="27"/>
      <c r="AQ333" s="23" t="str">
        <f aca="false">D333&amp;"|"&amp;TEXT(U333,"yyyy-mm-dd")</f>
        <v>구약|2028-01-25</v>
      </c>
      <c r="AR333" s="24" t="s">
        <v>3712</v>
      </c>
      <c r="AS333" s="24"/>
    </row>
    <row r="334" customFormat="false" ht="52.2" hidden="false" customHeight="false" outlineLevel="0" collapsed="false">
      <c r="A334" s="21" t="n">
        <v>333</v>
      </c>
      <c r="B334" s="18" t="s">
        <v>3713</v>
      </c>
      <c r="C334" s="20" t="n">
        <v>1</v>
      </c>
      <c r="D334" s="20" t="s">
        <v>160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3714</v>
      </c>
      <c r="H334" s="18" t="s">
        <v>3571</v>
      </c>
      <c r="I334" s="21" t="s">
        <v>3715</v>
      </c>
      <c r="J334" s="22" t="s">
        <v>3716</v>
      </c>
      <c r="K334" s="23" t="s">
        <v>165</v>
      </c>
      <c r="L334" s="24" t="s">
        <v>3717</v>
      </c>
      <c r="M334" s="24" t="s">
        <v>3718</v>
      </c>
      <c r="N334" s="23" t="s">
        <v>3719</v>
      </c>
      <c r="O334" s="24" t="s">
        <v>3720</v>
      </c>
      <c r="P334" s="24" t="s">
        <v>3721</v>
      </c>
      <c r="Q334" s="24" t="s">
        <v>3722</v>
      </c>
      <c r="R334" s="24"/>
      <c r="S334" s="29" t="s">
        <v>3723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174</v>
      </c>
      <c r="Y334" s="23" t="s">
        <v>174</v>
      </c>
      <c r="Z334" s="23" t="s">
        <v>174</v>
      </c>
      <c r="AA334" s="23" t="s">
        <v>174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  <c r="AE334" s="24" t="str">
        <f aca="false">M334&amp;" | 느헤미야 1장 #"&amp;SUBSTITUTE(안내!$C$5," ","")</f>
        <v>왕의 술 맡은 관원이 울며 기도했다 | 느헤미야 1장 #1분성경</v>
      </c>
      <c r="AF334" s="24" t="s">
        <v>3724</v>
      </c>
      <c r="AG334" s="24" t="s">
        <v>3725</v>
      </c>
      <c r="AH334" s="23" t="s">
        <v>290</v>
      </c>
      <c r="AI334" s="26" t="n">
        <f aca="false">U334-안내!$C$12</f>
        <v>46497</v>
      </c>
      <c r="AJ334" s="23" t="str">
        <f aca="false">IF(U334&lt;IF(C334=1,안내!$C$9,안내!$C$10)+안내!$C$12,"시즌 시작 전 제작","")</f>
        <v/>
      </c>
      <c r="AK334" s="24"/>
      <c r="AL334" s="27"/>
      <c r="AM334" s="27"/>
      <c r="AN334" s="27"/>
      <c r="AO334" s="27"/>
      <c r="AP334" s="27"/>
      <c r="AQ334" s="23" t="str">
        <f aca="false">D334&amp;"|"&amp;TEXT(U334,"yyyy-mm-dd")</f>
        <v>구약|2027-05-18</v>
      </c>
      <c r="AR334" s="24" t="s">
        <v>3726</v>
      </c>
      <c r="AS334" s="24"/>
    </row>
    <row r="335" customFormat="false" ht="39.55" hidden="false" customHeight="false" outlineLevel="0" collapsed="false">
      <c r="A335" s="21" t="n">
        <v>334</v>
      </c>
      <c r="B335" s="18" t="s">
        <v>3727</v>
      </c>
      <c r="C335" s="20" t="n">
        <v>1</v>
      </c>
      <c r="D335" s="20" t="s">
        <v>160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3714</v>
      </c>
      <c r="H335" s="18" t="s">
        <v>3571</v>
      </c>
      <c r="I335" s="21" t="s">
        <v>3715</v>
      </c>
      <c r="J335" s="22" t="s">
        <v>3728</v>
      </c>
      <c r="K335" s="23" t="s">
        <v>165</v>
      </c>
      <c r="L335" s="24" t="s">
        <v>3729</v>
      </c>
      <c r="M335" s="24" t="s">
        <v>3730</v>
      </c>
      <c r="N335" s="23" t="s">
        <v>3731</v>
      </c>
      <c r="O335" s="24" t="s">
        <v>3732</v>
      </c>
      <c r="P335" s="24" t="s">
        <v>3733</v>
      </c>
      <c r="Q335" s="24" t="s">
        <v>3734</v>
      </c>
      <c r="R335" s="24"/>
      <c r="S335" s="24" t="s">
        <v>173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174</v>
      </c>
      <c r="Y335" s="23" t="s">
        <v>174</v>
      </c>
      <c r="Z335" s="23" t="s">
        <v>174</v>
      </c>
      <c r="AA335" s="23" t="s">
        <v>174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  <c r="AE335" s="24" t="str">
        <f aca="false">M335&amp;" | 느헤미야 2장 #"&amp;SUBSTITUTE(안내!$C$5," ","")</f>
        <v>왕 앞에서 짧게 드린 기도 한마디 | 느헤미야 2장 #1분성경</v>
      </c>
      <c r="AF335" s="24" t="s">
        <v>3735</v>
      </c>
      <c r="AG335" s="24" t="s">
        <v>3736</v>
      </c>
      <c r="AH335" s="23" t="s">
        <v>290</v>
      </c>
      <c r="AI335" s="26" t="n">
        <f aca="false">U335-안내!$C$12</f>
        <v>46498</v>
      </c>
      <c r="AJ335" s="23" t="str">
        <f aca="false">IF(U335&lt;IF(C335=1,안내!$C$9,안내!$C$10)+안내!$C$12,"시즌 시작 전 제작","")</f>
        <v/>
      </c>
      <c r="AK335" s="24"/>
      <c r="AL335" s="27"/>
      <c r="AM335" s="27"/>
      <c r="AN335" s="27"/>
      <c r="AO335" s="27"/>
      <c r="AP335" s="27"/>
      <c r="AQ335" s="23" t="str">
        <f aca="false">D335&amp;"|"&amp;TEXT(U335,"yyyy-mm-dd")</f>
        <v>구약|2027-05-19</v>
      </c>
      <c r="AR335" s="24" t="s">
        <v>3737</v>
      </c>
      <c r="AS335" s="24"/>
    </row>
    <row r="336" customFormat="false" ht="26.85" hidden="false" customHeight="false" outlineLevel="0" collapsed="false">
      <c r="A336" s="21" t="n">
        <v>335</v>
      </c>
      <c r="B336" s="18" t="s">
        <v>3738</v>
      </c>
      <c r="C336" s="23" t="n">
        <v>2</v>
      </c>
      <c r="D336" s="23" t="s">
        <v>160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3714</v>
      </c>
      <c r="H336" s="18" t="s">
        <v>3644</v>
      </c>
      <c r="I336" s="21" t="s">
        <v>3715</v>
      </c>
      <c r="J336" s="22" t="s">
        <v>3739</v>
      </c>
      <c r="K336" s="23" t="s">
        <v>1370</v>
      </c>
      <c r="L336" s="24" t="s">
        <v>3740</v>
      </c>
      <c r="M336" s="24" t="s">
        <v>3741</v>
      </c>
      <c r="N336" s="23" t="s">
        <v>3742</v>
      </c>
      <c r="O336" s="24" t="s">
        <v>3743</v>
      </c>
      <c r="P336" s="24" t="s">
        <v>3744</v>
      </c>
      <c r="Q336" s="24" t="s">
        <v>3745</v>
      </c>
      <c r="R336" s="24"/>
      <c r="S336" s="24" t="s">
        <v>3746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174</v>
      </c>
      <c r="Y336" s="23" t="s">
        <v>174</v>
      </c>
      <c r="Z336" s="23" t="s">
        <v>174</v>
      </c>
      <c r="AA336" s="23" t="s">
        <v>174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  <c r="AE336" s="24" t="str">
        <f aca="false">M336&amp;" | 느헤미야 3장 #"&amp;SUBSTITUTE(안내!$C$5," ","")</f>
        <v>제사장도, 금장색도, 딸들도 함께 쌓았다 | 느헤미야 3장 #1분성경</v>
      </c>
      <c r="AF336" s="24" t="s">
        <v>304</v>
      </c>
      <c r="AG336" s="24"/>
      <c r="AH336" s="23" t="s">
        <v>290</v>
      </c>
      <c r="AI336" s="26" t="n">
        <f aca="false">U336-안내!$C$12</f>
        <v>46750</v>
      </c>
      <c r="AJ336" s="23" t="str">
        <f aca="false">IF(U336&lt;IF(C336=1,안내!$C$9,안내!$C$10)+안내!$C$12,"시즌 시작 전 제작","")</f>
        <v/>
      </c>
      <c r="AK336" s="24"/>
      <c r="AL336" s="27"/>
      <c r="AM336" s="27"/>
      <c r="AN336" s="27"/>
      <c r="AO336" s="27"/>
      <c r="AP336" s="27"/>
      <c r="AQ336" s="23" t="str">
        <f aca="false">D336&amp;"|"&amp;TEXT(U336,"yyyy-mm-dd")</f>
        <v>구약|2028-01-26</v>
      </c>
      <c r="AR336" s="24" t="s">
        <v>3747</v>
      </c>
      <c r="AS336" s="24"/>
    </row>
    <row r="337" customFormat="false" ht="26.85" hidden="false" customHeight="false" outlineLevel="0" collapsed="false">
      <c r="A337" s="21" t="n">
        <v>336</v>
      </c>
      <c r="B337" s="18" t="s">
        <v>3748</v>
      </c>
      <c r="C337" s="20" t="n">
        <v>1</v>
      </c>
      <c r="D337" s="20" t="s">
        <v>160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3714</v>
      </c>
      <c r="H337" s="18" t="s">
        <v>3571</v>
      </c>
      <c r="I337" s="21" t="s">
        <v>3715</v>
      </c>
      <c r="J337" s="22" t="s">
        <v>3749</v>
      </c>
      <c r="K337" s="23" t="s">
        <v>165</v>
      </c>
      <c r="L337" s="24" t="s">
        <v>3750</v>
      </c>
      <c r="M337" s="24" t="s">
        <v>3751</v>
      </c>
      <c r="N337" s="23" t="s">
        <v>3752</v>
      </c>
      <c r="O337" s="24" t="s">
        <v>3753</v>
      </c>
      <c r="P337" s="24" t="s">
        <v>3754</v>
      </c>
      <c r="Q337" s="24" t="s">
        <v>3755</v>
      </c>
      <c r="R337" s="24"/>
      <c r="S337" s="29" t="s">
        <v>3756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174</v>
      </c>
      <c r="Y337" s="23" t="s">
        <v>174</v>
      </c>
      <c r="Z337" s="23" t="s">
        <v>174</v>
      </c>
      <c r="AA337" s="23" t="s">
        <v>174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  <c r="AE337" s="24" t="str">
        <f aca="false">M337&amp;" | 느헤미야 4장 #"&amp;SUBSTITUTE(안내!$C$5," ","")</f>
        <v>조롱과 위협 속에서 계속 쌓았다 | 느헤미야 4장 #1분성경</v>
      </c>
      <c r="AF337" s="24" t="s">
        <v>3757</v>
      </c>
      <c r="AG337" s="24" t="s">
        <v>3758</v>
      </c>
      <c r="AH337" s="23" t="s">
        <v>290</v>
      </c>
      <c r="AI337" s="26" t="n">
        <f aca="false">U337-안내!$C$12</f>
        <v>46499</v>
      </c>
      <c r="AJ337" s="23" t="str">
        <f aca="false">IF(U337&lt;IF(C337=1,안내!$C$9,안내!$C$10)+안내!$C$12,"시즌 시작 전 제작","")</f>
        <v/>
      </c>
      <c r="AK337" s="24"/>
      <c r="AL337" s="27"/>
      <c r="AM337" s="27"/>
      <c r="AN337" s="27"/>
      <c r="AO337" s="27"/>
      <c r="AP337" s="27"/>
      <c r="AQ337" s="23" t="str">
        <f aca="false">D337&amp;"|"&amp;TEXT(U337,"yyyy-mm-dd")</f>
        <v>구약|2027-05-20</v>
      </c>
      <c r="AR337" s="24" t="s">
        <v>3759</v>
      </c>
      <c r="AS337" s="24"/>
    </row>
    <row r="338" customFormat="false" ht="26.85" hidden="false" customHeight="false" outlineLevel="0" collapsed="false">
      <c r="A338" s="21" t="n">
        <v>337</v>
      </c>
      <c r="B338" s="18" t="s">
        <v>3760</v>
      </c>
      <c r="C338" s="23" t="n">
        <v>2</v>
      </c>
      <c r="D338" s="23" t="s">
        <v>160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3714</v>
      </c>
      <c r="H338" s="18" t="s">
        <v>3644</v>
      </c>
      <c r="I338" s="21" t="s">
        <v>3715</v>
      </c>
      <c r="J338" s="22" t="s">
        <v>3761</v>
      </c>
      <c r="K338" s="23" t="s">
        <v>165</v>
      </c>
      <c r="L338" s="24" t="s">
        <v>3762</v>
      </c>
      <c r="M338" s="24" t="s">
        <v>3763</v>
      </c>
      <c r="N338" s="23" t="s">
        <v>3764</v>
      </c>
      <c r="O338" s="24" t="s">
        <v>3765</v>
      </c>
      <c r="P338" s="24" t="s">
        <v>3766</v>
      </c>
      <c r="Q338" s="24" t="s">
        <v>2856</v>
      </c>
      <c r="R338" s="24"/>
      <c r="S338" s="24" t="s">
        <v>3767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174</v>
      </c>
      <c r="Y338" s="23" t="s">
        <v>174</v>
      </c>
      <c r="Z338" s="23" t="s">
        <v>174</v>
      </c>
      <c r="AA338" s="23" t="s">
        <v>174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  <c r="AE338" s="24" t="str">
        <f aca="false">M338&amp;" | 느헤미야 5장 #"&amp;SUBSTITUTE(안내!$C$5," ","")</f>
        <v>성벽보다 먼저 고쳐야 할 것 | 느헤미야 5장 #1분성경</v>
      </c>
      <c r="AF338" s="24" t="s">
        <v>304</v>
      </c>
      <c r="AG338" s="24" t="s">
        <v>3768</v>
      </c>
      <c r="AH338" s="23" t="s">
        <v>290</v>
      </c>
      <c r="AI338" s="26" t="n">
        <f aca="false">U338-안내!$C$12</f>
        <v>46751</v>
      </c>
      <c r="AJ338" s="23" t="str">
        <f aca="false">IF(U338&lt;IF(C338=1,안내!$C$9,안내!$C$10)+안내!$C$12,"시즌 시작 전 제작","")</f>
        <v/>
      </c>
      <c r="AK338" s="24"/>
      <c r="AL338" s="27"/>
      <c r="AM338" s="27"/>
      <c r="AN338" s="27"/>
      <c r="AO338" s="27"/>
      <c r="AP338" s="27"/>
      <c r="AQ338" s="23" t="str">
        <f aca="false">D338&amp;"|"&amp;TEXT(U338,"yyyy-mm-dd")</f>
        <v>구약|2028-01-27</v>
      </c>
      <c r="AR338" s="24" t="s">
        <v>3769</v>
      </c>
      <c r="AS338" s="24" t="s">
        <v>292</v>
      </c>
    </row>
    <row r="339" customFormat="false" ht="26.85" hidden="false" customHeight="false" outlineLevel="0" collapsed="false">
      <c r="A339" s="21" t="n">
        <v>338</v>
      </c>
      <c r="B339" s="18" t="s">
        <v>3770</v>
      </c>
      <c r="C339" s="23" t="n">
        <v>2</v>
      </c>
      <c r="D339" s="23" t="s">
        <v>160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3714</v>
      </c>
      <c r="H339" s="18" t="s">
        <v>3644</v>
      </c>
      <c r="I339" s="21" t="s">
        <v>3715</v>
      </c>
      <c r="J339" s="22" t="s">
        <v>3771</v>
      </c>
      <c r="K339" s="23" t="s">
        <v>165</v>
      </c>
      <c r="L339" s="30" t="s">
        <v>3772</v>
      </c>
      <c r="M339" s="24" t="s">
        <v>3773</v>
      </c>
      <c r="N339" s="23" t="s">
        <v>3774</v>
      </c>
      <c r="O339" s="24" t="s">
        <v>3775</v>
      </c>
      <c r="P339" s="24" t="s">
        <v>3776</v>
      </c>
      <c r="Q339" s="24" t="s">
        <v>3777</v>
      </c>
      <c r="R339" s="24"/>
      <c r="S339" s="24" t="s">
        <v>3767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174</v>
      </c>
      <c r="Y339" s="23" t="s">
        <v>174</v>
      </c>
      <c r="Z339" s="23" t="s">
        <v>174</v>
      </c>
      <c r="AA339" s="23" t="s">
        <v>174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  <c r="AE339" s="24" t="str">
        <f aca="false">M339&amp;" | 느헤미야 6장 #"&amp;SUBSTITUTE(안내!$C$5," ","")</f>
        <v>대적들도 하나님이 하셨음을 알았다 | 느헤미야 6장 #1분성경</v>
      </c>
      <c r="AF339" s="24" t="s">
        <v>304</v>
      </c>
      <c r="AG339" s="24"/>
      <c r="AH339" s="23" t="s">
        <v>290</v>
      </c>
      <c r="AI339" s="26" t="n">
        <f aca="false">U339-안내!$C$12</f>
        <v>46752</v>
      </c>
      <c r="AJ339" s="23" t="str">
        <f aca="false">IF(U339&lt;IF(C339=1,안내!$C$9,안내!$C$10)+안내!$C$12,"시즌 시작 전 제작","")</f>
        <v/>
      </c>
      <c r="AK339" s="24"/>
      <c r="AL339" s="27"/>
      <c r="AM339" s="27"/>
      <c r="AN339" s="27"/>
      <c r="AO339" s="27"/>
      <c r="AP339" s="27"/>
      <c r="AQ339" s="23" t="str">
        <f aca="false">D339&amp;"|"&amp;TEXT(U339,"yyyy-mm-dd")</f>
        <v>구약|2028-01-28</v>
      </c>
      <c r="AR339" s="24" t="s">
        <v>3778</v>
      </c>
      <c r="AS339" s="24"/>
    </row>
    <row r="340" customFormat="false" ht="39.55" hidden="false" customHeight="false" outlineLevel="0" collapsed="false">
      <c r="A340" s="21" t="n">
        <v>339</v>
      </c>
      <c r="B340" s="18" t="s">
        <v>3779</v>
      </c>
      <c r="C340" s="20" t="n">
        <v>1</v>
      </c>
      <c r="D340" s="20" t="s">
        <v>160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3714</v>
      </c>
      <c r="H340" s="18" t="s">
        <v>3571</v>
      </c>
      <c r="I340" s="21" t="s">
        <v>3715</v>
      </c>
      <c r="J340" s="22" t="s">
        <v>3780</v>
      </c>
      <c r="K340" s="23" t="s">
        <v>165</v>
      </c>
      <c r="L340" s="24" t="s">
        <v>3781</v>
      </c>
      <c r="M340" s="24" t="s">
        <v>3782</v>
      </c>
      <c r="N340" s="23" t="s">
        <v>3783</v>
      </c>
      <c r="O340" s="24" t="s">
        <v>3784</v>
      </c>
      <c r="P340" s="24" t="s">
        <v>3785</v>
      </c>
      <c r="Q340" s="24" t="s">
        <v>3786</v>
      </c>
      <c r="R340" s="24"/>
      <c r="S340" s="29" t="s">
        <v>3787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174</v>
      </c>
      <c r="Y340" s="23" t="s">
        <v>174</v>
      </c>
      <c r="Z340" s="23" t="s">
        <v>174</v>
      </c>
      <c r="AA340" s="23" t="s">
        <v>174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  <c r="AE340" s="24" t="str">
        <f aca="false">M340&amp;" | 느헤미야 7~8장 #"&amp;SUBSTITUTE(안내!$C$5," ","")</f>
        <v>말씀을 듣고 온 백성이 울었다 | 느헤미야 7~8장 #1분성경</v>
      </c>
      <c r="AF340" s="24" t="s">
        <v>3788</v>
      </c>
      <c r="AG340" s="24"/>
      <c r="AH340" s="23" t="s">
        <v>290</v>
      </c>
      <c r="AI340" s="26" t="n">
        <f aca="false">U340-안내!$C$12</f>
        <v>46500</v>
      </c>
      <c r="AJ340" s="23" t="str">
        <f aca="false">IF(U340&lt;IF(C340=1,안내!$C$9,안내!$C$10)+안내!$C$12,"시즌 시작 전 제작","")</f>
        <v/>
      </c>
      <c r="AK340" s="24"/>
      <c r="AL340" s="27"/>
      <c r="AM340" s="27"/>
      <c r="AN340" s="27"/>
      <c r="AO340" s="27"/>
      <c r="AP340" s="27"/>
      <c r="AQ340" s="23" t="str">
        <f aca="false">D340&amp;"|"&amp;TEXT(U340,"yyyy-mm-dd")</f>
        <v>구약|2027-05-21</v>
      </c>
      <c r="AR340" s="24" t="s">
        <v>3789</v>
      </c>
      <c r="AS340" s="24"/>
    </row>
    <row r="341" customFormat="false" ht="64.9" hidden="false" customHeight="false" outlineLevel="0" collapsed="false">
      <c r="A341" s="21" t="n">
        <v>340</v>
      </c>
      <c r="B341" s="18" t="s">
        <v>3790</v>
      </c>
      <c r="C341" s="23" t="n">
        <v>2</v>
      </c>
      <c r="D341" s="23" t="s">
        <v>160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3714</v>
      </c>
      <c r="H341" s="18" t="s">
        <v>3644</v>
      </c>
      <c r="I341" s="21" t="s">
        <v>3715</v>
      </c>
      <c r="J341" s="22" t="s">
        <v>3791</v>
      </c>
      <c r="K341" s="23" t="s">
        <v>1370</v>
      </c>
      <c r="L341" s="24" t="s">
        <v>3792</v>
      </c>
      <c r="M341" s="24" t="s">
        <v>3793</v>
      </c>
      <c r="N341" s="23" t="s">
        <v>3794</v>
      </c>
      <c r="O341" s="24" t="s">
        <v>3795</v>
      </c>
      <c r="P341" s="24" t="s">
        <v>3796</v>
      </c>
      <c r="Q341" s="24" t="s">
        <v>3797</v>
      </c>
      <c r="R341" s="24"/>
      <c r="S341" s="24" t="s">
        <v>3798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174</v>
      </c>
      <c r="Y341" s="23" t="s">
        <v>174</v>
      </c>
      <c r="Z341" s="23" t="s">
        <v>174</v>
      </c>
      <c r="AA341" s="23" t="s">
        <v>174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  <c r="AE341" s="24" t="str">
        <f aca="false">M341&amp;" | 느헤미야 9~10장 #"&amp;SUBSTITUTE(안내!$C$5," ","")</f>
        <v>우리는 배반했지만 주는 버리지 않으셨다 | 느헤미야 9~10장 #1분성경</v>
      </c>
      <c r="AF341" s="24" t="s">
        <v>304</v>
      </c>
      <c r="AG341" s="24"/>
      <c r="AH341" s="23" t="s">
        <v>290</v>
      </c>
      <c r="AI341" s="26" t="n">
        <f aca="false">U341-안내!$C$12</f>
        <v>46753</v>
      </c>
      <c r="AJ341" s="23" t="str">
        <f aca="false">IF(U341&lt;IF(C341=1,안내!$C$9,안내!$C$10)+안내!$C$12,"시즌 시작 전 제작","")</f>
        <v/>
      </c>
      <c r="AK341" s="24"/>
      <c r="AL341" s="27"/>
      <c r="AM341" s="27"/>
      <c r="AN341" s="27"/>
      <c r="AO341" s="27"/>
      <c r="AP341" s="27"/>
      <c r="AQ341" s="23" t="str">
        <f aca="false">D341&amp;"|"&amp;TEXT(U341,"yyyy-mm-dd")</f>
        <v>구약|2028-01-29</v>
      </c>
      <c r="AR341" s="24" t="s">
        <v>3799</v>
      </c>
      <c r="AS341" s="24" t="s">
        <v>292</v>
      </c>
    </row>
    <row r="342" customFormat="false" ht="39.55" hidden="false" customHeight="false" outlineLevel="0" collapsed="false">
      <c r="A342" s="21" t="n">
        <v>341</v>
      </c>
      <c r="B342" s="18" t="s">
        <v>3800</v>
      </c>
      <c r="C342" s="23" t="n">
        <v>2</v>
      </c>
      <c r="D342" s="23" t="s">
        <v>160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3714</v>
      </c>
      <c r="H342" s="18" t="s">
        <v>3644</v>
      </c>
      <c r="I342" s="21" t="s">
        <v>3715</v>
      </c>
      <c r="J342" s="22" t="s">
        <v>3801</v>
      </c>
      <c r="K342" s="23" t="s">
        <v>1370</v>
      </c>
      <c r="L342" s="24" t="s">
        <v>3802</v>
      </c>
      <c r="M342" s="24" t="s">
        <v>3803</v>
      </c>
      <c r="N342" s="23" t="s">
        <v>3804</v>
      </c>
      <c r="O342" s="24" t="s">
        <v>3805</v>
      </c>
      <c r="P342" s="24" t="s">
        <v>3806</v>
      </c>
      <c r="Q342" s="24" t="s">
        <v>3807</v>
      </c>
      <c r="R342" s="24"/>
      <c r="S342" s="24" t="s">
        <v>3798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174</v>
      </c>
      <c r="Y342" s="23" t="s">
        <v>174</v>
      </c>
      <c r="Z342" s="23" t="s">
        <v>174</v>
      </c>
      <c r="AA342" s="23" t="s">
        <v>174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  <c r="AE342" s="24" t="str">
        <f aca="false">M342&amp;" | 느헤미야 11~13장 #"&amp;SUBSTITUTE(안내!$C$5," ","")</f>
        <v>기쁨의 소리가 멀리까지 들렸다 | 느헤미야 11~13장 #1분성경</v>
      </c>
      <c r="AF342" s="24" t="s">
        <v>304</v>
      </c>
      <c r="AG342" s="24"/>
      <c r="AH342" s="23" t="s">
        <v>290</v>
      </c>
      <c r="AI342" s="26" t="n">
        <f aca="false">U342-안내!$C$12</f>
        <v>46754</v>
      </c>
      <c r="AJ342" s="23" t="str">
        <f aca="false">IF(U342&lt;IF(C342=1,안내!$C$9,안내!$C$10)+안내!$C$12,"시즌 시작 전 제작","")</f>
        <v/>
      </c>
      <c r="AK342" s="24"/>
      <c r="AL342" s="27"/>
      <c r="AM342" s="27"/>
      <c r="AN342" s="27"/>
      <c r="AO342" s="27"/>
      <c r="AP342" s="27"/>
      <c r="AQ342" s="23" t="str">
        <f aca="false">D342&amp;"|"&amp;TEXT(U342,"yyyy-mm-dd")</f>
        <v>구약|2028-01-30</v>
      </c>
      <c r="AR342" s="24" t="s">
        <v>3808</v>
      </c>
      <c r="AS342" s="24"/>
    </row>
    <row r="343" customFormat="false" ht="26.85" hidden="false" customHeight="false" outlineLevel="0" collapsed="false">
      <c r="A343" s="21" t="n">
        <v>342</v>
      </c>
      <c r="B343" s="18" t="s">
        <v>3809</v>
      </c>
      <c r="C343" s="23" t="n">
        <v>2</v>
      </c>
      <c r="D343" s="23" t="s">
        <v>160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3810</v>
      </c>
      <c r="H343" s="18" t="s">
        <v>3811</v>
      </c>
      <c r="I343" s="21" t="s">
        <v>3812</v>
      </c>
      <c r="J343" s="22" t="s">
        <v>3813</v>
      </c>
      <c r="K343" s="23" t="s">
        <v>165</v>
      </c>
      <c r="L343" s="24" t="s">
        <v>3814</v>
      </c>
      <c r="M343" s="24" t="s">
        <v>3815</v>
      </c>
      <c r="N343" s="23" t="s">
        <v>3816</v>
      </c>
      <c r="O343" s="24" t="s">
        <v>3817</v>
      </c>
      <c r="P343" s="24" t="s">
        <v>3818</v>
      </c>
      <c r="Q343" s="24" t="s">
        <v>3819</v>
      </c>
      <c r="R343" s="25" t="s">
        <v>3820</v>
      </c>
      <c r="S343" s="24" t="s">
        <v>3798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174</v>
      </c>
      <c r="Y343" s="23" t="s">
        <v>174</v>
      </c>
      <c r="Z343" s="23" t="s">
        <v>174</v>
      </c>
      <c r="AA343" s="23" t="s">
        <v>174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  <c r="AE343" s="24" t="str">
        <f aca="false">M343&amp;" | 에스더 1장 #"&amp;SUBSTITUTE(안내!$C$5," ","")</f>
        <v>왕의 명령을 거절한 왕비가 폐위되다 | 에스더 1장 #1분성경</v>
      </c>
      <c r="AF343" s="24" t="s">
        <v>304</v>
      </c>
      <c r="AG343" s="24"/>
      <c r="AH343" s="23" t="s">
        <v>290</v>
      </c>
      <c r="AI343" s="26" t="n">
        <f aca="false">U343-안내!$C$12</f>
        <v>46755</v>
      </c>
      <c r="AJ343" s="23" t="str">
        <f aca="false">IF(U343&lt;IF(C343=1,안내!$C$9,안내!$C$10)+안내!$C$12,"시즌 시작 전 제작","")</f>
        <v/>
      </c>
      <c r="AK343" s="24"/>
      <c r="AL343" s="27"/>
      <c r="AM343" s="27"/>
      <c r="AN343" s="27"/>
      <c r="AO343" s="27"/>
      <c r="AP343" s="27"/>
      <c r="AQ343" s="23" t="str">
        <f aca="false">D343&amp;"|"&amp;TEXT(U343,"yyyy-mm-dd")</f>
        <v>구약|2028-01-31</v>
      </c>
      <c r="AR343" s="24" t="s">
        <v>3821</v>
      </c>
      <c r="AS343" s="24"/>
    </row>
    <row r="344" customFormat="false" ht="52.2" hidden="false" customHeight="false" outlineLevel="0" collapsed="false">
      <c r="A344" s="21" t="n">
        <v>343</v>
      </c>
      <c r="B344" s="18" t="s">
        <v>3822</v>
      </c>
      <c r="C344" s="20" t="n">
        <v>1</v>
      </c>
      <c r="D344" s="20" t="s">
        <v>160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3810</v>
      </c>
      <c r="H344" s="18" t="s">
        <v>3823</v>
      </c>
      <c r="I344" s="21" t="s">
        <v>3812</v>
      </c>
      <c r="J344" s="22" t="s">
        <v>3824</v>
      </c>
      <c r="K344" s="23" t="s">
        <v>165</v>
      </c>
      <c r="L344" s="24" t="s">
        <v>3825</v>
      </c>
      <c r="M344" s="24" t="s">
        <v>3826</v>
      </c>
      <c r="N344" s="23" t="s">
        <v>3827</v>
      </c>
      <c r="O344" s="24" t="s">
        <v>3828</v>
      </c>
      <c r="P344" s="24" t="s">
        <v>3829</v>
      </c>
      <c r="Q344" s="24" t="s">
        <v>3830</v>
      </c>
      <c r="R344" s="24"/>
      <c r="S344" s="29" t="s">
        <v>3831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174</v>
      </c>
      <c r="Y344" s="23" t="s">
        <v>174</v>
      </c>
      <c r="Z344" s="23" t="s">
        <v>174</v>
      </c>
      <c r="AA344" s="23" t="s">
        <v>174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  <c r="AE344" s="24" t="str">
        <f aca="false">M344&amp;" | 에스더 2장 #"&amp;SUBSTITUTE(안내!$C$5," ","")</f>
        <v>포로의 딸이 페르시아 왕비가 되었다 | 에스더 2장 #1분성경</v>
      </c>
      <c r="AF344" s="24" t="s">
        <v>3832</v>
      </c>
      <c r="AG344" s="24" t="s">
        <v>3833</v>
      </c>
      <c r="AH344" s="23" t="s">
        <v>290</v>
      </c>
      <c r="AI344" s="26" t="n">
        <f aca="false">U344-안내!$C$12</f>
        <v>46501</v>
      </c>
      <c r="AJ344" s="23" t="str">
        <f aca="false">IF(U344&lt;IF(C344=1,안내!$C$9,안내!$C$10)+안내!$C$12,"시즌 시작 전 제작","")</f>
        <v/>
      </c>
      <c r="AK344" s="24" t="s">
        <v>3812</v>
      </c>
      <c r="AL344" s="27"/>
      <c r="AM344" s="27"/>
      <c r="AN344" s="27"/>
      <c r="AO344" s="27"/>
      <c r="AP344" s="27"/>
      <c r="AQ344" s="23" t="str">
        <f aca="false">D344&amp;"|"&amp;TEXT(U344,"yyyy-mm-dd")</f>
        <v>구약|2027-05-22</v>
      </c>
      <c r="AR344" s="24" t="s">
        <v>3834</v>
      </c>
      <c r="AS344" s="24"/>
    </row>
    <row r="345" customFormat="false" ht="26.85" hidden="false" customHeight="false" outlineLevel="0" collapsed="false">
      <c r="A345" s="21" t="n">
        <v>344</v>
      </c>
      <c r="B345" s="18" t="s">
        <v>3835</v>
      </c>
      <c r="C345" s="23" t="n">
        <v>2</v>
      </c>
      <c r="D345" s="23" t="s">
        <v>160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3810</v>
      </c>
      <c r="H345" s="18" t="s">
        <v>3811</v>
      </c>
      <c r="I345" s="21" t="s">
        <v>3812</v>
      </c>
      <c r="J345" s="22" t="s">
        <v>3836</v>
      </c>
      <c r="K345" s="23" t="s">
        <v>165</v>
      </c>
      <c r="L345" s="24" t="s">
        <v>3837</v>
      </c>
      <c r="M345" s="24" t="s">
        <v>3838</v>
      </c>
      <c r="N345" s="23" t="s">
        <v>3839</v>
      </c>
      <c r="O345" s="24" t="s">
        <v>3840</v>
      </c>
      <c r="P345" s="24" t="s">
        <v>3841</v>
      </c>
      <c r="Q345" s="24" t="s">
        <v>3842</v>
      </c>
      <c r="R345" s="24"/>
      <c r="S345" s="24" t="s">
        <v>3843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174</v>
      </c>
      <c r="Y345" s="23" t="s">
        <v>174</v>
      </c>
      <c r="Z345" s="23" t="s">
        <v>174</v>
      </c>
      <c r="AA345" s="23" t="s">
        <v>174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  <c r="AE345" s="24" t="str">
        <f aca="false">M345&amp;" | 에스더 2장 #"&amp;SUBSTITUTE(안내!$C$5," ","")</f>
        <v>모르드개가 왕의 암살 음모를 막았다 | 에스더 2장 #1분성경</v>
      </c>
      <c r="AF345" s="24" t="s">
        <v>304</v>
      </c>
      <c r="AG345" s="24" t="s">
        <v>3844</v>
      </c>
      <c r="AH345" s="23" t="s">
        <v>290</v>
      </c>
      <c r="AI345" s="26" t="n">
        <f aca="false">U345-안내!$C$12</f>
        <v>46756</v>
      </c>
      <c r="AJ345" s="23" t="str">
        <f aca="false">IF(U345&lt;IF(C345=1,안내!$C$9,안내!$C$10)+안내!$C$12,"시즌 시작 전 제작","")</f>
        <v/>
      </c>
      <c r="AK345" s="24" t="s">
        <v>3812</v>
      </c>
      <c r="AL345" s="27"/>
      <c r="AM345" s="27"/>
      <c r="AN345" s="27"/>
      <c r="AO345" s="27"/>
      <c r="AP345" s="27"/>
      <c r="AQ345" s="23" t="str">
        <f aca="false">D345&amp;"|"&amp;TEXT(U345,"yyyy-mm-dd")</f>
        <v>구약|2028-02-01</v>
      </c>
      <c r="AR345" s="24" t="s">
        <v>3845</v>
      </c>
      <c r="AS345" s="24"/>
    </row>
    <row r="346" customFormat="false" ht="39.55" hidden="false" customHeight="false" outlineLevel="0" collapsed="false">
      <c r="A346" s="21" t="n">
        <v>345</v>
      </c>
      <c r="B346" s="18" t="s">
        <v>3846</v>
      </c>
      <c r="C346" s="20" t="n">
        <v>1</v>
      </c>
      <c r="D346" s="20" t="s">
        <v>160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3810</v>
      </c>
      <c r="H346" s="18" t="s">
        <v>3823</v>
      </c>
      <c r="I346" s="21" t="s">
        <v>3812</v>
      </c>
      <c r="J346" s="22" t="s">
        <v>3847</v>
      </c>
      <c r="K346" s="23" t="s">
        <v>165</v>
      </c>
      <c r="L346" s="24" t="s">
        <v>3848</v>
      </c>
      <c r="M346" s="24" t="s">
        <v>3849</v>
      </c>
      <c r="N346" s="23" t="s">
        <v>3850</v>
      </c>
      <c r="O346" s="24" t="s">
        <v>3851</v>
      </c>
      <c r="P346" s="24" t="s">
        <v>3852</v>
      </c>
      <c r="Q346" s="24" t="s">
        <v>3853</v>
      </c>
      <c r="R346" s="24"/>
      <c r="S346" s="29" t="s">
        <v>3854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174</v>
      </c>
      <c r="Y346" s="23" t="s">
        <v>174</v>
      </c>
      <c r="Z346" s="23" t="s">
        <v>174</v>
      </c>
      <c r="AA346" s="23" t="s">
        <v>174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  <c r="AE346" s="24" t="str">
        <f aca="false">M346&amp;" | 에스더 3장 #"&amp;SUBSTITUTE(안내!$C$5," ","")</f>
        <v>절하지 않은 한 사람 때문에 민족을 죽이려 하다 | 에스더 3장 #1분성경</v>
      </c>
      <c r="AF346" s="24" t="s">
        <v>3855</v>
      </c>
      <c r="AG346" s="24" t="s">
        <v>3856</v>
      </c>
      <c r="AH346" s="23" t="s">
        <v>290</v>
      </c>
      <c r="AI346" s="26" t="n">
        <f aca="false">U346-안내!$C$12</f>
        <v>46502</v>
      </c>
      <c r="AJ346" s="23" t="str">
        <f aca="false">IF(U346&lt;IF(C346=1,안내!$C$9,안내!$C$10)+안내!$C$12,"시즌 시작 전 제작","")</f>
        <v/>
      </c>
      <c r="AK346" s="24"/>
      <c r="AL346" s="27"/>
      <c r="AM346" s="27"/>
      <c r="AN346" s="27"/>
      <c r="AO346" s="27"/>
      <c r="AP346" s="27"/>
      <c r="AQ346" s="23" t="str">
        <f aca="false">D346&amp;"|"&amp;TEXT(U346,"yyyy-mm-dd")</f>
        <v>구약|2027-05-23</v>
      </c>
      <c r="AR346" s="24" t="s">
        <v>3857</v>
      </c>
      <c r="AS346" s="24"/>
    </row>
    <row r="347" customFormat="false" ht="39.55" hidden="false" customHeight="false" outlineLevel="0" collapsed="false">
      <c r="A347" s="21" t="n">
        <v>346</v>
      </c>
      <c r="B347" s="18" t="s">
        <v>3858</v>
      </c>
      <c r="C347" s="20" t="n">
        <v>1</v>
      </c>
      <c r="D347" s="20" t="s">
        <v>160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3810</v>
      </c>
      <c r="H347" s="18" t="s">
        <v>3823</v>
      </c>
      <c r="I347" s="21" t="s">
        <v>3812</v>
      </c>
      <c r="J347" s="22" t="s">
        <v>3859</v>
      </c>
      <c r="K347" s="23" t="s">
        <v>165</v>
      </c>
      <c r="L347" s="24" t="s">
        <v>3860</v>
      </c>
      <c r="M347" s="24" t="s">
        <v>3861</v>
      </c>
      <c r="N347" s="23" t="s">
        <v>3862</v>
      </c>
      <c r="O347" s="24" t="s">
        <v>3863</v>
      </c>
      <c r="P347" s="24" t="s">
        <v>3864</v>
      </c>
      <c r="Q347" s="24" t="s">
        <v>3865</v>
      </c>
      <c r="R347" s="24"/>
      <c r="S347" s="24" t="s">
        <v>173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174</v>
      </c>
      <c r="Y347" s="23" t="s">
        <v>174</v>
      </c>
      <c r="Z347" s="23" t="s">
        <v>174</v>
      </c>
      <c r="AA347" s="23" t="s">
        <v>174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  <c r="AE347" s="24" t="str">
        <f aca="false">M347&amp;" | 에스더 4장 #"&amp;SUBSTITUTE(안내!$C$5," ","")</f>
        <v>이때를 위함이 아닌지 누가 알겠느냐 | 에스더 4장 #1분성경</v>
      </c>
      <c r="AF347" s="24" t="s">
        <v>3866</v>
      </c>
      <c r="AG347" s="24" t="s">
        <v>3867</v>
      </c>
      <c r="AH347" s="23" t="s">
        <v>290</v>
      </c>
      <c r="AI347" s="26" t="n">
        <f aca="false">U347-안내!$C$12</f>
        <v>46503</v>
      </c>
      <c r="AJ347" s="23" t="str">
        <f aca="false">IF(U347&lt;IF(C347=1,안내!$C$9,안내!$C$10)+안내!$C$12,"시즌 시작 전 제작","")</f>
        <v/>
      </c>
      <c r="AK347" s="24" t="s">
        <v>3812</v>
      </c>
      <c r="AL347" s="27"/>
      <c r="AM347" s="27"/>
      <c r="AN347" s="27"/>
      <c r="AO347" s="27"/>
      <c r="AP347" s="27"/>
      <c r="AQ347" s="23" t="str">
        <f aca="false">D347&amp;"|"&amp;TEXT(U347,"yyyy-mm-dd")</f>
        <v>구약|2027-05-24</v>
      </c>
      <c r="AR347" s="24" t="s">
        <v>3868</v>
      </c>
      <c r="AS347" s="24"/>
    </row>
    <row r="348" customFormat="false" ht="26.85" hidden="false" customHeight="false" outlineLevel="0" collapsed="false">
      <c r="A348" s="21" t="n">
        <v>347</v>
      </c>
      <c r="B348" s="18" t="s">
        <v>3869</v>
      </c>
      <c r="C348" s="23" t="n">
        <v>2</v>
      </c>
      <c r="D348" s="23" t="s">
        <v>160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3810</v>
      </c>
      <c r="H348" s="18" t="s">
        <v>3811</v>
      </c>
      <c r="I348" s="21" t="s">
        <v>3812</v>
      </c>
      <c r="J348" s="22" t="s">
        <v>3870</v>
      </c>
      <c r="K348" s="23" t="s">
        <v>165</v>
      </c>
      <c r="L348" s="24" t="s">
        <v>3871</v>
      </c>
      <c r="M348" s="24" t="s">
        <v>3872</v>
      </c>
      <c r="N348" s="23" t="s">
        <v>3873</v>
      </c>
      <c r="O348" s="24" t="s">
        <v>3874</v>
      </c>
      <c r="P348" s="24" t="s">
        <v>3875</v>
      </c>
      <c r="Q348" s="24" t="s">
        <v>3876</v>
      </c>
      <c r="R348" s="24"/>
      <c r="S348" s="24" t="s">
        <v>3877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174</v>
      </c>
      <c r="Y348" s="23" t="s">
        <v>174</v>
      </c>
      <c r="Z348" s="23" t="s">
        <v>174</v>
      </c>
      <c r="AA348" s="23" t="s">
        <v>174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  <c r="AE348" s="24" t="str">
        <f aca="false">M348&amp;" | 에스더 5장 #"&amp;SUBSTITUTE(안내!$C$5," ","")</f>
        <v>부르지 않았는데 왕 앞에 섰다 | 에스더 5장 #1분성경</v>
      </c>
      <c r="AF348" s="24" t="s">
        <v>304</v>
      </c>
      <c r="AG348" s="24" t="s">
        <v>3878</v>
      </c>
      <c r="AH348" s="23" t="s">
        <v>290</v>
      </c>
      <c r="AI348" s="26" t="n">
        <f aca="false">U348-안내!$C$12</f>
        <v>46757</v>
      </c>
      <c r="AJ348" s="23" t="str">
        <f aca="false">IF(U348&lt;IF(C348=1,안내!$C$9,안내!$C$10)+안내!$C$12,"시즌 시작 전 제작","")</f>
        <v/>
      </c>
      <c r="AK348" s="24" t="s">
        <v>3812</v>
      </c>
      <c r="AL348" s="27"/>
      <c r="AM348" s="27"/>
      <c r="AN348" s="27"/>
      <c r="AO348" s="27"/>
      <c r="AP348" s="27"/>
      <c r="AQ348" s="23" t="str">
        <f aca="false">D348&amp;"|"&amp;TEXT(U348,"yyyy-mm-dd")</f>
        <v>구약|2028-02-02</v>
      </c>
      <c r="AR348" s="24" t="s">
        <v>3879</v>
      </c>
      <c r="AS348" s="24"/>
    </row>
    <row r="349" customFormat="false" ht="26.85" hidden="false" customHeight="false" outlineLevel="0" collapsed="false">
      <c r="A349" s="21" t="n">
        <v>348</v>
      </c>
      <c r="B349" s="18" t="s">
        <v>3880</v>
      </c>
      <c r="C349" s="20" t="n">
        <v>1</v>
      </c>
      <c r="D349" s="20" t="s">
        <v>160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3810</v>
      </c>
      <c r="H349" s="18" t="s">
        <v>3823</v>
      </c>
      <c r="I349" s="21" t="s">
        <v>3812</v>
      </c>
      <c r="J349" s="22" t="s">
        <v>3881</v>
      </c>
      <c r="K349" s="23" t="s">
        <v>165</v>
      </c>
      <c r="L349" s="24" t="s">
        <v>3882</v>
      </c>
      <c r="M349" s="24" t="s">
        <v>3883</v>
      </c>
      <c r="N349" s="23" t="s">
        <v>3884</v>
      </c>
      <c r="O349" s="24" t="s">
        <v>3885</v>
      </c>
      <c r="P349" s="24" t="s">
        <v>3886</v>
      </c>
      <c r="Q349" s="24" t="s">
        <v>3887</v>
      </c>
      <c r="R349" s="24"/>
      <c r="S349" s="29" t="s">
        <v>3888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174</v>
      </c>
      <c r="Y349" s="23" t="s">
        <v>174</v>
      </c>
      <c r="Z349" s="23" t="s">
        <v>174</v>
      </c>
      <c r="AA349" s="23" t="s">
        <v>174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  <c r="AE349" s="24" t="str">
        <f aca="false">M349&amp;" | 에스더 6장 #"&amp;SUBSTITUTE(안내!$C$5," ","")</f>
        <v>그날 밤 왕이 우연히 읽은 기록 | 에스더 6장 #1분성경</v>
      </c>
      <c r="AF349" s="24" t="s">
        <v>3889</v>
      </c>
      <c r="AG349" s="24" t="s">
        <v>3890</v>
      </c>
      <c r="AH349" s="23" t="s">
        <v>290</v>
      </c>
      <c r="AI349" s="26" t="n">
        <f aca="false">U349-안내!$C$12</f>
        <v>46504</v>
      </c>
      <c r="AJ349" s="23" t="str">
        <f aca="false">IF(U349&lt;IF(C349=1,안내!$C$9,안내!$C$10)+안내!$C$12,"시즌 시작 전 제작","")</f>
        <v/>
      </c>
      <c r="AK349" s="24"/>
      <c r="AL349" s="27"/>
      <c r="AM349" s="27"/>
      <c r="AN349" s="27"/>
      <c r="AO349" s="27"/>
      <c r="AP349" s="27"/>
      <c r="AQ349" s="23" t="str">
        <f aca="false">D349&amp;"|"&amp;TEXT(U349,"yyyy-mm-dd")</f>
        <v>구약|2027-05-25</v>
      </c>
      <c r="AR349" s="24" t="s">
        <v>3891</v>
      </c>
      <c r="AS349" s="24"/>
    </row>
    <row r="350" customFormat="false" ht="26.85" hidden="false" customHeight="false" outlineLevel="0" collapsed="false">
      <c r="A350" s="21" t="n">
        <v>349</v>
      </c>
      <c r="B350" s="18" t="s">
        <v>3892</v>
      </c>
      <c r="C350" s="20" t="n">
        <v>1</v>
      </c>
      <c r="D350" s="20" t="s">
        <v>160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3810</v>
      </c>
      <c r="H350" s="18" t="s">
        <v>3823</v>
      </c>
      <c r="I350" s="21" t="s">
        <v>3812</v>
      </c>
      <c r="J350" s="22" t="s">
        <v>3893</v>
      </c>
      <c r="K350" s="23" t="s">
        <v>165</v>
      </c>
      <c r="L350" s="24" t="s">
        <v>3894</v>
      </c>
      <c r="M350" s="24" t="s">
        <v>3895</v>
      </c>
      <c r="N350" s="23" t="s">
        <v>3896</v>
      </c>
      <c r="O350" s="24" t="s">
        <v>3897</v>
      </c>
      <c r="P350" s="24" t="s">
        <v>3875</v>
      </c>
      <c r="Q350" s="24" t="s">
        <v>3898</v>
      </c>
      <c r="R350" s="25" t="s">
        <v>885</v>
      </c>
      <c r="S350" s="24" t="s">
        <v>173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174</v>
      </c>
      <c r="Y350" s="23" t="s">
        <v>174</v>
      </c>
      <c r="Z350" s="23" t="s">
        <v>174</v>
      </c>
      <c r="AA350" s="23" t="s">
        <v>174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  <c r="AE350" s="24" t="str">
        <f aca="false">M350&amp;" | 에스더 7장 #"&amp;SUBSTITUTE(안내!$C$5," ","")</f>
        <v>자기가 만든 나무에 자기가 달리다 | 에스더 7장 #1분성경</v>
      </c>
      <c r="AF350" s="24" t="s">
        <v>3899</v>
      </c>
      <c r="AG350" s="24"/>
      <c r="AH350" s="23" t="s">
        <v>290</v>
      </c>
      <c r="AI350" s="26" t="n">
        <f aca="false">U350-안내!$C$12</f>
        <v>46505</v>
      </c>
      <c r="AJ350" s="23" t="str">
        <f aca="false">IF(U350&lt;IF(C350=1,안내!$C$9,안내!$C$10)+안내!$C$12,"시즌 시작 전 제작","")</f>
        <v/>
      </c>
      <c r="AK350" s="24" t="s">
        <v>3812</v>
      </c>
      <c r="AL350" s="27"/>
      <c r="AM350" s="27"/>
      <c r="AN350" s="27"/>
      <c r="AO350" s="27"/>
      <c r="AP350" s="27"/>
      <c r="AQ350" s="23" t="str">
        <f aca="false">D350&amp;"|"&amp;TEXT(U350,"yyyy-mm-dd")</f>
        <v>구약|2027-05-26</v>
      </c>
      <c r="AR350" s="24" t="s">
        <v>3900</v>
      </c>
      <c r="AS350" s="24"/>
    </row>
    <row r="351" customFormat="false" ht="26.85" hidden="false" customHeight="false" outlineLevel="0" collapsed="false">
      <c r="A351" s="21" t="n">
        <v>350</v>
      </c>
      <c r="B351" s="18" t="s">
        <v>3901</v>
      </c>
      <c r="C351" s="23" t="n">
        <v>2</v>
      </c>
      <c r="D351" s="23" t="s">
        <v>160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3810</v>
      </c>
      <c r="H351" s="18" t="s">
        <v>3811</v>
      </c>
      <c r="I351" s="21" t="s">
        <v>3812</v>
      </c>
      <c r="J351" s="22" t="s">
        <v>3902</v>
      </c>
      <c r="K351" s="23" t="s">
        <v>165</v>
      </c>
      <c r="L351" s="24" t="s">
        <v>3903</v>
      </c>
      <c r="M351" s="24" t="s">
        <v>3904</v>
      </c>
      <c r="N351" s="23" t="s">
        <v>3905</v>
      </c>
      <c r="O351" s="24" t="s">
        <v>3906</v>
      </c>
      <c r="P351" s="24" t="s">
        <v>3864</v>
      </c>
      <c r="Q351" s="24" t="s">
        <v>3907</v>
      </c>
      <c r="R351" s="24"/>
      <c r="S351" s="24" t="s">
        <v>3908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174</v>
      </c>
      <c r="Y351" s="23" t="s">
        <v>174</v>
      </c>
      <c r="Z351" s="23" t="s">
        <v>174</v>
      </c>
      <c r="AA351" s="23" t="s">
        <v>174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  <c r="AE351" s="24" t="str">
        <f aca="false">M351&amp;" | 에스더 8장 #"&amp;SUBSTITUTE(안내!$C$5," ","")</f>
        <v>슬픔의 날이 기쁨의 날로 바뀌었다 | 에스더 8장 #1분성경</v>
      </c>
      <c r="AF351" s="24" t="s">
        <v>304</v>
      </c>
      <c r="AG351" s="24" t="s">
        <v>3909</v>
      </c>
      <c r="AH351" s="23" t="s">
        <v>290</v>
      </c>
      <c r="AI351" s="26" t="n">
        <f aca="false">U351-안내!$C$12</f>
        <v>46758</v>
      </c>
      <c r="AJ351" s="23" t="str">
        <f aca="false">IF(U351&lt;IF(C351=1,안내!$C$9,안내!$C$10)+안내!$C$12,"시즌 시작 전 제작","")</f>
        <v/>
      </c>
      <c r="AK351" s="24" t="s">
        <v>3812</v>
      </c>
      <c r="AL351" s="27"/>
      <c r="AM351" s="27"/>
      <c r="AN351" s="27"/>
      <c r="AO351" s="27"/>
      <c r="AP351" s="27"/>
      <c r="AQ351" s="23" t="str">
        <f aca="false">D351&amp;"|"&amp;TEXT(U351,"yyyy-mm-dd")</f>
        <v>구약|2028-02-03</v>
      </c>
      <c r="AR351" s="24" t="s">
        <v>3910</v>
      </c>
      <c r="AS351" s="24"/>
    </row>
    <row r="352" customFormat="false" ht="39.55" hidden="false" customHeight="false" outlineLevel="0" collapsed="false">
      <c r="A352" s="21" t="n">
        <v>351</v>
      </c>
      <c r="B352" s="18" t="s">
        <v>3911</v>
      </c>
      <c r="C352" s="23" t="n">
        <v>2</v>
      </c>
      <c r="D352" s="23" t="s">
        <v>160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3810</v>
      </c>
      <c r="H352" s="18" t="s">
        <v>3811</v>
      </c>
      <c r="I352" s="21" t="s">
        <v>3812</v>
      </c>
      <c r="J352" s="22" t="s">
        <v>3912</v>
      </c>
      <c r="K352" s="23" t="s">
        <v>165</v>
      </c>
      <c r="L352" s="24" t="s">
        <v>3913</v>
      </c>
      <c r="M352" s="24" t="s">
        <v>3914</v>
      </c>
      <c r="N352" s="23" t="s">
        <v>3915</v>
      </c>
      <c r="O352" s="24" t="s">
        <v>3916</v>
      </c>
      <c r="P352" s="24" t="s">
        <v>3917</v>
      </c>
      <c r="Q352" s="24" t="s">
        <v>3918</v>
      </c>
      <c r="R352" s="25" t="s">
        <v>3919</v>
      </c>
      <c r="S352" s="24" t="s">
        <v>3908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174</v>
      </c>
      <c r="Y352" s="23" t="s">
        <v>174</v>
      </c>
      <c r="Z352" s="23" t="s">
        <v>174</v>
      </c>
      <c r="AA352" s="23" t="s">
        <v>174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  <c r="AE352" s="24" t="str">
        <f aca="false">M352&amp;" | 에스더 9~10장 #"&amp;SUBSTITUTE(안내!$C$5," ","")</f>
        <v>지금도 지키는 구원의 축제 | 에스더 9~10장 #1분성경</v>
      </c>
      <c r="AF352" s="24" t="s">
        <v>304</v>
      </c>
      <c r="AG352" s="24"/>
      <c r="AH352" s="23" t="s">
        <v>290</v>
      </c>
      <c r="AI352" s="26" t="n">
        <f aca="false">U352-안내!$C$12</f>
        <v>46759</v>
      </c>
      <c r="AJ352" s="23" t="str">
        <f aca="false">IF(U352&lt;IF(C352=1,안내!$C$9,안내!$C$10)+안내!$C$12,"시즌 시작 전 제작","")</f>
        <v/>
      </c>
      <c r="AK352" s="24" t="s">
        <v>3812</v>
      </c>
      <c r="AL352" s="27"/>
      <c r="AM352" s="27"/>
      <c r="AN352" s="27"/>
      <c r="AO352" s="27"/>
      <c r="AP352" s="27"/>
      <c r="AQ352" s="23" t="str">
        <f aca="false">D352&amp;"|"&amp;TEXT(U352,"yyyy-mm-dd")</f>
        <v>구약|2028-02-04</v>
      </c>
      <c r="AR352" s="24" t="s">
        <v>3920</v>
      </c>
      <c r="AS352" s="24"/>
    </row>
    <row r="353" customFormat="false" ht="39.55" hidden="false" customHeight="false" outlineLevel="0" collapsed="false">
      <c r="A353" s="21" t="n">
        <v>352</v>
      </c>
      <c r="B353" s="18" t="s">
        <v>3921</v>
      </c>
      <c r="C353" s="20" t="n">
        <v>1</v>
      </c>
      <c r="D353" s="20" t="s">
        <v>160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3922</v>
      </c>
      <c r="H353" s="18" t="s">
        <v>3823</v>
      </c>
      <c r="I353" s="21" t="s">
        <v>3923</v>
      </c>
      <c r="J353" s="22" t="s">
        <v>3924</v>
      </c>
      <c r="K353" s="23" t="s">
        <v>165</v>
      </c>
      <c r="L353" s="24" t="s">
        <v>3925</v>
      </c>
      <c r="M353" s="24" t="s">
        <v>3926</v>
      </c>
      <c r="N353" s="23" t="s">
        <v>3927</v>
      </c>
      <c r="O353" s="24" t="s">
        <v>3928</v>
      </c>
      <c r="P353" s="24" t="s">
        <v>3929</v>
      </c>
      <c r="Q353" s="24" t="s">
        <v>3930</v>
      </c>
      <c r="R353" s="25" t="s">
        <v>3931</v>
      </c>
      <c r="S353" s="29" t="s">
        <v>3932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174</v>
      </c>
      <c r="Y353" s="23" t="s">
        <v>174</v>
      </c>
      <c r="Z353" s="23" t="s">
        <v>174</v>
      </c>
      <c r="AA353" s="23" t="s">
        <v>174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  <c r="AE353" s="24" t="str">
        <f aca="false">M353&amp;" | 욥기 1장 #"&amp;SUBSTITUTE(안내!$C$5," ","")</f>
        <v>하나님이 먼저 자랑하신 사람 | 욥기 1장 #1분성경</v>
      </c>
      <c r="AF353" s="24" t="s">
        <v>3933</v>
      </c>
      <c r="AG353" s="24" t="s">
        <v>3934</v>
      </c>
      <c r="AH353" s="23" t="s">
        <v>290</v>
      </c>
      <c r="AI353" s="26" t="n">
        <f aca="false">U353-안내!$C$12</f>
        <v>46506</v>
      </c>
      <c r="AJ353" s="23" t="str">
        <f aca="false">IF(U353&lt;IF(C353=1,안내!$C$9,안내!$C$10)+안내!$C$12,"시즌 시작 전 제작","")</f>
        <v/>
      </c>
      <c r="AK353" s="24" t="s">
        <v>3935</v>
      </c>
      <c r="AL353" s="27"/>
      <c r="AM353" s="27"/>
      <c r="AN353" s="27"/>
      <c r="AO353" s="27"/>
      <c r="AP353" s="27"/>
      <c r="AQ353" s="23" t="str">
        <f aca="false">D353&amp;"|"&amp;TEXT(U353,"yyyy-mm-dd")</f>
        <v>구약|2027-05-27</v>
      </c>
      <c r="AR353" s="24" t="s">
        <v>3936</v>
      </c>
      <c r="AS353" s="24"/>
    </row>
    <row r="354" customFormat="false" ht="39.55" hidden="false" customHeight="false" outlineLevel="0" collapsed="false">
      <c r="A354" s="21" t="n">
        <v>353</v>
      </c>
      <c r="B354" s="18" t="s">
        <v>3937</v>
      </c>
      <c r="C354" s="20" t="n">
        <v>1</v>
      </c>
      <c r="D354" s="20" t="s">
        <v>160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3922</v>
      </c>
      <c r="H354" s="18" t="s">
        <v>3823</v>
      </c>
      <c r="I354" s="21" t="s">
        <v>3923</v>
      </c>
      <c r="J354" s="22" t="s">
        <v>3938</v>
      </c>
      <c r="K354" s="23" t="s">
        <v>165</v>
      </c>
      <c r="L354" s="24" t="s">
        <v>3939</v>
      </c>
      <c r="M354" s="24" t="s">
        <v>3940</v>
      </c>
      <c r="N354" s="23" t="s">
        <v>3941</v>
      </c>
      <c r="O354" s="24" t="s">
        <v>3942</v>
      </c>
      <c r="P354" s="24" t="s">
        <v>3943</v>
      </c>
      <c r="Q354" s="24" t="s">
        <v>3944</v>
      </c>
      <c r="R354" s="25" t="s">
        <v>3945</v>
      </c>
      <c r="S354" s="24" t="s">
        <v>173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174</v>
      </c>
      <c r="Y354" s="23" t="s">
        <v>174</v>
      </c>
      <c r="Z354" s="23" t="s">
        <v>174</v>
      </c>
      <c r="AA354" s="23" t="s">
        <v>174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  <c r="AE354" s="24" t="str">
        <f aca="false">M354&amp;" | 욥기 1장 #"&amp;SUBSTITUTE(안내!$C$5," ","")</f>
        <v>네 명의 전령이 연달아 달려왔다 | 욥기 1장 #1분성경</v>
      </c>
      <c r="AF354" s="24" t="s">
        <v>3946</v>
      </c>
      <c r="AG354" s="24" t="s">
        <v>3947</v>
      </c>
      <c r="AH354" s="23" t="s">
        <v>290</v>
      </c>
      <c r="AI354" s="26" t="n">
        <f aca="false">U354-안내!$C$12</f>
        <v>46507</v>
      </c>
      <c r="AJ354" s="23" t="str">
        <f aca="false">IF(U354&lt;IF(C354=1,안내!$C$9,안내!$C$10)+안내!$C$12,"시즌 시작 전 제작","")</f>
        <v/>
      </c>
      <c r="AK354" s="24" t="s">
        <v>3935</v>
      </c>
      <c r="AL354" s="27"/>
      <c r="AM354" s="27"/>
      <c r="AN354" s="27"/>
      <c r="AO354" s="27"/>
      <c r="AP354" s="27"/>
      <c r="AQ354" s="23" t="str">
        <f aca="false">D354&amp;"|"&amp;TEXT(U354,"yyyy-mm-dd")</f>
        <v>구약|2027-05-28</v>
      </c>
      <c r="AR354" s="24" t="s">
        <v>3948</v>
      </c>
      <c r="AS354" s="24" t="s">
        <v>292</v>
      </c>
    </row>
    <row r="355" customFormat="false" ht="39.55" hidden="false" customHeight="false" outlineLevel="0" collapsed="false">
      <c r="A355" s="21" t="n">
        <v>354</v>
      </c>
      <c r="B355" s="18" t="s">
        <v>3949</v>
      </c>
      <c r="C355" s="20" t="n">
        <v>1</v>
      </c>
      <c r="D355" s="20" t="s">
        <v>160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3922</v>
      </c>
      <c r="H355" s="18" t="s">
        <v>3823</v>
      </c>
      <c r="I355" s="21" t="s">
        <v>3923</v>
      </c>
      <c r="J355" s="22" t="s">
        <v>3950</v>
      </c>
      <c r="K355" s="23" t="s">
        <v>165</v>
      </c>
      <c r="L355" s="24" t="s">
        <v>3951</v>
      </c>
      <c r="M355" s="24" t="s">
        <v>3952</v>
      </c>
      <c r="N355" s="23" t="s">
        <v>3953</v>
      </c>
      <c r="O355" s="24" t="s">
        <v>3954</v>
      </c>
      <c r="P355" s="24" t="s">
        <v>3955</v>
      </c>
      <c r="Q355" s="24" t="s">
        <v>3956</v>
      </c>
      <c r="R355" s="25" t="s">
        <v>3957</v>
      </c>
      <c r="S355" s="24" t="s">
        <v>173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174</v>
      </c>
      <c r="Y355" s="23" t="s">
        <v>174</v>
      </c>
      <c r="Z355" s="23" t="s">
        <v>174</v>
      </c>
      <c r="AA355" s="23" t="s">
        <v>174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  <c r="AE355" s="24" t="str">
        <f aca="false">M355&amp;" | 욥기 2장 #"&amp;SUBSTITUTE(안내!$C$5," ","")</f>
        <v>아내마저 하나님을 욕하라고 했다 | 욥기 2장 #1분성경</v>
      </c>
      <c r="AF355" s="24" t="s">
        <v>3958</v>
      </c>
      <c r="AG355" s="24" t="s">
        <v>3959</v>
      </c>
      <c r="AH355" s="23" t="s">
        <v>290</v>
      </c>
      <c r="AI355" s="26" t="n">
        <f aca="false">U355-안내!$C$12</f>
        <v>46508</v>
      </c>
      <c r="AJ355" s="23" t="str">
        <f aca="false">IF(U355&lt;IF(C355=1,안내!$C$9,안내!$C$10)+안내!$C$12,"시즌 시작 전 제작","")</f>
        <v/>
      </c>
      <c r="AK355" s="24" t="s">
        <v>3935</v>
      </c>
      <c r="AL355" s="27"/>
      <c r="AM355" s="27"/>
      <c r="AN355" s="27"/>
      <c r="AO355" s="27"/>
      <c r="AP355" s="27"/>
      <c r="AQ355" s="23" t="str">
        <f aca="false">D355&amp;"|"&amp;TEXT(U355,"yyyy-mm-dd")</f>
        <v>구약|2027-05-29</v>
      </c>
      <c r="AR355" s="24" t="s">
        <v>3960</v>
      </c>
      <c r="AS355" s="24" t="s">
        <v>292</v>
      </c>
    </row>
    <row r="356" customFormat="false" ht="26.85" hidden="false" customHeight="false" outlineLevel="0" collapsed="false">
      <c r="A356" s="21" t="n">
        <v>355</v>
      </c>
      <c r="B356" s="18" t="s">
        <v>3961</v>
      </c>
      <c r="C356" s="23" t="n">
        <v>2</v>
      </c>
      <c r="D356" s="23" t="s">
        <v>160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3922</v>
      </c>
      <c r="H356" s="18" t="s">
        <v>3811</v>
      </c>
      <c r="I356" s="21" t="s">
        <v>3923</v>
      </c>
      <c r="J356" s="22" t="s">
        <v>3962</v>
      </c>
      <c r="K356" s="23" t="s">
        <v>1370</v>
      </c>
      <c r="L356" s="24" t="s">
        <v>3963</v>
      </c>
      <c r="M356" s="24" t="s">
        <v>3964</v>
      </c>
      <c r="N356" s="23" t="s">
        <v>3965</v>
      </c>
      <c r="O356" s="24" t="s">
        <v>3966</v>
      </c>
      <c r="P356" s="24" t="s">
        <v>3935</v>
      </c>
      <c r="Q356" s="24" t="s">
        <v>3967</v>
      </c>
      <c r="R356" s="25" t="s">
        <v>3968</v>
      </c>
      <c r="S356" s="24" t="s">
        <v>3969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174</v>
      </c>
      <c r="Y356" s="23" t="s">
        <v>174</v>
      </c>
      <c r="Z356" s="23" t="s">
        <v>174</v>
      </c>
      <c r="AA356" s="23" t="s">
        <v>174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  <c r="AE356" s="24" t="str">
        <f aca="false">M356&amp;" | 욥기 3장 #"&amp;SUBSTITUTE(안내!$C$5," ","")</f>
        <v>차라리 태어나지 않았더라면 | 욥기 3장 #1분성경</v>
      </c>
      <c r="AF356" s="24" t="s">
        <v>304</v>
      </c>
      <c r="AG356" s="24"/>
      <c r="AH356" s="23" t="s">
        <v>290</v>
      </c>
      <c r="AI356" s="26" t="n">
        <f aca="false">U356-안내!$C$12</f>
        <v>46760</v>
      </c>
      <c r="AJ356" s="23" t="str">
        <f aca="false">IF(U356&lt;IF(C356=1,안내!$C$9,안내!$C$10)+안내!$C$12,"시즌 시작 전 제작","")</f>
        <v/>
      </c>
      <c r="AK356" s="24" t="s">
        <v>3935</v>
      </c>
      <c r="AL356" s="27"/>
      <c r="AM356" s="27"/>
      <c r="AN356" s="27"/>
      <c r="AO356" s="27"/>
      <c r="AP356" s="27"/>
      <c r="AQ356" s="23" t="str">
        <f aca="false">D356&amp;"|"&amp;TEXT(U356,"yyyy-mm-dd")</f>
        <v>구약|2028-02-05</v>
      </c>
      <c r="AR356" s="24" t="s">
        <v>3970</v>
      </c>
      <c r="AS356" s="24"/>
    </row>
    <row r="357" customFormat="false" ht="26.85" hidden="false" customHeight="false" outlineLevel="0" collapsed="false">
      <c r="A357" s="21" t="n">
        <v>356</v>
      </c>
      <c r="B357" s="18" t="s">
        <v>3971</v>
      </c>
      <c r="C357" s="23" t="n">
        <v>2</v>
      </c>
      <c r="D357" s="23" t="s">
        <v>160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3922</v>
      </c>
      <c r="H357" s="18" t="s">
        <v>3811</v>
      </c>
      <c r="I357" s="21" t="s">
        <v>3923</v>
      </c>
      <c r="J357" s="22" t="s">
        <v>3972</v>
      </c>
      <c r="K357" s="23" t="s">
        <v>1370</v>
      </c>
      <c r="L357" s="24" t="s">
        <v>3973</v>
      </c>
      <c r="M357" s="24" t="s">
        <v>3974</v>
      </c>
      <c r="N357" s="23" t="s">
        <v>3975</v>
      </c>
      <c r="O357" s="24" t="s">
        <v>3976</v>
      </c>
      <c r="P357" s="24" t="s">
        <v>3977</v>
      </c>
      <c r="Q357" s="24" t="s">
        <v>3978</v>
      </c>
      <c r="R357" s="24"/>
      <c r="S357" s="24" t="s">
        <v>3969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174</v>
      </c>
      <c r="Y357" s="23" t="s">
        <v>174</v>
      </c>
      <c r="Z357" s="23" t="s">
        <v>174</v>
      </c>
      <c r="AA357" s="23" t="s">
        <v>174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  <c r="AE357" s="24" t="str">
        <f aca="false">M357&amp;" | 욥기 4~14장 #"&amp;SUBSTITUTE(안내!$C$5," ","")</f>
        <v>친구들이 내린 결론, 정말 맞을까? | 욥기 4~14장 #1분성경</v>
      </c>
      <c r="AF357" s="24" t="s">
        <v>304</v>
      </c>
      <c r="AG357" s="24"/>
      <c r="AH357" s="23" t="s">
        <v>176</v>
      </c>
      <c r="AI357" s="26" t="n">
        <f aca="false">U357-안내!$C$12</f>
        <v>46761</v>
      </c>
      <c r="AJ357" s="23" t="str">
        <f aca="false">IF(U357&lt;IF(C357=1,안내!$C$9,안내!$C$10)+안내!$C$12,"시즌 시작 전 제작","")</f>
        <v/>
      </c>
      <c r="AK357" s="24" t="s">
        <v>3935</v>
      </c>
      <c r="AL357" s="27"/>
      <c r="AM357" s="27"/>
      <c r="AN357" s="27"/>
      <c r="AO357" s="27"/>
      <c r="AP357" s="27"/>
      <c r="AQ357" s="23" t="str">
        <f aca="false">D357&amp;"|"&amp;TEXT(U357,"yyyy-mm-dd")</f>
        <v>구약|2028-02-06</v>
      </c>
      <c r="AR357" s="24" t="s">
        <v>3979</v>
      </c>
      <c r="AS357" s="24"/>
    </row>
    <row r="358" customFormat="false" ht="26.85" hidden="false" customHeight="false" outlineLevel="0" collapsed="false">
      <c r="A358" s="21" t="n">
        <v>357</v>
      </c>
      <c r="B358" s="18" t="s">
        <v>3980</v>
      </c>
      <c r="C358" s="23" t="n">
        <v>2</v>
      </c>
      <c r="D358" s="23" t="s">
        <v>160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3922</v>
      </c>
      <c r="H358" s="18" t="s">
        <v>3811</v>
      </c>
      <c r="I358" s="21" t="s">
        <v>3923</v>
      </c>
      <c r="J358" s="22" t="s">
        <v>3981</v>
      </c>
      <c r="K358" s="23" t="s">
        <v>1370</v>
      </c>
      <c r="L358" s="24" t="s">
        <v>3982</v>
      </c>
      <c r="M358" s="24" t="s">
        <v>3983</v>
      </c>
      <c r="N358" s="23" t="s">
        <v>3984</v>
      </c>
      <c r="O358" s="24" t="s">
        <v>3985</v>
      </c>
      <c r="P358" s="24" t="s">
        <v>3986</v>
      </c>
      <c r="Q358" s="24" t="s">
        <v>3956</v>
      </c>
      <c r="R358" s="25" t="s">
        <v>3987</v>
      </c>
      <c r="S358" s="24" t="s">
        <v>3969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174</v>
      </c>
      <c r="Y358" s="23" t="s">
        <v>174</v>
      </c>
      <c r="Z358" s="23" t="s">
        <v>174</v>
      </c>
      <c r="AA358" s="23" t="s">
        <v>174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  <c r="AE358" s="24" t="str">
        <f aca="false">M358&amp;" | 욥기 15~21장 #"&amp;SUBSTITUTE(안내!$C$5," ","")</f>
        <v>가장 깊은 절망 속에서 터져 나온 고백 | 욥기 15~21장 #1분성경</v>
      </c>
      <c r="AF358" s="24" t="s">
        <v>304</v>
      </c>
      <c r="AG358" s="24"/>
      <c r="AH358" s="23" t="s">
        <v>290</v>
      </c>
      <c r="AI358" s="26" t="n">
        <f aca="false">U358-안내!$C$12</f>
        <v>46762</v>
      </c>
      <c r="AJ358" s="23" t="str">
        <f aca="false">IF(U358&lt;IF(C358=1,안내!$C$9,안내!$C$10)+안내!$C$12,"시즌 시작 전 제작","")</f>
        <v/>
      </c>
      <c r="AK358" s="24" t="s">
        <v>3935</v>
      </c>
      <c r="AL358" s="27"/>
      <c r="AM358" s="27"/>
      <c r="AN358" s="27"/>
      <c r="AO358" s="27"/>
      <c r="AP358" s="27"/>
      <c r="AQ358" s="23" t="str">
        <f aca="false">D358&amp;"|"&amp;TEXT(U358,"yyyy-mm-dd")</f>
        <v>구약|2028-02-07</v>
      </c>
      <c r="AR358" s="24" t="s">
        <v>3988</v>
      </c>
      <c r="AS358" s="24"/>
    </row>
    <row r="359" customFormat="false" ht="26.85" hidden="false" customHeight="false" outlineLevel="0" collapsed="false">
      <c r="A359" s="21" t="n">
        <v>358</v>
      </c>
      <c r="B359" s="18" t="s">
        <v>3989</v>
      </c>
      <c r="C359" s="23" t="n">
        <v>2</v>
      </c>
      <c r="D359" s="23" t="s">
        <v>160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3922</v>
      </c>
      <c r="H359" s="18" t="s">
        <v>3811</v>
      </c>
      <c r="I359" s="21" t="s">
        <v>3923</v>
      </c>
      <c r="J359" s="22" t="s">
        <v>3990</v>
      </c>
      <c r="K359" s="23" t="s">
        <v>1370</v>
      </c>
      <c r="L359" s="24" t="s">
        <v>3991</v>
      </c>
      <c r="M359" s="24" t="s">
        <v>3992</v>
      </c>
      <c r="N359" s="23" t="s">
        <v>3993</v>
      </c>
      <c r="O359" s="24" t="s">
        <v>3994</v>
      </c>
      <c r="P359" s="24" t="s">
        <v>3986</v>
      </c>
      <c r="Q359" s="24" t="s">
        <v>3956</v>
      </c>
      <c r="R359" s="24"/>
      <c r="S359" s="24" t="s">
        <v>3969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174</v>
      </c>
      <c r="Y359" s="23" t="s">
        <v>174</v>
      </c>
      <c r="Z359" s="23" t="s">
        <v>174</v>
      </c>
      <c r="AA359" s="23" t="s">
        <v>174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  <c r="AE359" s="24" t="str">
        <f aca="false">M359&amp;" | 욥기 22~31장 #"&amp;SUBSTITUTE(안내!$C$5," ","")</f>
        <v>하나님이 안 보여도 하나님은 나를 보신다 | 욥기 22~31장 #1분성경</v>
      </c>
      <c r="AF359" s="24" t="s">
        <v>304</v>
      </c>
      <c r="AG359" s="24"/>
      <c r="AH359" s="23" t="s">
        <v>290</v>
      </c>
      <c r="AI359" s="26" t="n">
        <f aca="false">U359-안내!$C$12</f>
        <v>46763</v>
      </c>
      <c r="AJ359" s="23" t="str">
        <f aca="false">IF(U359&lt;IF(C359=1,안내!$C$9,안내!$C$10)+안내!$C$12,"시즌 시작 전 제작","")</f>
        <v/>
      </c>
      <c r="AK359" s="24" t="s">
        <v>3935</v>
      </c>
      <c r="AL359" s="27"/>
      <c r="AM359" s="27"/>
      <c r="AN359" s="27"/>
      <c r="AO359" s="27"/>
      <c r="AP359" s="27"/>
      <c r="AQ359" s="23" t="str">
        <f aca="false">D359&amp;"|"&amp;TEXT(U359,"yyyy-mm-dd")</f>
        <v>구약|2028-02-08</v>
      </c>
      <c r="AR359" s="24" t="s">
        <v>3995</v>
      </c>
      <c r="AS359" s="24"/>
    </row>
    <row r="360" customFormat="false" ht="26.85" hidden="false" customHeight="false" outlineLevel="0" collapsed="false">
      <c r="A360" s="21" t="n">
        <v>359</v>
      </c>
      <c r="B360" s="18" t="s">
        <v>3996</v>
      </c>
      <c r="C360" s="23" t="n">
        <v>2</v>
      </c>
      <c r="D360" s="23" t="s">
        <v>160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3922</v>
      </c>
      <c r="H360" s="18" t="s">
        <v>3811</v>
      </c>
      <c r="I360" s="21" t="s">
        <v>3923</v>
      </c>
      <c r="J360" s="22" t="s">
        <v>3997</v>
      </c>
      <c r="K360" s="23" t="s">
        <v>1370</v>
      </c>
      <c r="L360" s="24" t="s">
        <v>3998</v>
      </c>
      <c r="M360" s="24" t="s">
        <v>3999</v>
      </c>
      <c r="N360" s="23" t="s">
        <v>4000</v>
      </c>
      <c r="O360" s="24" t="s">
        <v>4001</v>
      </c>
      <c r="P360" s="24" t="s">
        <v>4002</v>
      </c>
      <c r="Q360" s="24" t="s">
        <v>4003</v>
      </c>
      <c r="R360" s="24"/>
      <c r="S360" s="24" t="s">
        <v>3969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174</v>
      </c>
      <c r="Y360" s="23" t="s">
        <v>174</v>
      </c>
      <c r="Z360" s="23" t="s">
        <v>174</v>
      </c>
      <c r="AA360" s="23" t="s">
        <v>174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  <c r="AE360" s="24" t="str">
        <f aca="false">M360&amp;" | 욥기 32~37장 #"&amp;SUBSTITUTE(안내!$C$5," ","")</f>
        <v>어른들이 다 말한 뒤에 입을 연 청년 | 욥기 32~37장 #1분성경</v>
      </c>
      <c r="AF360" s="24" t="s">
        <v>304</v>
      </c>
      <c r="AG360" s="24"/>
      <c r="AH360" s="23" t="s">
        <v>290</v>
      </c>
      <c r="AI360" s="26" t="n">
        <f aca="false">U360-안내!$C$12</f>
        <v>46764</v>
      </c>
      <c r="AJ360" s="23" t="str">
        <f aca="false">IF(U360&lt;IF(C360=1,안내!$C$9,안내!$C$10)+안내!$C$12,"시즌 시작 전 제작","")</f>
        <v/>
      </c>
      <c r="AK360" s="24" t="s">
        <v>3935</v>
      </c>
      <c r="AL360" s="27"/>
      <c r="AM360" s="27"/>
      <c r="AN360" s="27"/>
      <c r="AO360" s="27"/>
      <c r="AP360" s="27"/>
      <c r="AQ360" s="23" t="str">
        <f aca="false">D360&amp;"|"&amp;TEXT(U360,"yyyy-mm-dd")</f>
        <v>구약|2028-02-09</v>
      </c>
      <c r="AR360" s="24" t="s">
        <v>4004</v>
      </c>
      <c r="AS360" s="24"/>
    </row>
    <row r="361" customFormat="false" ht="52.2" hidden="false" customHeight="false" outlineLevel="0" collapsed="false">
      <c r="A361" s="21" t="n">
        <v>360</v>
      </c>
      <c r="B361" s="18" t="s">
        <v>4005</v>
      </c>
      <c r="C361" s="20" t="n">
        <v>1</v>
      </c>
      <c r="D361" s="20" t="s">
        <v>160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3922</v>
      </c>
      <c r="H361" s="18" t="s">
        <v>3823</v>
      </c>
      <c r="I361" s="21" t="s">
        <v>3923</v>
      </c>
      <c r="J361" s="22" t="s">
        <v>4006</v>
      </c>
      <c r="K361" s="23" t="s">
        <v>165</v>
      </c>
      <c r="L361" s="24" t="s">
        <v>4007</v>
      </c>
      <c r="M361" s="24" t="s">
        <v>4008</v>
      </c>
      <c r="N361" s="23" t="s">
        <v>4009</v>
      </c>
      <c r="O361" s="24" t="s">
        <v>4010</v>
      </c>
      <c r="P361" s="24" t="s">
        <v>4011</v>
      </c>
      <c r="Q361" s="24" t="s">
        <v>4012</v>
      </c>
      <c r="R361" s="25" t="s">
        <v>4013</v>
      </c>
      <c r="S361" s="29" t="s">
        <v>4014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174</v>
      </c>
      <c r="Y361" s="23" t="s">
        <v>174</v>
      </c>
      <c r="Z361" s="23" t="s">
        <v>174</v>
      </c>
      <c r="AA361" s="23" t="s">
        <v>174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  <c r="AE361" s="24" t="str">
        <f aca="false">M361&amp;" | 욥기 38~40장 #"&amp;SUBSTITUTE(안내!$C$5," ","")</f>
        <v>내가 땅의 기초를 놓을 때 네가 어디 있었느냐 | 욥기 38~40장 #1분성경</v>
      </c>
      <c r="AF361" s="24" t="s">
        <v>4015</v>
      </c>
      <c r="AG361" s="24" t="s">
        <v>4016</v>
      </c>
      <c r="AH361" s="23" t="s">
        <v>290</v>
      </c>
      <c r="AI361" s="26" t="n">
        <f aca="false">U361-안내!$C$12</f>
        <v>46509</v>
      </c>
      <c r="AJ361" s="23" t="str">
        <f aca="false">IF(U361&lt;IF(C361=1,안내!$C$9,안내!$C$10)+안내!$C$12,"시즌 시작 전 제작","")</f>
        <v/>
      </c>
      <c r="AK361" s="24" t="s">
        <v>3935</v>
      </c>
      <c r="AL361" s="27"/>
      <c r="AM361" s="27"/>
      <c r="AN361" s="27"/>
      <c r="AO361" s="27"/>
      <c r="AP361" s="27"/>
      <c r="AQ361" s="23" t="str">
        <f aca="false">D361&amp;"|"&amp;TEXT(U361,"yyyy-mm-dd")</f>
        <v>구약|2027-05-30</v>
      </c>
      <c r="AR361" s="24" t="s">
        <v>4017</v>
      </c>
      <c r="AS361" s="24"/>
    </row>
    <row r="362" customFormat="false" ht="26.85" hidden="false" customHeight="false" outlineLevel="0" collapsed="false">
      <c r="A362" s="21" t="n">
        <v>361</v>
      </c>
      <c r="B362" s="18" t="s">
        <v>4018</v>
      </c>
      <c r="C362" s="23" t="n">
        <v>2</v>
      </c>
      <c r="D362" s="23" t="s">
        <v>160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3922</v>
      </c>
      <c r="H362" s="18" t="s">
        <v>3811</v>
      </c>
      <c r="I362" s="21" t="s">
        <v>3923</v>
      </c>
      <c r="J362" s="22" t="s">
        <v>4019</v>
      </c>
      <c r="K362" s="23" t="s">
        <v>165</v>
      </c>
      <c r="L362" s="24" t="s">
        <v>4020</v>
      </c>
      <c r="M362" s="24" t="s">
        <v>4021</v>
      </c>
      <c r="N362" s="23" t="s">
        <v>4022</v>
      </c>
      <c r="O362" s="24" t="s">
        <v>4023</v>
      </c>
      <c r="P362" s="24" t="s">
        <v>4024</v>
      </c>
      <c r="Q362" s="24" t="s">
        <v>4025</v>
      </c>
      <c r="R362" s="24"/>
      <c r="S362" s="24" t="s">
        <v>4026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174</v>
      </c>
      <c r="Y362" s="23" t="s">
        <v>174</v>
      </c>
      <c r="Z362" s="23" t="s">
        <v>174</v>
      </c>
      <c r="AA362" s="23" t="s">
        <v>174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  <c r="AE362" s="24" t="str">
        <f aca="false">M362&amp;" | 욥기 40~42장 #"&amp;SUBSTITUTE(안내!$C$5," ","")</f>
        <v>질문이 사라지고 남은 한 가지 | 욥기 40~42장 #1분성경</v>
      </c>
      <c r="AF362" s="24" t="s">
        <v>304</v>
      </c>
      <c r="AG362" s="24"/>
      <c r="AH362" s="23" t="s">
        <v>290</v>
      </c>
      <c r="AI362" s="26" t="n">
        <f aca="false">U362-안내!$C$12</f>
        <v>46765</v>
      </c>
      <c r="AJ362" s="23" t="str">
        <f aca="false">IF(U362&lt;IF(C362=1,안내!$C$9,안내!$C$10)+안내!$C$12,"시즌 시작 전 제작","")</f>
        <v/>
      </c>
      <c r="AK362" s="24" t="s">
        <v>3935</v>
      </c>
      <c r="AL362" s="27"/>
      <c r="AM362" s="27"/>
      <c r="AN362" s="27"/>
      <c r="AO362" s="27"/>
      <c r="AP362" s="27"/>
      <c r="AQ362" s="23" t="str">
        <f aca="false">D362&amp;"|"&amp;TEXT(U362,"yyyy-mm-dd")</f>
        <v>구약|2028-02-10</v>
      </c>
      <c r="AR362" s="24" t="s">
        <v>4027</v>
      </c>
      <c r="AS362" s="24"/>
    </row>
    <row r="363" customFormat="false" ht="39.55" hidden="false" customHeight="false" outlineLevel="0" collapsed="false">
      <c r="A363" s="21" t="n">
        <v>362</v>
      </c>
      <c r="B363" s="18" t="s">
        <v>4028</v>
      </c>
      <c r="C363" s="20" t="n">
        <v>1</v>
      </c>
      <c r="D363" s="20" t="s">
        <v>160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3922</v>
      </c>
      <c r="H363" s="18" t="s">
        <v>3823</v>
      </c>
      <c r="I363" s="21" t="s">
        <v>3923</v>
      </c>
      <c r="J363" s="22" t="s">
        <v>4029</v>
      </c>
      <c r="K363" s="23" t="s">
        <v>165</v>
      </c>
      <c r="L363" s="24" t="s">
        <v>4030</v>
      </c>
      <c r="M363" s="24" t="s">
        <v>4031</v>
      </c>
      <c r="N363" s="23" t="s">
        <v>4032</v>
      </c>
      <c r="O363" s="24" t="s">
        <v>4033</v>
      </c>
      <c r="P363" s="24" t="s">
        <v>4034</v>
      </c>
      <c r="Q363" s="24" t="s">
        <v>4035</v>
      </c>
      <c r="R363" s="28" t="s">
        <v>4036</v>
      </c>
      <c r="S363" s="29" t="s">
        <v>4037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174</v>
      </c>
      <c r="Y363" s="23" t="s">
        <v>174</v>
      </c>
      <c r="Z363" s="23" t="s">
        <v>174</v>
      </c>
      <c r="AA363" s="23" t="s">
        <v>174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  <c r="AE363" s="24" t="str">
        <f aca="false">M363&amp;" | 욥기 42장 #"&amp;SUBSTITUTE(안내!$C$5," ","")</f>
        <v>친구들을 위해 기도할 때 | 욥기 42장 #1분성경</v>
      </c>
      <c r="AF363" s="24" t="s">
        <v>4038</v>
      </c>
      <c r="AG363" s="24"/>
      <c r="AH363" s="23" t="s">
        <v>290</v>
      </c>
      <c r="AI363" s="26" t="n">
        <f aca="false">U363-안내!$C$12</f>
        <v>46510</v>
      </c>
      <c r="AJ363" s="23" t="str">
        <f aca="false">IF(U363&lt;IF(C363=1,안내!$C$9,안내!$C$10)+안내!$C$12,"시즌 시작 전 제작","")</f>
        <v/>
      </c>
      <c r="AK363" s="24" t="s">
        <v>3935</v>
      </c>
      <c r="AL363" s="27"/>
      <c r="AM363" s="27"/>
      <c r="AN363" s="27"/>
      <c r="AO363" s="27"/>
      <c r="AP363" s="27"/>
      <c r="AQ363" s="23" t="str">
        <f aca="false">D363&amp;"|"&amp;TEXT(U363,"yyyy-mm-dd")</f>
        <v>구약|2027-05-31</v>
      </c>
      <c r="AR363" s="24" t="s">
        <v>4039</v>
      </c>
      <c r="AS363" s="24"/>
    </row>
    <row r="364" customFormat="false" ht="26.85" hidden="false" customHeight="false" outlineLevel="0" collapsed="false">
      <c r="A364" s="21" t="n">
        <v>363</v>
      </c>
      <c r="B364" s="18" t="s">
        <v>4040</v>
      </c>
      <c r="C364" s="20" t="n">
        <v>1</v>
      </c>
      <c r="D364" s="20" t="s">
        <v>160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4041</v>
      </c>
      <c r="H364" s="18" t="s">
        <v>4042</v>
      </c>
      <c r="I364" s="21" t="s">
        <v>4043</v>
      </c>
      <c r="J364" s="22" t="s">
        <v>4044</v>
      </c>
      <c r="K364" s="23" t="s">
        <v>1370</v>
      </c>
      <c r="L364" s="24" t="s">
        <v>4045</v>
      </c>
      <c r="M364" s="24" t="s">
        <v>4046</v>
      </c>
      <c r="N364" s="23" t="s">
        <v>4047</v>
      </c>
      <c r="O364" s="24" t="s">
        <v>4048</v>
      </c>
      <c r="P364" s="24" t="s">
        <v>4049</v>
      </c>
      <c r="Q364" s="24" t="s">
        <v>4050</v>
      </c>
      <c r="R364" s="24"/>
      <c r="S364" s="24" t="s">
        <v>173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174</v>
      </c>
      <c r="Y364" s="23" t="s">
        <v>174</v>
      </c>
      <c r="Z364" s="23" t="s">
        <v>174</v>
      </c>
      <c r="AA364" s="23" t="s">
        <v>174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  <c r="AE364" s="24" t="str">
        <f aca="false">M364&amp;" | 시편 1편 #"&amp;SUBSTITUTE(안내!$C$5," ","")</f>
        <v>가장 복 있는 사람은 누구일까? | 시편 1편 #1분성경</v>
      </c>
      <c r="AF364" s="24" t="s">
        <v>4051</v>
      </c>
      <c r="AG364" s="24"/>
      <c r="AH364" s="23" t="s">
        <v>176</v>
      </c>
      <c r="AI364" s="26" t="n">
        <f aca="false">U364-안내!$C$12</f>
        <v>46511</v>
      </c>
      <c r="AJ364" s="23" t="str">
        <f aca="false">IF(U364&lt;IF(C364=1,안내!$C$9,안내!$C$10)+안내!$C$12,"시즌 시작 전 제작","")</f>
        <v/>
      </c>
      <c r="AK364" s="24"/>
      <c r="AL364" s="27"/>
      <c r="AM364" s="27"/>
      <c r="AN364" s="27"/>
      <c r="AO364" s="27"/>
      <c r="AP364" s="27"/>
      <c r="AQ364" s="23" t="str">
        <f aca="false">D364&amp;"|"&amp;TEXT(U364,"yyyy-mm-dd")</f>
        <v>구약|2027-06-01</v>
      </c>
      <c r="AR364" s="24" t="s">
        <v>4052</v>
      </c>
      <c r="AS364" s="24"/>
    </row>
    <row r="365" customFormat="false" ht="26.85" hidden="false" customHeight="false" outlineLevel="0" collapsed="false">
      <c r="A365" s="21" t="n">
        <v>364</v>
      </c>
      <c r="B365" s="18" t="s">
        <v>4053</v>
      </c>
      <c r="C365" s="23" t="n">
        <v>2</v>
      </c>
      <c r="D365" s="23" t="s">
        <v>160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4041</v>
      </c>
      <c r="H365" s="18" t="s">
        <v>4054</v>
      </c>
      <c r="I365" s="21" t="s">
        <v>4043</v>
      </c>
      <c r="J365" s="22" t="s">
        <v>4055</v>
      </c>
      <c r="K365" s="23" t="s">
        <v>1370</v>
      </c>
      <c r="L365" s="24" t="s">
        <v>4056</v>
      </c>
      <c r="M365" s="24" t="s">
        <v>4057</v>
      </c>
      <c r="N365" s="23" t="s">
        <v>4058</v>
      </c>
      <c r="O365" s="24" t="s">
        <v>4059</v>
      </c>
      <c r="P365" s="24" t="s">
        <v>4060</v>
      </c>
      <c r="Q365" s="24" t="s">
        <v>4061</v>
      </c>
      <c r="R365" s="25" t="s">
        <v>4062</v>
      </c>
      <c r="S365" s="24" t="s">
        <v>4063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174</v>
      </c>
      <c r="Y365" s="23" t="s">
        <v>174</v>
      </c>
      <c r="Z365" s="23" t="s">
        <v>174</v>
      </c>
      <c r="AA365" s="23" t="s">
        <v>174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  <c r="AE365" s="24" t="str">
        <f aca="false">M365&amp;" | 시편 2편 #"&amp;SUBSTITUTE(안내!$C$5," ","")</f>
        <v>세상 왕들이 하나님을 대적할 때 | 시편 2편 #1분성경</v>
      </c>
      <c r="AF365" s="24" t="s">
        <v>304</v>
      </c>
      <c r="AG365" s="24"/>
      <c r="AH365" s="23" t="s">
        <v>290</v>
      </c>
      <c r="AI365" s="26" t="n">
        <f aca="false">U365-안내!$C$12</f>
        <v>46766</v>
      </c>
      <c r="AJ365" s="23" t="str">
        <f aca="false">IF(U365&lt;IF(C365=1,안내!$C$9,안내!$C$10)+안내!$C$12,"시즌 시작 전 제작","")</f>
        <v/>
      </c>
      <c r="AK365" s="24"/>
      <c r="AL365" s="27"/>
      <c r="AM365" s="27"/>
      <c r="AN365" s="27"/>
      <c r="AO365" s="27"/>
      <c r="AP365" s="27"/>
      <c r="AQ365" s="23" t="str">
        <f aca="false">D365&amp;"|"&amp;TEXT(U365,"yyyy-mm-dd")</f>
        <v>구약|2028-02-11</v>
      </c>
      <c r="AR365" s="24" t="s">
        <v>4064</v>
      </c>
      <c r="AS365" s="24"/>
    </row>
    <row r="366" customFormat="false" ht="26.85" hidden="false" customHeight="false" outlineLevel="0" collapsed="false">
      <c r="A366" s="21" t="n">
        <v>365</v>
      </c>
      <c r="B366" s="18" t="s">
        <v>4065</v>
      </c>
      <c r="C366" s="23" t="n">
        <v>2</v>
      </c>
      <c r="D366" s="23" t="s">
        <v>160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4041</v>
      </c>
      <c r="H366" s="18" t="s">
        <v>4054</v>
      </c>
      <c r="I366" s="21" t="s">
        <v>4043</v>
      </c>
      <c r="J366" s="22" t="s">
        <v>4066</v>
      </c>
      <c r="K366" s="23" t="s">
        <v>1370</v>
      </c>
      <c r="L366" s="24" t="s">
        <v>4067</v>
      </c>
      <c r="M366" s="24" t="s">
        <v>4068</v>
      </c>
      <c r="N366" s="23" t="s">
        <v>4069</v>
      </c>
      <c r="O366" s="24" t="s">
        <v>4070</v>
      </c>
      <c r="P366" s="24" t="s">
        <v>2608</v>
      </c>
      <c r="Q366" s="24" t="s">
        <v>4071</v>
      </c>
      <c r="R366" s="24"/>
      <c r="S366" s="24" t="s">
        <v>4063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174</v>
      </c>
      <c r="Y366" s="23" t="s">
        <v>174</v>
      </c>
      <c r="Z366" s="23" t="s">
        <v>174</v>
      </c>
      <c r="AA366" s="23" t="s">
        <v>174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  <c r="AE366" s="24" t="str">
        <f aca="false">M366&amp;" | 시편 8편 #"&amp;SUBSTITUTE(안내!$C$5," ","")</f>
        <v>우주를 바라보다 터져 나온 질문 | 시편 8편 #1분성경</v>
      </c>
      <c r="AF366" s="24" t="s">
        <v>304</v>
      </c>
      <c r="AG366" s="24"/>
      <c r="AH366" s="23" t="s">
        <v>290</v>
      </c>
      <c r="AI366" s="26" t="n">
        <f aca="false">U366-안내!$C$12</f>
        <v>46767</v>
      </c>
      <c r="AJ366" s="23" t="str">
        <f aca="false">IF(U366&lt;IF(C366=1,안내!$C$9,안내!$C$10)+안내!$C$12,"시즌 시작 전 제작","")</f>
        <v/>
      </c>
      <c r="AK366" s="24" t="s">
        <v>2608</v>
      </c>
      <c r="AL366" s="27"/>
      <c r="AM366" s="27"/>
      <c r="AN366" s="27"/>
      <c r="AO366" s="27"/>
      <c r="AP366" s="27"/>
      <c r="AQ366" s="23" t="str">
        <f aca="false">D366&amp;"|"&amp;TEXT(U366,"yyyy-mm-dd")</f>
        <v>구약|2028-02-12</v>
      </c>
      <c r="AR366" s="24" t="s">
        <v>4072</v>
      </c>
      <c r="AS366" s="24"/>
    </row>
    <row r="367" customFormat="false" ht="26.85" hidden="false" customHeight="false" outlineLevel="0" collapsed="false">
      <c r="A367" s="21" t="n">
        <v>366</v>
      </c>
      <c r="B367" s="18" t="s">
        <v>4073</v>
      </c>
      <c r="C367" s="23" t="n">
        <v>2</v>
      </c>
      <c r="D367" s="23" t="s">
        <v>160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4041</v>
      </c>
      <c r="H367" s="18" t="s">
        <v>4054</v>
      </c>
      <c r="I367" s="21" t="s">
        <v>4043</v>
      </c>
      <c r="J367" s="22" t="s">
        <v>4074</v>
      </c>
      <c r="K367" s="23" t="s">
        <v>1370</v>
      </c>
      <c r="L367" s="24" t="s">
        <v>4075</v>
      </c>
      <c r="M367" s="24" t="s">
        <v>4076</v>
      </c>
      <c r="N367" s="23" t="s">
        <v>4077</v>
      </c>
      <c r="O367" s="24" t="s">
        <v>4078</v>
      </c>
      <c r="P367" s="24" t="s">
        <v>2608</v>
      </c>
      <c r="Q367" s="24" t="s">
        <v>4079</v>
      </c>
      <c r="R367" s="24"/>
      <c r="S367" s="24" t="s">
        <v>4063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174</v>
      </c>
      <c r="Y367" s="23" t="s">
        <v>174</v>
      </c>
      <c r="Z367" s="23" t="s">
        <v>174</v>
      </c>
      <c r="AA367" s="23" t="s">
        <v>174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  <c r="AE367" s="24" t="str">
        <f aca="false">M367&amp;" | 시편 19편 #"&amp;SUBSTITUTE(안내!$C$5," ","")</f>
        <v>소리 없이 말하는 하늘 | 시편 19편 #1분성경</v>
      </c>
      <c r="AF367" s="24" t="s">
        <v>304</v>
      </c>
      <c r="AG367" s="24"/>
      <c r="AH367" s="23" t="s">
        <v>290</v>
      </c>
      <c r="AI367" s="26" t="n">
        <f aca="false">U367-안내!$C$12</f>
        <v>46768</v>
      </c>
      <c r="AJ367" s="23" t="str">
        <f aca="false">IF(U367&lt;IF(C367=1,안내!$C$9,안내!$C$10)+안내!$C$12,"시즌 시작 전 제작","")</f>
        <v/>
      </c>
      <c r="AK367" s="24" t="s">
        <v>2608</v>
      </c>
      <c r="AL367" s="27"/>
      <c r="AM367" s="27"/>
      <c r="AN367" s="27"/>
      <c r="AO367" s="27"/>
      <c r="AP367" s="27"/>
      <c r="AQ367" s="23" t="str">
        <f aca="false">D367&amp;"|"&amp;TEXT(U367,"yyyy-mm-dd")</f>
        <v>구약|2028-02-13</v>
      </c>
      <c r="AR367" s="24" t="s">
        <v>4080</v>
      </c>
      <c r="AS367" s="24" t="s">
        <v>4081</v>
      </c>
    </row>
    <row r="368" customFormat="false" ht="52.2" hidden="false" customHeight="false" outlineLevel="0" collapsed="false">
      <c r="A368" s="21" t="n">
        <v>367</v>
      </c>
      <c r="B368" s="18" t="s">
        <v>4082</v>
      </c>
      <c r="C368" s="20" t="n">
        <v>1</v>
      </c>
      <c r="D368" s="20" t="s">
        <v>160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4041</v>
      </c>
      <c r="H368" s="18" t="s">
        <v>4042</v>
      </c>
      <c r="I368" s="21" t="s">
        <v>4043</v>
      </c>
      <c r="J368" s="22" t="s">
        <v>4083</v>
      </c>
      <c r="K368" s="23" t="s">
        <v>1370</v>
      </c>
      <c r="L368" s="24" t="s">
        <v>4084</v>
      </c>
      <c r="M368" s="24" t="s">
        <v>4085</v>
      </c>
      <c r="N368" s="23" t="s">
        <v>4086</v>
      </c>
      <c r="O368" s="24" t="s">
        <v>4087</v>
      </c>
      <c r="P368" s="24" t="s">
        <v>4088</v>
      </c>
      <c r="Q368" s="24" t="s">
        <v>4089</v>
      </c>
      <c r="R368" s="25" t="s">
        <v>4090</v>
      </c>
      <c r="S368" s="29" t="s">
        <v>4091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174</v>
      </c>
      <c r="Y368" s="23" t="s">
        <v>174</v>
      </c>
      <c r="Z368" s="23" t="s">
        <v>174</v>
      </c>
      <c r="AA368" s="23" t="s">
        <v>174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  <c r="AE368" s="24" t="str">
        <f aca="false">M368&amp;" | 시편 22편 #"&amp;SUBSTITUTE(안내!$C$5," ","")</f>
        <v>예수님이 십자가에서 외치신 시편 | 시편 22편 #1분성경</v>
      </c>
      <c r="AF368" s="24" t="s">
        <v>4092</v>
      </c>
      <c r="AG368" s="24"/>
      <c r="AH368" s="23" t="s">
        <v>290</v>
      </c>
      <c r="AI368" s="26" t="n">
        <f aca="false">U368-안내!$C$12</f>
        <v>46512</v>
      </c>
      <c r="AJ368" s="23" t="str">
        <f aca="false">IF(U368&lt;IF(C368=1,안내!$C$9,안내!$C$10)+안내!$C$12,"시즌 시작 전 제작","")</f>
        <v/>
      </c>
      <c r="AK368" s="24" t="s">
        <v>2608</v>
      </c>
      <c r="AL368" s="27"/>
      <c r="AM368" s="27"/>
      <c r="AN368" s="27"/>
      <c r="AO368" s="27"/>
      <c r="AP368" s="27"/>
      <c r="AQ368" s="23" t="str">
        <f aca="false">D368&amp;"|"&amp;TEXT(U368,"yyyy-mm-dd")</f>
        <v>구약|2027-06-02</v>
      </c>
      <c r="AR368" s="24" t="s">
        <v>4093</v>
      </c>
      <c r="AS368" s="24" t="s">
        <v>4081</v>
      </c>
    </row>
    <row r="369" customFormat="false" ht="26.85" hidden="false" customHeight="false" outlineLevel="0" collapsed="false">
      <c r="A369" s="21" t="n">
        <v>368</v>
      </c>
      <c r="B369" s="18" t="s">
        <v>4094</v>
      </c>
      <c r="C369" s="20" t="n">
        <v>1</v>
      </c>
      <c r="D369" s="20" t="s">
        <v>160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4041</v>
      </c>
      <c r="H369" s="18" t="s">
        <v>4042</v>
      </c>
      <c r="I369" s="21" t="s">
        <v>4043</v>
      </c>
      <c r="J369" s="22" t="s">
        <v>4095</v>
      </c>
      <c r="K369" s="23" t="s">
        <v>1370</v>
      </c>
      <c r="L369" s="24" t="s">
        <v>4096</v>
      </c>
      <c r="M369" s="24" t="s">
        <v>4097</v>
      </c>
      <c r="N369" s="23" t="s">
        <v>4098</v>
      </c>
      <c r="O369" s="24" t="s">
        <v>4099</v>
      </c>
      <c r="P369" s="24" t="s">
        <v>4100</v>
      </c>
      <c r="Q369" s="24" t="s">
        <v>4101</v>
      </c>
      <c r="R369" s="25" t="s">
        <v>4102</v>
      </c>
      <c r="S369" s="24" t="s">
        <v>173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174</v>
      </c>
      <c r="Y369" s="23" t="s">
        <v>174</v>
      </c>
      <c r="Z369" s="23" t="s">
        <v>174</v>
      </c>
      <c r="AA369" s="23" t="s">
        <v>174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  <c r="AE369" s="24" t="str">
        <f aca="false">M369&amp;" | 시편 23편 #"&amp;SUBSTITUTE(안내!$C$5," ","")</f>
        <v>세상에서 가장 많이 외운 시 | 시편 23편 #1분성경</v>
      </c>
      <c r="AF369" s="24" t="s">
        <v>4103</v>
      </c>
      <c r="AG369" s="24"/>
      <c r="AH369" s="23" t="s">
        <v>290</v>
      </c>
      <c r="AI369" s="26" t="n">
        <f aca="false">U369-안내!$C$12</f>
        <v>46513</v>
      </c>
      <c r="AJ369" s="23" t="str">
        <f aca="false">IF(U369&lt;IF(C369=1,안내!$C$9,안내!$C$10)+안내!$C$12,"시즌 시작 전 제작","")</f>
        <v/>
      </c>
      <c r="AK369" s="24"/>
      <c r="AL369" s="27"/>
      <c r="AM369" s="27"/>
      <c r="AN369" s="27"/>
      <c r="AO369" s="27"/>
      <c r="AP369" s="27"/>
      <c r="AQ369" s="23" t="str">
        <f aca="false">D369&amp;"|"&amp;TEXT(U369,"yyyy-mm-dd")</f>
        <v>구약|2027-06-03</v>
      </c>
      <c r="AR369" s="24" t="s">
        <v>4104</v>
      </c>
      <c r="AS369" s="24" t="s">
        <v>4081</v>
      </c>
    </row>
    <row r="370" customFormat="false" ht="26.85" hidden="false" customHeight="false" outlineLevel="0" collapsed="false">
      <c r="A370" s="21" t="n">
        <v>369</v>
      </c>
      <c r="B370" s="18" t="s">
        <v>4105</v>
      </c>
      <c r="C370" s="23" t="n">
        <v>2</v>
      </c>
      <c r="D370" s="23" t="s">
        <v>160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4041</v>
      </c>
      <c r="H370" s="18" t="s">
        <v>4054</v>
      </c>
      <c r="I370" s="21" t="s">
        <v>4043</v>
      </c>
      <c r="J370" s="22" t="s">
        <v>4106</v>
      </c>
      <c r="K370" s="23" t="s">
        <v>1370</v>
      </c>
      <c r="L370" s="24" t="s">
        <v>4107</v>
      </c>
      <c r="M370" s="24" t="s">
        <v>4108</v>
      </c>
      <c r="N370" s="23" t="s">
        <v>4109</v>
      </c>
      <c r="O370" s="24" t="s">
        <v>4110</v>
      </c>
      <c r="P370" s="24" t="s">
        <v>2608</v>
      </c>
      <c r="Q370" s="24" t="s">
        <v>4111</v>
      </c>
      <c r="R370" s="24"/>
      <c r="S370" s="24" t="s">
        <v>4112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174</v>
      </c>
      <c r="Y370" s="23" t="s">
        <v>174</v>
      </c>
      <c r="Z370" s="23" t="s">
        <v>174</v>
      </c>
      <c r="AA370" s="23" t="s">
        <v>174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  <c r="AE370" s="24" t="str">
        <f aca="false">M370&amp;" | 시편 27편 #"&amp;SUBSTITUTE(안내!$C$5," ","")</f>
        <v>두려울 때 붙잡는 한 가지 | 시편 27편 #1분성경</v>
      </c>
      <c r="AF370" s="24" t="s">
        <v>304</v>
      </c>
      <c r="AG370" s="24"/>
      <c r="AH370" s="23" t="s">
        <v>290</v>
      </c>
      <c r="AI370" s="26" t="n">
        <f aca="false">U370-안내!$C$12</f>
        <v>46769</v>
      </c>
      <c r="AJ370" s="23" t="str">
        <f aca="false">IF(U370&lt;IF(C370=1,안내!$C$9,안내!$C$10)+안내!$C$12,"시즌 시작 전 제작","")</f>
        <v/>
      </c>
      <c r="AK370" s="24" t="s">
        <v>2608</v>
      </c>
      <c r="AL370" s="27"/>
      <c r="AM370" s="27"/>
      <c r="AN370" s="27"/>
      <c r="AO370" s="27"/>
      <c r="AP370" s="27"/>
      <c r="AQ370" s="23" t="str">
        <f aca="false">D370&amp;"|"&amp;TEXT(U370,"yyyy-mm-dd")</f>
        <v>구약|2028-02-14</v>
      </c>
      <c r="AR370" s="24" t="s">
        <v>4113</v>
      </c>
      <c r="AS370" s="24" t="s">
        <v>4081</v>
      </c>
    </row>
    <row r="371" customFormat="false" ht="26.85" hidden="false" customHeight="false" outlineLevel="0" collapsed="false">
      <c r="A371" s="21" t="n">
        <v>370</v>
      </c>
      <c r="B371" s="18" t="s">
        <v>4114</v>
      </c>
      <c r="C371" s="23" t="n">
        <v>2</v>
      </c>
      <c r="D371" s="23" t="s">
        <v>160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4041</v>
      </c>
      <c r="H371" s="18" t="s">
        <v>4054</v>
      </c>
      <c r="I371" s="21" t="s">
        <v>4043</v>
      </c>
      <c r="J371" s="22" t="s">
        <v>4115</v>
      </c>
      <c r="K371" s="23" t="s">
        <v>1370</v>
      </c>
      <c r="L371" s="24" t="s">
        <v>4116</v>
      </c>
      <c r="M371" s="24" t="s">
        <v>4117</v>
      </c>
      <c r="N371" s="23" t="s">
        <v>4118</v>
      </c>
      <c r="O371" s="24" t="s">
        <v>4119</v>
      </c>
      <c r="P371" s="24" t="s">
        <v>2608</v>
      </c>
      <c r="Q371" s="24"/>
      <c r="R371" s="25" t="s">
        <v>4120</v>
      </c>
      <c r="S371" s="24" t="s">
        <v>4112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174</v>
      </c>
      <c r="Y371" s="23" t="s">
        <v>174</v>
      </c>
      <c r="Z371" s="23" t="s">
        <v>174</v>
      </c>
      <c r="AA371" s="23" t="s">
        <v>174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  <c r="AE371" s="24" t="str">
        <f aca="false">M371&amp;" | 시편 32편 #"&amp;SUBSTITUTE(안내!$C$5," ","")</f>
        <v>숨기면 뼈가 마르고, 고백하면 자유롭다 | 시편 32편 #1분성경</v>
      </c>
      <c r="AF371" s="24" t="s">
        <v>304</v>
      </c>
      <c r="AG371" s="24"/>
      <c r="AH371" s="23" t="s">
        <v>290</v>
      </c>
      <c r="AI371" s="26" t="n">
        <f aca="false">U371-안내!$C$12</f>
        <v>46770</v>
      </c>
      <c r="AJ371" s="23" t="str">
        <f aca="false">IF(U371&lt;IF(C371=1,안내!$C$9,안내!$C$10)+안내!$C$12,"시즌 시작 전 제작","")</f>
        <v/>
      </c>
      <c r="AK371" s="24" t="s">
        <v>2608</v>
      </c>
      <c r="AL371" s="27"/>
      <c r="AM371" s="27"/>
      <c r="AN371" s="27"/>
      <c r="AO371" s="27"/>
      <c r="AP371" s="27"/>
      <c r="AQ371" s="23" t="str">
        <f aca="false">D371&amp;"|"&amp;TEXT(U371,"yyyy-mm-dd")</f>
        <v>구약|2028-02-15</v>
      </c>
      <c r="AR371" s="24" t="s">
        <v>4121</v>
      </c>
      <c r="AS371" s="24" t="s">
        <v>4081</v>
      </c>
    </row>
    <row r="372" customFormat="false" ht="26.85" hidden="false" customHeight="false" outlineLevel="0" collapsed="false">
      <c r="A372" s="21" t="n">
        <v>371</v>
      </c>
      <c r="B372" s="18" t="s">
        <v>4122</v>
      </c>
      <c r="C372" s="23" t="n">
        <v>2</v>
      </c>
      <c r="D372" s="23" t="s">
        <v>160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4123</v>
      </c>
      <c r="H372" s="18" t="s">
        <v>4054</v>
      </c>
      <c r="I372" s="21" t="s">
        <v>4043</v>
      </c>
      <c r="J372" s="22" t="s">
        <v>4124</v>
      </c>
      <c r="K372" s="23" t="s">
        <v>1370</v>
      </c>
      <c r="L372" s="24" t="s">
        <v>4125</v>
      </c>
      <c r="M372" s="24" t="s">
        <v>4126</v>
      </c>
      <c r="N372" s="23" t="s">
        <v>4127</v>
      </c>
      <c r="O372" s="24" t="s">
        <v>4128</v>
      </c>
      <c r="P372" s="24" t="s">
        <v>4129</v>
      </c>
      <c r="Q372" s="24" t="s">
        <v>4130</v>
      </c>
      <c r="R372" s="24"/>
      <c r="S372" s="24" t="s">
        <v>4112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174</v>
      </c>
      <c r="Y372" s="23" t="s">
        <v>174</v>
      </c>
      <c r="Z372" s="23" t="s">
        <v>174</v>
      </c>
      <c r="AA372" s="23" t="s">
        <v>174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  <c r="AE372" s="24" t="str">
        <f aca="false">M372&amp;" | 시편 42편 #"&amp;SUBSTITUTE(안내!$C$5," ","")</f>
        <v>목마른 사슴처럼 하나님을 찾다 | 시편 42편 #1분성경</v>
      </c>
      <c r="AF372" s="24" t="s">
        <v>304</v>
      </c>
      <c r="AG372" s="24"/>
      <c r="AH372" s="23" t="s">
        <v>290</v>
      </c>
      <c r="AI372" s="26" t="n">
        <f aca="false">U372-안내!$C$12</f>
        <v>46771</v>
      </c>
      <c r="AJ372" s="23" t="str">
        <f aca="false">IF(U372&lt;IF(C372=1,안내!$C$9,안내!$C$10)+안내!$C$12,"시즌 시작 전 제작","")</f>
        <v/>
      </c>
      <c r="AK372" s="24"/>
      <c r="AL372" s="27"/>
      <c r="AM372" s="27"/>
      <c r="AN372" s="27"/>
      <c r="AO372" s="27"/>
      <c r="AP372" s="27"/>
      <c r="AQ372" s="23" t="str">
        <f aca="false">D372&amp;"|"&amp;TEXT(U372,"yyyy-mm-dd")</f>
        <v>구약|2028-02-16</v>
      </c>
      <c r="AR372" s="24" t="s">
        <v>4131</v>
      </c>
      <c r="AS372" s="24" t="s">
        <v>4081</v>
      </c>
    </row>
    <row r="373" customFormat="false" ht="26.85" hidden="false" customHeight="false" outlineLevel="0" collapsed="false">
      <c r="A373" s="21" t="n">
        <v>372</v>
      </c>
      <c r="B373" s="18" t="s">
        <v>4132</v>
      </c>
      <c r="C373" s="23" t="n">
        <v>2</v>
      </c>
      <c r="D373" s="23" t="s">
        <v>160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4123</v>
      </c>
      <c r="H373" s="18" t="s">
        <v>4054</v>
      </c>
      <c r="I373" s="21" t="s">
        <v>4043</v>
      </c>
      <c r="J373" s="22" t="s">
        <v>4133</v>
      </c>
      <c r="K373" s="23" t="s">
        <v>1370</v>
      </c>
      <c r="L373" s="24" t="s">
        <v>4134</v>
      </c>
      <c r="M373" s="24" t="s">
        <v>4135</v>
      </c>
      <c r="N373" s="23" t="s">
        <v>4136</v>
      </c>
      <c r="O373" s="24" t="s">
        <v>4137</v>
      </c>
      <c r="P373" s="24" t="s">
        <v>4129</v>
      </c>
      <c r="Q373" s="24" t="s">
        <v>4138</v>
      </c>
      <c r="R373" s="24"/>
      <c r="S373" s="24" t="s">
        <v>4112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174</v>
      </c>
      <c r="Y373" s="23" t="s">
        <v>174</v>
      </c>
      <c r="Z373" s="23" t="s">
        <v>174</v>
      </c>
      <c r="AA373" s="23" t="s">
        <v>174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  <c r="AE373" s="24" t="str">
        <f aca="false">M373&amp;" | 시편 46편 #"&amp;SUBSTITUTE(안내!$C$5," ","")</f>
        <v>산이 바다에 빠져도 | 시편 46편 #1분성경</v>
      </c>
      <c r="AF373" s="24" t="s">
        <v>304</v>
      </c>
      <c r="AG373" s="24"/>
      <c r="AH373" s="23" t="s">
        <v>290</v>
      </c>
      <c r="AI373" s="26" t="n">
        <f aca="false">U373-안내!$C$12</f>
        <v>46772</v>
      </c>
      <c r="AJ373" s="23" t="str">
        <f aca="false">IF(U373&lt;IF(C373=1,안내!$C$9,안내!$C$10)+안내!$C$12,"시즌 시작 전 제작","")</f>
        <v/>
      </c>
      <c r="AK373" s="24"/>
      <c r="AL373" s="27"/>
      <c r="AM373" s="27"/>
      <c r="AN373" s="27"/>
      <c r="AO373" s="27"/>
      <c r="AP373" s="27"/>
      <c r="AQ373" s="23" t="str">
        <f aca="false">D373&amp;"|"&amp;TEXT(U373,"yyyy-mm-dd")</f>
        <v>구약|2028-02-17</v>
      </c>
      <c r="AR373" s="24" t="s">
        <v>4139</v>
      </c>
      <c r="AS373" s="24" t="s">
        <v>4081</v>
      </c>
    </row>
    <row r="374" customFormat="false" ht="52.2" hidden="false" customHeight="false" outlineLevel="0" collapsed="false">
      <c r="A374" s="21" t="n">
        <v>373</v>
      </c>
      <c r="B374" s="18" t="s">
        <v>4140</v>
      </c>
      <c r="C374" s="20" t="n">
        <v>1</v>
      </c>
      <c r="D374" s="20" t="s">
        <v>160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4123</v>
      </c>
      <c r="H374" s="18" t="s">
        <v>4042</v>
      </c>
      <c r="I374" s="21" t="s">
        <v>4043</v>
      </c>
      <c r="J374" s="22" t="s">
        <v>4141</v>
      </c>
      <c r="K374" s="23" t="s">
        <v>1370</v>
      </c>
      <c r="L374" s="24" t="s">
        <v>4142</v>
      </c>
      <c r="M374" s="24" t="s">
        <v>4143</v>
      </c>
      <c r="N374" s="23" t="s">
        <v>4144</v>
      </c>
      <c r="O374" s="24" t="s">
        <v>4145</v>
      </c>
      <c r="P374" s="24" t="s">
        <v>2608</v>
      </c>
      <c r="Q374" s="24" t="s">
        <v>4146</v>
      </c>
      <c r="R374" s="24"/>
      <c r="S374" s="29" t="s">
        <v>4147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174</v>
      </c>
      <c r="Y374" s="23" t="s">
        <v>174</v>
      </c>
      <c r="Z374" s="23" t="s">
        <v>174</v>
      </c>
      <c r="AA374" s="23" t="s">
        <v>174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  <c r="AE374" s="24" t="str">
        <f aca="false">M374&amp;" | 시편 51편 #"&amp;SUBSTITUTE(안내!$C$5," ","")</f>
        <v>큰 죄를 지은 왕의 회개 기도 | 시편 51편 #1분성경</v>
      </c>
      <c r="AF374" s="24" t="s">
        <v>4148</v>
      </c>
      <c r="AG374" s="24"/>
      <c r="AH374" s="23" t="s">
        <v>290</v>
      </c>
      <c r="AI374" s="26" t="n">
        <f aca="false">U374-안내!$C$12</f>
        <v>46514</v>
      </c>
      <c r="AJ374" s="23" t="str">
        <f aca="false">IF(U374&lt;IF(C374=1,안내!$C$9,안내!$C$10)+안내!$C$12,"시즌 시작 전 제작","")</f>
        <v/>
      </c>
      <c r="AK374" s="24" t="s">
        <v>2608</v>
      </c>
      <c r="AL374" s="27"/>
      <c r="AM374" s="27"/>
      <c r="AN374" s="27"/>
      <c r="AO374" s="27"/>
      <c r="AP374" s="27"/>
      <c r="AQ374" s="23" t="str">
        <f aca="false">D374&amp;"|"&amp;TEXT(U374,"yyyy-mm-dd")</f>
        <v>구약|2027-06-04</v>
      </c>
      <c r="AR374" s="24" t="s">
        <v>4149</v>
      </c>
      <c r="AS374" s="24"/>
    </row>
    <row r="375" customFormat="false" ht="26.85" hidden="false" customHeight="false" outlineLevel="0" collapsed="false">
      <c r="A375" s="21" t="n">
        <v>374</v>
      </c>
      <c r="B375" s="18" t="s">
        <v>4150</v>
      </c>
      <c r="C375" s="23" t="n">
        <v>2</v>
      </c>
      <c r="D375" s="23" t="s">
        <v>160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4123</v>
      </c>
      <c r="H375" s="18" t="s">
        <v>4054</v>
      </c>
      <c r="I375" s="21" t="s">
        <v>4043</v>
      </c>
      <c r="J375" s="22" t="s">
        <v>4151</v>
      </c>
      <c r="K375" s="23" t="s">
        <v>1370</v>
      </c>
      <c r="L375" s="24" t="s">
        <v>4152</v>
      </c>
      <c r="M375" s="24" t="s">
        <v>4153</v>
      </c>
      <c r="N375" s="23" t="s">
        <v>4154</v>
      </c>
      <c r="O375" s="24" t="s">
        <v>4155</v>
      </c>
      <c r="P375" s="24" t="s">
        <v>2608</v>
      </c>
      <c r="Q375" s="24" t="s">
        <v>4156</v>
      </c>
      <c r="R375" s="24"/>
      <c r="S375" s="24" t="s">
        <v>4157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174</v>
      </c>
      <c r="Y375" s="23" t="s">
        <v>174</v>
      </c>
      <c r="Z375" s="23" t="s">
        <v>174</v>
      </c>
      <c r="AA375" s="23" t="s">
        <v>174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  <c r="AE375" s="24" t="str">
        <f aca="false">M375&amp;" | 시편 62편 #"&amp;SUBSTITUTE(안내!$C$5," ","")</f>
        <v>기다림도 기도가 될 수 있을까? | 시편 62편 #1분성경</v>
      </c>
      <c r="AF375" s="24" t="s">
        <v>304</v>
      </c>
      <c r="AG375" s="24"/>
      <c r="AH375" s="23" t="s">
        <v>176</v>
      </c>
      <c r="AI375" s="26" t="n">
        <f aca="false">U375-안내!$C$12</f>
        <v>46773</v>
      </c>
      <c r="AJ375" s="23" t="str">
        <f aca="false">IF(U375&lt;IF(C375=1,안내!$C$9,안내!$C$10)+안내!$C$12,"시즌 시작 전 제작","")</f>
        <v/>
      </c>
      <c r="AK375" s="24" t="s">
        <v>2608</v>
      </c>
      <c r="AL375" s="27"/>
      <c r="AM375" s="27"/>
      <c r="AN375" s="27"/>
      <c r="AO375" s="27"/>
      <c r="AP375" s="27"/>
      <c r="AQ375" s="23" t="str">
        <f aca="false">D375&amp;"|"&amp;TEXT(U375,"yyyy-mm-dd")</f>
        <v>구약|2028-02-18</v>
      </c>
      <c r="AR375" s="24" t="s">
        <v>4158</v>
      </c>
      <c r="AS375" s="24"/>
    </row>
    <row r="376" customFormat="false" ht="39.55" hidden="false" customHeight="false" outlineLevel="0" collapsed="false">
      <c r="A376" s="21" t="n">
        <v>375</v>
      </c>
      <c r="B376" s="18" t="s">
        <v>4159</v>
      </c>
      <c r="C376" s="23" t="n">
        <v>2</v>
      </c>
      <c r="D376" s="23" t="s">
        <v>160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4123</v>
      </c>
      <c r="H376" s="18" t="s">
        <v>4054</v>
      </c>
      <c r="I376" s="21" t="s">
        <v>4043</v>
      </c>
      <c r="J376" s="22" t="s">
        <v>4160</v>
      </c>
      <c r="K376" s="23" t="s">
        <v>1370</v>
      </c>
      <c r="L376" s="24" t="s">
        <v>4161</v>
      </c>
      <c r="M376" s="24" t="s">
        <v>4162</v>
      </c>
      <c r="N376" s="23" t="s">
        <v>4163</v>
      </c>
      <c r="O376" s="24" t="s">
        <v>4164</v>
      </c>
      <c r="P376" s="24" t="s">
        <v>2608</v>
      </c>
      <c r="Q376" s="24" t="s">
        <v>4165</v>
      </c>
      <c r="R376" s="24"/>
      <c r="S376" s="24" t="s">
        <v>4157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174</v>
      </c>
      <c r="Y376" s="23" t="s">
        <v>174</v>
      </c>
      <c r="Z376" s="23" t="s">
        <v>174</v>
      </c>
      <c r="AA376" s="23" t="s">
        <v>174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  <c r="AE376" s="24" t="str">
        <f aca="false">M376&amp;" | 시편 63편 #"&amp;SUBSTITUTE(안내!$C$5," ","")</f>
        <v>물 없는 땅에서 하나님을 찾다 | 시편 63편 #1분성경</v>
      </c>
      <c r="AF376" s="24" t="s">
        <v>304</v>
      </c>
      <c r="AG376" s="24"/>
      <c r="AH376" s="23" t="s">
        <v>290</v>
      </c>
      <c r="AI376" s="26" t="n">
        <f aca="false">U376-안내!$C$12</f>
        <v>46774</v>
      </c>
      <c r="AJ376" s="23" t="str">
        <f aca="false">IF(U376&lt;IF(C376=1,안내!$C$9,안내!$C$10)+안내!$C$12,"시즌 시작 전 제작","")</f>
        <v/>
      </c>
      <c r="AK376" s="24" t="s">
        <v>2608</v>
      </c>
      <c r="AL376" s="27"/>
      <c r="AM376" s="27"/>
      <c r="AN376" s="27"/>
      <c r="AO376" s="27"/>
      <c r="AP376" s="27"/>
      <c r="AQ376" s="23" t="str">
        <f aca="false">D376&amp;"|"&amp;TEXT(U376,"yyyy-mm-dd")</f>
        <v>구약|2028-02-19</v>
      </c>
      <c r="AR376" s="24" t="s">
        <v>4166</v>
      </c>
      <c r="AS376" s="24" t="s">
        <v>4081</v>
      </c>
    </row>
    <row r="377" customFormat="false" ht="26.85" hidden="false" customHeight="false" outlineLevel="0" collapsed="false">
      <c r="A377" s="21" t="n">
        <v>376</v>
      </c>
      <c r="B377" s="18" t="s">
        <v>4167</v>
      </c>
      <c r="C377" s="23" t="n">
        <v>2</v>
      </c>
      <c r="D377" s="23" t="s">
        <v>160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4123</v>
      </c>
      <c r="H377" s="18" t="s">
        <v>4054</v>
      </c>
      <c r="I377" s="21" t="s">
        <v>4043</v>
      </c>
      <c r="J377" s="22" t="s">
        <v>4168</v>
      </c>
      <c r="K377" s="23" t="s">
        <v>1370</v>
      </c>
      <c r="L377" s="24" t="s">
        <v>4169</v>
      </c>
      <c r="M377" s="24" t="s">
        <v>4170</v>
      </c>
      <c r="N377" s="23" t="s">
        <v>4171</v>
      </c>
      <c r="O377" s="24" t="s">
        <v>4172</v>
      </c>
      <c r="P377" s="24" t="s">
        <v>4173</v>
      </c>
      <c r="Q377" s="24" t="s">
        <v>1588</v>
      </c>
      <c r="R377" s="24"/>
      <c r="S377" s="24" t="s">
        <v>4157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174</v>
      </c>
      <c r="Y377" s="23" t="s">
        <v>174</v>
      </c>
      <c r="Z377" s="23" t="s">
        <v>174</v>
      </c>
      <c r="AA377" s="23" t="s">
        <v>174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  <c r="AE377" s="24" t="str">
        <f aca="false">M377&amp;" | 시편 73편 #"&amp;SUBSTITUTE(안내!$C$5," ","")</f>
        <v>나만 바보같이 산 걸까? | 시편 73편 #1분성경</v>
      </c>
      <c r="AF377" s="24" t="s">
        <v>304</v>
      </c>
      <c r="AG377" s="24"/>
      <c r="AH377" s="23" t="s">
        <v>176</v>
      </c>
      <c r="AI377" s="26" t="n">
        <f aca="false">U377-안내!$C$12</f>
        <v>46775</v>
      </c>
      <c r="AJ377" s="23" t="str">
        <f aca="false">IF(U377&lt;IF(C377=1,안내!$C$9,안내!$C$10)+안내!$C$12,"시즌 시작 전 제작","")</f>
        <v/>
      </c>
      <c r="AK377" s="24"/>
      <c r="AL377" s="27"/>
      <c r="AM377" s="27"/>
      <c r="AN377" s="27"/>
      <c r="AO377" s="27"/>
      <c r="AP377" s="27"/>
      <c r="AQ377" s="23" t="str">
        <f aca="false">D377&amp;"|"&amp;TEXT(U377,"yyyy-mm-dd")</f>
        <v>구약|2028-02-20</v>
      </c>
      <c r="AR377" s="24" t="s">
        <v>4174</v>
      </c>
      <c r="AS377" s="24"/>
    </row>
    <row r="378" customFormat="false" ht="26.85" hidden="false" customHeight="false" outlineLevel="0" collapsed="false">
      <c r="A378" s="21" t="n">
        <v>377</v>
      </c>
      <c r="B378" s="18" t="s">
        <v>4175</v>
      </c>
      <c r="C378" s="23" t="n">
        <v>2</v>
      </c>
      <c r="D378" s="23" t="s">
        <v>160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4123</v>
      </c>
      <c r="H378" s="18" t="s">
        <v>4054</v>
      </c>
      <c r="I378" s="21" t="s">
        <v>4043</v>
      </c>
      <c r="J378" s="22" t="s">
        <v>4176</v>
      </c>
      <c r="K378" s="23" t="s">
        <v>1370</v>
      </c>
      <c r="L378" s="24" t="s">
        <v>4177</v>
      </c>
      <c r="M378" s="24" t="s">
        <v>4178</v>
      </c>
      <c r="N378" s="23" t="s">
        <v>4179</v>
      </c>
      <c r="O378" s="24" t="s">
        <v>4180</v>
      </c>
      <c r="P378" s="24" t="s">
        <v>4129</v>
      </c>
      <c r="Q378" s="24" t="s">
        <v>4181</v>
      </c>
      <c r="R378" s="24"/>
      <c r="S378" s="24" t="s">
        <v>4157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174</v>
      </c>
      <c r="Y378" s="23" t="s">
        <v>174</v>
      </c>
      <c r="Z378" s="23" t="s">
        <v>174</v>
      </c>
      <c r="AA378" s="23" t="s">
        <v>174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  <c r="AE378" s="24" t="str">
        <f aca="false">M378&amp;" | 시편 84편 #"&amp;SUBSTITUTE(안내!$C$5," ","")</f>
        <v>천 날보다 나은 하루 | 시편 84편 #1분성경</v>
      </c>
      <c r="AF378" s="24" t="s">
        <v>304</v>
      </c>
      <c r="AG378" s="24"/>
      <c r="AH378" s="23" t="s">
        <v>290</v>
      </c>
      <c r="AI378" s="26" t="n">
        <f aca="false">U378-안내!$C$12</f>
        <v>46776</v>
      </c>
      <c r="AJ378" s="23" t="str">
        <f aca="false">IF(U378&lt;IF(C378=1,안내!$C$9,안내!$C$10)+안내!$C$12,"시즌 시작 전 제작","")</f>
        <v/>
      </c>
      <c r="AK378" s="24"/>
      <c r="AL378" s="27"/>
      <c r="AM378" s="27"/>
      <c r="AN378" s="27"/>
      <c r="AO378" s="27"/>
      <c r="AP378" s="27"/>
      <c r="AQ378" s="23" t="str">
        <f aca="false">D378&amp;"|"&amp;TEXT(U378,"yyyy-mm-dd")</f>
        <v>구약|2028-02-21</v>
      </c>
      <c r="AR378" s="24" t="s">
        <v>4182</v>
      </c>
      <c r="AS378" s="24"/>
    </row>
    <row r="379" customFormat="false" ht="26.85" hidden="false" customHeight="false" outlineLevel="0" collapsed="false">
      <c r="A379" s="21" t="n">
        <v>378</v>
      </c>
      <c r="B379" s="18" t="s">
        <v>4183</v>
      </c>
      <c r="C379" s="23" t="n">
        <v>2</v>
      </c>
      <c r="D379" s="23" t="s">
        <v>160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4123</v>
      </c>
      <c r="H379" s="18" t="s">
        <v>4054</v>
      </c>
      <c r="I379" s="21" t="s">
        <v>4043</v>
      </c>
      <c r="J379" s="22" t="s">
        <v>4184</v>
      </c>
      <c r="K379" s="23" t="s">
        <v>1370</v>
      </c>
      <c r="L379" s="24" t="s">
        <v>4185</v>
      </c>
      <c r="M379" s="24" t="s">
        <v>4186</v>
      </c>
      <c r="N379" s="23" t="s">
        <v>4187</v>
      </c>
      <c r="O379" s="24" t="s">
        <v>4188</v>
      </c>
      <c r="P379" s="24" t="s">
        <v>4189</v>
      </c>
      <c r="Q379" s="24" t="s">
        <v>4190</v>
      </c>
      <c r="R379" s="25" t="s">
        <v>4191</v>
      </c>
      <c r="S379" s="24" t="s">
        <v>4157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174</v>
      </c>
      <c r="Y379" s="23" t="s">
        <v>174</v>
      </c>
      <c r="Z379" s="23" t="s">
        <v>174</v>
      </c>
      <c r="AA379" s="23" t="s">
        <v>174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  <c r="AE379" s="24" t="str">
        <f aca="false">M379&amp;" | 시편 89편 #"&amp;SUBSTITUTE(안내!$C$5," ","")</f>
        <v>하나님이 다윗에게 하신 약속은 어떻게 되었을까? | 시편 89편 #1분성경</v>
      </c>
      <c r="AF379" s="24" t="s">
        <v>304</v>
      </c>
      <c r="AG379" s="24"/>
      <c r="AH379" s="23" t="s">
        <v>176</v>
      </c>
      <c r="AI379" s="26" t="n">
        <f aca="false">U379-안내!$C$12</f>
        <v>46777</v>
      </c>
      <c r="AJ379" s="23" t="str">
        <f aca="false">IF(U379&lt;IF(C379=1,안내!$C$9,안내!$C$10)+안내!$C$12,"시즌 시작 전 제작","")</f>
        <v/>
      </c>
      <c r="AK379" s="24"/>
      <c r="AL379" s="27"/>
      <c r="AM379" s="27"/>
      <c r="AN379" s="27"/>
      <c r="AO379" s="27"/>
      <c r="AP379" s="27"/>
      <c r="AQ379" s="23" t="str">
        <f aca="false">D379&amp;"|"&amp;TEXT(U379,"yyyy-mm-dd")</f>
        <v>구약|2028-02-22</v>
      </c>
      <c r="AR379" s="24" t="s">
        <v>4192</v>
      </c>
      <c r="AS379" s="24" t="s">
        <v>4081</v>
      </c>
    </row>
    <row r="380" customFormat="false" ht="26.85" hidden="false" customHeight="false" outlineLevel="0" collapsed="false">
      <c r="A380" s="21" t="n">
        <v>379</v>
      </c>
      <c r="B380" s="18" t="s">
        <v>4193</v>
      </c>
      <c r="C380" s="23" t="n">
        <v>2</v>
      </c>
      <c r="D380" s="23" t="s">
        <v>160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4194</v>
      </c>
      <c r="H380" s="18" t="s">
        <v>4195</v>
      </c>
      <c r="I380" s="21" t="s">
        <v>4043</v>
      </c>
      <c r="J380" s="22" t="s">
        <v>4196</v>
      </c>
      <c r="K380" s="23" t="s">
        <v>1370</v>
      </c>
      <c r="L380" s="24" t="s">
        <v>4197</v>
      </c>
      <c r="M380" s="24" t="s">
        <v>4198</v>
      </c>
      <c r="N380" s="23" t="s">
        <v>4199</v>
      </c>
      <c r="O380" s="24" t="s">
        <v>4200</v>
      </c>
      <c r="P380" s="24" t="s">
        <v>1063</v>
      </c>
      <c r="Q380" s="24" t="s">
        <v>4201</v>
      </c>
      <c r="R380" s="24"/>
      <c r="S380" s="24" t="s">
        <v>4157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174</v>
      </c>
      <c r="Y380" s="23" t="s">
        <v>174</v>
      </c>
      <c r="Z380" s="23" t="s">
        <v>174</v>
      </c>
      <c r="AA380" s="23" t="s">
        <v>174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  <c r="AE380" s="24" t="str">
        <f aca="false">M380&amp;" | 시편 90편 #"&amp;SUBSTITUTE(안내!$C$5," ","")</f>
        <v>모세가 쓴 유일한 시 | 시편 90편 #1분성경</v>
      </c>
      <c r="AF380" s="24" t="s">
        <v>304</v>
      </c>
      <c r="AG380" s="24"/>
      <c r="AH380" s="23" t="s">
        <v>290</v>
      </c>
      <c r="AI380" s="26" t="n">
        <f aca="false">U380-안내!$C$12</f>
        <v>46778</v>
      </c>
      <c r="AJ380" s="23" t="str">
        <f aca="false">IF(U380&lt;IF(C380=1,안내!$C$9,안내!$C$10)+안내!$C$12,"시즌 시작 전 제작","")</f>
        <v/>
      </c>
      <c r="AK380" s="24" t="s">
        <v>1063</v>
      </c>
      <c r="AL380" s="27"/>
      <c r="AM380" s="27"/>
      <c r="AN380" s="27"/>
      <c r="AO380" s="27"/>
      <c r="AP380" s="27"/>
      <c r="AQ380" s="23" t="str">
        <f aca="false">D380&amp;"|"&amp;TEXT(U380,"yyyy-mm-dd")</f>
        <v>구약|2028-02-23</v>
      </c>
      <c r="AR380" s="24" t="s">
        <v>4202</v>
      </c>
      <c r="AS380" s="24"/>
    </row>
    <row r="381" customFormat="false" ht="26.85" hidden="false" customHeight="false" outlineLevel="0" collapsed="false">
      <c r="A381" s="21" t="n">
        <v>380</v>
      </c>
      <c r="B381" s="18" t="s">
        <v>4203</v>
      </c>
      <c r="C381" s="23" t="n">
        <v>2</v>
      </c>
      <c r="D381" s="23" t="s">
        <v>160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4194</v>
      </c>
      <c r="H381" s="18" t="s">
        <v>4195</v>
      </c>
      <c r="I381" s="21" t="s">
        <v>4043</v>
      </c>
      <c r="J381" s="22" t="s">
        <v>4204</v>
      </c>
      <c r="K381" s="23" t="s">
        <v>1370</v>
      </c>
      <c r="L381" s="24" t="s">
        <v>4205</v>
      </c>
      <c r="M381" s="24" t="s">
        <v>4206</v>
      </c>
      <c r="N381" s="23" t="s">
        <v>4207</v>
      </c>
      <c r="O381" s="24" t="s">
        <v>4208</v>
      </c>
      <c r="P381" s="24" t="s">
        <v>4209</v>
      </c>
      <c r="Q381" s="24" t="s">
        <v>4210</v>
      </c>
      <c r="R381" s="25" t="s">
        <v>4211</v>
      </c>
      <c r="S381" s="24" t="s">
        <v>4157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174</v>
      </c>
      <c r="Y381" s="23" t="s">
        <v>174</v>
      </c>
      <c r="Z381" s="23" t="s">
        <v>174</v>
      </c>
      <c r="AA381" s="23" t="s">
        <v>174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  <c r="AE381" s="24" t="str">
        <f aca="false">M381&amp;" | 시편 91편 #"&amp;SUBSTITUTE(안내!$C$5," ","")</f>
        <v>하나님의 날개 아래 숨는 사람 | 시편 91편 #1분성경</v>
      </c>
      <c r="AF381" s="24" t="s">
        <v>304</v>
      </c>
      <c r="AG381" s="24"/>
      <c r="AH381" s="23" t="s">
        <v>290</v>
      </c>
      <c r="AI381" s="26" t="n">
        <f aca="false">U381-안내!$C$12</f>
        <v>46779</v>
      </c>
      <c r="AJ381" s="23" t="str">
        <f aca="false">IF(U381&lt;IF(C381=1,안내!$C$9,안내!$C$10)+안내!$C$12,"시즌 시작 전 제작","")</f>
        <v/>
      </c>
      <c r="AK381" s="24"/>
      <c r="AL381" s="27"/>
      <c r="AM381" s="27"/>
      <c r="AN381" s="27"/>
      <c r="AO381" s="27"/>
      <c r="AP381" s="27"/>
      <c r="AQ381" s="23" t="str">
        <f aca="false">D381&amp;"|"&amp;TEXT(U381,"yyyy-mm-dd")</f>
        <v>구약|2028-02-24</v>
      </c>
      <c r="AR381" s="24" t="s">
        <v>4212</v>
      </c>
      <c r="AS381" s="24"/>
    </row>
    <row r="382" customFormat="false" ht="26.85" hidden="false" customHeight="false" outlineLevel="0" collapsed="false">
      <c r="A382" s="21" t="n">
        <v>381</v>
      </c>
      <c r="B382" s="18" t="s">
        <v>4213</v>
      </c>
      <c r="C382" s="23" t="n">
        <v>2</v>
      </c>
      <c r="D382" s="23" t="s">
        <v>160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4194</v>
      </c>
      <c r="H382" s="18" t="s">
        <v>4195</v>
      </c>
      <c r="I382" s="21" t="s">
        <v>4043</v>
      </c>
      <c r="J382" s="22" t="s">
        <v>4214</v>
      </c>
      <c r="K382" s="23" t="s">
        <v>1370</v>
      </c>
      <c r="L382" s="24" t="s">
        <v>4215</v>
      </c>
      <c r="M382" s="24" t="s">
        <v>4216</v>
      </c>
      <c r="N382" s="23" t="s">
        <v>4217</v>
      </c>
      <c r="O382" s="24" t="s">
        <v>4218</v>
      </c>
      <c r="P382" s="24" t="s">
        <v>4219</v>
      </c>
      <c r="Q382" s="24" t="s">
        <v>4220</v>
      </c>
      <c r="R382" s="24"/>
      <c r="S382" s="24" t="s">
        <v>4157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174</v>
      </c>
      <c r="Y382" s="23" t="s">
        <v>174</v>
      </c>
      <c r="Z382" s="23" t="s">
        <v>174</v>
      </c>
      <c r="AA382" s="23" t="s">
        <v>174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  <c r="AE382" s="24" t="str">
        <f aca="false">M382&amp;" | 시편 95편 #"&amp;SUBSTITUTE(안내!$C$5," ","")</f>
        <v>예배는 어떻게 시작될까? | 시편 95편 #1분성경</v>
      </c>
      <c r="AF382" s="24" t="s">
        <v>304</v>
      </c>
      <c r="AG382" s="24"/>
      <c r="AH382" s="23" t="s">
        <v>176</v>
      </c>
      <c r="AI382" s="26" t="n">
        <f aca="false">U382-안내!$C$12</f>
        <v>46780</v>
      </c>
      <c r="AJ382" s="23" t="str">
        <f aca="false">IF(U382&lt;IF(C382=1,안내!$C$9,안내!$C$10)+안내!$C$12,"시즌 시작 전 제작","")</f>
        <v/>
      </c>
      <c r="AK382" s="24"/>
      <c r="AL382" s="27"/>
      <c r="AM382" s="27"/>
      <c r="AN382" s="27"/>
      <c r="AO382" s="27"/>
      <c r="AP382" s="27"/>
      <c r="AQ382" s="23" t="str">
        <f aca="false">D382&amp;"|"&amp;TEXT(U382,"yyyy-mm-dd")</f>
        <v>구약|2028-02-25</v>
      </c>
      <c r="AR382" s="24" t="s">
        <v>4221</v>
      </c>
      <c r="AS382" s="24"/>
    </row>
    <row r="383" customFormat="false" ht="26.85" hidden="false" customHeight="false" outlineLevel="0" collapsed="false">
      <c r="A383" s="21" t="n">
        <v>382</v>
      </c>
      <c r="B383" s="18" t="s">
        <v>4222</v>
      </c>
      <c r="C383" s="23" t="n">
        <v>2</v>
      </c>
      <c r="D383" s="23" t="s">
        <v>160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4194</v>
      </c>
      <c r="H383" s="18" t="s">
        <v>4195</v>
      </c>
      <c r="I383" s="21" t="s">
        <v>4043</v>
      </c>
      <c r="J383" s="22" t="s">
        <v>4223</v>
      </c>
      <c r="K383" s="23" t="s">
        <v>1370</v>
      </c>
      <c r="L383" s="24" t="s">
        <v>4224</v>
      </c>
      <c r="M383" s="24" t="s">
        <v>4225</v>
      </c>
      <c r="N383" s="23" t="s">
        <v>4226</v>
      </c>
      <c r="O383" s="24" t="s">
        <v>4227</v>
      </c>
      <c r="P383" s="24" t="s">
        <v>4219</v>
      </c>
      <c r="Q383" s="24" t="s">
        <v>4228</v>
      </c>
      <c r="R383" s="24"/>
      <c r="S383" s="24" t="s">
        <v>4157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174</v>
      </c>
      <c r="Y383" s="23" t="s">
        <v>174</v>
      </c>
      <c r="Z383" s="23" t="s">
        <v>174</v>
      </c>
      <c r="AA383" s="23" t="s">
        <v>174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  <c r="AE383" s="24" t="str">
        <f aca="false">M383&amp;" | 시편 100편 #"&amp;SUBSTITUTE(안내!$C$5," ","")</f>
        <v>감사하며 그 문에 들어가라 | 시편 100편 #1분성경</v>
      </c>
      <c r="AF383" s="24" t="s">
        <v>304</v>
      </c>
      <c r="AG383" s="24"/>
      <c r="AH383" s="23" t="s">
        <v>290</v>
      </c>
      <c r="AI383" s="26" t="n">
        <f aca="false">U383-안내!$C$12</f>
        <v>46781</v>
      </c>
      <c r="AJ383" s="23" t="str">
        <f aca="false">IF(U383&lt;IF(C383=1,안내!$C$9,안내!$C$10)+안내!$C$12,"시즌 시작 전 제작","")</f>
        <v/>
      </c>
      <c r="AK383" s="24"/>
      <c r="AL383" s="27"/>
      <c r="AM383" s="27"/>
      <c r="AN383" s="27"/>
      <c r="AO383" s="27"/>
      <c r="AP383" s="27"/>
      <c r="AQ383" s="23" t="str">
        <f aca="false">D383&amp;"|"&amp;TEXT(U383,"yyyy-mm-dd")</f>
        <v>구약|2028-02-26</v>
      </c>
      <c r="AR383" s="24" t="s">
        <v>4229</v>
      </c>
      <c r="AS383" s="24"/>
    </row>
    <row r="384" customFormat="false" ht="26.85" hidden="false" customHeight="false" outlineLevel="0" collapsed="false">
      <c r="A384" s="21" t="n">
        <v>383</v>
      </c>
      <c r="B384" s="18" t="s">
        <v>4230</v>
      </c>
      <c r="C384" s="23" t="n">
        <v>2</v>
      </c>
      <c r="D384" s="23" t="s">
        <v>160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4194</v>
      </c>
      <c r="H384" s="18" t="s">
        <v>4195</v>
      </c>
      <c r="I384" s="21" t="s">
        <v>4043</v>
      </c>
      <c r="J384" s="22" t="s">
        <v>4231</v>
      </c>
      <c r="K384" s="23" t="s">
        <v>1370</v>
      </c>
      <c r="L384" s="24" t="s">
        <v>4232</v>
      </c>
      <c r="M384" s="24" t="s">
        <v>4233</v>
      </c>
      <c r="N384" s="23" t="s">
        <v>4234</v>
      </c>
      <c r="O384" s="24" t="s">
        <v>4235</v>
      </c>
      <c r="P384" s="24" t="s">
        <v>2608</v>
      </c>
      <c r="Q384" s="24"/>
      <c r="R384" s="24"/>
      <c r="S384" s="24" t="s">
        <v>4157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174</v>
      </c>
      <c r="Y384" s="23" t="s">
        <v>174</v>
      </c>
      <c r="Z384" s="23" t="s">
        <v>174</v>
      </c>
      <c r="AA384" s="23" t="s">
        <v>174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  <c r="AE384" s="24" t="str">
        <f aca="false">M384&amp;" | 시편 103편 #"&amp;SUBSTITUTE(안내!$C$5," ","")</f>
        <v>하나님이 해 주신 일을 세어 보면 | 시편 103편 #1분성경</v>
      </c>
      <c r="AF384" s="24" t="s">
        <v>304</v>
      </c>
      <c r="AG384" s="24"/>
      <c r="AH384" s="23" t="s">
        <v>290</v>
      </c>
      <c r="AI384" s="26" t="n">
        <f aca="false">U384-안내!$C$12</f>
        <v>46782</v>
      </c>
      <c r="AJ384" s="23" t="str">
        <f aca="false">IF(U384&lt;IF(C384=1,안내!$C$9,안내!$C$10)+안내!$C$12,"시즌 시작 전 제작","")</f>
        <v/>
      </c>
      <c r="AK384" s="24" t="s">
        <v>2608</v>
      </c>
      <c r="AL384" s="27"/>
      <c r="AM384" s="27"/>
      <c r="AN384" s="27"/>
      <c r="AO384" s="27"/>
      <c r="AP384" s="27"/>
      <c r="AQ384" s="23" t="str">
        <f aca="false">D384&amp;"|"&amp;TEXT(U384,"yyyy-mm-dd")</f>
        <v>구약|2028-02-27</v>
      </c>
      <c r="AR384" s="24" t="s">
        <v>4236</v>
      </c>
      <c r="AS384" s="24"/>
    </row>
    <row r="385" customFormat="false" ht="26.85" hidden="false" customHeight="false" outlineLevel="0" collapsed="false">
      <c r="A385" s="21" t="n">
        <v>384</v>
      </c>
      <c r="B385" s="18" t="s">
        <v>4237</v>
      </c>
      <c r="C385" s="23" t="n">
        <v>2</v>
      </c>
      <c r="D385" s="23" t="s">
        <v>160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4194</v>
      </c>
      <c r="H385" s="18" t="s">
        <v>4195</v>
      </c>
      <c r="I385" s="21" t="s">
        <v>4043</v>
      </c>
      <c r="J385" s="22" t="s">
        <v>4238</v>
      </c>
      <c r="K385" s="23" t="s">
        <v>1370</v>
      </c>
      <c r="L385" s="24" t="s">
        <v>4239</v>
      </c>
      <c r="M385" s="24" t="s">
        <v>4240</v>
      </c>
      <c r="N385" s="23" t="s">
        <v>4241</v>
      </c>
      <c r="O385" s="24" t="s">
        <v>4242</v>
      </c>
      <c r="P385" s="24" t="s">
        <v>4243</v>
      </c>
      <c r="Q385" s="24" t="s">
        <v>4244</v>
      </c>
      <c r="R385" s="24"/>
      <c r="S385" s="24" t="s">
        <v>4157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174</v>
      </c>
      <c r="Y385" s="23" t="s">
        <v>174</v>
      </c>
      <c r="Z385" s="23" t="s">
        <v>174</v>
      </c>
      <c r="AA385" s="23" t="s">
        <v>174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  <c r="AE385" s="24" t="str">
        <f aca="false">M385&amp;" | 시편 104편 #"&amp;SUBSTITUTE(안내!$C$5," ","")</f>
        <v>하나님이 만드신 세상 구석구석 | 시편 104편 #1분성경</v>
      </c>
      <c r="AF385" s="24" t="s">
        <v>304</v>
      </c>
      <c r="AG385" s="24"/>
      <c r="AH385" s="23" t="s">
        <v>290</v>
      </c>
      <c r="AI385" s="26" t="n">
        <f aca="false">U385-안내!$C$12</f>
        <v>46783</v>
      </c>
      <c r="AJ385" s="23" t="str">
        <f aca="false">IF(U385&lt;IF(C385=1,안내!$C$9,안내!$C$10)+안내!$C$12,"시즌 시작 전 제작","")</f>
        <v/>
      </c>
      <c r="AK385" s="24"/>
      <c r="AL385" s="27"/>
      <c r="AM385" s="27"/>
      <c r="AN385" s="27"/>
      <c r="AO385" s="27"/>
      <c r="AP385" s="27"/>
      <c r="AQ385" s="23" t="str">
        <f aca="false">D385&amp;"|"&amp;TEXT(U385,"yyyy-mm-dd")</f>
        <v>구약|2028-02-28</v>
      </c>
      <c r="AR385" s="24" t="s">
        <v>4245</v>
      </c>
      <c r="AS385" s="24"/>
    </row>
    <row r="386" customFormat="false" ht="26.85" hidden="false" customHeight="false" outlineLevel="0" collapsed="false">
      <c r="A386" s="21" t="n">
        <v>385</v>
      </c>
      <c r="B386" s="18" t="s">
        <v>4246</v>
      </c>
      <c r="C386" s="23" t="n">
        <v>2</v>
      </c>
      <c r="D386" s="23" t="s">
        <v>160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4194</v>
      </c>
      <c r="H386" s="18" t="s">
        <v>4195</v>
      </c>
      <c r="I386" s="21" t="s">
        <v>4043</v>
      </c>
      <c r="J386" s="22" t="s">
        <v>4247</v>
      </c>
      <c r="K386" s="23" t="s">
        <v>1370</v>
      </c>
      <c r="L386" s="24" t="s">
        <v>4248</v>
      </c>
      <c r="M386" s="24" t="s">
        <v>4249</v>
      </c>
      <c r="N386" s="23" t="s">
        <v>4250</v>
      </c>
      <c r="O386" s="24" t="s">
        <v>4251</v>
      </c>
      <c r="P386" s="24" t="s">
        <v>4243</v>
      </c>
      <c r="Q386" s="24" t="s">
        <v>4252</v>
      </c>
      <c r="R386" s="24"/>
      <c r="S386" s="24" t="s">
        <v>4157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174</v>
      </c>
      <c r="Y386" s="23" t="s">
        <v>174</v>
      </c>
      <c r="Z386" s="23" t="s">
        <v>174</v>
      </c>
      <c r="AA386" s="23" t="s">
        <v>174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  <c r="AE386" s="24" t="str">
        <f aca="false">M386&amp;" | 시편 106편 #"&amp;SUBSTITUTE(안내!$C$5," ","")</f>
        <v>반복된 배신, 반복된 구원 | 시편 106편 #1분성경</v>
      </c>
      <c r="AF386" s="24" t="s">
        <v>304</v>
      </c>
      <c r="AG386" s="24"/>
      <c r="AH386" s="23" t="s">
        <v>290</v>
      </c>
      <c r="AI386" s="26" t="n">
        <f aca="false">U386-안내!$C$12</f>
        <v>46784</v>
      </c>
      <c r="AJ386" s="23" t="str">
        <f aca="false">IF(U386&lt;IF(C386=1,안내!$C$9,안내!$C$10)+안내!$C$12,"시즌 시작 전 제작","")</f>
        <v/>
      </c>
      <c r="AK386" s="24"/>
      <c r="AL386" s="27"/>
      <c r="AM386" s="27"/>
      <c r="AN386" s="27"/>
      <c r="AO386" s="27"/>
      <c r="AP386" s="27"/>
      <c r="AQ386" s="23" t="str">
        <f aca="false">D386&amp;"|"&amp;TEXT(U386,"yyyy-mm-dd")</f>
        <v>구약|2028-02-29</v>
      </c>
      <c r="AR386" s="24" t="s">
        <v>4253</v>
      </c>
      <c r="AS386" s="24"/>
    </row>
    <row r="387" customFormat="false" ht="26.85" hidden="false" customHeight="false" outlineLevel="0" collapsed="false">
      <c r="A387" s="21" t="n">
        <v>386</v>
      </c>
      <c r="B387" s="18" t="s">
        <v>4254</v>
      </c>
      <c r="C387" s="23" t="n">
        <v>2</v>
      </c>
      <c r="D387" s="23" t="s">
        <v>160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4255</v>
      </c>
      <c r="H387" s="18" t="s">
        <v>4195</v>
      </c>
      <c r="I387" s="21" t="s">
        <v>4043</v>
      </c>
      <c r="J387" s="22" t="s">
        <v>4256</v>
      </c>
      <c r="K387" s="23" t="s">
        <v>1370</v>
      </c>
      <c r="L387" s="24" t="s">
        <v>4257</v>
      </c>
      <c r="M387" s="24" t="s">
        <v>4258</v>
      </c>
      <c r="N387" s="23" t="s">
        <v>4259</v>
      </c>
      <c r="O387" s="24" t="s">
        <v>4260</v>
      </c>
      <c r="P387" s="24" t="s">
        <v>4261</v>
      </c>
      <c r="Q387" s="24" t="s">
        <v>4262</v>
      </c>
      <c r="R387" s="25" t="s">
        <v>4263</v>
      </c>
      <c r="S387" s="24" t="s">
        <v>4157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174</v>
      </c>
      <c r="Y387" s="23" t="s">
        <v>174</v>
      </c>
      <c r="Z387" s="23" t="s">
        <v>174</v>
      </c>
      <c r="AA387" s="23" t="s">
        <v>174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  <c r="AE387" s="24" t="str">
        <f aca="false">M387&amp;" | 시편 110편 #"&amp;SUBSTITUTE(안내!$C$5," ","")</f>
        <v>신약에서 가장 많이 인용된 시편 | 시편 110편 #1분성경</v>
      </c>
      <c r="AF387" s="24" t="s">
        <v>304</v>
      </c>
      <c r="AG387" s="24"/>
      <c r="AH387" s="23" t="s">
        <v>290</v>
      </c>
      <c r="AI387" s="26" t="n">
        <f aca="false">U387-안내!$C$12</f>
        <v>46785</v>
      </c>
      <c r="AJ387" s="23" t="str">
        <f aca="false">IF(U387&lt;IF(C387=1,안내!$C$9,안내!$C$10)+안내!$C$12,"시즌 시작 전 제작","")</f>
        <v/>
      </c>
      <c r="AK387" s="24"/>
      <c r="AL387" s="27"/>
      <c r="AM387" s="27"/>
      <c r="AN387" s="27"/>
      <c r="AO387" s="27"/>
      <c r="AP387" s="27"/>
      <c r="AQ387" s="23" t="str">
        <f aca="false">D387&amp;"|"&amp;TEXT(U387,"yyyy-mm-dd")</f>
        <v>구약|2028-03-01</v>
      </c>
      <c r="AR387" s="24" t="s">
        <v>4264</v>
      </c>
      <c r="AS387" s="24" t="s">
        <v>4265</v>
      </c>
    </row>
    <row r="388" customFormat="false" ht="52.2" hidden="false" customHeight="false" outlineLevel="0" collapsed="false">
      <c r="A388" s="21" t="n">
        <v>387</v>
      </c>
      <c r="B388" s="18" t="s">
        <v>4266</v>
      </c>
      <c r="C388" s="20" t="n">
        <v>1</v>
      </c>
      <c r="D388" s="20" t="s">
        <v>160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4255</v>
      </c>
      <c r="H388" s="18" t="s">
        <v>4042</v>
      </c>
      <c r="I388" s="21" t="s">
        <v>4043</v>
      </c>
      <c r="J388" s="22" t="s">
        <v>4267</v>
      </c>
      <c r="K388" s="23" t="s">
        <v>1370</v>
      </c>
      <c r="L388" s="24" t="s">
        <v>4268</v>
      </c>
      <c r="M388" s="24" t="s">
        <v>4269</v>
      </c>
      <c r="N388" s="23" t="s">
        <v>4270</v>
      </c>
      <c r="O388" s="24" t="s">
        <v>4271</v>
      </c>
      <c r="P388" s="24" t="s">
        <v>4243</v>
      </c>
      <c r="Q388" s="24" t="s">
        <v>4272</v>
      </c>
      <c r="R388" s="24"/>
      <c r="S388" s="29" t="s">
        <v>4273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174</v>
      </c>
      <c r="Y388" s="23" t="s">
        <v>174</v>
      </c>
      <c r="Z388" s="23" t="s">
        <v>174</v>
      </c>
      <c r="AA388" s="23" t="s">
        <v>174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  <c r="AE388" s="24" t="str">
        <f aca="false">M388&amp;" | 시편 119편 #"&amp;SUBSTITUTE(안내!$C$5," ","")</f>
        <v>성경에서 가장 긴 장, 176절 | 시편 119편 #1분성경</v>
      </c>
      <c r="AF388" s="24" t="s">
        <v>4274</v>
      </c>
      <c r="AG388" s="24"/>
      <c r="AH388" s="23" t="s">
        <v>360</v>
      </c>
      <c r="AI388" s="26" t="n">
        <f aca="false">U388-안내!$C$12</f>
        <v>46515</v>
      </c>
      <c r="AJ388" s="23" t="str">
        <f aca="false">IF(U388&lt;IF(C388=1,안내!$C$9,안내!$C$10)+안내!$C$12,"시즌 시작 전 제작","")</f>
        <v/>
      </c>
      <c r="AK388" s="24"/>
      <c r="AL388" s="27"/>
      <c r="AM388" s="27"/>
      <c r="AN388" s="27"/>
      <c r="AO388" s="27"/>
      <c r="AP388" s="27"/>
      <c r="AQ388" s="23" t="str">
        <f aca="false">D388&amp;"|"&amp;TEXT(U388,"yyyy-mm-dd")</f>
        <v>구약|2027-06-05</v>
      </c>
      <c r="AR388" s="24" t="s">
        <v>4275</v>
      </c>
      <c r="AS388" s="24"/>
    </row>
    <row r="389" customFormat="false" ht="26.85" hidden="false" customHeight="false" outlineLevel="0" collapsed="false">
      <c r="A389" s="21" t="n">
        <v>388</v>
      </c>
      <c r="B389" s="18" t="s">
        <v>4276</v>
      </c>
      <c r="C389" s="23" t="n">
        <v>2</v>
      </c>
      <c r="D389" s="23" t="s">
        <v>160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4255</v>
      </c>
      <c r="H389" s="18" t="s">
        <v>4195</v>
      </c>
      <c r="I389" s="21" t="s">
        <v>4043</v>
      </c>
      <c r="J389" s="22" t="s">
        <v>4277</v>
      </c>
      <c r="K389" s="23" t="s">
        <v>1370</v>
      </c>
      <c r="L389" s="24" t="s">
        <v>4278</v>
      </c>
      <c r="M389" s="24" t="s">
        <v>4279</v>
      </c>
      <c r="N389" s="23" t="s">
        <v>4280</v>
      </c>
      <c r="O389" s="24" t="s">
        <v>4281</v>
      </c>
      <c r="P389" s="24" t="s">
        <v>4282</v>
      </c>
      <c r="Q389" s="24" t="s">
        <v>4283</v>
      </c>
      <c r="R389" s="24"/>
      <c r="S389" s="24" t="s">
        <v>4284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174</v>
      </c>
      <c r="Y389" s="23" t="s">
        <v>174</v>
      </c>
      <c r="Z389" s="23" t="s">
        <v>174</v>
      </c>
      <c r="AA389" s="23" t="s">
        <v>174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  <c r="AE389" s="24" t="str">
        <f aca="false">M389&amp;" | 시편 121편 #"&amp;SUBSTITUTE(안내!$C$5," ","")</f>
        <v>순례자가 산을 보며 던진 질문 | 시편 121편 #1분성경</v>
      </c>
      <c r="AF389" s="24" t="s">
        <v>304</v>
      </c>
      <c r="AG389" s="24"/>
      <c r="AH389" s="23" t="s">
        <v>290</v>
      </c>
      <c r="AI389" s="26" t="n">
        <f aca="false">U389-안내!$C$12</f>
        <v>46786</v>
      </c>
      <c r="AJ389" s="23" t="str">
        <f aca="false">IF(U389&lt;IF(C389=1,안내!$C$9,안내!$C$10)+안내!$C$12,"시즌 시작 전 제작","")</f>
        <v/>
      </c>
      <c r="AK389" s="24"/>
      <c r="AL389" s="27"/>
      <c r="AM389" s="27"/>
      <c r="AN389" s="27"/>
      <c r="AO389" s="27"/>
      <c r="AP389" s="27"/>
      <c r="AQ389" s="23" t="str">
        <f aca="false">D389&amp;"|"&amp;TEXT(U389,"yyyy-mm-dd")</f>
        <v>구약|2028-03-02</v>
      </c>
      <c r="AR389" s="24" t="s">
        <v>4285</v>
      </c>
      <c r="AS389" s="24"/>
    </row>
    <row r="390" customFormat="false" ht="26.85" hidden="false" customHeight="false" outlineLevel="0" collapsed="false">
      <c r="A390" s="21" t="n">
        <v>389</v>
      </c>
      <c r="B390" s="18" t="s">
        <v>4286</v>
      </c>
      <c r="C390" s="23" t="n">
        <v>2</v>
      </c>
      <c r="D390" s="23" t="s">
        <v>160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4255</v>
      </c>
      <c r="H390" s="18" t="s">
        <v>4195</v>
      </c>
      <c r="I390" s="21" t="s">
        <v>4043</v>
      </c>
      <c r="J390" s="22" t="s">
        <v>4287</v>
      </c>
      <c r="K390" s="23" t="s">
        <v>1370</v>
      </c>
      <c r="L390" s="24" t="s">
        <v>4288</v>
      </c>
      <c r="M390" s="24" t="s">
        <v>4289</v>
      </c>
      <c r="N390" s="23" t="s">
        <v>4290</v>
      </c>
      <c r="O390" s="24" t="s">
        <v>4291</v>
      </c>
      <c r="P390" s="24" t="s">
        <v>4292</v>
      </c>
      <c r="Q390" s="24" t="s">
        <v>4293</v>
      </c>
      <c r="R390" s="24"/>
      <c r="S390" s="24" t="s">
        <v>4284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174</v>
      </c>
      <c r="Y390" s="23" t="s">
        <v>174</v>
      </c>
      <c r="Z390" s="23" t="s">
        <v>174</v>
      </c>
      <c r="AA390" s="23" t="s">
        <v>174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  <c r="AE390" s="24" t="str">
        <f aca="false">M390&amp;" | 시편 126편 #"&amp;SUBSTITUTE(안내!$C$5," ","")</f>
        <v>울면서 뿌린 씨, 웃으며 거두다 | 시편 126편 #1분성경</v>
      </c>
      <c r="AF390" s="24" t="s">
        <v>304</v>
      </c>
      <c r="AG390" s="24"/>
      <c r="AH390" s="23" t="s">
        <v>290</v>
      </c>
      <c r="AI390" s="26" t="n">
        <f aca="false">U390-안내!$C$12</f>
        <v>46787</v>
      </c>
      <c r="AJ390" s="23" t="str">
        <f aca="false">IF(U390&lt;IF(C390=1,안내!$C$9,안내!$C$10)+안내!$C$12,"시즌 시작 전 제작","")</f>
        <v/>
      </c>
      <c r="AK390" s="24"/>
      <c r="AL390" s="27"/>
      <c r="AM390" s="27"/>
      <c r="AN390" s="27"/>
      <c r="AO390" s="27"/>
      <c r="AP390" s="27"/>
      <c r="AQ390" s="23" t="str">
        <f aca="false">D390&amp;"|"&amp;TEXT(U390,"yyyy-mm-dd")</f>
        <v>구약|2028-03-03</v>
      </c>
      <c r="AR390" s="24" t="s">
        <v>4294</v>
      </c>
      <c r="AS390" s="24"/>
    </row>
    <row r="391" customFormat="false" ht="26.85" hidden="false" customHeight="false" outlineLevel="0" collapsed="false">
      <c r="A391" s="21" t="n">
        <v>390</v>
      </c>
      <c r="B391" s="18" t="s">
        <v>4295</v>
      </c>
      <c r="C391" s="23" t="n">
        <v>2</v>
      </c>
      <c r="D391" s="23" t="s">
        <v>160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4255</v>
      </c>
      <c r="H391" s="18" t="s">
        <v>4195</v>
      </c>
      <c r="I391" s="21" t="s">
        <v>4043</v>
      </c>
      <c r="J391" s="22" t="s">
        <v>4296</v>
      </c>
      <c r="K391" s="23" t="s">
        <v>1370</v>
      </c>
      <c r="L391" s="24" t="s">
        <v>4297</v>
      </c>
      <c r="M391" s="24" t="s">
        <v>4298</v>
      </c>
      <c r="N391" s="23" t="s">
        <v>4299</v>
      </c>
      <c r="O391" s="24" t="s">
        <v>4300</v>
      </c>
      <c r="P391" s="24" t="s">
        <v>4301</v>
      </c>
      <c r="Q391" s="24" t="s">
        <v>4302</v>
      </c>
      <c r="R391" s="24"/>
      <c r="S391" s="24" t="s">
        <v>4284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174</v>
      </c>
      <c r="Y391" s="23" t="s">
        <v>174</v>
      </c>
      <c r="Z391" s="23" t="s">
        <v>174</v>
      </c>
      <c r="AA391" s="23" t="s">
        <v>174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  <c r="AE391" s="24" t="str">
        <f aca="false">M391&amp;" | 시편 133편 #"&amp;SUBSTITUTE(안내!$C$5," ","")</f>
        <v>함께 사는 것이 왜 아름다울까? | 시편 133편 #1분성경</v>
      </c>
      <c r="AF391" s="24" t="s">
        <v>304</v>
      </c>
      <c r="AG391" s="24"/>
      <c r="AH391" s="23" t="s">
        <v>176</v>
      </c>
      <c r="AI391" s="26" t="n">
        <f aca="false">U391-안내!$C$12</f>
        <v>46788</v>
      </c>
      <c r="AJ391" s="23" t="str">
        <f aca="false">IF(U391&lt;IF(C391=1,안내!$C$9,안내!$C$10)+안내!$C$12,"시즌 시작 전 제작","")</f>
        <v/>
      </c>
      <c r="AK391" s="24"/>
      <c r="AL391" s="27"/>
      <c r="AM391" s="27"/>
      <c r="AN391" s="27"/>
      <c r="AO391" s="27"/>
      <c r="AP391" s="27"/>
      <c r="AQ391" s="23" t="str">
        <f aca="false">D391&amp;"|"&amp;TEXT(U391,"yyyy-mm-dd")</f>
        <v>구약|2028-03-04</v>
      </c>
      <c r="AR391" s="24" t="s">
        <v>4300</v>
      </c>
      <c r="AS391" s="24" t="s">
        <v>4081</v>
      </c>
    </row>
    <row r="392" customFormat="false" ht="52.2" hidden="false" customHeight="false" outlineLevel="0" collapsed="false">
      <c r="A392" s="21" t="n">
        <v>391</v>
      </c>
      <c r="B392" s="18" t="s">
        <v>4303</v>
      </c>
      <c r="C392" s="20" t="n">
        <v>1</v>
      </c>
      <c r="D392" s="20" t="s">
        <v>160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4255</v>
      </c>
      <c r="H392" s="18" t="s">
        <v>4042</v>
      </c>
      <c r="I392" s="21" t="s">
        <v>4043</v>
      </c>
      <c r="J392" s="22" t="s">
        <v>4304</v>
      </c>
      <c r="K392" s="23" t="s">
        <v>1370</v>
      </c>
      <c r="L392" s="24" t="s">
        <v>4305</v>
      </c>
      <c r="M392" s="24" t="s">
        <v>4306</v>
      </c>
      <c r="N392" s="23" t="s">
        <v>4307</v>
      </c>
      <c r="O392" s="24" t="s">
        <v>4308</v>
      </c>
      <c r="P392" s="24" t="s">
        <v>2608</v>
      </c>
      <c r="Q392" s="24" t="s">
        <v>4309</v>
      </c>
      <c r="R392" s="24"/>
      <c r="S392" s="29" t="s">
        <v>4310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174</v>
      </c>
      <c r="Y392" s="23" t="s">
        <v>174</v>
      </c>
      <c r="Z392" s="23" t="s">
        <v>174</v>
      </c>
      <c r="AA392" s="23" t="s">
        <v>174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  <c r="AE392" s="24" t="str">
        <f aca="false">M392&amp;" | 시편 139편 #"&amp;SUBSTITUTE(안내!$C$5," ","")</f>
        <v>엄마 배 속에서부터 나를 아셨다 | 시편 139편 #1분성경</v>
      </c>
      <c r="AF392" s="24" t="s">
        <v>4311</v>
      </c>
      <c r="AG392" s="24"/>
      <c r="AH392" s="23" t="s">
        <v>290</v>
      </c>
      <c r="AI392" s="26" t="n">
        <f aca="false">U392-안내!$C$12</f>
        <v>46516</v>
      </c>
      <c r="AJ392" s="23" t="str">
        <f aca="false">IF(U392&lt;IF(C392=1,안내!$C$9,안내!$C$10)+안내!$C$12,"시즌 시작 전 제작","")</f>
        <v/>
      </c>
      <c r="AK392" s="24" t="s">
        <v>2608</v>
      </c>
      <c r="AL392" s="27"/>
      <c r="AM392" s="27"/>
      <c r="AN392" s="27"/>
      <c r="AO392" s="27"/>
      <c r="AP392" s="27"/>
      <c r="AQ392" s="23" t="str">
        <f aca="false">D392&amp;"|"&amp;TEXT(U392,"yyyy-mm-dd")</f>
        <v>구약|2027-06-06</v>
      </c>
      <c r="AR392" s="24" t="s">
        <v>4312</v>
      </c>
      <c r="AS392" s="24"/>
    </row>
    <row r="393" customFormat="false" ht="26.85" hidden="false" customHeight="false" outlineLevel="0" collapsed="false">
      <c r="A393" s="21" t="n">
        <v>392</v>
      </c>
      <c r="B393" s="18" t="s">
        <v>4313</v>
      </c>
      <c r="C393" s="23" t="n">
        <v>2</v>
      </c>
      <c r="D393" s="23" t="s">
        <v>160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4255</v>
      </c>
      <c r="H393" s="18" t="s">
        <v>4195</v>
      </c>
      <c r="I393" s="21" t="s">
        <v>4043</v>
      </c>
      <c r="J393" s="22" t="s">
        <v>4314</v>
      </c>
      <c r="K393" s="23" t="s">
        <v>1370</v>
      </c>
      <c r="L393" s="24" t="s">
        <v>4315</v>
      </c>
      <c r="M393" s="24" t="s">
        <v>4316</v>
      </c>
      <c r="N393" s="23" t="s">
        <v>4317</v>
      </c>
      <c r="O393" s="24" t="s">
        <v>4318</v>
      </c>
      <c r="P393" s="24" t="s">
        <v>2608</v>
      </c>
      <c r="Q393" s="24"/>
      <c r="R393" s="24"/>
      <c r="S393" s="24" t="s">
        <v>4319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174</v>
      </c>
      <c r="Y393" s="23" t="s">
        <v>174</v>
      </c>
      <c r="Z393" s="23" t="s">
        <v>174</v>
      </c>
      <c r="AA393" s="23" t="s">
        <v>174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  <c r="AE393" s="24" t="str">
        <f aca="false">M393&amp;" | 시편 145편 #"&amp;SUBSTITUTE(안내!$C$5," ","")</f>
        <v>하나님을 부르는 사람에게 가까이 계신다 | 시편 145편 #1분성경</v>
      </c>
      <c r="AF393" s="24" t="s">
        <v>304</v>
      </c>
      <c r="AG393" s="24"/>
      <c r="AH393" s="23" t="s">
        <v>290</v>
      </c>
      <c r="AI393" s="26" t="n">
        <f aca="false">U393-안내!$C$12</f>
        <v>46789</v>
      </c>
      <c r="AJ393" s="23" t="str">
        <f aca="false">IF(U393&lt;IF(C393=1,안내!$C$9,안내!$C$10)+안내!$C$12,"시즌 시작 전 제작","")</f>
        <v/>
      </c>
      <c r="AK393" s="24" t="s">
        <v>2608</v>
      </c>
      <c r="AL393" s="27"/>
      <c r="AM393" s="27"/>
      <c r="AN393" s="27"/>
      <c r="AO393" s="27"/>
      <c r="AP393" s="27"/>
      <c r="AQ393" s="23" t="str">
        <f aca="false">D393&amp;"|"&amp;TEXT(U393,"yyyy-mm-dd")</f>
        <v>구약|2028-03-05</v>
      </c>
      <c r="AR393" s="24" t="s">
        <v>4320</v>
      </c>
      <c r="AS393" s="24"/>
    </row>
    <row r="394" customFormat="false" ht="26.85" hidden="false" customHeight="false" outlineLevel="0" collapsed="false">
      <c r="A394" s="21" t="n">
        <v>393</v>
      </c>
      <c r="B394" s="18" t="s">
        <v>4321</v>
      </c>
      <c r="C394" s="23" t="n">
        <v>2</v>
      </c>
      <c r="D394" s="23" t="s">
        <v>160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4255</v>
      </c>
      <c r="H394" s="18" t="s">
        <v>4195</v>
      </c>
      <c r="I394" s="21" t="s">
        <v>4043</v>
      </c>
      <c r="J394" s="22" t="s">
        <v>4322</v>
      </c>
      <c r="K394" s="23" t="s">
        <v>1370</v>
      </c>
      <c r="L394" s="24" t="s">
        <v>4323</v>
      </c>
      <c r="M394" s="24" t="s">
        <v>4324</v>
      </c>
      <c r="N394" s="23" t="s">
        <v>4325</v>
      </c>
      <c r="O394" s="24" t="s">
        <v>4326</v>
      </c>
      <c r="P394" s="24" t="s">
        <v>4327</v>
      </c>
      <c r="Q394" s="24" t="s">
        <v>4328</v>
      </c>
      <c r="R394" s="24"/>
      <c r="S394" s="24" t="s">
        <v>4319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174</v>
      </c>
      <c r="Y394" s="23" t="s">
        <v>174</v>
      </c>
      <c r="Z394" s="23" t="s">
        <v>174</v>
      </c>
      <c r="AA394" s="23" t="s">
        <v>174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  <c r="AE394" s="24" t="str">
        <f aca="false">M394&amp;" | 시편 150편 #"&amp;SUBSTITUTE(안내!$C$5," ","")</f>
        <v>성경의 마지막 할렐루야 | 시편 150편 #1분성경</v>
      </c>
      <c r="AF394" s="24" t="s">
        <v>304</v>
      </c>
      <c r="AG394" s="24"/>
      <c r="AH394" s="23" t="s">
        <v>290</v>
      </c>
      <c r="AI394" s="26" t="n">
        <f aca="false">U394-안내!$C$12</f>
        <v>46790</v>
      </c>
      <c r="AJ394" s="23" t="str">
        <f aca="false">IF(U394&lt;IF(C394=1,안내!$C$9,안내!$C$10)+안내!$C$12,"시즌 시작 전 제작","")</f>
        <v/>
      </c>
      <c r="AK394" s="24"/>
      <c r="AL394" s="27"/>
      <c r="AM394" s="27"/>
      <c r="AN394" s="27"/>
      <c r="AO394" s="27"/>
      <c r="AP394" s="27"/>
      <c r="AQ394" s="23" t="str">
        <f aca="false">D394&amp;"|"&amp;TEXT(U394,"yyyy-mm-dd")</f>
        <v>구약|2028-03-06</v>
      </c>
      <c r="AR394" s="24" t="s">
        <v>4329</v>
      </c>
      <c r="AS394" s="24"/>
    </row>
    <row r="395" customFormat="false" ht="39.55" hidden="false" customHeight="false" outlineLevel="0" collapsed="false">
      <c r="A395" s="21" t="n">
        <v>394</v>
      </c>
      <c r="B395" s="18" t="s">
        <v>4330</v>
      </c>
      <c r="C395" s="20" t="n">
        <v>1</v>
      </c>
      <c r="D395" s="20" t="s">
        <v>160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4331</v>
      </c>
      <c r="H395" s="18" t="s">
        <v>4042</v>
      </c>
      <c r="I395" s="21" t="s">
        <v>4332</v>
      </c>
      <c r="J395" s="22" t="s">
        <v>4333</v>
      </c>
      <c r="K395" s="23" t="s">
        <v>1370</v>
      </c>
      <c r="L395" s="24" t="s">
        <v>4334</v>
      </c>
      <c r="M395" s="24" t="s">
        <v>4335</v>
      </c>
      <c r="N395" s="23" t="s">
        <v>4336</v>
      </c>
      <c r="O395" s="24" t="s">
        <v>4337</v>
      </c>
      <c r="P395" s="24" t="s">
        <v>4338</v>
      </c>
      <c r="Q395" s="24" t="s">
        <v>4339</v>
      </c>
      <c r="R395" s="24"/>
      <c r="S395" s="29" t="s">
        <v>4340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174</v>
      </c>
      <c r="Y395" s="23" t="s">
        <v>174</v>
      </c>
      <c r="Z395" s="23" t="s">
        <v>174</v>
      </c>
      <c r="AA395" s="23" t="s">
        <v>174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  <c r="AE395" s="24" t="str">
        <f aca="false">M395&amp;" | 잠언 1장 #"&amp;SUBSTITUTE(안내!$C$5," ","")</f>
        <v>지혜는 어디서 시작될까? | 잠언 1장 #1분성경</v>
      </c>
      <c r="AF395" s="24" t="s">
        <v>4341</v>
      </c>
      <c r="AG395" s="24"/>
      <c r="AH395" s="23" t="s">
        <v>176</v>
      </c>
      <c r="AI395" s="26" t="n">
        <f aca="false">U395-안내!$C$12</f>
        <v>46517</v>
      </c>
      <c r="AJ395" s="23" t="str">
        <f aca="false">IF(U395&lt;IF(C395=1,안내!$C$9,안내!$C$10)+안내!$C$12,"시즌 시작 전 제작","")</f>
        <v/>
      </c>
      <c r="AK395" s="24"/>
      <c r="AL395" s="27"/>
      <c r="AM395" s="27"/>
      <c r="AN395" s="27"/>
      <c r="AO395" s="27"/>
      <c r="AP395" s="27"/>
      <c r="AQ395" s="23" t="str">
        <f aca="false">D395&amp;"|"&amp;TEXT(U395,"yyyy-mm-dd")</f>
        <v>구약|2027-06-07</v>
      </c>
      <c r="AR395" s="24" t="s">
        <v>4342</v>
      </c>
      <c r="AS395" s="24"/>
    </row>
    <row r="396" customFormat="false" ht="26.85" hidden="false" customHeight="false" outlineLevel="0" collapsed="false">
      <c r="A396" s="21" t="n">
        <v>395</v>
      </c>
      <c r="B396" s="18" t="s">
        <v>4343</v>
      </c>
      <c r="C396" s="23" t="n">
        <v>2</v>
      </c>
      <c r="D396" s="23" t="s">
        <v>160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4331</v>
      </c>
      <c r="H396" s="18" t="s">
        <v>4344</v>
      </c>
      <c r="I396" s="21" t="s">
        <v>4332</v>
      </c>
      <c r="J396" s="22" t="s">
        <v>4345</v>
      </c>
      <c r="K396" s="23" t="s">
        <v>1370</v>
      </c>
      <c r="L396" s="24" t="s">
        <v>4346</v>
      </c>
      <c r="M396" s="24" t="s">
        <v>4347</v>
      </c>
      <c r="N396" s="23" t="s">
        <v>4348</v>
      </c>
      <c r="O396" s="24" t="s">
        <v>4349</v>
      </c>
      <c r="P396" s="24" t="s">
        <v>4338</v>
      </c>
      <c r="Q396" s="24" t="s">
        <v>4350</v>
      </c>
      <c r="R396" s="24"/>
      <c r="S396" s="24" t="s">
        <v>4351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174</v>
      </c>
      <c r="Y396" s="23" t="s">
        <v>174</v>
      </c>
      <c r="Z396" s="23" t="s">
        <v>174</v>
      </c>
      <c r="AA396" s="23" t="s">
        <v>174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  <c r="AE396" s="24" t="str">
        <f aca="false">M396&amp;" | 잠언 2~4장 #"&amp;SUBSTITUTE(안내!$C$5," ","")</f>
        <v>내 생각보다 하나님을 신뢰하라 | 잠언 2~4장 #1분성경</v>
      </c>
      <c r="AF396" s="24" t="s">
        <v>304</v>
      </c>
      <c r="AG396" s="24"/>
      <c r="AH396" s="23" t="s">
        <v>290</v>
      </c>
      <c r="AI396" s="26" t="n">
        <f aca="false">U396-안내!$C$12</f>
        <v>46791</v>
      </c>
      <c r="AJ396" s="23" t="str">
        <f aca="false">IF(U396&lt;IF(C396=1,안내!$C$9,안내!$C$10)+안내!$C$12,"시즌 시작 전 제작","")</f>
        <v/>
      </c>
      <c r="AK396" s="24"/>
      <c r="AL396" s="27"/>
      <c r="AM396" s="27"/>
      <c r="AN396" s="27"/>
      <c r="AO396" s="27"/>
      <c r="AP396" s="27"/>
      <c r="AQ396" s="23" t="str">
        <f aca="false">D396&amp;"|"&amp;TEXT(U396,"yyyy-mm-dd")</f>
        <v>구약|2028-03-07</v>
      </c>
      <c r="AR396" s="24" t="s">
        <v>4352</v>
      </c>
      <c r="AS396" s="24"/>
    </row>
    <row r="397" customFormat="false" ht="26.85" hidden="false" customHeight="false" outlineLevel="0" collapsed="false">
      <c r="A397" s="21" t="n">
        <v>396</v>
      </c>
      <c r="B397" s="18" t="s">
        <v>4353</v>
      </c>
      <c r="C397" s="23" t="n">
        <v>2</v>
      </c>
      <c r="D397" s="23" t="s">
        <v>160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4331</v>
      </c>
      <c r="H397" s="18" t="s">
        <v>4344</v>
      </c>
      <c r="I397" s="21" t="s">
        <v>4332</v>
      </c>
      <c r="J397" s="22" t="s">
        <v>4354</v>
      </c>
      <c r="K397" s="23" t="s">
        <v>1370</v>
      </c>
      <c r="L397" s="24" t="s">
        <v>4355</v>
      </c>
      <c r="M397" s="24" t="s">
        <v>4356</v>
      </c>
      <c r="N397" s="23" t="s">
        <v>4357</v>
      </c>
      <c r="O397" s="24" t="s">
        <v>4358</v>
      </c>
      <c r="P397" s="24" t="s">
        <v>4359</v>
      </c>
      <c r="Q397" s="24" t="s">
        <v>4360</v>
      </c>
      <c r="R397" s="25" t="s">
        <v>4361</v>
      </c>
      <c r="S397" s="24" t="s">
        <v>4351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174</v>
      </c>
      <c r="Y397" s="23" t="s">
        <v>174</v>
      </c>
      <c r="Z397" s="23" t="s">
        <v>174</v>
      </c>
      <c r="AA397" s="23" t="s">
        <v>174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  <c r="AE397" s="24" t="str">
        <f aca="false">M397&amp;" | 잠언 5~7장 #"&amp;SUBSTITUTE(안내!$C$5," ","")</f>
        <v>게으른 자여 개미에게 가서 보라 | 잠언 5~7장 #1분성경</v>
      </c>
      <c r="AF397" s="24" t="s">
        <v>304</v>
      </c>
      <c r="AG397" s="24"/>
      <c r="AH397" s="23" t="s">
        <v>290</v>
      </c>
      <c r="AI397" s="26" t="n">
        <f aca="false">U397-안내!$C$12</f>
        <v>46792</v>
      </c>
      <c r="AJ397" s="23" t="str">
        <f aca="false">IF(U397&lt;IF(C397=1,안내!$C$9,안내!$C$10)+안내!$C$12,"시즌 시작 전 제작","")</f>
        <v/>
      </c>
      <c r="AK397" s="24"/>
      <c r="AL397" s="27"/>
      <c r="AM397" s="27"/>
      <c r="AN397" s="27"/>
      <c r="AO397" s="27"/>
      <c r="AP397" s="27"/>
      <c r="AQ397" s="23" t="str">
        <f aca="false">D397&amp;"|"&amp;TEXT(U397,"yyyy-mm-dd")</f>
        <v>구약|2028-03-08</v>
      </c>
      <c r="AR397" s="24" t="s">
        <v>4362</v>
      </c>
      <c r="AS397" s="24"/>
    </row>
    <row r="398" customFormat="false" ht="26.85" hidden="false" customHeight="false" outlineLevel="0" collapsed="false">
      <c r="A398" s="21" t="n">
        <v>397</v>
      </c>
      <c r="B398" s="18" t="s">
        <v>4363</v>
      </c>
      <c r="C398" s="23" t="n">
        <v>2</v>
      </c>
      <c r="D398" s="23" t="s">
        <v>160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4331</v>
      </c>
      <c r="H398" s="18" t="s">
        <v>4344</v>
      </c>
      <c r="I398" s="21" t="s">
        <v>4332</v>
      </c>
      <c r="J398" s="22" t="s">
        <v>4364</v>
      </c>
      <c r="K398" s="23" t="s">
        <v>1370</v>
      </c>
      <c r="L398" s="24" t="s">
        <v>4365</v>
      </c>
      <c r="M398" s="24" t="s">
        <v>4366</v>
      </c>
      <c r="N398" s="23" t="s">
        <v>4367</v>
      </c>
      <c r="O398" s="24" t="s">
        <v>4368</v>
      </c>
      <c r="P398" s="24" t="s">
        <v>4369</v>
      </c>
      <c r="Q398" s="24" t="s">
        <v>4370</v>
      </c>
      <c r="R398" s="25" t="s">
        <v>4371</v>
      </c>
      <c r="S398" s="24" t="s">
        <v>4351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174</v>
      </c>
      <c r="Y398" s="23" t="s">
        <v>174</v>
      </c>
      <c r="Z398" s="23" t="s">
        <v>174</v>
      </c>
      <c r="AA398" s="23" t="s">
        <v>174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  <c r="AE398" s="24" t="str">
        <f aca="false">M398&amp;" | 잠언 8~9장 #"&amp;SUBSTITUTE(안내!$C$5," ","")</f>
        <v>지혜가 사람처럼 길거리에서 외친다 | 잠언 8~9장 #1분성경</v>
      </c>
      <c r="AF398" s="24" t="s">
        <v>304</v>
      </c>
      <c r="AG398" s="24"/>
      <c r="AH398" s="23" t="s">
        <v>290</v>
      </c>
      <c r="AI398" s="26" t="n">
        <f aca="false">U398-안내!$C$12</f>
        <v>46793</v>
      </c>
      <c r="AJ398" s="23" t="str">
        <f aca="false">IF(U398&lt;IF(C398=1,안내!$C$9,안내!$C$10)+안내!$C$12,"시즌 시작 전 제작","")</f>
        <v/>
      </c>
      <c r="AK398" s="24"/>
      <c r="AL398" s="27"/>
      <c r="AM398" s="27"/>
      <c r="AN398" s="27"/>
      <c r="AO398" s="27"/>
      <c r="AP398" s="27"/>
      <c r="AQ398" s="23" t="str">
        <f aca="false">D398&amp;"|"&amp;TEXT(U398,"yyyy-mm-dd")</f>
        <v>구약|2028-03-09</v>
      </c>
      <c r="AR398" s="24" t="s">
        <v>4372</v>
      </c>
      <c r="AS398" s="24"/>
    </row>
    <row r="399" customFormat="false" ht="26.85" hidden="false" customHeight="false" outlineLevel="0" collapsed="false">
      <c r="A399" s="21" t="n">
        <v>398</v>
      </c>
      <c r="B399" s="18" t="s">
        <v>4373</v>
      </c>
      <c r="C399" s="23" t="n">
        <v>2</v>
      </c>
      <c r="D399" s="23" t="s">
        <v>160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4331</v>
      </c>
      <c r="H399" s="18" t="s">
        <v>4344</v>
      </c>
      <c r="I399" s="21" t="s">
        <v>4332</v>
      </c>
      <c r="J399" s="22" t="s">
        <v>4374</v>
      </c>
      <c r="K399" s="23" t="s">
        <v>1370</v>
      </c>
      <c r="L399" s="24" t="s">
        <v>4375</v>
      </c>
      <c r="M399" s="24" t="s">
        <v>4376</v>
      </c>
      <c r="N399" s="23" t="s">
        <v>4377</v>
      </c>
      <c r="O399" s="24" t="s">
        <v>4378</v>
      </c>
      <c r="P399" s="24" t="s">
        <v>4379</v>
      </c>
      <c r="Q399" s="24" t="s">
        <v>4380</v>
      </c>
      <c r="R399" s="24"/>
      <c r="S399" s="24" t="s">
        <v>4351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174</v>
      </c>
      <c r="Y399" s="23" t="s">
        <v>174</v>
      </c>
      <c r="Z399" s="23" t="s">
        <v>174</v>
      </c>
      <c r="AA399" s="23" t="s">
        <v>174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  <c r="AE399" s="24" t="str">
        <f aca="false">M399&amp;" | 잠언 10~15장 #"&amp;SUBSTITUTE(안내!$C$5," ","")</f>
        <v>부드러운 대답이 분노를 쉬게 한다 | 잠언 10~15장 #1분성경</v>
      </c>
      <c r="AF399" s="24" t="s">
        <v>304</v>
      </c>
      <c r="AG399" s="24"/>
      <c r="AH399" s="23" t="s">
        <v>290</v>
      </c>
      <c r="AI399" s="26" t="n">
        <f aca="false">U399-안내!$C$12</f>
        <v>46794</v>
      </c>
      <c r="AJ399" s="23" t="str">
        <f aca="false">IF(U399&lt;IF(C399=1,안내!$C$9,안내!$C$10)+안내!$C$12,"시즌 시작 전 제작","")</f>
        <v/>
      </c>
      <c r="AK399" s="24"/>
      <c r="AL399" s="27"/>
      <c r="AM399" s="27"/>
      <c r="AN399" s="27"/>
      <c r="AO399" s="27"/>
      <c r="AP399" s="27"/>
      <c r="AQ399" s="23" t="str">
        <f aca="false">D399&amp;"|"&amp;TEXT(U399,"yyyy-mm-dd")</f>
        <v>구약|2028-03-10</v>
      </c>
      <c r="AR399" s="24" t="s">
        <v>4381</v>
      </c>
      <c r="AS399" s="24"/>
    </row>
    <row r="400" customFormat="false" ht="26.85" hidden="false" customHeight="false" outlineLevel="0" collapsed="false">
      <c r="A400" s="21" t="n">
        <v>399</v>
      </c>
      <c r="B400" s="18" t="s">
        <v>4382</v>
      </c>
      <c r="C400" s="23" t="n">
        <v>2</v>
      </c>
      <c r="D400" s="23" t="s">
        <v>160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4331</v>
      </c>
      <c r="H400" s="18" t="s">
        <v>4344</v>
      </c>
      <c r="I400" s="21" t="s">
        <v>4332</v>
      </c>
      <c r="J400" s="22" t="s">
        <v>4383</v>
      </c>
      <c r="K400" s="23" t="s">
        <v>1370</v>
      </c>
      <c r="L400" s="24" t="s">
        <v>4384</v>
      </c>
      <c r="M400" s="24" t="s">
        <v>4385</v>
      </c>
      <c r="N400" s="23" t="s">
        <v>4386</v>
      </c>
      <c r="O400" s="24" t="s">
        <v>4387</v>
      </c>
      <c r="P400" s="24" t="s">
        <v>4379</v>
      </c>
      <c r="Q400" s="24" t="s">
        <v>4388</v>
      </c>
      <c r="R400" s="24"/>
      <c r="S400" s="24" t="s">
        <v>4351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174</v>
      </c>
      <c r="Y400" s="23" t="s">
        <v>174</v>
      </c>
      <c r="Z400" s="23" t="s">
        <v>174</v>
      </c>
      <c r="AA400" s="23" t="s">
        <v>174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  <c r="AE400" s="24" t="str">
        <f aca="false">M400&amp;" | 잠언 16~22장 #"&amp;SUBSTITUTE(안내!$C$5," ","")</f>
        <v>계획은 내가, 걸음은 하나님이 | 잠언 16~22장 #1분성경</v>
      </c>
      <c r="AF400" s="24" t="s">
        <v>304</v>
      </c>
      <c r="AG400" s="24"/>
      <c r="AH400" s="23" t="s">
        <v>290</v>
      </c>
      <c r="AI400" s="26" t="n">
        <f aca="false">U400-안내!$C$12</f>
        <v>46795</v>
      </c>
      <c r="AJ400" s="23" t="str">
        <f aca="false">IF(U400&lt;IF(C400=1,안내!$C$9,안내!$C$10)+안내!$C$12,"시즌 시작 전 제작","")</f>
        <v/>
      </c>
      <c r="AK400" s="24"/>
      <c r="AL400" s="27"/>
      <c r="AM400" s="27"/>
      <c r="AN400" s="27"/>
      <c r="AO400" s="27"/>
      <c r="AP400" s="27"/>
      <c r="AQ400" s="23" t="str">
        <f aca="false">D400&amp;"|"&amp;TEXT(U400,"yyyy-mm-dd")</f>
        <v>구약|2028-03-11</v>
      </c>
      <c r="AR400" s="24" t="s">
        <v>4389</v>
      </c>
      <c r="AS400" s="24"/>
    </row>
    <row r="401" customFormat="false" ht="26.85" hidden="false" customHeight="false" outlineLevel="0" collapsed="false">
      <c r="A401" s="21" t="n">
        <v>400</v>
      </c>
      <c r="B401" s="18" t="s">
        <v>4390</v>
      </c>
      <c r="C401" s="23" t="n">
        <v>2</v>
      </c>
      <c r="D401" s="23" t="s">
        <v>160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4331</v>
      </c>
      <c r="H401" s="18" t="s">
        <v>4344</v>
      </c>
      <c r="I401" s="21" t="s">
        <v>4332</v>
      </c>
      <c r="J401" s="22" t="s">
        <v>4391</v>
      </c>
      <c r="K401" s="23" t="s">
        <v>1370</v>
      </c>
      <c r="L401" s="24" t="s">
        <v>4392</v>
      </c>
      <c r="M401" s="24" t="s">
        <v>4393</v>
      </c>
      <c r="N401" s="23" t="s">
        <v>4394</v>
      </c>
      <c r="O401" s="24" t="s">
        <v>4395</v>
      </c>
      <c r="P401" s="24" t="s">
        <v>4396</v>
      </c>
      <c r="Q401" s="24" t="s">
        <v>4397</v>
      </c>
      <c r="R401" s="24"/>
      <c r="S401" s="24" t="s">
        <v>4351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174</v>
      </c>
      <c r="Y401" s="23" t="s">
        <v>174</v>
      </c>
      <c r="Z401" s="23" t="s">
        <v>174</v>
      </c>
      <c r="AA401" s="23" t="s">
        <v>174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  <c r="AE401" s="24" t="str">
        <f aca="false">M401&amp;" | 잠언 22~24장 #"&amp;SUBSTITUTE(안내!$C$5," ","")</f>
        <v>의인도 넘어질 수 있을까? | 잠언 22~24장 #1분성경</v>
      </c>
      <c r="AF401" s="24" t="s">
        <v>304</v>
      </c>
      <c r="AG401" s="24"/>
      <c r="AH401" s="23" t="s">
        <v>176</v>
      </c>
      <c r="AI401" s="26" t="n">
        <f aca="false">U401-안내!$C$12</f>
        <v>46796</v>
      </c>
      <c r="AJ401" s="23" t="str">
        <f aca="false">IF(U401&lt;IF(C401=1,안내!$C$9,안내!$C$10)+안내!$C$12,"시즌 시작 전 제작","")</f>
        <v/>
      </c>
      <c r="AK401" s="24"/>
      <c r="AL401" s="27"/>
      <c r="AM401" s="27"/>
      <c r="AN401" s="27"/>
      <c r="AO401" s="27"/>
      <c r="AP401" s="27"/>
      <c r="AQ401" s="23" t="str">
        <f aca="false">D401&amp;"|"&amp;TEXT(U401,"yyyy-mm-dd")</f>
        <v>구약|2028-03-12</v>
      </c>
      <c r="AR401" s="24" t="s">
        <v>4398</v>
      </c>
      <c r="AS401" s="24"/>
    </row>
    <row r="402" customFormat="false" ht="26.85" hidden="false" customHeight="false" outlineLevel="0" collapsed="false">
      <c r="A402" s="21" t="n">
        <v>401</v>
      </c>
      <c r="B402" s="18" t="s">
        <v>4399</v>
      </c>
      <c r="C402" s="23" t="n">
        <v>2</v>
      </c>
      <c r="D402" s="23" t="s">
        <v>160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4331</v>
      </c>
      <c r="H402" s="18" t="s">
        <v>4344</v>
      </c>
      <c r="I402" s="21" t="s">
        <v>4332</v>
      </c>
      <c r="J402" s="22" t="s">
        <v>4400</v>
      </c>
      <c r="K402" s="23" t="s">
        <v>1370</v>
      </c>
      <c r="L402" s="24" t="s">
        <v>4401</v>
      </c>
      <c r="M402" s="24" t="s">
        <v>4402</v>
      </c>
      <c r="N402" s="23" t="s">
        <v>4403</v>
      </c>
      <c r="O402" s="24" t="s">
        <v>4404</v>
      </c>
      <c r="P402" s="24" t="s">
        <v>4379</v>
      </c>
      <c r="Q402" s="24" t="s">
        <v>4405</v>
      </c>
      <c r="R402" s="25" t="s">
        <v>4406</v>
      </c>
      <c r="S402" s="24" t="s">
        <v>4351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174</v>
      </c>
      <c r="Y402" s="23" t="s">
        <v>174</v>
      </c>
      <c r="Z402" s="23" t="s">
        <v>174</v>
      </c>
      <c r="AA402" s="23" t="s">
        <v>174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  <c r="AE402" s="24" t="str">
        <f aca="false">M402&amp;" | 잠언 25~29장 #"&amp;SUBSTITUTE(안내!$C$5," ","")</f>
        <v>원수가 배고프면 먹이라고? | 잠언 25~29장 #1분성경</v>
      </c>
      <c r="AF402" s="24" t="s">
        <v>304</v>
      </c>
      <c r="AG402" s="24"/>
      <c r="AH402" s="23" t="s">
        <v>176</v>
      </c>
      <c r="AI402" s="26" t="n">
        <f aca="false">U402-안내!$C$12</f>
        <v>46797</v>
      </c>
      <c r="AJ402" s="23" t="str">
        <f aca="false">IF(U402&lt;IF(C402=1,안내!$C$9,안내!$C$10)+안내!$C$12,"시즌 시작 전 제작","")</f>
        <v/>
      </c>
      <c r="AK402" s="24"/>
      <c r="AL402" s="27"/>
      <c r="AM402" s="27"/>
      <c r="AN402" s="27"/>
      <c r="AO402" s="27"/>
      <c r="AP402" s="27"/>
      <c r="AQ402" s="23" t="str">
        <f aca="false">D402&amp;"|"&amp;TEXT(U402,"yyyy-mm-dd")</f>
        <v>구약|2028-03-13</v>
      </c>
      <c r="AR402" s="24" t="s">
        <v>4407</v>
      </c>
      <c r="AS402" s="24"/>
    </row>
    <row r="403" customFormat="false" ht="26.85" hidden="false" customHeight="false" outlineLevel="0" collapsed="false">
      <c r="A403" s="21" t="n">
        <v>402</v>
      </c>
      <c r="B403" s="18" t="s">
        <v>4408</v>
      </c>
      <c r="C403" s="23" t="n">
        <v>2</v>
      </c>
      <c r="D403" s="23" t="s">
        <v>160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4331</v>
      </c>
      <c r="H403" s="18" t="s">
        <v>4344</v>
      </c>
      <c r="I403" s="21" t="s">
        <v>4332</v>
      </c>
      <c r="J403" s="22" t="s">
        <v>4409</v>
      </c>
      <c r="K403" s="23" t="s">
        <v>1370</v>
      </c>
      <c r="L403" s="24" t="s">
        <v>4410</v>
      </c>
      <c r="M403" s="24" t="s">
        <v>4411</v>
      </c>
      <c r="N403" s="23" t="s">
        <v>4412</v>
      </c>
      <c r="O403" s="24" t="s">
        <v>4413</v>
      </c>
      <c r="P403" s="24" t="s">
        <v>4414</v>
      </c>
      <c r="Q403" s="24" t="s">
        <v>4415</v>
      </c>
      <c r="R403" s="24"/>
      <c r="S403" s="24" t="s">
        <v>4351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174</v>
      </c>
      <c r="Y403" s="23" t="s">
        <v>174</v>
      </c>
      <c r="Z403" s="23" t="s">
        <v>174</v>
      </c>
      <c r="AA403" s="23" t="s">
        <v>174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  <c r="AE403" s="24" t="str">
        <f aca="false">M403&amp;" | 잠언 30~31장 #"&amp;SUBSTITUTE(안내!$C$5," ","")</f>
        <v>아름다움은 헛되고 고운 것은 거짓되나 | 잠언 30~31장 #1분성경</v>
      </c>
      <c r="AF403" s="24" t="s">
        <v>304</v>
      </c>
      <c r="AG403" s="24"/>
      <c r="AH403" s="23" t="s">
        <v>290</v>
      </c>
      <c r="AI403" s="26" t="n">
        <f aca="false">U403-안내!$C$12</f>
        <v>46798</v>
      </c>
      <c r="AJ403" s="23" t="str">
        <f aca="false">IF(U403&lt;IF(C403=1,안내!$C$9,안내!$C$10)+안내!$C$12,"시즌 시작 전 제작","")</f>
        <v/>
      </c>
      <c r="AK403" s="24"/>
      <c r="AL403" s="27"/>
      <c r="AM403" s="27"/>
      <c r="AN403" s="27"/>
      <c r="AO403" s="27"/>
      <c r="AP403" s="27"/>
      <c r="AQ403" s="23" t="str">
        <f aca="false">D403&amp;"|"&amp;TEXT(U403,"yyyy-mm-dd")</f>
        <v>구약|2028-03-14</v>
      </c>
      <c r="AR403" s="24" t="s">
        <v>4416</v>
      </c>
      <c r="AS403" s="24"/>
    </row>
    <row r="404" customFormat="false" ht="26.85" hidden="false" customHeight="false" outlineLevel="0" collapsed="false">
      <c r="A404" s="21" t="n">
        <v>403</v>
      </c>
      <c r="B404" s="18" t="s">
        <v>4417</v>
      </c>
      <c r="C404" s="23" t="n">
        <v>2</v>
      </c>
      <c r="D404" s="23" t="s">
        <v>160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4418</v>
      </c>
      <c r="H404" s="18" t="s">
        <v>4419</v>
      </c>
      <c r="I404" s="21" t="s">
        <v>4420</v>
      </c>
      <c r="J404" s="22" t="s">
        <v>4421</v>
      </c>
      <c r="K404" s="23" t="s">
        <v>1370</v>
      </c>
      <c r="L404" s="24" t="s">
        <v>4422</v>
      </c>
      <c r="M404" s="24" t="s">
        <v>4423</v>
      </c>
      <c r="N404" s="23" t="s">
        <v>4424</v>
      </c>
      <c r="O404" s="24" t="s">
        <v>4425</v>
      </c>
      <c r="P404" s="24" t="s">
        <v>4426</v>
      </c>
      <c r="Q404" s="24" t="s">
        <v>4427</v>
      </c>
      <c r="R404" s="24"/>
      <c r="S404" s="24" t="s">
        <v>4351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174</v>
      </c>
      <c r="Y404" s="23" t="s">
        <v>174</v>
      </c>
      <c r="Z404" s="23" t="s">
        <v>174</v>
      </c>
      <c r="AA404" s="23" t="s">
        <v>174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  <c r="AE404" s="24" t="str">
        <f aca="false">M404&amp;" | 전도서 1~2장 #"&amp;SUBSTITUTE(안내!$C$5," ","")</f>
        <v>모든 것을 다 가져 본 왕의 결론 | 전도서 1~2장 #1분성경</v>
      </c>
      <c r="AF404" s="24" t="s">
        <v>304</v>
      </c>
      <c r="AG404" s="24"/>
      <c r="AH404" s="23" t="s">
        <v>290</v>
      </c>
      <c r="AI404" s="26" t="n">
        <f aca="false">U404-안내!$C$12</f>
        <v>46799</v>
      </c>
      <c r="AJ404" s="23" t="str">
        <f aca="false">IF(U404&lt;IF(C404=1,안내!$C$9,안내!$C$10)+안내!$C$12,"시즌 시작 전 제작","")</f>
        <v/>
      </c>
      <c r="AK404" s="24"/>
      <c r="AL404" s="27"/>
      <c r="AM404" s="27"/>
      <c r="AN404" s="27"/>
      <c r="AO404" s="27"/>
      <c r="AP404" s="27"/>
      <c r="AQ404" s="23" t="str">
        <f aca="false">D404&amp;"|"&amp;TEXT(U404,"yyyy-mm-dd")</f>
        <v>구약|2028-03-15</v>
      </c>
      <c r="AR404" s="24" t="s">
        <v>4428</v>
      </c>
      <c r="AS404" s="24"/>
    </row>
    <row r="405" customFormat="false" ht="52.2" hidden="false" customHeight="false" outlineLevel="0" collapsed="false">
      <c r="A405" s="21" t="n">
        <v>404</v>
      </c>
      <c r="B405" s="18" t="s">
        <v>4429</v>
      </c>
      <c r="C405" s="20" t="n">
        <v>1</v>
      </c>
      <c r="D405" s="20" t="s">
        <v>160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4418</v>
      </c>
      <c r="H405" s="18" t="s">
        <v>4042</v>
      </c>
      <c r="I405" s="21" t="s">
        <v>4420</v>
      </c>
      <c r="J405" s="22" t="s">
        <v>4430</v>
      </c>
      <c r="K405" s="23" t="s">
        <v>1370</v>
      </c>
      <c r="L405" s="24" t="s">
        <v>4431</v>
      </c>
      <c r="M405" s="24" t="s">
        <v>4432</v>
      </c>
      <c r="N405" s="23" t="s">
        <v>4433</v>
      </c>
      <c r="O405" s="24" t="s">
        <v>4434</v>
      </c>
      <c r="P405" s="24" t="s">
        <v>4435</v>
      </c>
      <c r="Q405" s="24" t="s">
        <v>4436</v>
      </c>
      <c r="R405" s="24"/>
      <c r="S405" s="29" t="s">
        <v>4437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174</v>
      </c>
      <c r="Y405" s="23" t="s">
        <v>174</v>
      </c>
      <c r="Z405" s="23" t="s">
        <v>174</v>
      </c>
      <c r="AA405" s="23" t="s">
        <v>174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  <c r="AE405" s="24" t="str">
        <f aca="false">M405&amp;" | 전도서 3장 #"&amp;SUBSTITUTE(안내!$C$5," ","")</f>
        <v>울 때가 있고 웃을 때가 있으며 | 전도서 3장 #1분성경</v>
      </c>
      <c r="AF405" s="24" t="s">
        <v>4438</v>
      </c>
      <c r="AG405" s="24"/>
      <c r="AH405" s="23" t="s">
        <v>290</v>
      </c>
      <c r="AI405" s="26" t="n">
        <f aca="false">U405-안내!$C$12</f>
        <v>46518</v>
      </c>
      <c r="AJ405" s="23" t="str">
        <f aca="false">IF(U405&lt;IF(C405=1,안내!$C$9,안내!$C$10)+안내!$C$12,"시즌 시작 전 제작","")</f>
        <v/>
      </c>
      <c r="AK405" s="24"/>
      <c r="AL405" s="27"/>
      <c r="AM405" s="27"/>
      <c r="AN405" s="27"/>
      <c r="AO405" s="27"/>
      <c r="AP405" s="27"/>
      <c r="AQ405" s="23" t="str">
        <f aca="false">D405&amp;"|"&amp;TEXT(U405,"yyyy-mm-dd")</f>
        <v>구약|2027-06-08</v>
      </c>
      <c r="AR405" s="24" t="s">
        <v>4439</v>
      </c>
      <c r="AS405" s="24"/>
    </row>
    <row r="406" customFormat="false" ht="26.85" hidden="false" customHeight="false" outlineLevel="0" collapsed="false">
      <c r="A406" s="21" t="n">
        <v>405</v>
      </c>
      <c r="B406" s="18" t="s">
        <v>4440</v>
      </c>
      <c r="C406" s="23" t="n">
        <v>2</v>
      </c>
      <c r="D406" s="23" t="s">
        <v>160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4418</v>
      </c>
      <c r="H406" s="18" t="s">
        <v>4419</v>
      </c>
      <c r="I406" s="21" t="s">
        <v>4420</v>
      </c>
      <c r="J406" s="22" t="s">
        <v>4441</v>
      </c>
      <c r="K406" s="23" t="s">
        <v>1370</v>
      </c>
      <c r="L406" s="24" t="s">
        <v>4442</v>
      </c>
      <c r="M406" s="24" t="s">
        <v>4443</v>
      </c>
      <c r="N406" s="23" t="s">
        <v>4444</v>
      </c>
      <c r="O406" s="24" t="s">
        <v>4445</v>
      </c>
      <c r="P406" s="24" t="s">
        <v>4435</v>
      </c>
      <c r="Q406" s="24" t="s">
        <v>4446</v>
      </c>
      <c r="R406" s="24"/>
      <c r="S406" s="24" t="s">
        <v>4447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174</v>
      </c>
      <c r="Y406" s="23" t="s">
        <v>174</v>
      </c>
      <c r="Z406" s="23" t="s">
        <v>174</v>
      </c>
      <c r="AA406" s="23" t="s">
        <v>174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  <c r="AE406" s="24" t="str">
        <f aca="false">M406&amp;" | 전도서 4~6장 #"&amp;SUBSTITUTE(안내!$C$5," ","")</f>
        <v>혼자보다 둘이 낫다 | 전도서 4~6장 #1분성경</v>
      </c>
      <c r="AF406" s="24" t="s">
        <v>304</v>
      </c>
      <c r="AG406" s="24"/>
      <c r="AH406" s="23" t="s">
        <v>290</v>
      </c>
      <c r="AI406" s="26" t="n">
        <f aca="false">U406-안내!$C$12</f>
        <v>46800</v>
      </c>
      <c r="AJ406" s="23" t="str">
        <f aca="false">IF(U406&lt;IF(C406=1,안내!$C$9,안내!$C$10)+안내!$C$12,"시즌 시작 전 제작","")</f>
        <v/>
      </c>
      <c r="AK406" s="24"/>
      <c r="AL406" s="27"/>
      <c r="AM406" s="27"/>
      <c r="AN406" s="27"/>
      <c r="AO406" s="27"/>
      <c r="AP406" s="27"/>
      <c r="AQ406" s="23" t="str">
        <f aca="false">D406&amp;"|"&amp;TEXT(U406,"yyyy-mm-dd")</f>
        <v>구약|2028-03-16</v>
      </c>
      <c r="AR406" s="24" t="s">
        <v>4448</v>
      </c>
      <c r="AS406" s="24"/>
    </row>
    <row r="407" customFormat="false" ht="39.55" hidden="false" customHeight="false" outlineLevel="0" collapsed="false">
      <c r="A407" s="21" t="n">
        <v>406</v>
      </c>
      <c r="B407" s="18" t="s">
        <v>4449</v>
      </c>
      <c r="C407" s="23" t="n">
        <v>2</v>
      </c>
      <c r="D407" s="23" t="s">
        <v>160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4418</v>
      </c>
      <c r="H407" s="18" t="s">
        <v>4419</v>
      </c>
      <c r="I407" s="21" t="s">
        <v>4420</v>
      </c>
      <c r="J407" s="22" t="s">
        <v>4450</v>
      </c>
      <c r="K407" s="23" t="s">
        <v>1370</v>
      </c>
      <c r="L407" s="24" t="s">
        <v>4451</v>
      </c>
      <c r="M407" s="24" t="s">
        <v>4452</v>
      </c>
      <c r="N407" s="23" t="s">
        <v>4453</v>
      </c>
      <c r="O407" s="24" t="s">
        <v>4454</v>
      </c>
      <c r="P407" s="24" t="s">
        <v>4435</v>
      </c>
      <c r="Q407" s="24" t="s">
        <v>4455</v>
      </c>
      <c r="R407" s="24"/>
      <c r="S407" s="24" t="s">
        <v>4447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174</v>
      </c>
      <c r="Y407" s="23" t="s">
        <v>174</v>
      </c>
      <c r="Z407" s="23" t="s">
        <v>174</v>
      </c>
      <c r="AA407" s="23" t="s">
        <v>174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  <c r="AE407" s="24" t="str">
        <f aca="false">M407&amp;" | 전도서 7~11장 #"&amp;SUBSTITUTE(안내!$C$5," ","")</f>
        <v>좋은 날만 있으면 좋을 텐데 | 전도서 7~11장 #1분성경</v>
      </c>
      <c r="AF407" s="24" t="s">
        <v>304</v>
      </c>
      <c r="AG407" s="24"/>
      <c r="AH407" s="23" t="s">
        <v>290</v>
      </c>
      <c r="AI407" s="26" t="n">
        <f aca="false">U407-안내!$C$12</f>
        <v>46801</v>
      </c>
      <c r="AJ407" s="23" t="str">
        <f aca="false">IF(U407&lt;IF(C407=1,안내!$C$9,안내!$C$10)+안내!$C$12,"시즌 시작 전 제작","")</f>
        <v/>
      </c>
      <c r="AK407" s="24"/>
      <c r="AL407" s="27"/>
      <c r="AM407" s="27"/>
      <c r="AN407" s="27"/>
      <c r="AO407" s="27"/>
      <c r="AP407" s="27"/>
      <c r="AQ407" s="23" t="str">
        <f aca="false">D407&amp;"|"&amp;TEXT(U407,"yyyy-mm-dd")</f>
        <v>구약|2028-03-17</v>
      </c>
      <c r="AR407" s="24" t="s">
        <v>4456</v>
      </c>
      <c r="AS407" s="24"/>
    </row>
    <row r="408" customFormat="false" ht="26.85" hidden="false" customHeight="false" outlineLevel="0" collapsed="false">
      <c r="A408" s="21" t="n">
        <v>407</v>
      </c>
      <c r="B408" s="18" t="s">
        <v>4457</v>
      </c>
      <c r="C408" s="23" t="n">
        <v>2</v>
      </c>
      <c r="D408" s="23" t="s">
        <v>160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4418</v>
      </c>
      <c r="H408" s="18" t="s">
        <v>4419</v>
      </c>
      <c r="I408" s="21" t="s">
        <v>4420</v>
      </c>
      <c r="J408" s="22" t="s">
        <v>4458</v>
      </c>
      <c r="K408" s="23" t="s">
        <v>1370</v>
      </c>
      <c r="L408" s="24" t="s">
        <v>4459</v>
      </c>
      <c r="M408" s="24" t="s">
        <v>4460</v>
      </c>
      <c r="N408" s="23" t="s">
        <v>4461</v>
      </c>
      <c r="O408" s="24" t="s">
        <v>4462</v>
      </c>
      <c r="P408" s="24" t="s">
        <v>4463</v>
      </c>
      <c r="Q408" s="24" t="s">
        <v>4464</v>
      </c>
      <c r="R408" s="24"/>
      <c r="S408" s="24" t="s">
        <v>4447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174</v>
      </c>
      <c r="Y408" s="23" t="s">
        <v>174</v>
      </c>
      <c r="Z408" s="23" t="s">
        <v>174</v>
      </c>
      <c r="AA408" s="23" t="s">
        <v>174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  <c r="AE408" s="24" t="str">
        <f aca="false">M408&amp;" | 전도서 11~12장 #"&amp;SUBSTITUTE(안내!$C$5," ","")</f>
        <v>모든 것을 다 들어 본 마지막 결론 | 전도서 11~12장 #1분성경</v>
      </c>
      <c r="AF408" s="24" t="s">
        <v>304</v>
      </c>
      <c r="AG408" s="24"/>
      <c r="AH408" s="23" t="s">
        <v>290</v>
      </c>
      <c r="AI408" s="26" t="n">
        <f aca="false">U408-안내!$C$12</f>
        <v>46802</v>
      </c>
      <c r="AJ408" s="23" t="str">
        <f aca="false">IF(U408&lt;IF(C408=1,안내!$C$9,안내!$C$10)+안내!$C$12,"시즌 시작 전 제작","")</f>
        <v/>
      </c>
      <c r="AK408" s="24"/>
      <c r="AL408" s="27"/>
      <c r="AM408" s="27"/>
      <c r="AN408" s="27"/>
      <c r="AO408" s="27"/>
      <c r="AP408" s="27"/>
      <c r="AQ408" s="23" t="str">
        <f aca="false">D408&amp;"|"&amp;TEXT(U408,"yyyy-mm-dd")</f>
        <v>구약|2028-03-18</v>
      </c>
      <c r="AR408" s="24" t="s">
        <v>4465</v>
      </c>
      <c r="AS408" s="24"/>
    </row>
    <row r="409" customFormat="false" ht="26.85" hidden="false" customHeight="false" outlineLevel="0" collapsed="false">
      <c r="A409" s="21" t="n">
        <v>408</v>
      </c>
      <c r="B409" s="18" t="s">
        <v>4466</v>
      </c>
      <c r="C409" s="23" t="n">
        <v>2</v>
      </c>
      <c r="D409" s="23" t="s">
        <v>160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4418</v>
      </c>
      <c r="H409" s="18" t="s">
        <v>4419</v>
      </c>
      <c r="I409" s="21" t="s">
        <v>4467</v>
      </c>
      <c r="J409" s="22" t="s">
        <v>4468</v>
      </c>
      <c r="K409" s="23" t="s">
        <v>1370</v>
      </c>
      <c r="L409" s="24" t="s">
        <v>4469</v>
      </c>
      <c r="M409" s="24" t="s">
        <v>4470</v>
      </c>
      <c r="N409" s="23" t="s">
        <v>4471</v>
      </c>
      <c r="O409" s="24" t="s">
        <v>4472</v>
      </c>
      <c r="P409" s="24" t="s">
        <v>4473</v>
      </c>
      <c r="Q409" s="24" t="s">
        <v>4474</v>
      </c>
      <c r="R409" s="25" t="s">
        <v>4475</v>
      </c>
      <c r="S409" s="24" t="s">
        <v>4447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174</v>
      </c>
      <c r="Y409" s="23" t="s">
        <v>174</v>
      </c>
      <c r="Z409" s="23" t="s">
        <v>174</v>
      </c>
      <c r="AA409" s="23" t="s">
        <v>174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  <c r="AE409" s="24" t="str">
        <f aca="false">M409&amp;" | 아가 1~3장 #"&amp;SUBSTITUTE(안내!$C$5," ","")</f>
        <v>사랑이 시작되는 이야기 | 아가 1~3장 #1분성경</v>
      </c>
      <c r="AF409" s="24" t="s">
        <v>304</v>
      </c>
      <c r="AG409" s="24"/>
      <c r="AH409" s="23" t="s">
        <v>290</v>
      </c>
      <c r="AI409" s="26" t="n">
        <f aca="false">U409-안내!$C$12</f>
        <v>46803</v>
      </c>
      <c r="AJ409" s="23" t="str">
        <f aca="false">IF(U409&lt;IF(C409=1,안내!$C$9,안내!$C$10)+안내!$C$12,"시즌 시작 전 제작","")</f>
        <v/>
      </c>
      <c r="AK409" s="24"/>
      <c r="AL409" s="27"/>
      <c r="AM409" s="27"/>
      <c r="AN409" s="27"/>
      <c r="AO409" s="27"/>
      <c r="AP409" s="27"/>
      <c r="AQ409" s="23" t="str">
        <f aca="false">D409&amp;"|"&amp;TEXT(U409,"yyyy-mm-dd")</f>
        <v>구약|2028-03-19</v>
      </c>
      <c r="AR409" s="24" t="s">
        <v>4476</v>
      </c>
      <c r="AS409" s="24"/>
    </row>
    <row r="410" customFormat="false" ht="26.85" hidden="false" customHeight="false" outlineLevel="0" collapsed="false">
      <c r="A410" s="21" t="n">
        <v>409</v>
      </c>
      <c r="B410" s="18" t="s">
        <v>4477</v>
      </c>
      <c r="C410" s="23" t="n">
        <v>2</v>
      </c>
      <c r="D410" s="23" t="s">
        <v>160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4418</v>
      </c>
      <c r="H410" s="18" t="s">
        <v>4419</v>
      </c>
      <c r="I410" s="21" t="s">
        <v>4467</v>
      </c>
      <c r="J410" s="22" t="s">
        <v>4478</v>
      </c>
      <c r="K410" s="23" t="s">
        <v>1370</v>
      </c>
      <c r="L410" s="24" t="s">
        <v>4479</v>
      </c>
      <c r="M410" s="24" t="s">
        <v>4480</v>
      </c>
      <c r="N410" s="23" t="s">
        <v>4481</v>
      </c>
      <c r="O410" s="24" t="s">
        <v>4482</v>
      </c>
      <c r="P410" s="24" t="s">
        <v>4473</v>
      </c>
      <c r="Q410" s="24" t="s">
        <v>4483</v>
      </c>
      <c r="R410" s="25" t="s">
        <v>4484</v>
      </c>
      <c r="S410" s="24" t="s">
        <v>4447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174</v>
      </c>
      <c r="Y410" s="23" t="s">
        <v>174</v>
      </c>
      <c r="Z410" s="23" t="s">
        <v>174</v>
      </c>
      <c r="AA410" s="23" t="s">
        <v>174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  <c r="AE410" s="24" t="str">
        <f aca="false">M410&amp;" | 아가 3~5장 #"&amp;SUBSTITUTE(안내!$C$5," ","")</f>
        <v>왕의 혼인 행렬 | 아가 3~5장 #1분성경</v>
      </c>
      <c r="AF410" s="24" t="s">
        <v>304</v>
      </c>
      <c r="AG410" s="24"/>
      <c r="AH410" s="23" t="s">
        <v>290</v>
      </c>
      <c r="AI410" s="26" t="n">
        <f aca="false">U410-안내!$C$12</f>
        <v>46804</v>
      </c>
      <c r="AJ410" s="23" t="str">
        <f aca="false">IF(U410&lt;IF(C410=1,안내!$C$9,안내!$C$10)+안내!$C$12,"시즌 시작 전 제작","")</f>
        <v/>
      </c>
      <c r="AK410" s="24"/>
      <c r="AL410" s="27"/>
      <c r="AM410" s="27"/>
      <c r="AN410" s="27"/>
      <c r="AO410" s="27"/>
      <c r="AP410" s="27"/>
      <c r="AQ410" s="23" t="str">
        <f aca="false">D410&amp;"|"&amp;TEXT(U410,"yyyy-mm-dd")</f>
        <v>구약|2028-03-20</v>
      </c>
      <c r="AR410" s="24" t="s">
        <v>4485</v>
      </c>
      <c r="AS410" s="24"/>
    </row>
    <row r="411" customFormat="false" ht="26.85" hidden="false" customHeight="false" outlineLevel="0" collapsed="false">
      <c r="A411" s="21" t="n">
        <v>410</v>
      </c>
      <c r="B411" s="18" t="s">
        <v>4486</v>
      </c>
      <c r="C411" s="23" t="n">
        <v>2</v>
      </c>
      <c r="D411" s="23" t="s">
        <v>160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4418</v>
      </c>
      <c r="H411" s="18" t="s">
        <v>4419</v>
      </c>
      <c r="I411" s="21" t="s">
        <v>4467</v>
      </c>
      <c r="J411" s="22" t="s">
        <v>4487</v>
      </c>
      <c r="K411" s="23" t="s">
        <v>1370</v>
      </c>
      <c r="L411" s="24" t="s">
        <v>4488</v>
      </c>
      <c r="M411" s="24" t="s">
        <v>4489</v>
      </c>
      <c r="N411" s="23" t="s">
        <v>4490</v>
      </c>
      <c r="O411" s="24" t="s">
        <v>4491</v>
      </c>
      <c r="P411" s="24" t="s">
        <v>4473</v>
      </c>
      <c r="Q411" s="24" t="s">
        <v>4492</v>
      </c>
      <c r="R411" s="25" t="s">
        <v>4493</v>
      </c>
      <c r="S411" s="24" t="s">
        <v>4447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174</v>
      </c>
      <c r="Y411" s="23" t="s">
        <v>174</v>
      </c>
      <c r="Z411" s="23" t="s">
        <v>174</v>
      </c>
      <c r="AA411" s="23" t="s">
        <v>174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  <c r="AE411" s="24" t="str">
        <f aca="false">M411&amp;" | 아가 5~8장 #"&amp;SUBSTITUTE(안내!$C$5," ","")</f>
        <v>많은 물도 끄지 못하는 사랑 | 아가 5~8장 #1분성경</v>
      </c>
      <c r="AF411" s="24" t="s">
        <v>304</v>
      </c>
      <c r="AG411" s="24"/>
      <c r="AH411" s="23" t="s">
        <v>290</v>
      </c>
      <c r="AI411" s="26" t="n">
        <f aca="false">U411-안내!$C$12</f>
        <v>46805</v>
      </c>
      <c r="AJ411" s="23" t="str">
        <f aca="false">IF(U411&lt;IF(C411=1,안내!$C$9,안내!$C$10)+안내!$C$12,"시즌 시작 전 제작","")</f>
        <v/>
      </c>
      <c r="AK411" s="24"/>
      <c r="AL411" s="27"/>
      <c r="AM411" s="27"/>
      <c r="AN411" s="27"/>
      <c r="AO411" s="27"/>
      <c r="AP411" s="27"/>
      <c r="AQ411" s="23" t="str">
        <f aca="false">D411&amp;"|"&amp;TEXT(U411,"yyyy-mm-dd")</f>
        <v>구약|2028-03-21</v>
      </c>
      <c r="AR411" s="24" t="s">
        <v>4494</v>
      </c>
      <c r="AS411" s="24"/>
    </row>
    <row r="412" customFormat="false" ht="39.55" hidden="false" customHeight="false" outlineLevel="0" collapsed="false">
      <c r="A412" s="21" t="n">
        <v>411</v>
      </c>
      <c r="B412" s="18" t="s">
        <v>4495</v>
      </c>
      <c r="C412" s="23" t="n">
        <v>2</v>
      </c>
      <c r="D412" s="23" t="s">
        <v>160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4496</v>
      </c>
      <c r="H412" s="18" t="s">
        <v>4419</v>
      </c>
      <c r="I412" s="21" t="s">
        <v>4497</v>
      </c>
      <c r="J412" s="22" t="s">
        <v>4498</v>
      </c>
      <c r="K412" s="23" t="s">
        <v>1370</v>
      </c>
      <c r="L412" s="24" t="s">
        <v>4499</v>
      </c>
      <c r="M412" s="24" t="s">
        <v>4500</v>
      </c>
      <c r="N412" s="23" t="s">
        <v>4501</v>
      </c>
      <c r="O412" s="24" t="s">
        <v>4502</v>
      </c>
      <c r="P412" s="24" t="s">
        <v>4503</v>
      </c>
      <c r="Q412" s="24" t="s">
        <v>4504</v>
      </c>
      <c r="R412" s="24"/>
      <c r="S412" s="24" t="s">
        <v>4447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174</v>
      </c>
      <c r="Y412" s="23" t="s">
        <v>174</v>
      </c>
      <c r="Z412" s="23" t="s">
        <v>174</v>
      </c>
      <c r="AA412" s="23" t="s">
        <v>174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  <c r="AE412" s="24" t="str">
        <f aca="false">M412&amp;" | 이사야 1장 #"&amp;SUBSTITUTE(안내!$C$5," ","")</f>
        <v>주홍빛 죄가 눈처럼 희어진다? | 이사야 1장 #1분성경</v>
      </c>
      <c r="AF412" s="24" t="s">
        <v>304</v>
      </c>
      <c r="AG412" s="24"/>
      <c r="AH412" s="23" t="s">
        <v>176</v>
      </c>
      <c r="AI412" s="26" t="n">
        <f aca="false">U412-안내!$C$12</f>
        <v>46806</v>
      </c>
      <c r="AJ412" s="23" t="str">
        <f aca="false">IF(U412&lt;IF(C412=1,안내!$C$9,안내!$C$10)+안내!$C$12,"시즌 시작 전 제작","")</f>
        <v/>
      </c>
      <c r="AK412" s="24"/>
      <c r="AL412" s="27"/>
      <c r="AM412" s="27"/>
      <c r="AN412" s="27"/>
      <c r="AO412" s="27"/>
      <c r="AP412" s="27"/>
      <c r="AQ412" s="23" t="str">
        <f aca="false">D412&amp;"|"&amp;TEXT(U412,"yyyy-mm-dd")</f>
        <v>구약|2028-03-22</v>
      </c>
      <c r="AR412" s="24" t="s">
        <v>4505</v>
      </c>
      <c r="AS412" s="24" t="s">
        <v>292</v>
      </c>
    </row>
    <row r="413" customFormat="false" ht="39.55" hidden="false" customHeight="false" outlineLevel="0" collapsed="false">
      <c r="A413" s="21" t="n">
        <v>412</v>
      </c>
      <c r="B413" s="18" t="s">
        <v>4506</v>
      </c>
      <c r="C413" s="23" t="n">
        <v>2</v>
      </c>
      <c r="D413" s="23" t="s">
        <v>160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4496</v>
      </c>
      <c r="H413" s="18" t="s">
        <v>4419</v>
      </c>
      <c r="I413" s="21" t="s">
        <v>4497</v>
      </c>
      <c r="J413" s="22" t="s">
        <v>4507</v>
      </c>
      <c r="K413" s="23" t="s">
        <v>1370</v>
      </c>
      <c r="L413" s="24" t="s">
        <v>4508</v>
      </c>
      <c r="M413" s="24" t="s">
        <v>4509</v>
      </c>
      <c r="N413" s="23" t="s">
        <v>4510</v>
      </c>
      <c r="O413" s="24" t="s">
        <v>4511</v>
      </c>
      <c r="P413" s="24" t="s">
        <v>4512</v>
      </c>
      <c r="Q413" s="24" t="s">
        <v>4513</v>
      </c>
      <c r="R413" s="24"/>
      <c r="S413" s="24" t="s">
        <v>4447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174</v>
      </c>
      <c r="Y413" s="23" t="s">
        <v>174</v>
      </c>
      <c r="Z413" s="23" t="s">
        <v>174</v>
      </c>
      <c r="AA413" s="23" t="s">
        <v>174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  <c r="AE413" s="24" t="str">
        <f aca="false">M413&amp;" | 이사야 2~5장 #"&amp;SUBSTITUTE(안내!$C$5," ","")</f>
        <v>전쟁 무기가 농기구가 되는 날 | 이사야 2~5장 #1분성경</v>
      </c>
      <c r="AF413" s="24" t="s">
        <v>304</v>
      </c>
      <c r="AG413" s="24"/>
      <c r="AH413" s="23" t="s">
        <v>290</v>
      </c>
      <c r="AI413" s="26" t="n">
        <f aca="false">U413-안내!$C$12</f>
        <v>46807</v>
      </c>
      <c r="AJ413" s="23" t="str">
        <f aca="false">IF(U413&lt;IF(C413=1,안내!$C$9,안내!$C$10)+안내!$C$12,"시즌 시작 전 제작","")</f>
        <v/>
      </c>
      <c r="AK413" s="24"/>
      <c r="AL413" s="27"/>
      <c r="AM413" s="27"/>
      <c r="AN413" s="27"/>
      <c r="AO413" s="27"/>
      <c r="AP413" s="27"/>
      <c r="AQ413" s="23" t="str">
        <f aca="false">D413&amp;"|"&amp;TEXT(U413,"yyyy-mm-dd")</f>
        <v>구약|2028-03-23</v>
      </c>
      <c r="AR413" s="24" t="s">
        <v>4514</v>
      </c>
      <c r="AS413" s="24"/>
    </row>
    <row r="414" customFormat="false" ht="52.2" hidden="false" customHeight="false" outlineLevel="0" collapsed="false">
      <c r="A414" s="21" t="n">
        <v>413</v>
      </c>
      <c r="B414" s="18" t="s">
        <v>4515</v>
      </c>
      <c r="C414" s="20" t="n">
        <v>1</v>
      </c>
      <c r="D414" s="20" t="s">
        <v>160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4496</v>
      </c>
      <c r="H414" s="18" t="s">
        <v>4516</v>
      </c>
      <c r="I414" s="21" t="s">
        <v>4497</v>
      </c>
      <c r="J414" s="22" t="s">
        <v>4517</v>
      </c>
      <c r="K414" s="23" t="s">
        <v>1370</v>
      </c>
      <c r="L414" s="24" t="s">
        <v>4518</v>
      </c>
      <c r="M414" s="24" t="s">
        <v>4519</v>
      </c>
      <c r="N414" s="23" t="s">
        <v>4520</v>
      </c>
      <c r="O414" s="24" t="s">
        <v>4521</v>
      </c>
      <c r="P414" s="24" t="s">
        <v>4522</v>
      </c>
      <c r="Q414" s="24" t="s">
        <v>4523</v>
      </c>
      <c r="R414" s="25" t="s">
        <v>4524</v>
      </c>
      <c r="S414" s="29" t="s">
        <v>4525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174</v>
      </c>
      <c r="Y414" s="23" t="s">
        <v>174</v>
      </c>
      <c r="Z414" s="23" t="s">
        <v>174</v>
      </c>
      <c r="AA414" s="23" t="s">
        <v>174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  <c r="AE414" s="24" t="str">
        <f aca="false">M414&amp;" | 이사야 6장 #"&amp;SUBSTITUTE(안내!$C$5," ","")</f>
        <v>하늘 보좌를 본 사람 | 이사야 6장 #1분성경</v>
      </c>
      <c r="AF414" s="24" t="s">
        <v>4526</v>
      </c>
      <c r="AG414" s="24"/>
      <c r="AH414" s="23" t="s">
        <v>290</v>
      </c>
      <c r="AI414" s="26" t="n">
        <f aca="false">U414-안내!$C$12</f>
        <v>46519</v>
      </c>
      <c r="AJ414" s="23" t="str">
        <f aca="false">IF(U414&lt;IF(C414=1,안내!$C$9,안내!$C$10)+안내!$C$12,"시즌 시작 전 제작","")</f>
        <v/>
      </c>
      <c r="AK414" s="24"/>
      <c r="AL414" s="27"/>
      <c r="AM414" s="27"/>
      <c r="AN414" s="27"/>
      <c r="AO414" s="27"/>
      <c r="AP414" s="27"/>
      <c r="AQ414" s="23" t="str">
        <f aca="false">D414&amp;"|"&amp;TEXT(U414,"yyyy-mm-dd")</f>
        <v>구약|2027-06-09</v>
      </c>
      <c r="AR414" s="24" t="s">
        <v>4527</v>
      </c>
      <c r="AS414" s="24"/>
    </row>
    <row r="415" customFormat="false" ht="26.85" hidden="false" customHeight="false" outlineLevel="0" collapsed="false">
      <c r="A415" s="21" t="n">
        <v>414</v>
      </c>
      <c r="B415" s="18" t="s">
        <v>4528</v>
      </c>
      <c r="C415" s="20" t="n">
        <v>1</v>
      </c>
      <c r="D415" s="20" t="s">
        <v>160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4496</v>
      </c>
      <c r="H415" s="18" t="s">
        <v>4516</v>
      </c>
      <c r="I415" s="21" t="s">
        <v>4497</v>
      </c>
      <c r="J415" s="22" t="s">
        <v>4529</v>
      </c>
      <c r="K415" s="23" t="s">
        <v>1370</v>
      </c>
      <c r="L415" s="24" t="s">
        <v>4530</v>
      </c>
      <c r="M415" s="24" t="s">
        <v>4531</v>
      </c>
      <c r="N415" s="23" t="s">
        <v>4532</v>
      </c>
      <c r="O415" s="24" t="s">
        <v>4533</v>
      </c>
      <c r="P415" s="24" t="s">
        <v>4534</v>
      </c>
      <c r="Q415" s="24" t="s">
        <v>4535</v>
      </c>
      <c r="R415" s="25" t="s">
        <v>4536</v>
      </c>
      <c r="S415" s="24" t="s">
        <v>173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174</v>
      </c>
      <c r="Y415" s="23" t="s">
        <v>174</v>
      </c>
      <c r="Z415" s="23" t="s">
        <v>174</v>
      </c>
      <c r="AA415" s="23" t="s">
        <v>174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  <c r="AE415" s="24" t="str">
        <f aca="false">M415&amp;" | 이사야 7장 #"&amp;SUBSTITUTE(안내!$C$5," ","")</f>
        <v>처녀가 아들을 낳을 것이라 | 이사야 7장 #1분성경</v>
      </c>
      <c r="AF415" s="24" t="s">
        <v>4537</v>
      </c>
      <c r="AG415" s="24"/>
      <c r="AH415" s="23" t="s">
        <v>290</v>
      </c>
      <c r="AI415" s="26" t="n">
        <f aca="false">U415-안내!$C$12</f>
        <v>46520</v>
      </c>
      <c r="AJ415" s="23" t="str">
        <f aca="false">IF(U415&lt;IF(C415=1,안내!$C$9,안내!$C$10)+안내!$C$12,"시즌 시작 전 제작","")</f>
        <v/>
      </c>
      <c r="AK415" s="24"/>
      <c r="AL415" s="27"/>
      <c r="AM415" s="27"/>
      <c r="AN415" s="27"/>
      <c r="AO415" s="27"/>
      <c r="AP415" s="27"/>
      <c r="AQ415" s="23" t="str">
        <f aca="false">D415&amp;"|"&amp;TEXT(U415,"yyyy-mm-dd")</f>
        <v>구약|2027-06-10</v>
      </c>
      <c r="AR415" s="24" t="s">
        <v>4538</v>
      </c>
      <c r="AS415" s="24"/>
    </row>
    <row r="416" customFormat="false" ht="39.55" hidden="false" customHeight="false" outlineLevel="0" collapsed="false">
      <c r="A416" s="21" t="n">
        <v>415</v>
      </c>
      <c r="B416" s="18" t="s">
        <v>4539</v>
      </c>
      <c r="C416" s="20" t="n">
        <v>1</v>
      </c>
      <c r="D416" s="20" t="s">
        <v>160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4496</v>
      </c>
      <c r="H416" s="18" t="s">
        <v>4516</v>
      </c>
      <c r="I416" s="21" t="s">
        <v>4497</v>
      </c>
      <c r="J416" s="22" t="s">
        <v>4540</v>
      </c>
      <c r="K416" s="23" t="s">
        <v>1370</v>
      </c>
      <c r="L416" s="24" t="s">
        <v>4541</v>
      </c>
      <c r="M416" s="24" t="s">
        <v>4542</v>
      </c>
      <c r="N416" s="23" t="s">
        <v>4543</v>
      </c>
      <c r="O416" s="24" t="s">
        <v>4544</v>
      </c>
      <c r="P416" s="24" t="s">
        <v>4497</v>
      </c>
      <c r="Q416" s="24" t="s">
        <v>4545</v>
      </c>
      <c r="R416" s="25" t="s">
        <v>4546</v>
      </c>
      <c r="S416" s="24" t="s">
        <v>173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174</v>
      </c>
      <c r="Y416" s="23" t="s">
        <v>174</v>
      </c>
      <c r="Z416" s="23" t="s">
        <v>174</v>
      </c>
      <c r="AA416" s="23" t="s">
        <v>174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  <c r="AE416" s="24" t="str">
        <f aca="false">M416&amp;" | 이사야 8~9장 #"&amp;SUBSTITUTE(안내!$C$5," ","")</f>
        <v>기묘자, 모사, 전능하신 하나님 | 이사야 8~9장 #1분성경</v>
      </c>
      <c r="AF416" s="24" t="s">
        <v>4547</v>
      </c>
      <c r="AG416" s="24"/>
      <c r="AH416" s="23" t="s">
        <v>290</v>
      </c>
      <c r="AI416" s="26" t="n">
        <f aca="false">U416-안내!$C$12</f>
        <v>46521</v>
      </c>
      <c r="AJ416" s="23" t="str">
        <f aca="false">IF(U416&lt;IF(C416=1,안내!$C$9,안내!$C$10)+안내!$C$12,"시즌 시작 전 제작","")</f>
        <v/>
      </c>
      <c r="AK416" s="24"/>
      <c r="AL416" s="27"/>
      <c r="AM416" s="27"/>
      <c r="AN416" s="27"/>
      <c r="AO416" s="27"/>
      <c r="AP416" s="27"/>
      <c r="AQ416" s="23" t="str">
        <f aca="false">D416&amp;"|"&amp;TEXT(U416,"yyyy-mm-dd")</f>
        <v>구약|2027-06-11</v>
      </c>
      <c r="AR416" s="24" t="s">
        <v>4548</v>
      </c>
      <c r="AS416" s="24"/>
    </row>
    <row r="417" customFormat="false" ht="26.85" hidden="false" customHeight="false" outlineLevel="0" collapsed="false">
      <c r="A417" s="21" t="n">
        <v>416</v>
      </c>
      <c r="B417" s="18" t="s">
        <v>4549</v>
      </c>
      <c r="C417" s="23" t="n">
        <v>2</v>
      </c>
      <c r="D417" s="23" t="s">
        <v>160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4496</v>
      </c>
      <c r="H417" s="18" t="s">
        <v>4419</v>
      </c>
      <c r="I417" s="21" t="s">
        <v>4497</v>
      </c>
      <c r="J417" s="22" t="s">
        <v>4550</v>
      </c>
      <c r="K417" s="23" t="s">
        <v>1370</v>
      </c>
      <c r="L417" s="24" t="s">
        <v>4551</v>
      </c>
      <c r="M417" s="24" t="s">
        <v>4552</v>
      </c>
      <c r="N417" s="23" t="s">
        <v>4553</v>
      </c>
      <c r="O417" s="24" t="s">
        <v>4554</v>
      </c>
      <c r="P417" s="24" t="s">
        <v>4555</v>
      </c>
      <c r="Q417" s="24" t="s">
        <v>4556</v>
      </c>
      <c r="R417" s="24"/>
      <c r="S417" s="24" t="s">
        <v>4557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174</v>
      </c>
      <c r="Y417" s="23" t="s">
        <v>174</v>
      </c>
      <c r="Z417" s="23" t="s">
        <v>174</v>
      </c>
      <c r="AA417" s="23" t="s">
        <v>174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  <c r="AE417" s="24" t="str">
        <f aca="false">M417&amp;" | 이사야 9~10장 #"&amp;SUBSTITUTE(안내!$C$5," ","")</f>
        <v>앗수르조차 하나님의 손에 있다 | 이사야 9~10장 #1분성경</v>
      </c>
      <c r="AF417" s="24" t="s">
        <v>304</v>
      </c>
      <c r="AG417" s="24"/>
      <c r="AH417" s="23" t="s">
        <v>290</v>
      </c>
      <c r="AI417" s="26" t="n">
        <f aca="false">U417-안내!$C$12</f>
        <v>46808</v>
      </c>
      <c r="AJ417" s="23" t="str">
        <f aca="false">IF(U417&lt;IF(C417=1,안내!$C$9,안내!$C$10)+안내!$C$12,"시즌 시작 전 제작","")</f>
        <v/>
      </c>
      <c r="AK417" s="24"/>
      <c r="AL417" s="27"/>
      <c r="AM417" s="27"/>
      <c r="AN417" s="27"/>
      <c r="AO417" s="27"/>
      <c r="AP417" s="27"/>
      <c r="AQ417" s="23" t="str">
        <f aca="false">D417&amp;"|"&amp;TEXT(U417,"yyyy-mm-dd")</f>
        <v>구약|2028-03-24</v>
      </c>
      <c r="AR417" s="24" t="s">
        <v>4558</v>
      </c>
      <c r="AS417" s="24"/>
    </row>
    <row r="418" customFormat="false" ht="26.85" hidden="false" customHeight="false" outlineLevel="0" collapsed="false">
      <c r="A418" s="21" t="n">
        <v>417</v>
      </c>
      <c r="B418" s="18" t="s">
        <v>4559</v>
      </c>
      <c r="C418" s="23" t="n">
        <v>2</v>
      </c>
      <c r="D418" s="23" t="s">
        <v>160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4496</v>
      </c>
      <c r="H418" s="18" t="s">
        <v>4419</v>
      </c>
      <c r="I418" s="21" t="s">
        <v>4497</v>
      </c>
      <c r="J418" s="22" t="s">
        <v>4560</v>
      </c>
      <c r="K418" s="23" t="s">
        <v>1370</v>
      </c>
      <c r="L418" s="24" t="s">
        <v>4561</v>
      </c>
      <c r="M418" s="24" t="s">
        <v>4562</v>
      </c>
      <c r="N418" s="23" t="s">
        <v>4563</v>
      </c>
      <c r="O418" s="24" t="s">
        <v>4564</v>
      </c>
      <c r="P418" s="24" t="s">
        <v>4565</v>
      </c>
      <c r="Q418" s="24" t="s">
        <v>4566</v>
      </c>
      <c r="R418" s="24"/>
      <c r="S418" s="24" t="s">
        <v>4557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174</v>
      </c>
      <c r="Y418" s="23" t="s">
        <v>174</v>
      </c>
      <c r="Z418" s="23" t="s">
        <v>174</v>
      </c>
      <c r="AA418" s="23" t="s">
        <v>174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  <c r="AE418" s="24" t="str">
        <f aca="false">M418&amp;" | 이사야 11장 #"&amp;SUBSTITUTE(안내!$C$5," ","")</f>
        <v>늑대와 어린양이 함께 눕는 나라 | 이사야 11장 #1분성경</v>
      </c>
      <c r="AF418" s="24" t="s">
        <v>304</v>
      </c>
      <c r="AG418" s="24"/>
      <c r="AH418" s="23" t="s">
        <v>290</v>
      </c>
      <c r="AI418" s="26" t="n">
        <f aca="false">U418-안내!$C$12</f>
        <v>46809</v>
      </c>
      <c r="AJ418" s="23" t="str">
        <f aca="false">IF(U418&lt;IF(C418=1,안내!$C$9,안내!$C$10)+안내!$C$12,"시즌 시작 전 제작","")</f>
        <v/>
      </c>
      <c r="AK418" s="24"/>
      <c r="AL418" s="27"/>
      <c r="AM418" s="27"/>
      <c r="AN418" s="27"/>
      <c r="AO418" s="27"/>
      <c r="AP418" s="27"/>
      <c r="AQ418" s="23" t="str">
        <f aca="false">D418&amp;"|"&amp;TEXT(U418,"yyyy-mm-dd")</f>
        <v>구약|2028-03-25</v>
      </c>
      <c r="AR418" s="24" t="s">
        <v>4567</v>
      </c>
      <c r="AS418" s="24"/>
    </row>
    <row r="419" customFormat="false" ht="26.85" hidden="false" customHeight="false" outlineLevel="0" collapsed="false">
      <c r="A419" s="21" t="n">
        <v>418</v>
      </c>
      <c r="B419" s="18" t="s">
        <v>4568</v>
      </c>
      <c r="C419" s="23" t="n">
        <v>2</v>
      </c>
      <c r="D419" s="23" t="s">
        <v>160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4496</v>
      </c>
      <c r="H419" s="18" t="s">
        <v>4419</v>
      </c>
      <c r="I419" s="21" t="s">
        <v>4497</v>
      </c>
      <c r="J419" s="22" t="s">
        <v>4569</v>
      </c>
      <c r="K419" s="23" t="s">
        <v>1370</v>
      </c>
      <c r="L419" s="24" t="s">
        <v>4570</v>
      </c>
      <c r="M419" s="24" t="s">
        <v>4571</v>
      </c>
      <c r="N419" s="23" t="s">
        <v>4572</v>
      </c>
      <c r="O419" s="24" t="s">
        <v>4573</v>
      </c>
      <c r="P419" s="24" t="s">
        <v>4574</v>
      </c>
      <c r="Q419" s="24" t="s">
        <v>4575</v>
      </c>
      <c r="R419" s="24"/>
      <c r="S419" s="24" t="s">
        <v>4557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174</v>
      </c>
      <c r="Y419" s="23" t="s">
        <v>174</v>
      </c>
      <c r="Z419" s="23" t="s">
        <v>174</v>
      </c>
      <c r="AA419" s="23" t="s">
        <v>174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  <c r="AE419" s="24" t="str">
        <f aca="false">M419&amp;" | 이사야 12장 #"&amp;SUBSTITUTE(안내!$C$5," ","")</f>
        <v>기쁨으로 구원의 우물에서 물을 길으리라 | 이사야 12장 #1분성경</v>
      </c>
      <c r="AF419" s="24" t="s">
        <v>304</v>
      </c>
      <c r="AG419" s="24"/>
      <c r="AH419" s="23" t="s">
        <v>290</v>
      </c>
      <c r="AI419" s="26" t="n">
        <f aca="false">U419-안내!$C$12</f>
        <v>46810</v>
      </c>
      <c r="AJ419" s="23" t="str">
        <f aca="false">IF(U419&lt;IF(C419=1,안내!$C$9,안내!$C$10)+안내!$C$12,"시즌 시작 전 제작","")</f>
        <v/>
      </c>
      <c r="AK419" s="24"/>
      <c r="AL419" s="27"/>
      <c r="AM419" s="27"/>
      <c r="AN419" s="27"/>
      <c r="AO419" s="27"/>
      <c r="AP419" s="27"/>
      <c r="AQ419" s="23" t="str">
        <f aca="false">D419&amp;"|"&amp;TEXT(U419,"yyyy-mm-dd")</f>
        <v>구약|2028-03-26</v>
      </c>
      <c r="AR419" s="24" t="s">
        <v>4576</v>
      </c>
      <c r="AS419" s="24"/>
    </row>
    <row r="420" customFormat="false" ht="26.85" hidden="false" customHeight="false" outlineLevel="0" collapsed="false">
      <c r="A420" s="21" t="n">
        <v>419</v>
      </c>
      <c r="B420" s="18" t="s">
        <v>4577</v>
      </c>
      <c r="C420" s="23" t="n">
        <v>2</v>
      </c>
      <c r="D420" s="23" t="s">
        <v>160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4578</v>
      </c>
      <c r="H420" s="18" t="s">
        <v>4579</v>
      </c>
      <c r="I420" s="21" t="s">
        <v>4497</v>
      </c>
      <c r="J420" s="22" t="s">
        <v>4580</v>
      </c>
      <c r="K420" s="23" t="s">
        <v>1370</v>
      </c>
      <c r="L420" s="24" t="s">
        <v>4581</v>
      </c>
      <c r="M420" s="24" t="s">
        <v>4582</v>
      </c>
      <c r="N420" s="23" t="s">
        <v>4583</v>
      </c>
      <c r="O420" s="24" t="s">
        <v>4584</v>
      </c>
      <c r="P420" s="24" t="s">
        <v>4497</v>
      </c>
      <c r="Q420" s="24" t="s">
        <v>4585</v>
      </c>
      <c r="R420" s="28" t="s">
        <v>4586</v>
      </c>
      <c r="S420" s="24" t="s">
        <v>4557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174</v>
      </c>
      <c r="Y420" s="23" t="s">
        <v>174</v>
      </c>
      <c r="Z420" s="23" t="s">
        <v>174</v>
      </c>
      <c r="AA420" s="23" t="s">
        <v>174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  <c r="AE420" s="24" t="str">
        <f aca="false">M420&amp;" | 이사야 13~23장 #"&amp;SUBSTITUTE(안내!$C$5," ","")</f>
        <v>바벨론, 모압, 애굽까지 | 이사야 13~23장 #1분성경</v>
      </c>
      <c r="AF420" s="24" t="s">
        <v>304</v>
      </c>
      <c r="AG420" s="24"/>
      <c r="AH420" s="23" t="s">
        <v>290</v>
      </c>
      <c r="AI420" s="26" t="n">
        <f aca="false">U420-안내!$C$12</f>
        <v>46811</v>
      </c>
      <c r="AJ420" s="23" t="str">
        <f aca="false">IF(U420&lt;IF(C420=1,안내!$C$9,안내!$C$10)+안내!$C$12,"시즌 시작 전 제작","")</f>
        <v/>
      </c>
      <c r="AK420" s="24"/>
      <c r="AL420" s="27"/>
      <c r="AM420" s="27"/>
      <c r="AN420" s="27"/>
      <c r="AO420" s="27"/>
      <c r="AP420" s="27"/>
      <c r="AQ420" s="23" t="str">
        <f aca="false">D420&amp;"|"&amp;TEXT(U420,"yyyy-mm-dd")</f>
        <v>구약|2028-03-27</v>
      </c>
      <c r="AR420" s="24" t="s">
        <v>4587</v>
      </c>
      <c r="AS420" s="24"/>
    </row>
    <row r="421" customFormat="false" ht="39.55" hidden="false" customHeight="false" outlineLevel="0" collapsed="false">
      <c r="A421" s="21" t="n">
        <v>420</v>
      </c>
      <c r="B421" s="18" t="s">
        <v>4588</v>
      </c>
      <c r="C421" s="23" t="n">
        <v>2</v>
      </c>
      <c r="D421" s="23" t="s">
        <v>160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4578</v>
      </c>
      <c r="H421" s="18" t="s">
        <v>4579</v>
      </c>
      <c r="I421" s="21" t="s">
        <v>4497</v>
      </c>
      <c r="J421" s="22" t="s">
        <v>4589</v>
      </c>
      <c r="K421" s="23" t="s">
        <v>1370</v>
      </c>
      <c r="L421" s="24" t="s">
        <v>4590</v>
      </c>
      <c r="M421" s="24" t="s">
        <v>4591</v>
      </c>
      <c r="N421" s="23" t="s">
        <v>4592</v>
      </c>
      <c r="O421" s="24" t="s">
        <v>4593</v>
      </c>
      <c r="P421" s="24" t="s">
        <v>4497</v>
      </c>
      <c r="Q421" s="24" t="s">
        <v>4594</v>
      </c>
      <c r="R421" s="25" t="s">
        <v>4595</v>
      </c>
      <c r="S421" s="24" t="s">
        <v>4557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174</v>
      </c>
      <c r="Y421" s="23" t="s">
        <v>174</v>
      </c>
      <c r="Z421" s="23" t="s">
        <v>174</v>
      </c>
      <c r="AA421" s="23" t="s">
        <v>174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  <c r="AE421" s="24" t="str">
        <f aca="false">M421&amp;" | 이사야 24~27장 #"&amp;SUBSTITUTE(안내!$C$5," ","")</f>
        <v>눈물을 씻기시는 하나님 | 이사야 24~27장 #1분성경</v>
      </c>
      <c r="AF421" s="24" t="s">
        <v>304</v>
      </c>
      <c r="AG421" s="24"/>
      <c r="AH421" s="23" t="s">
        <v>290</v>
      </c>
      <c r="AI421" s="26" t="n">
        <f aca="false">U421-안내!$C$12</f>
        <v>46812</v>
      </c>
      <c r="AJ421" s="23" t="str">
        <f aca="false">IF(U421&lt;IF(C421=1,안내!$C$9,안내!$C$10)+안내!$C$12,"시즌 시작 전 제작","")</f>
        <v/>
      </c>
      <c r="AK421" s="24"/>
      <c r="AL421" s="27"/>
      <c r="AM421" s="27"/>
      <c r="AN421" s="27"/>
      <c r="AO421" s="27"/>
      <c r="AP421" s="27"/>
      <c r="AQ421" s="23" t="str">
        <f aca="false">D421&amp;"|"&amp;TEXT(U421,"yyyy-mm-dd")</f>
        <v>구약|2028-03-28</v>
      </c>
      <c r="AR421" s="24" t="s">
        <v>4596</v>
      </c>
      <c r="AS421" s="24"/>
    </row>
    <row r="422" customFormat="false" ht="39.55" hidden="false" customHeight="false" outlineLevel="0" collapsed="false">
      <c r="A422" s="21" t="n">
        <v>421</v>
      </c>
      <c r="B422" s="18" t="s">
        <v>4597</v>
      </c>
      <c r="C422" s="23" t="n">
        <v>2</v>
      </c>
      <c r="D422" s="23" t="s">
        <v>160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4578</v>
      </c>
      <c r="H422" s="18" t="s">
        <v>4579</v>
      </c>
      <c r="I422" s="21" t="s">
        <v>4497</v>
      </c>
      <c r="J422" s="22" t="s">
        <v>4598</v>
      </c>
      <c r="K422" s="23" t="s">
        <v>1370</v>
      </c>
      <c r="L422" s="24" t="s">
        <v>4599</v>
      </c>
      <c r="M422" s="24" t="s">
        <v>4600</v>
      </c>
      <c r="N422" s="23" t="s">
        <v>4601</v>
      </c>
      <c r="O422" s="24" t="s">
        <v>4602</v>
      </c>
      <c r="P422" s="24" t="s">
        <v>4497</v>
      </c>
      <c r="Q422" s="24" t="s">
        <v>4603</v>
      </c>
      <c r="R422" s="25" t="s">
        <v>4604</v>
      </c>
      <c r="S422" s="24" t="s">
        <v>4557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174</v>
      </c>
      <c r="Y422" s="23" t="s">
        <v>174</v>
      </c>
      <c r="Z422" s="23" t="s">
        <v>174</v>
      </c>
      <c r="AA422" s="23" t="s">
        <v>174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  <c r="AE422" s="24" t="str">
        <f aca="false">M422&amp;" | 이사야 28~33장 #"&amp;SUBSTITUTE(안내!$C$5," ","")</f>
        <v>흔들리지 않는 모퉁잇돌 | 이사야 28~33장 #1분성경</v>
      </c>
      <c r="AF422" s="24" t="s">
        <v>304</v>
      </c>
      <c r="AG422" s="24"/>
      <c r="AH422" s="23" t="s">
        <v>290</v>
      </c>
      <c r="AI422" s="26" t="n">
        <f aca="false">U422-안내!$C$12</f>
        <v>46813</v>
      </c>
      <c r="AJ422" s="23" t="str">
        <f aca="false">IF(U422&lt;IF(C422=1,안내!$C$9,안내!$C$10)+안내!$C$12,"시즌 시작 전 제작","")</f>
        <v/>
      </c>
      <c r="AK422" s="24"/>
      <c r="AL422" s="27"/>
      <c r="AM422" s="27"/>
      <c r="AN422" s="27"/>
      <c r="AO422" s="27"/>
      <c r="AP422" s="27"/>
      <c r="AQ422" s="23" t="str">
        <f aca="false">D422&amp;"|"&amp;TEXT(U422,"yyyy-mm-dd")</f>
        <v>구약|2028-03-29</v>
      </c>
      <c r="AR422" s="24" t="s">
        <v>4605</v>
      </c>
      <c r="AS422" s="24"/>
    </row>
    <row r="423" customFormat="false" ht="26.85" hidden="false" customHeight="false" outlineLevel="0" collapsed="false">
      <c r="A423" s="21" t="n">
        <v>422</v>
      </c>
      <c r="B423" s="18" t="s">
        <v>4606</v>
      </c>
      <c r="C423" s="23" t="n">
        <v>2</v>
      </c>
      <c r="D423" s="23" t="s">
        <v>160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4578</v>
      </c>
      <c r="H423" s="18" t="s">
        <v>4579</v>
      </c>
      <c r="I423" s="21" t="s">
        <v>4497</v>
      </c>
      <c r="J423" s="22" t="s">
        <v>4607</v>
      </c>
      <c r="K423" s="23" t="s">
        <v>1370</v>
      </c>
      <c r="L423" s="24" t="s">
        <v>4608</v>
      </c>
      <c r="M423" s="24" t="s">
        <v>4609</v>
      </c>
      <c r="N423" s="23" t="s">
        <v>4610</v>
      </c>
      <c r="O423" s="24" t="s">
        <v>4611</v>
      </c>
      <c r="P423" s="24" t="s">
        <v>4497</v>
      </c>
      <c r="Q423" s="24" t="s">
        <v>4612</v>
      </c>
      <c r="R423" s="25" t="s">
        <v>4613</v>
      </c>
      <c r="S423" s="24" t="s">
        <v>4557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174</v>
      </c>
      <c r="Y423" s="23" t="s">
        <v>174</v>
      </c>
      <c r="Z423" s="23" t="s">
        <v>174</v>
      </c>
      <c r="AA423" s="23" t="s">
        <v>174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  <c r="AE423" s="24" t="str">
        <f aca="false">M423&amp;" | 이사야 34~35장 #"&amp;SUBSTITUTE(안내!$C$5," ","")</f>
        <v>광야에 길이 나고 맹인의 눈이 밝아지리라 | 이사야 34~35장 #1분성경</v>
      </c>
      <c r="AF423" s="24" t="s">
        <v>304</v>
      </c>
      <c r="AG423" s="24"/>
      <c r="AH423" s="23" t="s">
        <v>290</v>
      </c>
      <c r="AI423" s="26" t="n">
        <f aca="false">U423-안내!$C$12</f>
        <v>46814</v>
      </c>
      <c r="AJ423" s="23" t="str">
        <f aca="false">IF(U423&lt;IF(C423=1,안내!$C$9,안내!$C$10)+안내!$C$12,"시즌 시작 전 제작","")</f>
        <v/>
      </c>
      <c r="AK423" s="24"/>
      <c r="AL423" s="27"/>
      <c r="AM423" s="27"/>
      <c r="AN423" s="27"/>
      <c r="AO423" s="27"/>
      <c r="AP423" s="27"/>
      <c r="AQ423" s="23" t="str">
        <f aca="false">D423&amp;"|"&amp;TEXT(U423,"yyyy-mm-dd")</f>
        <v>구약|2028-03-30</v>
      </c>
      <c r="AR423" s="24" t="s">
        <v>4614</v>
      </c>
      <c r="AS423" s="24"/>
    </row>
    <row r="424" customFormat="false" ht="26.85" hidden="false" customHeight="false" outlineLevel="0" collapsed="false">
      <c r="A424" s="21" t="n">
        <v>423</v>
      </c>
      <c r="B424" s="18" t="s">
        <v>4615</v>
      </c>
      <c r="C424" s="23" t="n">
        <v>2</v>
      </c>
      <c r="D424" s="23" t="s">
        <v>160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4578</v>
      </c>
      <c r="H424" s="18" t="s">
        <v>4579</v>
      </c>
      <c r="I424" s="21" t="s">
        <v>4497</v>
      </c>
      <c r="J424" s="22" t="s">
        <v>4616</v>
      </c>
      <c r="K424" s="23" t="s">
        <v>1370</v>
      </c>
      <c r="L424" s="24" t="s">
        <v>4617</v>
      </c>
      <c r="M424" s="24" t="s">
        <v>4618</v>
      </c>
      <c r="N424" s="23" t="s">
        <v>4619</v>
      </c>
      <c r="O424" s="24" t="s">
        <v>4620</v>
      </c>
      <c r="P424" s="24" t="s">
        <v>4621</v>
      </c>
      <c r="Q424" s="24" t="s">
        <v>4622</v>
      </c>
      <c r="R424" s="24"/>
      <c r="S424" s="24" t="s">
        <v>4557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174</v>
      </c>
      <c r="Y424" s="23" t="s">
        <v>174</v>
      </c>
      <c r="Z424" s="23" t="s">
        <v>174</v>
      </c>
      <c r="AA424" s="23" t="s">
        <v>174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  <c r="AE424" s="24" t="str">
        <f aca="false">M424&amp;" | 이사야 36~37장 #"&amp;SUBSTITUTE(안내!$C$5," ","")</f>
        <v>앗수르 왕의 편지를 하나님 앞에 펼치다 | 이사야 36~37장 #1분성경</v>
      </c>
      <c r="AF424" s="24" t="s">
        <v>304</v>
      </c>
      <c r="AG424" s="24"/>
      <c r="AH424" s="23" t="s">
        <v>290</v>
      </c>
      <c r="AI424" s="26" t="n">
        <f aca="false">U424-안내!$C$12</f>
        <v>46815</v>
      </c>
      <c r="AJ424" s="23" t="str">
        <f aca="false">IF(U424&lt;IF(C424=1,안내!$C$9,안내!$C$10)+안내!$C$12,"시즌 시작 전 제작","")</f>
        <v/>
      </c>
      <c r="AK424" s="24"/>
      <c r="AL424" s="27"/>
      <c r="AM424" s="27"/>
      <c r="AN424" s="27"/>
      <c r="AO424" s="27"/>
      <c r="AP424" s="27"/>
      <c r="AQ424" s="23" t="str">
        <f aca="false">D424&amp;"|"&amp;TEXT(U424,"yyyy-mm-dd")</f>
        <v>구약|2028-03-31</v>
      </c>
      <c r="AR424" s="24" t="s">
        <v>4623</v>
      </c>
      <c r="AS424" s="24"/>
    </row>
    <row r="425" customFormat="false" ht="39.55" hidden="false" customHeight="false" outlineLevel="0" collapsed="false">
      <c r="A425" s="21" t="n">
        <v>424</v>
      </c>
      <c r="B425" s="18" t="s">
        <v>4624</v>
      </c>
      <c r="C425" s="23" t="n">
        <v>2</v>
      </c>
      <c r="D425" s="23" t="s">
        <v>160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4578</v>
      </c>
      <c r="H425" s="18" t="s">
        <v>4579</v>
      </c>
      <c r="I425" s="21" t="s">
        <v>4497</v>
      </c>
      <c r="J425" s="22" t="s">
        <v>4625</v>
      </c>
      <c r="K425" s="23" t="s">
        <v>1370</v>
      </c>
      <c r="L425" s="24" t="s">
        <v>4626</v>
      </c>
      <c r="M425" s="24" t="s">
        <v>4627</v>
      </c>
      <c r="N425" s="23" t="s">
        <v>4628</v>
      </c>
      <c r="O425" s="24" t="s">
        <v>4629</v>
      </c>
      <c r="P425" s="24" t="s">
        <v>4630</v>
      </c>
      <c r="Q425" s="24" t="s">
        <v>4631</v>
      </c>
      <c r="R425" s="24"/>
      <c r="S425" s="24" t="s">
        <v>4557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174</v>
      </c>
      <c r="Y425" s="23" t="s">
        <v>174</v>
      </c>
      <c r="Z425" s="23" t="s">
        <v>174</v>
      </c>
      <c r="AA425" s="23" t="s">
        <v>174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  <c r="AE425" s="24" t="str">
        <f aca="false">M425&amp;" | 이사야 38~39장 #"&amp;SUBSTITUTE(안내!$C$5," ","")</f>
        <v>살려 주셨는데 교만해진 왕 | 이사야 38~39장 #1분성경</v>
      </c>
      <c r="AF425" s="24" t="s">
        <v>304</v>
      </c>
      <c r="AG425" s="24"/>
      <c r="AH425" s="23" t="s">
        <v>290</v>
      </c>
      <c r="AI425" s="26" t="n">
        <f aca="false">U425-안내!$C$12</f>
        <v>46816</v>
      </c>
      <c r="AJ425" s="23" t="str">
        <f aca="false">IF(U425&lt;IF(C425=1,안내!$C$9,안내!$C$10)+안내!$C$12,"시즌 시작 전 제작","")</f>
        <v/>
      </c>
      <c r="AK425" s="24"/>
      <c r="AL425" s="27"/>
      <c r="AM425" s="27"/>
      <c r="AN425" s="27"/>
      <c r="AO425" s="27"/>
      <c r="AP425" s="27"/>
      <c r="AQ425" s="23" t="str">
        <f aca="false">D425&amp;"|"&amp;TEXT(U425,"yyyy-mm-dd")</f>
        <v>구약|2028-04-01</v>
      </c>
      <c r="AR425" s="24" t="s">
        <v>4632</v>
      </c>
      <c r="AS425" s="24"/>
    </row>
    <row r="426" customFormat="false" ht="26.85" hidden="false" customHeight="false" outlineLevel="0" collapsed="false">
      <c r="A426" s="21" t="n">
        <v>425</v>
      </c>
      <c r="B426" s="18" t="s">
        <v>4633</v>
      </c>
      <c r="C426" s="23" t="n">
        <v>2</v>
      </c>
      <c r="D426" s="23" t="s">
        <v>160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4578</v>
      </c>
      <c r="H426" s="18" t="s">
        <v>4579</v>
      </c>
      <c r="I426" s="21" t="s">
        <v>4497</v>
      </c>
      <c r="J426" s="22" t="s">
        <v>4634</v>
      </c>
      <c r="K426" s="23" t="s">
        <v>1370</v>
      </c>
      <c r="L426" s="24" t="s">
        <v>4635</v>
      </c>
      <c r="M426" s="24" t="s">
        <v>4636</v>
      </c>
      <c r="N426" s="23" t="s">
        <v>4637</v>
      </c>
      <c r="O426" s="24" t="s">
        <v>4638</v>
      </c>
      <c r="P426" s="24" t="s">
        <v>4497</v>
      </c>
      <c r="Q426" s="24" t="s">
        <v>4639</v>
      </c>
      <c r="R426" s="25" t="s">
        <v>4640</v>
      </c>
      <c r="S426" s="24" t="s">
        <v>4557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174</v>
      </c>
      <c r="Y426" s="23" t="s">
        <v>174</v>
      </c>
      <c r="Z426" s="23" t="s">
        <v>174</v>
      </c>
      <c r="AA426" s="23" t="s">
        <v>174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  <c r="AE426" s="24" t="str">
        <f aca="false">M426&amp;" | 이사야 40장 #"&amp;SUBSTITUTE(안내!$C$5," ","")</f>
        <v>풀은 마르고 꽃은 시드나 | 이사야 40장 #1분성경</v>
      </c>
      <c r="AF426" s="24" t="s">
        <v>304</v>
      </c>
      <c r="AG426" s="24"/>
      <c r="AH426" s="23" t="s">
        <v>290</v>
      </c>
      <c r="AI426" s="26" t="n">
        <f aca="false">U426-안내!$C$12</f>
        <v>46817</v>
      </c>
      <c r="AJ426" s="23" t="str">
        <f aca="false">IF(U426&lt;IF(C426=1,안내!$C$9,안내!$C$10)+안내!$C$12,"시즌 시작 전 제작","")</f>
        <v/>
      </c>
      <c r="AK426" s="24"/>
      <c r="AL426" s="27"/>
      <c r="AM426" s="27"/>
      <c r="AN426" s="27"/>
      <c r="AO426" s="27"/>
      <c r="AP426" s="27"/>
      <c r="AQ426" s="23" t="str">
        <f aca="false">D426&amp;"|"&amp;TEXT(U426,"yyyy-mm-dd")</f>
        <v>구약|2028-04-02</v>
      </c>
      <c r="AR426" s="24" t="s">
        <v>4641</v>
      </c>
      <c r="AS426" s="24"/>
    </row>
    <row r="427" customFormat="false" ht="52.2" hidden="false" customHeight="false" outlineLevel="0" collapsed="false">
      <c r="A427" s="21" t="n">
        <v>426</v>
      </c>
      <c r="B427" s="18" t="s">
        <v>4642</v>
      </c>
      <c r="C427" s="20" t="n">
        <v>1</v>
      </c>
      <c r="D427" s="20" t="s">
        <v>160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4578</v>
      </c>
      <c r="H427" s="18" t="s">
        <v>4516</v>
      </c>
      <c r="I427" s="21" t="s">
        <v>4497</v>
      </c>
      <c r="J427" s="22" t="s">
        <v>4643</v>
      </c>
      <c r="K427" s="23" t="s">
        <v>1370</v>
      </c>
      <c r="L427" s="24" t="s">
        <v>4644</v>
      </c>
      <c r="M427" s="24" t="s">
        <v>4645</v>
      </c>
      <c r="N427" s="23" t="s">
        <v>4646</v>
      </c>
      <c r="O427" s="24" t="s">
        <v>4647</v>
      </c>
      <c r="P427" s="24" t="s">
        <v>4497</v>
      </c>
      <c r="Q427" s="24" t="s">
        <v>4648</v>
      </c>
      <c r="R427" s="24"/>
      <c r="S427" s="29" t="s">
        <v>4649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174</v>
      </c>
      <c r="Y427" s="23" t="s">
        <v>174</v>
      </c>
      <c r="Z427" s="23" t="s">
        <v>174</v>
      </c>
      <c r="AA427" s="23" t="s">
        <v>174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  <c r="AE427" s="24" t="str">
        <f aca="false">M427&amp;" | 이사야 40장 #"&amp;SUBSTITUTE(안내!$C$5," ","")</f>
        <v>지친 사람이 다시 날아오르는 비결 | 이사야 40장 #1분성경</v>
      </c>
      <c r="AF427" s="24" t="s">
        <v>4650</v>
      </c>
      <c r="AG427" s="24"/>
      <c r="AH427" s="23" t="s">
        <v>290</v>
      </c>
      <c r="AI427" s="26" t="n">
        <f aca="false">U427-안내!$C$12</f>
        <v>46522</v>
      </c>
      <c r="AJ427" s="23" t="str">
        <f aca="false">IF(U427&lt;IF(C427=1,안내!$C$9,안내!$C$10)+안내!$C$12,"시즌 시작 전 제작","")</f>
        <v/>
      </c>
      <c r="AK427" s="24"/>
      <c r="AL427" s="27"/>
      <c r="AM427" s="27"/>
      <c r="AN427" s="27"/>
      <c r="AO427" s="27"/>
      <c r="AP427" s="27"/>
      <c r="AQ427" s="23" t="str">
        <f aca="false">D427&amp;"|"&amp;TEXT(U427,"yyyy-mm-dd")</f>
        <v>구약|2027-06-12</v>
      </c>
      <c r="AR427" s="24" t="s">
        <v>4651</v>
      </c>
      <c r="AS427" s="24" t="s">
        <v>292</v>
      </c>
    </row>
    <row r="428" customFormat="false" ht="39.55" hidden="false" customHeight="false" outlineLevel="0" collapsed="false">
      <c r="A428" s="21" t="n">
        <v>427</v>
      </c>
      <c r="B428" s="18" t="s">
        <v>4652</v>
      </c>
      <c r="C428" s="23" t="n">
        <v>2</v>
      </c>
      <c r="D428" s="23" t="s">
        <v>160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4653</v>
      </c>
      <c r="H428" s="18" t="s">
        <v>4579</v>
      </c>
      <c r="I428" s="21" t="s">
        <v>4497</v>
      </c>
      <c r="J428" s="22" t="s">
        <v>4654</v>
      </c>
      <c r="K428" s="23" t="s">
        <v>1370</v>
      </c>
      <c r="L428" s="24" t="s">
        <v>4655</v>
      </c>
      <c r="M428" s="24" t="s">
        <v>4656</v>
      </c>
      <c r="N428" s="23" t="s">
        <v>4657</v>
      </c>
      <c r="O428" s="24" t="s">
        <v>4658</v>
      </c>
      <c r="P428" s="24" t="s">
        <v>4659</v>
      </c>
      <c r="Q428" s="24" t="s">
        <v>4660</v>
      </c>
      <c r="R428" s="24"/>
      <c r="S428" s="24" t="s">
        <v>4661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174</v>
      </c>
      <c r="Y428" s="23" t="s">
        <v>174</v>
      </c>
      <c r="Z428" s="23" t="s">
        <v>174</v>
      </c>
      <c r="AA428" s="23" t="s">
        <v>174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  <c r="AE428" s="24" t="str">
        <f aca="false">M428&amp;" | 이사야 41~44장 #"&amp;SUBSTITUTE(안내!$C$5," ","")</f>
        <v>내가 너와 함께 함이라 | 이사야 41~44장 #1분성경</v>
      </c>
      <c r="AF428" s="24" t="s">
        <v>304</v>
      </c>
      <c r="AG428" s="24"/>
      <c r="AH428" s="23" t="s">
        <v>290</v>
      </c>
      <c r="AI428" s="26" t="n">
        <f aca="false">U428-안내!$C$12</f>
        <v>46818</v>
      </c>
      <c r="AJ428" s="23" t="str">
        <f aca="false">IF(U428&lt;IF(C428=1,안내!$C$9,안내!$C$10)+안내!$C$12,"시즌 시작 전 제작","")</f>
        <v/>
      </c>
      <c r="AK428" s="24"/>
      <c r="AL428" s="27"/>
      <c r="AM428" s="27"/>
      <c r="AN428" s="27"/>
      <c r="AO428" s="27"/>
      <c r="AP428" s="27"/>
      <c r="AQ428" s="23" t="str">
        <f aca="false">D428&amp;"|"&amp;TEXT(U428,"yyyy-mm-dd")</f>
        <v>구약|2028-04-03</v>
      </c>
      <c r="AR428" s="24" t="s">
        <v>4662</v>
      </c>
      <c r="AS428" s="24"/>
    </row>
    <row r="429" customFormat="false" ht="26.85" hidden="false" customHeight="false" outlineLevel="0" collapsed="false">
      <c r="A429" s="21" t="n">
        <v>428</v>
      </c>
      <c r="B429" s="18" t="s">
        <v>4663</v>
      </c>
      <c r="C429" s="23" t="n">
        <v>2</v>
      </c>
      <c r="D429" s="23" t="s">
        <v>160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4653</v>
      </c>
      <c r="H429" s="18" t="s">
        <v>4664</v>
      </c>
      <c r="I429" s="21" t="s">
        <v>4497</v>
      </c>
      <c r="J429" s="22" t="s">
        <v>4665</v>
      </c>
      <c r="K429" s="23" t="s">
        <v>1370</v>
      </c>
      <c r="L429" s="24" t="s">
        <v>4666</v>
      </c>
      <c r="M429" s="30" t="s">
        <v>4667</v>
      </c>
      <c r="N429" s="23" t="s">
        <v>4668</v>
      </c>
      <c r="O429" s="24" t="s">
        <v>4669</v>
      </c>
      <c r="P429" s="24" t="s">
        <v>4670</v>
      </c>
      <c r="Q429" s="24" t="s">
        <v>4671</v>
      </c>
      <c r="R429" s="24"/>
      <c r="S429" s="24" t="s">
        <v>4661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174</v>
      </c>
      <c r="Y429" s="23" t="s">
        <v>174</v>
      </c>
      <c r="Z429" s="23" t="s">
        <v>174</v>
      </c>
      <c r="AA429" s="23" t="s">
        <v>174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  <c r="AE429" s="24" t="str">
        <f aca="false">M429&amp;" | 이사야 44~45장 #"&amp;SUBSTITUTE(안내!$C$5," ","")</f>
        <v>150년 전에 이름이 예언된 고레스 | 이사야 44~45장 #1분성경</v>
      </c>
      <c r="AF429" s="24" t="s">
        <v>304</v>
      </c>
      <c r="AG429" s="24"/>
      <c r="AH429" s="23" t="s">
        <v>360</v>
      </c>
      <c r="AI429" s="26" t="n">
        <f aca="false">U429-안내!$C$12</f>
        <v>46819</v>
      </c>
      <c r="AJ429" s="23" t="str">
        <f aca="false">IF(U429&lt;IF(C429=1,안내!$C$9,안내!$C$10)+안내!$C$12,"시즌 시작 전 제작","")</f>
        <v/>
      </c>
      <c r="AK429" s="24"/>
      <c r="AL429" s="27"/>
      <c r="AM429" s="27"/>
      <c r="AN429" s="27"/>
      <c r="AO429" s="27"/>
      <c r="AP429" s="27"/>
      <c r="AQ429" s="23" t="str">
        <f aca="false">D429&amp;"|"&amp;TEXT(U429,"yyyy-mm-dd")</f>
        <v>구약|2028-04-04</v>
      </c>
      <c r="AR429" s="24" t="s">
        <v>4672</v>
      </c>
      <c r="AS429" s="24"/>
    </row>
    <row r="430" customFormat="false" ht="26.85" hidden="false" customHeight="false" outlineLevel="0" collapsed="false">
      <c r="A430" s="21" t="n">
        <v>429</v>
      </c>
      <c r="B430" s="18" t="s">
        <v>4673</v>
      </c>
      <c r="C430" s="23" t="n">
        <v>2</v>
      </c>
      <c r="D430" s="23" t="s">
        <v>160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4653</v>
      </c>
      <c r="H430" s="18" t="s">
        <v>4664</v>
      </c>
      <c r="I430" s="21" t="s">
        <v>4497</v>
      </c>
      <c r="J430" s="22" t="s">
        <v>4674</v>
      </c>
      <c r="K430" s="23" t="s">
        <v>1370</v>
      </c>
      <c r="L430" s="24" t="s">
        <v>4675</v>
      </c>
      <c r="M430" s="24" t="s">
        <v>4676</v>
      </c>
      <c r="N430" s="23" t="s">
        <v>4677</v>
      </c>
      <c r="O430" s="24" t="s">
        <v>4678</v>
      </c>
      <c r="P430" s="24" t="s">
        <v>4497</v>
      </c>
      <c r="Q430" s="24" t="s">
        <v>4679</v>
      </c>
      <c r="R430" s="24"/>
      <c r="S430" s="24" t="s">
        <v>4661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174</v>
      </c>
      <c r="Y430" s="23" t="s">
        <v>174</v>
      </c>
      <c r="Z430" s="23" t="s">
        <v>174</v>
      </c>
      <c r="AA430" s="23" t="s">
        <v>174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  <c r="AE430" s="24" t="str">
        <f aca="false">M430&amp;" | 이사야 46~48장 #"&amp;SUBSTITUTE(안내!$C$5," ","")</f>
        <v>업혀 다니는 우상, 우리를 업으시는 하나님 | 이사야 46~48장 #1분성경</v>
      </c>
      <c r="AF430" s="24" t="s">
        <v>304</v>
      </c>
      <c r="AG430" s="24"/>
      <c r="AH430" s="23" t="s">
        <v>290</v>
      </c>
      <c r="AI430" s="26" t="n">
        <f aca="false">U430-안내!$C$12</f>
        <v>46820</v>
      </c>
      <c r="AJ430" s="23" t="str">
        <f aca="false">IF(U430&lt;IF(C430=1,안내!$C$9,안내!$C$10)+안내!$C$12,"시즌 시작 전 제작","")</f>
        <v/>
      </c>
      <c r="AK430" s="24"/>
      <c r="AL430" s="27"/>
      <c r="AM430" s="27"/>
      <c r="AN430" s="27"/>
      <c r="AO430" s="27"/>
      <c r="AP430" s="27"/>
      <c r="AQ430" s="23" t="str">
        <f aca="false">D430&amp;"|"&amp;TEXT(U430,"yyyy-mm-dd")</f>
        <v>구약|2028-04-05</v>
      </c>
      <c r="AR430" s="24" t="s">
        <v>4680</v>
      </c>
      <c r="AS430" s="24" t="s">
        <v>292</v>
      </c>
    </row>
    <row r="431" customFormat="false" ht="39.55" hidden="false" customHeight="false" outlineLevel="0" collapsed="false">
      <c r="A431" s="21" t="n">
        <v>430</v>
      </c>
      <c r="B431" s="18" t="s">
        <v>4681</v>
      </c>
      <c r="C431" s="23" t="n">
        <v>2</v>
      </c>
      <c r="D431" s="23" t="s">
        <v>160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4653</v>
      </c>
      <c r="H431" s="18" t="s">
        <v>4664</v>
      </c>
      <c r="I431" s="21" t="s">
        <v>4497</v>
      </c>
      <c r="J431" s="22" t="s">
        <v>4682</v>
      </c>
      <c r="K431" s="23" t="s">
        <v>1370</v>
      </c>
      <c r="L431" s="24" t="s">
        <v>4683</v>
      </c>
      <c r="M431" s="24" t="s">
        <v>4684</v>
      </c>
      <c r="N431" s="23" t="s">
        <v>4685</v>
      </c>
      <c r="O431" s="24" t="s">
        <v>4686</v>
      </c>
      <c r="P431" s="24" t="s">
        <v>4687</v>
      </c>
      <c r="Q431" s="24" t="s">
        <v>4688</v>
      </c>
      <c r="R431" s="25" t="s">
        <v>4689</v>
      </c>
      <c r="S431" s="24" t="s">
        <v>4661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174</v>
      </c>
      <c r="Y431" s="23" t="s">
        <v>174</v>
      </c>
      <c r="Z431" s="23" t="s">
        <v>174</v>
      </c>
      <c r="AA431" s="23" t="s">
        <v>174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  <c r="AE431" s="24" t="str">
        <f aca="false">M431&amp;" | 이사야 49~50장 #"&amp;SUBSTITUTE(안내!$C$5," ","")</f>
        <v>손바닥에 새긴 이름 | 이사야 49~50장 #1분성경</v>
      </c>
      <c r="AF431" s="24" t="s">
        <v>304</v>
      </c>
      <c r="AG431" s="24"/>
      <c r="AH431" s="23" t="s">
        <v>290</v>
      </c>
      <c r="AI431" s="26" t="n">
        <f aca="false">U431-안내!$C$12</f>
        <v>46821</v>
      </c>
      <c r="AJ431" s="23" t="str">
        <f aca="false">IF(U431&lt;IF(C431=1,안내!$C$9,안내!$C$10)+안내!$C$12,"시즌 시작 전 제작","")</f>
        <v/>
      </c>
      <c r="AK431" s="24"/>
      <c r="AL431" s="27"/>
      <c r="AM431" s="27"/>
      <c r="AN431" s="27"/>
      <c r="AO431" s="27"/>
      <c r="AP431" s="27"/>
      <c r="AQ431" s="23" t="str">
        <f aca="false">D431&amp;"|"&amp;TEXT(U431,"yyyy-mm-dd")</f>
        <v>구약|2028-04-06</v>
      </c>
      <c r="AR431" s="24" t="s">
        <v>4690</v>
      </c>
      <c r="AS431" s="24"/>
    </row>
    <row r="432" customFormat="false" ht="39.55" hidden="false" customHeight="false" outlineLevel="0" collapsed="false">
      <c r="A432" s="21" t="n">
        <v>431</v>
      </c>
      <c r="B432" s="18" t="s">
        <v>4691</v>
      </c>
      <c r="C432" s="23" t="n">
        <v>2</v>
      </c>
      <c r="D432" s="23" t="s">
        <v>160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4653</v>
      </c>
      <c r="H432" s="18" t="s">
        <v>4664</v>
      </c>
      <c r="I432" s="21" t="s">
        <v>4497</v>
      </c>
      <c r="J432" s="22" t="s">
        <v>4692</v>
      </c>
      <c r="K432" s="23" t="s">
        <v>1370</v>
      </c>
      <c r="L432" s="24" t="s">
        <v>4693</v>
      </c>
      <c r="M432" s="24" t="s">
        <v>4694</v>
      </c>
      <c r="N432" s="23" t="s">
        <v>4695</v>
      </c>
      <c r="O432" s="24" t="s">
        <v>4696</v>
      </c>
      <c r="P432" s="24" t="s">
        <v>4697</v>
      </c>
      <c r="Q432" s="24" t="s">
        <v>4698</v>
      </c>
      <c r="R432" s="25" t="s">
        <v>4699</v>
      </c>
      <c r="S432" s="24" t="s">
        <v>4661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174</v>
      </c>
      <c r="Y432" s="23" t="s">
        <v>174</v>
      </c>
      <c r="Z432" s="23" t="s">
        <v>174</v>
      </c>
      <c r="AA432" s="23" t="s">
        <v>174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  <c r="AE432" s="24" t="str">
        <f aca="false">M432&amp;" | 이사야 51~52장 #"&amp;SUBSTITUTE(안내!$C$5," ","")</f>
        <v>산을 넘어오는 아름다운 발 | 이사야 51~52장 #1분성경</v>
      </c>
      <c r="AF432" s="24" t="s">
        <v>304</v>
      </c>
      <c r="AG432" s="24"/>
      <c r="AH432" s="23" t="s">
        <v>290</v>
      </c>
      <c r="AI432" s="26" t="n">
        <f aca="false">U432-안내!$C$12</f>
        <v>46822</v>
      </c>
      <c r="AJ432" s="23" t="str">
        <f aca="false">IF(U432&lt;IF(C432=1,안내!$C$9,안내!$C$10)+안내!$C$12,"시즌 시작 전 제작","")</f>
        <v/>
      </c>
      <c r="AK432" s="24"/>
      <c r="AL432" s="27"/>
      <c r="AM432" s="27"/>
      <c r="AN432" s="27"/>
      <c r="AO432" s="27"/>
      <c r="AP432" s="27"/>
      <c r="AQ432" s="23" t="str">
        <f aca="false">D432&amp;"|"&amp;TEXT(U432,"yyyy-mm-dd")</f>
        <v>구약|2028-04-07</v>
      </c>
      <c r="AR432" s="24" t="s">
        <v>4700</v>
      </c>
      <c r="AS432" s="24"/>
    </row>
    <row r="433" customFormat="false" ht="52.2" hidden="false" customHeight="false" outlineLevel="0" collapsed="false">
      <c r="A433" s="21" t="n">
        <v>432</v>
      </c>
      <c r="B433" s="18" t="s">
        <v>4701</v>
      </c>
      <c r="C433" s="20" t="n">
        <v>1</v>
      </c>
      <c r="D433" s="20" t="s">
        <v>160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4653</v>
      </c>
      <c r="H433" s="18" t="s">
        <v>4516</v>
      </c>
      <c r="I433" s="21" t="s">
        <v>4497</v>
      </c>
      <c r="J433" s="22" t="s">
        <v>4702</v>
      </c>
      <c r="K433" s="23" t="s">
        <v>1370</v>
      </c>
      <c r="L433" s="24" t="s">
        <v>4703</v>
      </c>
      <c r="M433" s="30" t="s">
        <v>4704</v>
      </c>
      <c r="N433" s="23" t="s">
        <v>4705</v>
      </c>
      <c r="O433" s="24" t="s">
        <v>4706</v>
      </c>
      <c r="P433" s="24" t="s">
        <v>4707</v>
      </c>
      <c r="Q433" s="24" t="s">
        <v>4708</v>
      </c>
      <c r="R433" s="25" t="s">
        <v>4709</v>
      </c>
      <c r="S433" s="29" t="s">
        <v>4710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174</v>
      </c>
      <c r="Y433" s="23" t="s">
        <v>174</v>
      </c>
      <c r="Z433" s="23" t="s">
        <v>174</v>
      </c>
      <c r="AA433" s="23" t="s">
        <v>174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  <c r="AE433" s="24" t="str">
        <f aca="false">M433&amp;" | 이사야 52~53장 #"&amp;SUBSTITUTE(안내!$C$5," ","")</f>
        <v>700년 전에 기록된 십자가 | 이사야 52~53장 #1분성경</v>
      </c>
      <c r="AF433" s="24" t="s">
        <v>4711</v>
      </c>
      <c r="AG433" s="24"/>
      <c r="AH433" s="23" t="s">
        <v>360</v>
      </c>
      <c r="AI433" s="26" t="n">
        <f aca="false">U433-안내!$C$12</f>
        <v>46523</v>
      </c>
      <c r="AJ433" s="23" t="str">
        <f aca="false">IF(U433&lt;IF(C433=1,안내!$C$9,안내!$C$10)+안내!$C$12,"시즌 시작 전 제작","")</f>
        <v/>
      </c>
      <c r="AK433" s="24"/>
      <c r="AL433" s="27"/>
      <c r="AM433" s="27"/>
      <c r="AN433" s="27"/>
      <c r="AO433" s="27"/>
      <c r="AP433" s="27"/>
      <c r="AQ433" s="23" t="str">
        <f aca="false">D433&amp;"|"&amp;TEXT(U433,"yyyy-mm-dd")</f>
        <v>구약|2027-06-13</v>
      </c>
      <c r="AR433" s="24" t="s">
        <v>4712</v>
      </c>
      <c r="AS433" s="24"/>
    </row>
    <row r="434" customFormat="false" ht="26.85" hidden="false" customHeight="false" outlineLevel="0" collapsed="false">
      <c r="A434" s="21" t="n">
        <v>433</v>
      </c>
      <c r="B434" s="18" t="s">
        <v>4713</v>
      </c>
      <c r="C434" s="23" t="n">
        <v>2</v>
      </c>
      <c r="D434" s="23" t="s">
        <v>160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4653</v>
      </c>
      <c r="H434" s="18" t="s">
        <v>4664</v>
      </c>
      <c r="I434" s="21" t="s">
        <v>4497</v>
      </c>
      <c r="J434" s="22" t="s">
        <v>4714</v>
      </c>
      <c r="K434" s="23" t="s">
        <v>1370</v>
      </c>
      <c r="L434" s="24" t="s">
        <v>4715</v>
      </c>
      <c r="M434" s="24" t="s">
        <v>4716</v>
      </c>
      <c r="N434" s="23" t="s">
        <v>4717</v>
      </c>
      <c r="O434" s="24" t="s">
        <v>4718</v>
      </c>
      <c r="P434" s="24" t="s">
        <v>4719</v>
      </c>
      <c r="Q434" s="24" t="s">
        <v>4720</v>
      </c>
      <c r="R434" s="24"/>
      <c r="S434" s="24" t="s">
        <v>4721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174</v>
      </c>
      <c r="Y434" s="23" t="s">
        <v>174</v>
      </c>
      <c r="Z434" s="23" t="s">
        <v>174</v>
      </c>
      <c r="AA434" s="23" t="s">
        <v>174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  <c r="AE434" s="24" t="str">
        <f aca="false">M434&amp;" | 이사야 54~55장 #"&amp;SUBSTITUTE(안내!$C$5," ","")</f>
        <v>돈 없는 자도 와서 먹으라 | 이사야 54~55장 #1분성경</v>
      </c>
      <c r="AF434" s="24" t="s">
        <v>304</v>
      </c>
      <c r="AG434" s="24"/>
      <c r="AH434" s="23" t="s">
        <v>290</v>
      </c>
      <c r="AI434" s="26" t="n">
        <f aca="false">U434-안내!$C$12</f>
        <v>46823</v>
      </c>
      <c r="AJ434" s="23" t="str">
        <f aca="false">IF(U434&lt;IF(C434=1,안내!$C$9,안내!$C$10)+안내!$C$12,"시즌 시작 전 제작","")</f>
        <v/>
      </c>
      <c r="AK434" s="24"/>
      <c r="AL434" s="27"/>
      <c r="AM434" s="27"/>
      <c r="AN434" s="27"/>
      <c r="AO434" s="27"/>
      <c r="AP434" s="27"/>
      <c r="AQ434" s="23" t="str">
        <f aca="false">D434&amp;"|"&amp;TEXT(U434,"yyyy-mm-dd")</f>
        <v>구약|2028-04-08</v>
      </c>
      <c r="AR434" s="24" t="s">
        <v>4722</v>
      </c>
      <c r="AS434" s="24"/>
    </row>
    <row r="435" customFormat="false" ht="26.85" hidden="false" customHeight="false" outlineLevel="0" collapsed="false">
      <c r="A435" s="21" t="n">
        <v>434</v>
      </c>
      <c r="B435" s="18" t="s">
        <v>4723</v>
      </c>
      <c r="C435" s="23" t="n">
        <v>2</v>
      </c>
      <c r="D435" s="23" t="s">
        <v>160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4653</v>
      </c>
      <c r="H435" s="18" t="s">
        <v>4664</v>
      </c>
      <c r="I435" s="21" t="s">
        <v>4497</v>
      </c>
      <c r="J435" s="22" t="s">
        <v>4724</v>
      </c>
      <c r="K435" s="23" t="s">
        <v>1370</v>
      </c>
      <c r="L435" s="24" t="s">
        <v>4725</v>
      </c>
      <c r="M435" s="24" t="s">
        <v>4726</v>
      </c>
      <c r="N435" s="23" t="s">
        <v>4727</v>
      </c>
      <c r="O435" s="24" t="s">
        <v>4728</v>
      </c>
      <c r="P435" s="24" t="s">
        <v>4512</v>
      </c>
      <c r="Q435" s="24" t="s">
        <v>4729</v>
      </c>
      <c r="R435" s="24"/>
      <c r="S435" s="24" t="s">
        <v>4721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174</v>
      </c>
      <c r="Y435" s="23" t="s">
        <v>174</v>
      </c>
      <c r="Z435" s="23" t="s">
        <v>174</v>
      </c>
      <c r="AA435" s="23" t="s">
        <v>174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  <c r="AE435" s="24" t="str">
        <f aca="false">M435&amp;" | 이사야 56~59장 #"&amp;SUBSTITUTE(안내!$C$5," ","")</f>
        <v>하나님이 기뻐하시는 금식은 무엇일까? | 이사야 56~59장 #1분성경</v>
      </c>
      <c r="AF435" s="24" t="s">
        <v>304</v>
      </c>
      <c r="AG435" s="24"/>
      <c r="AH435" s="23" t="s">
        <v>176</v>
      </c>
      <c r="AI435" s="26" t="n">
        <f aca="false">U435-안내!$C$12</f>
        <v>46824</v>
      </c>
      <c r="AJ435" s="23" t="str">
        <f aca="false">IF(U435&lt;IF(C435=1,안내!$C$9,안내!$C$10)+안내!$C$12,"시즌 시작 전 제작","")</f>
        <v/>
      </c>
      <c r="AK435" s="24"/>
      <c r="AL435" s="27"/>
      <c r="AM435" s="27"/>
      <c r="AN435" s="27"/>
      <c r="AO435" s="27"/>
      <c r="AP435" s="27"/>
      <c r="AQ435" s="23" t="str">
        <f aca="false">D435&amp;"|"&amp;TEXT(U435,"yyyy-mm-dd")</f>
        <v>구약|2028-04-09</v>
      </c>
      <c r="AR435" s="24" t="s">
        <v>4730</v>
      </c>
      <c r="AS435" s="24"/>
    </row>
    <row r="436" customFormat="false" ht="26.85" hidden="false" customHeight="false" outlineLevel="0" collapsed="false">
      <c r="A436" s="21" t="n">
        <v>435</v>
      </c>
      <c r="B436" s="18" t="s">
        <v>4731</v>
      </c>
      <c r="C436" s="23" t="n">
        <v>2</v>
      </c>
      <c r="D436" s="23" t="s">
        <v>160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4653</v>
      </c>
      <c r="H436" s="18" t="s">
        <v>4664</v>
      </c>
      <c r="I436" s="21" t="s">
        <v>4497</v>
      </c>
      <c r="J436" s="22" t="s">
        <v>4732</v>
      </c>
      <c r="K436" s="23" t="s">
        <v>1370</v>
      </c>
      <c r="L436" s="24" t="s">
        <v>4733</v>
      </c>
      <c r="M436" s="24" t="s">
        <v>4734</v>
      </c>
      <c r="N436" s="23" t="s">
        <v>4735</v>
      </c>
      <c r="O436" s="24" t="s">
        <v>4736</v>
      </c>
      <c r="P436" s="24" t="s">
        <v>4497</v>
      </c>
      <c r="Q436" s="24" t="s">
        <v>4737</v>
      </c>
      <c r="R436" s="28" t="s">
        <v>4738</v>
      </c>
      <c r="S436" s="24" t="s">
        <v>4721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174</v>
      </c>
      <c r="Y436" s="23" t="s">
        <v>174</v>
      </c>
      <c r="Z436" s="23" t="s">
        <v>174</v>
      </c>
      <c r="AA436" s="23" t="s">
        <v>174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  <c r="AE436" s="24" t="str">
        <f aca="false">M436&amp;" | 이사야 60~62장 #"&amp;SUBSTITUTE(안내!$C$5," ","")</f>
        <v>너의 빛이 이르렀다 | 이사야 60~62장 #1분성경</v>
      </c>
      <c r="AF436" s="24" t="s">
        <v>304</v>
      </c>
      <c r="AG436" s="24"/>
      <c r="AH436" s="23" t="s">
        <v>290</v>
      </c>
      <c r="AI436" s="26" t="n">
        <f aca="false">U436-안내!$C$12</f>
        <v>46825</v>
      </c>
      <c r="AJ436" s="23" t="str">
        <f aca="false">IF(U436&lt;IF(C436=1,안내!$C$9,안내!$C$10)+안내!$C$12,"시즌 시작 전 제작","")</f>
        <v/>
      </c>
      <c r="AK436" s="24"/>
      <c r="AL436" s="27"/>
      <c r="AM436" s="27"/>
      <c r="AN436" s="27"/>
      <c r="AO436" s="27"/>
      <c r="AP436" s="27"/>
      <c r="AQ436" s="23" t="str">
        <f aca="false">D436&amp;"|"&amp;TEXT(U436,"yyyy-mm-dd")</f>
        <v>구약|2028-04-10</v>
      </c>
      <c r="AR436" s="24" t="s">
        <v>4739</v>
      </c>
      <c r="AS436" s="24"/>
    </row>
    <row r="437" customFormat="false" ht="26.85" hidden="false" customHeight="false" outlineLevel="0" collapsed="false">
      <c r="A437" s="21" t="n">
        <v>436</v>
      </c>
      <c r="B437" s="18" t="s">
        <v>4740</v>
      </c>
      <c r="C437" s="23" t="n">
        <v>2</v>
      </c>
      <c r="D437" s="23" t="s">
        <v>160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4653</v>
      </c>
      <c r="H437" s="18" t="s">
        <v>4664</v>
      </c>
      <c r="I437" s="21" t="s">
        <v>4497</v>
      </c>
      <c r="J437" s="22" t="s">
        <v>4741</v>
      </c>
      <c r="K437" s="23" t="s">
        <v>1370</v>
      </c>
      <c r="L437" s="24" t="s">
        <v>4742</v>
      </c>
      <c r="M437" s="24" t="s">
        <v>4743</v>
      </c>
      <c r="N437" s="23" t="s">
        <v>4744</v>
      </c>
      <c r="O437" s="24" t="s">
        <v>4745</v>
      </c>
      <c r="P437" s="24" t="s">
        <v>4497</v>
      </c>
      <c r="Q437" s="24" t="s">
        <v>4742</v>
      </c>
      <c r="R437" s="25" t="s">
        <v>4746</v>
      </c>
      <c r="S437" s="24" t="s">
        <v>4721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174</v>
      </c>
      <c r="Y437" s="23" t="s">
        <v>174</v>
      </c>
      <c r="Z437" s="23" t="s">
        <v>174</v>
      </c>
      <c r="AA437" s="23" t="s">
        <v>174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  <c r="AE437" s="24" t="str">
        <f aca="false">M437&amp;" | 이사야 63~66장 #"&amp;SUBSTITUTE(안내!$C$5," ","")</f>
        <v>이전 것은 기억되지 않으리라 | 이사야 63~66장 #1분성경</v>
      </c>
      <c r="AF437" s="24" t="s">
        <v>304</v>
      </c>
      <c r="AG437" s="24"/>
      <c r="AH437" s="23" t="s">
        <v>290</v>
      </c>
      <c r="AI437" s="26" t="n">
        <f aca="false">U437-안내!$C$12</f>
        <v>46826</v>
      </c>
      <c r="AJ437" s="23" t="str">
        <f aca="false">IF(U437&lt;IF(C437=1,안내!$C$9,안내!$C$10)+안내!$C$12,"시즌 시작 전 제작","")</f>
        <v/>
      </c>
      <c r="AK437" s="24"/>
      <c r="AL437" s="27"/>
      <c r="AM437" s="27"/>
      <c r="AN437" s="27"/>
      <c r="AO437" s="27"/>
      <c r="AP437" s="27"/>
      <c r="AQ437" s="23" t="str">
        <f aca="false">D437&amp;"|"&amp;TEXT(U437,"yyyy-mm-dd")</f>
        <v>구약|2028-04-11</v>
      </c>
      <c r="AR437" s="24" t="s">
        <v>4747</v>
      </c>
      <c r="AS437" s="24"/>
    </row>
    <row r="438" customFormat="false" ht="52.2" hidden="false" customHeight="false" outlineLevel="0" collapsed="false">
      <c r="A438" s="21" t="n">
        <v>437</v>
      </c>
      <c r="B438" s="18" t="s">
        <v>4748</v>
      </c>
      <c r="C438" s="20" t="n">
        <v>1</v>
      </c>
      <c r="D438" s="20" t="s">
        <v>160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4749</v>
      </c>
      <c r="H438" s="18" t="s">
        <v>4516</v>
      </c>
      <c r="I438" s="21" t="s">
        <v>4750</v>
      </c>
      <c r="J438" s="22" t="s">
        <v>4751</v>
      </c>
      <c r="K438" s="23" t="s">
        <v>1370</v>
      </c>
      <c r="L438" s="24" t="s">
        <v>4752</v>
      </c>
      <c r="M438" s="24" t="s">
        <v>4753</v>
      </c>
      <c r="N438" s="23" t="s">
        <v>4754</v>
      </c>
      <c r="O438" s="24" t="s">
        <v>4755</v>
      </c>
      <c r="P438" s="24" t="s">
        <v>4756</v>
      </c>
      <c r="Q438" s="24" t="s">
        <v>4757</v>
      </c>
      <c r="R438" s="24"/>
      <c r="S438" s="29" t="s">
        <v>4758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174</v>
      </c>
      <c r="Y438" s="23" t="s">
        <v>174</v>
      </c>
      <c r="Z438" s="23" t="s">
        <v>174</v>
      </c>
      <c r="AA438" s="23" t="s">
        <v>174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  <c r="AE438" s="24" t="str">
        <f aca="false">M438&amp;" | 예레미야 1장 #"&amp;SUBSTITUTE(안내!$C$5," ","")</f>
        <v>어리다고 거절했던 선지자 | 예레미야 1장 #1분성경</v>
      </c>
      <c r="AF438" s="24" t="s">
        <v>4759</v>
      </c>
      <c r="AG438" s="24"/>
      <c r="AH438" s="23" t="s">
        <v>290</v>
      </c>
      <c r="AI438" s="26" t="n">
        <f aca="false">U438-안내!$C$12</f>
        <v>46524</v>
      </c>
      <c r="AJ438" s="23" t="str">
        <f aca="false">IF(U438&lt;IF(C438=1,안내!$C$9,안내!$C$10)+안내!$C$12,"시즌 시작 전 제작","")</f>
        <v/>
      </c>
      <c r="AK438" s="24"/>
      <c r="AL438" s="27"/>
      <c r="AM438" s="27"/>
      <c r="AN438" s="27"/>
      <c r="AO438" s="27"/>
      <c r="AP438" s="27"/>
      <c r="AQ438" s="23" t="str">
        <f aca="false">D438&amp;"|"&amp;TEXT(U438,"yyyy-mm-dd")</f>
        <v>구약|2027-06-14</v>
      </c>
      <c r="AR438" s="24" t="s">
        <v>4760</v>
      </c>
      <c r="AS438" s="24"/>
    </row>
    <row r="439" customFormat="false" ht="26.85" hidden="false" customHeight="false" outlineLevel="0" collapsed="false">
      <c r="A439" s="21" t="n">
        <v>438</v>
      </c>
      <c r="B439" s="18" t="s">
        <v>4761</v>
      </c>
      <c r="C439" s="23" t="n">
        <v>2</v>
      </c>
      <c r="D439" s="23" t="s">
        <v>160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4749</v>
      </c>
      <c r="H439" s="18" t="s">
        <v>4762</v>
      </c>
      <c r="I439" s="21" t="s">
        <v>4750</v>
      </c>
      <c r="J439" s="22" t="s">
        <v>4763</v>
      </c>
      <c r="K439" s="23" t="s">
        <v>1370</v>
      </c>
      <c r="L439" s="24" t="s">
        <v>4764</v>
      </c>
      <c r="M439" s="24" t="s">
        <v>4765</v>
      </c>
      <c r="N439" s="23" t="s">
        <v>4766</v>
      </c>
      <c r="O439" s="24" t="s">
        <v>4767</v>
      </c>
      <c r="P439" s="24" t="s">
        <v>4750</v>
      </c>
      <c r="Q439" s="24" t="s">
        <v>4768</v>
      </c>
      <c r="R439" s="24"/>
      <c r="S439" s="24" t="s">
        <v>4769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174</v>
      </c>
      <c r="Y439" s="23" t="s">
        <v>174</v>
      </c>
      <c r="Z439" s="23" t="s">
        <v>174</v>
      </c>
      <c r="AA439" s="23" t="s">
        <v>174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  <c r="AE439" s="24" t="str">
        <f aca="false">M439&amp;" | 예레미야 2~6장 #"&amp;SUBSTITUTE(안내!$C$5," ","")</f>
        <v>생수를 버리고 물이 새는 웅덩이를 팠다 | 예레미야 2~6장 #1분성경</v>
      </c>
      <c r="AF439" s="24" t="s">
        <v>304</v>
      </c>
      <c r="AG439" s="24"/>
      <c r="AH439" s="23" t="s">
        <v>290</v>
      </c>
      <c r="AI439" s="26" t="n">
        <f aca="false">U439-안내!$C$12</f>
        <v>46827</v>
      </c>
      <c r="AJ439" s="23" t="str">
        <f aca="false">IF(U439&lt;IF(C439=1,안내!$C$9,안내!$C$10)+안내!$C$12,"시즌 시작 전 제작","")</f>
        <v/>
      </c>
      <c r="AK439" s="24"/>
      <c r="AL439" s="27"/>
      <c r="AM439" s="27"/>
      <c r="AN439" s="27"/>
      <c r="AO439" s="27"/>
      <c r="AP439" s="27"/>
      <c r="AQ439" s="23" t="str">
        <f aca="false">D439&amp;"|"&amp;TEXT(U439,"yyyy-mm-dd")</f>
        <v>구약|2028-04-12</v>
      </c>
      <c r="AR439" s="24" t="s">
        <v>4770</v>
      </c>
      <c r="AS439" s="24" t="s">
        <v>292</v>
      </c>
    </row>
    <row r="440" customFormat="false" ht="26.85" hidden="false" customHeight="false" outlineLevel="0" collapsed="false">
      <c r="A440" s="21" t="n">
        <v>439</v>
      </c>
      <c r="B440" s="18" t="s">
        <v>4771</v>
      </c>
      <c r="C440" s="23" t="n">
        <v>2</v>
      </c>
      <c r="D440" s="23" t="s">
        <v>160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4749</v>
      </c>
      <c r="H440" s="18" t="s">
        <v>4762</v>
      </c>
      <c r="I440" s="21" t="s">
        <v>4750</v>
      </c>
      <c r="J440" s="22" t="s">
        <v>4772</v>
      </c>
      <c r="K440" s="23" t="s">
        <v>1370</v>
      </c>
      <c r="L440" s="24" t="s">
        <v>4773</v>
      </c>
      <c r="M440" s="24" t="s">
        <v>4774</v>
      </c>
      <c r="N440" s="23" t="s">
        <v>4775</v>
      </c>
      <c r="O440" s="24" t="s">
        <v>4776</v>
      </c>
      <c r="P440" s="24" t="s">
        <v>4777</v>
      </c>
      <c r="Q440" s="24" t="s">
        <v>4228</v>
      </c>
      <c r="R440" s="24"/>
      <c r="S440" s="24" t="s">
        <v>4769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174</v>
      </c>
      <c r="Y440" s="23" t="s">
        <v>174</v>
      </c>
      <c r="Z440" s="23" t="s">
        <v>174</v>
      </c>
      <c r="AA440" s="23" t="s">
        <v>174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  <c r="AE440" s="24" t="str">
        <f aca="false">M440&amp;" | 예레미야 7~8장 #"&amp;SUBSTITUTE(안내!$C$5," ","")</f>
        <v>이것이 여호와의 성전이라는 거짓말 | 예레미야 7~8장 #1분성경</v>
      </c>
      <c r="AF440" s="24" t="s">
        <v>304</v>
      </c>
      <c r="AG440" s="24"/>
      <c r="AH440" s="23" t="s">
        <v>290</v>
      </c>
      <c r="AI440" s="26" t="n">
        <f aca="false">U440-안내!$C$12</f>
        <v>46828</v>
      </c>
      <c r="AJ440" s="23" t="str">
        <f aca="false">IF(U440&lt;IF(C440=1,안내!$C$9,안내!$C$10)+안내!$C$12,"시즌 시작 전 제작","")</f>
        <v/>
      </c>
      <c r="AK440" s="24"/>
      <c r="AL440" s="27"/>
      <c r="AM440" s="27"/>
      <c r="AN440" s="27"/>
      <c r="AO440" s="27"/>
      <c r="AP440" s="27"/>
      <c r="AQ440" s="23" t="str">
        <f aca="false">D440&amp;"|"&amp;TEXT(U440,"yyyy-mm-dd")</f>
        <v>구약|2028-04-13</v>
      </c>
      <c r="AR440" s="24" t="s">
        <v>4778</v>
      </c>
      <c r="AS440" s="24"/>
    </row>
    <row r="441" customFormat="false" ht="26.85" hidden="false" customHeight="false" outlineLevel="0" collapsed="false">
      <c r="A441" s="21" t="n">
        <v>440</v>
      </c>
      <c r="B441" s="18" t="s">
        <v>4779</v>
      </c>
      <c r="C441" s="23" t="n">
        <v>2</v>
      </c>
      <c r="D441" s="23" t="s">
        <v>160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4749</v>
      </c>
      <c r="H441" s="18" t="s">
        <v>4762</v>
      </c>
      <c r="I441" s="21" t="s">
        <v>4750</v>
      </c>
      <c r="J441" s="22" t="s">
        <v>4780</v>
      </c>
      <c r="K441" s="23" t="s">
        <v>1370</v>
      </c>
      <c r="L441" s="24" t="s">
        <v>4781</v>
      </c>
      <c r="M441" s="24" t="s">
        <v>4782</v>
      </c>
      <c r="N441" s="23" t="s">
        <v>4783</v>
      </c>
      <c r="O441" s="24" t="s">
        <v>4784</v>
      </c>
      <c r="P441" s="24" t="s">
        <v>4750</v>
      </c>
      <c r="Q441" s="24" t="s">
        <v>4785</v>
      </c>
      <c r="R441" s="24"/>
      <c r="S441" s="24" t="s">
        <v>4769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174</v>
      </c>
      <c r="Y441" s="23" t="s">
        <v>174</v>
      </c>
      <c r="Z441" s="23" t="s">
        <v>174</v>
      </c>
      <c r="AA441" s="23" t="s">
        <v>174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  <c r="AE441" s="24" t="str">
        <f aca="false">M441&amp;" | 예레미야 8~10장 #"&amp;SUBSTITUTE(안내!$C$5," ","")</f>
        <v>아무도 상처를 치료하지 못할 때 | 예레미야 8~10장 #1분성경</v>
      </c>
      <c r="AF441" s="24" t="s">
        <v>304</v>
      </c>
      <c r="AG441" s="24"/>
      <c r="AH441" s="23" t="s">
        <v>290</v>
      </c>
      <c r="AI441" s="26" t="n">
        <f aca="false">U441-안내!$C$12</f>
        <v>46829</v>
      </c>
      <c r="AJ441" s="23" t="str">
        <f aca="false">IF(U441&lt;IF(C441=1,안내!$C$9,안내!$C$10)+안내!$C$12,"시즌 시작 전 제작","")</f>
        <v/>
      </c>
      <c r="AK441" s="24"/>
      <c r="AL441" s="27"/>
      <c r="AM441" s="27"/>
      <c r="AN441" s="27"/>
      <c r="AO441" s="27"/>
      <c r="AP441" s="27"/>
      <c r="AQ441" s="23" t="str">
        <f aca="false">D441&amp;"|"&amp;TEXT(U441,"yyyy-mm-dd")</f>
        <v>구약|2028-04-14</v>
      </c>
      <c r="AR441" s="24" t="s">
        <v>4786</v>
      </c>
      <c r="AS441" s="24"/>
    </row>
    <row r="442" customFormat="false" ht="39.55" hidden="false" customHeight="false" outlineLevel="0" collapsed="false">
      <c r="A442" s="21" t="n">
        <v>441</v>
      </c>
      <c r="B442" s="18" t="s">
        <v>4787</v>
      </c>
      <c r="C442" s="23" t="n">
        <v>2</v>
      </c>
      <c r="D442" s="23" t="s">
        <v>160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4749</v>
      </c>
      <c r="H442" s="18" t="s">
        <v>4762</v>
      </c>
      <c r="I442" s="21" t="s">
        <v>4750</v>
      </c>
      <c r="J442" s="22" t="s">
        <v>4788</v>
      </c>
      <c r="K442" s="23" t="s">
        <v>1370</v>
      </c>
      <c r="L442" s="24" t="s">
        <v>4789</v>
      </c>
      <c r="M442" s="24" t="s">
        <v>4790</v>
      </c>
      <c r="N442" s="23" t="s">
        <v>4791</v>
      </c>
      <c r="O442" s="24" t="s">
        <v>4792</v>
      </c>
      <c r="P442" s="24" t="s">
        <v>4793</v>
      </c>
      <c r="Q442" s="24" t="s">
        <v>4794</v>
      </c>
      <c r="R442" s="24"/>
      <c r="S442" s="24" t="s">
        <v>4769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174</v>
      </c>
      <c r="Y442" s="23" t="s">
        <v>174</v>
      </c>
      <c r="Z442" s="23" t="s">
        <v>174</v>
      </c>
      <c r="AA442" s="23" t="s">
        <v>174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  <c r="AE442" s="24" t="str">
        <f aca="false">M442&amp;" | 예레미야 11~12장 #"&amp;SUBSTITUTE(안내!$C$5," ","")</f>
        <v>선지자를 죽이려 한 고향 사람들 | 예레미야 11~12장 #1분성경</v>
      </c>
      <c r="AF442" s="24" t="s">
        <v>304</v>
      </c>
      <c r="AG442" s="24"/>
      <c r="AH442" s="23" t="s">
        <v>290</v>
      </c>
      <c r="AI442" s="26" t="n">
        <f aca="false">U442-안내!$C$12</f>
        <v>46830</v>
      </c>
      <c r="AJ442" s="23" t="str">
        <f aca="false">IF(U442&lt;IF(C442=1,안내!$C$9,안내!$C$10)+안내!$C$12,"시즌 시작 전 제작","")</f>
        <v/>
      </c>
      <c r="AK442" s="24"/>
      <c r="AL442" s="27"/>
      <c r="AM442" s="27"/>
      <c r="AN442" s="27"/>
      <c r="AO442" s="27"/>
      <c r="AP442" s="27"/>
      <c r="AQ442" s="23" t="str">
        <f aca="false">D442&amp;"|"&amp;TEXT(U442,"yyyy-mm-dd")</f>
        <v>구약|2028-04-15</v>
      </c>
      <c r="AR442" s="24" t="s">
        <v>4795</v>
      </c>
      <c r="AS442" s="24"/>
    </row>
    <row r="443" customFormat="false" ht="39.55" hidden="false" customHeight="false" outlineLevel="0" collapsed="false">
      <c r="A443" s="21" t="n">
        <v>442</v>
      </c>
      <c r="B443" s="18" t="s">
        <v>4796</v>
      </c>
      <c r="C443" s="23" t="n">
        <v>2</v>
      </c>
      <c r="D443" s="23" t="s">
        <v>160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4749</v>
      </c>
      <c r="H443" s="18" t="s">
        <v>4762</v>
      </c>
      <c r="I443" s="21" t="s">
        <v>4750</v>
      </c>
      <c r="J443" s="22" t="s">
        <v>4797</v>
      </c>
      <c r="K443" s="23" t="s">
        <v>1370</v>
      </c>
      <c r="L443" s="24" t="s">
        <v>4798</v>
      </c>
      <c r="M443" s="24" t="s">
        <v>4799</v>
      </c>
      <c r="N443" s="23" t="s">
        <v>4800</v>
      </c>
      <c r="O443" s="24" t="s">
        <v>4801</v>
      </c>
      <c r="P443" s="24" t="s">
        <v>4750</v>
      </c>
      <c r="Q443" s="24" t="s">
        <v>4802</v>
      </c>
      <c r="R443" s="24"/>
      <c r="S443" s="24" t="s">
        <v>4769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174</v>
      </c>
      <c r="Y443" s="23" t="s">
        <v>174</v>
      </c>
      <c r="Z443" s="23" t="s">
        <v>174</v>
      </c>
      <c r="AA443" s="23" t="s">
        <v>174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  <c r="AE443" s="24" t="str">
        <f aca="false">M443&amp;" | 예레미야 13장 #"&amp;SUBSTITUTE(안내!$C$5," ","")</f>
        <v>강가에 묻었던 허리띠가 썩어 버렸다 | 예레미야 13장 #1분성경</v>
      </c>
      <c r="AF443" s="24" t="s">
        <v>304</v>
      </c>
      <c r="AG443" s="24"/>
      <c r="AH443" s="23" t="s">
        <v>290</v>
      </c>
      <c r="AI443" s="26" t="n">
        <f aca="false">U443-안내!$C$12</f>
        <v>46831</v>
      </c>
      <c r="AJ443" s="23" t="str">
        <f aca="false">IF(U443&lt;IF(C443=1,안내!$C$9,안내!$C$10)+안내!$C$12,"시즌 시작 전 제작","")</f>
        <v/>
      </c>
      <c r="AK443" s="24"/>
      <c r="AL443" s="27"/>
      <c r="AM443" s="27"/>
      <c r="AN443" s="27"/>
      <c r="AO443" s="27"/>
      <c r="AP443" s="27"/>
      <c r="AQ443" s="23" t="str">
        <f aca="false">D443&amp;"|"&amp;TEXT(U443,"yyyy-mm-dd")</f>
        <v>구약|2028-04-16</v>
      </c>
      <c r="AR443" s="24" t="s">
        <v>4803</v>
      </c>
      <c r="AS443" s="24"/>
    </row>
    <row r="444" customFormat="false" ht="26.85" hidden="false" customHeight="false" outlineLevel="0" collapsed="false">
      <c r="A444" s="21" t="n">
        <v>443</v>
      </c>
      <c r="B444" s="18" t="s">
        <v>4804</v>
      </c>
      <c r="C444" s="23" t="n">
        <v>2</v>
      </c>
      <c r="D444" s="23" t="s">
        <v>160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4749</v>
      </c>
      <c r="H444" s="18" t="s">
        <v>4762</v>
      </c>
      <c r="I444" s="21" t="s">
        <v>4750</v>
      </c>
      <c r="J444" s="22" t="s">
        <v>4805</v>
      </c>
      <c r="K444" s="23" t="s">
        <v>1370</v>
      </c>
      <c r="L444" s="24" t="s">
        <v>4806</v>
      </c>
      <c r="M444" s="24" t="s">
        <v>4807</v>
      </c>
      <c r="N444" s="23" t="s">
        <v>4808</v>
      </c>
      <c r="O444" s="24" t="s">
        <v>4809</v>
      </c>
      <c r="P444" s="24" t="s">
        <v>4750</v>
      </c>
      <c r="Q444" s="24" t="s">
        <v>4810</v>
      </c>
      <c r="R444" s="24"/>
      <c r="S444" s="24" t="s">
        <v>4769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174</v>
      </c>
      <c r="Y444" s="23" t="s">
        <v>174</v>
      </c>
      <c r="Z444" s="23" t="s">
        <v>174</v>
      </c>
      <c r="AA444" s="23" t="s">
        <v>174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  <c r="AE444" s="24" t="str">
        <f aca="false">M444&amp;" | 예레미야 14~17장 #"&amp;SUBSTITUTE(안내!$C$5," ","")</f>
        <v>사람의 마음은 누가 알 수 있을까? | 예레미야 14~17장 #1분성경</v>
      </c>
      <c r="AF444" s="24" t="s">
        <v>304</v>
      </c>
      <c r="AG444" s="24"/>
      <c r="AH444" s="23" t="s">
        <v>176</v>
      </c>
      <c r="AI444" s="26" t="n">
        <f aca="false">U444-안내!$C$12</f>
        <v>46832</v>
      </c>
      <c r="AJ444" s="23" t="str">
        <f aca="false">IF(U444&lt;IF(C444=1,안내!$C$9,안내!$C$10)+안내!$C$12,"시즌 시작 전 제작","")</f>
        <v/>
      </c>
      <c r="AK444" s="24"/>
      <c r="AL444" s="27"/>
      <c r="AM444" s="27"/>
      <c r="AN444" s="27"/>
      <c r="AO444" s="27"/>
      <c r="AP444" s="27"/>
      <c r="AQ444" s="23" t="str">
        <f aca="false">D444&amp;"|"&amp;TEXT(U444,"yyyy-mm-dd")</f>
        <v>구약|2028-04-17</v>
      </c>
      <c r="AR444" s="24" t="s">
        <v>4811</v>
      </c>
      <c r="AS444" s="24"/>
    </row>
    <row r="445" customFormat="false" ht="52.2" hidden="false" customHeight="false" outlineLevel="0" collapsed="false">
      <c r="A445" s="21" t="n">
        <v>444</v>
      </c>
      <c r="B445" s="18" t="s">
        <v>4812</v>
      </c>
      <c r="C445" s="20" t="n">
        <v>1</v>
      </c>
      <c r="D445" s="20" t="s">
        <v>160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4749</v>
      </c>
      <c r="H445" s="18" t="s">
        <v>4516</v>
      </c>
      <c r="I445" s="21" t="s">
        <v>4750</v>
      </c>
      <c r="J445" s="22" t="s">
        <v>4813</v>
      </c>
      <c r="K445" s="23" t="s">
        <v>1370</v>
      </c>
      <c r="L445" s="24" t="s">
        <v>4814</v>
      </c>
      <c r="M445" s="24" t="s">
        <v>4815</v>
      </c>
      <c r="N445" s="23" t="s">
        <v>4816</v>
      </c>
      <c r="O445" s="24" t="s">
        <v>4817</v>
      </c>
      <c r="P445" s="24" t="s">
        <v>4818</v>
      </c>
      <c r="Q445" s="24" t="s">
        <v>4819</v>
      </c>
      <c r="R445" s="24"/>
      <c r="S445" s="29" t="s">
        <v>4820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174</v>
      </c>
      <c r="Y445" s="23" t="s">
        <v>174</v>
      </c>
      <c r="Z445" s="23" t="s">
        <v>174</v>
      </c>
      <c r="AA445" s="23" t="s">
        <v>174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  <c r="AE445" s="24" t="str">
        <f aca="false">M445&amp;" | 예레미야 18장 #"&amp;SUBSTITUTE(안내!$C$5," ","")</f>
        <v>망가진 그릇을 다시 빚는 손 | 예레미야 18장 #1분성경</v>
      </c>
      <c r="AF445" s="24" t="s">
        <v>4821</v>
      </c>
      <c r="AG445" s="24"/>
      <c r="AH445" s="23" t="s">
        <v>290</v>
      </c>
      <c r="AI445" s="26" t="n">
        <f aca="false">U445-안내!$C$12</f>
        <v>46525</v>
      </c>
      <c r="AJ445" s="23" t="str">
        <f aca="false">IF(U445&lt;IF(C445=1,안내!$C$9,안내!$C$10)+안내!$C$12,"시즌 시작 전 제작","")</f>
        <v/>
      </c>
      <c r="AK445" s="24"/>
      <c r="AL445" s="27"/>
      <c r="AM445" s="27"/>
      <c r="AN445" s="27"/>
      <c r="AO445" s="27"/>
      <c r="AP445" s="27"/>
      <c r="AQ445" s="23" t="str">
        <f aca="false">D445&amp;"|"&amp;TEXT(U445,"yyyy-mm-dd")</f>
        <v>구약|2027-06-15</v>
      </c>
      <c r="AR445" s="24" t="s">
        <v>4822</v>
      </c>
      <c r="AS445" s="24"/>
    </row>
    <row r="446" customFormat="false" ht="39.55" hidden="false" customHeight="false" outlineLevel="0" collapsed="false">
      <c r="A446" s="21" t="n">
        <v>445</v>
      </c>
      <c r="B446" s="18" t="s">
        <v>4823</v>
      </c>
      <c r="C446" s="23" t="n">
        <v>2</v>
      </c>
      <c r="D446" s="23" t="s">
        <v>160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4749</v>
      </c>
      <c r="H446" s="18" t="s">
        <v>4762</v>
      </c>
      <c r="I446" s="21" t="s">
        <v>4750</v>
      </c>
      <c r="J446" s="22" t="s">
        <v>4824</v>
      </c>
      <c r="K446" s="23" t="s">
        <v>1370</v>
      </c>
      <c r="L446" s="24" t="s">
        <v>4825</v>
      </c>
      <c r="M446" s="24" t="s">
        <v>4826</v>
      </c>
      <c r="N446" s="23" t="s">
        <v>4827</v>
      </c>
      <c r="O446" s="24" t="s">
        <v>4828</v>
      </c>
      <c r="P446" s="24" t="s">
        <v>4829</v>
      </c>
      <c r="Q446" s="24" t="s">
        <v>4830</v>
      </c>
      <c r="R446" s="24"/>
      <c r="S446" s="24" t="s">
        <v>4831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174</v>
      </c>
      <c r="Y446" s="23" t="s">
        <v>174</v>
      </c>
      <c r="Z446" s="23" t="s">
        <v>174</v>
      </c>
      <c r="AA446" s="23" t="s">
        <v>174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  <c r="AE446" s="24" t="str">
        <f aca="false">M446&amp;" | 예레미야 19~20장 #"&amp;SUBSTITUTE(안내!$C$5," ","")</f>
        <v>말하지 않으려 해도 참을 수 없었다 | 예레미야 19~20장 #1분성경</v>
      </c>
      <c r="AF446" s="24" t="s">
        <v>304</v>
      </c>
      <c r="AG446" s="24"/>
      <c r="AH446" s="23" t="s">
        <v>290</v>
      </c>
      <c r="AI446" s="26" t="n">
        <f aca="false">U446-안내!$C$12</f>
        <v>46833</v>
      </c>
      <c r="AJ446" s="23" t="str">
        <f aca="false">IF(U446&lt;IF(C446=1,안내!$C$9,안내!$C$10)+안내!$C$12,"시즌 시작 전 제작","")</f>
        <v/>
      </c>
      <c r="AK446" s="24"/>
      <c r="AL446" s="27"/>
      <c r="AM446" s="27"/>
      <c r="AN446" s="27"/>
      <c r="AO446" s="27"/>
      <c r="AP446" s="27"/>
      <c r="AQ446" s="23" t="str">
        <f aca="false">D446&amp;"|"&amp;TEXT(U446,"yyyy-mm-dd")</f>
        <v>구약|2028-04-18</v>
      </c>
      <c r="AR446" s="24" t="s">
        <v>4832</v>
      </c>
      <c r="AS446" s="24"/>
    </row>
    <row r="447" customFormat="false" ht="39.55" hidden="false" customHeight="false" outlineLevel="0" collapsed="false">
      <c r="A447" s="21" t="n">
        <v>446</v>
      </c>
      <c r="B447" s="18" t="s">
        <v>4833</v>
      </c>
      <c r="C447" s="23" t="n">
        <v>2</v>
      </c>
      <c r="D447" s="23" t="s">
        <v>160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4749</v>
      </c>
      <c r="H447" s="18" t="s">
        <v>4762</v>
      </c>
      <c r="I447" s="21" t="s">
        <v>4750</v>
      </c>
      <c r="J447" s="22" t="s">
        <v>4834</v>
      </c>
      <c r="K447" s="23" t="s">
        <v>1370</v>
      </c>
      <c r="L447" s="30" t="s">
        <v>4835</v>
      </c>
      <c r="M447" s="24" t="s">
        <v>4836</v>
      </c>
      <c r="N447" s="23" t="s">
        <v>4837</v>
      </c>
      <c r="O447" s="24" t="s">
        <v>4838</v>
      </c>
      <c r="P447" s="24" t="s">
        <v>4750</v>
      </c>
      <c r="Q447" s="24" t="s">
        <v>4839</v>
      </c>
      <c r="R447" s="28" t="s">
        <v>4840</v>
      </c>
      <c r="S447" s="24" t="s">
        <v>4831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174</v>
      </c>
      <c r="Y447" s="23" t="s">
        <v>174</v>
      </c>
      <c r="Z447" s="23" t="s">
        <v>174</v>
      </c>
      <c r="AA447" s="23" t="s">
        <v>174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  <c r="AE447" s="24" t="str">
        <f aca="false">M447&amp;" | 예레미야 21~25장 #"&amp;SUBSTITUTE(안내!$C$5," ","")</f>
        <v>포로는 70년 동안 계속되리라 | 예레미야 21~25장 #1분성경</v>
      </c>
      <c r="AF447" s="24" t="s">
        <v>304</v>
      </c>
      <c r="AG447" s="24"/>
      <c r="AH447" s="23" t="s">
        <v>360</v>
      </c>
      <c r="AI447" s="26" t="n">
        <f aca="false">U447-안내!$C$12</f>
        <v>46834</v>
      </c>
      <c r="AJ447" s="23" t="str">
        <f aca="false">IF(U447&lt;IF(C447=1,안내!$C$9,안내!$C$10)+안내!$C$12,"시즌 시작 전 제작","")</f>
        <v/>
      </c>
      <c r="AK447" s="24"/>
      <c r="AL447" s="27"/>
      <c r="AM447" s="27"/>
      <c r="AN447" s="27"/>
      <c r="AO447" s="27"/>
      <c r="AP447" s="27"/>
      <c r="AQ447" s="23" t="str">
        <f aca="false">D447&amp;"|"&amp;TEXT(U447,"yyyy-mm-dd")</f>
        <v>구약|2028-04-19</v>
      </c>
      <c r="AR447" s="24" t="s">
        <v>4841</v>
      </c>
      <c r="AS447" s="24"/>
    </row>
    <row r="448" customFormat="false" ht="39.55" hidden="false" customHeight="false" outlineLevel="0" collapsed="false">
      <c r="A448" s="21" t="n">
        <v>447</v>
      </c>
      <c r="B448" s="18" t="s">
        <v>4842</v>
      </c>
      <c r="C448" s="23" t="n">
        <v>2</v>
      </c>
      <c r="D448" s="23" t="s">
        <v>160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4843</v>
      </c>
      <c r="H448" s="18" t="s">
        <v>4844</v>
      </c>
      <c r="I448" s="21" t="s">
        <v>4750</v>
      </c>
      <c r="J448" s="22" t="s">
        <v>4845</v>
      </c>
      <c r="K448" s="23" t="s">
        <v>1370</v>
      </c>
      <c r="L448" s="24" t="s">
        <v>4846</v>
      </c>
      <c r="M448" s="24" t="s">
        <v>4847</v>
      </c>
      <c r="N448" s="23" t="s">
        <v>4848</v>
      </c>
      <c r="O448" s="24" t="s">
        <v>4849</v>
      </c>
      <c r="P448" s="24" t="s">
        <v>4850</v>
      </c>
      <c r="Q448" s="24" t="s">
        <v>3006</v>
      </c>
      <c r="R448" s="24"/>
      <c r="S448" s="24" t="s">
        <v>4831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174</v>
      </c>
      <c r="Y448" s="23" t="s">
        <v>174</v>
      </c>
      <c r="Z448" s="23" t="s">
        <v>174</v>
      </c>
      <c r="AA448" s="23" t="s">
        <v>174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  <c r="AE448" s="24" t="str">
        <f aca="false">M448&amp;" | 예레미야 26장 #"&amp;SUBSTITUTE(안내!$C$5," ","")</f>
        <v>성전에서 바른 말을 했다가 사형 선고를 | 예레미야 26장 #1분성경</v>
      </c>
      <c r="AF448" s="24" t="s">
        <v>304</v>
      </c>
      <c r="AG448" s="24"/>
      <c r="AH448" s="23" t="s">
        <v>290</v>
      </c>
      <c r="AI448" s="26" t="n">
        <f aca="false">U448-안내!$C$12</f>
        <v>46835</v>
      </c>
      <c r="AJ448" s="23" t="str">
        <f aca="false">IF(U448&lt;IF(C448=1,안내!$C$9,안내!$C$10)+안내!$C$12,"시즌 시작 전 제작","")</f>
        <v/>
      </c>
      <c r="AK448" s="24"/>
      <c r="AL448" s="27"/>
      <c r="AM448" s="27"/>
      <c r="AN448" s="27"/>
      <c r="AO448" s="27"/>
      <c r="AP448" s="27"/>
      <c r="AQ448" s="23" t="str">
        <f aca="false">D448&amp;"|"&amp;TEXT(U448,"yyyy-mm-dd")</f>
        <v>구약|2028-04-20</v>
      </c>
      <c r="AR448" s="24" t="s">
        <v>4851</v>
      </c>
      <c r="AS448" s="24"/>
    </row>
    <row r="449" customFormat="false" ht="39.55" hidden="false" customHeight="false" outlineLevel="0" collapsed="false">
      <c r="A449" s="21" t="n">
        <v>448</v>
      </c>
      <c r="B449" s="18" t="s">
        <v>4852</v>
      </c>
      <c r="C449" s="23" t="n">
        <v>2</v>
      </c>
      <c r="D449" s="23" t="s">
        <v>160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4843</v>
      </c>
      <c r="H449" s="18" t="s">
        <v>4844</v>
      </c>
      <c r="I449" s="21" t="s">
        <v>4750</v>
      </c>
      <c r="J449" s="22" t="s">
        <v>4853</v>
      </c>
      <c r="K449" s="23" t="s">
        <v>1370</v>
      </c>
      <c r="L449" s="24" t="s">
        <v>4854</v>
      </c>
      <c r="M449" s="24" t="s">
        <v>4855</v>
      </c>
      <c r="N449" s="23" t="s">
        <v>4856</v>
      </c>
      <c r="O449" s="24" t="s">
        <v>4857</v>
      </c>
      <c r="P449" s="24" t="s">
        <v>4858</v>
      </c>
      <c r="Q449" s="24" t="s">
        <v>4859</v>
      </c>
      <c r="R449" s="24"/>
      <c r="S449" s="24" t="s">
        <v>4831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174</v>
      </c>
      <c r="Y449" s="23" t="s">
        <v>174</v>
      </c>
      <c r="Z449" s="23" t="s">
        <v>174</v>
      </c>
      <c r="AA449" s="23" t="s">
        <v>174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  <c r="AE449" s="24" t="str">
        <f aca="false">M449&amp;" | 예레미야 27~28장 #"&amp;SUBSTITUTE(안내!$C$5," ","")</f>
        <v>목에 나무 멍에를 메고 다닌 이유 | 예레미야 27~28장 #1분성경</v>
      </c>
      <c r="AF449" s="24" t="s">
        <v>304</v>
      </c>
      <c r="AG449" s="24"/>
      <c r="AH449" s="23" t="s">
        <v>290</v>
      </c>
      <c r="AI449" s="26" t="n">
        <f aca="false">U449-안내!$C$12</f>
        <v>46836</v>
      </c>
      <c r="AJ449" s="23" t="str">
        <f aca="false">IF(U449&lt;IF(C449=1,안내!$C$9,안내!$C$10)+안내!$C$12,"시즌 시작 전 제작","")</f>
        <v/>
      </c>
      <c r="AK449" s="24"/>
      <c r="AL449" s="27"/>
      <c r="AM449" s="27"/>
      <c r="AN449" s="27"/>
      <c r="AO449" s="27"/>
      <c r="AP449" s="27"/>
      <c r="AQ449" s="23" t="str">
        <f aca="false">D449&amp;"|"&amp;TEXT(U449,"yyyy-mm-dd")</f>
        <v>구약|2028-04-21</v>
      </c>
      <c r="AR449" s="24" t="s">
        <v>4860</v>
      </c>
      <c r="AS449" s="24"/>
    </row>
    <row r="450" customFormat="false" ht="26.85" hidden="false" customHeight="false" outlineLevel="0" collapsed="false">
      <c r="A450" s="21" t="n">
        <v>449</v>
      </c>
      <c r="B450" s="18" t="s">
        <v>4861</v>
      </c>
      <c r="C450" s="23" t="n">
        <v>2</v>
      </c>
      <c r="D450" s="23" t="s">
        <v>160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4843</v>
      </c>
      <c r="H450" s="18" t="s">
        <v>4844</v>
      </c>
      <c r="I450" s="21" t="s">
        <v>4750</v>
      </c>
      <c r="J450" s="22" t="s">
        <v>4862</v>
      </c>
      <c r="K450" s="23" t="s">
        <v>1370</v>
      </c>
      <c r="L450" s="24" t="s">
        <v>4863</v>
      </c>
      <c r="M450" s="24" t="s">
        <v>4864</v>
      </c>
      <c r="N450" s="23" t="s">
        <v>4865</v>
      </c>
      <c r="O450" s="24" t="s">
        <v>4866</v>
      </c>
      <c r="P450" s="24" t="s">
        <v>4867</v>
      </c>
      <c r="Q450" s="24" t="s">
        <v>4868</v>
      </c>
      <c r="R450" s="28" t="s">
        <v>4869</v>
      </c>
      <c r="S450" s="24" t="s">
        <v>4831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174</v>
      </c>
      <c r="Y450" s="23" t="s">
        <v>174</v>
      </c>
      <c r="Z450" s="23" t="s">
        <v>174</v>
      </c>
      <c r="AA450" s="23" t="s">
        <v>174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  <c r="AE450" s="24" t="str">
        <f aca="false">M450&amp;" | 예레미야 29장 #"&amp;SUBSTITUTE(안내!$C$5," ","")</f>
        <v>그곳에서 집을 짓고 정착하라 | 예레미야 29장 #1분성경</v>
      </c>
      <c r="AF450" s="24" t="s">
        <v>304</v>
      </c>
      <c r="AG450" s="24"/>
      <c r="AH450" s="23" t="s">
        <v>290</v>
      </c>
      <c r="AI450" s="26" t="n">
        <f aca="false">U450-안내!$C$12</f>
        <v>46837</v>
      </c>
      <c r="AJ450" s="23" t="str">
        <f aca="false">IF(U450&lt;IF(C450=1,안내!$C$9,안내!$C$10)+안내!$C$12,"시즌 시작 전 제작","")</f>
        <v/>
      </c>
      <c r="AK450" s="24"/>
      <c r="AL450" s="27"/>
      <c r="AM450" s="27"/>
      <c r="AN450" s="27"/>
      <c r="AO450" s="27"/>
      <c r="AP450" s="27"/>
      <c r="AQ450" s="23" t="str">
        <f aca="false">D450&amp;"|"&amp;TEXT(U450,"yyyy-mm-dd")</f>
        <v>구약|2028-04-22</v>
      </c>
      <c r="AR450" s="24" t="s">
        <v>4870</v>
      </c>
      <c r="AS450" s="24"/>
    </row>
    <row r="451" customFormat="false" ht="52.2" hidden="false" customHeight="false" outlineLevel="0" collapsed="false">
      <c r="A451" s="21" t="n">
        <v>450</v>
      </c>
      <c r="B451" s="18" t="s">
        <v>4871</v>
      </c>
      <c r="C451" s="20" t="n">
        <v>1</v>
      </c>
      <c r="D451" s="20" t="s">
        <v>160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4843</v>
      </c>
      <c r="H451" s="18" t="s">
        <v>4516</v>
      </c>
      <c r="I451" s="21" t="s">
        <v>4750</v>
      </c>
      <c r="J451" s="22" t="s">
        <v>4872</v>
      </c>
      <c r="K451" s="23" t="s">
        <v>1370</v>
      </c>
      <c r="L451" s="24" t="s">
        <v>4873</v>
      </c>
      <c r="M451" s="24" t="s">
        <v>4874</v>
      </c>
      <c r="N451" s="23" t="s">
        <v>4875</v>
      </c>
      <c r="O451" s="24" t="s">
        <v>4876</v>
      </c>
      <c r="P451" s="24" t="s">
        <v>4750</v>
      </c>
      <c r="Q451" s="24" t="s">
        <v>4877</v>
      </c>
      <c r="R451" s="25" t="s">
        <v>4878</v>
      </c>
      <c r="S451" s="29" t="s">
        <v>4879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174</v>
      </c>
      <c r="Y451" s="23" t="s">
        <v>174</v>
      </c>
      <c r="Z451" s="23" t="s">
        <v>174</v>
      </c>
      <c r="AA451" s="23" t="s">
        <v>174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  <c r="AE451" s="24" t="str">
        <f aca="false">M451&amp;" | 예레미야 30~31장 #"&amp;SUBSTITUTE(안내!$C$5," ","")</f>
        <v>돌판이 아닌 마음에 새기는 법 | 예레미야 30~31장 #1분성경</v>
      </c>
      <c r="AF451" s="24" t="s">
        <v>4880</v>
      </c>
      <c r="AG451" s="24"/>
      <c r="AH451" s="23" t="s">
        <v>290</v>
      </c>
      <c r="AI451" s="26" t="n">
        <f aca="false">U451-안내!$C$12</f>
        <v>46526</v>
      </c>
      <c r="AJ451" s="23" t="str">
        <f aca="false">IF(U451&lt;IF(C451=1,안내!$C$9,안내!$C$10)+안내!$C$12,"시즌 시작 전 제작","")</f>
        <v/>
      </c>
      <c r="AK451" s="24"/>
      <c r="AL451" s="27"/>
      <c r="AM451" s="27"/>
      <c r="AN451" s="27"/>
      <c r="AO451" s="27"/>
      <c r="AP451" s="27"/>
      <c r="AQ451" s="23" t="str">
        <f aca="false">D451&amp;"|"&amp;TEXT(U451,"yyyy-mm-dd")</f>
        <v>구약|2027-06-16</v>
      </c>
      <c r="AR451" s="24" t="s">
        <v>4881</v>
      </c>
      <c r="AS451" s="24"/>
    </row>
    <row r="452" customFormat="false" ht="26.85" hidden="false" customHeight="false" outlineLevel="0" collapsed="false">
      <c r="A452" s="21" t="n">
        <v>451</v>
      </c>
      <c r="B452" s="18" t="s">
        <v>4882</v>
      </c>
      <c r="C452" s="23" t="n">
        <v>2</v>
      </c>
      <c r="D452" s="23" t="s">
        <v>160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4843</v>
      </c>
      <c r="H452" s="18" t="s">
        <v>4844</v>
      </c>
      <c r="I452" s="21" t="s">
        <v>4750</v>
      </c>
      <c r="J452" s="22" t="s">
        <v>4883</v>
      </c>
      <c r="K452" s="23" t="s">
        <v>1370</v>
      </c>
      <c r="L452" s="24" t="s">
        <v>4884</v>
      </c>
      <c r="M452" s="24" t="s">
        <v>4885</v>
      </c>
      <c r="N452" s="23" t="s">
        <v>4886</v>
      </c>
      <c r="O452" s="24" t="s">
        <v>4887</v>
      </c>
      <c r="P452" s="24" t="s">
        <v>4888</v>
      </c>
      <c r="Q452" s="24" t="s">
        <v>4889</v>
      </c>
      <c r="R452" s="24"/>
      <c r="S452" s="24" t="s">
        <v>4890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174</v>
      </c>
      <c r="Y452" s="23" t="s">
        <v>174</v>
      </c>
      <c r="Z452" s="23" t="s">
        <v>174</v>
      </c>
      <c r="AA452" s="23" t="s">
        <v>174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  <c r="AE452" s="24" t="str">
        <f aca="false">M452&amp;" | 예레미야 32장 #"&amp;SUBSTITUTE(안내!$C$5," ","")</f>
        <v>모두가 망한다는데 땅을 산 선지자 | 예레미야 32장 #1분성경</v>
      </c>
      <c r="AF452" s="24" t="s">
        <v>304</v>
      </c>
      <c r="AG452" s="24"/>
      <c r="AH452" s="23" t="s">
        <v>290</v>
      </c>
      <c r="AI452" s="26" t="n">
        <f aca="false">U452-안내!$C$12</f>
        <v>46838</v>
      </c>
      <c r="AJ452" s="23" t="str">
        <f aca="false">IF(U452&lt;IF(C452=1,안내!$C$9,안내!$C$10)+안내!$C$12,"시즌 시작 전 제작","")</f>
        <v/>
      </c>
      <c r="AK452" s="24"/>
      <c r="AL452" s="27"/>
      <c r="AM452" s="27"/>
      <c r="AN452" s="27"/>
      <c r="AO452" s="27"/>
      <c r="AP452" s="27"/>
      <c r="AQ452" s="23" t="str">
        <f aca="false">D452&amp;"|"&amp;TEXT(U452,"yyyy-mm-dd")</f>
        <v>구약|2028-04-23</v>
      </c>
      <c r="AR452" s="24" t="s">
        <v>4891</v>
      </c>
      <c r="AS452" s="24"/>
    </row>
    <row r="453" customFormat="false" ht="26.85" hidden="false" customHeight="false" outlineLevel="0" collapsed="false">
      <c r="A453" s="21" t="n">
        <v>452</v>
      </c>
      <c r="B453" s="18" t="s">
        <v>4892</v>
      </c>
      <c r="C453" s="23" t="n">
        <v>2</v>
      </c>
      <c r="D453" s="23" t="s">
        <v>160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4843</v>
      </c>
      <c r="H453" s="18" t="s">
        <v>4844</v>
      </c>
      <c r="I453" s="21" t="s">
        <v>4750</v>
      </c>
      <c r="J453" s="22" t="s">
        <v>4893</v>
      </c>
      <c r="K453" s="23" t="s">
        <v>1370</v>
      </c>
      <c r="L453" s="24" t="s">
        <v>4894</v>
      </c>
      <c r="M453" s="24" t="s">
        <v>4895</v>
      </c>
      <c r="N453" s="23" t="s">
        <v>4896</v>
      </c>
      <c r="O453" s="24" t="s">
        <v>4897</v>
      </c>
      <c r="P453" s="24" t="s">
        <v>4750</v>
      </c>
      <c r="Q453" s="24" t="s">
        <v>4898</v>
      </c>
      <c r="R453" s="25" t="s">
        <v>4899</v>
      </c>
      <c r="S453" s="24" t="s">
        <v>4890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174</v>
      </c>
      <c r="Y453" s="23" t="s">
        <v>174</v>
      </c>
      <c r="Z453" s="23" t="s">
        <v>174</v>
      </c>
      <c r="AA453" s="23" t="s">
        <v>174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  <c r="AE453" s="24" t="str">
        <f aca="false">M453&amp;" | 예레미야 33장 #"&amp;SUBSTITUTE(안내!$C$5," ","")</f>
        <v>크고 비밀한 일을 보이리라 | 예레미야 33장 #1분성경</v>
      </c>
      <c r="AF453" s="24" t="s">
        <v>304</v>
      </c>
      <c r="AG453" s="24"/>
      <c r="AH453" s="23" t="s">
        <v>290</v>
      </c>
      <c r="AI453" s="26" t="n">
        <f aca="false">U453-안내!$C$12</f>
        <v>46839</v>
      </c>
      <c r="AJ453" s="23" t="str">
        <f aca="false">IF(U453&lt;IF(C453=1,안내!$C$9,안내!$C$10)+안내!$C$12,"시즌 시작 전 제작","")</f>
        <v/>
      </c>
      <c r="AK453" s="24"/>
      <c r="AL453" s="27"/>
      <c r="AM453" s="27"/>
      <c r="AN453" s="27"/>
      <c r="AO453" s="27"/>
      <c r="AP453" s="27"/>
      <c r="AQ453" s="23" t="str">
        <f aca="false">D453&amp;"|"&amp;TEXT(U453,"yyyy-mm-dd")</f>
        <v>구약|2028-04-24</v>
      </c>
      <c r="AR453" s="24" t="s">
        <v>4900</v>
      </c>
      <c r="AS453" s="24"/>
    </row>
    <row r="454" customFormat="false" ht="26.85" hidden="false" customHeight="false" outlineLevel="0" collapsed="false">
      <c r="A454" s="21" t="n">
        <v>453</v>
      </c>
      <c r="B454" s="18" t="s">
        <v>4901</v>
      </c>
      <c r="C454" s="23" t="n">
        <v>2</v>
      </c>
      <c r="D454" s="23" t="s">
        <v>160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4843</v>
      </c>
      <c r="H454" s="18" t="s">
        <v>4844</v>
      </c>
      <c r="I454" s="21" t="s">
        <v>4750</v>
      </c>
      <c r="J454" s="22" t="s">
        <v>4902</v>
      </c>
      <c r="K454" s="23" t="s">
        <v>1370</v>
      </c>
      <c r="L454" s="24" t="s">
        <v>4903</v>
      </c>
      <c r="M454" s="24" t="s">
        <v>4904</v>
      </c>
      <c r="N454" s="23" t="s">
        <v>4905</v>
      </c>
      <c r="O454" s="24" t="s">
        <v>4906</v>
      </c>
      <c r="P454" s="24" t="s">
        <v>4907</v>
      </c>
      <c r="Q454" s="24" t="s">
        <v>4908</v>
      </c>
      <c r="R454" s="24"/>
      <c r="S454" s="24" t="s">
        <v>4890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174</v>
      </c>
      <c r="Y454" s="23" t="s">
        <v>174</v>
      </c>
      <c r="Z454" s="23" t="s">
        <v>174</v>
      </c>
      <c r="AA454" s="23" t="s">
        <v>174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  <c r="AE454" s="24" t="str">
        <f aca="false">M454&amp;" | 예레미야 34~36장 #"&amp;SUBSTITUTE(안내!$C$5," ","")</f>
        <v>왕이 칼로 잘라 불에 던진 말씀 | 예레미야 34~36장 #1분성경</v>
      </c>
      <c r="AF454" s="24" t="s">
        <v>304</v>
      </c>
      <c r="AG454" s="24"/>
      <c r="AH454" s="23" t="s">
        <v>290</v>
      </c>
      <c r="AI454" s="26" t="n">
        <f aca="false">U454-안내!$C$12</f>
        <v>46840</v>
      </c>
      <c r="AJ454" s="23" t="str">
        <f aca="false">IF(U454&lt;IF(C454=1,안내!$C$9,안내!$C$10)+안내!$C$12,"시즌 시작 전 제작","")</f>
        <v/>
      </c>
      <c r="AK454" s="24"/>
      <c r="AL454" s="27"/>
      <c r="AM454" s="27"/>
      <c r="AN454" s="27"/>
      <c r="AO454" s="27"/>
      <c r="AP454" s="27"/>
      <c r="AQ454" s="23" t="str">
        <f aca="false">D454&amp;"|"&amp;TEXT(U454,"yyyy-mm-dd")</f>
        <v>구약|2028-04-25</v>
      </c>
      <c r="AR454" s="24" t="s">
        <v>4909</v>
      </c>
      <c r="AS454" s="24"/>
    </row>
    <row r="455" customFormat="false" ht="52.2" hidden="false" customHeight="false" outlineLevel="0" collapsed="false">
      <c r="A455" s="21" t="n">
        <v>454</v>
      </c>
      <c r="B455" s="18" t="s">
        <v>4910</v>
      </c>
      <c r="C455" s="20" t="n">
        <v>1</v>
      </c>
      <c r="D455" s="20" t="s">
        <v>160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4843</v>
      </c>
      <c r="H455" s="18" t="s">
        <v>4516</v>
      </c>
      <c r="I455" s="21" t="s">
        <v>4750</v>
      </c>
      <c r="J455" s="22" t="s">
        <v>4911</v>
      </c>
      <c r="K455" s="23" t="s">
        <v>1370</v>
      </c>
      <c r="L455" s="24" t="s">
        <v>4912</v>
      </c>
      <c r="M455" s="24" t="s">
        <v>4913</v>
      </c>
      <c r="N455" s="23" t="s">
        <v>4914</v>
      </c>
      <c r="O455" s="24" t="s">
        <v>4915</v>
      </c>
      <c r="P455" s="24" t="s">
        <v>4916</v>
      </c>
      <c r="Q455" s="24" t="s">
        <v>4917</v>
      </c>
      <c r="R455" s="24"/>
      <c r="S455" s="29" t="s">
        <v>4918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174</v>
      </c>
      <c r="Y455" s="23" t="s">
        <v>174</v>
      </c>
      <c r="Z455" s="23" t="s">
        <v>174</v>
      </c>
      <c r="AA455" s="23" t="s">
        <v>174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  <c r="AE455" s="24" t="str">
        <f aca="false">M455&amp;" | 예레미야 37~38장 #"&amp;SUBSTITUTE(안내!$C$5," ","")</f>
        <v>선지자가 구덩이에 던져졌다 | 예레미야 37~38장 #1분성경</v>
      </c>
      <c r="AF455" s="24" t="s">
        <v>4919</v>
      </c>
      <c r="AG455" s="24"/>
      <c r="AH455" s="23" t="s">
        <v>290</v>
      </c>
      <c r="AI455" s="26" t="n">
        <f aca="false">U455-안내!$C$12</f>
        <v>46527</v>
      </c>
      <c r="AJ455" s="23" t="str">
        <f aca="false">IF(U455&lt;IF(C455=1,안내!$C$9,안내!$C$10)+안내!$C$12,"시즌 시작 전 제작","")</f>
        <v/>
      </c>
      <c r="AK455" s="24"/>
      <c r="AL455" s="27"/>
      <c r="AM455" s="27"/>
      <c r="AN455" s="27"/>
      <c r="AO455" s="27"/>
      <c r="AP455" s="27"/>
      <c r="AQ455" s="23" t="str">
        <f aca="false">D455&amp;"|"&amp;TEXT(U455,"yyyy-mm-dd")</f>
        <v>구약|2027-06-17</v>
      </c>
      <c r="AR455" s="24" t="s">
        <v>4920</v>
      </c>
      <c r="AS455" s="24"/>
    </row>
    <row r="456" customFormat="false" ht="39.55" hidden="false" customHeight="false" outlineLevel="0" collapsed="false">
      <c r="A456" s="21" t="n">
        <v>455</v>
      </c>
      <c r="B456" s="18" t="s">
        <v>4921</v>
      </c>
      <c r="C456" s="23" t="n">
        <v>2</v>
      </c>
      <c r="D456" s="23" t="s">
        <v>160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4843</v>
      </c>
      <c r="H456" s="18" t="s">
        <v>4844</v>
      </c>
      <c r="I456" s="21" t="s">
        <v>4750</v>
      </c>
      <c r="J456" s="22" t="s">
        <v>4922</v>
      </c>
      <c r="K456" s="23" t="s">
        <v>1370</v>
      </c>
      <c r="L456" s="24" t="s">
        <v>4923</v>
      </c>
      <c r="M456" s="24" t="s">
        <v>4924</v>
      </c>
      <c r="N456" s="23" t="s">
        <v>4925</v>
      </c>
      <c r="O456" s="24" t="s">
        <v>4926</v>
      </c>
      <c r="P456" s="24" t="s">
        <v>4927</v>
      </c>
      <c r="Q456" s="24" t="s">
        <v>4928</v>
      </c>
      <c r="R456" s="25" t="s">
        <v>4929</v>
      </c>
      <c r="S456" s="24" t="s">
        <v>4930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174</v>
      </c>
      <c r="Y456" s="23" t="s">
        <v>174</v>
      </c>
      <c r="Z456" s="23" t="s">
        <v>174</v>
      </c>
      <c r="AA456" s="23" t="s">
        <v>174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  <c r="AE456" s="24" t="str">
        <f aca="false">M456&amp;" | 예레미야 39~41장 #"&amp;SUBSTITUTE(안내!$C$5," ","")</f>
        <v>예언하던 그날이 왔다 | 예레미야 39~41장 #1분성경</v>
      </c>
      <c r="AF456" s="24" t="s">
        <v>304</v>
      </c>
      <c r="AG456" s="24"/>
      <c r="AH456" s="23" t="s">
        <v>290</v>
      </c>
      <c r="AI456" s="26" t="n">
        <f aca="false">U456-안내!$C$12</f>
        <v>46841</v>
      </c>
      <c r="AJ456" s="23" t="str">
        <f aca="false">IF(U456&lt;IF(C456=1,안내!$C$9,안내!$C$10)+안내!$C$12,"시즌 시작 전 제작","")</f>
        <v/>
      </c>
      <c r="AK456" s="24"/>
      <c r="AL456" s="27"/>
      <c r="AM456" s="27"/>
      <c r="AN456" s="27"/>
      <c r="AO456" s="27"/>
      <c r="AP456" s="27"/>
      <c r="AQ456" s="23" t="str">
        <f aca="false">D456&amp;"|"&amp;TEXT(U456,"yyyy-mm-dd")</f>
        <v>구약|2028-04-26</v>
      </c>
      <c r="AR456" s="24" t="s">
        <v>4931</v>
      </c>
      <c r="AS456" s="24"/>
    </row>
    <row r="457" customFormat="false" ht="39.55" hidden="false" customHeight="false" outlineLevel="0" collapsed="false">
      <c r="A457" s="21" t="n">
        <v>456</v>
      </c>
      <c r="B457" s="18" t="s">
        <v>4932</v>
      </c>
      <c r="C457" s="23" t="n">
        <v>2</v>
      </c>
      <c r="D457" s="23" t="s">
        <v>160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4843</v>
      </c>
      <c r="H457" s="18" t="s">
        <v>4844</v>
      </c>
      <c r="I457" s="21" t="s">
        <v>4750</v>
      </c>
      <c r="J457" s="22" t="s">
        <v>4933</v>
      </c>
      <c r="K457" s="23" t="s">
        <v>1370</v>
      </c>
      <c r="L457" s="24" t="s">
        <v>4934</v>
      </c>
      <c r="M457" s="24" t="s">
        <v>4935</v>
      </c>
      <c r="N457" s="23" t="s">
        <v>4936</v>
      </c>
      <c r="O457" s="24" t="s">
        <v>4937</v>
      </c>
      <c r="P457" s="24" t="s">
        <v>4938</v>
      </c>
      <c r="Q457" s="24" t="s">
        <v>4939</v>
      </c>
      <c r="R457" s="24"/>
      <c r="S457" s="24" t="s">
        <v>4930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174</v>
      </c>
      <c r="Y457" s="23" t="s">
        <v>174</v>
      </c>
      <c r="Z457" s="23" t="s">
        <v>174</v>
      </c>
      <c r="AA457" s="23" t="s">
        <v>174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  <c r="AE457" s="24" t="str">
        <f aca="false">M457&amp;" | 예레미야 42~52장 #"&amp;SUBSTITUTE(안내!$C$5," ","")</f>
        <v>하나님 말씀을 듣고도 반대로 간 사람들 | 예레미야 42~52장 #1분성경</v>
      </c>
      <c r="AF457" s="24" t="s">
        <v>304</v>
      </c>
      <c r="AG457" s="24"/>
      <c r="AH457" s="23" t="s">
        <v>290</v>
      </c>
      <c r="AI457" s="26" t="n">
        <f aca="false">U457-안내!$C$12</f>
        <v>46842</v>
      </c>
      <c r="AJ457" s="23" t="str">
        <f aca="false">IF(U457&lt;IF(C457=1,안내!$C$9,안내!$C$10)+안내!$C$12,"시즌 시작 전 제작","")</f>
        <v/>
      </c>
      <c r="AK457" s="24"/>
      <c r="AL457" s="27"/>
      <c r="AM457" s="27"/>
      <c r="AN457" s="27"/>
      <c r="AO457" s="27"/>
      <c r="AP457" s="27"/>
      <c r="AQ457" s="23" t="str">
        <f aca="false">D457&amp;"|"&amp;TEXT(U457,"yyyy-mm-dd")</f>
        <v>구약|2028-04-27</v>
      </c>
      <c r="AR457" s="24" t="s">
        <v>4940</v>
      </c>
      <c r="AS457" s="24" t="s">
        <v>292</v>
      </c>
    </row>
    <row r="458" customFormat="false" ht="39.55" hidden="false" customHeight="false" outlineLevel="0" collapsed="false">
      <c r="A458" s="21" t="n">
        <v>457</v>
      </c>
      <c r="B458" s="18" t="s">
        <v>4941</v>
      </c>
      <c r="C458" s="23" t="n">
        <v>2</v>
      </c>
      <c r="D458" s="23" t="s">
        <v>160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4843</v>
      </c>
      <c r="H458" s="18" t="s">
        <v>4844</v>
      </c>
      <c r="I458" s="21" t="s">
        <v>4942</v>
      </c>
      <c r="J458" s="22" t="s">
        <v>4943</v>
      </c>
      <c r="K458" s="23" t="s">
        <v>1370</v>
      </c>
      <c r="L458" s="24" t="s">
        <v>4944</v>
      </c>
      <c r="M458" s="24" t="s">
        <v>4945</v>
      </c>
      <c r="N458" s="23" t="s">
        <v>4946</v>
      </c>
      <c r="O458" s="24" t="s">
        <v>4947</v>
      </c>
      <c r="P458" s="24" t="s">
        <v>4948</v>
      </c>
      <c r="Q458" s="24" t="s">
        <v>4949</v>
      </c>
      <c r="R458" s="24"/>
      <c r="S458" s="24" t="s">
        <v>4930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174</v>
      </c>
      <c r="Y458" s="23" t="s">
        <v>174</v>
      </c>
      <c r="Z458" s="23" t="s">
        <v>174</v>
      </c>
      <c r="AA458" s="23" t="s">
        <v>174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  <c r="AE458" s="24" t="str">
        <f aca="false">M458&amp;" | 예레미야애가 1~2장 #"&amp;SUBSTITUTE(안내!$C$5," ","")</f>
        <v>사람이 가득했던 성이 과부처럼 되었다 | 예레미야애가 1~2장 #1분성경</v>
      </c>
      <c r="AF458" s="24" t="s">
        <v>304</v>
      </c>
      <c r="AG458" s="24"/>
      <c r="AH458" s="23" t="s">
        <v>290</v>
      </c>
      <c r="AI458" s="26" t="n">
        <f aca="false">U458-안내!$C$12</f>
        <v>46843</v>
      </c>
      <c r="AJ458" s="23" t="str">
        <f aca="false">IF(U458&lt;IF(C458=1,안내!$C$9,안내!$C$10)+안내!$C$12,"시즌 시작 전 제작","")</f>
        <v/>
      </c>
      <c r="AK458" s="24"/>
      <c r="AL458" s="27"/>
      <c r="AM458" s="27"/>
      <c r="AN458" s="27"/>
      <c r="AO458" s="27"/>
      <c r="AP458" s="27"/>
      <c r="AQ458" s="23" t="str">
        <f aca="false">D458&amp;"|"&amp;TEXT(U458,"yyyy-mm-dd")</f>
        <v>구약|2028-04-28</v>
      </c>
      <c r="AR458" s="24" t="s">
        <v>4950</v>
      </c>
      <c r="AS458" s="24"/>
    </row>
    <row r="459" customFormat="false" ht="52.2" hidden="false" customHeight="false" outlineLevel="0" collapsed="false">
      <c r="A459" s="21" t="n">
        <v>458</v>
      </c>
      <c r="B459" s="18" t="s">
        <v>4951</v>
      </c>
      <c r="C459" s="20" t="n">
        <v>1</v>
      </c>
      <c r="D459" s="20" t="s">
        <v>160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4843</v>
      </c>
      <c r="H459" s="18" t="s">
        <v>4516</v>
      </c>
      <c r="I459" s="21" t="s">
        <v>4942</v>
      </c>
      <c r="J459" s="22" t="s">
        <v>4952</v>
      </c>
      <c r="K459" s="23" t="s">
        <v>1370</v>
      </c>
      <c r="L459" s="24" t="s">
        <v>4953</v>
      </c>
      <c r="M459" s="24" t="s">
        <v>4954</v>
      </c>
      <c r="N459" s="23" t="s">
        <v>4955</v>
      </c>
      <c r="O459" s="24" t="s">
        <v>4956</v>
      </c>
      <c r="P459" s="24" t="s">
        <v>4948</v>
      </c>
      <c r="Q459" s="24" t="s">
        <v>4957</v>
      </c>
      <c r="R459" s="24"/>
      <c r="S459" s="29" t="s">
        <v>4958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174</v>
      </c>
      <c r="Y459" s="23" t="s">
        <v>174</v>
      </c>
      <c r="Z459" s="23" t="s">
        <v>174</v>
      </c>
      <c r="AA459" s="23" t="s">
        <v>174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  <c r="AE459" s="24" t="str">
        <f aca="false">M459&amp;" | 예레미야애가 3장 #"&amp;SUBSTITUTE(안내!$C$5," ","")</f>
        <v>가장 어두운 책 한가운데의 빛 | 예레미야애가 3장 #1분성경</v>
      </c>
      <c r="AF459" s="24" t="s">
        <v>4957</v>
      </c>
      <c r="AG459" s="24"/>
      <c r="AH459" s="23" t="s">
        <v>290</v>
      </c>
      <c r="AI459" s="26" t="n">
        <f aca="false">U459-안내!$C$12</f>
        <v>46528</v>
      </c>
      <c r="AJ459" s="23" t="str">
        <f aca="false">IF(U459&lt;IF(C459=1,안내!$C$9,안내!$C$10)+안내!$C$12,"시즌 시작 전 제작","")</f>
        <v/>
      </c>
      <c r="AK459" s="24"/>
      <c r="AL459" s="27"/>
      <c r="AM459" s="27"/>
      <c r="AN459" s="27"/>
      <c r="AO459" s="27"/>
      <c r="AP459" s="27"/>
      <c r="AQ459" s="23" t="str">
        <f aca="false">D459&amp;"|"&amp;TEXT(U459,"yyyy-mm-dd")</f>
        <v>구약|2027-06-18</v>
      </c>
      <c r="AR459" s="24" t="s">
        <v>4959</v>
      </c>
      <c r="AS459" s="24"/>
    </row>
    <row r="460" customFormat="false" ht="26.85" hidden="false" customHeight="false" outlineLevel="0" collapsed="false">
      <c r="A460" s="21" t="n">
        <v>459</v>
      </c>
      <c r="B460" s="18" t="s">
        <v>4960</v>
      </c>
      <c r="C460" s="23" t="n">
        <v>2</v>
      </c>
      <c r="D460" s="23" t="s">
        <v>160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4843</v>
      </c>
      <c r="H460" s="18" t="s">
        <v>4844</v>
      </c>
      <c r="I460" s="21" t="s">
        <v>4942</v>
      </c>
      <c r="J460" s="22" t="s">
        <v>4961</v>
      </c>
      <c r="K460" s="23" t="s">
        <v>1370</v>
      </c>
      <c r="L460" s="24" t="s">
        <v>4962</v>
      </c>
      <c r="M460" s="24" t="s">
        <v>4963</v>
      </c>
      <c r="N460" s="23" t="s">
        <v>4964</v>
      </c>
      <c r="O460" s="24" t="s">
        <v>4965</v>
      </c>
      <c r="P460" s="24" t="s">
        <v>4948</v>
      </c>
      <c r="Q460" s="24" t="s">
        <v>4966</v>
      </c>
      <c r="R460" s="28" t="s">
        <v>4967</v>
      </c>
      <c r="S460" s="24" t="s">
        <v>4968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174</v>
      </c>
      <c r="Y460" s="23" t="s">
        <v>174</v>
      </c>
      <c r="Z460" s="23" t="s">
        <v>174</v>
      </c>
      <c r="AA460" s="23" t="s">
        <v>174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  <c r="AE460" s="24" t="str">
        <f aca="false">M460&amp;" | 예레미야애가 4~5장 #"&amp;SUBSTITUTE(안내!$C$5," ","")</f>
        <v>우리 날을 다시 새롭게 하옵소서 | 예레미야애가 4~5장 #1분성경</v>
      </c>
      <c r="AF460" s="24" t="s">
        <v>304</v>
      </c>
      <c r="AG460" s="24"/>
      <c r="AH460" s="23" t="s">
        <v>290</v>
      </c>
      <c r="AI460" s="26" t="n">
        <f aca="false">U460-안내!$C$12</f>
        <v>46844</v>
      </c>
      <c r="AJ460" s="23" t="str">
        <f aca="false">IF(U460&lt;IF(C460=1,안내!$C$9,안내!$C$10)+안내!$C$12,"시즌 시작 전 제작","")</f>
        <v/>
      </c>
      <c r="AK460" s="24"/>
      <c r="AL460" s="27"/>
      <c r="AM460" s="27"/>
      <c r="AN460" s="27"/>
      <c r="AO460" s="27"/>
      <c r="AP460" s="27"/>
      <c r="AQ460" s="23" t="str">
        <f aca="false">D460&amp;"|"&amp;TEXT(U460,"yyyy-mm-dd")</f>
        <v>구약|2028-04-29</v>
      </c>
      <c r="AR460" s="24" t="s">
        <v>4969</v>
      </c>
      <c r="AS460" s="24"/>
    </row>
    <row r="461" customFormat="false" ht="39.55" hidden="false" customHeight="false" outlineLevel="0" collapsed="false">
      <c r="A461" s="21" t="n">
        <v>460</v>
      </c>
      <c r="B461" s="18" t="s">
        <v>4970</v>
      </c>
      <c r="C461" s="23" t="n">
        <v>2</v>
      </c>
      <c r="D461" s="23" t="s">
        <v>160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4971</v>
      </c>
      <c r="H461" s="18" t="s">
        <v>4972</v>
      </c>
      <c r="I461" s="21" t="s">
        <v>4973</v>
      </c>
      <c r="J461" s="22" t="s">
        <v>4974</v>
      </c>
      <c r="K461" s="23" t="s">
        <v>1370</v>
      </c>
      <c r="L461" s="24" t="s">
        <v>4975</v>
      </c>
      <c r="M461" s="24" t="s">
        <v>4976</v>
      </c>
      <c r="N461" s="23" t="s">
        <v>4977</v>
      </c>
      <c r="O461" s="24" t="s">
        <v>4978</v>
      </c>
      <c r="P461" s="24" t="s">
        <v>4979</v>
      </c>
      <c r="Q461" s="24" t="s">
        <v>4980</v>
      </c>
      <c r="R461" s="25" t="s">
        <v>4981</v>
      </c>
      <c r="S461" s="24" t="s">
        <v>4968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174</v>
      </c>
      <c r="Y461" s="23" t="s">
        <v>174</v>
      </c>
      <c r="Z461" s="23" t="s">
        <v>174</v>
      </c>
      <c r="AA461" s="23" t="s">
        <v>174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  <c r="AE461" s="24" t="str">
        <f aca="false">M461&amp;" | 에스겔 1장 #"&amp;SUBSTITUTE(안내!$C$5," ","")</f>
        <v>바퀴 안의 바퀴, 불 같은 형상 | 에스겔 1장 #1분성경</v>
      </c>
      <c r="AF461" s="24" t="s">
        <v>304</v>
      </c>
      <c r="AG461" s="24"/>
      <c r="AH461" s="23" t="s">
        <v>290</v>
      </c>
      <c r="AI461" s="26" t="n">
        <f aca="false">U461-안내!$C$12</f>
        <v>46845</v>
      </c>
      <c r="AJ461" s="23" t="str">
        <f aca="false">IF(U461&lt;IF(C461=1,안내!$C$9,안내!$C$10)+안내!$C$12,"시즌 시작 전 제작","")</f>
        <v/>
      </c>
      <c r="AK461" s="24"/>
      <c r="AL461" s="27"/>
      <c r="AM461" s="27"/>
      <c r="AN461" s="27"/>
      <c r="AO461" s="27"/>
      <c r="AP461" s="27"/>
      <c r="AQ461" s="23" t="str">
        <f aca="false">D461&amp;"|"&amp;TEXT(U461,"yyyy-mm-dd")</f>
        <v>구약|2028-04-30</v>
      </c>
      <c r="AR461" s="24" t="s">
        <v>4982</v>
      </c>
      <c r="AS461" s="24"/>
    </row>
    <row r="462" customFormat="false" ht="26.85" hidden="false" customHeight="false" outlineLevel="0" collapsed="false">
      <c r="A462" s="21" t="n">
        <v>461</v>
      </c>
      <c r="B462" s="18" t="s">
        <v>4983</v>
      </c>
      <c r="C462" s="23" t="n">
        <v>2</v>
      </c>
      <c r="D462" s="23" t="s">
        <v>160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4971</v>
      </c>
      <c r="H462" s="18" t="s">
        <v>4972</v>
      </c>
      <c r="I462" s="21" t="s">
        <v>4973</v>
      </c>
      <c r="J462" s="22" t="s">
        <v>4984</v>
      </c>
      <c r="K462" s="23" t="s">
        <v>1370</v>
      </c>
      <c r="L462" s="24" t="s">
        <v>4985</v>
      </c>
      <c r="M462" s="24" t="s">
        <v>4986</v>
      </c>
      <c r="N462" s="23" t="s">
        <v>4987</v>
      </c>
      <c r="O462" s="24" t="s">
        <v>4988</v>
      </c>
      <c r="P462" s="24" t="s">
        <v>4989</v>
      </c>
      <c r="Q462" s="24" t="s">
        <v>4990</v>
      </c>
      <c r="R462" s="24"/>
      <c r="S462" s="24" t="s">
        <v>4968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174</v>
      </c>
      <c r="Y462" s="23" t="s">
        <v>174</v>
      </c>
      <c r="Z462" s="23" t="s">
        <v>174</v>
      </c>
      <c r="AA462" s="23" t="s">
        <v>174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  <c r="AE462" s="24" t="str">
        <f aca="false">M462&amp;" | 에스겔 2~3장 #"&amp;SUBSTITUTE(안내!$C$5," ","")</f>
        <v>말씀이 꿀처럼 달았다 | 에스겔 2~3장 #1분성경</v>
      </c>
      <c r="AF462" s="24" t="s">
        <v>304</v>
      </c>
      <c r="AG462" s="24"/>
      <c r="AH462" s="23" t="s">
        <v>290</v>
      </c>
      <c r="AI462" s="26" t="n">
        <f aca="false">U462-안내!$C$12</f>
        <v>46846</v>
      </c>
      <c r="AJ462" s="23" t="str">
        <f aca="false">IF(U462&lt;IF(C462=1,안내!$C$9,안내!$C$10)+안내!$C$12,"시즌 시작 전 제작","")</f>
        <v/>
      </c>
      <c r="AK462" s="24"/>
      <c r="AL462" s="27"/>
      <c r="AM462" s="27"/>
      <c r="AN462" s="27"/>
      <c r="AO462" s="27"/>
      <c r="AP462" s="27"/>
      <c r="AQ462" s="23" t="str">
        <f aca="false">D462&amp;"|"&amp;TEXT(U462,"yyyy-mm-dd")</f>
        <v>구약|2028-05-01</v>
      </c>
      <c r="AR462" s="24" t="s">
        <v>4991</v>
      </c>
      <c r="AS462" s="24"/>
    </row>
    <row r="463" customFormat="false" ht="26.85" hidden="false" customHeight="false" outlineLevel="0" collapsed="false">
      <c r="A463" s="21" t="n">
        <v>462</v>
      </c>
      <c r="B463" s="18" t="s">
        <v>4992</v>
      </c>
      <c r="C463" s="23" t="n">
        <v>2</v>
      </c>
      <c r="D463" s="23" t="s">
        <v>160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4971</v>
      </c>
      <c r="H463" s="18" t="s">
        <v>4972</v>
      </c>
      <c r="I463" s="21" t="s">
        <v>4973</v>
      </c>
      <c r="J463" s="22" t="s">
        <v>4993</v>
      </c>
      <c r="K463" s="23" t="s">
        <v>1370</v>
      </c>
      <c r="L463" s="30" t="s">
        <v>4994</v>
      </c>
      <c r="M463" s="24" t="s">
        <v>4995</v>
      </c>
      <c r="N463" s="23" t="s">
        <v>4996</v>
      </c>
      <c r="O463" s="24" t="s">
        <v>4997</v>
      </c>
      <c r="P463" s="24" t="s">
        <v>4973</v>
      </c>
      <c r="Q463" s="24" t="s">
        <v>4998</v>
      </c>
      <c r="R463" s="24"/>
      <c r="S463" s="24" t="s">
        <v>4968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174</v>
      </c>
      <c r="Y463" s="23" t="s">
        <v>174</v>
      </c>
      <c r="Z463" s="23" t="s">
        <v>174</v>
      </c>
      <c r="AA463" s="23" t="s">
        <v>174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  <c r="AE463" s="24" t="str">
        <f aca="false">M463&amp;" | 에스겔 4~7장 #"&amp;SUBSTITUTE(안내!$C$5," ","")</f>
        <v>몸으로 보여 준 예언 | 에스겔 4~7장 #1분성경</v>
      </c>
      <c r="AF463" s="24" t="s">
        <v>304</v>
      </c>
      <c r="AG463" s="24"/>
      <c r="AH463" s="23" t="s">
        <v>290</v>
      </c>
      <c r="AI463" s="26" t="n">
        <f aca="false">U463-안내!$C$12</f>
        <v>46847</v>
      </c>
      <c r="AJ463" s="23" t="str">
        <f aca="false">IF(U463&lt;IF(C463=1,안내!$C$9,안내!$C$10)+안내!$C$12,"시즌 시작 전 제작","")</f>
        <v/>
      </c>
      <c r="AK463" s="24"/>
      <c r="AL463" s="27"/>
      <c r="AM463" s="27"/>
      <c r="AN463" s="27"/>
      <c r="AO463" s="27"/>
      <c r="AP463" s="27"/>
      <c r="AQ463" s="23" t="str">
        <f aca="false">D463&amp;"|"&amp;TEXT(U463,"yyyy-mm-dd")</f>
        <v>구약|2028-05-02</v>
      </c>
      <c r="AR463" s="24" t="s">
        <v>4999</v>
      </c>
      <c r="AS463" s="24"/>
    </row>
    <row r="464" customFormat="false" ht="26.85" hidden="false" customHeight="false" outlineLevel="0" collapsed="false">
      <c r="A464" s="21" t="n">
        <v>463</v>
      </c>
      <c r="B464" s="18" t="s">
        <v>5000</v>
      </c>
      <c r="C464" s="23" t="n">
        <v>2</v>
      </c>
      <c r="D464" s="23" t="s">
        <v>160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4971</v>
      </c>
      <c r="H464" s="18" t="s">
        <v>4972</v>
      </c>
      <c r="I464" s="21" t="s">
        <v>4973</v>
      </c>
      <c r="J464" s="22" t="s">
        <v>5001</v>
      </c>
      <c r="K464" s="23" t="s">
        <v>1370</v>
      </c>
      <c r="L464" s="24" t="s">
        <v>5002</v>
      </c>
      <c r="M464" s="24" t="s">
        <v>5003</v>
      </c>
      <c r="N464" s="23" t="s">
        <v>5004</v>
      </c>
      <c r="O464" s="24" t="s">
        <v>5005</v>
      </c>
      <c r="P464" s="24" t="s">
        <v>5006</v>
      </c>
      <c r="Q464" s="24" t="s">
        <v>5007</v>
      </c>
      <c r="R464" s="25" t="s">
        <v>5008</v>
      </c>
      <c r="S464" s="24" t="s">
        <v>4968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174</v>
      </c>
      <c r="Y464" s="23" t="s">
        <v>174</v>
      </c>
      <c r="Z464" s="23" t="s">
        <v>174</v>
      </c>
      <c r="AA464" s="23" t="s">
        <v>174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  <c r="AE464" s="24" t="str">
        <f aca="false">M464&amp;" | 에스겔 8~11장 #"&amp;SUBSTITUTE(안내!$C$5," ","")</f>
        <v>하나님의 영광이 성전 문지방을 떠났다 | 에스겔 8~11장 #1분성경</v>
      </c>
      <c r="AF464" s="24" t="s">
        <v>304</v>
      </c>
      <c r="AG464" s="24"/>
      <c r="AH464" s="23" t="s">
        <v>290</v>
      </c>
      <c r="AI464" s="26" t="n">
        <f aca="false">U464-안내!$C$12</f>
        <v>46848</v>
      </c>
      <c r="AJ464" s="23" t="str">
        <f aca="false">IF(U464&lt;IF(C464=1,안내!$C$9,안내!$C$10)+안내!$C$12,"시즌 시작 전 제작","")</f>
        <v/>
      </c>
      <c r="AK464" s="24"/>
      <c r="AL464" s="27"/>
      <c r="AM464" s="27"/>
      <c r="AN464" s="27"/>
      <c r="AO464" s="27"/>
      <c r="AP464" s="27"/>
      <c r="AQ464" s="23" t="str">
        <f aca="false">D464&amp;"|"&amp;TEXT(U464,"yyyy-mm-dd")</f>
        <v>구약|2028-05-03</v>
      </c>
      <c r="AR464" s="24" t="s">
        <v>5009</v>
      </c>
      <c r="AS464" s="24"/>
    </row>
    <row r="465" customFormat="false" ht="39.55" hidden="false" customHeight="false" outlineLevel="0" collapsed="false">
      <c r="A465" s="21" t="n">
        <v>464</v>
      </c>
      <c r="B465" s="18" t="s">
        <v>5010</v>
      </c>
      <c r="C465" s="23" t="n">
        <v>2</v>
      </c>
      <c r="D465" s="23" t="s">
        <v>160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4971</v>
      </c>
      <c r="H465" s="18" t="s">
        <v>4972</v>
      </c>
      <c r="I465" s="21" t="s">
        <v>4973</v>
      </c>
      <c r="J465" s="22" t="s">
        <v>5011</v>
      </c>
      <c r="K465" s="23" t="s">
        <v>1370</v>
      </c>
      <c r="L465" s="24" t="s">
        <v>5012</v>
      </c>
      <c r="M465" s="24" t="s">
        <v>5013</v>
      </c>
      <c r="N465" s="23" t="s">
        <v>5014</v>
      </c>
      <c r="O465" s="24" t="s">
        <v>5015</v>
      </c>
      <c r="P465" s="24" t="s">
        <v>4973</v>
      </c>
      <c r="Q465" s="24" t="s">
        <v>5016</v>
      </c>
      <c r="R465" s="24"/>
      <c r="S465" s="24" t="s">
        <v>4968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174</v>
      </c>
      <c r="Y465" s="23" t="s">
        <v>174</v>
      </c>
      <c r="Z465" s="23" t="s">
        <v>174</v>
      </c>
      <c r="AA465" s="23" t="s">
        <v>174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  <c r="AE465" s="24" t="str">
        <f aca="false">M465&amp;" | 에스겔 12~17장 #"&amp;SUBSTITUTE(안내!$C$5," ","")</f>
        <v>백향목 가지 하나에서 시작될 나라 | 에스겔 12~17장 #1분성경</v>
      </c>
      <c r="AF465" s="24" t="s">
        <v>304</v>
      </c>
      <c r="AG465" s="24"/>
      <c r="AH465" s="23" t="s">
        <v>290</v>
      </c>
      <c r="AI465" s="26" t="n">
        <f aca="false">U465-안내!$C$12</f>
        <v>46849</v>
      </c>
      <c r="AJ465" s="23" t="str">
        <f aca="false">IF(U465&lt;IF(C465=1,안내!$C$9,안내!$C$10)+안내!$C$12,"시즌 시작 전 제작","")</f>
        <v/>
      </c>
      <c r="AK465" s="24"/>
      <c r="AL465" s="27"/>
      <c r="AM465" s="27"/>
      <c r="AN465" s="27"/>
      <c r="AO465" s="27"/>
      <c r="AP465" s="27"/>
      <c r="AQ465" s="23" t="str">
        <f aca="false">D465&amp;"|"&amp;TEXT(U465,"yyyy-mm-dd")</f>
        <v>구약|2028-05-04</v>
      </c>
      <c r="AR465" s="24" t="s">
        <v>5017</v>
      </c>
      <c r="AS465" s="24" t="s">
        <v>292</v>
      </c>
    </row>
    <row r="466" customFormat="false" ht="26.85" hidden="false" customHeight="false" outlineLevel="0" collapsed="false">
      <c r="A466" s="21" t="n">
        <v>465</v>
      </c>
      <c r="B466" s="18" t="s">
        <v>5018</v>
      </c>
      <c r="C466" s="23" t="n">
        <v>2</v>
      </c>
      <c r="D466" s="23" t="s">
        <v>160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4971</v>
      </c>
      <c r="H466" s="18" t="s">
        <v>4972</v>
      </c>
      <c r="I466" s="21" t="s">
        <v>4973</v>
      </c>
      <c r="J466" s="22" t="s">
        <v>5019</v>
      </c>
      <c r="K466" s="23" t="s">
        <v>1370</v>
      </c>
      <c r="L466" s="24" t="s">
        <v>5020</v>
      </c>
      <c r="M466" s="24" t="s">
        <v>5021</v>
      </c>
      <c r="N466" s="23" t="s">
        <v>5022</v>
      </c>
      <c r="O466" s="24" t="s">
        <v>5023</v>
      </c>
      <c r="P466" s="24" t="s">
        <v>4973</v>
      </c>
      <c r="Q466" s="24" t="s">
        <v>4492</v>
      </c>
      <c r="R466" s="24"/>
      <c r="S466" s="24" t="s">
        <v>4968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174</v>
      </c>
      <c r="Y466" s="23" t="s">
        <v>174</v>
      </c>
      <c r="Z466" s="23" t="s">
        <v>174</v>
      </c>
      <c r="AA466" s="23" t="s">
        <v>174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  <c r="AE466" s="24" t="str">
        <f aca="false">M466&amp;" | 에스겔 18장 #"&amp;SUBSTITUTE(안내!$C$5," ","")</f>
        <v>아버지가 신 포도를 먹으면 | 에스겔 18장 #1분성경</v>
      </c>
      <c r="AF466" s="24" t="s">
        <v>304</v>
      </c>
      <c r="AG466" s="24"/>
      <c r="AH466" s="23" t="s">
        <v>290</v>
      </c>
      <c r="AI466" s="26" t="n">
        <f aca="false">U466-안내!$C$12</f>
        <v>46850</v>
      </c>
      <c r="AJ466" s="23" t="str">
        <f aca="false">IF(U466&lt;IF(C466=1,안내!$C$9,안내!$C$10)+안내!$C$12,"시즌 시작 전 제작","")</f>
        <v/>
      </c>
      <c r="AK466" s="24"/>
      <c r="AL466" s="27"/>
      <c r="AM466" s="27"/>
      <c r="AN466" s="27"/>
      <c r="AO466" s="27"/>
      <c r="AP466" s="27"/>
      <c r="AQ466" s="23" t="str">
        <f aca="false">D466&amp;"|"&amp;TEXT(U466,"yyyy-mm-dd")</f>
        <v>구약|2028-05-05</v>
      </c>
      <c r="AR466" s="24" t="s">
        <v>5024</v>
      </c>
      <c r="AS466" s="24"/>
    </row>
    <row r="467" customFormat="false" ht="39.55" hidden="false" customHeight="false" outlineLevel="0" collapsed="false">
      <c r="A467" s="21" t="n">
        <v>466</v>
      </c>
      <c r="B467" s="18" t="s">
        <v>5025</v>
      </c>
      <c r="C467" s="23" t="n">
        <v>2</v>
      </c>
      <c r="D467" s="23" t="s">
        <v>160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4971</v>
      </c>
      <c r="H467" s="18" t="s">
        <v>4972</v>
      </c>
      <c r="I467" s="21" t="s">
        <v>4973</v>
      </c>
      <c r="J467" s="22" t="s">
        <v>5026</v>
      </c>
      <c r="K467" s="23" t="s">
        <v>1370</v>
      </c>
      <c r="L467" s="24" t="s">
        <v>5027</v>
      </c>
      <c r="M467" s="24" t="s">
        <v>5028</v>
      </c>
      <c r="N467" s="23" t="s">
        <v>5029</v>
      </c>
      <c r="O467" s="24" t="s">
        <v>5030</v>
      </c>
      <c r="P467" s="24" t="s">
        <v>4973</v>
      </c>
      <c r="Q467" s="24" t="s">
        <v>5031</v>
      </c>
      <c r="R467" s="24"/>
      <c r="S467" s="24" t="s">
        <v>4968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174</v>
      </c>
      <c r="Y467" s="23" t="s">
        <v>174</v>
      </c>
      <c r="Z467" s="23" t="s">
        <v>174</v>
      </c>
      <c r="AA467" s="23" t="s">
        <v>174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  <c r="AE467" s="24" t="str">
        <f aca="false">M467&amp;" | 에스겔 19~24장 #"&amp;SUBSTITUTE(안내!$C$5," ","")</f>
        <v>울지도 못하게 하신 이유 | 에스겔 19~24장 #1분성경</v>
      </c>
      <c r="AF467" s="24" t="s">
        <v>304</v>
      </c>
      <c r="AG467" s="24"/>
      <c r="AH467" s="23" t="s">
        <v>290</v>
      </c>
      <c r="AI467" s="26" t="n">
        <f aca="false">U467-안내!$C$12</f>
        <v>46851</v>
      </c>
      <c r="AJ467" s="23" t="str">
        <f aca="false">IF(U467&lt;IF(C467=1,안내!$C$9,안내!$C$10)+안내!$C$12,"시즌 시작 전 제작","")</f>
        <v/>
      </c>
      <c r="AK467" s="24"/>
      <c r="AL467" s="27"/>
      <c r="AM467" s="27"/>
      <c r="AN467" s="27"/>
      <c r="AO467" s="27"/>
      <c r="AP467" s="27"/>
      <c r="AQ467" s="23" t="str">
        <f aca="false">D467&amp;"|"&amp;TEXT(U467,"yyyy-mm-dd")</f>
        <v>구약|2028-05-06</v>
      </c>
      <c r="AR467" s="24" t="s">
        <v>5032</v>
      </c>
      <c r="AS467" s="24"/>
    </row>
    <row r="468" customFormat="false" ht="52.2" hidden="false" customHeight="false" outlineLevel="0" collapsed="false">
      <c r="A468" s="21" t="n">
        <v>467</v>
      </c>
      <c r="B468" s="18" t="s">
        <v>5033</v>
      </c>
      <c r="C468" s="23" t="n">
        <v>2</v>
      </c>
      <c r="D468" s="23" t="s">
        <v>160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4971</v>
      </c>
      <c r="H468" s="18" t="s">
        <v>4972</v>
      </c>
      <c r="I468" s="21" t="s">
        <v>4973</v>
      </c>
      <c r="J468" s="22" t="s">
        <v>5034</v>
      </c>
      <c r="K468" s="23" t="s">
        <v>1370</v>
      </c>
      <c r="L468" s="24" t="s">
        <v>5035</v>
      </c>
      <c r="M468" s="24" t="s">
        <v>5036</v>
      </c>
      <c r="N468" s="23" t="s">
        <v>5037</v>
      </c>
      <c r="O468" s="24" t="s">
        <v>5038</v>
      </c>
      <c r="P468" s="24" t="s">
        <v>4973</v>
      </c>
      <c r="Q468" s="24" t="s">
        <v>5039</v>
      </c>
      <c r="R468" s="28" t="s">
        <v>5040</v>
      </c>
      <c r="S468" s="24" t="s">
        <v>4968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174</v>
      </c>
      <c r="Y468" s="23" t="s">
        <v>174</v>
      </c>
      <c r="Z468" s="23" t="s">
        <v>174</v>
      </c>
      <c r="AA468" s="23" t="s">
        <v>174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  <c r="AE468" s="24" t="str">
        <f aca="false">M468&amp;" | 에스겔 25~32장 #"&amp;SUBSTITUTE(안내!$C$5," ","")</f>
        <v>교만한 두로 왕의 끝 | 에스겔 25~32장 #1분성경</v>
      </c>
      <c r="AF468" s="24" t="s">
        <v>304</v>
      </c>
      <c r="AG468" s="24"/>
      <c r="AH468" s="23" t="s">
        <v>290</v>
      </c>
      <c r="AI468" s="26" t="n">
        <f aca="false">U468-안내!$C$12</f>
        <v>46852</v>
      </c>
      <c r="AJ468" s="23" t="str">
        <f aca="false">IF(U468&lt;IF(C468=1,안내!$C$9,안내!$C$10)+안내!$C$12,"시즌 시작 전 제작","")</f>
        <v/>
      </c>
      <c r="AK468" s="24"/>
      <c r="AL468" s="27"/>
      <c r="AM468" s="27"/>
      <c r="AN468" s="27"/>
      <c r="AO468" s="27"/>
      <c r="AP468" s="27"/>
      <c r="AQ468" s="23" t="str">
        <f aca="false">D468&amp;"|"&amp;TEXT(U468,"yyyy-mm-dd")</f>
        <v>구약|2028-05-07</v>
      </c>
      <c r="AR468" s="24" t="s">
        <v>5041</v>
      </c>
      <c r="AS468" s="24" t="s">
        <v>292</v>
      </c>
    </row>
    <row r="469" customFormat="false" ht="52.2" hidden="false" customHeight="false" outlineLevel="0" collapsed="false">
      <c r="A469" s="21" t="n">
        <v>468</v>
      </c>
      <c r="B469" s="18" t="s">
        <v>5042</v>
      </c>
      <c r="C469" s="23" t="n">
        <v>2</v>
      </c>
      <c r="D469" s="23" t="s">
        <v>160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4971</v>
      </c>
      <c r="H469" s="18" t="s">
        <v>4972</v>
      </c>
      <c r="I469" s="21" t="s">
        <v>4973</v>
      </c>
      <c r="J469" s="22" t="s">
        <v>5043</v>
      </c>
      <c r="K469" s="23" t="s">
        <v>1370</v>
      </c>
      <c r="L469" s="24" t="s">
        <v>5044</v>
      </c>
      <c r="M469" s="24" t="s">
        <v>5045</v>
      </c>
      <c r="N469" s="23" t="s">
        <v>5046</v>
      </c>
      <c r="O469" s="24" t="s">
        <v>5047</v>
      </c>
      <c r="P469" s="24" t="s">
        <v>4973</v>
      </c>
      <c r="Q469" s="24" t="s">
        <v>5048</v>
      </c>
      <c r="R469" s="24"/>
      <c r="S469" s="24" t="s">
        <v>4968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174</v>
      </c>
      <c r="Y469" s="23" t="s">
        <v>174</v>
      </c>
      <c r="Z469" s="23" t="s">
        <v>174</v>
      </c>
      <c r="AA469" s="23" t="s">
        <v>174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  <c r="AE469" s="24" t="str">
        <f aca="false">M469&amp;" | 에스겔 33장 #"&amp;SUBSTITUTE(안내!$C$5," ","")</f>
        <v>나팔을 불지 않은 파수꾼 | 에스겔 33장 #1분성경</v>
      </c>
      <c r="AF469" s="24" t="s">
        <v>304</v>
      </c>
      <c r="AG469" s="24"/>
      <c r="AH469" s="23" t="s">
        <v>290</v>
      </c>
      <c r="AI469" s="26" t="n">
        <f aca="false">U469-안내!$C$12</f>
        <v>46853</v>
      </c>
      <c r="AJ469" s="23" t="str">
        <f aca="false">IF(U469&lt;IF(C469=1,안내!$C$9,안내!$C$10)+안내!$C$12,"시즌 시작 전 제작","")</f>
        <v/>
      </c>
      <c r="AK469" s="24"/>
      <c r="AL469" s="27"/>
      <c r="AM469" s="27"/>
      <c r="AN469" s="27"/>
      <c r="AO469" s="27"/>
      <c r="AP469" s="27"/>
      <c r="AQ469" s="23" t="str">
        <f aca="false">D469&amp;"|"&amp;TEXT(U469,"yyyy-mm-dd")</f>
        <v>구약|2028-05-08</v>
      </c>
      <c r="AR469" s="24" t="s">
        <v>5049</v>
      </c>
      <c r="AS469" s="24"/>
    </row>
    <row r="470" customFormat="false" ht="39.55" hidden="false" customHeight="false" outlineLevel="0" collapsed="false">
      <c r="A470" s="21" t="n">
        <v>469</v>
      </c>
      <c r="B470" s="18" t="s">
        <v>5050</v>
      </c>
      <c r="C470" s="23" t="n">
        <v>2</v>
      </c>
      <c r="D470" s="23" t="s">
        <v>160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4971</v>
      </c>
      <c r="H470" s="18" t="s">
        <v>4972</v>
      </c>
      <c r="I470" s="21" t="s">
        <v>4973</v>
      </c>
      <c r="J470" s="22" t="s">
        <v>5051</v>
      </c>
      <c r="K470" s="23" t="s">
        <v>1370</v>
      </c>
      <c r="L470" s="24" t="s">
        <v>5052</v>
      </c>
      <c r="M470" s="24" t="s">
        <v>5053</v>
      </c>
      <c r="N470" s="23" t="s">
        <v>5054</v>
      </c>
      <c r="O470" s="24" t="s">
        <v>5055</v>
      </c>
      <c r="P470" s="24" t="s">
        <v>4973</v>
      </c>
      <c r="Q470" s="24" t="s">
        <v>5056</v>
      </c>
      <c r="R470" s="25" t="s">
        <v>5057</v>
      </c>
      <c r="S470" s="24" t="s">
        <v>4968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174</v>
      </c>
      <c r="Y470" s="23" t="s">
        <v>174</v>
      </c>
      <c r="Z470" s="23" t="s">
        <v>174</v>
      </c>
      <c r="AA470" s="23" t="s">
        <v>174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  <c r="AE470" s="24" t="str">
        <f aca="false">M470&amp;" | 에스겔 34~35장 #"&amp;SUBSTITUTE(안내!$C$5," ","")</f>
        <v>양을 버린 목자들, 직접 찾아오시는 목자 | 에스겔 34~35장 #1분성경</v>
      </c>
      <c r="AF470" s="24" t="s">
        <v>304</v>
      </c>
      <c r="AG470" s="24"/>
      <c r="AH470" s="23" t="s">
        <v>290</v>
      </c>
      <c r="AI470" s="26" t="n">
        <f aca="false">U470-안내!$C$12</f>
        <v>46854</v>
      </c>
      <c r="AJ470" s="23" t="str">
        <f aca="false">IF(U470&lt;IF(C470=1,안내!$C$9,안내!$C$10)+안내!$C$12,"시즌 시작 전 제작","")</f>
        <v/>
      </c>
      <c r="AK470" s="24"/>
      <c r="AL470" s="27"/>
      <c r="AM470" s="27"/>
      <c r="AN470" s="27"/>
      <c r="AO470" s="27"/>
      <c r="AP470" s="27"/>
      <c r="AQ470" s="23" t="str">
        <f aca="false">D470&amp;"|"&amp;TEXT(U470,"yyyy-mm-dd")</f>
        <v>구약|2028-05-09</v>
      </c>
      <c r="AR470" s="24" t="s">
        <v>5058</v>
      </c>
      <c r="AS470" s="24"/>
    </row>
    <row r="471" customFormat="false" ht="26.85" hidden="false" customHeight="false" outlineLevel="0" collapsed="false">
      <c r="A471" s="21" t="n">
        <v>470</v>
      </c>
      <c r="B471" s="18" t="s">
        <v>5059</v>
      </c>
      <c r="C471" s="23" t="n">
        <v>2</v>
      </c>
      <c r="D471" s="23" t="s">
        <v>160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4971</v>
      </c>
      <c r="H471" s="18" t="s">
        <v>4972</v>
      </c>
      <c r="I471" s="21" t="s">
        <v>4973</v>
      </c>
      <c r="J471" s="22" t="s">
        <v>5060</v>
      </c>
      <c r="K471" s="23" t="s">
        <v>1370</v>
      </c>
      <c r="L471" s="24" t="s">
        <v>5061</v>
      </c>
      <c r="M471" s="24" t="s">
        <v>5062</v>
      </c>
      <c r="N471" s="23" t="s">
        <v>5063</v>
      </c>
      <c r="O471" s="24" t="s">
        <v>5064</v>
      </c>
      <c r="P471" s="24" t="s">
        <v>4973</v>
      </c>
      <c r="Q471" s="24" t="s">
        <v>5065</v>
      </c>
      <c r="R471" s="25" t="s">
        <v>5066</v>
      </c>
      <c r="S471" s="24" t="s">
        <v>4968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174</v>
      </c>
      <c r="Y471" s="23" t="s">
        <v>174</v>
      </c>
      <c r="Z471" s="23" t="s">
        <v>174</v>
      </c>
      <c r="AA471" s="23" t="s">
        <v>174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  <c r="AE471" s="24" t="str">
        <f aca="false">M471&amp;" | 에스겔 36장 #"&amp;SUBSTITUTE(안내!$C$5," ","")</f>
        <v>돌 같은 마음을 제거하고 | 에스겔 36장 #1분성경</v>
      </c>
      <c r="AF471" s="24" t="s">
        <v>304</v>
      </c>
      <c r="AG471" s="24"/>
      <c r="AH471" s="23" t="s">
        <v>290</v>
      </c>
      <c r="AI471" s="26" t="n">
        <f aca="false">U471-안내!$C$12</f>
        <v>46855</v>
      </c>
      <c r="AJ471" s="23" t="str">
        <f aca="false">IF(U471&lt;IF(C471=1,안내!$C$9,안내!$C$10)+안내!$C$12,"시즌 시작 전 제작","")</f>
        <v/>
      </c>
      <c r="AK471" s="24"/>
      <c r="AL471" s="27"/>
      <c r="AM471" s="27"/>
      <c r="AN471" s="27"/>
      <c r="AO471" s="27"/>
      <c r="AP471" s="27"/>
      <c r="AQ471" s="23" t="str">
        <f aca="false">D471&amp;"|"&amp;TEXT(U471,"yyyy-mm-dd")</f>
        <v>구약|2028-05-10</v>
      </c>
      <c r="AR471" s="24" t="s">
        <v>5067</v>
      </c>
      <c r="AS471" s="24"/>
    </row>
    <row r="472" customFormat="false" ht="52.2" hidden="false" customHeight="false" outlineLevel="0" collapsed="false">
      <c r="A472" s="21" t="n">
        <v>471</v>
      </c>
      <c r="B472" s="18" t="s">
        <v>5068</v>
      </c>
      <c r="C472" s="20" t="n">
        <v>1</v>
      </c>
      <c r="D472" s="20" t="s">
        <v>160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4971</v>
      </c>
      <c r="H472" s="18" t="s">
        <v>5069</v>
      </c>
      <c r="I472" s="21" t="s">
        <v>4973</v>
      </c>
      <c r="J472" s="22" t="s">
        <v>5070</v>
      </c>
      <c r="K472" s="23" t="s">
        <v>1370</v>
      </c>
      <c r="L472" s="24" t="s">
        <v>5071</v>
      </c>
      <c r="M472" s="24" t="s">
        <v>5072</v>
      </c>
      <c r="N472" s="23" t="s">
        <v>5073</v>
      </c>
      <c r="O472" s="24" t="s">
        <v>5074</v>
      </c>
      <c r="P472" s="24" t="s">
        <v>4989</v>
      </c>
      <c r="Q472" s="24" t="s">
        <v>5075</v>
      </c>
      <c r="R472" s="25" t="s">
        <v>5076</v>
      </c>
      <c r="S472" s="29" t="s">
        <v>5077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174</v>
      </c>
      <c r="Y472" s="23" t="s">
        <v>174</v>
      </c>
      <c r="Z472" s="23" t="s">
        <v>174</v>
      </c>
      <c r="AA472" s="23" t="s">
        <v>174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  <c r="AE472" s="24" t="str">
        <f aca="false">M472&amp;" | 에스겔 37장 #"&amp;SUBSTITUTE(안내!$C$5," ","")</f>
        <v>뼈들이 서로 붙고 살아났다 | 에스겔 37장 #1분성경</v>
      </c>
      <c r="AF472" s="24" t="s">
        <v>5078</v>
      </c>
      <c r="AG472" s="24"/>
      <c r="AH472" s="23" t="s">
        <v>290</v>
      </c>
      <c r="AI472" s="26" t="n">
        <f aca="false">U472-안내!$C$12</f>
        <v>46529</v>
      </c>
      <c r="AJ472" s="23" t="str">
        <f aca="false">IF(U472&lt;IF(C472=1,안내!$C$9,안내!$C$10)+안내!$C$12,"시즌 시작 전 제작","")</f>
        <v/>
      </c>
      <c r="AK472" s="24"/>
      <c r="AL472" s="27"/>
      <c r="AM472" s="27"/>
      <c r="AN472" s="27"/>
      <c r="AO472" s="27"/>
      <c r="AP472" s="27"/>
      <c r="AQ472" s="23" t="str">
        <f aca="false">D472&amp;"|"&amp;TEXT(U472,"yyyy-mm-dd")</f>
        <v>구약|2027-06-19</v>
      </c>
      <c r="AR472" s="24" t="s">
        <v>5079</v>
      </c>
      <c r="AS472" s="24"/>
    </row>
    <row r="473" customFormat="false" ht="26.85" hidden="false" customHeight="false" outlineLevel="0" collapsed="false">
      <c r="A473" s="21" t="n">
        <v>472</v>
      </c>
      <c r="B473" s="18" t="s">
        <v>5080</v>
      </c>
      <c r="C473" s="23" t="n">
        <v>2</v>
      </c>
      <c r="D473" s="23" t="s">
        <v>160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4971</v>
      </c>
      <c r="H473" s="18" t="s">
        <v>4972</v>
      </c>
      <c r="I473" s="21" t="s">
        <v>4973</v>
      </c>
      <c r="J473" s="22" t="s">
        <v>5081</v>
      </c>
      <c r="K473" s="23" t="s">
        <v>1370</v>
      </c>
      <c r="L473" s="24" t="s">
        <v>5082</v>
      </c>
      <c r="M473" s="24" t="s">
        <v>5083</v>
      </c>
      <c r="N473" s="23" t="s">
        <v>5084</v>
      </c>
      <c r="O473" s="24" t="s">
        <v>5085</v>
      </c>
      <c r="P473" s="24" t="s">
        <v>4973</v>
      </c>
      <c r="Q473" s="24" t="s">
        <v>5086</v>
      </c>
      <c r="R473" s="25" t="s">
        <v>5087</v>
      </c>
      <c r="S473" s="24" t="s">
        <v>5088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174</v>
      </c>
      <c r="Y473" s="23" t="s">
        <v>174</v>
      </c>
      <c r="Z473" s="23" t="s">
        <v>174</v>
      </c>
      <c r="AA473" s="23" t="s">
        <v>174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  <c r="AE473" s="24" t="str">
        <f aca="false">M473&amp;" | 에스겔 37~39장 #"&amp;SUBSTITUTE(안내!$C$5," ","")</f>
        <v>하나 되는 두 왕국 | 에스겔 37~39장 #1분성경</v>
      </c>
      <c r="AF473" s="24" t="s">
        <v>304</v>
      </c>
      <c r="AG473" s="24"/>
      <c r="AH473" s="23" t="s">
        <v>290</v>
      </c>
      <c r="AI473" s="26" t="n">
        <f aca="false">U473-안내!$C$12</f>
        <v>46856</v>
      </c>
      <c r="AJ473" s="23" t="str">
        <f aca="false">IF(U473&lt;IF(C473=1,안내!$C$9,안내!$C$10)+안내!$C$12,"시즌 시작 전 제작","")</f>
        <v/>
      </c>
      <c r="AK473" s="24"/>
      <c r="AL473" s="27"/>
      <c r="AM473" s="27"/>
      <c r="AN473" s="27"/>
      <c r="AO473" s="27"/>
      <c r="AP473" s="27"/>
      <c r="AQ473" s="23" t="str">
        <f aca="false">D473&amp;"|"&amp;TEXT(U473,"yyyy-mm-dd")</f>
        <v>구약|2028-05-11</v>
      </c>
      <c r="AR473" s="24" t="s">
        <v>5089</v>
      </c>
      <c r="AS473" s="24"/>
    </row>
    <row r="474" customFormat="false" ht="39.55" hidden="false" customHeight="false" outlineLevel="0" collapsed="false">
      <c r="A474" s="21" t="n">
        <v>473</v>
      </c>
      <c r="B474" s="18" t="s">
        <v>5090</v>
      </c>
      <c r="C474" s="23" t="n">
        <v>2</v>
      </c>
      <c r="D474" s="23" t="s">
        <v>160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4971</v>
      </c>
      <c r="H474" s="18" t="s">
        <v>4972</v>
      </c>
      <c r="I474" s="21" t="s">
        <v>4973</v>
      </c>
      <c r="J474" s="22" t="s">
        <v>5091</v>
      </c>
      <c r="K474" s="23" t="s">
        <v>1370</v>
      </c>
      <c r="L474" s="24" t="s">
        <v>5092</v>
      </c>
      <c r="M474" s="24" t="s">
        <v>5093</v>
      </c>
      <c r="N474" s="23" t="s">
        <v>5094</v>
      </c>
      <c r="O474" s="24" t="s">
        <v>5095</v>
      </c>
      <c r="P474" s="24" t="s">
        <v>5096</v>
      </c>
      <c r="Q474" s="24" t="s">
        <v>5097</v>
      </c>
      <c r="R474" s="25" t="s">
        <v>5098</v>
      </c>
      <c r="S474" s="24" t="s">
        <v>5088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174</v>
      </c>
      <c r="Y474" s="23" t="s">
        <v>174</v>
      </c>
      <c r="Z474" s="23" t="s">
        <v>174</v>
      </c>
      <c r="AA474" s="23" t="s">
        <v>174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  <c r="AE474" s="24" t="str">
        <f aca="false">M474&amp;" | 에스겔 40~48장 #"&amp;SUBSTITUTE(안내!$C$5," ","")</f>
        <v>성전에서 흘러나온 물이 바다를 살렸다 | 에스겔 40~48장 #1분성경</v>
      </c>
      <c r="AF474" s="24" t="s">
        <v>304</v>
      </c>
      <c r="AG474" s="24"/>
      <c r="AH474" s="23" t="s">
        <v>290</v>
      </c>
      <c r="AI474" s="26" t="n">
        <f aca="false">U474-안내!$C$12</f>
        <v>46857</v>
      </c>
      <c r="AJ474" s="23" t="str">
        <f aca="false">IF(U474&lt;IF(C474=1,안내!$C$9,안내!$C$10)+안내!$C$12,"시즌 시작 전 제작","")</f>
        <v/>
      </c>
      <c r="AK474" s="24"/>
      <c r="AL474" s="27"/>
      <c r="AM474" s="27"/>
      <c r="AN474" s="27"/>
      <c r="AO474" s="27"/>
      <c r="AP474" s="27"/>
      <c r="AQ474" s="23" t="str">
        <f aca="false">D474&amp;"|"&amp;TEXT(U474,"yyyy-mm-dd")</f>
        <v>구약|2028-05-12</v>
      </c>
      <c r="AR474" s="24" t="s">
        <v>5099</v>
      </c>
      <c r="AS474" s="24"/>
    </row>
    <row r="475" customFormat="false" ht="39.55" hidden="false" customHeight="false" outlineLevel="0" collapsed="false">
      <c r="A475" s="21" t="n">
        <v>474</v>
      </c>
      <c r="B475" s="18" t="s">
        <v>5100</v>
      </c>
      <c r="C475" s="20" t="n">
        <v>1</v>
      </c>
      <c r="D475" s="20" t="s">
        <v>160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5101</v>
      </c>
      <c r="H475" s="18" t="s">
        <v>5069</v>
      </c>
      <c r="I475" s="21" t="s">
        <v>5102</v>
      </c>
      <c r="J475" s="22" t="s">
        <v>5103</v>
      </c>
      <c r="K475" s="23" t="s">
        <v>165</v>
      </c>
      <c r="L475" s="24" t="s">
        <v>5104</v>
      </c>
      <c r="M475" s="24" t="s">
        <v>5105</v>
      </c>
      <c r="N475" s="23" t="s">
        <v>5106</v>
      </c>
      <c r="O475" s="24" t="s">
        <v>5107</v>
      </c>
      <c r="P475" s="24" t="s">
        <v>5108</v>
      </c>
      <c r="Q475" s="24" t="s">
        <v>5109</v>
      </c>
      <c r="R475" s="24"/>
      <c r="S475" s="29" t="s">
        <v>5110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174</v>
      </c>
      <c r="Y475" s="23" t="s">
        <v>174</v>
      </c>
      <c r="Z475" s="23" t="s">
        <v>174</v>
      </c>
      <c r="AA475" s="23" t="s">
        <v>174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  <c r="AE475" s="24" t="str">
        <f aca="false">M475&amp;" | 다니엘 1장 #"&amp;SUBSTITUTE(안내!$C$5," ","")</f>
        <v>왕의 음식을 거절한 소년들 | 다니엘 1장 #1분성경</v>
      </c>
      <c r="AF475" s="24" t="s">
        <v>5111</v>
      </c>
      <c r="AG475" s="24"/>
      <c r="AH475" s="23" t="s">
        <v>290</v>
      </c>
      <c r="AI475" s="26" t="n">
        <f aca="false">U475-안내!$C$12</f>
        <v>46530</v>
      </c>
      <c r="AJ475" s="23" t="str">
        <f aca="false">IF(U475&lt;IF(C475=1,안내!$C$9,안내!$C$10)+안내!$C$12,"시즌 시작 전 제작","")</f>
        <v/>
      </c>
      <c r="AK475" s="24" t="s">
        <v>5102</v>
      </c>
      <c r="AL475" s="27"/>
      <c r="AM475" s="27"/>
      <c r="AN475" s="27"/>
      <c r="AO475" s="27"/>
      <c r="AP475" s="27"/>
      <c r="AQ475" s="23" t="str">
        <f aca="false">D475&amp;"|"&amp;TEXT(U475,"yyyy-mm-dd")</f>
        <v>구약|2027-06-20</v>
      </c>
      <c r="AR475" s="24" t="s">
        <v>5112</v>
      </c>
      <c r="AS475" s="24"/>
    </row>
    <row r="476" customFormat="false" ht="39.55" hidden="false" customHeight="false" outlineLevel="0" collapsed="false">
      <c r="A476" s="21" t="n">
        <v>475</v>
      </c>
      <c r="B476" s="18" t="s">
        <v>5113</v>
      </c>
      <c r="C476" s="23" t="n">
        <v>2</v>
      </c>
      <c r="D476" s="23" t="s">
        <v>160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5101</v>
      </c>
      <c r="H476" s="18" t="s">
        <v>5114</v>
      </c>
      <c r="I476" s="21" t="s">
        <v>5102</v>
      </c>
      <c r="J476" s="22" t="s">
        <v>5115</v>
      </c>
      <c r="K476" s="23" t="s">
        <v>165</v>
      </c>
      <c r="L476" s="24" t="s">
        <v>5116</v>
      </c>
      <c r="M476" s="24" t="s">
        <v>5117</v>
      </c>
      <c r="N476" s="23" t="s">
        <v>5118</v>
      </c>
      <c r="O476" s="24" t="s">
        <v>5119</v>
      </c>
      <c r="P476" s="24" t="s">
        <v>5120</v>
      </c>
      <c r="Q476" s="24" t="s">
        <v>5109</v>
      </c>
      <c r="R476" s="24"/>
      <c r="S476" s="24" t="s">
        <v>5121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174</v>
      </c>
      <c r="Y476" s="23" t="s">
        <v>174</v>
      </c>
      <c r="Z476" s="23" t="s">
        <v>174</v>
      </c>
      <c r="AA476" s="23" t="s">
        <v>174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  <c r="AE476" s="24" t="str">
        <f aca="false">M476&amp;" | 다니엘 2장 #"&amp;SUBSTITUTE(안내!$C$5," ","")</f>
        <v>꿈 내용까지 맞혀야 하는 시험 | 다니엘 2장 #1분성경</v>
      </c>
      <c r="AF476" s="24" t="s">
        <v>304</v>
      </c>
      <c r="AG476" s="24" t="s">
        <v>5122</v>
      </c>
      <c r="AH476" s="23" t="s">
        <v>290</v>
      </c>
      <c r="AI476" s="26" t="n">
        <f aca="false">U476-안내!$C$12</f>
        <v>46858</v>
      </c>
      <c r="AJ476" s="23" t="str">
        <f aca="false">IF(U476&lt;IF(C476=1,안내!$C$9,안내!$C$10)+안내!$C$12,"시즌 시작 전 제작","")</f>
        <v/>
      </c>
      <c r="AK476" s="24" t="s">
        <v>5102</v>
      </c>
      <c r="AL476" s="27"/>
      <c r="AM476" s="27"/>
      <c r="AN476" s="27"/>
      <c r="AO476" s="27"/>
      <c r="AP476" s="27"/>
      <c r="AQ476" s="23" t="str">
        <f aca="false">D476&amp;"|"&amp;TEXT(U476,"yyyy-mm-dd")</f>
        <v>구약|2028-05-13</v>
      </c>
      <c r="AR476" s="24" t="s">
        <v>5123</v>
      </c>
      <c r="AS476" s="24"/>
    </row>
    <row r="477" customFormat="false" ht="39.55" hidden="false" customHeight="false" outlineLevel="0" collapsed="false">
      <c r="A477" s="21" t="n">
        <v>476</v>
      </c>
      <c r="B477" s="18" t="s">
        <v>5124</v>
      </c>
      <c r="C477" s="23" t="n">
        <v>2</v>
      </c>
      <c r="D477" s="23" t="s">
        <v>160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5101</v>
      </c>
      <c r="H477" s="18" t="s">
        <v>5114</v>
      </c>
      <c r="I477" s="21" t="s">
        <v>5102</v>
      </c>
      <c r="J477" s="22" t="s">
        <v>5125</v>
      </c>
      <c r="K477" s="23" t="s">
        <v>165</v>
      </c>
      <c r="L477" s="24" t="s">
        <v>5126</v>
      </c>
      <c r="M477" s="24" t="s">
        <v>5127</v>
      </c>
      <c r="N477" s="23" t="s">
        <v>5128</v>
      </c>
      <c r="O477" s="24" t="s">
        <v>5129</v>
      </c>
      <c r="P477" s="24" t="s">
        <v>5120</v>
      </c>
      <c r="Q477" s="24" t="s">
        <v>5130</v>
      </c>
      <c r="R477" s="25" t="s">
        <v>5131</v>
      </c>
      <c r="S477" s="24" t="s">
        <v>5121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174</v>
      </c>
      <c r="Y477" s="23" t="s">
        <v>174</v>
      </c>
      <c r="Z477" s="23" t="s">
        <v>174</v>
      </c>
      <c r="AA477" s="23" t="s">
        <v>174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  <c r="AE477" s="24" t="str">
        <f aca="false">M477&amp;" | 다니엘 2장 #"&amp;SUBSTITUTE(안내!$C$5," ","")</f>
        <v>사람 손으로 뜨지 않은 돌이 신상을 부쉈다 | 다니엘 2장 #1분성경</v>
      </c>
      <c r="AF477" s="24" t="s">
        <v>304</v>
      </c>
      <c r="AG477" s="24"/>
      <c r="AH477" s="23" t="s">
        <v>290</v>
      </c>
      <c r="AI477" s="26" t="n">
        <f aca="false">U477-안내!$C$12</f>
        <v>46859</v>
      </c>
      <c r="AJ477" s="23" t="str">
        <f aca="false">IF(U477&lt;IF(C477=1,안내!$C$9,안내!$C$10)+안내!$C$12,"시즌 시작 전 제작","")</f>
        <v/>
      </c>
      <c r="AK477" s="24" t="s">
        <v>5102</v>
      </c>
      <c r="AL477" s="27"/>
      <c r="AM477" s="27"/>
      <c r="AN477" s="27"/>
      <c r="AO477" s="27"/>
      <c r="AP477" s="27"/>
      <c r="AQ477" s="23" t="str">
        <f aca="false">D477&amp;"|"&amp;TEXT(U477,"yyyy-mm-dd")</f>
        <v>구약|2028-05-14</v>
      </c>
      <c r="AR477" s="24" t="s">
        <v>5132</v>
      </c>
      <c r="AS477" s="24"/>
    </row>
    <row r="478" customFormat="false" ht="39.55" hidden="false" customHeight="false" outlineLevel="0" collapsed="false">
      <c r="A478" s="21" t="n">
        <v>477</v>
      </c>
      <c r="B478" s="18" t="s">
        <v>5133</v>
      </c>
      <c r="C478" s="20" t="n">
        <v>1</v>
      </c>
      <c r="D478" s="20" t="s">
        <v>160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5101</v>
      </c>
      <c r="H478" s="18" t="s">
        <v>5069</v>
      </c>
      <c r="I478" s="21" t="s">
        <v>5102</v>
      </c>
      <c r="J478" s="22" t="s">
        <v>5134</v>
      </c>
      <c r="K478" s="23" t="s">
        <v>165</v>
      </c>
      <c r="L478" s="24" t="s">
        <v>5135</v>
      </c>
      <c r="M478" s="24" t="s">
        <v>5136</v>
      </c>
      <c r="N478" s="23" t="s">
        <v>5137</v>
      </c>
      <c r="O478" s="24" t="s">
        <v>5138</v>
      </c>
      <c r="P478" s="24" t="s">
        <v>5139</v>
      </c>
      <c r="Q478" s="24" t="s">
        <v>5140</v>
      </c>
      <c r="R478" s="24"/>
      <c r="S478" s="29" t="s">
        <v>5141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174</v>
      </c>
      <c r="Y478" s="23" t="s">
        <v>174</v>
      </c>
      <c r="Z478" s="23" t="s">
        <v>174</v>
      </c>
      <c r="AA478" s="23" t="s">
        <v>174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  <c r="AE478" s="24" t="str">
        <f aca="false">M478&amp;" | 다니엘 3장 #"&amp;SUBSTITUTE(안내!$C$5," ","")</f>
        <v>절하지 않으면 풀무불에 던지겠다 | 다니엘 3장 #1분성경</v>
      </c>
      <c r="AF478" s="24" t="s">
        <v>5142</v>
      </c>
      <c r="AG478" s="24" t="s">
        <v>5143</v>
      </c>
      <c r="AH478" s="23" t="s">
        <v>290</v>
      </c>
      <c r="AI478" s="26" t="n">
        <f aca="false">U478-안내!$C$12</f>
        <v>46531</v>
      </c>
      <c r="AJ478" s="23" t="str">
        <f aca="false">IF(U478&lt;IF(C478=1,안내!$C$9,안내!$C$10)+안내!$C$12,"시즌 시작 전 제작","")</f>
        <v/>
      </c>
      <c r="AK478" s="24"/>
      <c r="AL478" s="27"/>
      <c r="AM478" s="27"/>
      <c r="AN478" s="27"/>
      <c r="AO478" s="27"/>
      <c r="AP478" s="27"/>
      <c r="AQ478" s="23" t="str">
        <f aca="false">D478&amp;"|"&amp;TEXT(U478,"yyyy-mm-dd")</f>
        <v>구약|2027-06-21</v>
      </c>
      <c r="AR478" s="24" t="s">
        <v>5144</v>
      </c>
      <c r="AS478" s="24"/>
    </row>
    <row r="479" customFormat="false" ht="39.55" hidden="false" customHeight="false" outlineLevel="0" collapsed="false">
      <c r="A479" s="21" t="n">
        <v>478</v>
      </c>
      <c r="B479" s="18" t="s">
        <v>5145</v>
      </c>
      <c r="C479" s="20" t="n">
        <v>1</v>
      </c>
      <c r="D479" s="20" t="s">
        <v>160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5101</v>
      </c>
      <c r="H479" s="18" t="s">
        <v>5069</v>
      </c>
      <c r="I479" s="21" t="s">
        <v>5102</v>
      </c>
      <c r="J479" s="22" t="s">
        <v>5146</v>
      </c>
      <c r="K479" s="23" t="s">
        <v>165</v>
      </c>
      <c r="L479" s="24" t="s">
        <v>5147</v>
      </c>
      <c r="M479" s="24" t="s">
        <v>5148</v>
      </c>
      <c r="N479" s="23" t="s">
        <v>5149</v>
      </c>
      <c r="O479" s="24" t="s">
        <v>5150</v>
      </c>
      <c r="P479" s="24" t="s">
        <v>5151</v>
      </c>
      <c r="Q479" s="24" t="s">
        <v>5152</v>
      </c>
      <c r="R479" s="25" t="s">
        <v>5153</v>
      </c>
      <c r="S479" s="24" t="s">
        <v>173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174</v>
      </c>
      <c r="Y479" s="23" t="s">
        <v>174</v>
      </c>
      <c r="Z479" s="23" t="s">
        <v>174</v>
      </c>
      <c r="AA479" s="23" t="s">
        <v>174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  <c r="AE479" s="24" t="str">
        <f aca="false">M479&amp;" | 다니엘 3장 #"&amp;SUBSTITUTE(안내!$C$5," ","")</f>
        <v>불 속에 세 명을 던졌는데 네 명이 걷고 있었다 | 다니엘 3장 #1분성경</v>
      </c>
      <c r="AF479" s="24" t="s">
        <v>5154</v>
      </c>
      <c r="AG479" s="24" t="s">
        <v>5155</v>
      </c>
      <c r="AH479" s="23" t="s">
        <v>290</v>
      </c>
      <c r="AI479" s="26" t="n">
        <f aca="false">U479-안내!$C$12</f>
        <v>46532</v>
      </c>
      <c r="AJ479" s="23" t="str">
        <f aca="false">IF(U479&lt;IF(C479=1,안내!$C$9,안내!$C$10)+안내!$C$12,"시즌 시작 전 제작","")</f>
        <v/>
      </c>
      <c r="AK479" s="24"/>
      <c r="AL479" s="27"/>
      <c r="AM479" s="27"/>
      <c r="AN479" s="27"/>
      <c r="AO479" s="27"/>
      <c r="AP479" s="27"/>
      <c r="AQ479" s="23" t="str">
        <f aca="false">D479&amp;"|"&amp;TEXT(U479,"yyyy-mm-dd")</f>
        <v>구약|2027-06-22</v>
      </c>
      <c r="AR479" s="24" t="s">
        <v>5156</v>
      </c>
      <c r="AS479" s="24"/>
    </row>
    <row r="480" customFormat="false" ht="39.55" hidden="false" customHeight="false" outlineLevel="0" collapsed="false">
      <c r="A480" s="21" t="n">
        <v>479</v>
      </c>
      <c r="B480" s="18" t="s">
        <v>5157</v>
      </c>
      <c r="C480" s="20" t="n">
        <v>1</v>
      </c>
      <c r="D480" s="20" t="s">
        <v>160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5101</v>
      </c>
      <c r="H480" s="18" t="s">
        <v>5069</v>
      </c>
      <c r="I480" s="21" t="s">
        <v>5102</v>
      </c>
      <c r="J480" s="22" t="s">
        <v>5158</v>
      </c>
      <c r="K480" s="23" t="s">
        <v>165</v>
      </c>
      <c r="L480" s="24" t="s">
        <v>5159</v>
      </c>
      <c r="M480" s="24" t="s">
        <v>5160</v>
      </c>
      <c r="N480" s="23" t="s">
        <v>5161</v>
      </c>
      <c r="O480" s="24" t="s">
        <v>5162</v>
      </c>
      <c r="P480" s="24" t="s">
        <v>5120</v>
      </c>
      <c r="Q480" s="24" t="s">
        <v>5163</v>
      </c>
      <c r="R480" s="24"/>
      <c r="S480" s="24" t="s">
        <v>173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174</v>
      </c>
      <c r="Y480" s="23" t="s">
        <v>174</v>
      </c>
      <c r="Z480" s="23" t="s">
        <v>174</v>
      </c>
      <c r="AA480" s="23" t="s">
        <v>174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  <c r="AE480" s="24" t="str">
        <f aca="false">M480&amp;" | 다니엘 4장 #"&amp;SUBSTITUTE(안내!$C$5," ","")</f>
        <v>교만한 왕이 7년 동안 들짐승처럼 살았다 | 다니엘 4장 #1분성경</v>
      </c>
      <c r="AF480" s="24" t="s">
        <v>5164</v>
      </c>
      <c r="AG480" s="24" t="s">
        <v>5165</v>
      </c>
      <c r="AH480" s="23" t="s">
        <v>360</v>
      </c>
      <c r="AI480" s="26" t="n">
        <f aca="false">U480-안내!$C$12</f>
        <v>46533</v>
      </c>
      <c r="AJ480" s="23" t="str">
        <f aca="false">IF(U480&lt;IF(C480=1,안내!$C$9,안내!$C$10)+안내!$C$12,"시즌 시작 전 제작","")</f>
        <v/>
      </c>
      <c r="AK480" s="24" t="s">
        <v>5102</v>
      </c>
      <c r="AL480" s="27"/>
      <c r="AM480" s="27"/>
      <c r="AN480" s="27"/>
      <c r="AO480" s="27"/>
      <c r="AP480" s="27"/>
      <c r="AQ480" s="23" t="str">
        <f aca="false">D480&amp;"|"&amp;TEXT(U480,"yyyy-mm-dd")</f>
        <v>구약|2027-06-23</v>
      </c>
      <c r="AR480" s="24" t="s">
        <v>5166</v>
      </c>
      <c r="AS480" s="24"/>
    </row>
    <row r="481" customFormat="false" ht="26.85" hidden="false" customHeight="false" outlineLevel="0" collapsed="false">
      <c r="A481" s="21" t="n">
        <v>480</v>
      </c>
      <c r="B481" s="18" t="s">
        <v>5167</v>
      </c>
      <c r="C481" s="20" t="n">
        <v>1</v>
      </c>
      <c r="D481" s="20" t="s">
        <v>160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5101</v>
      </c>
      <c r="H481" s="18" t="s">
        <v>5069</v>
      </c>
      <c r="I481" s="21" t="s">
        <v>5102</v>
      </c>
      <c r="J481" s="22" t="s">
        <v>5168</v>
      </c>
      <c r="K481" s="23" t="s">
        <v>165</v>
      </c>
      <c r="L481" s="24" t="s">
        <v>5169</v>
      </c>
      <c r="M481" s="24" t="s">
        <v>5170</v>
      </c>
      <c r="N481" s="23" t="s">
        <v>5171</v>
      </c>
      <c r="O481" s="24" t="s">
        <v>5172</v>
      </c>
      <c r="P481" s="24" t="s">
        <v>5173</v>
      </c>
      <c r="Q481" s="24" t="s">
        <v>5174</v>
      </c>
      <c r="R481" s="24"/>
      <c r="S481" s="24" t="s">
        <v>173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174</v>
      </c>
      <c r="Y481" s="23" t="s">
        <v>174</v>
      </c>
      <c r="Z481" s="23" t="s">
        <v>174</v>
      </c>
      <c r="AA481" s="23" t="s">
        <v>174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  <c r="AE481" s="24" t="str">
        <f aca="false">M481&amp;" | 다니엘 5장 #"&amp;SUBSTITUTE(안내!$C$5," ","")</f>
        <v>잔치 도중 벽에 글씨가 써졌다 | 다니엘 5장 #1분성경</v>
      </c>
      <c r="AF481" s="24" t="s">
        <v>5175</v>
      </c>
      <c r="AG481" s="24" t="s">
        <v>5176</v>
      </c>
      <c r="AH481" s="23" t="s">
        <v>290</v>
      </c>
      <c r="AI481" s="26" t="n">
        <f aca="false">U481-안내!$C$12</f>
        <v>46534</v>
      </c>
      <c r="AJ481" s="23" t="str">
        <f aca="false">IF(U481&lt;IF(C481=1,안내!$C$9,안내!$C$10)+안내!$C$12,"시즌 시작 전 제작","")</f>
        <v/>
      </c>
      <c r="AK481" s="24" t="s">
        <v>5102</v>
      </c>
      <c r="AL481" s="27"/>
      <c r="AM481" s="27"/>
      <c r="AN481" s="27"/>
      <c r="AO481" s="27"/>
      <c r="AP481" s="27"/>
      <c r="AQ481" s="23" t="str">
        <f aca="false">D481&amp;"|"&amp;TEXT(U481,"yyyy-mm-dd")</f>
        <v>구약|2027-06-24</v>
      </c>
      <c r="AR481" s="24" t="s">
        <v>5177</v>
      </c>
      <c r="AS481" s="24"/>
    </row>
    <row r="482" customFormat="false" ht="39.55" hidden="false" customHeight="false" outlineLevel="0" collapsed="false">
      <c r="A482" s="21" t="n">
        <v>481</v>
      </c>
      <c r="B482" s="18" t="s">
        <v>5178</v>
      </c>
      <c r="C482" s="20" t="n">
        <v>1</v>
      </c>
      <c r="D482" s="20" t="s">
        <v>160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5101</v>
      </c>
      <c r="H482" s="18" t="s">
        <v>5069</v>
      </c>
      <c r="I482" s="21" t="s">
        <v>5102</v>
      </c>
      <c r="J482" s="22" t="s">
        <v>5179</v>
      </c>
      <c r="K482" s="23" t="s">
        <v>165</v>
      </c>
      <c r="L482" s="24" t="s">
        <v>5180</v>
      </c>
      <c r="M482" s="24" t="s">
        <v>5181</v>
      </c>
      <c r="N482" s="23" t="s">
        <v>5182</v>
      </c>
      <c r="O482" s="24" t="s">
        <v>5183</v>
      </c>
      <c r="P482" s="24" t="s">
        <v>5184</v>
      </c>
      <c r="Q482" s="24" t="s">
        <v>5185</v>
      </c>
      <c r="R482" s="24"/>
      <c r="S482" s="24" t="s">
        <v>173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174</v>
      </c>
      <c r="Y482" s="23" t="s">
        <v>174</v>
      </c>
      <c r="Z482" s="23" t="s">
        <v>174</v>
      </c>
      <c r="AA482" s="23" t="s">
        <v>174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  <c r="AE482" s="24" t="str">
        <f aca="false">M482&amp;" | 다니엘 6장 #"&amp;SUBSTITUTE(안내!$C$5," ","")</f>
        <v>기도하면 사자 굴에 던진다는 법 | 다니엘 6장 #1분성경</v>
      </c>
      <c r="AF482" s="24" t="s">
        <v>5186</v>
      </c>
      <c r="AG482" s="24" t="s">
        <v>5187</v>
      </c>
      <c r="AH482" s="23" t="s">
        <v>290</v>
      </c>
      <c r="AI482" s="26" t="n">
        <f aca="false">U482-안내!$C$12</f>
        <v>46535</v>
      </c>
      <c r="AJ482" s="23" t="str">
        <f aca="false">IF(U482&lt;IF(C482=1,안내!$C$9,안내!$C$10)+안내!$C$12,"시즌 시작 전 제작","")</f>
        <v/>
      </c>
      <c r="AK482" s="24" t="s">
        <v>5102</v>
      </c>
      <c r="AL482" s="27"/>
      <c r="AM482" s="27"/>
      <c r="AN482" s="27"/>
      <c r="AO482" s="27"/>
      <c r="AP482" s="27"/>
      <c r="AQ482" s="23" t="str">
        <f aca="false">D482&amp;"|"&amp;TEXT(U482,"yyyy-mm-dd")</f>
        <v>구약|2027-06-25</v>
      </c>
      <c r="AR482" s="24" t="s">
        <v>5188</v>
      </c>
      <c r="AS482" s="24"/>
    </row>
    <row r="483" customFormat="false" ht="39.55" hidden="false" customHeight="false" outlineLevel="0" collapsed="false">
      <c r="A483" s="21" t="n">
        <v>482</v>
      </c>
      <c r="B483" s="18" t="s">
        <v>5189</v>
      </c>
      <c r="C483" s="20" t="n">
        <v>1</v>
      </c>
      <c r="D483" s="20" t="s">
        <v>160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5101</v>
      </c>
      <c r="H483" s="18" t="s">
        <v>5069</v>
      </c>
      <c r="I483" s="21" t="s">
        <v>5102</v>
      </c>
      <c r="J483" s="22" t="s">
        <v>5190</v>
      </c>
      <c r="K483" s="23" t="s">
        <v>165</v>
      </c>
      <c r="L483" s="24" t="s">
        <v>5191</v>
      </c>
      <c r="M483" s="24" t="s">
        <v>5192</v>
      </c>
      <c r="N483" s="23" t="s">
        <v>5193</v>
      </c>
      <c r="O483" s="24" t="s">
        <v>5194</v>
      </c>
      <c r="P483" s="24" t="s">
        <v>5195</v>
      </c>
      <c r="Q483" s="24" t="s">
        <v>5191</v>
      </c>
      <c r="R483" s="25" t="s">
        <v>5196</v>
      </c>
      <c r="S483" s="24" t="s">
        <v>173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174</v>
      </c>
      <c r="Y483" s="23" t="s">
        <v>174</v>
      </c>
      <c r="Z483" s="23" t="s">
        <v>174</v>
      </c>
      <c r="AA483" s="23" t="s">
        <v>174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  <c r="AE483" s="24" t="str">
        <f aca="false">M483&amp;" | 다니엘 6장 #"&amp;SUBSTITUTE(안내!$C$5," ","")</f>
        <v>사자들의 입이 닫혔다 | 다니엘 6장 #1분성경</v>
      </c>
      <c r="AF483" s="24" t="s">
        <v>5197</v>
      </c>
      <c r="AG483" s="24"/>
      <c r="AH483" s="23" t="s">
        <v>290</v>
      </c>
      <c r="AI483" s="26" t="n">
        <f aca="false">U483-안내!$C$12</f>
        <v>46536</v>
      </c>
      <c r="AJ483" s="23" t="str">
        <f aca="false">IF(U483&lt;IF(C483=1,안내!$C$9,안내!$C$10)+안내!$C$12,"시즌 시작 전 제작","")</f>
        <v/>
      </c>
      <c r="AK483" s="24" t="s">
        <v>5102</v>
      </c>
      <c r="AL483" s="27"/>
      <c r="AM483" s="27"/>
      <c r="AN483" s="27"/>
      <c r="AO483" s="27"/>
      <c r="AP483" s="27"/>
      <c r="AQ483" s="23" t="str">
        <f aca="false">D483&amp;"|"&amp;TEXT(U483,"yyyy-mm-dd")</f>
        <v>구약|2027-06-26</v>
      </c>
      <c r="AR483" s="24" t="s">
        <v>5198</v>
      </c>
      <c r="AS483" s="24" t="s">
        <v>292</v>
      </c>
    </row>
    <row r="484" customFormat="false" ht="39.55" hidden="false" customHeight="false" outlineLevel="0" collapsed="false">
      <c r="A484" s="21" t="n">
        <v>483</v>
      </c>
      <c r="B484" s="18" t="s">
        <v>5199</v>
      </c>
      <c r="C484" s="23" t="n">
        <v>2</v>
      </c>
      <c r="D484" s="23" t="s">
        <v>160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5101</v>
      </c>
      <c r="H484" s="18" t="s">
        <v>5114</v>
      </c>
      <c r="I484" s="21" t="s">
        <v>5102</v>
      </c>
      <c r="J484" s="22" t="s">
        <v>5200</v>
      </c>
      <c r="K484" s="23" t="s">
        <v>1370</v>
      </c>
      <c r="L484" s="24" t="s">
        <v>5201</v>
      </c>
      <c r="M484" s="24" t="s">
        <v>5202</v>
      </c>
      <c r="N484" s="23" t="s">
        <v>5203</v>
      </c>
      <c r="O484" s="24" t="s">
        <v>5204</v>
      </c>
      <c r="P484" s="24" t="s">
        <v>5205</v>
      </c>
      <c r="Q484" s="24" t="s">
        <v>5206</v>
      </c>
      <c r="R484" s="25" t="s">
        <v>5207</v>
      </c>
      <c r="S484" s="24" t="s">
        <v>5208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174</v>
      </c>
      <c r="Y484" s="23" t="s">
        <v>174</v>
      </c>
      <c r="Z484" s="23" t="s">
        <v>174</v>
      </c>
      <c r="AA484" s="23" t="s">
        <v>174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  <c r="AE484" s="24" t="str">
        <f aca="false">M484&amp;" | 다니엘 7장 #"&amp;SUBSTITUTE(안내!$C$5," ","")</f>
        <v>바다에서 올라온 네 짐승 | 다니엘 7장 #1분성경</v>
      </c>
      <c r="AF484" s="24" t="s">
        <v>304</v>
      </c>
      <c r="AG484" s="24"/>
      <c r="AH484" s="23" t="s">
        <v>290</v>
      </c>
      <c r="AI484" s="26" t="n">
        <f aca="false">U484-안내!$C$12</f>
        <v>46860</v>
      </c>
      <c r="AJ484" s="23" t="str">
        <f aca="false">IF(U484&lt;IF(C484=1,안내!$C$9,안내!$C$10)+안내!$C$12,"시즌 시작 전 제작","")</f>
        <v/>
      </c>
      <c r="AK484" s="24" t="s">
        <v>5102</v>
      </c>
      <c r="AL484" s="27"/>
      <c r="AM484" s="27"/>
      <c r="AN484" s="27"/>
      <c r="AO484" s="27"/>
      <c r="AP484" s="27"/>
      <c r="AQ484" s="23" t="str">
        <f aca="false">D484&amp;"|"&amp;TEXT(U484,"yyyy-mm-dd")</f>
        <v>구약|2028-05-15</v>
      </c>
      <c r="AR484" s="24" t="s">
        <v>5209</v>
      </c>
      <c r="AS484" s="24"/>
    </row>
    <row r="485" customFormat="false" ht="26.85" hidden="false" customHeight="false" outlineLevel="0" collapsed="false">
      <c r="A485" s="21" t="n">
        <v>484</v>
      </c>
      <c r="B485" s="18" t="s">
        <v>5210</v>
      </c>
      <c r="C485" s="23" t="n">
        <v>2</v>
      </c>
      <c r="D485" s="23" t="s">
        <v>160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5101</v>
      </c>
      <c r="H485" s="18" t="s">
        <v>5114</v>
      </c>
      <c r="I485" s="21" t="s">
        <v>5102</v>
      </c>
      <c r="J485" s="22" t="s">
        <v>5211</v>
      </c>
      <c r="K485" s="23" t="s">
        <v>1370</v>
      </c>
      <c r="L485" s="24" t="s">
        <v>5212</v>
      </c>
      <c r="M485" s="24" t="s">
        <v>5213</v>
      </c>
      <c r="N485" s="23" t="s">
        <v>5214</v>
      </c>
      <c r="O485" s="24" t="s">
        <v>5215</v>
      </c>
      <c r="P485" s="24" t="s">
        <v>5216</v>
      </c>
      <c r="Q485" s="24" t="s">
        <v>5217</v>
      </c>
      <c r="R485" s="25" t="s">
        <v>5218</v>
      </c>
      <c r="S485" s="24" t="s">
        <v>5208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174</v>
      </c>
      <c r="Y485" s="23" t="s">
        <v>174</v>
      </c>
      <c r="Z485" s="23" t="s">
        <v>174</v>
      </c>
      <c r="AA485" s="23" t="s">
        <v>174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  <c r="AE485" s="24" t="str">
        <f aca="false">M485&amp;" | 다니엘 8장 #"&amp;SUBSTITUTE(안내!$C$5," ","")</f>
        <v>두 뿔 숫양과 한 뿔 숫염소의 싸움 | 다니엘 8장 #1분성경</v>
      </c>
      <c r="AF485" s="24" t="s">
        <v>304</v>
      </c>
      <c r="AG485" s="24"/>
      <c r="AH485" s="23" t="s">
        <v>290</v>
      </c>
      <c r="AI485" s="26" t="n">
        <f aca="false">U485-안내!$C$12</f>
        <v>46861</v>
      </c>
      <c r="AJ485" s="23" t="str">
        <f aca="false">IF(U485&lt;IF(C485=1,안내!$C$9,안내!$C$10)+안내!$C$12,"시즌 시작 전 제작","")</f>
        <v/>
      </c>
      <c r="AK485" s="24" t="s">
        <v>5102</v>
      </c>
      <c r="AL485" s="27"/>
      <c r="AM485" s="27"/>
      <c r="AN485" s="27"/>
      <c r="AO485" s="27"/>
      <c r="AP485" s="27"/>
      <c r="AQ485" s="23" t="str">
        <f aca="false">D485&amp;"|"&amp;TEXT(U485,"yyyy-mm-dd")</f>
        <v>구약|2028-05-16</v>
      </c>
      <c r="AR485" s="24" t="s">
        <v>5219</v>
      </c>
      <c r="AS485" s="24"/>
    </row>
    <row r="486" customFormat="false" ht="39.55" hidden="false" customHeight="false" outlineLevel="0" collapsed="false">
      <c r="A486" s="21" t="n">
        <v>485</v>
      </c>
      <c r="B486" s="18" t="s">
        <v>5220</v>
      </c>
      <c r="C486" s="23" t="n">
        <v>2</v>
      </c>
      <c r="D486" s="23" t="s">
        <v>160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5101</v>
      </c>
      <c r="H486" s="18" t="s">
        <v>5114</v>
      </c>
      <c r="I486" s="21" t="s">
        <v>5102</v>
      </c>
      <c r="J486" s="22" t="s">
        <v>5221</v>
      </c>
      <c r="K486" s="23" t="s">
        <v>165</v>
      </c>
      <c r="L486" s="24" t="s">
        <v>5222</v>
      </c>
      <c r="M486" s="24" t="s">
        <v>5223</v>
      </c>
      <c r="N486" s="23" t="s">
        <v>5224</v>
      </c>
      <c r="O486" s="24" t="s">
        <v>5225</v>
      </c>
      <c r="P486" s="24" t="s">
        <v>5216</v>
      </c>
      <c r="Q486" s="24" t="s">
        <v>5226</v>
      </c>
      <c r="R486" s="28" t="s">
        <v>5227</v>
      </c>
      <c r="S486" s="24" t="s">
        <v>5208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174</v>
      </c>
      <c r="Y486" s="23" t="s">
        <v>174</v>
      </c>
      <c r="Z486" s="23" t="s">
        <v>174</v>
      </c>
      <c r="AA486" s="23" t="s">
        <v>174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  <c r="AE486" s="24" t="str">
        <f aca="false">M486&amp;" | 다니엘 9장 #"&amp;SUBSTITUTE(안내!$C$5," ","")</f>
        <v>성경을 읽다가 무릎을 꿇었다 | 다니엘 9장 #1분성경</v>
      </c>
      <c r="AF486" s="24" t="s">
        <v>304</v>
      </c>
      <c r="AG486" s="24"/>
      <c r="AH486" s="23" t="s">
        <v>290</v>
      </c>
      <c r="AI486" s="26" t="n">
        <f aca="false">U486-안내!$C$12</f>
        <v>46862</v>
      </c>
      <c r="AJ486" s="23" t="str">
        <f aca="false">IF(U486&lt;IF(C486=1,안내!$C$9,안내!$C$10)+안내!$C$12,"시즌 시작 전 제작","")</f>
        <v/>
      </c>
      <c r="AK486" s="24" t="s">
        <v>5102</v>
      </c>
      <c r="AL486" s="27"/>
      <c r="AM486" s="27"/>
      <c r="AN486" s="27"/>
      <c r="AO486" s="27"/>
      <c r="AP486" s="27"/>
      <c r="AQ486" s="23" t="str">
        <f aca="false">D486&amp;"|"&amp;TEXT(U486,"yyyy-mm-dd")</f>
        <v>구약|2028-05-17</v>
      </c>
      <c r="AR486" s="24" t="s">
        <v>5228</v>
      </c>
      <c r="AS486" s="24"/>
    </row>
    <row r="487" customFormat="false" ht="26.85" hidden="false" customHeight="false" outlineLevel="0" collapsed="false">
      <c r="A487" s="21" t="n">
        <v>486</v>
      </c>
      <c r="B487" s="18" t="s">
        <v>5229</v>
      </c>
      <c r="C487" s="23" t="n">
        <v>2</v>
      </c>
      <c r="D487" s="23" t="s">
        <v>160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5101</v>
      </c>
      <c r="H487" s="18" t="s">
        <v>5114</v>
      </c>
      <c r="I487" s="21" t="s">
        <v>5102</v>
      </c>
      <c r="J487" s="22" t="s">
        <v>5230</v>
      </c>
      <c r="K487" s="23" t="s">
        <v>1370</v>
      </c>
      <c r="L487" s="24" t="s">
        <v>5231</v>
      </c>
      <c r="M487" s="24" t="s">
        <v>5232</v>
      </c>
      <c r="N487" s="23" t="s">
        <v>5233</v>
      </c>
      <c r="O487" s="24" t="s">
        <v>5234</v>
      </c>
      <c r="P487" s="24" t="s">
        <v>5235</v>
      </c>
      <c r="Q487" s="24" t="s">
        <v>5236</v>
      </c>
      <c r="R487" s="25" t="s">
        <v>5237</v>
      </c>
      <c r="S487" s="24" t="s">
        <v>5208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174</v>
      </c>
      <c r="Y487" s="23" t="s">
        <v>174</v>
      </c>
      <c r="Z487" s="23" t="s">
        <v>174</v>
      </c>
      <c r="AA487" s="23" t="s">
        <v>174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  <c r="AE487" s="24" t="str">
        <f aca="false">M487&amp;" | 다니엘 10~12장 #"&amp;SUBSTITUTE(안내!$C$5," ","")</f>
        <v>마지막 날에 대한 환상 | 다니엘 10~12장 #1분성경</v>
      </c>
      <c r="AF487" s="24" t="s">
        <v>304</v>
      </c>
      <c r="AG487" s="24"/>
      <c r="AH487" s="23" t="s">
        <v>290</v>
      </c>
      <c r="AI487" s="26" t="n">
        <f aca="false">U487-안내!$C$12</f>
        <v>46863</v>
      </c>
      <c r="AJ487" s="23" t="str">
        <f aca="false">IF(U487&lt;IF(C487=1,안내!$C$9,안내!$C$10)+안내!$C$12,"시즌 시작 전 제작","")</f>
        <v/>
      </c>
      <c r="AK487" s="24" t="s">
        <v>5102</v>
      </c>
      <c r="AL487" s="27"/>
      <c r="AM487" s="27"/>
      <c r="AN487" s="27"/>
      <c r="AO487" s="27"/>
      <c r="AP487" s="27"/>
      <c r="AQ487" s="23" t="str">
        <f aca="false">D487&amp;"|"&amp;TEXT(U487,"yyyy-mm-dd")</f>
        <v>구약|2028-05-18</v>
      </c>
      <c r="AR487" s="24" t="s">
        <v>5238</v>
      </c>
      <c r="AS487" s="24"/>
    </row>
    <row r="488" customFormat="false" ht="26.85" hidden="false" customHeight="false" outlineLevel="0" collapsed="false">
      <c r="A488" s="21" t="n">
        <v>487</v>
      </c>
      <c r="B488" s="18" t="s">
        <v>5239</v>
      </c>
      <c r="C488" s="23" t="n">
        <v>2</v>
      </c>
      <c r="D488" s="23" t="s">
        <v>160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5240</v>
      </c>
      <c r="H488" s="18" t="s">
        <v>5114</v>
      </c>
      <c r="I488" s="21" t="s">
        <v>5241</v>
      </c>
      <c r="J488" s="22" t="s">
        <v>5242</v>
      </c>
      <c r="K488" s="23" t="s">
        <v>1370</v>
      </c>
      <c r="L488" s="24" t="s">
        <v>5243</v>
      </c>
      <c r="M488" s="24" t="s">
        <v>5244</v>
      </c>
      <c r="N488" s="23" t="s">
        <v>5245</v>
      </c>
      <c r="O488" s="24" t="s">
        <v>5246</v>
      </c>
      <c r="P488" s="24" t="s">
        <v>5247</v>
      </c>
      <c r="Q488" s="24" t="s">
        <v>5248</v>
      </c>
      <c r="R488" s="25" t="s">
        <v>5249</v>
      </c>
      <c r="S488" s="24" t="s">
        <v>5208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174</v>
      </c>
      <c r="Y488" s="23" t="s">
        <v>174</v>
      </c>
      <c r="Z488" s="23" t="s">
        <v>174</v>
      </c>
      <c r="AA488" s="23" t="s">
        <v>174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  <c r="AE488" s="24" t="str">
        <f aca="false">M488&amp;" | 호세아 1~2장 #"&amp;SUBSTITUTE(안내!$C$5," ","")</f>
        <v>선지자에게 내린 이해하기 힘든 명령 | 호세아 1~2장 #1분성경</v>
      </c>
      <c r="AF488" s="24" t="s">
        <v>304</v>
      </c>
      <c r="AG488" s="24"/>
      <c r="AH488" s="23" t="s">
        <v>290</v>
      </c>
      <c r="AI488" s="26" t="n">
        <f aca="false">U488-안내!$C$12</f>
        <v>46864</v>
      </c>
      <c r="AJ488" s="23" t="str">
        <f aca="false">IF(U488&lt;IF(C488=1,안내!$C$9,안내!$C$10)+안내!$C$12,"시즌 시작 전 제작","")</f>
        <v/>
      </c>
      <c r="AK488" s="24"/>
      <c r="AL488" s="27"/>
      <c r="AM488" s="27"/>
      <c r="AN488" s="27"/>
      <c r="AO488" s="27"/>
      <c r="AP488" s="27"/>
      <c r="AQ488" s="23" t="str">
        <f aca="false">D488&amp;"|"&amp;TEXT(U488,"yyyy-mm-dd")</f>
        <v>구약|2028-05-19</v>
      </c>
      <c r="AR488" s="24" t="s">
        <v>5250</v>
      </c>
      <c r="AS488" s="24"/>
    </row>
    <row r="489" customFormat="false" ht="39.55" hidden="false" customHeight="false" outlineLevel="0" collapsed="false">
      <c r="A489" s="21" t="n">
        <v>488</v>
      </c>
      <c r="B489" s="18" t="s">
        <v>5251</v>
      </c>
      <c r="C489" s="23" t="n">
        <v>2</v>
      </c>
      <c r="D489" s="23" t="s">
        <v>160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5240</v>
      </c>
      <c r="H489" s="18" t="s">
        <v>5114</v>
      </c>
      <c r="I489" s="21" t="s">
        <v>5241</v>
      </c>
      <c r="J489" s="22" t="s">
        <v>5252</v>
      </c>
      <c r="K489" s="23" t="s">
        <v>1370</v>
      </c>
      <c r="L489" s="24" t="s">
        <v>5253</v>
      </c>
      <c r="M489" s="24" t="s">
        <v>5254</v>
      </c>
      <c r="N489" s="23" t="s">
        <v>5255</v>
      </c>
      <c r="O489" s="24" t="s">
        <v>5256</v>
      </c>
      <c r="P489" s="24" t="s">
        <v>5247</v>
      </c>
      <c r="Q489" s="24" t="s">
        <v>5257</v>
      </c>
      <c r="R489" s="24"/>
      <c r="S489" s="24" t="s">
        <v>5208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174</v>
      </c>
      <c r="Y489" s="23" t="s">
        <v>174</v>
      </c>
      <c r="Z489" s="23" t="s">
        <v>174</v>
      </c>
      <c r="AA489" s="23" t="s">
        <v>174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  <c r="AE489" s="24" t="str">
        <f aca="false">M489&amp;" | 호세아 3장 #"&amp;SUBSTITUTE(안내!$C$5," ","")</f>
        <v>은 15개와 보리로 아내를 다시 사 오다 | 호세아 3장 #1분성경</v>
      </c>
      <c r="AF489" s="24" t="s">
        <v>304</v>
      </c>
      <c r="AG489" s="24"/>
      <c r="AH489" s="23" t="s">
        <v>360</v>
      </c>
      <c r="AI489" s="26" t="n">
        <f aca="false">U489-안내!$C$12</f>
        <v>46865</v>
      </c>
      <c r="AJ489" s="23" t="str">
        <f aca="false">IF(U489&lt;IF(C489=1,안내!$C$9,안내!$C$10)+안내!$C$12,"시즌 시작 전 제작","")</f>
        <v/>
      </c>
      <c r="AK489" s="24"/>
      <c r="AL489" s="27"/>
      <c r="AM489" s="27"/>
      <c r="AN489" s="27"/>
      <c r="AO489" s="27"/>
      <c r="AP489" s="27"/>
      <c r="AQ489" s="23" t="str">
        <f aca="false">D489&amp;"|"&amp;TEXT(U489,"yyyy-mm-dd")</f>
        <v>구약|2028-05-20</v>
      </c>
      <c r="AR489" s="24" t="s">
        <v>5258</v>
      </c>
      <c r="AS489" s="24"/>
    </row>
    <row r="490" customFormat="false" ht="39.55" hidden="false" customHeight="false" outlineLevel="0" collapsed="false">
      <c r="A490" s="21" t="n">
        <v>489</v>
      </c>
      <c r="B490" s="18" t="s">
        <v>5259</v>
      </c>
      <c r="C490" s="23" t="n">
        <v>2</v>
      </c>
      <c r="D490" s="23" t="s">
        <v>160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5240</v>
      </c>
      <c r="H490" s="18" t="s">
        <v>5260</v>
      </c>
      <c r="I490" s="21" t="s">
        <v>5241</v>
      </c>
      <c r="J490" s="22" t="s">
        <v>5261</v>
      </c>
      <c r="K490" s="23" t="s">
        <v>1370</v>
      </c>
      <c r="L490" s="24" t="s">
        <v>5262</v>
      </c>
      <c r="M490" s="24" t="s">
        <v>5263</v>
      </c>
      <c r="N490" s="23" t="s">
        <v>5264</v>
      </c>
      <c r="O490" s="24" t="s">
        <v>5265</v>
      </c>
      <c r="P490" s="24" t="s">
        <v>5241</v>
      </c>
      <c r="Q490" s="24" t="s">
        <v>5266</v>
      </c>
      <c r="R490" s="24"/>
      <c r="S490" s="24" t="s">
        <v>5208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174</v>
      </c>
      <c r="Y490" s="23" t="s">
        <v>174</v>
      </c>
      <c r="Z490" s="23" t="s">
        <v>174</v>
      </c>
      <c r="AA490" s="23" t="s">
        <v>174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  <c r="AE490" s="24" t="str">
        <f aca="false">M490&amp;" | 호세아 4~10장 #"&amp;SUBSTITUTE(안내!$C$5," ","")</f>
        <v>지식이 없어 망하는 백성 | 호세아 4~10장 #1분성경</v>
      </c>
      <c r="AF490" s="24" t="s">
        <v>304</v>
      </c>
      <c r="AG490" s="24"/>
      <c r="AH490" s="23" t="s">
        <v>290</v>
      </c>
      <c r="AI490" s="26" t="n">
        <f aca="false">U490-안내!$C$12</f>
        <v>46866</v>
      </c>
      <c r="AJ490" s="23" t="str">
        <f aca="false">IF(U490&lt;IF(C490=1,안내!$C$9,안내!$C$10)+안내!$C$12,"시즌 시작 전 제작","")</f>
        <v/>
      </c>
      <c r="AK490" s="24"/>
      <c r="AL490" s="27"/>
      <c r="AM490" s="27"/>
      <c r="AN490" s="27"/>
      <c r="AO490" s="27"/>
      <c r="AP490" s="27"/>
      <c r="AQ490" s="23" t="str">
        <f aca="false">D490&amp;"|"&amp;TEXT(U490,"yyyy-mm-dd")</f>
        <v>구약|2028-05-21</v>
      </c>
      <c r="AR490" s="24" t="s">
        <v>5267</v>
      </c>
      <c r="AS490" s="24"/>
    </row>
    <row r="491" customFormat="false" ht="39.55" hidden="false" customHeight="false" outlineLevel="0" collapsed="false">
      <c r="A491" s="21" t="n">
        <v>490</v>
      </c>
      <c r="B491" s="18" t="s">
        <v>5268</v>
      </c>
      <c r="C491" s="23" t="n">
        <v>2</v>
      </c>
      <c r="D491" s="23" t="s">
        <v>160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5240</v>
      </c>
      <c r="H491" s="18" t="s">
        <v>5260</v>
      </c>
      <c r="I491" s="21" t="s">
        <v>5241</v>
      </c>
      <c r="J491" s="22" t="s">
        <v>5269</v>
      </c>
      <c r="K491" s="23" t="s">
        <v>1370</v>
      </c>
      <c r="L491" s="24" t="s">
        <v>5270</v>
      </c>
      <c r="M491" s="24" t="s">
        <v>5271</v>
      </c>
      <c r="N491" s="23" t="s">
        <v>5272</v>
      </c>
      <c r="O491" s="24" t="s">
        <v>5273</v>
      </c>
      <c r="P491" s="24" t="s">
        <v>5241</v>
      </c>
      <c r="Q491" s="24" t="s">
        <v>5274</v>
      </c>
      <c r="R491" s="24"/>
      <c r="S491" s="24" t="s">
        <v>5208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174</v>
      </c>
      <c r="Y491" s="23" t="s">
        <v>174</v>
      </c>
      <c r="Z491" s="23" t="s">
        <v>174</v>
      </c>
      <c r="AA491" s="23" t="s">
        <v>174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  <c r="AE491" s="24" t="str">
        <f aca="false">M491&amp;" | 호세아 11~14장 #"&amp;SUBSTITUTE(안내!$C$5," ","")</f>
        <v>아이에게 걸음마를 가르친 아버지의 마음 | 호세아 11~14장 #1분성경</v>
      </c>
      <c r="AF491" s="24" t="s">
        <v>304</v>
      </c>
      <c r="AG491" s="24"/>
      <c r="AH491" s="23" t="s">
        <v>290</v>
      </c>
      <c r="AI491" s="26" t="n">
        <f aca="false">U491-안내!$C$12</f>
        <v>46867</v>
      </c>
      <c r="AJ491" s="23" t="str">
        <f aca="false">IF(U491&lt;IF(C491=1,안내!$C$9,안내!$C$10)+안내!$C$12,"시즌 시작 전 제작","")</f>
        <v/>
      </c>
      <c r="AK491" s="24"/>
      <c r="AL491" s="27"/>
      <c r="AM491" s="27"/>
      <c r="AN491" s="27"/>
      <c r="AO491" s="27"/>
      <c r="AP491" s="27"/>
      <c r="AQ491" s="23" t="str">
        <f aca="false">D491&amp;"|"&amp;TEXT(U491,"yyyy-mm-dd")</f>
        <v>구약|2028-05-22</v>
      </c>
      <c r="AR491" s="24" t="s">
        <v>5275</v>
      </c>
      <c r="AS491" s="24" t="s">
        <v>292</v>
      </c>
    </row>
    <row r="492" customFormat="false" ht="39.55" hidden="false" customHeight="false" outlineLevel="0" collapsed="false">
      <c r="A492" s="21" t="n">
        <v>491</v>
      </c>
      <c r="B492" s="18" t="s">
        <v>5276</v>
      </c>
      <c r="C492" s="23" t="n">
        <v>2</v>
      </c>
      <c r="D492" s="23" t="s">
        <v>160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5240</v>
      </c>
      <c r="H492" s="18" t="s">
        <v>5260</v>
      </c>
      <c r="I492" s="21" t="s">
        <v>5277</v>
      </c>
      <c r="J492" s="22" t="s">
        <v>5278</v>
      </c>
      <c r="K492" s="23" t="s">
        <v>1370</v>
      </c>
      <c r="L492" s="24" t="s">
        <v>5279</v>
      </c>
      <c r="M492" s="24" t="s">
        <v>5280</v>
      </c>
      <c r="N492" s="23" t="s">
        <v>5281</v>
      </c>
      <c r="O492" s="24" t="s">
        <v>5282</v>
      </c>
      <c r="P492" s="24" t="s">
        <v>5277</v>
      </c>
      <c r="Q492" s="24" t="s">
        <v>5283</v>
      </c>
      <c r="R492" s="24"/>
      <c r="S492" s="24" t="s">
        <v>5208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174</v>
      </c>
      <c r="Y492" s="23" t="s">
        <v>174</v>
      </c>
      <c r="Z492" s="23" t="s">
        <v>174</v>
      </c>
      <c r="AA492" s="23" t="s">
        <v>174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  <c r="AE492" s="24" t="str">
        <f aca="false">M492&amp;" | 요엘 1~2장 #"&amp;SUBSTITUTE(안내!$C$5," ","")</f>
        <v>하늘을 가린 메뚜기 떼 | 요엘 1~2장 #1분성경</v>
      </c>
      <c r="AF492" s="24" t="s">
        <v>304</v>
      </c>
      <c r="AG492" s="24"/>
      <c r="AH492" s="23" t="s">
        <v>290</v>
      </c>
      <c r="AI492" s="26" t="n">
        <f aca="false">U492-안내!$C$12</f>
        <v>46868</v>
      </c>
      <c r="AJ492" s="23" t="str">
        <f aca="false">IF(U492&lt;IF(C492=1,안내!$C$9,안내!$C$10)+안내!$C$12,"시즌 시작 전 제작","")</f>
        <v/>
      </c>
      <c r="AK492" s="24"/>
      <c r="AL492" s="27"/>
      <c r="AM492" s="27"/>
      <c r="AN492" s="27"/>
      <c r="AO492" s="27"/>
      <c r="AP492" s="27"/>
      <c r="AQ492" s="23" t="str">
        <f aca="false">D492&amp;"|"&amp;TEXT(U492,"yyyy-mm-dd")</f>
        <v>구약|2028-05-23</v>
      </c>
      <c r="AR492" s="24" t="s">
        <v>5284</v>
      </c>
      <c r="AS492" s="24"/>
    </row>
    <row r="493" customFormat="false" ht="26.85" hidden="false" customHeight="false" outlineLevel="0" collapsed="false">
      <c r="A493" s="21" t="n">
        <v>492</v>
      </c>
      <c r="B493" s="18" t="s">
        <v>5285</v>
      </c>
      <c r="C493" s="23" t="n">
        <v>2</v>
      </c>
      <c r="D493" s="23" t="s">
        <v>160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5240</v>
      </c>
      <c r="H493" s="18" t="s">
        <v>5260</v>
      </c>
      <c r="I493" s="21" t="s">
        <v>5277</v>
      </c>
      <c r="J493" s="22" t="s">
        <v>5286</v>
      </c>
      <c r="K493" s="23" t="s">
        <v>1370</v>
      </c>
      <c r="L493" s="24" t="s">
        <v>5287</v>
      </c>
      <c r="M493" s="24" t="s">
        <v>5288</v>
      </c>
      <c r="N493" s="23" t="s">
        <v>5289</v>
      </c>
      <c r="O493" s="24" t="s">
        <v>5290</v>
      </c>
      <c r="P493" s="24" t="s">
        <v>5277</v>
      </c>
      <c r="Q493" s="24" t="s">
        <v>5291</v>
      </c>
      <c r="R493" s="25" t="s">
        <v>5292</v>
      </c>
      <c r="S493" s="24" t="s">
        <v>5208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174</v>
      </c>
      <c r="Y493" s="23" t="s">
        <v>174</v>
      </c>
      <c r="Z493" s="23" t="s">
        <v>174</v>
      </c>
      <c r="AA493" s="23" t="s">
        <v>174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  <c r="AE493" s="24" t="str">
        <f aca="false">M493&amp;" | 요엘 2장 #"&amp;SUBSTITUTE(안내!$C$5," ","")</f>
        <v>모든 사람에게 성령을 부어 주시는 날 | 요엘 2장 #1분성경</v>
      </c>
      <c r="AF493" s="24" t="s">
        <v>304</v>
      </c>
      <c r="AG493" s="24"/>
      <c r="AH493" s="23" t="s">
        <v>290</v>
      </c>
      <c r="AI493" s="26" t="n">
        <f aca="false">U493-안내!$C$12</f>
        <v>46869</v>
      </c>
      <c r="AJ493" s="23" t="str">
        <f aca="false">IF(U493&lt;IF(C493=1,안내!$C$9,안내!$C$10)+안내!$C$12,"시즌 시작 전 제작","")</f>
        <v/>
      </c>
      <c r="AK493" s="24"/>
      <c r="AL493" s="27"/>
      <c r="AM493" s="27"/>
      <c r="AN493" s="27"/>
      <c r="AO493" s="27"/>
      <c r="AP493" s="27"/>
      <c r="AQ493" s="23" t="str">
        <f aca="false">D493&amp;"|"&amp;TEXT(U493,"yyyy-mm-dd")</f>
        <v>구약|2028-05-24</v>
      </c>
      <c r="AR493" s="24" t="s">
        <v>5293</v>
      </c>
      <c r="AS493" s="24"/>
    </row>
    <row r="494" customFormat="false" ht="39.55" hidden="false" customHeight="false" outlineLevel="0" collapsed="false">
      <c r="A494" s="21" t="n">
        <v>493</v>
      </c>
      <c r="B494" s="18" t="s">
        <v>5294</v>
      </c>
      <c r="C494" s="23" t="n">
        <v>2</v>
      </c>
      <c r="D494" s="23" t="s">
        <v>160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5240</v>
      </c>
      <c r="H494" s="18" t="s">
        <v>5260</v>
      </c>
      <c r="I494" s="21" t="s">
        <v>5277</v>
      </c>
      <c r="J494" s="22" t="s">
        <v>5295</v>
      </c>
      <c r="K494" s="23" t="s">
        <v>1370</v>
      </c>
      <c r="L494" s="24" t="s">
        <v>5296</v>
      </c>
      <c r="M494" s="24" t="s">
        <v>5297</v>
      </c>
      <c r="N494" s="23" t="s">
        <v>5298</v>
      </c>
      <c r="O494" s="24" t="s">
        <v>5299</v>
      </c>
      <c r="P494" s="24" t="s">
        <v>5277</v>
      </c>
      <c r="Q494" s="24" t="s">
        <v>5300</v>
      </c>
      <c r="R494" s="24"/>
      <c r="S494" s="24" t="s">
        <v>5208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174</v>
      </c>
      <c r="Y494" s="23" t="s">
        <v>174</v>
      </c>
      <c r="Z494" s="23" t="s">
        <v>174</v>
      </c>
      <c r="AA494" s="23" t="s">
        <v>174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  <c r="AE494" s="24" t="str">
        <f aca="false">M494&amp;" | 요엘 3장 #"&amp;SUBSTITUTE(안내!$C$5," ","")</f>
        <v>모든 민족이 모이는 날 | 요엘 3장 #1분성경</v>
      </c>
      <c r="AF494" s="24" t="s">
        <v>304</v>
      </c>
      <c r="AG494" s="24"/>
      <c r="AH494" s="23" t="s">
        <v>290</v>
      </c>
      <c r="AI494" s="26" t="n">
        <f aca="false">U494-안내!$C$12</f>
        <v>46870</v>
      </c>
      <c r="AJ494" s="23" t="str">
        <f aca="false">IF(U494&lt;IF(C494=1,안내!$C$9,안내!$C$10)+안내!$C$12,"시즌 시작 전 제작","")</f>
        <v/>
      </c>
      <c r="AK494" s="24"/>
      <c r="AL494" s="27"/>
      <c r="AM494" s="27"/>
      <c r="AN494" s="27"/>
      <c r="AO494" s="27"/>
      <c r="AP494" s="27"/>
      <c r="AQ494" s="23" t="str">
        <f aca="false">D494&amp;"|"&amp;TEXT(U494,"yyyy-mm-dd")</f>
        <v>구약|2028-05-25</v>
      </c>
      <c r="AR494" s="24" t="s">
        <v>5301</v>
      </c>
      <c r="AS494" s="24"/>
    </row>
    <row r="495" customFormat="false" ht="26.85" hidden="false" customHeight="false" outlineLevel="0" collapsed="false">
      <c r="A495" s="21" t="n">
        <v>494</v>
      </c>
      <c r="B495" s="18" t="s">
        <v>5302</v>
      </c>
      <c r="C495" s="23" t="n">
        <v>2</v>
      </c>
      <c r="D495" s="23" t="s">
        <v>160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5240</v>
      </c>
      <c r="H495" s="18" t="s">
        <v>5260</v>
      </c>
      <c r="I495" s="21" t="s">
        <v>5303</v>
      </c>
      <c r="J495" s="22" t="s">
        <v>5304</v>
      </c>
      <c r="K495" s="23" t="s">
        <v>1370</v>
      </c>
      <c r="L495" s="24" t="s">
        <v>5305</v>
      </c>
      <c r="M495" s="24" t="s">
        <v>5306</v>
      </c>
      <c r="N495" s="23" t="s">
        <v>5307</v>
      </c>
      <c r="O495" s="24" t="s">
        <v>5308</v>
      </c>
      <c r="P495" s="24" t="s">
        <v>5303</v>
      </c>
      <c r="Q495" s="24" t="s">
        <v>5309</v>
      </c>
      <c r="R495" s="24"/>
      <c r="S495" s="24" t="s">
        <v>5208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174</v>
      </c>
      <c r="Y495" s="23" t="s">
        <v>174</v>
      </c>
      <c r="Z495" s="23" t="s">
        <v>174</v>
      </c>
      <c r="AA495" s="23" t="s">
        <v>174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  <c r="AE495" s="24" t="str">
        <f aca="false">M495&amp;" | 아모스 1~2장 #"&amp;SUBSTITUTE(안내!$C$5," ","")</f>
        <v>목자 출신 선지자가 나라들을 꾸짖다 | 아모스 1~2장 #1분성경</v>
      </c>
      <c r="AF495" s="24" t="s">
        <v>304</v>
      </c>
      <c r="AG495" s="24"/>
      <c r="AH495" s="23" t="s">
        <v>290</v>
      </c>
      <c r="AI495" s="26" t="n">
        <f aca="false">U495-안내!$C$12</f>
        <v>46871</v>
      </c>
      <c r="AJ495" s="23" t="str">
        <f aca="false">IF(U495&lt;IF(C495=1,안내!$C$9,안내!$C$10)+안내!$C$12,"시즌 시작 전 제작","")</f>
        <v/>
      </c>
      <c r="AK495" s="24"/>
      <c r="AL495" s="27"/>
      <c r="AM495" s="27"/>
      <c r="AN495" s="27"/>
      <c r="AO495" s="27"/>
      <c r="AP495" s="27"/>
      <c r="AQ495" s="23" t="str">
        <f aca="false">D495&amp;"|"&amp;TEXT(U495,"yyyy-mm-dd")</f>
        <v>구약|2028-05-26</v>
      </c>
      <c r="AR495" s="24" t="s">
        <v>5310</v>
      </c>
      <c r="AS495" s="24"/>
    </row>
    <row r="496" customFormat="false" ht="26.85" hidden="false" customHeight="false" outlineLevel="0" collapsed="false">
      <c r="A496" s="21" t="n">
        <v>495</v>
      </c>
      <c r="B496" s="18" t="s">
        <v>5311</v>
      </c>
      <c r="C496" s="23" t="n">
        <v>2</v>
      </c>
      <c r="D496" s="23" t="s">
        <v>160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5240</v>
      </c>
      <c r="H496" s="18" t="s">
        <v>5260</v>
      </c>
      <c r="I496" s="21" t="s">
        <v>5303</v>
      </c>
      <c r="J496" s="22" t="s">
        <v>5312</v>
      </c>
      <c r="K496" s="23" t="s">
        <v>1370</v>
      </c>
      <c r="L496" s="24" t="s">
        <v>5313</v>
      </c>
      <c r="M496" s="24" t="s">
        <v>5314</v>
      </c>
      <c r="N496" s="23" t="s">
        <v>5315</v>
      </c>
      <c r="O496" s="24" t="s">
        <v>5316</v>
      </c>
      <c r="P496" s="24" t="s">
        <v>5303</v>
      </c>
      <c r="Q496" s="24" t="s">
        <v>5317</v>
      </c>
      <c r="R496" s="24"/>
      <c r="S496" s="24" t="s">
        <v>5208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174</v>
      </c>
      <c r="Y496" s="23" t="s">
        <v>174</v>
      </c>
      <c r="Z496" s="23" t="s">
        <v>174</v>
      </c>
      <c r="AA496" s="23" t="s">
        <v>174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  <c r="AE496" s="24" t="str">
        <f aca="false">M496&amp;" | 아모스 3~6장 #"&amp;SUBSTITUTE(안내!$C$5," ","")</f>
        <v>화려한 예배보다 원하시는 것 | 아모스 3~6장 #1분성경</v>
      </c>
      <c r="AF496" s="24" t="s">
        <v>304</v>
      </c>
      <c r="AG496" s="24"/>
      <c r="AH496" s="23" t="s">
        <v>290</v>
      </c>
      <c r="AI496" s="26" t="n">
        <f aca="false">U496-안내!$C$12</f>
        <v>46872</v>
      </c>
      <c r="AJ496" s="23" t="str">
        <f aca="false">IF(U496&lt;IF(C496=1,안내!$C$9,안내!$C$10)+안내!$C$12,"시즌 시작 전 제작","")</f>
        <v/>
      </c>
      <c r="AK496" s="24"/>
      <c r="AL496" s="27"/>
      <c r="AM496" s="27"/>
      <c r="AN496" s="27"/>
      <c r="AO496" s="27"/>
      <c r="AP496" s="27"/>
      <c r="AQ496" s="23" t="str">
        <f aca="false">D496&amp;"|"&amp;TEXT(U496,"yyyy-mm-dd")</f>
        <v>구약|2028-05-27</v>
      </c>
      <c r="AR496" s="24" t="s">
        <v>5318</v>
      </c>
      <c r="AS496" s="24"/>
    </row>
    <row r="497" customFormat="false" ht="39.55" hidden="false" customHeight="false" outlineLevel="0" collapsed="false">
      <c r="A497" s="21" t="n">
        <v>496</v>
      </c>
      <c r="B497" s="18" t="s">
        <v>5319</v>
      </c>
      <c r="C497" s="23" t="n">
        <v>2</v>
      </c>
      <c r="D497" s="23" t="s">
        <v>160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5240</v>
      </c>
      <c r="H497" s="18" t="s">
        <v>5260</v>
      </c>
      <c r="I497" s="21" t="s">
        <v>5303</v>
      </c>
      <c r="J497" s="22" t="s">
        <v>5320</v>
      </c>
      <c r="K497" s="23" t="s">
        <v>1370</v>
      </c>
      <c r="L497" s="24" t="s">
        <v>5321</v>
      </c>
      <c r="M497" s="24" t="s">
        <v>5322</v>
      </c>
      <c r="N497" s="23" t="s">
        <v>5323</v>
      </c>
      <c r="O497" s="24" t="s">
        <v>5324</v>
      </c>
      <c r="P497" s="24" t="s">
        <v>5325</v>
      </c>
      <c r="Q497" s="24" t="s">
        <v>5326</v>
      </c>
      <c r="R497" s="24"/>
      <c r="S497" s="24" t="s">
        <v>5208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174</v>
      </c>
      <c r="Y497" s="23" t="s">
        <v>174</v>
      </c>
      <c r="Z497" s="23" t="s">
        <v>174</v>
      </c>
      <c r="AA497" s="23" t="s">
        <v>174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  <c r="AE497" s="24" t="str">
        <f aca="false">M497&amp;" | 아모스 7장 #"&amp;SUBSTITUTE(안내!$C$5," ","")</f>
        <v>하나님이 벽에 다림줄을 대셨다 | 아모스 7장 #1분성경</v>
      </c>
      <c r="AF497" s="24" t="s">
        <v>304</v>
      </c>
      <c r="AG497" s="24"/>
      <c r="AH497" s="23" t="s">
        <v>290</v>
      </c>
      <c r="AI497" s="26" t="n">
        <f aca="false">U497-안내!$C$12</f>
        <v>46873</v>
      </c>
      <c r="AJ497" s="23" t="str">
        <f aca="false">IF(U497&lt;IF(C497=1,안내!$C$9,안내!$C$10)+안내!$C$12,"시즌 시작 전 제작","")</f>
        <v/>
      </c>
      <c r="AK497" s="24"/>
      <c r="AL497" s="27"/>
      <c r="AM497" s="27"/>
      <c r="AN497" s="27"/>
      <c r="AO497" s="27"/>
      <c r="AP497" s="27"/>
      <c r="AQ497" s="23" t="str">
        <f aca="false">D497&amp;"|"&amp;TEXT(U497,"yyyy-mm-dd")</f>
        <v>구약|2028-05-28</v>
      </c>
      <c r="AR497" s="24" t="s">
        <v>5327</v>
      </c>
      <c r="AS497" s="24"/>
    </row>
    <row r="498" customFormat="false" ht="39.55" hidden="false" customHeight="false" outlineLevel="0" collapsed="false">
      <c r="A498" s="21" t="n">
        <v>497</v>
      </c>
      <c r="B498" s="18" t="s">
        <v>5328</v>
      </c>
      <c r="C498" s="23" t="n">
        <v>2</v>
      </c>
      <c r="D498" s="23" t="s">
        <v>160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5240</v>
      </c>
      <c r="H498" s="18" t="s">
        <v>5260</v>
      </c>
      <c r="I498" s="21" t="s">
        <v>5303</v>
      </c>
      <c r="J498" s="22" t="s">
        <v>5329</v>
      </c>
      <c r="K498" s="23" t="s">
        <v>1370</v>
      </c>
      <c r="L498" s="24" t="s">
        <v>5330</v>
      </c>
      <c r="M498" s="24" t="s">
        <v>5331</v>
      </c>
      <c r="N498" s="23" t="s">
        <v>5332</v>
      </c>
      <c r="O498" s="24" t="s">
        <v>5333</v>
      </c>
      <c r="P498" s="24" t="s">
        <v>5303</v>
      </c>
      <c r="Q498" s="24" t="s">
        <v>5334</v>
      </c>
      <c r="R498" s="24"/>
      <c r="S498" s="24" t="s">
        <v>5208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174</v>
      </c>
      <c r="Y498" s="23" t="s">
        <v>174</v>
      </c>
      <c r="Z498" s="23" t="s">
        <v>174</v>
      </c>
      <c r="AA498" s="23" t="s">
        <v>174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  <c r="AE498" s="24" t="str">
        <f aca="false">M498&amp;" | 아모스 8~9장 #"&amp;SUBSTITUTE(안내!$C$5," ","")</f>
        <v>양식이 없는 것이 아니라 말씀이 없는 기근 | 아모스 8~9장 #1분성경</v>
      </c>
      <c r="AF498" s="24" t="s">
        <v>304</v>
      </c>
      <c r="AG498" s="24"/>
      <c r="AH498" s="23" t="s">
        <v>290</v>
      </c>
      <c r="AI498" s="26" t="n">
        <f aca="false">U498-안내!$C$12</f>
        <v>46874</v>
      </c>
      <c r="AJ498" s="23" t="str">
        <f aca="false">IF(U498&lt;IF(C498=1,안내!$C$9,안내!$C$10)+안내!$C$12,"시즌 시작 전 제작","")</f>
        <v/>
      </c>
      <c r="AK498" s="24"/>
      <c r="AL498" s="27"/>
      <c r="AM498" s="27"/>
      <c r="AN498" s="27"/>
      <c r="AO498" s="27"/>
      <c r="AP498" s="27"/>
      <c r="AQ498" s="23" t="str">
        <f aca="false">D498&amp;"|"&amp;TEXT(U498,"yyyy-mm-dd")</f>
        <v>구약|2028-05-29</v>
      </c>
      <c r="AR498" s="24" t="s">
        <v>5335</v>
      </c>
      <c r="AS498" s="24"/>
    </row>
    <row r="499" customFormat="false" ht="26.85" hidden="false" customHeight="false" outlineLevel="0" collapsed="false">
      <c r="A499" s="21" t="n">
        <v>498</v>
      </c>
      <c r="B499" s="18" t="s">
        <v>5336</v>
      </c>
      <c r="C499" s="23" t="n">
        <v>2</v>
      </c>
      <c r="D499" s="23" t="s">
        <v>160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5337</v>
      </c>
      <c r="H499" s="18" t="s">
        <v>5338</v>
      </c>
      <c r="I499" s="21" t="s">
        <v>5339</v>
      </c>
      <c r="J499" s="22" t="s">
        <v>5340</v>
      </c>
      <c r="K499" s="23" t="s">
        <v>1370</v>
      </c>
      <c r="L499" s="24" t="s">
        <v>5341</v>
      </c>
      <c r="M499" s="24" t="s">
        <v>5342</v>
      </c>
      <c r="N499" s="23" t="s">
        <v>5343</v>
      </c>
      <c r="O499" s="24" t="s">
        <v>5344</v>
      </c>
      <c r="P499" s="24" t="s">
        <v>5339</v>
      </c>
      <c r="Q499" s="24" t="s">
        <v>5345</v>
      </c>
      <c r="R499" s="24"/>
      <c r="S499" s="24" t="s">
        <v>5208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174</v>
      </c>
      <c r="Y499" s="23" t="s">
        <v>174</v>
      </c>
      <c r="Z499" s="23" t="s">
        <v>174</v>
      </c>
      <c r="AA499" s="23" t="s">
        <v>174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  <c r="AE499" s="24" t="str">
        <f aca="false">M499&amp;" | 오바댜 1장 #"&amp;SUBSTITUTE(안내!$C$5," ","")</f>
        <v>바위 위의 교만한 에돔 | 오바댜 1장 #1분성경</v>
      </c>
      <c r="AF499" s="24" t="s">
        <v>304</v>
      </c>
      <c r="AG499" s="24"/>
      <c r="AH499" s="23" t="s">
        <v>290</v>
      </c>
      <c r="AI499" s="26" t="n">
        <f aca="false">U499-안내!$C$12</f>
        <v>46875</v>
      </c>
      <c r="AJ499" s="23" t="str">
        <f aca="false">IF(U499&lt;IF(C499=1,안내!$C$9,안내!$C$10)+안내!$C$12,"시즌 시작 전 제작","")</f>
        <v/>
      </c>
      <c r="AK499" s="24"/>
      <c r="AL499" s="27"/>
      <c r="AM499" s="27"/>
      <c r="AN499" s="27"/>
      <c r="AO499" s="27"/>
      <c r="AP499" s="27"/>
      <c r="AQ499" s="23" t="str">
        <f aca="false">D499&amp;"|"&amp;TEXT(U499,"yyyy-mm-dd")</f>
        <v>구약|2028-05-30</v>
      </c>
      <c r="AR499" s="24" t="s">
        <v>5346</v>
      </c>
      <c r="AS499" s="24"/>
    </row>
    <row r="500" customFormat="false" ht="52.2" hidden="false" customHeight="false" outlineLevel="0" collapsed="false">
      <c r="A500" s="21" t="n">
        <v>499</v>
      </c>
      <c r="B500" s="18" t="s">
        <v>5347</v>
      </c>
      <c r="C500" s="20" t="n">
        <v>1</v>
      </c>
      <c r="D500" s="20" t="s">
        <v>160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5337</v>
      </c>
      <c r="H500" s="18" t="s">
        <v>5348</v>
      </c>
      <c r="I500" s="21" t="s">
        <v>5349</v>
      </c>
      <c r="J500" s="22" t="s">
        <v>5350</v>
      </c>
      <c r="K500" s="23" t="s">
        <v>165</v>
      </c>
      <c r="L500" s="24" t="s">
        <v>5351</v>
      </c>
      <c r="M500" s="24" t="s">
        <v>5352</v>
      </c>
      <c r="N500" s="23" t="s">
        <v>5353</v>
      </c>
      <c r="O500" s="24" t="s">
        <v>5354</v>
      </c>
      <c r="P500" s="24" t="s">
        <v>5349</v>
      </c>
      <c r="Q500" s="24" t="s">
        <v>5355</v>
      </c>
      <c r="R500" s="24"/>
      <c r="S500" s="29" t="s">
        <v>5356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174</v>
      </c>
      <c r="Y500" s="23" t="s">
        <v>174</v>
      </c>
      <c r="Z500" s="23" t="s">
        <v>174</v>
      </c>
      <c r="AA500" s="23" t="s">
        <v>174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  <c r="AE500" s="24" t="str">
        <f aca="false">M500&amp;" | 요나 1장 #"&amp;SUBSTITUTE(안내!$C$5," ","")</f>
        <v>동쪽으로 가라 했더니 서쪽 배를 탔다 | 요나 1장 #1분성경</v>
      </c>
      <c r="AF500" s="24" t="s">
        <v>5357</v>
      </c>
      <c r="AG500" s="24" t="s">
        <v>5358</v>
      </c>
      <c r="AH500" s="23" t="s">
        <v>290</v>
      </c>
      <c r="AI500" s="26" t="n">
        <f aca="false">U500-안내!$C$12</f>
        <v>46537</v>
      </c>
      <c r="AJ500" s="23" t="str">
        <f aca="false">IF(U500&lt;IF(C500=1,안내!$C$9,안내!$C$10)+안내!$C$12,"시즌 시작 전 제작","")</f>
        <v/>
      </c>
      <c r="AK500" s="24" t="s">
        <v>5349</v>
      </c>
      <c r="AL500" s="27"/>
      <c r="AM500" s="27"/>
      <c r="AN500" s="27"/>
      <c r="AO500" s="27"/>
      <c r="AP500" s="27"/>
      <c r="AQ500" s="23" t="str">
        <f aca="false">D500&amp;"|"&amp;TEXT(U500,"yyyy-mm-dd")</f>
        <v>구약|2027-06-27</v>
      </c>
      <c r="AR500" s="24" t="s">
        <v>5359</v>
      </c>
      <c r="AS500" s="24"/>
    </row>
    <row r="501" customFormat="false" ht="26.85" hidden="false" customHeight="false" outlineLevel="0" collapsed="false">
      <c r="A501" s="21" t="n">
        <v>500</v>
      </c>
      <c r="B501" s="18" t="s">
        <v>5360</v>
      </c>
      <c r="C501" s="20" t="n">
        <v>1</v>
      </c>
      <c r="D501" s="20" t="s">
        <v>160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5337</v>
      </c>
      <c r="H501" s="18" t="s">
        <v>5348</v>
      </c>
      <c r="I501" s="21" t="s">
        <v>5349</v>
      </c>
      <c r="J501" s="22" t="s">
        <v>5361</v>
      </c>
      <c r="K501" s="23" t="s">
        <v>165</v>
      </c>
      <c r="L501" s="24" t="s">
        <v>5362</v>
      </c>
      <c r="M501" s="24" t="s">
        <v>5363</v>
      </c>
      <c r="N501" s="23" t="s">
        <v>5364</v>
      </c>
      <c r="O501" s="24" t="s">
        <v>5365</v>
      </c>
      <c r="P501" s="24" t="s">
        <v>5366</v>
      </c>
      <c r="Q501" s="24" t="s">
        <v>5367</v>
      </c>
      <c r="R501" s="24"/>
      <c r="S501" s="24" t="s">
        <v>173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174</v>
      </c>
      <c r="Y501" s="23" t="s">
        <v>174</v>
      </c>
      <c r="Z501" s="23" t="s">
        <v>174</v>
      </c>
      <c r="AA501" s="23" t="s">
        <v>174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  <c r="AE501" s="24" t="str">
        <f aca="false">M501&amp;" | 요나 1장 #"&amp;SUBSTITUTE(안내!$C$5," ","")</f>
        <v>나를 바다에 던지라 | 요나 1장 #1분성경</v>
      </c>
      <c r="AF501" s="24" t="s">
        <v>5368</v>
      </c>
      <c r="AG501" s="24" t="s">
        <v>5369</v>
      </c>
      <c r="AH501" s="23" t="s">
        <v>290</v>
      </c>
      <c r="AI501" s="26" t="n">
        <f aca="false">U501-안내!$C$12</f>
        <v>46538</v>
      </c>
      <c r="AJ501" s="23" t="str">
        <f aca="false">IF(U501&lt;IF(C501=1,안내!$C$9,안내!$C$10)+안내!$C$12,"시즌 시작 전 제작","")</f>
        <v/>
      </c>
      <c r="AK501" s="24" t="s">
        <v>5349</v>
      </c>
      <c r="AL501" s="27"/>
      <c r="AM501" s="27"/>
      <c r="AN501" s="27"/>
      <c r="AO501" s="27"/>
      <c r="AP501" s="27"/>
      <c r="AQ501" s="23" t="str">
        <f aca="false">D501&amp;"|"&amp;TEXT(U501,"yyyy-mm-dd")</f>
        <v>구약|2027-06-28</v>
      </c>
      <c r="AR501" s="24" t="s">
        <v>5370</v>
      </c>
      <c r="AS501" s="24"/>
    </row>
    <row r="502" customFormat="false" ht="26.85" hidden="false" customHeight="false" outlineLevel="0" collapsed="false">
      <c r="A502" s="21" t="n">
        <v>501</v>
      </c>
      <c r="B502" s="18" t="s">
        <v>5371</v>
      </c>
      <c r="C502" s="20" t="n">
        <v>1</v>
      </c>
      <c r="D502" s="20" t="s">
        <v>160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5337</v>
      </c>
      <c r="H502" s="18" t="s">
        <v>5348</v>
      </c>
      <c r="I502" s="21" t="s">
        <v>5349</v>
      </c>
      <c r="J502" s="22" t="s">
        <v>5372</v>
      </c>
      <c r="K502" s="23" t="s">
        <v>165</v>
      </c>
      <c r="L502" s="24" t="s">
        <v>5373</v>
      </c>
      <c r="M502" s="24" t="s">
        <v>5374</v>
      </c>
      <c r="N502" s="23" t="s">
        <v>5375</v>
      </c>
      <c r="O502" s="24" t="s">
        <v>5376</v>
      </c>
      <c r="P502" s="24" t="s">
        <v>5349</v>
      </c>
      <c r="Q502" s="24" t="s">
        <v>5377</v>
      </c>
      <c r="R502" s="25" t="s">
        <v>5378</v>
      </c>
      <c r="S502" s="24" t="s">
        <v>173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174</v>
      </c>
      <c r="Y502" s="23" t="s">
        <v>174</v>
      </c>
      <c r="Z502" s="23" t="s">
        <v>174</v>
      </c>
      <c r="AA502" s="23" t="s">
        <v>174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  <c r="AE502" s="24" t="str">
        <f aca="false">M502&amp;" | 요나 2장 #"&amp;SUBSTITUTE(안내!$C$5," ","")</f>
        <v>가장 깊은 곳에서 드린 기도 | 요나 2장 #1분성경</v>
      </c>
      <c r="AF502" s="24" t="s">
        <v>5379</v>
      </c>
      <c r="AG502" s="24" t="s">
        <v>5380</v>
      </c>
      <c r="AH502" s="23" t="s">
        <v>290</v>
      </c>
      <c r="AI502" s="26" t="n">
        <f aca="false">U502-안내!$C$12</f>
        <v>46539</v>
      </c>
      <c r="AJ502" s="23" t="str">
        <f aca="false">IF(U502&lt;IF(C502=1,안내!$C$9,안내!$C$10)+안내!$C$12,"시즌 시작 전 제작","")</f>
        <v/>
      </c>
      <c r="AK502" s="24" t="s">
        <v>5349</v>
      </c>
      <c r="AL502" s="27"/>
      <c r="AM502" s="27"/>
      <c r="AN502" s="27"/>
      <c r="AO502" s="27"/>
      <c r="AP502" s="27"/>
      <c r="AQ502" s="23" t="str">
        <f aca="false">D502&amp;"|"&amp;TEXT(U502,"yyyy-mm-dd")</f>
        <v>구약|2027-06-29</v>
      </c>
      <c r="AR502" s="24" t="s">
        <v>5381</v>
      </c>
      <c r="AS502" s="24" t="s">
        <v>292</v>
      </c>
    </row>
    <row r="503" customFormat="false" ht="26.85" hidden="false" customHeight="false" outlineLevel="0" collapsed="false">
      <c r="A503" s="21" t="n">
        <v>502</v>
      </c>
      <c r="B503" s="18" t="s">
        <v>5382</v>
      </c>
      <c r="C503" s="20" t="n">
        <v>1</v>
      </c>
      <c r="D503" s="20" t="s">
        <v>160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5337</v>
      </c>
      <c r="H503" s="18" t="s">
        <v>5348</v>
      </c>
      <c r="I503" s="21" t="s">
        <v>5349</v>
      </c>
      <c r="J503" s="22" t="s">
        <v>5383</v>
      </c>
      <c r="K503" s="23" t="s">
        <v>165</v>
      </c>
      <c r="L503" s="24" t="s">
        <v>5384</v>
      </c>
      <c r="M503" s="30" t="s">
        <v>5385</v>
      </c>
      <c r="N503" s="23" t="s">
        <v>5386</v>
      </c>
      <c r="O503" s="24" t="s">
        <v>5387</v>
      </c>
      <c r="P503" s="24" t="s">
        <v>5388</v>
      </c>
      <c r="Q503" s="24" t="s">
        <v>5389</v>
      </c>
      <c r="R503" s="25" t="s">
        <v>5390</v>
      </c>
      <c r="S503" s="24" t="s">
        <v>173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174</v>
      </c>
      <c r="Y503" s="23" t="s">
        <v>174</v>
      </c>
      <c r="Z503" s="23" t="s">
        <v>174</v>
      </c>
      <c r="AA503" s="23" t="s">
        <v>174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  <c r="AE503" s="24" t="str">
        <f aca="false">M503&amp;" | 요나 3장 #"&amp;SUBSTITUTE(안내!$C$5," ","")</f>
        <v>40일 후에 니느웨가 무너지리라 | 요나 3장 #1분성경</v>
      </c>
      <c r="AF503" s="24" t="s">
        <v>5391</v>
      </c>
      <c r="AG503" s="24" t="s">
        <v>5392</v>
      </c>
      <c r="AH503" s="23" t="s">
        <v>360</v>
      </c>
      <c r="AI503" s="26" t="n">
        <f aca="false">U503-안내!$C$12</f>
        <v>46540</v>
      </c>
      <c r="AJ503" s="23" t="str">
        <f aca="false">IF(U503&lt;IF(C503=1,안내!$C$9,안내!$C$10)+안내!$C$12,"시즌 시작 전 제작","")</f>
        <v/>
      </c>
      <c r="AK503" s="24" t="s">
        <v>5349</v>
      </c>
      <c r="AL503" s="27"/>
      <c r="AM503" s="27"/>
      <c r="AN503" s="27"/>
      <c r="AO503" s="27"/>
      <c r="AP503" s="27"/>
      <c r="AQ503" s="23" t="str">
        <f aca="false">D503&amp;"|"&amp;TEXT(U503,"yyyy-mm-dd")</f>
        <v>구약|2027-06-30</v>
      </c>
      <c r="AR503" s="24" t="s">
        <v>5393</v>
      </c>
      <c r="AS503" s="24"/>
    </row>
    <row r="504" customFormat="false" ht="26.85" hidden="false" customHeight="false" outlineLevel="0" collapsed="false">
      <c r="A504" s="21" t="n">
        <v>503</v>
      </c>
      <c r="B504" s="18" t="s">
        <v>5394</v>
      </c>
      <c r="C504" s="20" t="n">
        <v>1</v>
      </c>
      <c r="D504" s="20" t="s">
        <v>160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5337</v>
      </c>
      <c r="H504" s="18" t="s">
        <v>5348</v>
      </c>
      <c r="I504" s="21" t="s">
        <v>5349</v>
      </c>
      <c r="J504" s="22" t="s">
        <v>5395</v>
      </c>
      <c r="K504" s="23" t="s">
        <v>165</v>
      </c>
      <c r="L504" s="24" t="s">
        <v>5396</v>
      </c>
      <c r="M504" s="24" t="s">
        <v>5397</v>
      </c>
      <c r="N504" s="23" t="s">
        <v>5398</v>
      </c>
      <c r="O504" s="24" t="s">
        <v>5399</v>
      </c>
      <c r="P504" s="24" t="s">
        <v>5400</v>
      </c>
      <c r="Q504" s="24" t="s">
        <v>5401</v>
      </c>
      <c r="R504" s="24"/>
      <c r="S504" s="24" t="s">
        <v>173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174</v>
      </c>
      <c r="Y504" s="23" t="s">
        <v>174</v>
      </c>
      <c r="Z504" s="23" t="s">
        <v>174</v>
      </c>
      <c r="AA504" s="23" t="s">
        <v>174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  <c r="AE504" s="24" t="str">
        <f aca="false">M504&amp;" | 요나 4장 #"&amp;SUBSTITUTE(안내!$C$5," ","")</f>
        <v>하나님이 요나에게 물으신 마지막 질문 | 요나 4장 #1분성경</v>
      </c>
      <c r="AF504" s="24" t="s">
        <v>5402</v>
      </c>
      <c r="AG504" s="24"/>
      <c r="AH504" s="23" t="s">
        <v>290</v>
      </c>
      <c r="AI504" s="26" t="n">
        <f aca="false">U504-안내!$C$12</f>
        <v>46541</v>
      </c>
      <c r="AJ504" s="23" t="str">
        <f aca="false">IF(U504&lt;IF(C504=1,안내!$C$9,안내!$C$10)+안내!$C$12,"시즌 시작 전 제작","")</f>
        <v/>
      </c>
      <c r="AK504" s="24" t="s">
        <v>5349</v>
      </c>
      <c r="AL504" s="27"/>
      <c r="AM504" s="27"/>
      <c r="AN504" s="27"/>
      <c r="AO504" s="27"/>
      <c r="AP504" s="27"/>
      <c r="AQ504" s="23" t="str">
        <f aca="false">D504&amp;"|"&amp;TEXT(U504,"yyyy-mm-dd")</f>
        <v>구약|2027-07-01</v>
      </c>
      <c r="AR504" s="24" t="s">
        <v>5403</v>
      </c>
      <c r="AS504" s="24"/>
    </row>
    <row r="505" customFormat="false" ht="26.85" hidden="false" customHeight="false" outlineLevel="0" collapsed="false">
      <c r="A505" s="21" t="n">
        <v>504</v>
      </c>
      <c r="B505" s="18" t="s">
        <v>5404</v>
      </c>
      <c r="C505" s="23" t="n">
        <v>2</v>
      </c>
      <c r="D505" s="23" t="s">
        <v>160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5337</v>
      </c>
      <c r="H505" s="18" t="s">
        <v>5338</v>
      </c>
      <c r="I505" s="21" t="s">
        <v>5405</v>
      </c>
      <c r="J505" s="22" t="s">
        <v>5406</v>
      </c>
      <c r="K505" s="23" t="s">
        <v>1370</v>
      </c>
      <c r="L505" s="24" t="s">
        <v>5407</v>
      </c>
      <c r="M505" s="24" t="s">
        <v>5408</v>
      </c>
      <c r="N505" s="23" t="s">
        <v>5409</v>
      </c>
      <c r="O505" s="24" t="s">
        <v>5410</v>
      </c>
      <c r="P505" s="24" t="s">
        <v>5405</v>
      </c>
      <c r="Q505" s="24" t="s">
        <v>5411</v>
      </c>
      <c r="R505" s="24"/>
      <c r="S505" s="24" t="s">
        <v>5412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174</v>
      </c>
      <c r="Y505" s="23" t="s">
        <v>174</v>
      </c>
      <c r="Z505" s="23" t="s">
        <v>174</v>
      </c>
      <c r="AA505" s="23" t="s">
        <v>174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  <c r="AE505" s="24" t="str">
        <f aca="false">M505&amp;" | 미가 1~3장 #"&amp;SUBSTITUTE(안내!$C$5," ","")</f>
        <v>정의를 미워하는 지도자들 | 미가 1~3장 #1분성경</v>
      </c>
      <c r="AF505" s="24" t="s">
        <v>304</v>
      </c>
      <c r="AG505" s="24"/>
      <c r="AH505" s="23" t="s">
        <v>290</v>
      </c>
      <c r="AI505" s="26" t="n">
        <f aca="false">U505-안내!$C$12</f>
        <v>46876</v>
      </c>
      <c r="AJ505" s="23" t="str">
        <f aca="false">IF(U505&lt;IF(C505=1,안내!$C$9,안내!$C$10)+안내!$C$12,"시즌 시작 전 제작","")</f>
        <v/>
      </c>
      <c r="AK505" s="24"/>
      <c r="AL505" s="27"/>
      <c r="AM505" s="27"/>
      <c r="AN505" s="27"/>
      <c r="AO505" s="27"/>
      <c r="AP505" s="27"/>
      <c r="AQ505" s="23" t="str">
        <f aca="false">D505&amp;"|"&amp;TEXT(U505,"yyyy-mm-dd")</f>
        <v>구약|2028-05-31</v>
      </c>
      <c r="AR505" s="24" t="s">
        <v>5413</v>
      </c>
      <c r="AS505" s="24"/>
    </row>
    <row r="506" customFormat="false" ht="39.55" hidden="false" customHeight="false" outlineLevel="0" collapsed="false">
      <c r="A506" s="21" t="n">
        <v>505</v>
      </c>
      <c r="B506" s="18" t="s">
        <v>5414</v>
      </c>
      <c r="C506" s="20" t="n">
        <v>1</v>
      </c>
      <c r="D506" s="20" t="s">
        <v>160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5337</v>
      </c>
      <c r="H506" s="18" t="s">
        <v>5348</v>
      </c>
      <c r="I506" s="21" t="s">
        <v>5405</v>
      </c>
      <c r="J506" s="22" t="s">
        <v>5415</v>
      </c>
      <c r="K506" s="23" t="s">
        <v>1370</v>
      </c>
      <c r="L506" s="24" t="s">
        <v>5416</v>
      </c>
      <c r="M506" s="30" t="s">
        <v>5417</v>
      </c>
      <c r="N506" s="23" t="s">
        <v>5418</v>
      </c>
      <c r="O506" s="24" t="s">
        <v>5419</v>
      </c>
      <c r="P506" s="24" t="s">
        <v>5405</v>
      </c>
      <c r="Q506" s="24" t="s">
        <v>2394</v>
      </c>
      <c r="R506" s="25" t="s">
        <v>5420</v>
      </c>
      <c r="S506" s="29" t="s">
        <v>5421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174</v>
      </c>
      <c r="Y506" s="23" t="s">
        <v>174</v>
      </c>
      <c r="Z506" s="23" t="s">
        <v>174</v>
      </c>
      <c r="AA506" s="23" t="s">
        <v>174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  <c r="AE506" s="24" t="str">
        <f aca="false">M506&amp;" | 미가 4~5장 #"&amp;SUBSTITUTE(안내!$C$5," ","")</f>
        <v>700년 전에 예언된 탄생지 | 미가 4~5장 #1분성경</v>
      </c>
      <c r="AF506" s="24" t="s">
        <v>5422</v>
      </c>
      <c r="AG506" s="24"/>
      <c r="AH506" s="23" t="s">
        <v>360</v>
      </c>
      <c r="AI506" s="26" t="n">
        <f aca="false">U506-안내!$C$12</f>
        <v>46542</v>
      </c>
      <c r="AJ506" s="23" t="str">
        <f aca="false">IF(U506&lt;IF(C506=1,안내!$C$9,안내!$C$10)+안내!$C$12,"시즌 시작 전 제작","")</f>
        <v/>
      </c>
      <c r="AK506" s="24"/>
      <c r="AL506" s="27"/>
      <c r="AM506" s="27"/>
      <c r="AN506" s="27"/>
      <c r="AO506" s="27"/>
      <c r="AP506" s="27"/>
      <c r="AQ506" s="23" t="str">
        <f aca="false">D506&amp;"|"&amp;TEXT(U506,"yyyy-mm-dd")</f>
        <v>구약|2027-07-02</v>
      </c>
      <c r="AR506" s="24" t="s">
        <v>5423</v>
      </c>
      <c r="AS506" s="24"/>
    </row>
    <row r="507" customFormat="false" ht="39.55" hidden="false" customHeight="false" outlineLevel="0" collapsed="false">
      <c r="A507" s="21" t="n">
        <v>506</v>
      </c>
      <c r="B507" s="18" t="s">
        <v>5424</v>
      </c>
      <c r="C507" s="23" t="n">
        <v>2</v>
      </c>
      <c r="D507" s="23" t="s">
        <v>160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5337</v>
      </c>
      <c r="H507" s="18" t="s">
        <v>5338</v>
      </c>
      <c r="I507" s="21" t="s">
        <v>5405</v>
      </c>
      <c r="J507" s="22" t="s">
        <v>5425</v>
      </c>
      <c r="K507" s="23" t="s">
        <v>1370</v>
      </c>
      <c r="L507" s="24" t="s">
        <v>5426</v>
      </c>
      <c r="M507" s="24" t="s">
        <v>5427</v>
      </c>
      <c r="N507" s="23" t="s">
        <v>5428</v>
      </c>
      <c r="O507" s="24" t="s">
        <v>5429</v>
      </c>
      <c r="P507" s="24" t="s">
        <v>5405</v>
      </c>
      <c r="Q507" s="24" t="s">
        <v>5430</v>
      </c>
      <c r="R507" s="28" t="s">
        <v>5431</v>
      </c>
      <c r="S507" s="24" t="s">
        <v>5432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174</v>
      </c>
      <c r="Y507" s="23" t="s">
        <v>174</v>
      </c>
      <c r="Z507" s="23" t="s">
        <v>174</v>
      </c>
      <c r="AA507" s="23" t="s">
        <v>174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  <c r="AE507" s="24" t="str">
        <f aca="false">M507&amp;" | 미가 6~7장 #"&amp;SUBSTITUTE(안내!$C$5," ","")</f>
        <v>하나님이 원하시는 것은 무엇인가? | 미가 6~7장 #1분성경</v>
      </c>
      <c r="AF507" s="24" t="s">
        <v>304</v>
      </c>
      <c r="AG507" s="24"/>
      <c r="AH507" s="23" t="s">
        <v>176</v>
      </c>
      <c r="AI507" s="26" t="n">
        <f aca="false">U507-안내!$C$12</f>
        <v>46877</v>
      </c>
      <c r="AJ507" s="23" t="str">
        <f aca="false">IF(U507&lt;IF(C507=1,안내!$C$9,안내!$C$10)+안내!$C$12,"시즌 시작 전 제작","")</f>
        <v/>
      </c>
      <c r="AK507" s="24"/>
      <c r="AL507" s="27"/>
      <c r="AM507" s="27"/>
      <c r="AN507" s="27"/>
      <c r="AO507" s="27"/>
      <c r="AP507" s="27"/>
      <c r="AQ507" s="23" t="str">
        <f aca="false">D507&amp;"|"&amp;TEXT(U507,"yyyy-mm-dd")</f>
        <v>구약|2028-06-01</v>
      </c>
      <c r="AR507" s="24" t="s">
        <v>5433</v>
      </c>
      <c r="AS507" s="24"/>
    </row>
    <row r="508" customFormat="false" ht="26.85" hidden="false" customHeight="false" outlineLevel="0" collapsed="false">
      <c r="A508" s="21" t="n">
        <v>507</v>
      </c>
      <c r="B508" s="18" t="s">
        <v>5434</v>
      </c>
      <c r="C508" s="23" t="n">
        <v>2</v>
      </c>
      <c r="D508" s="23" t="s">
        <v>160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5337</v>
      </c>
      <c r="H508" s="18" t="s">
        <v>5338</v>
      </c>
      <c r="I508" s="21" t="s">
        <v>5435</v>
      </c>
      <c r="J508" s="22" t="s">
        <v>5436</v>
      </c>
      <c r="K508" s="23" t="s">
        <v>1370</v>
      </c>
      <c r="L508" s="24" t="s">
        <v>5437</v>
      </c>
      <c r="M508" s="24" t="s">
        <v>5438</v>
      </c>
      <c r="N508" s="23" t="s">
        <v>5439</v>
      </c>
      <c r="O508" s="24" t="s">
        <v>5440</v>
      </c>
      <c r="P508" s="24" t="s">
        <v>5435</v>
      </c>
      <c r="Q508" s="24" t="s">
        <v>5441</v>
      </c>
      <c r="R508" s="25" t="s">
        <v>5442</v>
      </c>
      <c r="S508" s="24" t="s">
        <v>5432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174</v>
      </c>
      <c r="Y508" s="23" t="s">
        <v>174</v>
      </c>
      <c r="Z508" s="23" t="s">
        <v>174</v>
      </c>
      <c r="AA508" s="23" t="s">
        <v>174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  <c r="AE508" s="24" t="str">
        <f aca="false">M508&amp;" | 나훔 1~3장 #"&amp;SUBSTITUTE(안내!$C$5," ","")</f>
        <v>요나 때 회개했던 도시의 마지막 | 나훔 1~3장 #1분성경</v>
      </c>
      <c r="AF508" s="24" t="s">
        <v>304</v>
      </c>
      <c r="AG508" s="24"/>
      <c r="AH508" s="23" t="s">
        <v>290</v>
      </c>
      <c r="AI508" s="26" t="n">
        <f aca="false">U508-안내!$C$12</f>
        <v>46878</v>
      </c>
      <c r="AJ508" s="23" t="str">
        <f aca="false">IF(U508&lt;IF(C508=1,안내!$C$9,안내!$C$10)+안내!$C$12,"시즌 시작 전 제작","")</f>
        <v/>
      </c>
      <c r="AK508" s="24"/>
      <c r="AL508" s="27"/>
      <c r="AM508" s="27"/>
      <c r="AN508" s="27"/>
      <c r="AO508" s="27"/>
      <c r="AP508" s="27"/>
      <c r="AQ508" s="23" t="str">
        <f aca="false">D508&amp;"|"&amp;TEXT(U508,"yyyy-mm-dd")</f>
        <v>구약|2028-06-02</v>
      </c>
      <c r="AR508" s="24" t="s">
        <v>5443</v>
      </c>
      <c r="AS508" s="24"/>
    </row>
    <row r="509" customFormat="false" ht="26.85" hidden="false" customHeight="false" outlineLevel="0" collapsed="false">
      <c r="A509" s="21" t="n">
        <v>508</v>
      </c>
      <c r="B509" s="18" t="s">
        <v>5444</v>
      </c>
      <c r="C509" s="23" t="n">
        <v>2</v>
      </c>
      <c r="D509" s="23" t="s">
        <v>160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5445</v>
      </c>
      <c r="H509" s="18" t="s">
        <v>5338</v>
      </c>
      <c r="I509" s="21" t="s">
        <v>5446</v>
      </c>
      <c r="J509" s="22" t="s">
        <v>5447</v>
      </c>
      <c r="K509" s="23" t="s">
        <v>1370</v>
      </c>
      <c r="L509" s="24" t="s">
        <v>5448</v>
      </c>
      <c r="M509" s="24" t="s">
        <v>5449</v>
      </c>
      <c r="N509" s="23" t="s">
        <v>5450</v>
      </c>
      <c r="O509" s="24" t="s">
        <v>5451</v>
      </c>
      <c r="P509" s="24" t="s">
        <v>5446</v>
      </c>
      <c r="Q509" s="24" t="s">
        <v>5452</v>
      </c>
      <c r="R509" s="24"/>
      <c r="S509" s="24" t="s">
        <v>5432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174</v>
      </c>
      <c r="Y509" s="23" t="s">
        <v>174</v>
      </c>
      <c r="Z509" s="23" t="s">
        <v>174</v>
      </c>
      <c r="AA509" s="23" t="s">
        <v>174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  <c r="AE509" s="24" t="str">
        <f aca="false">M509&amp;" | 하박국 1~2장 #"&amp;SUBSTITUTE(안내!$C$5," ","")</f>
        <v>선지자가 하나님께 따진 질문 | 하박국 1~2장 #1분성경</v>
      </c>
      <c r="AF509" s="24" t="s">
        <v>304</v>
      </c>
      <c r="AG509" s="24"/>
      <c r="AH509" s="23" t="s">
        <v>290</v>
      </c>
      <c r="AI509" s="26" t="n">
        <f aca="false">U509-안내!$C$12</f>
        <v>46879</v>
      </c>
      <c r="AJ509" s="23" t="str">
        <f aca="false">IF(U509&lt;IF(C509=1,안내!$C$9,안내!$C$10)+안내!$C$12,"시즌 시작 전 제작","")</f>
        <v/>
      </c>
      <c r="AK509" s="24"/>
      <c r="AL509" s="27"/>
      <c r="AM509" s="27"/>
      <c r="AN509" s="27"/>
      <c r="AO509" s="27"/>
      <c r="AP509" s="27"/>
      <c r="AQ509" s="23" t="str">
        <f aca="false">D509&amp;"|"&amp;TEXT(U509,"yyyy-mm-dd")</f>
        <v>구약|2028-06-03</v>
      </c>
      <c r="AR509" s="24" t="s">
        <v>5453</v>
      </c>
      <c r="AS509" s="24"/>
    </row>
    <row r="510" customFormat="false" ht="39.55" hidden="false" customHeight="false" outlineLevel="0" collapsed="false">
      <c r="A510" s="21" t="n">
        <v>509</v>
      </c>
      <c r="B510" s="18" t="s">
        <v>5454</v>
      </c>
      <c r="C510" s="20" t="n">
        <v>1</v>
      </c>
      <c r="D510" s="20" t="s">
        <v>160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5445</v>
      </c>
      <c r="H510" s="18" t="s">
        <v>5348</v>
      </c>
      <c r="I510" s="21" t="s">
        <v>5446</v>
      </c>
      <c r="J510" s="22" t="s">
        <v>5455</v>
      </c>
      <c r="K510" s="23" t="s">
        <v>1370</v>
      </c>
      <c r="L510" s="24" t="s">
        <v>5456</v>
      </c>
      <c r="M510" s="24" t="s">
        <v>5457</v>
      </c>
      <c r="N510" s="23" t="s">
        <v>5458</v>
      </c>
      <c r="O510" s="24" t="s">
        <v>5459</v>
      </c>
      <c r="P510" s="24" t="s">
        <v>5446</v>
      </c>
      <c r="Q510" s="24" t="s">
        <v>5460</v>
      </c>
      <c r="R510" s="25" t="s">
        <v>5461</v>
      </c>
      <c r="S510" s="29" t="s">
        <v>5462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174</v>
      </c>
      <c r="Y510" s="23" t="s">
        <v>174</v>
      </c>
      <c r="Z510" s="23" t="s">
        <v>174</v>
      </c>
      <c r="AA510" s="23" t="s">
        <v>174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  <c r="AE510" s="24" t="str">
        <f aca="false">M510&amp;" | 하박국 2장 #"&amp;SUBSTITUTE(안내!$C$5," ","")</f>
        <v>종교개혁의 불씨가 된 한 구절 | 하박국 2장 #1분성경</v>
      </c>
      <c r="AF510" s="24" t="s">
        <v>5463</v>
      </c>
      <c r="AG510" s="24"/>
      <c r="AH510" s="23" t="s">
        <v>290</v>
      </c>
      <c r="AI510" s="26" t="n">
        <f aca="false">U510-안내!$C$12</f>
        <v>46543</v>
      </c>
      <c r="AJ510" s="23" t="str">
        <f aca="false">IF(U510&lt;IF(C510=1,안내!$C$9,안내!$C$10)+안내!$C$12,"시즌 시작 전 제작","")</f>
        <v/>
      </c>
      <c r="AK510" s="24"/>
      <c r="AL510" s="27"/>
      <c r="AM510" s="27"/>
      <c r="AN510" s="27"/>
      <c r="AO510" s="27"/>
      <c r="AP510" s="27"/>
      <c r="AQ510" s="23" t="str">
        <f aca="false">D510&amp;"|"&amp;TEXT(U510,"yyyy-mm-dd")</f>
        <v>구약|2027-07-03</v>
      </c>
      <c r="AR510" s="24" t="s">
        <v>5464</v>
      </c>
      <c r="AS510" s="24"/>
    </row>
    <row r="511" customFormat="false" ht="26.85" hidden="false" customHeight="false" outlineLevel="0" collapsed="false">
      <c r="A511" s="21" t="n">
        <v>510</v>
      </c>
      <c r="B511" s="18" t="s">
        <v>5465</v>
      </c>
      <c r="C511" s="23" t="n">
        <v>2</v>
      </c>
      <c r="D511" s="23" t="s">
        <v>160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5445</v>
      </c>
      <c r="H511" s="18" t="s">
        <v>5338</v>
      </c>
      <c r="I511" s="21" t="s">
        <v>5446</v>
      </c>
      <c r="J511" s="22" t="s">
        <v>5466</v>
      </c>
      <c r="K511" s="23" t="s">
        <v>1370</v>
      </c>
      <c r="L511" s="24" t="s">
        <v>5467</v>
      </c>
      <c r="M511" s="24" t="s">
        <v>5468</v>
      </c>
      <c r="N511" s="23" t="s">
        <v>5469</v>
      </c>
      <c r="O511" s="24" t="s">
        <v>5470</v>
      </c>
      <c r="P511" s="24" t="s">
        <v>5446</v>
      </c>
      <c r="Q511" s="24" t="s">
        <v>5471</v>
      </c>
      <c r="R511" s="24"/>
      <c r="S511" s="24" t="s">
        <v>5472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174</v>
      </c>
      <c r="Y511" s="23" t="s">
        <v>174</v>
      </c>
      <c r="Z511" s="23" t="s">
        <v>174</v>
      </c>
      <c r="AA511" s="23" t="s">
        <v>174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  <c r="AE511" s="24" t="str">
        <f aca="false">M511&amp;" | 하박국 3장 #"&amp;SUBSTITUTE(안내!$C$5," ","")</f>
        <v>아무것도 없어도 기뻐하리라 | 하박국 3장 #1분성경</v>
      </c>
      <c r="AF511" s="24" t="s">
        <v>304</v>
      </c>
      <c r="AG511" s="24"/>
      <c r="AH511" s="23" t="s">
        <v>290</v>
      </c>
      <c r="AI511" s="26" t="n">
        <f aca="false">U511-안내!$C$12</f>
        <v>46880</v>
      </c>
      <c r="AJ511" s="23" t="str">
        <f aca="false">IF(U511&lt;IF(C511=1,안내!$C$9,안내!$C$10)+안내!$C$12,"시즌 시작 전 제작","")</f>
        <v/>
      </c>
      <c r="AK511" s="24"/>
      <c r="AL511" s="27"/>
      <c r="AM511" s="27"/>
      <c r="AN511" s="27"/>
      <c r="AO511" s="27"/>
      <c r="AP511" s="27"/>
      <c r="AQ511" s="23" t="str">
        <f aca="false">D511&amp;"|"&amp;TEXT(U511,"yyyy-mm-dd")</f>
        <v>구약|2028-06-04</v>
      </c>
      <c r="AR511" s="24" t="s">
        <v>5473</v>
      </c>
      <c r="AS511" s="24"/>
    </row>
    <row r="512" customFormat="false" ht="26.85" hidden="false" customHeight="false" outlineLevel="0" collapsed="false">
      <c r="A512" s="21" t="n">
        <v>511</v>
      </c>
      <c r="B512" s="18" t="s">
        <v>5474</v>
      </c>
      <c r="C512" s="23" t="n">
        <v>2</v>
      </c>
      <c r="D512" s="23" t="s">
        <v>160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5445</v>
      </c>
      <c r="H512" s="18" t="s">
        <v>5338</v>
      </c>
      <c r="I512" s="21" t="s">
        <v>5475</v>
      </c>
      <c r="J512" s="22" t="s">
        <v>5476</v>
      </c>
      <c r="K512" s="23" t="s">
        <v>1370</v>
      </c>
      <c r="L512" s="24" t="s">
        <v>5477</v>
      </c>
      <c r="M512" s="24" t="s">
        <v>5478</v>
      </c>
      <c r="N512" s="23" t="s">
        <v>5479</v>
      </c>
      <c r="O512" s="24" t="s">
        <v>5480</v>
      </c>
      <c r="P512" s="24" t="s">
        <v>5475</v>
      </c>
      <c r="Q512" s="24" t="s">
        <v>2856</v>
      </c>
      <c r="R512" s="25" t="s">
        <v>5481</v>
      </c>
      <c r="S512" s="24" t="s">
        <v>5472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174</v>
      </c>
      <c r="Y512" s="23" t="s">
        <v>174</v>
      </c>
      <c r="Z512" s="23" t="s">
        <v>174</v>
      </c>
      <c r="AA512" s="23" t="s">
        <v>174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  <c r="AE512" s="24" t="str">
        <f aca="false">M512&amp;" | 스바냐 1~2장 #"&amp;SUBSTITUTE(안내!$C$5," ","")</f>
        <v>가까이 온 큰 날 | 스바냐 1~2장 #1분성경</v>
      </c>
      <c r="AF512" s="24" t="s">
        <v>304</v>
      </c>
      <c r="AG512" s="24"/>
      <c r="AH512" s="23" t="s">
        <v>290</v>
      </c>
      <c r="AI512" s="26" t="n">
        <f aca="false">U512-안내!$C$12</f>
        <v>46881</v>
      </c>
      <c r="AJ512" s="23" t="str">
        <f aca="false">IF(U512&lt;IF(C512=1,안내!$C$9,안내!$C$10)+안내!$C$12,"시즌 시작 전 제작","")</f>
        <v/>
      </c>
      <c r="AK512" s="24"/>
      <c r="AL512" s="27"/>
      <c r="AM512" s="27"/>
      <c r="AN512" s="27"/>
      <c r="AO512" s="27"/>
      <c r="AP512" s="27"/>
      <c r="AQ512" s="23" t="str">
        <f aca="false">D512&amp;"|"&amp;TEXT(U512,"yyyy-mm-dd")</f>
        <v>구약|2028-06-05</v>
      </c>
      <c r="AR512" s="24" t="s">
        <v>5482</v>
      </c>
      <c r="AS512" s="24" t="s">
        <v>292</v>
      </c>
    </row>
    <row r="513" customFormat="false" ht="39.55" hidden="false" customHeight="false" outlineLevel="0" collapsed="false">
      <c r="A513" s="21" t="n">
        <v>512</v>
      </c>
      <c r="B513" s="18" t="s">
        <v>5483</v>
      </c>
      <c r="C513" s="23" t="n">
        <v>2</v>
      </c>
      <c r="D513" s="23" t="s">
        <v>160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5445</v>
      </c>
      <c r="H513" s="18" t="s">
        <v>5338</v>
      </c>
      <c r="I513" s="21" t="s">
        <v>5475</v>
      </c>
      <c r="J513" s="22" t="s">
        <v>5484</v>
      </c>
      <c r="K513" s="23" t="s">
        <v>1370</v>
      </c>
      <c r="L513" s="24" t="s">
        <v>5485</v>
      </c>
      <c r="M513" s="24" t="s">
        <v>5486</v>
      </c>
      <c r="N513" s="23" t="s">
        <v>5487</v>
      </c>
      <c r="O513" s="24" t="s">
        <v>5488</v>
      </c>
      <c r="P513" s="24" t="s">
        <v>5475</v>
      </c>
      <c r="Q513" s="24" t="s">
        <v>5489</v>
      </c>
      <c r="R513" s="24"/>
      <c r="S513" s="24" t="s">
        <v>5472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174</v>
      </c>
      <c r="Y513" s="23" t="s">
        <v>174</v>
      </c>
      <c r="Z513" s="23" t="s">
        <v>174</v>
      </c>
      <c r="AA513" s="23" t="s">
        <v>174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  <c r="AE513" s="24" t="str">
        <f aca="false">M513&amp;" | 스바냐 3장 #"&amp;SUBSTITUTE(안내!$C$5," ","")</f>
        <v>하나님이 노래하신다? | 스바냐 3장 #1분성경</v>
      </c>
      <c r="AF513" s="24" t="s">
        <v>304</v>
      </c>
      <c r="AG513" s="24"/>
      <c r="AH513" s="23" t="s">
        <v>176</v>
      </c>
      <c r="AI513" s="26" t="n">
        <f aca="false">U513-안내!$C$12</f>
        <v>46882</v>
      </c>
      <c r="AJ513" s="23" t="str">
        <f aca="false">IF(U513&lt;IF(C513=1,안내!$C$9,안내!$C$10)+안내!$C$12,"시즌 시작 전 제작","")</f>
        <v/>
      </c>
      <c r="AK513" s="24"/>
      <c r="AL513" s="27"/>
      <c r="AM513" s="27"/>
      <c r="AN513" s="27"/>
      <c r="AO513" s="27"/>
      <c r="AP513" s="27"/>
      <c r="AQ513" s="23" t="str">
        <f aca="false">D513&amp;"|"&amp;TEXT(U513,"yyyy-mm-dd")</f>
        <v>구약|2028-06-06</v>
      </c>
      <c r="AR513" s="24" t="s">
        <v>5490</v>
      </c>
      <c r="AS513" s="24"/>
    </row>
    <row r="514" customFormat="false" ht="26.85" hidden="false" customHeight="false" outlineLevel="0" collapsed="false">
      <c r="A514" s="21" t="n">
        <v>513</v>
      </c>
      <c r="B514" s="18" t="s">
        <v>5491</v>
      </c>
      <c r="C514" s="23" t="n">
        <v>2</v>
      </c>
      <c r="D514" s="23" t="s">
        <v>160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5445</v>
      </c>
      <c r="H514" s="18" t="s">
        <v>5492</v>
      </c>
      <c r="I514" s="21" t="s">
        <v>5493</v>
      </c>
      <c r="J514" s="22" t="s">
        <v>5494</v>
      </c>
      <c r="K514" s="23" t="s">
        <v>1370</v>
      </c>
      <c r="L514" s="24" t="s">
        <v>5495</v>
      </c>
      <c r="M514" s="24" t="s">
        <v>5496</v>
      </c>
      <c r="N514" s="23" t="s">
        <v>5497</v>
      </c>
      <c r="O514" s="24" t="s">
        <v>5498</v>
      </c>
      <c r="P514" s="24" t="s">
        <v>5499</v>
      </c>
      <c r="Q514" s="24" t="s">
        <v>5500</v>
      </c>
      <c r="R514" s="24"/>
      <c r="S514" s="24" t="s">
        <v>5472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174</v>
      </c>
      <c r="Y514" s="23" t="s">
        <v>174</v>
      </c>
      <c r="Z514" s="23" t="s">
        <v>174</v>
      </c>
      <c r="AA514" s="23" t="s">
        <v>174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  <c r="AE514" s="24" t="str">
        <f aca="false">M514&amp;" | 학개 1장 #"&amp;SUBSTITUTE(안내!$C$5," ","")</f>
        <v>성전은 폐허인데 우리 집만 꾸몄다 | 학개 1장 #1분성경</v>
      </c>
      <c r="AF514" s="24" t="s">
        <v>304</v>
      </c>
      <c r="AG514" s="24"/>
      <c r="AH514" s="23" t="s">
        <v>290</v>
      </c>
      <c r="AI514" s="26" t="n">
        <f aca="false">U514-안내!$C$12</f>
        <v>46883</v>
      </c>
      <c r="AJ514" s="23" t="str">
        <f aca="false">IF(U514&lt;IF(C514=1,안내!$C$9,안내!$C$10)+안내!$C$12,"시즌 시작 전 제작","")</f>
        <v/>
      </c>
      <c r="AK514" s="24" t="s">
        <v>1678</v>
      </c>
      <c r="AL514" s="27"/>
      <c r="AM514" s="27"/>
      <c r="AN514" s="27"/>
      <c r="AO514" s="27"/>
      <c r="AP514" s="27"/>
      <c r="AQ514" s="23" t="str">
        <f aca="false">D514&amp;"|"&amp;TEXT(U514,"yyyy-mm-dd")</f>
        <v>구약|2028-06-07</v>
      </c>
      <c r="AR514" s="24" t="s">
        <v>5501</v>
      </c>
      <c r="AS514" s="24"/>
    </row>
    <row r="515" customFormat="false" ht="26.85" hidden="false" customHeight="false" outlineLevel="0" collapsed="false">
      <c r="A515" s="21" t="n">
        <v>514</v>
      </c>
      <c r="B515" s="18" t="s">
        <v>5502</v>
      </c>
      <c r="C515" s="23" t="n">
        <v>2</v>
      </c>
      <c r="D515" s="23" t="s">
        <v>160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5445</v>
      </c>
      <c r="H515" s="18" t="s">
        <v>5492</v>
      </c>
      <c r="I515" s="21" t="s">
        <v>5493</v>
      </c>
      <c r="J515" s="22" t="s">
        <v>5503</v>
      </c>
      <c r="K515" s="23" t="s">
        <v>1370</v>
      </c>
      <c r="L515" s="24" t="s">
        <v>5504</v>
      </c>
      <c r="M515" s="24" t="s">
        <v>5505</v>
      </c>
      <c r="N515" s="23" t="s">
        <v>5506</v>
      </c>
      <c r="O515" s="24" t="s">
        <v>5507</v>
      </c>
      <c r="P515" s="24" t="s">
        <v>5508</v>
      </c>
      <c r="Q515" s="24" t="s">
        <v>5509</v>
      </c>
      <c r="R515" s="24"/>
      <c r="S515" s="24" t="s">
        <v>5472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174</v>
      </c>
      <c r="Y515" s="23" t="s">
        <v>174</v>
      </c>
      <c r="Z515" s="23" t="s">
        <v>174</v>
      </c>
      <c r="AA515" s="23" t="s">
        <v>174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  <c r="AE515" s="24" t="str">
        <f aca="false">M515&amp;" | 학개 2장 #"&amp;SUBSTITUTE(안내!$C$5," ","")</f>
        <v>초라한 성전에 주신 약속 | 학개 2장 #1분성경</v>
      </c>
      <c r="AF515" s="24" t="s">
        <v>304</v>
      </c>
      <c r="AG515" s="24"/>
      <c r="AH515" s="23" t="s">
        <v>290</v>
      </c>
      <c r="AI515" s="26" t="n">
        <f aca="false">U515-안내!$C$12</f>
        <v>46884</v>
      </c>
      <c r="AJ515" s="23" t="str">
        <f aca="false">IF(U515&lt;IF(C515=1,안내!$C$9,안내!$C$10)+안내!$C$12,"시즌 시작 전 제작","")</f>
        <v/>
      </c>
      <c r="AK515" s="24"/>
      <c r="AL515" s="27"/>
      <c r="AM515" s="27"/>
      <c r="AN515" s="27"/>
      <c r="AO515" s="27"/>
      <c r="AP515" s="27"/>
      <c r="AQ515" s="23" t="str">
        <f aca="false">D515&amp;"|"&amp;TEXT(U515,"yyyy-mm-dd")</f>
        <v>구약|2028-06-08</v>
      </c>
      <c r="AR515" s="24" t="s">
        <v>5510</v>
      </c>
      <c r="AS515" s="24"/>
    </row>
    <row r="516" customFormat="false" ht="39.55" hidden="false" customHeight="false" outlineLevel="0" collapsed="false">
      <c r="A516" s="21" t="n">
        <v>515</v>
      </c>
      <c r="B516" s="18" t="s">
        <v>5511</v>
      </c>
      <c r="C516" s="23" t="n">
        <v>2</v>
      </c>
      <c r="D516" s="23" t="s">
        <v>160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5445</v>
      </c>
      <c r="H516" s="18" t="s">
        <v>5492</v>
      </c>
      <c r="I516" s="21" t="s">
        <v>5512</v>
      </c>
      <c r="J516" s="22" t="s">
        <v>5513</v>
      </c>
      <c r="K516" s="23" t="s">
        <v>1370</v>
      </c>
      <c r="L516" s="24" t="s">
        <v>5514</v>
      </c>
      <c r="M516" s="24" t="s">
        <v>5515</v>
      </c>
      <c r="N516" s="23" t="s">
        <v>5516</v>
      </c>
      <c r="O516" s="24" t="s">
        <v>5517</v>
      </c>
      <c r="P516" s="24" t="s">
        <v>5518</v>
      </c>
      <c r="Q516" s="24" t="s">
        <v>5519</v>
      </c>
      <c r="R516" s="25" t="s">
        <v>5520</v>
      </c>
      <c r="S516" s="24" t="s">
        <v>5472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174</v>
      </c>
      <c r="Y516" s="23" t="s">
        <v>174</v>
      </c>
      <c r="Z516" s="23" t="s">
        <v>174</v>
      </c>
      <c r="AA516" s="23" t="s">
        <v>174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  <c r="AE516" s="24" t="str">
        <f aca="false">M516&amp;" | 스가랴 1~6장 #"&amp;SUBSTITUTE(안내!$C$5," ","")</f>
        <v>밤에 본 여덟 가지 환상 | 스가랴 1~6장 #1분성경</v>
      </c>
      <c r="AF516" s="24" t="s">
        <v>304</v>
      </c>
      <c r="AG516" s="24"/>
      <c r="AH516" s="23" t="s">
        <v>290</v>
      </c>
      <c r="AI516" s="26" t="n">
        <f aca="false">U516-안내!$C$12</f>
        <v>46885</v>
      </c>
      <c r="AJ516" s="23" t="str">
        <f aca="false">IF(U516&lt;IF(C516=1,안내!$C$9,안내!$C$10)+안내!$C$12,"시즌 시작 전 제작","")</f>
        <v/>
      </c>
      <c r="AK516" s="24"/>
      <c r="AL516" s="27"/>
      <c r="AM516" s="27"/>
      <c r="AN516" s="27"/>
      <c r="AO516" s="27"/>
      <c r="AP516" s="27"/>
      <c r="AQ516" s="23" t="str">
        <f aca="false">D516&amp;"|"&amp;TEXT(U516,"yyyy-mm-dd")</f>
        <v>구약|2028-06-09</v>
      </c>
      <c r="AR516" s="24" t="s">
        <v>5521</v>
      </c>
      <c r="AS516" s="24"/>
    </row>
    <row r="517" customFormat="false" ht="26.85" hidden="false" customHeight="false" outlineLevel="0" collapsed="false">
      <c r="A517" s="21" t="n">
        <v>516</v>
      </c>
      <c r="B517" s="18" t="s">
        <v>5522</v>
      </c>
      <c r="C517" s="23" t="n">
        <v>2</v>
      </c>
      <c r="D517" s="23" t="s">
        <v>160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5445</v>
      </c>
      <c r="H517" s="18" t="s">
        <v>5492</v>
      </c>
      <c r="I517" s="21" t="s">
        <v>5512</v>
      </c>
      <c r="J517" s="22" t="s">
        <v>5523</v>
      </c>
      <c r="K517" s="23" t="s">
        <v>1370</v>
      </c>
      <c r="L517" s="24" t="s">
        <v>5524</v>
      </c>
      <c r="M517" s="24" t="s">
        <v>5525</v>
      </c>
      <c r="N517" s="23" t="s">
        <v>5526</v>
      </c>
      <c r="O517" s="24" t="s">
        <v>5527</v>
      </c>
      <c r="P517" s="24" t="s">
        <v>5528</v>
      </c>
      <c r="Q517" s="24" t="s">
        <v>5529</v>
      </c>
      <c r="R517" s="24"/>
      <c r="S517" s="24" t="s">
        <v>5472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174</v>
      </c>
      <c r="Y517" s="23" t="s">
        <v>174</v>
      </c>
      <c r="Z517" s="23" t="s">
        <v>174</v>
      </c>
      <c r="AA517" s="23" t="s">
        <v>174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  <c r="AE517" s="24" t="str">
        <f aca="false">M517&amp;" | 스가랴 7~8장 #"&amp;SUBSTITUTE(안내!$C$5," ","")</f>
        <v>금식을 계속해야 할까요? | 스가랴 7~8장 #1분성경</v>
      </c>
      <c r="AF517" s="24" t="s">
        <v>304</v>
      </c>
      <c r="AG517" s="24"/>
      <c r="AH517" s="23" t="s">
        <v>176</v>
      </c>
      <c r="AI517" s="26" t="n">
        <f aca="false">U517-안내!$C$12</f>
        <v>46886</v>
      </c>
      <c r="AJ517" s="23" t="str">
        <f aca="false">IF(U517&lt;IF(C517=1,안내!$C$9,안내!$C$10)+안내!$C$12,"시즌 시작 전 제작","")</f>
        <v/>
      </c>
      <c r="AK517" s="24"/>
      <c r="AL517" s="27"/>
      <c r="AM517" s="27"/>
      <c r="AN517" s="27"/>
      <c r="AO517" s="27"/>
      <c r="AP517" s="27"/>
      <c r="AQ517" s="23" t="str">
        <f aca="false">D517&amp;"|"&amp;TEXT(U517,"yyyy-mm-dd")</f>
        <v>구약|2028-06-10</v>
      </c>
      <c r="AR517" s="24" t="s">
        <v>5530</v>
      </c>
      <c r="AS517" s="24"/>
    </row>
    <row r="518" customFormat="false" ht="39.55" hidden="false" customHeight="false" outlineLevel="0" collapsed="false">
      <c r="A518" s="21" t="n">
        <v>517</v>
      </c>
      <c r="B518" s="18" t="s">
        <v>5531</v>
      </c>
      <c r="C518" s="23" t="n">
        <v>2</v>
      </c>
      <c r="D518" s="23" t="s">
        <v>160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5445</v>
      </c>
      <c r="H518" s="18" t="s">
        <v>5492</v>
      </c>
      <c r="I518" s="21" t="s">
        <v>5512</v>
      </c>
      <c r="J518" s="22" t="s">
        <v>5532</v>
      </c>
      <c r="K518" s="23" t="s">
        <v>1370</v>
      </c>
      <c r="L518" s="24" t="s">
        <v>5533</v>
      </c>
      <c r="M518" s="24" t="s">
        <v>5534</v>
      </c>
      <c r="N518" s="23" t="s">
        <v>5535</v>
      </c>
      <c r="O518" s="24" t="s">
        <v>5536</v>
      </c>
      <c r="P518" s="24" t="s">
        <v>5512</v>
      </c>
      <c r="Q518" s="24" t="s">
        <v>5537</v>
      </c>
      <c r="R518" s="25" t="s">
        <v>5538</v>
      </c>
      <c r="S518" s="24" t="s">
        <v>5472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174</v>
      </c>
      <c r="Y518" s="23" t="s">
        <v>174</v>
      </c>
      <c r="Z518" s="23" t="s">
        <v>174</v>
      </c>
      <c r="AA518" s="23" t="s">
        <v>174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  <c r="AE518" s="24" t="str">
        <f aca="false">M518&amp;" | 스가랴 9~11장 #"&amp;SUBSTITUTE(안내!$C$5," ","")</f>
        <v>겸손한 왕이 나귀 새끼를 타고 | 스가랴 9~11장 #1분성경</v>
      </c>
      <c r="AF518" s="24" t="s">
        <v>304</v>
      </c>
      <c r="AG518" s="24"/>
      <c r="AH518" s="23" t="s">
        <v>290</v>
      </c>
      <c r="AI518" s="26" t="n">
        <f aca="false">U518-안내!$C$12</f>
        <v>46887</v>
      </c>
      <c r="AJ518" s="23" t="str">
        <f aca="false">IF(U518&lt;IF(C518=1,안내!$C$9,안내!$C$10)+안내!$C$12,"시즌 시작 전 제작","")</f>
        <v/>
      </c>
      <c r="AK518" s="24"/>
      <c r="AL518" s="27"/>
      <c r="AM518" s="27"/>
      <c r="AN518" s="27"/>
      <c r="AO518" s="27"/>
      <c r="AP518" s="27"/>
      <c r="AQ518" s="23" t="str">
        <f aca="false">D518&amp;"|"&amp;TEXT(U518,"yyyy-mm-dd")</f>
        <v>구약|2028-06-11</v>
      </c>
      <c r="AR518" s="24" t="s">
        <v>5539</v>
      </c>
      <c r="AS518" s="24" t="s">
        <v>292</v>
      </c>
    </row>
    <row r="519" customFormat="false" ht="39.55" hidden="false" customHeight="false" outlineLevel="0" collapsed="false">
      <c r="A519" s="21" t="n">
        <v>518</v>
      </c>
      <c r="B519" s="18" t="s">
        <v>5540</v>
      </c>
      <c r="C519" s="23" t="n">
        <v>2</v>
      </c>
      <c r="D519" s="23" t="s">
        <v>160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5445</v>
      </c>
      <c r="H519" s="18" t="s">
        <v>5492</v>
      </c>
      <c r="I519" s="21" t="s">
        <v>5512</v>
      </c>
      <c r="J519" s="22" t="s">
        <v>5541</v>
      </c>
      <c r="K519" s="23" t="s">
        <v>1370</v>
      </c>
      <c r="L519" s="24" t="s">
        <v>5542</v>
      </c>
      <c r="M519" s="24" t="s">
        <v>5543</v>
      </c>
      <c r="N519" s="23" t="s">
        <v>5544</v>
      </c>
      <c r="O519" s="24" t="s">
        <v>5545</v>
      </c>
      <c r="P519" s="24" t="s">
        <v>5512</v>
      </c>
      <c r="Q519" s="24" t="s">
        <v>5546</v>
      </c>
      <c r="R519" s="25" t="s">
        <v>5547</v>
      </c>
      <c r="S519" s="24" t="s">
        <v>5472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174</v>
      </c>
      <c r="Y519" s="23" t="s">
        <v>174</v>
      </c>
      <c r="Z519" s="23" t="s">
        <v>174</v>
      </c>
      <c r="AA519" s="23" t="s">
        <v>174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  <c r="AE519" s="24" t="str">
        <f aca="false">M519&amp;" | 스가랴 12~14장 #"&amp;SUBSTITUTE(안내!$C$5," ","")</f>
        <v>찔림 받은 이를 보고 통곡하리라 | 스가랴 12~14장 #1분성경</v>
      </c>
      <c r="AF519" s="24" t="s">
        <v>304</v>
      </c>
      <c r="AG519" s="24"/>
      <c r="AH519" s="23" t="s">
        <v>290</v>
      </c>
      <c r="AI519" s="26" t="n">
        <f aca="false">U519-안내!$C$12</f>
        <v>46888</v>
      </c>
      <c r="AJ519" s="23" t="str">
        <f aca="false">IF(U519&lt;IF(C519=1,안내!$C$9,안내!$C$10)+안내!$C$12,"시즌 시작 전 제작","")</f>
        <v/>
      </c>
      <c r="AK519" s="24"/>
      <c r="AL519" s="27"/>
      <c r="AM519" s="27"/>
      <c r="AN519" s="27"/>
      <c r="AO519" s="27"/>
      <c r="AP519" s="27"/>
      <c r="AQ519" s="23" t="str">
        <f aca="false">D519&amp;"|"&amp;TEXT(U519,"yyyy-mm-dd")</f>
        <v>구약|2028-06-12</v>
      </c>
      <c r="AR519" s="24" t="s">
        <v>5548</v>
      </c>
      <c r="AS519" s="24"/>
    </row>
    <row r="520" customFormat="false" ht="39.55" hidden="false" customHeight="false" outlineLevel="0" collapsed="false">
      <c r="A520" s="21" t="n">
        <v>519</v>
      </c>
      <c r="B520" s="18" t="s">
        <v>5549</v>
      </c>
      <c r="C520" s="23" t="n">
        <v>2</v>
      </c>
      <c r="D520" s="23" t="s">
        <v>160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5445</v>
      </c>
      <c r="H520" s="18" t="s">
        <v>5492</v>
      </c>
      <c r="I520" s="21" t="s">
        <v>5550</v>
      </c>
      <c r="J520" s="22" t="s">
        <v>5551</v>
      </c>
      <c r="K520" s="23" t="s">
        <v>1370</v>
      </c>
      <c r="L520" s="24" t="s">
        <v>5552</v>
      </c>
      <c r="M520" s="24" t="s">
        <v>5553</v>
      </c>
      <c r="N520" s="23" t="s">
        <v>5554</v>
      </c>
      <c r="O520" s="24" t="s">
        <v>5555</v>
      </c>
      <c r="P520" s="24" t="s">
        <v>5556</v>
      </c>
      <c r="Q520" s="24" t="s">
        <v>5557</v>
      </c>
      <c r="R520" s="24"/>
      <c r="S520" s="24" t="s">
        <v>5472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174</v>
      </c>
      <c r="Y520" s="23" t="s">
        <v>174</v>
      </c>
      <c r="Z520" s="23" t="s">
        <v>174</v>
      </c>
      <c r="AA520" s="23" t="s">
        <v>174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  <c r="AE520" s="24" t="str">
        <f aca="false">M520&amp;" | 말라기 1~2장 #"&amp;SUBSTITUTE(안내!$C$5," ","")</f>
        <v>우리를 어떻게 사랑하셨나요? | 말라기 1~2장 #1분성경</v>
      </c>
      <c r="AF520" s="24" t="s">
        <v>304</v>
      </c>
      <c r="AG520" s="24"/>
      <c r="AH520" s="23" t="s">
        <v>176</v>
      </c>
      <c r="AI520" s="26" t="n">
        <f aca="false">U520-안내!$C$12</f>
        <v>46889</v>
      </c>
      <c r="AJ520" s="23" t="str">
        <f aca="false">IF(U520&lt;IF(C520=1,안내!$C$9,안내!$C$10)+안내!$C$12,"시즌 시작 전 제작","")</f>
        <v/>
      </c>
      <c r="AK520" s="24"/>
      <c r="AL520" s="27"/>
      <c r="AM520" s="27"/>
      <c r="AN520" s="27"/>
      <c r="AO520" s="27"/>
      <c r="AP520" s="27"/>
      <c r="AQ520" s="23" t="str">
        <f aca="false">D520&amp;"|"&amp;TEXT(U520,"yyyy-mm-dd")</f>
        <v>구약|2028-06-13</v>
      </c>
      <c r="AR520" s="24" t="s">
        <v>5558</v>
      </c>
      <c r="AS520" s="24"/>
    </row>
    <row r="521" customFormat="false" ht="39.55" hidden="false" customHeight="false" outlineLevel="0" collapsed="false">
      <c r="A521" s="21" t="n">
        <v>520</v>
      </c>
      <c r="B521" s="18" t="s">
        <v>5559</v>
      </c>
      <c r="C521" s="23" t="n">
        <v>2</v>
      </c>
      <c r="D521" s="23" t="s">
        <v>160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5445</v>
      </c>
      <c r="H521" s="18" t="s">
        <v>5492</v>
      </c>
      <c r="I521" s="21" t="s">
        <v>5550</v>
      </c>
      <c r="J521" s="22" t="s">
        <v>5560</v>
      </c>
      <c r="K521" s="23" t="s">
        <v>1370</v>
      </c>
      <c r="L521" s="24" t="s">
        <v>5561</v>
      </c>
      <c r="M521" s="24" t="s">
        <v>5562</v>
      </c>
      <c r="N521" s="23" t="s">
        <v>5563</v>
      </c>
      <c r="O521" s="24" t="s">
        <v>5564</v>
      </c>
      <c r="P521" s="24" t="s">
        <v>5565</v>
      </c>
      <c r="Q521" s="24" t="s">
        <v>5566</v>
      </c>
      <c r="R521" s="28" t="s">
        <v>5567</v>
      </c>
      <c r="S521" s="24" t="s">
        <v>5472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174</v>
      </c>
      <c r="Y521" s="23" t="s">
        <v>174</v>
      </c>
      <c r="Z521" s="23" t="s">
        <v>174</v>
      </c>
      <c r="AA521" s="23" t="s">
        <v>174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  <c r="AE521" s="24" t="str">
        <f aca="false">M521&amp;" | 말라기 3장 #"&amp;SUBSTITUTE(안내!$C$5," ","")</f>
        <v>하나님을 경외하는 자들의 이름이 기록되다 | 말라기 3장 #1분성경</v>
      </c>
      <c r="AF521" s="24" t="s">
        <v>304</v>
      </c>
      <c r="AG521" s="24"/>
      <c r="AH521" s="23" t="s">
        <v>290</v>
      </c>
      <c r="AI521" s="26" t="n">
        <f aca="false">U521-안내!$C$12</f>
        <v>46890</v>
      </c>
      <c r="AJ521" s="23" t="str">
        <f aca="false">IF(U521&lt;IF(C521=1,안내!$C$9,안내!$C$10)+안내!$C$12,"시즌 시작 전 제작","")</f>
        <v/>
      </c>
      <c r="AK521" s="24"/>
      <c r="AL521" s="27"/>
      <c r="AM521" s="27"/>
      <c r="AN521" s="27"/>
      <c r="AO521" s="27"/>
      <c r="AP521" s="27"/>
      <c r="AQ521" s="23" t="str">
        <f aca="false">D521&amp;"|"&amp;TEXT(U521,"yyyy-mm-dd")</f>
        <v>구약|2028-06-14</v>
      </c>
      <c r="AR521" s="24" t="s">
        <v>5568</v>
      </c>
      <c r="AS521" s="24"/>
    </row>
    <row r="522" customFormat="false" ht="52.2" hidden="false" customHeight="false" outlineLevel="0" collapsed="false">
      <c r="A522" s="21" t="n">
        <v>521</v>
      </c>
      <c r="B522" s="18" t="s">
        <v>5569</v>
      </c>
      <c r="C522" s="20" t="n">
        <v>1</v>
      </c>
      <c r="D522" s="20" t="s">
        <v>160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5445</v>
      </c>
      <c r="H522" s="18" t="s">
        <v>5348</v>
      </c>
      <c r="I522" s="21" t="s">
        <v>5550</v>
      </c>
      <c r="J522" s="22" t="s">
        <v>5570</v>
      </c>
      <c r="K522" s="23" t="s">
        <v>1370</v>
      </c>
      <c r="L522" s="24" t="s">
        <v>5571</v>
      </c>
      <c r="M522" s="24" t="s">
        <v>5572</v>
      </c>
      <c r="N522" s="23" t="s">
        <v>5573</v>
      </c>
      <c r="O522" s="24" t="s">
        <v>5574</v>
      </c>
      <c r="P522" s="24" t="s">
        <v>5550</v>
      </c>
      <c r="Q522" s="24" t="s">
        <v>5575</v>
      </c>
      <c r="R522" s="25" t="s">
        <v>5576</v>
      </c>
      <c r="S522" s="29" t="s">
        <v>5577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174</v>
      </c>
      <c r="Y522" s="23" t="s">
        <v>174</v>
      </c>
      <c r="Z522" s="23" t="s">
        <v>174</v>
      </c>
      <c r="AA522" s="23" t="s">
        <v>174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  <c r="AE522" s="24" t="str">
        <f aca="false">M522&amp;" | 말라기 4장 #"&amp;SUBSTITUTE(안내!$C$5," ","")</f>
        <v>그리고 400년 동안 하나님의 침묵이 시작되었다 | 말라기 4장 #1분성경</v>
      </c>
      <c r="AF522" s="24" t="s">
        <v>5578</v>
      </c>
      <c r="AG522" s="24"/>
      <c r="AH522" s="23" t="s">
        <v>360</v>
      </c>
      <c r="AI522" s="26" t="n">
        <f aca="false">U522-안내!$C$12</f>
        <v>46544</v>
      </c>
      <c r="AJ522" s="23" t="str">
        <f aca="false">IF(U522&lt;IF(C522=1,안내!$C$9,안내!$C$10)+안내!$C$12,"시즌 시작 전 제작","")</f>
        <v/>
      </c>
      <c r="AK522" s="24"/>
      <c r="AL522" s="27"/>
      <c r="AM522" s="27"/>
      <c r="AN522" s="27"/>
      <c r="AO522" s="27"/>
      <c r="AP522" s="27"/>
      <c r="AQ522" s="23" t="str">
        <f aca="false">D522&amp;"|"&amp;TEXT(U522,"yyyy-mm-dd")</f>
        <v>구약|2027-07-04</v>
      </c>
      <c r="AR522" s="24" t="s">
        <v>5579</v>
      </c>
      <c r="AS522" s="24"/>
    </row>
    <row r="523" customFormat="false" ht="26.85" hidden="false" customHeight="false" outlineLevel="0" collapsed="false">
      <c r="A523" s="23" t="n">
        <v>522</v>
      </c>
      <c r="B523" s="31" t="s">
        <v>5580</v>
      </c>
      <c r="C523" s="23" t="n">
        <v>2</v>
      </c>
      <c r="D523" s="23" t="s">
        <v>5581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1" t="s">
        <v>5582</v>
      </c>
      <c r="H523" s="31" t="s">
        <v>5583</v>
      </c>
      <c r="I523" s="23" t="s">
        <v>5584</v>
      </c>
      <c r="J523" s="24" t="s">
        <v>5585</v>
      </c>
      <c r="K523" s="23" t="s">
        <v>165</v>
      </c>
      <c r="L523" s="24" t="s">
        <v>5586</v>
      </c>
      <c r="M523" s="24" t="s">
        <v>5587</v>
      </c>
      <c r="N523" s="23" t="s">
        <v>5588</v>
      </c>
      <c r="O523" s="24" t="s">
        <v>5589</v>
      </c>
      <c r="P523" s="24" t="s">
        <v>5590</v>
      </c>
      <c r="Q523" s="24" t="s">
        <v>322</v>
      </c>
      <c r="R523" s="24"/>
      <c r="S523" s="24" t="s">
        <v>5591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174</v>
      </c>
      <c r="Y523" s="23" t="s">
        <v>174</v>
      </c>
      <c r="Z523" s="23" t="s">
        <v>174</v>
      </c>
      <c r="AA523" s="23" t="s">
        <v>174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  <c r="AE523" s="24" t="str">
        <f aca="false">M523&amp;" | 마태복음 1장 #"&amp;SUBSTITUTE(안내!$C$5," ","")</f>
        <v>족보에 이름을 올린 네 명의 여인 | 마태복음 1장 #1분성경</v>
      </c>
      <c r="AF523" s="24" t="s">
        <v>304</v>
      </c>
      <c r="AG523" s="24"/>
      <c r="AH523" s="23" t="s">
        <v>290</v>
      </c>
      <c r="AI523" s="26" t="n">
        <f aca="false">U523-안내!$C$12</f>
        <v>46552</v>
      </c>
      <c r="AJ523" s="23" t="str">
        <f aca="false">IF(U523&lt;IF(C523=1,안내!$C$9,안내!$C$10)+안내!$C$12,"시즌 시작 전 제작","")</f>
        <v>시즌 시작 전 제작</v>
      </c>
      <c r="AK523" s="24"/>
      <c r="AL523" s="27"/>
      <c r="AM523" s="27"/>
      <c r="AN523" s="27"/>
      <c r="AO523" s="27"/>
      <c r="AP523" s="27"/>
      <c r="AQ523" s="23" t="str">
        <f aca="false">D523&amp;"|"&amp;TEXT(U523,"yyyy-mm-dd")</f>
        <v>신약|2027-07-12</v>
      </c>
      <c r="AR523" s="24" t="s">
        <v>5592</v>
      </c>
      <c r="AS523" s="24"/>
    </row>
    <row r="524" customFormat="false" ht="26.85" hidden="false" customHeight="false" outlineLevel="0" collapsed="false">
      <c r="A524" s="23" t="n">
        <v>523</v>
      </c>
      <c r="B524" s="31" t="s">
        <v>5593</v>
      </c>
      <c r="C524" s="20" t="n">
        <v>1</v>
      </c>
      <c r="D524" s="20" t="s">
        <v>5581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1" t="s">
        <v>5582</v>
      </c>
      <c r="H524" s="31" t="s">
        <v>5594</v>
      </c>
      <c r="I524" s="23" t="s">
        <v>5584</v>
      </c>
      <c r="J524" s="24" t="s">
        <v>5595</v>
      </c>
      <c r="K524" s="23" t="s">
        <v>165</v>
      </c>
      <c r="L524" s="24" t="s">
        <v>5596</v>
      </c>
      <c r="M524" s="24" t="s">
        <v>5597</v>
      </c>
      <c r="N524" s="23" t="s">
        <v>5598</v>
      </c>
      <c r="O524" s="24" t="s">
        <v>5599</v>
      </c>
      <c r="P524" s="24" t="s">
        <v>5600</v>
      </c>
      <c r="Q524" s="24" t="s">
        <v>5601</v>
      </c>
      <c r="R524" s="25" t="s">
        <v>5602</v>
      </c>
      <c r="S524" s="29" t="s">
        <v>5603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174</v>
      </c>
      <c r="Y524" s="23" t="s">
        <v>174</v>
      </c>
      <c r="Z524" s="23" t="s">
        <v>174</v>
      </c>
      <c r="AA524" s="23" t="s">
        <v>174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  <c r="AE524" s="24" t="str">
        <f aca="false">M524&amp;" | 마태복음 1장 #"&amp;SUBSTITUTE(안내!$C$5," ","")</f>
        <v>약혼녀가 아이를 가졌다는 소식 | 마태복음 1장 #1분성경</v>
      </c>
      <c r="AF524" s="24" t="s">
        <v>5604</v>
      </c>
      <c r="AG524" s="24" t="s">
        <v>5605</v>
      </c>
      <c r="AH524" s="23" t="s">
        <v>290</v>
      </c>
      <c r="AI524" s="26" t="n">
        <f aca="false">U524-안내!$C$12</f>
        <v>46363</v>
      </c>
      <c r="AJ524" s="23" t="str">
        <f aca="false">IF(U524&lt;IF(C524=1,안내!$C$9,안내!$C$10)+안내!$C$12,"시즌 시작 전 제작","")</f>
        <v>시즌 시작 전 제작</v>
      </c>
      <c r="AK524" s="24"/>
      <c r="AL524" s="27"/>
      <c r="AM524" s="27"/>
      <c r="AN524" s="27"/>
      <c r="AO524" s="27"/>
      <c r="AP524" s="27"/>
      <c r="AQ524" s="23" t="str">
        <f aca="false">D524&amp;"|"&amp;TEXT(U524,"yyyy-mm-dd")</f>
        <v>신약|2027-01-04</v>
      </c>
      <c r="AR524" s="24" t="s">
        <v>5606</v>
      </c>
      <c r="AS524" s="24"/>
    </row>
    <row r="525" customFormat="false" ht="26.85" hidden="false" customHeight="false" outlineLevel="0" collapsed="false">
      <c r="A525" s="23" t="n">
        <v>524</v>
      </c>
      <c r="B525" s="31" t="s">
        <v>5607</v>
      </c>
      <c r="C525" s="20" t="n">
        <v>1</v>
      </c>
      <c r="D525" s="20" t="s">
        <v>5581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1" t="s">
        <v>5582</v>
      </c>
      <c r="H525" s="31" t="s">
        <v>5594</v>
      </c>
      <c r="I525" s="23" t="s">
        <v>5584</v>
      </c>
      <c r="J525" s="24" t="s">
        <v>5608</v>
      </c>
      <c r="K525" s="23" t="s">
        <v>165</v>
      </c>
      <c r="L525" s="24" t="s">
        <v>5609</v>
      </c>
      <c r="M525" s="24" t="s">
        <v>5610</v>
      </c>
      <c r="N525" s="23" t="s">
        <v>5611</v>
      </c>
      <c r="O525" s="24" t="s">
        <v>5612</v>
      </c>
      <c r="P525" s="24" t="s">
        <v>5613</v>
      </c>
      <c r="Q525" s="24" t="s">
        <v>5614</v>
      </c>
      <c r="R525" s="25" t="s">
        <v>5615</v>
      </c>
      <c r="S525" s="24" t="s">
        <v>173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174</v>
      </c>
      <c r="Y525" s="23" t="s">
        <v>174</v>
      </c>
      <c r="Z525" s="23" t="s">
        <v>174</v>
      </c>
      <c r="AA525" s="23" t="s">
        <v>174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  <c r="AE525" s="24" t="str">
        <f aca="false">M525&amp;" | 마태복음 2장 #"&amp;SUBSTITUTE(안내!$C$5," ","")</f>
        <v>동쪽에서 온 박사들이 찾은 왕 | 마태복음 2장 #1분성경</v>
      </c>
      <c r="AF525" s="24" t="s">
        <v>5616</v>
      </c>
      <c r="AG525" s="24"/>
      <c r="AH525" s="23" t="s">
        <v>290</v>
      </c>
      <c r="AI525" s="26" t="n">
        <f aca="false">U525-안내!$C$12</f>
        <v>46365</v>
      </c>
      <c r="AJ525" s="23" t="str">
        <f aca="false">IF(U525&lt;IF(C525=1,안내!$C$9,안내!$C$10)+안내!$C$12,"시즌 시작 전 제작","")</f>
        <v>시즌 시작 전 제작</v>
      </c>
      <c r="AK525" s="24"/>
      <c r="AL525" s="27"/>
      <c r="AM525" s="27"/>
      <c r="AN525" s="27"/>
      <c r="AO525" s="27"/>
      <c r="AP525" s="27"/>
      <c r="AQ525" s="23" t="str">
        <f aca="false">D525&amp;"|"&amp;TEXT(U525,"yyyy-mm-dd")</f>
        <v>신약|2027-01-06</v>
      </c>
      <c r="AR525" s="24" t="s">
        <v>5617</v>
      </c>
      <c r="AS525" s="24"/>
    </row>
    <row r="526" customFormat="false" ht="26.85" hidden="false" customHeight="false" outlineLevel="0" collapsed="false">
      <c r="A526" s="23" t="n">
        <v>525</v>
      </c>
      <c r="B526" s="31" t="s">
        <v>5618</v>
      </c>
      <c r="C526" s="23" t="n">
        <v>2</v>
      </c>
      <c r="D526" s="23" t="s">
        <v>5581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1" t="s">
        <v>5582</v>
      </c>
      <c r="H526" s="31" t="s">
        <v>5583</v>
      </c>
      <c r="I526" s="23" t="s">
        <v>5584</v>
      </c>
      <c r="J526" s="24" t="s">
        <v>5619</v>
      </c>
      <c r="K526" s="23" t="s">
        <v>165</v>
      </c>
      <c r="L526" s="24" t="s">
        <v>5620</v>
      </c>
      <c r="M526" s="24" t="s">
        <v>5621</v>
      </c>
      <c r="N526" s="23" t="s">
        <v>5622</v>
      </c>
      <c r="O526" s="24" t="s">
        <v>5623</v>
      </c>
      <c r="P526" s="24" t="s">
        <v>5624</v>
      </c>
      <c r="Q526" s="24" t="s">
        <v>5625</v>
      </c>
      <c r="R526" s="25" t="s">
        <v>5626</v>
      </c>
      <c r="S526" s="24" t="s">
        <v>5627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174</v>
      </c>
      <c r="Y526" s="23" t="s">
        <v>174</v>
      </c>
      <c r="Z526" s="23" t="s">
        <v>174</v>
      </c>
      <c r="AA526" s="23" t="s">
        <v>174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  <c r="AE526" s="24" t="str">
        <f aca="false">M526&amp;" | 마태복음 2장 #"&amp;SUBSTITUTE(안내!$C$5," ","")</f>
        <v>한밤중에 아기를 안고 떠난 가족 | 마태복음 2장 #1분성경</v>
      </c>
      <c r="AF526" s="24" t="s">
        <v>304</v>
      </c>
      <c r="AG526" s="24"/>
      <c r="AH526" s="23" t="s">
        <v>290</v>
      </c>
      <c r="AI526" s="26" t="n">
        <f aca="false">U526-안내!$C$12</f>
        <v>46554</v>
      </c>
      <c r="AJ526" s="23" t="str">
        <f aca="false">IF(U526&lt;IF(C526=1,안내!$C$9,안내!$C$10)+안내!$C$12,"시즌 시작 전 제작","")</f>
        <v>시즌 시작 전 제작</v>
      </c>
      <c r="AK526" s="24"/>
      <c r="AL526" s="27"/>
      <c r="AM526" s="27"/>
      <c r="AN526" s="27"/>
      <c r="AO526" s="27"/>
      <c r="AP526" s="27"/>
      <c r="AQ526" s="23" t="str">
        <f aca="false">D526&amp;"|"&amp;TEXT(U526,"yyyy-mm-dd")</f>
        <v>신약|2027-07-14</v>
      </c>
      <c r="AR526" s="24" t="s">
        <v>5628</v>
      </c>
      <c r="AS526" s="24"/>
    </row>
    <row r="527" customFormat="false" ht="26.85" hidden="false" customHeight="false" outlineLevel="0" collapsed="false">
      <c r="A527" s="23" t="n">
        <v>526</v>
      </c>
      <c r="B527" s="31" t="s">
        <v>5629</v>
      </c>
      <c r="C527" s="20" t="n">
        <v>1</v>
      </c>
      <c r="D527" s="20" t="s">
        <v>5581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1" t="s">
        <v>5582</v>
      </c>
      <c r="H527" s="31" t="s">
        <v>5594</v>
      </c>
      <c r="I527" s="23" t="s">
        <v>5584</v>
      </c>
      <c r="J527" s="24" t="s">
        <v>5630</v>
      </c>
      <c r="K527" s="23" t="s">
        <v>165</v>
      </c>
      <c r="L527" s="24" t="s">
        <v>5631</v>
      </c>
      <c r="M527" s="24" t="s">
        <v>5632</v>
      </c>
      <c r="N527" s="23" t="s">
        <v>5633</v>
      </c>
      <c r="O527" s="24" t="s">
        <v>5634</v>
      </c>
      <c r="P527" s="24" t="s">
        <v>5635</v>
      </c>
      <c r="Q527" s="24" t="s">
        <v>5636</v>
      </c>
      <c r="R527" s="24"/>
      <c r="S527" s="29" t="s">
        <v>5637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174</v>
      </c>
      <c r="Y527" s="23" t="s">
        <v>174</v>
      </c>
      <c r="Z527" s="23" t="s">
        <v>174</v>
      </c>
      <c r="AA527" s="23" t="s">
        <v>174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  <c r="AE527" s="24" t="str">
        <f aca="false">M527&amp;" | 마태복음 3장 #"&amp;SUBSTITUTE(안내!$C$5," ","")</f>
        <v>낙타털 옷을 입은 선지자 | 마태복음 3장 #1분성경</v>
      </c>
      <c r="AF527" s="24" t="s">
        <v>5638</v>
      </c>
      <c r="AG527" s="24" t="s">
        <v>5639</v>
      </c>
      <c r="AH527" s="23" t="s">
        <v>290</v>
      </c>
      <c r="AI527" s="26" t="n">
        <f aca="false">U527-안내!$C$12</f>
        <v>46367</v>
      </c>
      <c r="AJ527" s="23" t="str">
        <f aca="false">IF(U527&lt;IF(C527=1,안내!$C$9,안내!$C$10)+안내!$C$12,"시즌 시작 전 제작","")</f>
        <v>시즌 시작 전 제작</v>
      </c>
      <c r="AK527" s="24" t="s">
        <v>5640</v>
      </c>
      <c r="AL527" s="27"/>
      <c r="AM527" s="27"/>
      <c r="AN527" s="27"/>
      <c r="AO527" s="27"/>
      <c r="AP527" s="27"/>
      <c r="AQ527" s="23" t="str">
        <f aca="false">D527&amp;"|"&amp;TEXT(U527,"yyyy-mm-dd")</f>
        <v>신약|2027-01-08</v>
      </c>
      <c r="AR527" s="24" t="s">
        <v>5641</v>
      </c>
      <c r="AS527" s="24"/>
    </row>
    <row r="528" customFormat="false" ht="26.85" hidden="false" customHeight="false" outlineLevel="0" collapsed="false">
      <c r="A528" s="23" t="n">
        <v>527</v>
      </c>
      <c r="B528" s="31" t="s">
        <v>5642</v>
      </c>
      <c r="C528" s="20" t="n">
        <v>1</v>
      </c>
      <c r="D528" s="20" t="s">
        <v>5581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1" t="s">
        <v>5582</v>
      </c>
      <c r="H528" s="31" t="s">
        <v>5594</v>
      </c>
      <c r="I528" s="23" t="s">
        <v>5584</v>
      </c>
      <c r="J528" s="24" t="s">
        <v>5643</v>
      </c>
      <c r="K528" s="23" t="s">
        <v>165</v>
      </c>
      <c r="L528" s="24" t="s">
        <v>5644</v>
      </c>
      <c r="M528" s="24" t="s">
        <v>5645</v>
      </c>
      <c r="N528" s="23" t="s">
        <v>5646</v>
      </c>
      <c r="O528" s="24" t="s">
        <v>5647</v>
      </c>
      <c r="P528" s="24" t="s">
        <v>5648</v>
      </c>
      <c r="Q528" s="24" t="s">
        <v>5649</v>
      </c>
      <c r="R528" s="25" t="s">
        <v>5650</v>
      </c>
      <c r="S528" s="24" t="s">
        <v>173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174</v>
      </c>
      <c r="Y528" s="23" t="s">
        <v>174</v>
      </c>
      <c r="Z528" s="23" t="s">
        <v>174</v>
      </c>
      <c r="AA528" s="23" t="s">
        <v>174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  <c r="AE528" s="24" t="str">
        <f aca="false">M528&amp;" | 마태복음 3장 #"&amp;SUBSTITUTE(안내!$C$5," ","")</f>
        <v>하늘에서 들린 목소리와 비둘기 | 마태복음 3장 #1분성경</v>
      </c>
      <c r="AF528" s="24" t="s">
        <v>5651</v>
      </c>
      <c r="AG528" s="24" t="s">
        <v>5652</v>
      </c>
      <c r="AH528" s="23" t="s">
        <v>290</v>
      </c>
      <c r="AI528" s="26" t="n">
        <f aca="false">U528-안내!$C$12</f>
        <v>46368</v>
      </c>
      <c r="AJ528" s="23" t="str">
        <f aca="false">IF(U528&lt;IF(C528=1,안내!$C$9,안내!$C$10)+안내!$C$12,"시즌 시작 전 제작","")</f>
        <v>시즌 시작 전 제작</v>
      </c>
      <c r="AK528" s="24" t="s">
        <v>5640</v>
      </c>
      <c r="AL528" s="27"/>
      <c r="AM528" s="27"/>
      <c r="AN528" s="27"/>
      <c r="AO528" s="27"/>
      <c r="AP528" s="27"/>
      <c r="AQ528" s="23" t="str">
        <f aca="false">D528&amp;"|"&amp;TEXT(U528,"yyyy-mm-dd")</f>
        <v>신약|2027-01-09</v>
      </c>
      <c r="AR528" s="24" t="s">
        <v>5653</v>
      </c>
      <c r="AS528" s="24"/>
    </row>
    <row r="529" customFormat="false" ht="39.55" hidden="false" customHeight="false" outlineLevel="0" collapsed="false">
      <c r="A529" s="23" t="n">
        <v>528</v>
      </c>
      <c r="B529" s="31" t="s">
        <v>5654</v>
      </c>
      <c r="C529" s="20" t="n">
        <v>1</v>
      </c>
      <c r="D529" s="20" t="s">
        <v>5581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1" t="s">
        <v>5582</v>
      </c>
      <c r="H529" s="31" t="s">
        <v>5594</v>
      </c>
      <c r="I529" s="23" t="s">
        <v>5584</v>
      </c>
      <c r="J529" s="24" t="s">
        <v>5655</v>
      </c>
      <c r="K529" s="23" t="s">
        <v>165</v>
      </c>
      <c r="L529" s="24" t="s">
        <v>5656</v>
      </c>
      <c r="M529" s="30" t="s">
        <v>5657</v>
      </c>
      <c r="N529" s="23" t="s">
        <v>5658</v>
      </c>
      <c r="O529" s="24" t="s">
        <v>5659</v>
      </c>
      <c r="P529" s="24" t="s">
        <v>5660</v>
      </c>
      <c r="Q529" s="24" t="s">
        <v>5661</v>
      </c>
      <c r="R529" s="25" t="s">
        <v>5662</v>
      </c>
      <c r="S529" s="24" t="s">
        <v>173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174</v>
      </c>
      <c r="Y529" s="23" t="s">
        <v>174</v>
      </c>
      <c r="Z529" s="23" t="s">
        <v>174</v>
      </c>
      <c r="AA529" s="23" t="s">
        <v>174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  <c r="AE529" s="24" t="str">
        <f aca="false">M529&amp;" | 마태복음 4장 #"&amp;SUBSTITUTE(안내!$C$5," ","")</f>
        <v>40일 금식 후 찾아온 세 가지 시험 | 마태복음 4장 #1분성경</v>
      </c>
      <c r="AF529" s="24" t="s">
        <v>5663</v>
      </c>
      <c r="AG529" s="24" t="s">
        <v>5664</v>
      </c>
      <c r="AH529" s="23" t="s">
        <v>360</v>
      </c>
      <c r="AI529" s="26" t="n">
        <f aca="false">U529-안내!$C$12</f>
        <v>46370</v>
      </c>
      <c r="AJ529" s="23" t="str">
        <f aca="false">IF(U529&lt;IF(C529=1,안내!$C$9,안내!$C$10)+안내!$C$12,"시즌 시작 전 제작","")</f>
        <v>시즌 시작 전 제작</v>
      </c>
      <c r="AK529" s="24"/>
      <c r="AL529" s="27"/>
      <c r="AM529" s="27"/>
      <c r="AN529" s="27"/>
      <c r="AO529" s="27"/>
      <c r="AP529" s="27"/>
      <c r="AQ529" s="23" t="str">
        <f aca="false">D529&amp;"|"&amp;TEXT(U529,"yyyy-mm-dd")</f>
        <v>신약|2027-01-11</v>
      </c>
      <c r="AR529" s="24" t="s">
        <v>5665</v>
      </c>
      <c r="AS529" s="24"/>
    </row>
    <row r="530" customFormat="false" ht="26.85" hidden="false" customHeight="false" outlineLevel="0" collapsed="false">
      <c r="A530" s="23" t="n">
        <v>529</v>
      </c>
      <c r="B530" s="31" t="s">
        <v>5666</v>
      </c>
      <c r="C530" s="20" t="n">
        <v>1</v>
      </c>
      <c r="D530" s="20" t="s">
        <v>5581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1" t="s">
        <v>5582</v>
      </c>
      <c r="H530" s="31" t="s">
        <v>5594</v>
      </c>
      <c r="I530" s="23" t="s">
        <v>5584</v>
      </c>
      <c r="J530" s="24" t="s">
        <v>5667</v>
      </c>
      <c r="K530" s="23" t="s">
        <v>165</v>
      </c>
      <c r="L530" s="24" t="s">
        <v>5668</v>
      </c>
      <c r="M530" s="24" t="s">
        <v>5669</v>
      </c>
      <c r="N530" s="23" t="s">
        <v>5670</v>
      </c>
      <c r="O530" s="24" t="s">
        <v>5671</v>
      </c>
      <c r="P530" s="24" t="s">
        <v>5672</v>
      </c>
      <c r="Q530" s="24" t="s">
        <v>5673</v>
      </c>
      <c r="R530" s="24"/>
      <c r="S530" s="24" t="s">
        <v>173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174</v>
      </c>
      <c r="Y530" s="23" t="s">
        <v>174</v>
      </c>
      <c r="Z530" s="23" t="s">
        <v>174</v>
      </c>
      <c r="AA530" s="23" t="s">
        <v>174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  <c r="AE530" s="24" t="str">
        <f aca="false">M530&amp;" | 마태복음 4장 #"&amp;SUBSTITUTE(안내!$C$5," ","")</f>
        <v>그물을 버리고 즉시 따라간 사람들 | 마태복음 4장 #1분성경</v>
      </c>
      <c r="AF530" s="24" t="s">
        <v>5674</v>
      </c>
      <c r="AG530" s="24"/>
      <c r="AH530" s="23" t="s">
        <v>290</v>
      </c>
      <c r="AI530" s="26" t="n">
        <f aca="false">U530-안내!$C$12</f>
        <v>46372</v>
      </c>
      <c r="AJ530" s="23" t="str">
        <f aca="false">IF(U530&lt;IF(C530=1,안내!$C$9,안내!$C$10)+안내!$C$12,"시즌 시작 전 제작","")</f>
        <v>시즌 시작 전 제작</v>
      </c>
      <c r="AK530" s="24" t="s">
        <v>5675</v>
      </c>
      <c r="AL530" s="27"/>
      <c r="AM530" s="27"/>
      <c r="AN530" s="27"/>
      <c r="AO530" s="27"/>
      <c r="AP530" s="27"/>
      <c r="AQ530" s="23" t="str">
        <f aca="false">D530&amp;"|"&amp;TEXT(U530,"yyyy-mm-dd")</f>
        <v>신약|2027-01-13</v>
      </c>
      <c r="AR530" s="24" t="s">
        <v>5676</v>
      </c>
      <c r="AS530" s="24"/>
    </row>
    <row r="531" customFormat="false" ht="26.85" hidden="false" customHeight="false" outlineLevel="0" collapsed="false">
      <c r="A531" s="23" t="n">
        <v>530</v>
      </c>
      <c r="B531" s="31" t="s">
        <v>5677</v>
      </c>
      <c r="C531" s="20" t="n">
        <v>1</v>
      </c>
      <c r="D531" s="20" t="s">
        <v>5581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1" t="s">
        <v>5678</v>
      </c>
      <c r="H531" s="31" t="s">
        <v>5594</v>
      </c>
      <c r="I531" s="23" t="s">
        <v>5584</v>
      </c>
      <c r="J531" s="24" t="s">
        <v>5679</v>
      </c>
      <c r="K531" s="23" t="s">
        <v>1370</v>
      </c>
      <c r="L531" s="24" t="s">
        <v>5680</v>
      </c>
      <c r="M531" s="24" t="s">
        <v>5681</v>
      </c>
      <c r="N531" s="23" t="s">
        <v>5682</v>
      </c>
      <c r="O531" s="24" t="s">
        <v>5683</v>
      </c>
      <c r="P531" s="24" t="s">
        <v>5684</v>
      </c>
      <c r="Q531" s="24" t="s">
        <v>5685</v>
      </c>
      <c r="R531" s="24"/>
      <c r="S531" s="24" t="s">
        <v>173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174</v>
      </c>
      <c r="Y531" s="23" t="s">
        <v>174</v>
      </c>
      <c r="Z531" s="23" t="s">
        <v>174</v>
      </c>
      <c r="AA531" s="23" t="s">
        <v>174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  <c r="AE531" s="24" t="str">
        <f aca="false">M531&amp;" | 마태복음 5장 #"&amp;SUBSTITUTE(안내!$C$5," ","")</f>
        <v>가난한 사람이 복이 있다고? | 마태복음 5장 #1분성경</v>
      </c>
      <c r="AF531" s="24" t="s">
        <v>5686</v>
      </c>
      <c r="AG531" s="24"/>
      <c r="AH531" s="23" t="s">
        <v>176</v>
      </c>
      <c r="AI531" s="26" t="n">
        <f aca="false">U531-안내!$C$12</f>
        <v>46374</v>
      </c>
      <c r="AJ531" s="23" t="str">
        <f aca="false">IF(U531&lt;IF(C531=1,안내!$C$9,안내!$C$10)+안내!$C$12,"시즌 시작 전 제작","")</f>
        <v>시즌 시작 전 제작</v>
      </c>
      <c r="AK531" s="24"/>
      <c r="AL531" s="27"/>
      <c r="AM531" s="27"/>
      <c r="AN531" s="27"/>
      <c r="AO531" s="27"/>
      <c r="AP531" s="27"/>
      <c r="AQ531" s="23" t="str">
        <f aca="false">D531&amp;"|"&amp;TEXT(U531,"yyyy-mm-dd")</f>
        <v>신약|2027-01-15</v>
      </c>
      <c r="AR531" s="24" t="s">
        <v>5687</v>
      </c>
      <c r="AS531" s="24"/>
    </row>
    <row r="532" customFormat="false" ht="26.85" hidden="false" customHeight="false" outlineLevel="0" collapsed="false">
      <c r="A532" s="23" t="n">
        <v>531</v>
      </c>
      <c r="B532" s="31" t="s">
        <v>5688</v>
      </c>
      <c r="C532" s="20" t="n">
        <v>1</v>
      </c>
      <c r="D532" s="20" t="s">
        <v>5581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1" t="s">
        <v>5678</v>
      </c>
      <c r="H532" s="31" t="s">
        <v>5594</v>
      </c>
      <c r="I532" s="23" t="s">
        <v>5584</v>
      </c>
      <c r="J532" s="24" t="s">
        <v>5689</v>
      </c>
      <c r="K532" s="23" t="s">
        <v>1370</v>
      </c>
      <c r="L532" s="24" t="s">
        <v>5690</v>
      </c>
      <c r="M532" s="24" t="s">
        <v>5691</v>
      </c>
      <c r="N532" s="23" t="s">
        <v>5692</v>
      </c>
      <c r="O532" s="24" t="s">
        <v>5693</v>
      </c>
      <c r="P532" s="24" t="s">
        <v>5694</v>
      </c>
      <c r="Q532" s="24" t="s">
        <v>5695</v>
      </c>
      <c r="R532" s="24"/>
      <c r="S532" s="24" t="s">
        <v>173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174</v>
      </c>
      <c r="Y532" s="23" t="s">
        <v>174</v>
      </c>
      <c r="Z532" s="23" t="s">
        <v>174</v>
      </c>
      <c r="AA532" s="23" t="s">
        <v>174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  <c r="AE532" s="24" t="str">
        <f aca="false">M532&amp;" | 마태복음 5장 #"&amp;SUBSTITUTE(안내!$C$5," ","")</f>
        <v>세상의 소금, 세상의 빛 | 마태복음 5장 #1분성경</v>
      </c>
      <c r="AF532" s="24" t="s">
        <v>5696</v>
      </c>
      <c r="AG532" s="24"/>
      <c r="AH532" s="23" t="s">
        <v>290</v>
      </c>
      <c r="AI532" s="26" t="n">
        <f aca="false">U532-안내!$C$12</f>
        <v>46375</v>
      </c>
      <c r="AJ532" s="23" t="str">
        <f aca="false">IF(U532&lt;IF(C532=1,안내!$C$9,안내!$C$10)+안내!$C$12,"시즌 시작 전 제작","")</f>
        <v>시즌 시작 전 제작</v>
      </c>
      <c r="AK532" s="24"/>
      <c r="AL532" s="27"/>
      <c r="AM532" s="27"/>
      <c r="AN532" s="27"/>
      <c r="AO532" s="27"/>
      <c r="AP532" s="27"/>
      <c r="AQ532" s="23" t="str">
        <f aca="false">D532&amp;"|"&amp;TEXT(U532,"yyyy-mm-dd")</f>
        <v>신약|2027-01-16</v>
      </c>
      <c r="AR532" s="24" t="s">
        <v>5697</v>
      </c>
      <c r="AS532" s="24"/>
    </row>
    <row r="533" customFormat="false" ht="26.85" hidden="false" customHeight="false" outlineLevel="0" collapsed="false">
      <c r="A533" s="23" t="n">
        <v>532</v>
      </c>
      <c r="B533" s="31" t="s">
        <v>5698</v>
      </c>
      <c r="C533" s="23" t="n">
        <v>2</v>
      </c>
      <c r="D533" s="23" t="s">
        <v>5581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1" t="s">
        <v>5678</v>
      </c>
      <c r="H533" s="31" t="s">
        <v>5583</v>
      </c>
      <c r="I533" s="23" t="s">
        <v>5584</v>
      </c>
      <c r="J533" s="24" t="s">
        <v>5699</v>
      </c>
      <c r="K533" s="23" t="s">
        <v>1370</v>
      </c>
      <c r="L533" s="24" t="s">
        <v>5700</v>
      </c>
      <c r="M533" s="24" t="s">
        <v>5701</v>
      </c>
      <c r="N533" s="23" t="s">
        <v>5702</v>
      </c>
      <c r="O533" s="24" t="s">
        <v>5703</v>
      </c>
      <c r="P533" s="24" t="s">
        <v>5694</v>
      </c>
      <c r="Q533" s="24" t="s">
        <v>5685</v>
      </c>
      <c r="R533" s="24"/>
      <c r="S533" s="24" t="s">
        <v>5704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174</v>
      </c>
      <c r="Y533" s="23" t="s">
        <v>174</v>
      </c>
      <c r="Z533" s="23" t="s">
        <v>174</v>
      </c>
      <c r="AA533" s="23" t="s">
        <v>174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  <c r="AE533" s="24" t="str">
        <f aca="false">M533&amp;" | 마태복음 5장 #"&amp;SUBSTITUTE(안내!$C$5," ","")</f>
        <v>예수님이 율법을 없애러 오셨을까? | 마태복음 5장 #1분성경</v>
      </c>
      <c r="AF533" s="24" t="s">
        <v>304</v>
      </c>
      <c r="AG533" s="24"/>
      <c r="AH533" s="23" t="s">
        <v>176</v>
      </c>
      <c r="AI533" s="26" t="n">
        <f aca="false">U533-안내!$C$12</f>
        <v>46556</v>
      </c>
      <c r="AJ533" s="23" t="str">
        <f aca="false">IF(U533&lt;IF(C533=1,안내!$C$9,안내!$C$10)+안내!$C$12,"시즌 시작 전 제작","")</f>
        <v>시즌 시작 전 제작</v>
      </c>
      <c r="AK533" s="24"/>
      <c r="AL533" s="27"/>
      <c r="AM533" s="27"/>
      <c r="AN533" s="27"/>
      <c r="AO533" s="27"/>
      <c r="AP533" s="27"/>
      <c r="AQ533" s="23" t="str">
        <f aca="false">D533&amp;"|"&amp;TEXT(U533,"yyyy-mm-dd")</f>
        <v>신약|2027-07-16</v>
      </c>
      <c r="AR533" s="24" t="s">
        <v>5705</v>
      </c>
      <c r="AS533" s="24"/>
    </row>
    <row r="534" customFormat="false" ht="26.85" hidden="false" customHeight="false" outlineLevel="0" collapsed="false">
      <c r="A534" s="23" t="n">
        <v>533</v>
      </c>
      <c r="B534" s="31" t="s">
        <v>5706</v>
      </c>
      <c r="C534" s="23" t="n">
        <v>2</v>
      </c>
      <c r="D534" s="23" t="s">
        <v>5581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1" t="s">
        <v>5678</v>
      </c>
      <c r="H534" s="31" t="s">
        <v>5583</v>
      </c>
      <c r="I534" s="23" t="s">
        <v>5584</v>
      </c>
      <c r="J534" s="24" t="s">
        <v>5707</v>
      </c>
      <c r="K534" s="23" t="s">
        <v>1370</v>
      </c>
      <c r="L534" s="24" t="s">
        <v>5708</v>
      </c>
      <c r="M534" s="24" t="s">
        <v>5709</v>
      </c>
      <c r="N534" s="23" t="s">
        <v>5710</v>
      </c>
      <c r="O534" s="24" t="s">
        <v>5711</v>
      </c>
      <c r="P534" s="24" t="s">
        <v>5694</v>
      </c>
      <c r="Q534" s="24" t="s">
        <v>5685</v>
      </c>
      <c r="R534" s="24"/>
      <c r="S534" s="24" t="s">
        <v>5704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174</v>
      </c>
      <c r="Y534" s="23" t="s">
        <v>174</v>
      </c>
      <c r="Z534" s="23" t="s">
        <v>174</v>
      </c>
      <c r="AA534" s="23" t="s">
        <v>174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  <c r="AE534" s="24" t="str">
        <f aca="false">M534&amp;" | 마태복음 5장 #"&amp;SUBSTITUTE(안내!$C$5," ","")</f>
        <v>왼뺨도 돌려대라는 말의 의미 | 마태복음 5장 #1분성경</v>
      </c>
      <c r="AF534" s="24" t="s">
        <v>304</v>
      </c>
      <c r="AG534" s="24"/>
      <c r="AH534" s="23" t="s">
        <v>290</v>
      </c>
      <c r="AI534" s="26" t="n">
        <f aca="false">U534-안내!$C$12</f>
        <v>46557</v>
      </c>
      <c r="AJ534" s="23" t="str">
        <f aca="false">IF(U534&lt;IF(C534=1,안내!$C$9,안내!$C$10)+안내!$C$12,"시즌 시작 전 제작","")</f>
        <v>시즌 시작 전 제작</v>
      </c>
      <c r="AK534" s="24"/>
      <c r="AL534" s="27"/>
      <c r="AM534" s="27"/>
      <c r="AN534" s="27"/>
      <c r="AO534" s="27"/>
      <c r="AP534" s="27"/>
      <c r="AQ534" s="23" t="str">
        <f aca="false">D534&amp;"|"&amp;TEXT(U534,"yyyy-mm-dd")</f>
        <v>신약|2027-07-17</v>
      </c>
      <c r="AR534" s="24" t="s">
        <v>5712</v>
      </c>
      <c r="AS534" s="24"/>
    </row>
    <row r="535" customFormat="false" ht="39.55" hidden="false" customHeight="false" outlineLevel="0" collapsed="false">
      <c r="A535" s="23" t="n">
        <v>534</v>
      </c>
      <c r="B535" s="31" t="s">
        <v>5713</v>
      </c>
      <c r="C535" s="20" t="n">
        <v>1</v>
      </c>
      <c r="D535" s="20" t="s">
        <v>5581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1" t="s">
        <v>5678</v>
      </c>
      <c r="H535" s="31" t="s">
        <v>5594</v>
      </c>
      <c r="I535" s="23" t="s">
        <v>5584</v>
      </c>
      <c r="J535" s="24" t="s">
        <v>5714</v>
      </c>
      <c r="K535" s="23" t="s">
        <v>1370</v>
      </c>
      <c r="L535" s="24" t="s">
        <v>5715</v>
      </c>
      <c r="M535" s="24" t="s">
        <v>5716</v>
      </c>
      <c r="N535" s="23" t="s">
        <v>5717</v>
      </c>
      <c r="O535" s="24" t="s">
        <v>5718</v>
      </c>
      <c r="P535" s="24" t="s">
        <v>5719</v>
      </c>
      <c r="Q535" s="24" t="s">
        <v>5720</v>
      </c>
      <c r="R535" s="24"/>
      <c r="S535" s="29" t="s">
        <v>5721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174</v>
      </c>
      <c r="Y535" s="23" t="s">
        <v>174</v>
      </c>
      <c r="Z535" s="23" t="s">
        <v>174</v>
      </c>
      <c r="AA535" s="23" t="s">
        <v>174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  <c r="AE535" s="24" t="str">
        <f aca="false">M535&amp;" | 마태복음 6장 #"&amp;SUBSTITUTE(안내!$C$5," ","")</f>
        <v>예수님이 직접 가르쳐 주신 기도 | 마태복음 6장 #1분성경</v>
      </c>
      <c r="AF535" s="24" t="s">
        <v>5722</v>
      </c>
      <c r="AG535" s="24"/>
      <c r="AH535" s="23" t="s">
        <v>290</v>
      </c>
      <c r="AI535" s="26" t="n">
        <f aca="false">U535-안내!$C$12</f>
        <v>46377</v>
      </c>
      <c r="AJ535" s="23" t="str">
        <f aca="false">IF(U535&lt;IF(C535=1,안내!$C$9,안내!$C$10)+안내!$C$12,"시즌 시작 전 제작","")</f>
        <v>시즌 시작 전 제작</v>
      </c>
      <c r="AK535" s="24"/>
      <c r="AL535" s="27"/>
      <c r="AM535" s="27"/>
      <c r="AN535" s="27"/>
      <c r="AO535" s="27"/>
      <c r="AP535" s="27"/>
      <c r="AQ535" s="23" t="str">
        <f aca="false">D535&amp;"|"&amp;TEXT(U535,"yyyy-mm-dd")</f>
        <v>신약|2027-01-18</v>
      </c>
      <c r="AR535" s="24" t="s">
        <v>5723</v>
      </c>
      <c r="AS535" s="24"/>
    </row>
    <row r="536" customFormat="false" ht="26.85" hidden="false" customHeight="false" outlineLevel="0" collapsed="false">
      <c r="A536" s="23" t="n">
        <v>535</v>
      </c>
      <c r="B536" s="31" t="s">
        <v>5724</v>
      </c>
      <c r="C536" s="20" t="n">
        <v>1</v>
      </c>
      <c r="D536" s="20" t="s">
        <v>5581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1" t="s">
        <v>5678</v>
      </c>
      <c r="H536" s="31" t="s">
        <v>5594</v>
      </c>
      <c r="I536" s="23" t="s">
        <v>5584</v>
      </c>
      <c r="J536" s="24" t="s">
        <v>5725</v>
      </c>
      <c r="K536" s="23" t="s">
        <v>1370</v>
      </c>
      <c r="L536" s="24" t="s">
        <v>5726</v>
      </c>
      <c r="M536" s="24" t="s">
        <v>5727</v>
      </c>
      <c r="N536" s="23" t="s">
        <v>5728</v>
      </c>
      <c r="O536" s="24" t="s">
        <v>5729</v>
      </c>
      <c r="P536" s="24" t="s">
        <v>5694</v>
      </c>
      <c r="Q536" s="24" t="s">
        <v>5730</v>
      </c>
      <c r="R536" s="24"/>
      <c r="S536" s="24" t="s">
        <v>173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174</v>
      </c>
      <c r="Y536" s="23" t="s">
        <v>174</v>
      </c>
      <c r="Z536" s="23" t="s">
        <v>174</v>
      </c>
      <c r="AA536" s="23" t="s">
        <v>174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  <c r="AE536" s="24" t="str">
        <f aca="false">M536&amp;" | 마태복음 6장 #"&amp;SUBSTITUTE(안내!$C$5," ","")</f>
        <v>공중의 새와 들의 백합화를 보라 | 마태복음 6장 #1분성경</v>
      </c>
      <c r="AF536" s="24" t="s">
        <v>5731</v>
      </c>
      <c r="AG536" s="24"/>
      <c r="AH536" s="23" t="s">
        <v>290</v>
      </c>
      <c r="AI536" s="26" t="n">
        <f aca="false">U536-안내!$C$12</f>
        <v>46379</v>
      </c>
      <c r="AJ536" s="23" t="str">
        <f aca="false">IF(U536&lt;IF(C536=1,안내!$C$9,안내!$C$10)+안내!$C$12,"시즌 시작 전 제작","")</f>
        <v>시즌 시작 전 제작</v>
      </c>
      <c r="AK536" s="24"/>
      <c r="AL536" s="27"/>
      <c r="AM536" s="27"/>
      <c r="AN536" s="27"/>
      <c r="AO536" s="27"/>
      <c r="AP536" s="27"/>
      <c r="AQ536" s="23" t="str">
        <f aca="false">D536&amp;"|"&amp;TEXT(U536,"yyyy-mm-dd")</f>
        <v>신약|2027-01-20</v>
      </c>
      <c r="AR536" s="24" t="s">
        <v>5732</v>
      </c>
      <c r="AS536" s="24"/>
    </row>
    <row r="537" customFormat="false" ht="26.85" hidden="false" customHeight="false" outlineLevel="0" collapsed="false">
      <c r="A537" s="23" t="n">
        <v>536</v>
      </c>
      <c r="B537" s="31" t="s">
        <v>5733</v>
      </c>
      <c r="C537" s="23" t="n">
        <v>2</v>
      </c>
      <c r="D537" s="23" t="s">
        <v>5581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1" t="s">
        <v>5678</v>
      </c>
      <c r="H537" s="31" t="s">
        <v>5583</v>
      </c>
      <c r="I537" s="23" t="s">
        <v>5584</v>
      </c>
      <c r="J537" s="24" t="s">
        <v>5734</v>
      </c>
      <c r="K537" s="23" t="s">
        <v>1370</v>
      </c>
      <c r="L537" s="24" t="s">
        <v>5735</v>
      </c>
      <c r="M537" s="24" t="s">
        <v>5736</v>
      </c>
      <c r="N537" s="23" t="s">
        <v>5737</v>
      </c>
      <c r="O537" s="24" t="s">
        <v>5738</v>
      </c>
      <c r="P537" s="24" t="s">
        <v>5694</v>
      </c>
      <c r="Q537" s="24" t="s">
        <v>5739</v>
      </c>
      <c r="R537" s="24"/>
      <c r="S537" s="24" t="s">
        <v>5740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174</v>
      </c>
      <c r="Y537" s="23" t="s">
        <v>174</v>
      </c>
      <c r="Z537" s="23" t="s">
        <v>174</v>
      </c>
      <c r="AA537" s="23" t="s">
        <v>174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  <c r="AE537" s="24" t="str">
        <f aca="false">M537&amp;" | 마태복음 7장 #"&amp;SUBSTITUTE(안내!$C$5," ","")</f>
        <v>아버지가 자녀에게 돌을 주겠느냐 | 마태복음 7장 #1분성경</v>
      </c>
      <c r="AF537" s="24" t="s">
        <v>304</v>
      </c>
      <c r="AG537" s="24"/>
      <c r="AH537" s="23" t="s">
        <v>290</v>
      </c>
      <c r="AI537" s="26" t="n">
        <f aca="false">U537-안내!$C$12</f>
        <v>46559</v>
      </c>
      <c r="AJ537" s="23" t="str">
        <f aca="false">IF(U537&lt;IF(C537=1,안내!$C$9,안내!$C$10)+안내!$C$12,"시즌 시작 전 제작","")</f>
        <v>시즌 시작 전 제작</v>
      </c>
      <c r="AK537" s="24"/>
      <c r="AL537" s="27"/>
      <c r="AM537" s="27"/>
      <c r="AN537" s="27"/>
      <c r="AO537" s="27"/>
      <c r="AP537" s="27"/>
      <c r="AQ537" s="23" t="str">
        <f aca="false">D537&amp;"|"&amp;TEXT(U537,"yyyy-mm-dd")</f>
        <v>신약|2027-07-19</v>
      </c>
      <c r="AR537" s="24" t="s">
        <v>5741</v>
      </c>
      <c r="AS537" s="24"/>
    </row>
    <row r="538" customFormat="false" ht="26.85" hidden="false" customHeight="false" outlineLevel="0" collapsed="false">
      <c r="A538" s="23" t="n">
        <v>537</v>
      </c>
      <c r="B538" s="31" t="s">
        <v>5742</v>
      </c>
      <c r="C538" s="20" t="n">
        <v>1</v>
      </c>
      <c r="D538" s="20" t="s">
        <v>5581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1" t="s">
        <v>5678</v>
      </c>
      <c r="H538" s="31" t="s">
        <v>5594</v>
      </c>
      <c r="I538" s="23" t="s">
        <v>5584</v>
      </c>
      <c r="J538" s="24" t="s">
        <v>5743</v>
      </c>
      <c r="K538" s="23" t="s">
        <v>1370</v>
      </c>
      <c r="L538" s="24" t="s">
        <v>5744</v>
      </c>
      <c r="M538" s="24" t="s">
        <v>5745</v>
      </c>
      <c r="N538" s="23" t="s">
        <v>5746</v>
      </c>
      <c r="O538" s="24" t="s">
        <v>5747</v>
      </c>
      <c r="P538" s="24" t="s">
        <v>5694</v>
      </c>
      <c r="Q538" s="24" t="s">
        <v>5748</v>
      </c>
      <c r="R538" s="24"/>
      <c r="S538" s="29" t="s">
        <v>5749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174</v>
      </c>
      <c r="Y538" s="23" t="s">
        <v>174</v>
      </c>
      <c r="Z538" s="23" t="s">
        <v>174</v>
      </c>
      <c r="AA538" s="23" t="s">
        <v>174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  <c r="AE538" s="24" t="str">
        <f aca="false">M538&amp;" | 마태복음 7장 #"&amp;SUBSTITUTE(안내!$C$5," ","")</f>
        <v>폭풍이 와도 무너지지 않는 집 | 마태복음 7장 #1분성경</v>
      </c>
      <c r="AF538" s="24" t="s">
        <v>5750</v>
      </c>
      <c r="AG538" s="24"/>
      <c r="AH538" s="23" t="s">
        <v>290</v>
      </c>
      <c r="AI538" s="26" t="n">
        <f aca="false">U538-안내!$C$12</f>
        <v>46381</v>
      </c>
      <c r="AJ538" s="23" t="str">
        <f aca="false">IF(U538&lt;IF(C538=1,안내!$C$9,안내!$C$10)+안내!$C$12,"시즌 시작 전 제작","")</f>
        <v>시즌 시작 전 제작</v>
      </c>
      <c r="AK538" s="24"/>
      <c r="AL538" s="27"/>
      <c r="AM538" s="27"/>
      <c r="AN538" s="27"/>
      <c r="AO538" s="27"/>
      <c r="AP538" s="27"/>
      <c r="AQ538" s="23" t="str">
        <f aca="false">D538&amp;"|"&amp;TEXT(U538,"yyyy-mm-dd")</f>
        <v>신약|2027-01-22</v>
      </c>
      <c r="AR538" s="24" t="s">
        <v>5751</v>
      </c>
      <c r="AS538" s="24"/>
    </row>
    <row r="539" customFormat="false" ht="26.85" hidden="false" customHeight="false" outlineLevel="0" collapsed="false">
      <c r="A539" s="23" t="n">
        <v>538</v>
      </c>
      <c r="B539" s="31" t="s">
        <v>5752</v>
      </c>
      <c r="C539" s="20" t="n">
        <v>1</v>
      </c>
      <c r="D539" s="20" t="s">
        <v>5581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1" t="s">
        <v>5753</v>
      </c>
      <c r="H539" s="31" t="s">
        <v>5754</v>
      </c>
      <c r="I539" s="23" t="s">
        <v>5584</v>
      </c>
      <c r="J539" s="24" t="s">
        <v>5755</v>
      </c>
      <c r="K539" s="23" t="s">
        <v>165</v>
      </c>
      <c r="L539" s="24" t="s">
        <v>5756</v>
      </c>
      <c r="M539" s="24" t="s">
        <v>5757</v>
      </c>
      <c r="N539" s="23" t="s">
        <v>5758</v>
      </c>
      <c r="O539" s="24" t="s">
        <v>5759</v>
      </c>
      <c r="P539" s="24" t="s">
        <v>5760</v>
      </c>
      <c r="Q539" s="24" t="s">
        <v>5761</v>
      </c>
      <c r="R539" s="24"/>
      <c r="S539" s="24" t="s">
        <v>173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174</v>
      </c>
      <c r="Y539" s="23" t="s">
        <v>174</v>
      </c>
      <c r="Z539" s="23" t="s">
        <v>174</v>
      </c>
      <c r="AA539" s="23" t="s">
        <v>174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  <c r="AE539" s="24" t="str">
        <f aca="false">M539&amp;" | 마태복음 8장 #"&amp;SUBSTITUTE(안내!$C$5," ","")</f>
        <v>아무도 만지지 않던 나병환자를 만지셨다 | 마태복음 8장 #1분성경</v>
      </c>
      <c r="AF539" s="24" t="s">
        <v>5762</v>
      </c>
      <c r="AG539" s="24" t="s">
        <v>5763</v>
      </c>
      <c r="AH539" s="23" t="s">
        <v>290</v>
      </c>
      <c r="AI539" s="26" t="n">
        <f aca="false">U539-안내!$C$12</f>
        <v>46382</v>
      </c>
      <c r="AJ539" s="23" t="str">
        <f aca="false">IF(U539&lt;IF(C539=1,안내!$C$9,안내!$C$10)+안내!$C$12,"시즌 시작 전 제작","")</f>
        <v>시즌 시작 전 제작</v>
      </c>
      <c r="AK539" s="24"/>
      <c r="AL539" s="27"/>
      <c r="AM539" s="27"/>
      <c r="AN539" s="27"/>
      <c r="AO539" s="27"/>
      <c r="AP539" s="27"/>
      <c r="AQ539" s="23" t="str">
        <f aca="false">D539&amp;"|"&amp;TEXT(U539,"yyyy-mm-dd")</f>
        <v>신약|2027-01-23</v>
      </c>
      <c r="AR539" s="24" t="s">
        <v>5764</v>
      </c>
      <c r="AS539" s="24"/>
    </row>
    <row r="540" customFormat="false" ht="26.85" hidden="false" customHeight="false" outlineLevel="0" collapsed="false">
      <c r="A540" s="23" t="n">
        <v>539</v>
      </c>
      <c r="B540" s="31" t="s">
        <v>5765</v>
      </c>
      <c r="C540" s="20" t="n">
        <v>1</v>
      </c>
      <c r="D540" s="20" t="s">
        <v>5581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1" t="s">
        <v>5753</v>
      </c>
      <c r="H540" s="31" t="s">
        <v>5754</v>
      </c>
      <c r="I540" s="23" t="s">
        <v>5584</v>
      </c>
      <c r="J540" s="24" t="s">
        <v>5766</v>
      </c>
      <c r="K540" s="23" t="s">
        <v>165</v>
      </c>
      <c r="L540" s="24" t="s">
        <v>5767</v>
      </c>
      <c r="M540" s="24" t="s">
        <v>5768</v>
      </c>
      <c r="N540" s="23" t="s">
        <v>5769</v>
      </c>
      <c r="O540" s="24" t="s">
        <v>5770</v>
      </c>
      <c r="P540" s="24" t="s">
        <v>5719</v>
      </c>
      <c r="Q540" s="24" t="s">
        <v>5771</v>
      </c>
      <c r="R540" s="24"/>
      <c r="S540" s="24" t="s">
        <v>173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174</v>
      </c>
      <c r="Y540" s="23" t="s">
        <v>174</v>
      </c>
      <c r="Z540" s="23" t="s">
        <v>174</v>
      </c>
      <c r="AA540" s="23" t="s">
        <v>174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  <c r="AE540" s="24" t="str">
        <f aca="false">M540&amp;" | 마태복음 8장 #"&amp;SUBSTITUTE(안내!$C$5," ","")</f>
        <v>폭풍 속에서 주무시던 예수님 | 마태복음 8장 #1분성경</v>
      </c>
      <c r="AF540" s="24" t="s">
        <v>5772</v>
      </c>
      <c r="AG540" s="24" t="s">
        <v>5773</v>
      </c>
      <c r="AH540" s="23" t="s">
        <v>290</v>
      </c>
      <c r="AI540" s="26" t="n">
        <f aca="false">U540-안내!$C$12</f>
        <v>46384</v>
      </c>
      <c r="AJ540" s="23" t="str">
        <f aca="false">IF(U540&lt;IF(C540=1,안내!$C$9,안내!$C$10)+안내!$C$12,"시즌 시작 전 제작","")</f>
        <v>시즌 시작 전 제작</v>
      </c>
      <c r="AK540" s="24"/>
      <c r="AL540" s="27"/>
      <c r="AM540" s="27"/>
      <c r="AN540" s="27"/>
      <c r="AO540" s="27"/>
      <c r="AP540" s="27"/>
      <c r="AQ540" s="23" t="str">
        <f aca="false">D540&amp;"|"&amp;TEXT(U540,"yyyy-mm-dd")</f>
        <v>신약|2027-01-25</v>
      </c>
      <c r="AR540" s="24" t="s">
        <v>5774</v>
      </c>
      <c r="AS540" s="24"/>
    </row>
    <row r="541" customFormat="false" ht="39.55" hidden="false" customHeight="false" outlineLevel="0" collapsed="false">
      <c r="A541" s="23" t="n">
        <v>540</v>
      </c>
      <c r="B541" s="31" t="s">
        <v>5775</v>
      </c>
      <c r="C541" s="23" t="n">
        <v>2</v>
      </c>
      <c r="D541" s="23" t="s">
        <v>5581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1" t="s">
        <v>5753</v>
      </c>
      <c r="H541" s="31" t="s">
        <v>5583</v>
      </c>
      <c r="I541" s="23" t="s">
        <v>5584</v>
      </c>
      <c r="J541" s="24" t="s">
        <v>5776</v>
      </c>
      <c r="K541" s="23" t="s">
        <v>165</v>
      </c>
      <c r="L541" s="24" t="s">
        <v>5777</v>
      </c>
      <c r="M541" s="24" t="s">
        <v>5778</v>
      </c>
      <c r="N541" s="23" t="s">
        <v>5779</v>
      </c>
      <c r="O541" s="24" t="s">
        <v>5780</v>
      </c>
      <c r="P541" s="24" t="s">
        <v>5781</v>
      </c>
      <c r="Q541" s="24" t="s">
        <v>5782</v>
      </c>
      <c r="R541" s="25" t="s">
        <v>5783</v>
      </c>
      <c r="S541" s="24" t="s">
        <v>5784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174</v>
      </c>
      <c r="Y541" s="23" t="s">
        <v>174</v>
      </c>
      <c r="Z541" s="23" t="s">
        <v>174</v>
      </c>
      <c r="AA541" s="23" t="s">
        <v>174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  <c r="AE541" s="24" t="str">
        <f aca="false">M541&amp;" | 마태복음 8~9장 #"&amp;SUBSTITUTE(안내!$C$5," ","")</f>
        <v>친구들이 데려온 중풍병자 | 마태복음 8~9장 #1분성경</v>
      </c>
      <c r="AF541" s="24" t="s">
        <v>304</v>
      </c>
      <c r="AG541" s="24" t="s">
        <v>5785</v>
      </c>
      <c r="AH541" s="23" t="s">
        <v>290</v>
      </c>
      <c r="AI541" s="26" t="n">
        <f aca="false">U541-안내!$C$12</f>
        <v>46561</v>
      </c>
      <c r="AJ541" s="23" t="str">
        <f aca="false">IF(U541&lt;IF(C541=1,안내!$C$9,안내!$C$10)+안내!$C$12,"시즌 시작 전 제작","")</f>
        <v>시즌 시작 전 제작</v>
      </c>
      <c r="AK541" s="24"/>
      <c r="AL541" s="27"/>
      <c r="AM541" s="27"/>
      <c r="AN541" s="27"/>
      <c r="AO541" s="27"/>
      <c r="AP541" s="27"/>
      <c r="AQ541" s="23" t="str">
        <f aca="false">D541&amp;"|"&amp;TEXT(U541,"yyyy-mm-dd")</f>
        <v>신약|2027-07-21</v>
      </c>
      <c r="AR541" s="24" t="s">
        <v>5786</v>
      </c>
      <c r="AS541" s="24"/>
    </row>
    <row r="542" customFormat="false" ht="39.55" hidden="false" customHeight="false" outlineLevel="0" collapsed="false">
      <c r="A542" s="23" t="n">
        <v>541</v>
      </c>
      <c r="B542" s="31" t="s">
        <v>5787</v>
      </c>
      <c r="C542" s="23" t="n">
        <v>2</v>
      </c>
      <c r="D542" s="23" t="s">
        <v>5581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1" t="s">
        <v>5753</v>
      </c>
      <c r="H542" s="31" t="s">
        <v>5583</v>
      </c>
      <c r="I542" s="23" t="s">
        <v>5584</v>
      </c>
      <c r="J542" s="24" t="s">
        <v>5788</v>
      </c>
      <c r="K542" s="23" t="s">
        <v>165</v>
      </c>
      <c r="L542" s="24" t="s">
        <v>5789</v>
      </c>
      <c r="M542" s="24" t="s">
        <v>5790</v>
      </c>
      <c r="N542" s="23" t="s">
        <v>5791</v>
      </c>
      <c r="O542" s="24" t="s">
        <v>5792</v>
      </c>
      <c r="P542" s="24" t="s">
        <v>5793</v>
      </c>
      <c r="Q542" s="24" t="s">
        <v>5794</v>
      </c>
      <c r="R542" s="24"/>
      <c r="S542" s="24" t="s">
        <v>5784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174</v>
      </c>
      <c r="Y542" s="23" t="s">
        <v>174</v>
      </c>
      <c r="Z542" s="23" t="s">
        <v>174</v>
      </c>
      <c r="AA542" s="23" t="s">
        <v>174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  <c r="AE542" s="24" t="str">
        <f aca="false">M542&amp;" | 마태복음 9장 #"&amp;SUBSTITUTE(안내!$C$5," ","")</f>
        <v>모두가 싫어한 세리의 집에서 식사하신 예수님 | 마태복음 9장 #1분성경</v>
      </c>
      <c r="AF542" s="24" t="s">
        <v>304</v>
      </c>
      <c r="AG542" s="24" t="s">
        <v>5795</v>
      </c>
      <c r="AH542" s="23" t="s">
        <v>290</v>
      </c>
      <c r="AI542" s="26" t="n">
        <f aca="false">U542-안내!$C$12</f>
        <v>46563</v>
      </c>
      <c r="AJ542" s="23" t="str">
        <f aca="false">IF(U542&lt;IF(C542=1,안내!$C$9,안내!$C$10)+안내!$C$12,"시즌 시작 전 제작","")</f>
        <v>시즌 시작 전 제작</v>
      </c>
      <c r="AK542" s="24"/>
      <c r="AL542" s="27"/>
      <c r="AM542" s="27"/>
      <c r="AN542" s="27"/>
      <c r="AO542" s="27"/>
      <c r="AP542" s="27"/>
      <c r="AQ542" s="23" t="str">
        <f aca="false">D542&amp;"|"&amp;TEXT(U542,"yyyy-mm-dd")</f>
        <v>신약|2027-07-23</v>
      </c>
      <c r="AR542" s="24" t="s">
        <v>5796</v>
      </c>
      <c r="AS542" s="24"/>
    </row>
    <row r="543" customFormat="false" ht="39.55" hidden="false" customHeight="false" outlineLevel="0" collapsed="false">
      <c r="A543" s="23" t="n">
        <v>542</v>
      </c>
      <c r="B543" s="31" t="s">
        <v>5797</v>
      </c>
      <c r="C543" s="20" t="n">
        <v>1</v>
      </c>
      <c r="D543" s="20" t="s">
        <v>5581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1" t="s">
        <v>5753</v>
      </c>
      <c r="H543" s="31" t="s">
        <v>5754</v>
      </c>
      <c r="I543" s="23" t="s">
        <v>5584</v>
      </c>
      <c r="J543" s="24" t="s">
        <v>5798</v>
      </c>
      <c r="K543" s="23" t="s">
        <v>165</v>
      </c>
      <c r="L543" s="24" t="s">
        <v>5799</v>
      </c>
      <c r="M543" s="30" t="s">
        <v>5800</v>
      </c>
      <c r="N543" s="23" t="s">
        <v>5801</v>
      </c>
      <c r="O543" s="24" t="s">
        <v>5802</v>
      </c>
      <c r="P543" s="24" t="s">
        <v>5803</v>
      </c>
      <c r="Q543" s="24" t="s">
        <v>5804</v>
      </c>
      <c r="R543" s="24"/>
      <c r="S543" s="29" t="s">
        <v>5805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174</v>
      </c>
      <c r="Y543" s="23" t="s">
        <v>174</v>
      </c>
      <c r="Z543" s="23" t="s">
        <v>174</v>
      </c>
      <c r="AA543" s="23" t="s">
        <v>174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  <c r="AE543" s="24" t="str">
        <f aca="false">M543&amp;" | 마태복음 9장 #"&amp;SUBSTITUTE(안내!$C$5," ","")</f>
        <v>12년 아픈 여인과 12살 소녀 | 마태복음 9장 #1분성경</v>
      </c>
      <c r="AF543" s="24" t="s">
        <v>5806</v>
      </c>
      <c r="AG543" s="24" t="s">
        <v>5807</v>
      </c>
      <c r="AH543" s="23" t="s">
        <v>360</v>
      </c>
      <c r="AI543" s="26" t="n">
        <f aca="false">U543-안내!$C$12</f>
        <v>46386</v>
      </c>
      <c r="AJ543" s="23" t="str">
        <f aca="false">IF(U543&lt;IF(C543=1,안내!$C$9,안내!$C$10)+안내!$C$12,"시즌 시작 전 제작","")</f>
        <v>시즌 시작 전 제작</v>
      </c>
      <c r="AK543" s="24"/>
      <c r="AL543" s="27"/>
      <c r="AM543" s="27"/>
      <c r="AN543" s="27"/>
      <c r="AO543" s="27"/>
      <c r="AP543" s="27"/>
      <c r="AQ543" s="23" t="str">
        <f aca="false">D543&amp;"|"&amp;TEXT(U543,"yyyy-mm-dd")</f>
        <v>신약|2027-01-27</v>
      </c>
      <c r="AR543" s="24" t="s">
        <v>5808</v>
      </c>
      <c r="AS543" s="24" t="s">
        <v>292</v>
      </c>
    </row>
    <row r="544" customFormat="false" ht="39.55" hidden="false" customHeight="false" outlineLevel="0" collapsed="false">
      <c r="A544" s="23" t="n">
        <v>543</v>
      </c>
      <c r="B544" s="31" t="s">
        <v>5809</v>
      </c>
      <c r="C544" s="23" t="n">
        <v>2</v>
      </c>
      <c r="D544" s="23" t="s">
        <v>5581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1" t="s">
        <v>5753</v>
      </c>
      <c r="H544" s="31" t="s">
        <v>5583</v>
      </c>
      <c r="I544" s="23" t="s">
        <v>5584</v>
      </c>
      <c r="J544" s="24" t="s">
        <v>5810</v>
      </c>
      <c r="K544" s="23" t="s">
        <v>165</v>
      </c>
      <c r="L544" s="24" t="s">
        <v>5811</v>
      </c>
      <c r="M544" s="24" t="s">
        <v>5812</v>
      </c>
      <c r="N544" s="23" t="s">
        <v>5813</v>
      </c>
      <c r="O544" s="24" t="s">
        <v>5814</v>
      </c>
      <c r="P544" s="24" t="s">
        <v>5815</v>
      </c>
      <c r="Q544" s="24" t="s">
        <v>5816</v>
      </c>
      <c r="R544" s="24"/>
      <c r="S544" s="24" t="s">
        <v>5817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174</v>
      </c>
      <c r="Y544" s="23" t="s">
        <v>174</v>
      </c>
      <c r="Z544" s="23" t="s">
        <v>174</v>
      </c>
      <c r="AA544" s="23" t="s">
        <v>174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  <c r="AE544" s="24" t="str">
        <f aca="false">M544&amp;" | 마태복음 9~10장 #"&amp;SUBSTITUTE(안내!$C$5," ","")</f>
        <v>추수할 것은 많되 일꾼이 적다 | 마태복음 9~10장 #1분성경</v>
      </c>
      <c r="AF544" s="24" t="s">
        <v>304</v>
      </c>
      <c r="AG544" s="24" t="s">
        <v>5818</v>
      </c>
      <c r="AH544" s="23" t="s">
        <v>290</v>
      </c>
      <c r="AI544" s="26" t="n">
        <f aca="false">U544-안내!$C$12</f>
        <v>46564</v>
      </c>
      <c r="AJ544" s="23" t="str">
        <f aca="false">IF(U544&lt;IF(C544=1,안내!$C$9,안내!$C$10)+안내!$C$12,"시즌 시작 전 제작","")</f>
        <v>시즌 시작 전 제작</v>
      </c>
      <c r="AK544" s="24"/>
      <c r="AL544" s="27"/>
      <c r="AM544" s="27"/>
      <c r="AN544" s="27"/>
      <c r="AO544" s="27"/>
      <c r="AP544" s="27"/>
      <c r="AQ544" s="23" t="str">
        <f aca="false">D544&amp;"|"&amp;TEXT(U544,"yyyy-mm-dd")</f>
        <v>신약|2027-07-24</v>
      </c>
      <c r="AR544" s="24" t="s">
        <v>5819</v>
      </c>
      <c r="AS544" s="24"/>
    </row>
    <row r="545" customFormat="false" ht="26.85" hidden="false" customHeight="false" outlineLevel="0" collapsed="false">
      <c r="A545" s="23" t="n">
        <v>544</v>
      </c>
      <c r="B545" s="31" t="s">
        <v>5820</v>
      </c>
      <c r="C545" s="23" t="n">
        <v>2</v>
      </c>
      <c r="D545" s="23" t="s">
        <v>5581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1" t="s">
        <v>5753</v>
      </c>
      <c r="H545" s="31" t="s">
        <v>5583</v>
      </c>
      <c r="I545" s="23" t="s">
        <v>5584</v>
      </c>
      <c r="J545" s="24" t="s">
        <v>5821</v>
      </c>
      <c r="K545" s="23" t="s">
        <v>165</v>
      </c>
      <c r="L545" s="24" t="s">
        <v>5822</v>
      </c>
      <c r="M545" s="24" t="s">
        <v>5823</v>
      </c>
      <c r="N545" s="23" t="s">
        <v>5824</v>
      </c>
      <c r="O545" s="24" t="s">
        <v>5825</v>
      </c>
      <c r="P545" s="24" t="s">
        <v>5826</v>
      </c>
      <c r="Q545" s="24" t="s">
        <v>5827</v>
      </c>
      <c r="R545" s="24"/>
      <c r="S545" s="24" t="s">
        <v>5817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174</v>
      </c>
      <c r="Y545" s="23" t="s">
        <v>174</v>
      </c>
      <c r="Z545" s="23" t="s">
        <v>174</v>
      </c>
      <c r="AA545" s="23" t="s">
        <v>174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  <c r="AE545" s="24" t="str">
        <f aca="false">M545&amp;" | 마태복음 11장 #"&amp;SUBSTITUTE(안내!$C$5," ","")</f>
        <v>예수님이 초대하신 사람들 | 마태복음 11장 #1분성경</v>
      </c>
      <c r="AF545" s="24" t="s">
        <v>304</v>
      </c>
      <c r="AG545" s="24"/>
      <c r="AH545" s="23" t="s">
        <v>290</v>
      </c>
      <c r="AI545" s="26" t="n">
        <f aca="false">U545-안내!$C$12</f>
        <v>46566</v>
      </c>
      <c r="AJ545" s="23" t="str">
        <f aca="false">IF(U545&lt;IF(C545=1,안내!$C$9,안내!$C$10)+안내!$C$12,"시즌 시작 전 제작","")</f>
        <v>시즌 시작 전 제작</v>
      </c>
      <c r="AK545" s="24"/>
      <c r="AL545" s="27"/>
      <c r="AM545" s="27"/>
      <c r="AN545" s="27"/>
      <c r="AO545" s="27"/>
      <c r="AP545" s="27"/>
      <c r="AQ545" s="23" t="str">
        <f aca="false">D545&amp;"|"&amp;TEXT(U545,"yyyy-mm-dd")</f>
        <v>신약|2027-07-26</v>
      </c>
      <c r="AR545" s="24" t="s">
        <v>5828</v>
      </c>
      <c r="AS545" s="24"/>
    </row>
    <row r="546" customFormat="false" ht="26.85" hidden="false" customHeight="false" outlineLevel="0" collapsed="false">
      <c r="A546" s="23" t="n">
        <v>545</v>
      </c>
      <c r="B546" s="31" t="s">
        <v>5829</v>
      </c>
      <c r="C546" s="23" t="n">
        <v>2</v>
      </c>
      <c r="D546" s="23" t="s">
        <v>5581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1" t="s">
        <v>5753</v>
      </c>
      <c r="H546" s="31" t="s">
        <v>5583</v>
      </c>
      <c r="I546" s="23" t="s">
        <v>5584</v>
      </c>
      <c r="J546" s="24" t="s">
        <v>5830</v>
      </c>
      <c r="K546" s="23" t="s">
        <v>1370</v>
      </c>
      <c r="L546" s="24" t="s">
        <v>5831</v>
      </c>
      <c r="M546" s="24" t="s">
        <v>5832</v>
      </c>
      <c r="N546" s="23" t="s">
        <v>5833</v>
      </c>
      <c r="O546" s="24" t="s">
        <v>5834</v>
      </c>
      <c r="P546" s="24" t="s">
        <v>5835</v>
      </c>
      <c r="Q546" s="24" t="s">
        <v>5836</v>
      </c>
      <c r="R546" s="25" t="s">
        <v>5837</v>
      </c>
      <c r="S546" s="24" t="s">
        <v>5817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174</v>
      </c>
      <c r="Y546" s="23" t="s">
        <v>174</v>
      </c>
      <c r="Z546" s="23" t="s">
        <v>174</v>
      </c>
      <c r="AA546" s="23" t="s">
        <v>174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  <c r="AE546" s="24" t="str">
        <f aca="false">M546&amp;" | 마태복음 12장 #"&amp;SUBSTITUTE(안내!$C$5," ","")</f>
        <v>안식일에 병을 고치면 안 된다고? | 마태복음 12장 #1분성경</v>
      </c>
      <c r="AF546" s="24" t="s">
        <v>304</v>
      </c>
      <c r="AG546" s="24"/>
      <c r="AH546" s="23" t="s">
        <v>176</v>
      </c>
      <c r="AI546" s="26" t="n">
        <f aca="false">U546-안내!$C$12</f>
        <v>46568</v>
      </c>
      <c r="AJ546" s="23" t="str">
        <f aca="false">IF(U546&lt;IF(C546=1,안내!$C$9,안내!$C$10)+안내!$C$12,"시즌 시작 전 제작","")</f>
        <v>시즌 시작 전 제작</v>
      </c>
      <c r="AK546" s="24"/>
      <c r="AL546" s="27"/>
      <c r="AM546" s="27"/>
      <c r="AN546" s="27"/>
      <c r="AO546" s="27"/>
      <c r="AP546" s="27"/>
      <c r="AQ546" s="23" t="str">
        <f aca="false">D546&amp;"|"&amp;TEXT(U546,"yyyy-mm-dd")</f>
        <v>신약|2027-07-28</v>
      </c>
      <c r="AR546" s="24" t="s">
        <v>5838</v>
      </c>
      <c r="AS546" s="24"/>
    </row>
    <row r="547" customFormat="false" ht="52.2" hidden="false" customHeight="false" outlineLevel="0" collapsed="false">
      <c r="A547" s="23" t="n">
        <v>546</v>
      </c>
      <c r="B547" s="31" t="s">
        <v>5839</v>
      </c>
      <c r="C547" s="20" t="n">
        <v>1</v>
      </c>
      <c r="D547" s="20" t="s">
        <v>5581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1" t="s">
        <v>5753</v>
      </c>
      <c r="H547" s="31" t="s">
        <v>5754</v>
      </c>
      <c r="I547" s="23" t="s">
        <v>5584</v>
      </c>
      <c r="J547" s="24" t="s">
        <v>5840</v>
      </c>
      <c r="K547" s="23" t="s">
        <v>165</v>
      </c>
      <c r="L547" s="24" t="s">
        <v>5841</v>
      </c>
      <c r="M547" s="24" t="s">
        <v>5842</v>
      </c>
      <c r="N547" s="23" t="s">
        <v>5843</v>
      </c>
      <c r="O547" s="24" t="s">
        <v>5844</v>
      </c>
      <c r="P547" s="24" t="s">
        <v>5845</v>
      </c>
      <c r="Q547" s="24" t="s">
        <v>5846</v>
      </c>
      <c r="R547" s="25" t="s">
        <v>5847</v>
      </c>
      <c r="S547" s="29" t="s">
        <v>5848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174</v>
      </c>
      <c r="Y547" s="23" t="s">
        <v>174</v>
      </c>
      <c r="Z547" s="23" t="s">
        <v>174</v>
      </c>
      <c r="AA547" s="23" t="s">
        <v>174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  <c r="AE547" s="24" t="str">
        <f aca="false">M547&amp;" | 마태복음 13장 #"&amp;SUBSTITUTE(안내!$C$5," ","")</f>
        <v>같은 씨가 다른 열매를 맺은 이유 | 마태복음 13장 #1분성경</v>
      </c>
      <c r="AF547" s="24" t="s">
        <v>5849</v>
      </c>
      <c r="AG547" s="24"/>
      <c r="AH547" s="23" t="s">
        <v>290</v>
      </c>
      <c r="AI547" s="26" t="n">
        <f aca="false">U547-안내!$C$12</f>
        <v>46388</v>
      </c>
      <c r="AJ547" s="23" t="str">
        <f aca="false">IF(U547&lt;IF(C547=1,안내!$C$9,안내!$C$10)+안내!$C$12,"시즌 시작 전 제작","")</f>
        <v>시즌 시작 전 제작</v>
      </c>
      <c r="AK547" s="24"/>
      <c r="AL547" s="27"/>
      <c r="AM547" s="27"/>
      <c r="AN547" s="27"/>
      <c r="AO547" s="27"/>
      <c r="AP547" s="27"/>
      <c r="AQ547" s="23" t="str">
        <f aca="false">D547&amp;"|"&amp;TEXT(U547,"yyyy-mm-dd")</f>
        <v>신약|2027-01-29</v>
      </c>
      <c r="AR547" s="24" t="s">
        <v>5850</v>
      </c>
      <c r="AS547" s="24"/>
    </row>
    <row r="548" customFormat="false" ht="26.85" hidden="false" customHeight="false" outlineLevel="0" collapsed="false">
      <c r="A548" s="23" t="n">
        <v>547</v>
      </c>
      <c r="B548" s="31" t="s">
        <v>5851</v>
      </c>
      <c r="C548" s="23" t="n">
        <v>2</v>
      </c>
      <c r="D548" s="23" t="s">
        <v>5581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1" t="s">
        <v>5753</v>
      </c>
      <c r="H548" s="31" t="s">
        <v>5583</v>
      </c>
      <c r="I548" s="23" t="s">
        <v>5584</v>
      </c>
      <c r="J548" s="24" t="s">
        <v>5852</v>
      </c>
      <c r="K548" s="23" t="s">
        <v>1370</v>
      </c>
      <c r="L548" s="24" t="s">
        <v>5853</v>
      </c>
      <c r="M548" s="24" t="s">
        <v>5854</v>
      </c>
      <c r="N548" s="23" t="s">
        <v>5855</v>
      </c>
      <c r="O548" s="24" t="s">
        <v>5856</v>
      </c>
      <c r="P548" s="24" t="s">
        <v>5719</v>
      </c>
      <c r="Q548" s="24" t="s">
        <v>5857</v>
      </c>
      <c r="R548" s="25" t="s">
        <v>5858</v>
      </c>
      <c r="S548" s="24" t="s">
        <v>5859</v>
      </c>
      <c r="T548" s="24" t="str">
        <f aca="false">"["&amp;안내!$C$5&amp;" "&amp;F548&amp;"] "&amp;L548&amp;" | "&amp;J548</f>
        <v>[1분 성경 신약 #115] 천국은 마치 | 마 13:24-58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174</v>
      </c>
      <c r="Y548" s="23" t="s">
        <v>174</v>
      </c>
      <c r="Z548" s="23" t="s">
        <v>174</v>
      </c>
      <c r="AA548" s="23" t="s">
        <v>174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  <c r="AE548" s="24" t="str">
        <f aca="false">M548&amp;" | 마태복음 13장 #"&amp;SUBSTITUTE(안내!$C$5," ","")</f>
        <v>밭에 감추인 보화를 발견한 사람 | 마태복음 13장 #1분성경</v>
      </c>
      <c r="AF548" s="24" t="s">
        <v>304</v>
      </c>
      <c r="AG548" s="24"/>
      <c r="AH548" s="23" t="s">
        <v>290</v>
      </c>
      <c r="AI548" s="26" t="n">
        <f aca="false">U548-안내!$C$12</f>
        <v>46570</v>
      </c>
      <c r="AJ548" s="23" t="str">
        <f aca="false">IF(U548&lt;IF(C548=1,안내!$C$9,안내!$C$10)+안내!$C$12,"시즌 시작 전 제작","")</f>
        <v>시즌 시작 전 제작</v>
      </c>
      <c r="AK548" s="24"/>
      <c r="AL548" s="27"/>
      <c r="AM548" s="27"/>
      <c r="AN548" s="27"/>
      <c r="AO548" s="27"/>
      <c r="AP548" s="27"/>
      <c r="AQ548" s="23" t="str">
        <f aca="false">D548&amp;"|"&amp;TEXT(U548,"yyyy-mm-dd")</f>
        <v>신약|2027-07-30</v>
      </c>
      <c r="AR548" s="24" t="s">
        <v>5860</v>
      </c>
      <c r="AS548" s="24"/>
    </row>
    <row r="549" customFormat="false" ht="26.85" hidden="false" customHeight="false" outlineLevel="0" collapsed="false">
      <c r="A549" s="23" t="n">
        <v>548</v>
      </c>
      <c r="B549" s="31" t="s">
        <v>5861</v>
      </c>
      <c r="C549" s="23" t="n">
        <v>2</v>
      </c>
      <c r="D549" s="23" t="s">
        <v>5581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1" t="s">
        <v>5862</v>
      </c>
      <c r="H549" s="31" t="s">
        <v>5863</v>
      </c>
      <c r="I549" s="23" t="s">
        <v>5584</v>
      </c>
      <c r="J549" s="24" t="s">
        <v>5864</v>
      </c>
      <c r="K549" s="23" t="s">
        <v>165</v>
      </c>
      <c r="L549" s="24" t="s">
        <v>5865</v>
      </c>
      <c r="M549" s="24" t="s">
        <v>5866</v>
      </c>
      <c r="N549" s="23" t="s">
        <v>5867</v>
      </c>
      <c r="O549" s="24" t="s">
        <v>5868</v>
      </c>
      <c r="P549" s="24" t="s">
        <v>5869</v>
      </c>
      <c r="Q549" s="24" t="s">
        <v>5870</v>
      </c>
      <c r="R549" s="25" t="s">
        <v>5871</v>
      </c>
      <c r="S549" s="24" t="s">
        <v>5859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174</v>
      </c>
      <c r="Y549" s="23" t="s">
        <v>174</v>
      </c>
      <c r="Z549" s="23" t="s">
        <v>174</v>
      </c>
      <c r="AA549" s="23" t="s">
        <v>174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  <c r="AE549" s="24" t="str">
        <f aca="false">M549&amp;" | 마태복음 14장 #"&amp;SUBSTITUTE(안내!$C$5," ","")</f>
        <v>옳은 말을 하다 감옥에 갇힌 선지자 | 마태복음 14장 #1분성경</v>
      </c>
      <c r="AF549" s="24" t="s">
        <v>304</v>
      </c>
      <c r="AG549" s="24"/>
      <c r="AH549" s="23" t="s">
        <v>290</v>
      </c>
      <c r="AI549" s="26" t="n">
        <f aca="false">U549-안내!$C$12</f>
        <v>46571</v>
      </c>
      <c r="AJ549" s="23" t="str">
        <f aca="false">IF(U549&lt;IF(C549=1,안내!$C$9,안내!$C$10)+안내!$C$12,"시즌 시작 전 제작","")</f>
        <v>시즌 시작 전 제작</v>
      </c>
      <c r="AK549" s="24" t="s">
        <v>5640</v>
      </c>
      <c r="AL549" s="27"/>
      <c r="AM549" s="27"/>
      <c r="AN549" s="27"/>
      <c r="AO549" s="27"/>
      <c r="AP549" s="27"/>
      <c r="AQ549" s="23" t="str">
        <f aca="false">D549&amp;"|"&amp;TEXT(U549,"yyyy-mm-dd")</f>
        <v>신약|2027-07-31</v>
      </c>
      <c r="AR549" s="24" t="s">
        <v>5872</v>
      </c>
      <c r="AS549" s="24"/>
    </row>
    <row r="550" customFormat="false" ht="39.55" hidden="false" customHeight="false" outlineLevel="0" collapsed="false">
      <c r="A550" s="23" t="n">
        <v>549</v>
      </c>
      <c r="B550" s="31" t="s">
        <v>5873</v>
      </c>
      <c r="C550" s="20" t="n">
        <v>1</v>
      </c>
      <c r="D550" s="20" t="s">
        <v>5581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1" t="s">
        <v>5862</v>
      </c>
      <c r="H550" s="31" t="s">
        <v>5754</v>
      </c>
      <c r="I550" s="23" t="s">
        <v>5584</v>
      </c>
      <c r="J550" s="24" t="s">
        <v>5874</v>
      </c>
      <c r="K550" s="23" t="s">
        <v>165</v>
      </c>
      <c r="L550" s="24" t="s">
        <v>5875</v>
      </c>
      <c r="M550" s="24" t="s">
        <v>5876</v>
      </c>
      <c r="N550" s="23" t="s">
        <v>5877</v>
      </c>
      <c r="O550" s="24" t="s">
        <v>5878</v>
      </c>
      <c r="P550" s="24" t="s">
        <v>5684</v>
      </c>
      <c r="Q550" s="24" t="s">
        <v>5879</v>
      </c>
      <c r="R550" s="24"/>
      <c r="S550" s="29" t="s">
        <v>5880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174</v>
      </c>
      <c r="Y550" s="23" t="s">
        <v>174</v>
      </c>
      <c r="Z550" s="23" t="s">
        <v>174</v>
      </c>
      <c r="AA550" s="23" t="s">
        <v>174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  <c r="AE550" s="24" t="str">
        <f aca="false">M550&amp;" | 마태복음 14장 #"&amp;SUBSTITUTE(안내!$C$5," ","")</f>
        <v>빵 다섯 개와 물고기 두 마리 | 마태복음 14장 #1분성경</v>
      </c>
      <c r="AF550" s="24" t="s">
        <v>5881</v>
      </c>
      <c r="AG550" s="24" t="s">
        <v>5882</v>
      </c>
      <c r="AH550" s="23" t="s">
        <v>290</v>
      </c>
      <c r="AI550" s="26" t="n">
        <f aca="false">U550-안내!$C$12</f>
        <v>46389</v>
      </c>
      <c r="AJ550" s="23" t="str">
        <f aca="false">IF(U550&lt;IF(C550=1,안내!$C$9,안내!$C$10)+안내!$C$12,"시즌 시작 전 제작","")</f>
        <v>시즌 시작 전 제작</v>
      </c>
      <c r="AK550" s="24"/>
      <c r="AL550" s="27"/>
      <c r="AM550" s="27"/>
      <c r="AN550" s="27"/>
      <c r="AO550" s="27"/>
      <c r="AP550" s="27"/>
      <c r="AQ550" s="23" t="str">
        <f aca="false">D550&amp;"|"&amp;TEXT(U550,"yyyy-mm-dd")</f>
        <v>신약|2027-01-30</v>
      </c>
      <c r="AR550" s="24" t="s">
        <v>5883</v>
      </c>
      <c r="AS550" s="24"/>
    </row>
    <row r="551" customFormat="false" ht="26.85" hidden="false" customHeight="false" outlineLevel="0" collapsed="false">
      <c r="A551" s="23" t="n">
        <v>550</v>
      </c>
      <c r="B551" s="31" t="s">
        <v>5884</v>
      </c>
      <c r="C551" s="20" t="n">
        <v>1</v>
      </c>
      <c r="D551" s="20" t="s">
        <v>5581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1" t="s">
        <v>5862</v>
      </c>
      <c r="H551" s="31" t="s">
        <v>5754</v>
      </c>
      <c r="I551" s="23" t="s">
        <v>5584</v>
      </c>
      <c r="J551" s="24" t="s">
        <v>5885</v>
      </c>
      <c r="K551" s="23" t="s">
        <v>165</v>
      </c>
      <c r="L551" s="24" t="s">
        <v>5886</v>
      </c>
      <c r="M551" s="24" t="s">
        <v>5887</v>
      </c>
      <c r="N551" s="23" t="s">
        <v>5888</v>
      </c>
      <c r="O551" s="24" t="s">
        <v>5889</v>
      </c>
      <c r="P551" s="24" t="s">
        <v>5890</v>
      </c>
      <c r="Q551" s="24" t="s">
        <v>5891</v>
      </c>
      <c r="R551" s="24"/>
      <c r="S551" s="24" t="s">
        <v>173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174</v>
      </c>
      <c r="Y551" s="23" t="s">
        <v>174</v>
      </c>
      <c r="Z551" s="23" t="s">
        <v>174</v>
      </c>
      <c r="AA551" s="23" t="s">
        <v>174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  <c r="AE551" s="24" t="str">
        <f aca="false">M551&amp;" | 마태복음 14장 #"&amp;SUBSTITUTE(안내!$C$5," ","")</f>
        <v>베드로도 물 위를 걸었다 | 마태복음 14장 #1분성경</v>
      </c>
      <c r="AF551" s="24" t="s">
        <v>5892</v>
      </c>
      <c r="AG551" s="24" t="s">
        <v>5893</v>
      </c>
      <c r="AH551" s="23" t="s">
        <v>290</v>
      </c>
      <c r="AI551" s="26" t="n">
        <f aca="false">U551-안내!$C$12</f>
        <v>46391</v>
      </c>
      <c r="AJ551" s="23" t="str">
        <f aca="false">IF(U551&lt;IF(C551=1,안내!$C$9,안내!$C$10)+안내!$C$12,"시즌 시작 전 제작","")</f>
        <v/>
      </c>
      <c r="AK551" s="24" t="s">
        <v>5675</v>
      </c>
      <c r="AL551" s="27"/>
      <c r="AM551" s="27"/>
      <c r="AN551" s="27"/>
      <c r="AO551" s="27"/>
      <c r="AP551" s="27"/>
      <c r="AQ551" s="23" t="str">
        <f aca="false">D551&amp;"|"&amp;TEXT(U551,"yyyy-mm-dd")</f>
        <v>신약|2027-02-01</v>
      </c>
      <c r="AR551" s="24" t="s">
        <v>5894</v>
      </c>
      <c r="AS551" s="24"/>
    </row>
    <row r="552" customFormat="false" ht="39.55" hidden="false" customHeight="false" outlineLevel="0" collapsed="false">
      <c r="A552" s="23" t="n">
        <v>551</v>
      </c>
      <c r="B552" s="31" t="s">
        <v>5895</v>
      </c>
      <c r="C552" s="23" t="n">
        <v>2</v>
      </c>
      <c r="D552" s="23" t="s">
        <v>5581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1" t="s">
        <v>5862</v>
      </c>
      <c r="H552" s="31" t="s">
        <v>5863</v>
      </c>
      <c r="I552" s="23" t="s">
        <v>5584</v>
      </c>
      <c r="J552" s="24" t="s">
        <v>5896</v>
      </c>
      <c r="K552" s="23" t="s">
        <v>165</v>
      </c>
      <c r="L552" s="24" t="s">
        <v>5897</v>
      </c>
      <c r="M552" s="24" t="s">
        <v>5898</v>
      </c>
      <c r="N552" s="23" t="s">
        <v>5899</v>
      </c>
      <c r="O552" s="24" t="s">
        <v>5900</v>
      </c>
      <c r="P552" s="24" t="s">
        <v>5901</v>
      </c>
      <c r="Q552" s="24" t="s">
        <v>5902</v>
      </c>
      <c r="R552" s="24"/>
      <c r="S552" s="24" t="s">
        <v>5903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174</v>
      </c>
      <c r="Y552" s="23" t="s">
        <v>174</v>
      </c>
      <c r="Z552" s="23" t="s">
        <v>174</v>
      </c>
      <c r="AA552" s="23" t="s">
        <v>174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  <c r="AE552" s="24" t="str">
        <f aca="false">M552&amp;" | 마태복음 15장 #"&amp;SUBSTITUTE(안내!$C$5," ","")</f>
        <v>개들도 부스러기는 먹습니다 | 마태복음 15장 #1분성경</v>
      </c>
      <c r="AF552" s="24" t="s">
        <v>304</v>
      </c>
      <c r="AG552" s="24" t="s">
        <v>5904</v>
      </c>
      <c r="AH552" s="23" t="s">
        <v>290</v>
      </c>
      <c r="AI552" s="26" t="n">
        <f aca="false">U552-안내!$C$12</f>
        <v>46573</v>
      </c>
      <c r="AJ552" s="23" t="str">
        <f aca="false">IF(U552&lt;IF(C552=1,안내!$C$9,안내!$C$10)+안내!$C$12,"시즌 시작 전 제작","")</f>
        <v>시즌 시작 전 제작</v>
      </c>
      <c r="AK552" s="24"/>
      <c r="AL552" s="27"/>
      <c r="AM552" s="27"/>
      <c r="AN552" s="27"/>
      <c r="AO552" s="27"/>
      <c r="AP552" s="27"/>
      <c r="AQ552" s="23" t="str">
        <f aca="false">D552&amp;"|"&amp;TEXT(U552,"yyyy-mm-dd")</f>
        <v>신약|2027-08-02</v>
      </c>
      <c r="AR552" s="24" t="s">
        <v>5905</v>
      </c>
      <c r="AS552" s="24"/>
    </row>
    <row r="553" customFormat="false" ht="39.55" hidden="false" customHeight="false" outlineLevel="0" collapsed="false">
      <c r="A553" s="23" t="n">
        <v>552</v>
      </c>
      <c r="B553" s="31" t="s">
        <v>5906</v>
      </c>
      <c r="C553" s="23" t="n">
        <v>2</v>
      </c>
      <c r="D553" s="23" t="s">
        <v>5581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1" t="s">
        <v>5862</v>
      </c>
      <c r="H553" s="31" t="s">
        <v>5863</v>
      </c>
      <c r="I553" s="23" t="s">
        <v>5584</v>
      </c>
      <c r="J553" s="24" t="s">
        <v>5907</v>
      </c>
      <c r="K553" s="23" t="s">
        <v>165</v>
      </c>
      <c r="L553" s="24" t="s">
        <v>5908</v>
      </c>
      <c r="M553" s="24" t="s">
        <v>5909</v>
      </c>
      <c r="N553" s="23" t="s">
        <v>5910</v>
      </c>
      <c r="O553" s="24" t="s">
        <v>5911</v>
      </c>
      <c r="P553" s="24" t="s">
        <v>5912</v>
      </c>
      <c r="Q553" s="24" t="s">
        <v>5913</v>
      </c>
      <c r="R553" s="24"/>
      <c r="S553" s="24" t="s">
        <v>5903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174</v>
      </c>
      <c r="Y553" s="23" t="s">
        <v>174</v>
      </c>
      <c r="Z553" s="23" t="s">
        <v>174</v>
      </c>
      <c r="AA553" s="23" t="s">
        <v>174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  <c r="AE553" s="24" t="str">
        <f aca="false">M553&amp;" | 마태복음 15~16장 #"&amp;SUBSTITUTE(안내!$C$5," ","")</f>
        <v>다시 한 번 무리를 먹이신 예수님 | 마태복음 15~16장 #1분성경</v>
      </c>
      <c r="AF553" s="24" t="s">
        <v>304</v>
      </c>
      <c r="AG553" s="24" t="s">
        <v>5914</v>
      </c>
      <c r="AH553" s="23" t="s">
        <v>290</v>
      </c>
      <c r="AI553" s="26" t="n">
        <f aca="false">U553-안내!$C$12</f>
        <v>46575</v>
      </c>
      <c r="AJ553" s="23" t="str">
        <f aca="false">IF(U553&lt;IF(C553=1,안내!$C$9,안내!$C$10)+안내!$C$12,"시즌 시작 전 제작","")</f>
        <v>시즌 시작 전 제작</v>
      </c>
      <c r="AK553" s="24"/>
      <c r="AL553" s="27"/>
      <c r="AM553" s="27"/>
      <c r="AN553" s="27"/>
      <c r="AO553" s="27"/>
      <c r="AP553" s="27"/>
      <c r="AQ553" s="23" t="str">
        <f aca="false">D553&amp;"|"&amp;TEXT(U553,"yyyy-mm-dd")</f>
        <v>신약|2027-08-04</v>
      </c>
      <c r="AR553" s="24" t="s">
        <v>5915</v>
      </c>
      <c r="AS553" s="24"/>
    </row>
    <row r="554" customFormat="false" ht="39.55" hidden="false" customHeight="false" outlineLevel="0" collapsed="false">
      <c r="A554" s="23" t="n">
        <v>553</v>
      </c>
      <c r="B554" s="31" t="s">
        <v>5916</v>
      </c>
      <c r="C554" s="20" t="n">
        <v>1</v>
      </c>
      <c r="D554" s="20" t="s">
        <v>5581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1" t="s">
        <v>5862</v>
      </c>
      <c r="H554" s="31" t="s">
        <v>5754</v>
      </c>
      <c r="I554" s="23" t="s">
        <v>5584</v>
      </c>
      <c r="J554" s="24" t="s">
        <v>5917</v>
      </c>
      <c r="K554" s="23" t="s">
        <v>165</v>
      </c>
      <c r="L554" s="24" t="s">
        <v>5918</v>
      </c>
      <c r="M554" s="24" t="s">
        <v>5919</v>
      </c>
      <c r="N554" s="23" t="s">
        <v>5920</v>
      </c>
      <c r="O554" s="24" t="s">
        <v>5921</v>
      </c>
      <c r="P554" s="24" t="s">
        <v>5890</v>
      </c>
      <c r="Q554" s="24" t="s">
        <v>5922</v>
      </c>
      <c r="R554" s="28" t="s">
        <v>5923</v>
      </c>
      <c r="S554" s="29" t="s">
        <v>5924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174</v>
      </c>
      <c r="Y554" s="23" t="s">
        <v>174</v>
      </c>
      <c r="Z554" s="23" t="s">
        <v>174</v>
      </c>
      <c r="AA554" s="23" t="s">
        <v>174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  <c r="AE554" s="24" t="str">
        <f aca="false">M554&amp;" | 마태복음 16장 #"&amp;SUBSTITUTE(안내!$C$5," ","")</f>
        <v>너희는 나를 누구라 하느냐 | 마태복음 16장 #1분성경</v>
      </c>
      <c r="AF554" s="30" t="s">
        <v>5925</v>
      </c>
      <c r="AG554" s="24" t="s">
        <v>5926</v>
      </c>
      <c r="AH554" s="23" t="s">
        <v>290</v>
      </c>
      <c r="AI554" s="26" t="n">
        <f aca="false">U554-안내!$C$12</f>
        <v>46393</v>
      </c>
      <c r="AJ554" s="23" t="str">
        <f aca="false">IF(U554&lt;IF(C554=1,안내!$C$9,안내!$C$10)+안내!$C$12,"시즌 시작 전 제작","")</f>
        <v/>
      </c>
      <c r="AK554" s="24" t="s">
        <v>5675</v>
      </c>
      <c r="AL554" s="27"/>
      <c r="AM554" s="27"/>
      <c r="AN554" s="27"/>
      <c r="AO554" s="27"/>
      <c r="AP554" s="27"/>
      <c r="AQ554" s="23" t="str">
        <f aca="false">D554&amp;"|"&amp;TEXT(U554,"yyyy-mm-dd")</f>
        <v>신약|2027-02-03</v>
      </c>
      <c r="AR554" s="24" t="s">
        <v>5927</v>
      </c>
      <c r="AS554" s="24"/>
    </row>
    <row r="555" customFormat="false" ht="39.55" hidden="false" customHeight="false" outlineLevel="0" collapsed="false">
      <c r="A555" s="23" t="n">
        <v>554</v>
      </c>
      <c r="B555" s="31" t="s">
        <v>5928</v>
      </c>
      <c r="C555" s="20" t="n">
        <v>1</v>
      </c>
      <c r="D555" s="20" t="s">
        <v>5581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1" t="s">
        <v>5862</v>
      </c>
      <c r="H555" s="31" t="s">
        <v>5754</v>
      </c>
      <c r="I555" s="23" t="s">
        <v>5584</v>
      </c>
      <c r="J555" s="24" t="s">
        <v>5929</v>
      </c>
      <c r="K555" s="23" t="s">
        <v>165</v>
      </c>
      <c r="L555" s="24" t="s">
        <v>5930</v>
      </c>
      <c r="M555" s="24" t="s">
        <v>5931</v>
      </c>
      <c r="N555" s="23" t="s">
        <v>5932</v>
      </c>
      <c r="O555" s="24" t="s">
        <v>5933</v>
      </c>
      <c r="P555" s="24" t="s">
        <v>5934</v>
      </c>
      <c r="Q555" s="24" t="s">
        <v>5935</v>
      </c>
      <c r="R555" s="24"/>
      <c r="S555" s="24" t="s">
        <v>173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174</v>
      </c>
      <c r="Y555" s="23" t="s">
        <v>174</v>
      </c>
      <c r="Z555" s="23" t="s">
        <v>174</v>
      </c>
      <c r="AA555" s="23" t="s">
        <v>174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  <c r="AE555" s="24" t="str">
        <f aca="false">M555&amp;" | 마태복음 17장 #"&amp;SUBSTITUTE(안내!$C$5," ","")</f>
        <v>예수님의 얼굴이 해같이 빛났다 | 마태복음 17장 #1분성경</v>
      </c>
      <c r="AF555" s="24" t="s">
        <v>5936</v>
      </c>
      <c r="AG555" s="24" t="s">
        <v>5937</v>
      </c>
      <c r="AH555" s="23" t="s">
        <v>290</v>
      </c>
      <c r="AI555" s="26" t="n">
        <f aca="false">U555-안내!$C$12</f>
        <v>46395</v>
      </c>
      <c r="AJ555" s="23" t="str">
        <f aca="false">IF(U555&lt;IF(C555=1,안내!$C$9,안내!$C$10)+안내!$C$12,"시즌 시작 전 제작","")</f>
        <v/>
      </c>
      <c r="AK555" s="24" t="s">
        <v>5675</v>
      </c>
      <c r="AL555" s="27"/>
      <c r="AM555" s="27"/>
      <c r="AN555" s="27"/>
      <c r="AO555" s="27"/>
      <c r="AP555" s="27"/>
      <c r="AQ555" s="23" t="str">
        <f aca="false">D555&amp;"|"&amp;TEXT(U555,"yyyy-mm-dd")</f>
        <v>신약|2027-02-05</v>
      </c>
      <c r="AR555" s="24" t="s">
        <v>5938</v>
      </c>
      <c r="AS555" s="24"/>
    </row>
    <row r="556" customFormat="false" ht="39.55" hidden="false" customHeight="false" outlineLevel="0" collapsed="false">
      <c r="A556" s="23" t="n">
        <v>555</v>
      </c>
      <c r="B556" s="31" t="s">
        <v>5939</v>
      </c>
      <c r="C556" s="23" t="n">
        <v>2</v>
      </c>
      <c r="D556" s="23" t="s">
        <v>5581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1" t="s">
        <v>5862</v>
      </c>
      <c r="H556" s="31" t="s">
        <v>5863</v>
      </c>
      <c r="I556" s="23" t="s">
        <v>5584</v>
      </c>
      <c r="J556" s="24" t="s">
        <v>5940</v>
      </c>
      <c r="K556" s="23" t="s">
        <v>165</v>
      </c>
      <c r="L556" s="24" t="s">
        <v>5941</v>
      </c>
      <c r="M556" s="24" t="s">
        <v>5942</v>
      </c>
      <c r="N556" s="23" t="s">
        <v>5943</v>
      </c>
      <c r="O556" s="24" t="s">
        <v>5944</v>
      </c>
      <c r="P556" s="24" t="s">
        <v>5945</v>
      </c>
      <c r="Q556" s="24" t="s">
        <v>5946</v>
      </c>
      <c r="R556" s="24"/>
      <c r="S556" s="24" t="s">
        <v>5947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174</v>
      </c>
      <c r="Y556" s="23" t="s">
        <v>174</v>
      </c>
      <c r="Z556" s="23" t="s">
        <v>174</v>
      </c>
      <c r="AA556" s="23" t="s">
        <v>174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  <c r="AE556" s="24" t="str">
        <f aca="false">M556&amp;" | 마태복음 17장 #"&amp;SUBSTITUTE(안내!$C$5," ","")</f>
        <v>믿음이 있으면 산도 옮긴다 | 마태복음 17장 #1분성경</v>
      </c>
      <c r="AF556" s="24" t="s">
        <v>304</v>
      </c>
      <c r="AG556" s="24" t="s">
        <v>5948</v>
      </c>
      <c r="AH556" s="23" t="s">
        <v>290</v>
      </c>
      <c r="AI556" s="26" t="n">
        <f aca="false">U556-안내!$C$12</f>
        <v>46577</v>
      </c>
      <c r="AJ556" s="23" t="str">
        <f aca="false">IF(U556&lt;IF(C556=1,안내!$C$9,안내!$C$10)+안내!$C$12,"시즌 시작 전 제작","")</f>
        <v>시즌 시작 전 제작</v>
      </c>
      <c r="AK556" s="24"/>
      <c r="AL556" s="27"/>
      <c r="AM556" s="27"/>
      <c r="AN556" s="27"/>
      <c r="AO556" s="27"/>
      <c r="AP556" s="27"/>
      <c r="AQ556" s="23" t="str">
        <f aca="false">D556&amp;"|"&amp;TEXT(U556,"yyyy-mm-dd")</f>
        <v>신약|2027-08-06</v>
      </c>
      <c r="AR556" s="24" t="s">
        <v>5949</v>
      </c>
      <c r="AS556" s="24"/>
    </row>
    <row r="557" customFormat="false" ht="26.85" hidden="false" customHeight="false" outlineLevel="0" collapsed="false">
      <c r="A557" s="23" t="n">
        <v>556</v>
      </c>
      <c r="B557" s="31" t="s">
        <v>5950</v>
      </c>
      <c r="C557" s="20" t="n">
        <v>1</v>
      </c>
      <c r="D557" s="20" t="s">
        <v>5581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1" t="s">
        <v>5862</v>
      </c>
      <c r="H557" s="31" t="s">
        <v>5754</v>
      </c>
      <c r="I557" s="23" t="s">
        <v>5584</v>
      </c>
      <c r="J557" s="24" t="s">
        <v>5951</v>
      </c>
      <c r="K557" s="23" t="s">
        <v>165</v>
      </c>
      <c r="L557" s="24" t="s">
        <v>5952</v>
      </c>
      <c r="M557" s="24" t="s">
        <v>5953</v>
      </c>
      <c r="N557" s="23" t="s">
        <v>5954</v>
      </c>
      <c r="O557" s="24" t="s">
        <v>5955</v>
      </c>
      <c r="P557" s="24" t="s">
        <v>5956</v>
      </c>
      <c r="Q557" s="24" t="s">
        <v>5957</v>
      </c>
      <c r="R557" s="24"/>
      <c r="S557" s="29" t="s">
        <v>5958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174</v>
      </c>
      <c r="Y557" s="23" t="s">
        <v>174</v>
      </c>
      <c r="Z557" s="23" t="s">
        <v>174</v>
      </c>
      <c r="AA557" s="23" t="s">
        <v>174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  <c r="AE557" s="24" t="str">
        <f aca="false">M557&amp;" | 마태복음 18장 #"&amp;SUBSTITUTE(안내!$C$5," ","")</f>
        <v>몇 번까지 용서해야 할까요? | 마태복음 18장 #1분성경</v>
      </c>
      <c r="AF557" s="24" t="s">
        <v>5959</v>
      </c>
      <c r="AG557" s="24" t="s">
        <v>5960</v>
      </c>
      <c r="AH557" s="23" t="s">
        <v>176</v>
      </c>
      <c r="AI557" s="26" t="n">
        <f aca="false">U557-안내!$C$12</f>
        <v>46396</v>
      </c>
      <c r="AJ557" s="23" t="str">
        <f aca="false">IF(U557&lt;IF(C557=1,안내!$C$9,안내!$C$10)+안내!$C$12,"시즌 시작 전 제작","")</f>
        <v/>
      </c>
      <c r="AK557" s="24" t="s">
        <v>5675</v>
      </c>
      <c r="AL557" s="27"/>
      <c r="AM557" s="27"/>
      <c r="AN557" s="27"/>
      <c r="AO557" s="27"/>
      <c r="AP557" s="27"/>
      <c r="AQ557" s="23" t="str">
        <f aca="false">D557&amp;"|"&amp;TEXT(U557,"yyyy-mm-dd")</f>
        <v>신약|2027-02-06</v>
      </c>
      <c r="AR557" s="24" t="s">
        <v>5961</v>
      </c>
      <c r="AS557" s="24"/>
    </row>
    <row r="558" customFormat="false" ht="26.85" hidden="false" customHeight="false" outlineLevel="0" collapsed="false">
      <c r="A558" s="23" t="n">
        <v>557</v>
      </c>
      <c r="B558" s="31" t="s">
        <v>5962</v>
      </c>
      <c r="C558" s="20" t="n">
        <v>1</v>
      </c>
      <c r="D558" s="20" t="s">
        <v>5581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1" t="s">
        <v>5862</v>
      </c>
      <c r="H558" s="31" t="s">
        <v>5754</v>
      </c>
      <c r="I558" s="23" t="s">
        <v>5584</v>
      </c>
      <c r="J558" s="24" t="s">
        <v>5963</v>
      </c>
      <c r="K558" s="23" t="s">
        <v>165</v>
      </c>
      <c r="L558" s="24" t="s">
        <v>5964</v>
      </c>
      <c r="M558" s="24" t="s">
        <v>5965</v>
      </c>
      <c r="N558" s="23" t="s">
        <v>5966</v>
      </c>
      <c r="O558" s="24" t="s">
        <v>5967</v>
      </c>
      <c r="P558" s="24" t="s">
        <v>5968</v>
      </c>
      <c r="Q558" s="24" t="s">
        <v>5969</v>
      </c>
      <c r="R558" s="24"/>
      <c r="S558" s="24" t="s">
        <v>173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174</v>
      </c>
      <c r="Y558" s="23" t="s">
        <v>174</v>
      </c>
      <c r="Z558" s="23" t="s">
        <v>174</v>
      </c>
      <c r="AA558" s="23" t="s">
        <v>174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  <c r="AE558" s="24" t="str">
        <f aca="false">M558&amp;" | 마태복음 19장 #"&amp;SUBSTITUTE(안내!$C$5," ","")</f>
        <v>모든 계명을 지켰다는 청년이 슬퍼하며 돌아갔다 | 마태복음 19장 #1분성경</v>
      </c>
      <c r="AF558" s="24" t="s">
        <v>5970</v>
      </c>
      <c r="AG558" s="24"/>
      <c r="AH558" s="23" t="s">
        <v>290</v>
      </c>
      <c r="AI558" s="26" t="n">
        <f aca="false">U558-안내!$C$12</f>
        <v>46398</v>
      </c>
      <c r="AJ558" s="23" t="str">
        <f aca="false">IF(U558&lt;IF(C558=1,안내!$C$9,안내!$C$10)+안내!$C$12,"시즌 시작 전 제작","")</f>
        <v/>
      </c>
      <c r="AK558" s="24"/>
      <c r="AL558" s="27"/>
      <c r="AM558" s="27"/>
      <c r="AN558" s="27"/>
      <c r="AO558" s="27"/>
      <c r="AP558" s="27"/>
      <c r="AQ558" s="23" t="str">
        <f aca="false">D558&amp;"|"&amp;TEXT(U558,"yyyy-mm-dd")</f>
        <v>신약|2027-02-08</v>
      </c>
      <c r="AR558" s="24" t="s">
        <v>5971</v>
      </c>
      <c r="AS558" s="24"/>
    </row>
    <row r="559" customFormat="false" ht="39.55" hidden="false" customHeight="false" outlineLevel="0" collapsed="false">
      <c r="A559" s="23" t="n">
        <v>558</v>
      </c>
      <c r="B559" s="31" t="s">
        <v>5972</v>
      </c>
      <c r="C559" s="23" t="n">
        <v>2</v>
      </c>
      <c r="D559" s="23" t="s">
        <v>5581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1" t="s">
        <v>5862</v>
      </c>
      <c r="H559" s="31" t="s">
        <v>5863</v>
      </c>
      <c r="I559" s="23" t="s">
        <v>5584</v>
      </c>
      <c r="J559" s="24" t="s">
        <v>5973</v>
      </c>
      <c r="K559" s="23" t="s">
        <v>165</v>
      </c>
      <c r="L559" s="24" t="s">
        <v>5974</v>
      </c>
      <c r="M559" s="24" t="s">
        <v>5975</v>
      </c>
      <c r="N559" s="23" t="s">
        <v>5976</v>
      </c>
      <c r="O559" s="24" t="s">
        <v>5977</v>
      </c>
      <c r="P559" s="24" t="s">
        <v>5978</v>
      </c>
      <c r="Q559" s="24" t="s">
        <v>5979</v>
      </c>
      <c r="R559" s="24"/>
      <c r="S559" s="24" t="s">
        <v>5980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174</v>
      </c>
      <c r="Y559" s="23" t="s">
        <v>174</v>
      </c>
      <c r="Z559" s="23" t="s">
        <v>174</v>
      </c>
      <c r="AA559" s="23" t="s">
        <v>174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  <c r="AE559" s="24" t="str">
        <f aca="false">M559&amp;" | 마태복음 20장 #"&amp;SUBSTITUTE(안내!$C$5," ","")</f>
        <v>한 시간 일한 사람도 같은 품삯을? | 마태복음 20장 #1분성경</v>
      </c>
      <c r="AF559" s="24" t="s">
        <v>304</v>
      </c>
      <c r="AG559" s="24"/>
      <c r="AH559" s="23" t="s">
        <v>176</v>
      </c>
      <c r="AI559" s="26" t="n">
        <f aca="false">U559-안내!$C$12</f>
        <v>46578</v>
      </c>
      <c r="AJ559" s="23" t="str">
        <f aca="false">IF(U559&lt;IF(C559=1,안내!$C$9,안내!$C$10)+안내!$C$12,"시즌 시작 전 제작","")</f>
        <v>시즌 시작 전 제작</v>
      </c>
      <c r="AK559" s="24"/>
      <c r="AL559" s="27"/>
      <c r="AM559" s="27"/>
      <c r="AN559" s="27"/>
      <c r="AO559" s="27"/>
      <c r="AP559" s="27"/>
      <c r="AQ559" s="23" t="str">
        <f aca="false">D559&amp;"|"&amp;TEXT(U559,"yyyy-mm-dd")</f>
        <v>신약|2027-08-07</v>
      </c>
      <c r="AR559" s="24" t="s">
        <v>5981</v>
      </c>
      <c r="AS559" s="24"/>
    </row>
    <row r="560" customFormat="false" ht="39.55" hidden="false" customHeight="false" outlineLevel="0" collapsed="false">
      <c r="A560" s="23" t="n">
        <v>559</v>
      </c>
      <c r="B560" s="31" t="s">
        <v>5982</v>
      </c>
      <c r="C560" s="20" t="n">
        <v>1</v>
      </c>
      <c r="D560" s="20" t="s">
        <v>5581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1" t="s">
        <v>5983</v>
      </c>
      <c r="H560" s="31" t="s">
        <v>5984</v>
      </c>
      <c r="I560" s="23" t="s">
        <v>5584</v>
      </c>
      <c r="J560" s="24" t="s">
        <v>5985</v>
      </c>
      <c r="K560" s="23" t="s">
        <v>165</v>
      </c>
      <c r="L560" s="24" t="s">
        <v>5986</v>
      </c>
      <c r="M560" s="24" t="s">
        <v>5987</v>
      </c>
      <c r="N560" s="23" t="s">
        <v>5988</v>
      </c>
      <c r="O560" s="24" t="s">
        <v>5989</v>
      </c>
      <c r="P560" s="24" t="s">
        <v>5684</v>
      </c>
      <c r="Q560" s="24" t="s">
        <v>5990</v>
      </c>
      <c r="R560" s="24"/>
      <c r="S560" s="29" t="s">
        <v>5991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174</v>
      </c>
      <c r="Y560" s="23" t="s">
        <v>174</v>
      </c>
      <c r="Z560" s="23" t="s">
        <v>174</v>
      </c>
      <c r="AA560" s="23" t="s">
        <v>174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  <c r="AE560" s="24" t="str">
        <f aca="false">M560&amp;" | 마태복음 21장 #"&amp;SUBSTITUTE(안내!$C$5," ","")</f>
        <v>나귀를 타고 들어오신 왕 | 마태복음 21장 #1분성경</v>
      </c>
      <c r="AF560" s="24" t="s">
        <v>5992</v>
      </c>
      <c r="AG560" s="24"/>
      <c r="AH560" s="23" t="s">
        <v>290</v>
      </c>
      <c r="AI560" s="26" t="n">
        <f aca="false">U560-안내!$C$12</f>
        <v>46400</v>
      </c>
      <c r="AJ560" s="23" t="str">
        <f aca="false">IF(U560&lt;IF(C560=1,안내!$C$9,안내!$C$10)+안내!$C$12,"시즌 시작 전 제작","")</f>
        <v/>
      </c>
      <c r="AK560" s="24"/>
      <c r="AL560" s="27"/>
      <c r="AM560" s="27"/>
      <c r="AN560" s="27"/>
      <c r="AO560" s="27"/>
      <c r="AP560" s="27"/>
      <c r="AQ560" s="23" t="str">
        <f aca="false">D560&amp;"|"&amp;TEXT(U560,"yyyy-mm-dd")</f>
        <v>신약|2027-02-10</v>
      </c>
      <c r="AR560" s="24" t="s">
        <v>5993</v>
      </c>
      <c r="AS560" s="24"/>
    </row>
    <row r="561" customFormat="false" ht="39.55" hidden="false" customHeight="false" outlineLevel="0" collapsed="false">
      <c r="A561" s="23" t="n">
        <v>560</v>
      </c>
      <c r="B561" s="31" t="s">
        <v>5994</v>
      </c>
      <c r="C561" s="23" t="n">
        <v>2</v>
      </c>
      <c r="D561" s="23" t="s">
        <v>5581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1" t="s">
        <v>5983</v>
      </c>
      <c r="H561" s="31" t="s">
        <v>5863</v>
      </c>
      <c r="I561" s="23" t="s">
        <v>5584</v>
      </c>
      <c r="J561" s="24" t="s">
        <v>5995</v>
      </c>
      <c r="K561" s="23" t="s">
        <v>165</v>
      </c>
      <c r="L561" s="24" t="s">
        <v>5996</v>
      </c>
      <c r="M561" s="24" t="s">
        <v>5997</v>
      </c>
      <c r="N561" s="23" t="s">
        <v>5998</v>
      </c>
      <c r="O561" s="24" t="s">
        <v>5999</v>
      </c>
      <c r="P561" s="24" t="s">
        <v>6000</v>
      </c>
      <c r="Q561" s="24" t="s">
        <v>3006</v>
      </c>
      <c r="R561" s="24"/>
      <c r="S561" s="24" t="s">
        <v>6001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174</v>
      </c>
      <c r="Y561" s="23" t="s">
        <v>174</v>
      </c>
      <c r="Z561" s="23" t="s">
        <v>174</v>
      </c>
      <c r="AA561" s="23" t="s">
        <v>174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  <c r="AE561" s="24" t="str">
        <f aca="false">M561&amp;" | 마태복음 21장 #"&amp;SUBSTITUTE(안내!$C$5," ","")</f>
        <v>포도원 농부들이 주인의 아들을 죽였다 | 마태복음 21장 #1분성경</v>
      </c>
      <c r="AF561" s="24" t="s">
        <v>304</v>
      </c>
      <c r="AG561" s="24" t="s">
        <v>6002</v>
      </c>
      <c r="AH561" s="23" t="s">
        <v>290</v>
      </c>
      <c r="AI561" s="26" t="n">
        <f aca="false">U561-안내!$C$12</f>
        <v>46580</v>
      </c>
      <c r="AJ561" s="23" t="str">
        <f aca="false">IF(U561&lt;IF(C561=1,안내!$C$9,안내!$C$10)+안내!$C$12,"시즌 시작 전 제작","")</f>
        <v/>
      </c>
      <c r="AK561" s="24"/>
      <c r="AL561" s="27"/>
      <c r="AM561" s="27"/>
      <c r="AN561" s="27"/>
      <c r="AO561" s="27"/>
      <c r="AP561" s="27"/>
      <c r="AQ561" s="23" t="str">
        <f aca="false">D561&amp;"|"&amp;TEXT(U561,"yyyy-mm-dd")</f>
        <v>신약|2027-08-09</v>
      </c>
      <c r="AR561" s="24" t="s">
        <v>6003</v>
      </c>
      <c r="AS561" s="24"/>
    </row>
    <row r="562" customFormat="false" ht="26.85" hidden="false" customHeight="false" outlineLevel="0" collapsed="false">
      <c r="A562" s="23" t="n">
        <v>561</v>
      </c>
      <c r="B562" s="31" t="s">
        <v>6004</v>
      </c>
      <c r="C562" s="23" t="n">
        <v>2</v>
      </c>
      <c r="D562" s="23" t="s">
        <v>5581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1" t="s">
        <v>5983</v>
      </c>
      <c r="H562" s="31" t="s">
        <v>5863</v>
      </c>
      <c r="I562" s="23" t="s">
        <v>5584</v>
      </c>
      <c r="J562" s="24" t="s">
        <v>6005</v>
      </c>
      <c r="K562" s="23" t="s">
        <v>165</v>
      </c>
      <c r="L562" s="24" t="s">
        <v>6006</v>
      </c>
      <c r="M562" s="24" t="s">
        <v>6007</v>
      </c>
      <c r="N562" s="23" t="s">
        <v>6008</v>
      </c>
      <c r="O562" s="24" t="s">
        <v>6009</v>
      </c>
      <c r="P562" s="24" t="s">
        <v>6010</v>
      </c>
      <c r="Q562" s="24" t="s">
        <v>3006</v>
      </c>
      <c r="R562" s="24"/>
      <c r="S562" s="24" t="s">
        <v>6001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174</v>
      </c>
      <c r="Y562" s="23" t="s">
        <v>174</v>
      </c>
      <c r="Z562" s="23" t="s">
        <v>174</v>
      </c>
      <c r="AA562" s="23" t="s">
        <v>174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  <c r="AE562" s="24" t="str">
        <f aca="false">M562&amp;" | 마태복음 22장 #"&amp;SUBSTITUTE(안내!$C$5," ","")</f>
        <v>어떤 계명이 가장 클까요? | 마태복음 22장 #1분성경</v>
      </c>
      <c r="AF562" s="24" t="s">
        <v>304</v>
      </c>
      <c r="AG562" s="24" t="s">
        <v>6011</v>
      </c>
      <c r="AH562" s="23" t="s">
        <v>176</v>
      </c>
      <c r="AI562" s="26" t="n">
        <f aca="false">U562-안내!$C$12</f>
        <v>46582</v>
      </c>
      <c r="AJ562" s="23" t="str">
        <f aca="false">IF(U562&lt;IF(C562=1,안내!$C$9,안내!$C$10)+안내!$C$12,"시즌 시작 전 제작","")</f>
        <v/>
      </c>
      <c r="AK562" s="24"/>
      <c r="AL562" s="27"/>
      <c r="AM562" s="27"/>
      <c r="AN562" s="27"/>
      <c r="AO562" s="27"/>
      <c r="AP562" s="27"/>
      <c r="AQ562" s="23" t="str">
        <f aca="false">D562&amp;"|"&amp;TEXT(U562,"yyyy-mm-dd")</f>
        <v>신약|2027-08-11</v>
      </c>
      <c r="AR562" s="24" t="s">
        <v>6012</v>
      </c>
      <c r="AS562" s="24"/>
    </row>
    <row r="563" customFormat="false" ht="39.55" hidden="false" customHeight="false" outlineLevel="0" collapsed="false">
      <c r="A563" s="23" t="n">
        <v>562</v>
      </c>
      <c r="B563" s="31" t="s">
        <v>6013</v>
      </c>
      <c r="C563" s="23" t="n">
        <v>2</v>
      </c>
      <c r="D563" s="23" t="s">
        <v>5581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1" t="s">
        <v>5983</v>
      </c>
      <c r="H563" s="31" t="s">
        <v>5863</v>
      </c>
      <c r="I563" s="23" t="s">
        <v>5584</v>
      </c>
      <c r="J563" s="24" t="s">
        <v>6014</v>
      </c>
      <c r="K563" s="23" t="s">
        <v>165</v>
      </c>
      <c r="L563" s="24" t="s">
        <v>6015</v>
      </c>
      <c r="M563" s="24" t="s">
        <v>6016</v>
      </c>
      <c r="N563" s="23" t="s">
        <v>6017</v>
      </c>
      <c r="O563" s="24" t="s">
        <v>6018</v>
      </c>
      <c r="P563" s="24" t="s">
        <v>6019</v>
      </c>
      <c r="Q563" s="24" t="s">
        <v>6020</v>
      </c>
      <c r="R563" s="24"/>
      <c r="S563" s="24" t="s">
        <v>6001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174</v>
      </c>
      <c r="Y563" s="23" t="s">
        <v>174</v>
      </c>
      <c r="Z563" s="23" t="s">
        <v>174</v>
      </c>
      <c r="AA563" s="23" t="s">
        <v>174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  <c r="AE563" s="24" t="str">
        <f aca="false">M563&amp;" | 마태복음 23장 #"&amp;SUBSTITUTE(안내!$C$5," ","")</f>
        <v>위선자들에게 하신 일곱 번의 경고 | 마태복음 23장 #1분성경</v>
      </c>
      <c r="AF563" s="24" t="s">
        <v>304</v>
      </c>
      <c r="AG563" s="24" t="s">
        <v>6021</v>
      </c>
      <c r="AH563" s="23" t="s">
        <v>290</v>
      </c>
      <c r="AI563" s="26" t="n">
        <f aca="false">U563-안내!$C$12</f>
        <v>46584</v>
      </c>
      <c r="AJ563" s="23" t="str">
        <f aca="false">IF(U563&lt;IF(C563=1,안내!$C$9,안내!$C$10)+안내!$C$12,"시즌 시작 전 제작","")</f>
        <v/>
      </c>
      <c r="AK563" s="24"/>
      <c r="AL563" s="27"/>
      <c r="AM563" s="27"/>
      <c r="AN563" s="27"/>
      <c r="AO563" s="27"/>
      <c r="AP563" s="27"/>
      <c r="AQ563" s="23" t="str">
        <f aca="false">D563&amp;"|"&amp;TEXT(U563,"yyyy-mm-dd")</f>
        <v>신약|2027-08-13</v>
      </c>
      <c r="AR563" s="24" t="s">
        <v>6022</v>
      </c>
      <c r="AS563" s="24"/>
    </row>
    <row r="564" customFormat="false" ht="26.85" hidden="false" customHeight="false" outlineLevel="0" collapsed="false">
      <c r="A564" s="23" t="n">
        <v>563</v>
      </c>
      <c r="B564" s="31" t="s">
        <v>6023</v>
      </c>
      <c r="C564" s="23" t="n">
        <v>2</v>
      </c>
      <c r="D564" s="23" t="s">
        <v>5581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1" t="s">
        <v>5983</v>
      </c>
      <c r="H564" s="31" t="s">
        <v>5863</v>
      </c>
      <c r="I564" s="23" t="s">
        <v>5584</v>
      </c>
      <c r="J564" s="24" t="s">
        <v>6024</v>
      </c>
      <c r="K564" s="23" t="s">
        <v>165</v>
      </c>
      <c r="L564" s="24" t="s">
        <v>6025</v>
      </c>
      <c r="M564" s="24" t="s">
        <v>6026</v>
      </c>
      <c r="N564" s="23" t="s">
        <v>6027</v>
      </c>
      <c r="O564" s="24" t="s">
        <v>6028</v>
      </c>
      <c r="P564" s="24" t="s">
        <v>5719</v>
      </c>
      <c r="Q564" s="24" t="s">
        <v>6029</v>
      </c>
      <c r="R564" s="25" t="s">
        <v>6030</v>
      </c>
      <c r="S564" s="24" t="s">
        <v>6001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174</v>
      </c>
      <c r="Y564" s="23" t="s">
        <v>174</v>
      </c>
      <c r="Z564" s="23" t="s">
        <v>174</v>
      </c>
      <c r="AA564" s="23" t="s">
        <v>174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  <c r="AE564" s="24" t="str">
        <f aca="false">M564&amp;" | 마태복음 24장 #"&amp;SUBSTITUTE(안내!$C$5," ","")</f>
        <v>성전이 무너지리라 | 마태복음 24장 #1분성경</v>
      </c>
      <c r="AF564" s="24" t="s">
        <v>304</v>
      </c>
      <c r="AG564" s="24" t="s">
        <v>6031</v>
      </c>
      <c r="AH564" s="23" t="s">
        <v>290</v>
      </c>
      <c r="AI564" s="26" t="n">
        <f aca="false">U564-안내!$C$12</f>
        <v>46585</v>
      </c>
      <c r="AJ564" s="23" t="str">
        <f aca="false">IF(U564&lt;IF(C564=1,안내!$C$9,안내!$C$10)+안내!$C$12,"시즌 시작 전 제작","")</f>
        <v/>
      </c>
      <c r="AK564" s="24"/>
      <c r="AL564" s="27"/>
      <c r="AM564" s="27"/>
      <c r="AN564" s="27"/>
      <c r="AO564" s="27"/>
      <c r="AP564" s="27"/>
      <c r="AQ564" s="23" t="str">
        <f aca="false">D564&amp;"|"&amp;TEXT(U564,"yyyy-mm-dd")</f>
        <v>신약|2027-08-14</v>
      </c>
      <c r="AR564" s="24" t="s">
        <v>6032</v>
      </c>
      <c r="AS564" s="24"/>
    </row>
    <row r="565" customFormat="false" ht="26.85" hidden="false" customHeight="false" outlineLevel="0" collapsed="false">
      <c r="A565" s="23" t="n">
        <v>564</v>
      </c>
      <c r="B565" s="31" t="s">
        <v>6033</v>
      </c>
      <c r="C565" s="23" t="n">
        <v>2</v>
      </c>
      <c r="D565" s="23" t="s">
        <v>5581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1" t="s">
        <v>5983</v>
      </c>
      <c r="H565" s="31" t="s">
        <v>5863</v>
      </c>
      <c r="I565" s="23" t="s">
        <v>5584</v>
      </c>
      <c r="J565" s="24" t="s">
        <v>6034</v>
      </c>
      <c r="K565" s="23" t="s">
        <v>165</v>
      </c>
      <c r="L565" s="24" t="s">
        <v>6035</v>
      </c>
      <c r="M565" s="24" t="s">
        <v>6036</v>
      </c>
      <c r="N565" s="23" t="s">
        <v>6037</v>
      </c>
      <c r="O565" s="24" t="s">
        <v>6038</v>
      </c>
      <c r="P565" s="24" t="s">
        <v>5719</v>
      </c>
      <c r="Q565" s="24" t="s">
        <v>6039</v>
      </c>
      <c r="R565" s="25" t="s">
        <v>6040</v>
      </c>
      <c r="S565" s="24" t="s">
        <v>6001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174</v>
      </c>
      <c r="Y565" s="23" t="s">
        <v>174</v>
      </c>
      <c r="Z565" s="23" t="s">
        <v>174</v>
      </c>
      <c r="AA565" s="23" t="s">
        <v>174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  <c r="AE565" s="24" t="str">
        <f aca="false">M565&amp;" | 마태복음 24장 #"&amp;SUBSTITUTE(안내!$C$5," ","")</f>
        <v>아무도 모르는 날 | 마태복음 24장 #1분성경</v>
      </c>
      <c r="AF565" s="24" t="s">
        <v>304</v>
      </c>
      <c r="AG565" s="24"/>
      <c r="AH565" s="23" t="s">
        <v>290</v>
      </c>
      <c r="AI565" s="26" t="n">
        <f aca="false">U565-안내!$C$12</f>
        <v>46587</v>
      </c>
      <c r="AJ565" s="23" t="str">
        <f aca="false">IF(U565&lt;IF(C565=1,안내!$C$9,안내!$C$10)+안내!$C$12,"시즌 시작 전 제작","")</f>
        <v/>
      </c>
      <c r="AK565" s="24"/>
      <c r="AL565" s="27"/>
      <c r="AM565" s="27"/>
      <c r="AN565" s="27"/>
      <c r="AO565" s="27"/>
      <c r="AP565" s="27"/>
      <c r="AQ565" s="23" t="str">
        <f aca="false">D565&amp;"|"&amp;TEXT(U565,"yyyy-mm-dd")</f>
        <v>신약|2027-08-16</v>
      </c>
      <c r="AR565" s="24" t="s">
        <v>6041</v>
      </c>
      <c r="AS565" s="24"/>
    </row>
    <row r="566" customFormat="false" ht="52.2" hidden="false" customHeight="false" outlineLevel="0" collapsed="false">
      <c r="A566" s="23" t="n">
        <v>565</v>
      </c>
      <c r="B566" s="31" t="s">
        <v>6042</v>
      </c>
      <c r="C566" s="20" t="n">
        <v>1</v>
      </c>
      <c r="D566" s="20" t="s">
        <v>5581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1" t="s">
        <v>5983</v>
      </c>
      <c r="H566" s="31" t="s">
        <v>5984</v>
      </c>
      <c r="I566" s="23" t="s">
        <v>5584</v>
      </c>
      <c r="J566" s="24" t="s">
        <v>6043</v>
      </c>
      <c r="K566" s="23" t="s">
        <v>165</v>
      </c>
      <c r="L566" s="24" t="s">
        <v>6044</v>
      </c>
      <c r="M566" s="24" t="s">
        <v>6045</v>
      </c>
      <c r="N566" s="23" t="s">
        <v>6046</v>
      </c>
      <c r="O566" s="24" t="s">
        <v>6047</v>
      </c>
      <c r="P566" s="24" t="s">
        <v>6048</v>
      </c>
      <c r="Q566" s="24" t="s">
        <v>6049</v>
      </c>
      <c r="R566" s="25" t="s">
        <v>6050</v>
      </c>
      <c r="S566" s="29" t="s">
        <v>6051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174</v>
      </c>
      <c r="Y566" s="23" t="s">
        <v>174</v>
      </c>
      <c r="Z566" s="23" t="s">
        <v>174</v>
      </c>
      <c r="AA566" s="23" t="s">
        <v>174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  <c r="AE566" s="24" t="str">
        <f aca="false">M566&amp;" | 마태복음 25장 #"&amp;SUBSTITUTE(안내!$C$5," ","")</f>
        <v>기름을 준비한 다섯, 준비하지 못한 다섯 | 마태복음 25장 #1분성경</v>
      </c>
      <c r="AF566" s="24" t="s">
        <v>6052</v>
      </c>
      <c r="AG566" s="24"/>
      <c r="AH566" s="23" t="s">
        <v>290</v>
      </c>
      <c r="AI566" s="26" t="n">
        <f aca="false">U566-안내!$C$12</f>
        <v>46402</v>
      </c>
      <c r="AJ566" s="23" t="str">
        <f aca="false">IF(U566&lt;IF(C566=1,안내!$C$9,안내!$C$10)+안내!$C$12,"시즌 시작 전 제작","")</f>
        <v/>
      </c>
      <c r="AK566" s="24"/>
      <c r="AL566" s="27"/>
      <c r="AM566" s="27"/>
      <c r="AN566" s="27"/>
      <c r="AO566" s="27"/>
      <c r="AP566" s="27"/>
      <c r="AQ566" s="23" t="str">
        <f aca="false">D566&amp;"|"&amp;TEXT(U566,"yyyy-mm-dd")</f>
        <v>신약|2027-02-12</v>
      </c>
      <c r="AR566" s="24" t="s">
        <v>6053</v>
      </c>
      <c r="AS566" s="24"/>
    </row>
    <row r="567" customFormat="false" ht="39.55" hidden="false" customHeight="false" outlineLevel="0" collapsed="false">
      <c r="A567" s="23" t="n">
        <v>566</v>
      </c>
      <c r="B567" s="31" t="s">
        <v>6054</v>
      </c>
      <c r="C567" s="20" t="n">
        <v>1</v>
      </c>
      <c r="D567" s="20" t="s">
        <v>5581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1" t="s">
        <v>5983</v>
      </c>
      <c r="H567" s="31" t="s">
        <v>5984</v>
      </c>
      <c r="I567" s="23" t="s">
        <v>5584</v>
      </c>
      <c r="J567" s="24" t="s">
        <v>6055</v>
      </c>
      <c r="K567" s="23" t="s">
        <v>165</v>
      </c>
      <c r="L567" s="24" t="s">
        <v>6056</v>
      </c>
      <c r="M567" s="24" t="s">
        <v>6057</v>
      </c>
      <c r="N567" s="23" t="s">
        <v>6058</v>
      </c>
      <c r="O567" s="24" t="s">
        <v>6059</v>
      </c>
      <c r="P567" s="24" t="s">
        <v>6060</v>
      </c>
      <c r="Q567" s="24" t="s">
        <v>6061</v>
      </c>
      <c r="R567" s="24"/>
      <c r="S567" s="24" t="s">
        <v>173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174</v>
      </c>
      <c r="Y567" s="23" t="s">
        <v>174</v>
      </c>
      <c r="Z567" s="23" t="s">
        <v>174</v>
      </c>
      <c r="AA567" s="23" t="s">
        <v>174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  <c r="AE567" s="24" t="str">
        <f aca="false">M567&amp;" | 마태복음 25장 #"&amp;SUBSTITUTE(안내!$C$5," ","")</f>
        <v>한 달란트를 땅에 묻은 종 | 마태복음 25장 #1분성경</v>
      </c>
      <c r="AF567" s="24" t="s">
        <v>6062</v>
      </c>
      <c r="AG567" s="24"/>
      <c r="AH567" s="23" t="s">
        <v>290</v>
      </c>
      <c r="AI567" s="26" t="n">
        <f aca="false">U567-안내!$C$12</f>
        <v>46403</v>
      </c>
      <c r="AJ567" s="23" t="str">
        <f aca="false">IF(U567&lt;IF(C567=1,안내!$C$9,안내!$C$10)+안내!$C$12,"시즌 시작 전 제작","")</f>
        <v/>
      </c>
      <c r="AK567" s="24"/>
      <c r="AL567" s="27"/>
      <c r="AM567" s="27"/>
      <c r="AN567" s="27"/>
      <c r="AO567" s="27"/>
      <c r="AP567" s="27"/>
      <c r="AQ567" s="23" t="str">
        <f aca="false">D567&amp;"|"&amp;TEXT(U567,"yyyy-mm-dd")</f>
        <v>신약|2027-02-13</v>
      </c>
      <c r="AR567" s="24" t="s">
        <v>6063</v>
      </c>
      <c r="AS567" s="24"/>
    </row>
    <row r="568" customFormat="false" ht="26.85" hidden="false" customHeight="false" outlineLevel="0" collapsed="false">
      <c r="A568" s="23" t="n">
        <v>567</v>
      </c>
      <c r="B568" s="31" t="s">
        <v>6064</v>
      </c>
      <c r="C568" s="23" t="n">
        <v>2</v>
      </c>
      <c r="D568" s="23" t="s">
        <v>5581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1" t="s">
        <v>5983</v>
      </c>
      <c r="H568" s="31" t="s">
        <v>5863</v>
      </c>
      <c r="I568" s="23" t="s">
        <v>5584</v>
      </c>
      <c r="J568" s="24" t="s">
        <v>6065</v>
      </c>
      <c r="K568" s="23" t="s">
        <v>165</v>
      </c>
      <c r="L568" s="24" t="s">
        <v>6066</v>
      </c>
      <c r="M568" s="24" t="s">
        <v>6067</v>
      </c>
      <c r="N568" s="23" t="s">
        <v>6068</v>
      </c>
      <c r="O568" s="24" t="s">
        <v>6069</v>
      </c>
      <c r="P568" s="24" t="s">
        <v>6070</v>
      </c>
      <c r="Q568" s="24" t="s">
        <v>6071</v>
      </c>
      <c r="R568" s="25" t="s">
        <v>6072</v>
      </c>
      <c r="S568" s="24" t="s">
        <v>6073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174</v>
      </c>
      <c r="Y568" s="23" t="s">
        <v>174</v>
      </c>
      <c r="Z568" s="23" t="s">
        <v>174</v>
      </c>
      <c r="AA568" s="23" t="s">
        <v>174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  <c r="AE568" s="24" t="str">
        <f aca="false">M568&amp;" | 마태복음 25장 #"&amp;SUBSTITUTE(안내!$C$5," ","")</f>
        <v>지극히 작은 자 하나에게 한 것이 | 마태복음 25장 #1분성경</v>
      </c>
      <c r="AF568" s="24" t="s">
        <v>304</v>
      </c>
      <c r="AG568" s="24"/>
      <c r="AH568" s="23" t="s">
        <v>290</v>
      </c>
      <c r="AI568" s="26" t="n">
        <f aca="false">U568-안내!$C$12</f>
        <v>46589</v>
      </c>
      <c r="AJ568" s="23" t="str">
        <f aca="false">IF(U568&lt;IF(C568=1,안내!$C$9,안내!$C$10)+안내!$C$12,"시즌 시작 전 제작","")</f>
        <v/>
      </c>
      <c r="AK568" s="24"/>
      <c r="AL568" s="27"/>
      <c r="AM568" s="27"/>
      <c r="AN568" s="27"/>
      <c r="AO568" s="27"/>
      <c r="AP568" s="27"/>
      <c r="AQ568" s="23" t="str">
        <f aca="false">D568&amp;"|"&amp;TEXT(U568,"yyyy-mm-dd")</f>
        <v>신약|2027-08-18</v>
      </c>
      <c r="AR568" s="24" t="s">
        <v>6074</v>
      </c>
      <c r="AS568" s="24"/>
    </row>
    <row r="569" customFormat="false" ht="26.85" hidden="false" customHeight="false" outlineLevel="0" collapsed="false">
      <c r="A569" s="23" t="n">
        <v>568</v>
      </c>
      <c r="B569" s="31" t="s">
        <v>6075</v>
      </c>
      <c r="C569" s="23" t="n">
        <v>2</v>
      </c>
      <c r="D569" s="23" t="s">
        <v>5581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1" t="s">
        <v>6076</v>
      </c>
      <c r="H569" s="31" t="s">
        <v>6077</v>
      </c>
      <c r="I569" s="23" t="s">
        <v>5584</v>
      </c>
      <c r="J569" s="24" t="s">
        <v>6078</v>
      </c>
      <c r="K569" s="23" t="s">
        <v>165</v>
      </c>
      <c r="L569" s="24" t="s">
        <v>6079</v>
      </c>
      <c r="M569" s="30" t="s">
        <v>6080</v>
      </c>
      <c r="N569" s="23" t="s">
        <v>6081</v>
      </c>
      <c r="O569" s="24" t="s">
        <v>6082</v>
      </c>
      <c r="P569" s="24" t="s">
        <v>6083</v>
      </c>
      <c r="Q569" s="24" t="s">
        <v>6084</v>
      </c>
      <c r="R569" s="24"/>
      <c r="S569" s="24" t="s">
        <v>6073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174</v>
      </c>
      <c r="Y569" s="23" t="s">
        <v>174</v>
      </c>
      <c r="Z569" s="23" t="s">
        <v>174</v>
      </c>
      <c r="AA569" s="23" t="s">
        <v>174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  <c r="AE569" s="24" t="str">
        <f aca="false">M569&amp;" | 마태복음 26장 #"&amp;SUBSTITUTE(안내!$C$5," ","")</f>
        <v>300 데나리온 향유를 붓다 | 마태복음 26장 #1분성경</v>
      </c>
      <c r="AF569" s="24" t="s">
        <v>304</v>
      </c>
      <c r="AG569" s="24"/>
      <c r="AH569" s="23" t="s">
        <v>360</v>
      </c>
      <c r="AI569" s="26" t="n">
        <f aca="false">U569-안내!$C$12</f>
        <v>46591</v>
      </c>
      <c r="AJ569" s="23" t="str">
        <f aca="false">IF(U569&lt;IF(C569=1,안내!$C$9,안내!$C$10)+안내!$C$12,"시즌 시작 전 제작","")</f>
        <v/>
      </c>
      <c r="AK569" s="24"/>
      <c r="AL569" s="27"/>
      <c r="AM569" s="27"/>
      <c r="AN569" s="27"/>
      <c r="AO569" s="27"/>
      <c r="AP569" s="27"/>
      <c r="AQ569" s="23" t="str">
        <f aca="false">D569&amp;"|"&amp;TEXT(U569,"yyyy-mm-dd")</f>
        <v>신약|2027-08-20</v>
      </c>
      <c r="AR569" s="24" t="s">
        <v>6085</v>
      </c>
      <c r="AS569" s="24"/>
    </row>
    <row r="570" customFormat="false" ht="39.55" hidden="false" customHeight="false" outlineLevel="0" collapsed="false">
      <c r="A570" s="23" t="n">
        <v>569</v>
      </c>
      <c r="B570" s="31" t="s">
        <v>6086</v>
      </c>
      <c r="C570" s="20" t="n">
        <v>1</v>
      </c>
      <c r="D570" s="20" t="s">
        <v>5581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1" t="s">
        <v>6076</v>
      </c>
      <c r="H570" s="31" t="s">
        <v>5984</v>
      </c>
      <c r="I570" s="23" t="s">
        <v>5584</v>
      </c>
      <c r="J570" s="24" t="s">
        <v>6087</v>
      </c>
      <c r="K570" s="23" t="s">
        <v>165</v>
      </c>
      <c r="L570" s="24" t="s">
        <v>6088</v>
      </c>
      <c r="M570" s="24" t="s">
        <v>6089</v>
      </c>
      <c r="N570" s="23" t="s">
        <v>6090</v>
      </c>
      <c r="O570" s="24" t="s">
        <v>6091</v>
      </c>
      <c r="P570" s="24" t="s">
        <v>5815</v>
      </c>
      <c r="Q570" s="24" t="s">
        <v>6092</v>
      </c>
      <c r="R570" s="25" t="s">
        <v>6093</v>
      </c>
      <c r="S570" s="29" t="s">
        <v>6094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174</v>
      </c>
      <c r="Y570" s="23" t="s">
        <v>174</v>
      </c>
      <c r="Z570" s="23" t="s">
        <v>174</v>
      </c>
      <c r="AA570" s="23" t="s">
        <v>174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  <c r="AE570" s="24" t="str">
        <f aca="false">M570&amp;" | 마태복음 26장 #"&amp;SUBSTITUTE(안내!$C$5," ","")</f>
        <v>이것은 나의 몸, 이것은 나의 피 | 마태복음 26장 #1분성경</v>
      </c>
      <c r="AF570" s="24" t="s">
        <v>6095</v>
      </c>
      <c r="AG570" s="24" t="s">
        <v>6096</v>
      </c>
      <c r="AH570" s="23" t="s">
        <v>290</v>
      </c>
      <c r="AI570" s="26" t="n">
        <f aca="false">U570-안내!$C$12</f>
        <v>46405</v>
      </c>
      <c r="AJ570" s="23" t="str">
        <f aca="false">IF(U570&lt;IF(C570=1,안내!$C$9,안내!$C$10)+안내!$C$12,"시즌 시작 전 제작","")</f>
        <v/>
      </c>
      <c r="AK570" s="24"/>
      <c r="AL570" s="27"/>
      <c r="AM570" s="27"/>
      <c r="AN570" s="27"/>
      <c r="AO570" s="27"/>
      <c r="AP570" s="27"/>
      <c r="AQ570" s="23" t="str">
        <f aca="false">D570&amp;"|"&amp;TEXT(U570,"yyyy-mm-dd")</f>
        <v>신약|2027-02-15</v>
      </c>
      <c r="AR570" s="24" t="s">
        <v>6097</v>
      </c>
      <c r="AS570" s="24"/>
    </row>
    <row r="571" customFormat="false" ht="39.55" hidden="false" customHeight="false" outlineLevel="0" collapsed="false">
      <c r="A571" s="23" t="n">
        <v>570</v>
      </c>
      <c r="B571" s="31" t="s">
        <v>6098</v>
      </c>
      <c r="C571" s="20" t="n">
        <v>1</v>
      </c>
      <c r="D571" s="20" t="s">
        <v>5581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1" t="s">
        <v>6076</v>
      </c>
      <c r="H571" s="31" t="s">
        <v>5984</v>
      </c>
      <c r="I571" s="23" t="s">
        <v>5584</v>
      </c>
      <c r="J571" s="24" t="s">
        <v>6099</v>
      </c>
      <c r="K571" s="23" t="s">
        <v>165</v>
      </c>
      <c r="L571" s="24" t="s">
        <v>6100</v>
      </c>
      <c r="M571" s="24" t="s">
        <v>6101</v>
      </c>
      <c r="N571" s="23" t="s">
        <v>6102</v>
      </c>
      <c r="O571" s="24" t="s">
        <v>6103</v>
      </c>
      <c r="P571" s="24" t="s">
        <v>6104</v>
      </c>
      <c r="Q571" s="24" t="s">
        <v>6105</v>
      </c>
      <c r="R571" s="24"/>
      <c r="S571" s="24" t="s">
        <v>173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174</v>
      </c>
      <c r="Y571" s="23" t="s">
        <v>174</v>
      </c>
      <c r="Z571" s="23" t="s">
        <v>174</v>
      </c>
      <c r="AA571" s="23" t="s">
        <v>174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  <c r="AE571" s="24" t="str">
        <f aca="false">M571&amp;" | 마태복음 26장 #"&amp;SUBSTITUTE(안내!$C$5," ","")</f>
        <v>내 뜻대로 마시고 아버지의 원대로 | 마태복음 26장 #1분성경</v>
      </c>
      <c r="AF571" s="24" t="s">
        <v>6106</v>
      </c>
      <c r="AG571" s="24" t="s">
        <v>6107</v>
      </c>
      <c r="AH571" s="23" t="s">
        <v>290</v>
      </c>
      <c r="AI571" s="26" t="n">
        <f aca="false">U571-안내!$C$12</f>
        <v>46407</v>
      </c>
      <c r="AJ571" s="23" t="str">
        <f aca="false">IF(U571&lt;IF(C571=1,안내!$C$9,안내!$C$10)+안내!$C$12,"시즌 시작 전 제작","")</f>
        <v/>
      </c>
      <c r="AK571" s="24" t="s">
        <v>5675</v>
      </c>
      <c r="AL571" s="27"/>
      <c r="AM571" s="27"/>
      <c r="AN571" s="27"/>
      <c r="AO571" s="27"/>
      <c r="AP571" s="27"/>
      <c r="AQ571" s="23" t="str">
        <f aca="false">D571&amp;"|"&amp;TEXT(U571,"yyyy-mm-dd")</f>
        <v>신약|2027-02-17</v>
      </c>
      <c r="AR571" s="24" t="s">
        <v>6108</v>
      </c>
      <c r="AS571" s="24"/>
    </row>
    <row r="572" customFormat="false" ht="26.85" hidden="false" customHeight="false" outlineLevel="0" collapsed="false">
      <c r="A572" s="23" t="n">
        <v>571</v>
      </c>
      <c r="B572" s="31" t="s">
        <v>6109</v>
      </c>
      <c r="C572" s="20" t="n">
        <v>1</v>
      </c>
      <c r="D572" s="20" t="s">
        <v>5581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1" t="s">
        <v>6076</v>
      </c>
      <c r="H572" s="31" t="s">
        <v>5984</v>
      </c>
      <c r="I572" s="23" t="s">
        <v>5584</v>
      </c>
      <c r="J572" s="24" t="s">
        <v>6110</v>
      </c>
      <c r="K572" s="23" t="s">
        <v>165</v>
      </c>
      <c r="L572" s="24" t="s">
        <v>6111</v>
      </c>
      <c r="M572" s="24" t="s">
        <v>6112</v>
      </c>
      <c r="N572" s="23" t="s">
        <v>6113</v>
      </c>
      <c r="O572" s="24" t="s">
        <v>6114</v>
      </c>
      <c r="P572" s="24" t="s">
        <v>6115</v>
      </c>
      <c r="Q572" s="24" t="s">
        <v>6116</v>
      </c>
      <c r="R572" s="24"/>
      <c r="S572" s="24" t="s">
        <v>173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174</v>
      </c>
      <c r="Y572" s="23" t="s">
        <v>174</v>
      </c>
      <c r="Z572" s="23" t="s">
        <v>174</v>
      </c>
      <c r="AA572" s="23" t="s">
        <v>174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  <c r="AE572" s="24" t="str">
        <f aca="false">M572&amp;" | 마태복음 26장 #"&amp;SUBSTITUTE(안내!$C$5," ","")</f>
        <v>세 번 부인한 베드로 | 마태복음 26장 #1분성경</v>
      </c>
      <c r="AF572" s="24" t="s">
        <v>6117</v>
      </c>
      <c r="AG572" s="24" t="s">
        <v>6118</v>
      </c>
      <c r="AH572" s="23" t="s">
        <v>290</v>
      </c>
      <c r="AI572" s="26" t="n">
        <f aca="false">U572-안내!$C$12</f>
        <v>46409</v>
      </c>
      <c r="AJ572" s="23" t="str">
        <f aca="false">IF(U572&lt;IF(C572=1,안내!$C$9,안내!$C$10)+안내!$C$12,"시즌 시작 전 제작","")</f>
        <v/>
      </c>
      <c r="AK572" s="24" t="s">
        <v>5675</v>
      </c>
      <c r="AL572" s="27"/>
      <c r="AM572" s="27"/>
      <c r="AN572" s="27"/>
      <c r="AO572" s="27"/>
      <c r="AP572" s="27"/>
      <c r="AQ572" s="23" t="str">
        <f aca="false">D572&amp;"|"&amp;TEXT(U572,"yyyy-mm-dd")</f>
        <v>신약|2027-02-19</v>
      </c>
      <c r="AR572" s="24" t="s">
        <v>6119</v>
      </c>
      <c r="AS572" s="24"/>
    </row>
    <row r="573" customFormat="false" ht="26.85" hidden="false" customHeight="false" outlineLevel="0" collapsed="false">
      <c r="A573" s="23" t="n">
        <v>572</v>
      </c>
      <c r="B573" s="31" t="s">
        <v>6120</v>
      </c>
      <c r="C573" s="20" t="n">
        <v>1</v>
      </c>
      <c r="D573" s="20" t="s">
        <v>5581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1" t="s">
        <v>6076</v>
      </c>
      <c r="H573" s="31" t="s">
        <v>5984</v>
      </c>
      <c r="I573" s="23" t="s">
        <v>5584</v>
      </c>
      <c r="J573" s="24" t="s">
        <v>6121</v>
      </c>
      <c r="K573" s="23" t="s">
        <v>165</v>
      </c>
      <c r="L573" s="24" t="s">
        <v>6122</v>
      </c>
      <c r="M573" s="24" t="s">
        <v>6123</v>
      </c>
      <c r="N573" s="23" t="s">
        <v>6124</v>
      </c>
      <c r="O573" s="24" t="s">
        <v>6125</v>
      </c>
      <c r="P573" s="24" t="s">
        <v>6126</v>
      </c>
      <c r="Q573" s="24" t="s">
        <v>6127</v>
      </c>
      <c r="R573" s="25" t="s">
        <v>6128</v>
      </c>
      <c r="S573" s="24" t="s">
        <v>173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174</v>
      </c>
      <c r="Y573" s="23" t="s">
        <v>174</v>
      </c>
      <c r="Z573" s="23" t="s">
        <v>174</v>
      </c>
      <c r="AA573" s="23" t="s">
        <v>174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  <c r="AE573" s="24" t="str">
        <f aca="false">M573&amp;" | 마태복음 27장 #"&amp;SUBSTITUTE(안내!$C$5," ","")</f>
        <v>바라바냐 예수냐 | 마태복음 27장 #1분성경</v>
      </c>
      <c r="AF573" s="30" t="s">
        <v>6129</v>
      </c>
      <c r="AG573" s="24" t="s">
        <v>6130</v>
      </c>
      <c r="AH573" s="23" t="s">
        <v>290</v>
      </c>
      <c r="AI573" s="26" t="n">
        <f aca="false">U573-안내!$C$12</f>
        <v>46410</v>
      </c>
      <c r="AJ573" s="23" t="str">
        <f aca="false">IF(U573&lt;IF(C573=1,안내!$C$9,안내!$C$10)+안내!$C$12,"시즌 시작 전 제작","")</f>
        <v/>
      </c>
      <c r="AK573" s="24"/>
      <c r="AL573" s="27"/>
      <c r="AM573" s="27"/>
      <c r="AN573" s="27"/>
      <c r="AO573" s="27"/>
      <c r="AP573" s="27"/>
      <c r="AQ573" s="23" t="str">
        <f aca="false">D573&amp;"|"&amp;TEXT(U573,"yyyy-mm-dd")</f>
        <v>신약|2027-02-20</v>
      </c>
      <c r="AR573" s="24" t="s">
        <v>6131</v>
      </c>
      <c r="AS573" s="24"/>
    </row>
    <row r="574" customFormat="false" ht="39.55" hidden="false" customHeight="false" outlineLevel="0" collapsed="false">
      <c r="A574" s="23" t="n">
        <v>573</v>
      </c>
      <c r="B574" s="31" t="s">
        <v>6132</v>
      </c>
      <c r="C574" s="20" t="n">
        <v>1</v>
      </c>
      <c r="D574" s="20" t="s">
        <v>5581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1" t="s">
        <v>6076</v>
      </c>
      <c r="H574" s="31" t="s">
        <v>5984</v>
      </c>
      <c r="I574" s="23" t="s">
        <v>5584</v>
      </c>
      <c r="J574" s="24" t="s">
        <v>6133</v>
      </c>
      <c r="K574" s="23" t="s">
        <v>165</v>
      </c>
      <c r="L574" s="24" t="s">
        <v>6134</v>
      </c>
      <c r="M574" s="24" t="s">
        <v>6135</v>
      </c>
      <c r="N574" s="23" t="s">
        <v>6136</v>
      </c>
      <c r="O574" s="24" t="s">
        <v>6137</v>
      </c>
      <c r="P574" s="24" t="s">
        <v>6138</v>
      </c>
      <c r="Q574" s="24" t="s">
        <v>6139</v>
      </c>
      <c r="R574" s="25" t="s">
        <v>6140</v>
      </c>
      <c r="S574" s="24" t="s">
        <v>173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174</v>
      </c>
      <c r="Y574" s="23" t="s">
        <v>174</v>
      </c>
      <c r="Z574" s="23" t="s">
        <v>174</v>
      </c>
      <c r="AA574" s="23" t="s">
        <v>174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  <c r="AE574" s="24" t="str">
        <f aca="false">M574&amp;" | 마태복음 27장 #"&amp;SUBSTITUTE(안내!$C$5," ","")</f>
        <v>나의 하나님 나의 하나님 어찌하여 | 마태복음 27장 #1분성경</v>
      </c>
      <c r="AF574" s="24" t="s">
        <v>6141</v>
      </c>
      <c r="AG574" s="24" t="s">
        <v>6142</v>
      </c>
      <c r="AH574" s="23" t="s">
        <v>290</v>
      </c>
      <c r="AI574" s="26" t="n">
        <f aca="false">U574-안내!$C$12</f>
        <v>46412</v>
      </c>
      <c r="AJ574" s="23" t="str">
        <f aca="false">IF(U574&lt;IF(C574=1,안내!$C$9,안내!$C$10)+안내!$C$12,"시즌 시작 전 제작","")</f>
        <v/>
      </c>
      <c r="AK574" s="24"/>
      <c r="AL574" s="27"/>
      <c r="AM574" s="27"/>
      <c r="AN574" s="27"/>
      <c r="AO574" s="27"/>
      <c r="AP574" s="27"/>
      <c r="AQ574" s="23" t="str">
        <f aca="false">D574&amp;"|"&amp;TEXT(U574,"yyyy-mm-dd")</f>
        <v>신약|2027-02-22</v>
      </c>
      <c r="AR574" s="24" t="s">
        <v>6143</v>
      </c>
      <c r="AS574" s="24"/>
    </row>
    <row r="575" customFormat="false" ht="26.85" hidden="false" customHeight="false" outlineLevel="0" collapsed="false">
      <c r="A575" s="23" t="n">
        <v>574</v>
      </c>
      <c r="B575" s="31" t="s">
        <v>6144</v>
      </c>
      <c r="C575" s="20" t="n">
        <v>1</v>
      </c>
      <c r="D575" s="20" t="s">
        <v>5581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1" t="s">
        <v>6076</v>
      </c>
      <c r="H575" s="31" t="s">
        <v>5984</v>
      </c>
      <c r="I575" s="23" t="s">
        <v>5584</v>
      </c>
      <c r="J575" s="24" t="s">
        <v>6145</v>
      </c>
      <c r="K575" s="23" t="s">
        <v>165</v>
      </c>
      <c r="L575" s="24" t="s">
        <v>6146</v>
      </c>
      <c r="M575" s="24" t="s">
        <v>6147</v>
      </c>
      <c r="N575" s="23" t="s">
        <v>6148</v>
      </c>
      <c r="O575" s="24" t="s">
        <v>6149</v>
      </c>
      <c r="P575" s="24" t="s">
        <v>6150</v>
      </c>
      <c r="Q575" s="24" t="s">
        <v>6151</v>
      </c>
      <c r="R575" s="24"/>
      <c r="S575" s="24" t="s">
        <v>173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174</v>
      </c>
      <c r="Y575" s="23" t="s">
        <v>174</v>
      </c>
      <c r="Z575" s="23" t="s">
        <v>174</v>
      </c>
      <c r="AA575" s="23" t="s">
        <v>174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  <c r="AE575" s="24" t="str">
        <f aca="false">M575&amp;" | 마태복음 27장 #"&amp;SUBSTITUTE(안내!$C$5," ","")</f>
        <v>큰 돌로 막고 봉인한 무덤 | 마태복음 27장 #1분성경</v>
      </c>
      <c r="AF575" s="24" t="s">
        <v>6152</v>
      </c>
      <c r="AG575" s="24"/>
      <c r="AH575" s="23" t="s">
        <v>290</v>
      </c>
      <c r="AI575" s="26" t="n">
        <f aca="false">U575-안내!$C$12</f>
        <v>46414</v>
      </c>
      <c r="AJ575" s="23" t="str">
        <f aca="false">IF(U575&lt;IF(C575=1,안내!$C$9,안내!$C$10)+안내!$C$12,"시즌 시작 전 제작","")</f>
        <v/>
      </c>
      <c r="AK575" s="24"/>
      <c r="AL575" s="27"/>
      <c r="AM575" s="27"/>
      <c r="AN575" s="27"/>
      <c r="AO575" s="27"/>
      <c r="AP575" s="27"/>
      <c r="AQ575" s="23" t="str">
        <f aca="false">D575&amp;"|"&amp;TEXT(U575,"yyyy-mm-dd")</f>
        <v>신약|2027-02-24</v>
      </c>
      <c r="AR575" s="24" t="s">
        <v>6153</v>
      </c>
      <c r="AS575" s="24"/>
    </row>
    <row r="576" customFormat="false" ht="26.85" hidden="false" customHeight="false" outlineLevel="0" collapsed="false">
      <c r="A576" s="23" t="n">
        <v>575</v>
      </c>
      <c r="B576" s="31" t="s">
        <v>6154</v>
      </c>
      <c r="C576" s="20" t="n">
        <v>1</v>
      </c>
      <c r="D576" s="20" t="s">
        <v>5581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1" t="s">
        <v>6076</v>
      </c>
      <c r="H576" s="31" t="s">
        <v>5984</v>
      </c>
      <c r="I576" s="23" t="s">
        <v>5584</v>
      </c>
      <c r="J576" s="24" t="s">
        <v>6155</v>
      </c>
      <c r="K576" s="23" t="s">
        <v>165</v>
      </c>
      <c r="L576" s="24" t="s">
        <v>6156</v>
      </c>
      <c r="M576" s="24" t="s">
        <v>6157</v>
      </c>
      <c r="N576" s="23" t="s">
        <v>6158</v>
      </c>
      <c r="O576" s="24" t="s">
        <v>6159</v>
      </c>
      <c r="P576" s="24" t="s">
        <v>6160</v>
      </c>
      <c r="Q576" s="24" t="s">
        <v>6161</v>
      </c>
      <c r="R576" s="24"/>
      <c r="S576" s="24" t="s">
        <v>173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174</v>
      </c>
      <c r="Y576" s="23" t="s">
        <v>174</v>
      </c>
      <c r="Z576" s="23" t="s">
        <v>174</v>
      </c>
      <c r="AA576" s="23" t="s">
        <v>174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  <c r="AE576" s="24" t="str">
        <f aca="false">M576&amp;" | 마태복음 28장 #"&amp;SUBSTITUTE(안내!$C$5," ","")</f>
        <v>그가 여기 계시지 않고 살아나셨느니라 | 마태복음 28장 #1분성경</v>
      </c>
      <c r="AF576" s="24" t="s">
        <v>6162</v>
      </c>
      <c r="AG576" s="24" t="s">
        <v>6163</v>
      </c>
      <c r="AH576" s="23" t="s">
        <v>290</v>
      </c>
      <c r="AI576" s="26" t="n">
        <f aca="false">U576-안내!$C$12</f>
        <v>46416</v>
      </c>
      <c r="AJ576" s="23" t="str">
        <f aca="false">IF(U576&lt;IF(C576=1,안내!$C$9,안내!$C$10)+안내!$C$12,"시즌 시작 전 제작","")</f>
        <v/>
      </c>
      <c r="AK576" s="24"/>
      <c r="AL576" s="27"/>
      <c r="AM576" s="27"/>
      <c r="AN576" s="27"/>
      <c r="AO576" s="27"/>
      <c r="AP576" s="27"/>
      <c r="AQ576" s="23" t="str">
        <f aca="false">D576&amp;"|"&amp;TEXT(U576,"yyyy-mm-dd")</f>
        <v>신약|2027-02-26</v>
      </c>
      <c r="AR576" s="24" t="s">
        <v>6164</v>
      </c>
      <c r="AS576" s="24"/>
    </row>
    <row r="577" customFormat="false" ht="26.85" hidden="false" customHeight="false" outlineLevel="0" collapsed="false">
      <c r="A577" s="23" t="n">
        <v>576</v>
      </c>
      <c r="B577" s="31" t="s">
        <v>6165</v>
      </c>
      <c r="C577" s="20" t="n">
        <v>1</v>
      </c>
      <c r="D577" s="20" t="s">
        <v>5581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1" t="s">
        <v>6076</v>
      </c>
      <c r="H577" s="31" t="s">
        <v>5984</v>
      </c>
      <c r="I577" s="23" t="s">
        <v>5584</v>
      </c>
      <c r="J577" s="24" t="s">
        <v>6166</v>
      </c>
      <c r="K577" s="23" t="s">
        <v>165</v>
      </c>
      <c r="L577" s="24" t="s">
        <v>6167</v>
      </c>
      <c r="M577" s="24" t="s">
        <v>6168</v>
      </c>
      <c r="N577" s="23" t="s">
        <v>6169</v>
      </c>
      <c r="O577" s="24" t="s">
        <v>6170</v>
      </c>
      <c r="P577" s="24" t="s">
        <v>6171</v>
      </c>
      <c r="Q577" s="24" t="s">
        <v>5913</v>
      </c>
      <c r="R577" s="24"/>
      <c r="S577" s="24" t="s">
        <v>173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174</v>
      </c>
      <c r="Y577" s="23" t="s">
        <v>174</v>
      </c>
      <c r="Z577" s="23" t="s">
        <v>174</v>
      </c>
      <c r="AA577" s="23" t="s">
        <v>174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  <c r="AE577" s="24" t="str">
        <f aca="false">M577&amp;" | 마태복음 28장 #"&amp;SUBSTITUTE(안내!$C$5," ","")</f>
        <v>부활하신 예수님의 마지막 명령 | 마태복음 28장 #1분성경</v>
      </c>
      <c r="AF577" s="24" t="s">
        <v>6172</v>
      </c>
      <c r="AG577" s="24"/>
      <c r="AH577" s="23" t="s">
        <v>290</v>
      </c>
      <c r="AI577" s="26" t="n">
        <f aca="false">U577-안내!$C$12</f>
        <v>46417</v>
      </c>
      <c r="AJ577" s="23" t="str">
        <f aca="false">IF(U577&lt;IF(C577=1,안내!$C$9,안내!$C$10)+안내!$C$12,"시즌 시작 전 제작","")</f>
        <v/>
      </c>
      <c r="AK577" s="24"/>
      <c r="AL577" s="27"/>
      <c r="AM577" s="27"/>
      <c r="AN577" s="27"/>
      <c r="AO577" s="27"/>
      <c r="AP577" s="27"/>
      <c r="AQ577" s="23" t="str">
        <f aca="false">D577&amp;"|"&amp;TEXT(U577,"yyyy-mm-dd")</f>
        <v>신약|2027-02-27</v>
      </c>
      <c r="AR577" s="24" t="s">
        <v>6173</v>
      </c>
      <c r="AS577" s="24"/>
    </row>
    <row r="578" customFormat="false" ht="26.85" hidden="false" customHeight="false" outlineLevel="0" collapsed="false">
      <c r="A578" s="23" t="n">
        <v>577</v>
      </c>
      <c r="B578" s="31" t="s">
        <v>6174</v>
      </c>
      <c r="C578" s="23" t="n">
        <v>2</v>
      </c>
      <c r="D578" s="23" t="s">
        <v>5581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1" t="s">
        <v>6175</v>
      </c>
      <c r="H578" s="31" t="s">
        <v>6077</v>
      </c>
      <c r="I578" s="23" t="s">
        <v>6176</v>
      </c>
      <c r="J578" s="24" t="s">
        <v>6177</v>
      </c>
      <c r="K578" s="23" t="s">
        <v>165</v>
      </c>
      <c r="L578" s="24" t="s">
        <v>6178</v>
      </c>
      <c r="M578" s="24" t="s">
        <v>6179</v>
      </c>
      <c r="N578" s="23" t="s">
        <v>6180</v>
      </c>
      <c r="O578" s="24" t="s">
        <v>6181</v>
      </c>
      <c r="P578" s="24" t="s">
        <v>6182</v>
      </c>
      <c r="Q578" s="24" t="s">
        <v>6183</v>
      </c>
      <c r="R578" s="24"/>
      <c r="S578" s="24" t="s">
        <v>6184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174</v>
      </c>
      <c r="Y578" s="23" t="s">
        <v>174</v>
      </c>
      <c r="Z578" s="23" t="s">
        <v>174</v>
      </c>
      <c r="AA578" s="23" t="s">
        <v>174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  <c r="AE578" s="24" t="str">
        <f aca="false">M578&amp;" | 마가복음 1장 #"&amp;SUBSTITUTE(안내!$C$5," ","")</f>
        <v>가장 짧은 복음서의 첫 문장 | 마가복음 1장 #1분성경</v>
      </c>
      <c r="AF578" s="24" t="s">
        <v>304</v>
      </c>
      <c r="AG578" s="24" t="s">
        <v>6185</v>
      </c>
      <c r="AH578" s="23" t="s">
        <v>290</v>
      </c>
      <c r="AI578" s="26" t="n">
        <f aca="false">U578-안내!$C$12</f>
        <v>46592</v>
      </c>
      <c r="AJ578" s="23" t="str">
        <f aca="false">IF(U578&lt;IF(C578=1,안내!$C$9,안내!$C$10)+안내!$C$12,"시즌 시작 전 제작","")</f>
        <v/>
      </c>
      <c r="AK578" s="24" t="s">
        <v>5640</v>
      </c>
      <c r="AL578" s="27"/>
      <c r="AM578" s="27"/>
      <c r="AN578" s="27"/>
      <c r="AO578" s="27"/>
      <c r="AP578" s="27"/>
      <c r="AQ578" s="23" t="str">
        <f aca="false">D578&amp;"|"&amp;TEXT(U578,"yyyy-mm-dd")</f>
        <v>신약|2027-08-21</v>
      </c>
      <c r="AR578" s="24" t="s">
        <v>6186</v>
      </c>
      <c r="AS578" s="24"/>
    </row>
    <row r="579" customFormat="false" ht="26.85" hidden="false" customHeight="false" outlineLevel="0" collapsed="false">
      <c r="A579" s="23" t="n">
        <v>578</v>
      </c>
      <c r="B579" s="31" t="s">
        <v>6187</v>
      </c>
      <c r="C579" s="23" t="n">
        <v>2</v>
      </c>
      <c r="D579" s="23" t="s">
        <v>5581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1" t="s">
        <v>6175</v>
      </c>
      <c r="H579" s="31" t="s">
        <v>6077</v>
      </c>
      <c r="I579" s="23" t="s">
        <v>6176</v>
      </c>
      <c r="J579" s="24" t="s">
        <v>6188</v>
      </c>
      <c r="K579" s="23" t="s">
        <v>165</v>
      </c>
      <c r="L579" s="24" t="s">
        <v>6189</v>
      </c>
      <c r="M579" s="24" t="s">
        <v>6190</v>
      </c>
      <c r="N579" s="23" t="s">
        <v>6191</v>
      </c>
      <c r="O579" s="24" t="s">
        <v>6192</v>
      </c>
      <c r="P579" s="24" t="s">
        <v>6193</v>
      </c>
      <c r="Q579" s="24" t="s">
        <v>6194</v>
      </c>
      <c r="R579" s="24"/>
      <c r="S579" s="24" t="s">
        <v>6184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174</v>
      </c>
      <c r="Y579" s="23" t="s">
        <v>174</v>
      </c>
      <c r="Z579" s="23" t="s">
        <v>174</v>
      </c>
      <c r="AA579" s="23" t="s">
        <v>174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  <c r="AE579" s="24" t="str">
        <f aca="false">M579&amp;" | 마가복음 1장 #"&amp;SUBSTITUTE(안내!$C$5," ","")</f>
        <v>하루 종일 사람을 고치신 뒤 새벽에 하신 일 | 마가복음 1장 #1분성경</v>
      </c>
      <c r="AF579" s="24" t="s">
        <v>304</v>
      </c>
      <c r="AG579" s="24" t="s">
        <v>6195</v>
      </c>
      <c r="AH579" s="23" t="s">
        <v>290</v>
      </c>
      <c r="AI579" s="26" t="n">
        <f aca="false">U579-안내!$C$12</f>
        <v>46594</v>
      </c>
      <c r="AJ579" s="23" t="str">
        <f aca="false">IF(U579&lt;IF(C579=1,안내!$C$9,안내!$C$10)+안내!$C$12,"시즌 시작 전 제작","")</f>
        <v/>
      </c>
      <c r="AK579" s="24"/>
      <c r="AL579" s="27"/>
      <c r="AM579" s="27"/>
      <c r="AN579" s="27"/>
      <c r="AO579" s="27"/>
      <c r="AP579" s="27"/>
      <c r="AQ579" s="23" t="str">
        <f aca="false">D579&amp;"|"&amp;TEXT(U579,"yyyy-mm-dd")</f>
        <v>신약|2027-08-23</v>
      </c>
      <c r="AR579" s="24" t="s">
        <v>6196</v>
      </c>
      <c r="AS579" s="24"/>
    </row>
    <row r="580" customFormat="false" ht="39.55" hidden="false" customHeight="false" outlineLevel="0" collapsed="false">
      <c r="A580" s="23" t="n">
        <v>579</v>
      </c>
      <c r="B580" s="31" t="s">
        <v>6197</v>
      </c>
      <c r="C580" s="20" t="n">
        <v>1</v>
      </c>
      <c r="D580" s="20" t="s">
        <v>5581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1" t="s">
        <v>6175</v>
      </c>
      <c r="H580" s="31" t="s">
        <v>6198</v>
      </c>
      <c r="I580" s="23" t="s">
        <v>6176</v>
      </c>
      <c r="J580" s="24" t="s">
        <v>6199</v>
      </c>
      <c r="K580" s="23" t="s">
        <v>165</v>
      </c>
      <c r="L580" s="24" t="s">
        <v>6200</v>
      </c>
      <c r="M580" s="24" t="s">
        <v>6201</v>
      </c>
      <c r="N580" s="23" t="s">
        <v>6202</v>
      </c>
      <c r="O580" s="24" t="s">
        <v>6203</v>
      </c>
      <c r="P580" s="24" t="s">
        <v>6204</v>
      </c>
      <c r="Q580" s="24" t="s">
        <v>6205</v>
      </c>
      <c r="R580" s="24"/>
      <c r="S580" s="29" t="s">
        <v>6206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174</v>
      </c>
      <c r="Y580" s="23" t="s">
        <v>174</v>
      </c>
      <c r="Z580" s="23" t="s">
        <v>174</v>
      </c>
      <c r="AA580" s="23" t="s">
        <v>174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  <c r="AE580" s="24" t="str">
        <f aca="false">M580&amp;" | 마가복음 2장 #"&amp;SUBSTITUTE(안내!$C$5," ","")</f>
        <v>지붕을 뜯고 친구를 내려보냈다 | 마가복음 2장 #1분성경</v>
      </c>
      <c r="AF580" s="24" t="s">
        <v>6207</v>
      </c>
      <c r="AG580" s="24" t="s">
        <v>6208</v>
      </c>
      <c r="AH580" s="23" t="s">
        <v>290</v>
      </c>
      <c r="AI580" s="26" t="n">
        <f aca="false">U580-안내!$C$12</f>
        <v>46419</v>
      </c>
      <c r="AJ580" s="23" t="str">
        <f aca="false">IF(U580&lt;IF(C580=1,안내!$C$9,안내!$C$10)+안내!$C$12,"시즌 시작 전 제작","")</f>
        <v/>
      </c>
      <c r="AK580" s="24"/>
      <c r="AL580" s="27"/>
      <c r="AM580" s="27"/>
      <c r="AN580" s="27"/>
      <c r="AO580" s="27"/>
      <c r="AP580" s="27"/>
      <c r="AQ580" s="23" t="str">
        <f aca="false">D580&amp;"|"&amp;TEXT(U580,"yyyy-mm-dd")</f>
        <v>신약|2027-03-01</v>
      </c>
      <c r="AR580" s="24" t="s">
        <v>6209</v>
      </c>
      <c r="AS580" s="24"/>
    </row>
    <row r="581" customFormat="false" ht="26.85" hidden="false" customHeight="false" outlineLevel="0" collapsed="false">
      <c r="A581" s="23" t="n">
        <v>580</v>
      </c>
      <c r="B581" s="31" t="s">
        <v>6210</v>
      </c>
      <c r="C581" s="23" t="n">
        <v>2</v>
      </c>
      <c r="D581" s="23" t="s">
        <v>5581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1" t="s">
        <v>6175</v>
      </c>
      <c r="H581" s="31" t="s">
        <v>6077</v>
      </c>
      <c r="I581" s="23" t="s">
        <v>6176</v>
      </c>
      <c r="J581" s="24" t="s">
        <v>6211</v>
      </c>
      <c r="K581" s="23" t="s">
        <v>165</v>
      </c>
      <c r="L581" s="24" t="s">
        <v>6212</v>
      </c>
      <c r="M581" s="24" t="s">
        <v>6213</v>
      </c>
      <c r="N581" s="23" t="s">
        <v>6214</v>
      </c>
      <c r="O581" s="24" t="s">
        <v>6215</v>
      </c>
      <c r="P581" s="24" t="s">
        <v>6216</v>
      </c>
      <c r="Q581" s="24" t="s">
        <v>6217</v>
      </c>
      <c r="R581" s="25" t="s">
        <v>5783</v>
      </c>
      <c r="S581" s="24" t="s">
        <v>6218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174</v>
      </c>
      <c r="Y581" s="23" t="s">
        <v>174</v>
      </c>
      <c r="Z581" s="23" t="s">
        <v>174</v>
      </c>
      <c r="AA581" s="23" t="s">
        <v>174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  <c r="AE581" s="24" t="str">
        <f aca="false">M581&amp;" | 마가복음 4~5장 #"&amp;SUBSTITUTE(안내!$C$5," ","")</f>
        <v>무덤 사이에 살던 사람이 온전해졌다 | 마가복음 4~5장 #1분성경</v>
      </c>
      <c r="AF581" s="24" t="s">
        <v>304</v>
      </c>
      <c r="AG581" s="24" t="s">
        <v>6219</v>
      </c>
      <c r="AH581" s="23" t="s">
        <v>290</v>
      </c>
      <c r="AI581" s="26" t="n">
        <f aca="false">U581-안내!$C$12</f>
        <v>46596</v>
      </c>
      <c r="AJ581" s="23" t="str">
        <f aca="false">IF(U581&lt;IF(C581=1,안내!$C$9,안내!$C$10)+안내!$C$12,"시즌 시작 전 제작","")</f>
        <v/>
      </c>
      <c r="AK581" s="24"/>
      <c r="AL581" s="27"/>
      <c r="AM581" s="27"/>
      <c r="AN581" s="27"/>
      <c r="AO581" s="27"/>
      <c r="AP581" s="27"/>
      <c r="AQ581" s="23" t="str">
        <f aca="false">D581&amp;"|"&amp;TEXT(U581,"yyyy-mm-dd")</f>
        <v>신약|2027-08-25</v>
      </c>
      <c r="AR581" s="24" t="s">
        <v>6220</v>
      </c>
      <c r="AS581" s="24"/>
    </row>
    <row r="582" customFormat="false" ht="26.85" hidden="false" customHeight="false" outlineLevel="0" collapsed="false">
      <c r="A582" s="23" t="n">
        <v>581</v>
      </c>
      <c r="B582" s="31" t="s">
        <v>6221</v>
      </c>
      <c r="C582" s="20" t="n">
        <v>1</v>
      </c>
      <c r="D582" s="20" t="s">
        <v>5581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1" t="s">
        <v>6175</v>
      </c>
      <c r="H582" s="31" t="s">
        <v>6198</v>
      </c>
      <c r="I582" s="23" t="s">
        <v>6176</v>
      </c>
      <c r="J582" s="24" t="s">
        <v>6222</v>
      </c>
      <c r="K582" s="23" t="s">
        <v>165</v>
      </c>
      <c r="L582" s="24" t="s">
        <v>6223</v>
      </c>
      <c r="M582" s="24" t="s">
        <v>6224</v>
      </c>
      <c r="N582" s="23" t="s">
        <v>6225</v>
      </c>
      <c r="O582" s="24" t="s">
        <v>6226</v>
      </c>
      <c r="P582" s="24" t="s">
        <v>6227</v>
      </c>
      <c r="Q582" s="24" t="s">
        <v>6228</v>
      </c>
      <c r="R582" s="24"/>
      <c r="S582" s="29" t="s">
        <v>6229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174</v>
      </c>
      <c r="Y582" s="23" t="s">
        <v>174</v>
      </c>
      <c r="Z582" s="23" t="s">
        <v>174</v>
      </c>
      <c r="AA582" s="23" t="s">
        <v>174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  <c r="AE582" s="24" t="str">
        <f aca="false">M582&amp;" | 마가복음 5장 #"&amp;SUBSTITUTE(안내!$C$5," ","")</f>
        <v>소녀야 일어나라 | 마가복음 5장 #1분성경</v>
      </c>
      <c r="AF582" s="24" t="s">
        <v>6230</v>
      </c>
      <c r="AG582" s="24" t="s">
        <v>6231</v>
      </c>
      <c r="AH582" s="23" t="s">
        <v>290</v>
      </c>
      <c r="AI582" s="26" t="n">
        <f aca="false">U582-안내!$C$12</f>
        <v>46421</v>
      </c>
      <c r="AJ582" s="23" t="str">
        <f aca="false">IF(U582&lt;IF(C582=1,안내!$C$9,안내!$C$10)+안내!$C$12,"시즌 시작 전 제작","")</f>
        <v/>
      </c>
      <c r="AK582" s="24"/>
      <c r="AL582" s="27"/>
      <c r="AM582" s="27"/>
      <c r="AN582" s="27"/>
      <c r="AO582" s="27"/>
      <c r="AP582" s="27"/>
      <c r="AQ582" s="23" t="str">
        <f aca="false">D582&amp;"|"&amp;TEXT(U582,"yyyy-mm-dd")</f>
        <v>신약|2027-03-03</v>
      </c>
      <c r="AR582" s="24" t="s">
        <v>6232</v>
      </c>
      <c r="AS582" s="24"/>
    </row>
    <row r="583" customFormat="false" ht="26.85" hidden="false" customHeight="false" outlineLevel="0" collapsed="false">
      <c r="A583" s="23" t="n">
        <v>582</v>
      </c>
      <c r="B583" s="31" t="s">
        <v>6233</v>
      </c>
      <c r="C583" s="23" t="n">
        <v>2</v>
      </c>
      <c r="D583" s="23" t="s">
        <v>5581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1" t="s">
        <v>6175</v>
      </c>
      <c r="H583" s="31" t="s">
        <v>6077</v>
      </c>
      <c r="I583" s="23" t="s">
        <v>6176</v>
      </c>
      <c r="J583" s="24" t="s">
        <v>6234</v>
      </c>
      <c r="K583" s="23" t="s">
        <v>165</v>
      </c>
      <c r="L583" s="24" t="s">
        <v>6235</v>
      </c>
      <c r="M583" s="24" t="s">
        <v>6236</v>
      </c>
      <c r="N583" s="23" t="s">
        <v>6237</v>
      </c>
      <c r="O583" s="24" t="s">
        <v>6238</v>
      </c>
      <c r="P583" s="24" t="s">
        <v>6239</v>
      </c>
      <c r="Q583" s="24" t="s">
        <v>6240</v>
      </c>
      <c r="R583" s="24"/>
      <c r="S583" s="24" t="s">
        <v>6241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174</v>
      </c>
      <c r="Y583" s="23" t="s">
        <v>174</v>
      </c>
      <c r="Z583" s="23" t="s">
        <v>174</v>
      </c>
      <c r="AA583" s="23" t="s">
        <v>174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  <c r="AE583" s="24" t="str">
        <f aca="false">M583&amp;" | 마가복음 7장 #"&amp;SUBSTITUTE(안내!$C$5," ","")</f>
        <v>열리라! | 마가복음 7장 #1분성경</v>
      </c>
      <c r="AF583" s="24" t="s">
        <v>304</v>
      </c>
      <c r="AG583" s="24" t="s">
        <v>6242</v>
      </c>
      <c r="AH583" s="23" t="s">
        <v>6243</v>
      </c>
      <c r="AI583" s="26" t="n">
        <f aca="false">U583-안내!$C$12</f>
        <v>46598</v>
      </c>
      <c r="AJ583" s="23" t="str">
        <f aca="false">IF(U583&lt;IF(C583=1,안내!$C$9,안내!$C$10)+안내!$C$12,"시즌 시작 전 제작","")</f>
        <v/>
      </c>
      <c r="AK583" s="24"/>
      <c r="AL583" s="27"/>
      <c r="AM583" s="27"/>
      <c r="AN583" s="27"/>
      <c r="AO583" s="27"/>
      <c r="AP583" s="27"/>
      <c r="AQ583" s="23" t="str">
        <f aca="false">D583&amp;"|"&amp;TEXT(U583,"yyyy-mm-dd")</f>
        <v>신약|2027-08-27</v>
      </c>
      <c r="AR583" s="24" t="s">
        <v>6244</v>
      </c>
      <c r="AS583" s="24"/>
    </row>
    <row r="584" customFormat="false" ht="26.85" hidden="false" customHeight="false" outlineLevel="0" collapsed="false">
      <c r="A584" s="23" t="n">
        <v>583</v>
      </c>
      <c r="B584" s="31" t="s">
        <v>6245</v>
      </c>
      <c r="C584" s="23" t="n">
        <v>2</v>
      </c>
      <c r="D584" s="23" t="s">
        <v>5581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1" t="s">
        <v>6175</v>
      </c>
      <c r="H584" s="31" t="s">
        <v>6077</v>
      </c>
      <c r="I584" s="23" t="s">
        <v>6176</v>
      </c>
      <c r="J584" s="24" t="s">
        <v>6246</v>
      </c>
      <c r="K584" s="23" t="s">
        <v>165</v>
      </c>
      <c r="L584" s="24" t="s">
        <v>6247</v>
      </c>
      <c r="M584" s="24" t="s">
        <v>6248</v>
      </c>
      <c r="N584" s="23" t="s">
        <v>6249</v>
      </c>
      <c r="O584" s="24" t="s">
        <v>6250</v>
      </c>
      <c r="P584" s="24" t="s">
        <v>6251</v>
      </c>
      <c r="Q584" s="24" t="s">
        <v>6252</v>
      </c>
      <c r="R584" s="24"/>
      <c r="S584" s="24" t="s">
        <v>6241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174</v>
      </c>
      <c r="Y584" s="23" t="s">
        <v>174</v>
      </c>
      <c r="Z584" s="23" t="s">
        <v>174</v>
      </c>
      <c r="AA584" s="23" t="s">
        <v>174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  <c r="AE584" s="24" t="str">
        <f aca="false">M584&amp;" | 마가복음 8장 #"&amp;SUBSTITUTE(안내!$C$5," ","")</f>
        <v>처음엔 사람이 나무처럼 보였다 | 마가복음 8장 #1분성경</v>
      </c>
      <c r="AF584" s="24" t="s">
        <v>304</v>
      </c>
      <c r="AG584" s="24" t="s">
        <v>6253</v>
      </c>
      <c r="AH584" s="23" t="s">
        <v>290</v>
      </c>
      <c r="AI584" s="26" t="n">
        <f aca="false">U584-안내!$C$12</f>
        <v>46599</v>
      </c>
      <c r="AJ584" s="23" t="str">
        <f aca="false">IF(U584&lt;IF(C584=1,안내!$C$9,안내!$C$10)+안내!$C$12,"시즌 시작 전 제작","")</f>
        <v/>
      </c>
      <c r="AK584" s="24"/>
      <c r="AL584" s="27"/>
      <c r="AM584" s="27"/>
      <c r="AN584" s="27"/>
      <c r="AO584" s="27"/>
      <c r="AP584" s="27"/>
      <c r="AQ584" s="23" t="str">
        <f aca="false">D584&amp;"|"&amp;TEXT(U584,"yyyy-mm-dd")</f>
        <v>신약|2027-08-28</v>
      </c>
      <c r="AR584" s="24" t="s">
        <v>6254</v>
      </c>
      <c r="AS584" s="24"/>
    </row>
    <row r="585" customFormat="false" ht="26.85" hidden="false" customHeight="false" outlineLevel="0" collapsed="false">
      <c r="A585" s="23" t="n">
        <v>584</v>
      </c>
      <c r="B585" s="31" t="s">
        <v>6255</v>
      </c>
      <c r="C585" s="23" t="n">
        <v>2</v>
      </c>
      <c r="D585" s="23" t="s">
        <v>5581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1" t="s">
        <v>6175</v>
      </c>
      <c r="H585" s="31" t="s">
        <v>6077</v>
      </c>
      <c r="I585" s="23" t="s">
        <v>6176</v>
      </c>
      <c r="J585" s="24" t="s">
        <v>6256</v>
      </c>
      <c r="K585" s="23" t="s">
        <v>165</v>
      </c>
      <c r="L585" s="24" t="s">
        <v>6257</v>
      </c>
      <c r="M585" s="24" t="s">
        <v>6258</v>
      </c>
      <c r="N585" s="23" t="s">
        <v>6259</v>
      </c>
      <c r="O585" s="24" t="s">
        <v>6260</v>
      </c>
      <c r="P585" s="24" t="s">
        <v>6261</v>
      </c>
      <c r="Q585" s="24" t="s">
        <v>6262</v>
      </c>
      <c r="R585" s="24"/>
      <c r="S585" s="24" t="s">
        <v>6241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174</v>
      </c>
      <c r="Y585" s="23" t="s">
        <v>174</v>
      </c>
      <c r="Z585" s="23" t="s">
        <v>174</v>
      </c>
      <c r="AA585" s="23" t="s">
        <v>174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  <c r="AE585" s="24" t="str">
        <f aca="false">M585&amp;" | 마가복음 9장 #"&amp;SUBSTITUTE(안내!$C$5," ","")</f>
        <v>아버지의 눈물 섞인 고백 | 마가복음 9장 #1분성경</v>
      </c>
      <c r="AF585" s="24" t="s">
        <v>304</v>
      </c>
      <c r="AG585" s="24" t="s">
        <v>6263</v>
      </c>
      <c r="AH585" s="23" t="s">
        <v>290</v>
      </c>
      <c r="AI585" s="26" t="n">
        <f aca="false">U585-안내!$C$12</f>
        <v>46601</v>
      </c>
      <c r="AJ585" s="23" t="str">
        <f aca="false">IF(U585&lt;IF(C585=1,안내!$C$9,안내!$C$10)+안내!$C$12,"시즌 시작 전 제작","")</f>
        <v/>
      </c>
      <c r="AK585" s="24"/>
      <c r="AL585" s="27"/>
      <c r="AM585" s="27"/>
      <c r="AN585" s="27"/>
      <c r="AO585" s="27"/>
      <c r="AP585" s="27"/>
      <c r="AQ585" s="23" t="str">
        <f aca="false">D585&amp;"|"&amp;TEXT(U585,"yyyy-mm-dd")</f>
        <v>신약|2027-08-30</v>
      </c>
      <c r="AR585" s="24" t="s">
        <v>6264</v>
      </c>
      <c r="AS585" s="24"/>
    </row>
    <row r="586" customFormat="false" ht="52.2" hidden="false" customHeight="false" outlineLevel="0" collapsed="false">
      <c r="A586" s="23" t="n">
        <v>585</v>
      </c>
      <c r="B586" s="31" t="s">
        <v>6265</v>
      </c>
      <c r="C586" s="20" t="n">
        <v>1</v>
      </c>
      <c r="D586" s="20" t="s">
        <v>5581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1" t="s">
        <v>6175</v>
      </c>
      <c r="H586" s="31" t="s">
        <v>6198</v>
      </c>
      <c r="I586" s="23" t="s">
        <v>6176</v>
      </c>
      <c r="J586" s="24" t="s">
        <v>6266</v>
      </c>
      <c r="K586" s="23" t="s">
        <v>165</v>
      </c>
      <c r="L586" s="24" t="s">
        <v>6267</v>
      </c>
      <c r="M586" s="24" t="s">
        <v>6268</v>
      </c>
      <c r="N586" s="23" t="s">
        <v>6269</v>
      </c>
      <c r="O586" s="24" t="s">
        <v>6270</v>
      </c>
      <c r="P586" s="24" t="s">
        <v>6271</v>
      </c>
      <c r="Q586" s="24" t="s">
        <v>6272</v>
      </c>
      <c r="R586" s="25" t="s">
        <v>6273</v>
      </c>
      <c r="S586" s="29" t="s">
        <v>6274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174</v>
      </c>
      <c r="Y586" s="23" t="s">
        <v>174</v>
      </c>
      <c r="Z586" s="23" t="s">
        <v>174</v>
      </c>
      <c r="AA586" s="23" t="s">
        <v>174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  <c r="AE586" s="24" t="str">
        <f aca="false">M586&amp;" | 마가복음 10장 #"&amp;SUBSTITUTE(안내!$C$5," ","")</f>
        <v>제자들은 막고 예수님은 부르셨다 | 마가복음 10장 #1분성경</v>
      </c>
      <c r="AF586" s="24" t="s">
        <v>6275</v>
      </c>
      <c r="AG586" s="24" t="s">
        <v>6276</v>
      </c>
      <c r="AH586" s="23" t="s">
        <v>290</v>
      </c>
      <c r="AI586" s="26" t="n">
        <f aca="false">U586-안내!$C$12</f>
        <v>46423</v>
      </c>
      <c r="AJ586" s="23" t="str">
        <f aca="false">IF(U586&lt;IF(C586=1,안내!$C$9,안내!$C$10)+안내!$C$12,"시즌 시작 전 제작","")</f>
        <v/>
      </c>
      <c r="AK586" s="24"/>
      <c r="AL586" s="27"/>
      <c r="AM586" s="27"/>
      <c r="AN586" s="27"/>
      <c r="AO586" s="27"/>
      <c r="AP586" s="27"/>
      <c r="AQ586" s="23" t="str">
        <f aca="false">D586&amp;"|"&amp;TEXT(U586,"yyyy-mm-dd")</f>
        <v>신약|2027-03-05</v>
      </c>
      <c r="AR586" s="24" t="s">
        <v>6277</v>
      </c>
      <c r="AS586" s="24"/>
    </row>
    <row r="587" customFormat="false" ht="26.85" hidden="false" customHeight="false" outlineLevel="0" collapsed="false">
      <c r="A587" s="23" t="n">
        <v>586</v>
      </c>
      <c r="B587" s="31" t="s">
        <v>6278</v>
      </c>
      <c r="C587" s="20" t="n">
        <v>1</v>
      </c>
      <c r="D587" s="20" t="s">
        <v>5581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1" t="s">
        <v>6175</v>
      </c>
      <c r="H587" s="31" t="s">
        <v>6198</v>
      </c>
      <c r="I587" s="23" t="s">
        <v>6176</v>
      </c>
      <c r="J587" s="24" t="s">
        <v>6279</v>
      </c>
      <c r="K587" s="23" t="s">
        <v>165</v>
      </c>
      <c r="L587" s="24" t="s">
        <v>6280</v>
      </c>
      <c r="M587" s="24" t="s">
        <v>6281</v>
      </c>
      <c r="N587" s="23" t="s">
        <v>6282</v>
      </c>
      <c r="O587" s="24" t="s">
        <v>6283</v>
      </c>
      <c r="P587" s="24" t="s">
        <v>6284</v>
      </c>
      <c r="Q587" s="24" t="s">
        <v>6285</v>
      </c>
      <c r="R587" s="24"/>
      <c r="S587" s="24" t="s">
        <v>173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174</v>
      </c>
      <c r="Y587" s="23" t="s">
        <v>174</v>
      </c>
      <c r="Z587" s="23" t="s">
        <v>174</v>
      </c>
      <c r="AA587" s="23" t="s">
        <v>174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  <c r="AE587" s="24" t="str">
        <f aca="false">M587&amp;" | 마가복음 10장 #"&amp;SUBSTITUTE(안내!$C$5," ","")</f>
        <v>길가의 맹인이 더 크게 소리쳤다 | 마가복음 10장 #1분성경</v>
      </c>
      <c r="AF587" s="24" t="s">
        <v>6286</v>
      </c>
      <c r="AG587" s="24" t="s">
        <v>6287</v>
      </c>
      <c r="AH587" s="23" t="s">
        <v>290</v>
      </c>
      <c r="AI587" s="26" t="n">
        <f aca="false">U587-안내!$C$12</f>
        <v>46424</v>
      </c>
      <c r="AJ587" s="23" t="str">
        <f aca="false">IF(U587&lt;IF(C587=1,안내!$C$9,안내!$C$10)+안내!$C$12,"시즌 시작 전 제작","")</f>
        <v/>
      </c>
      <c r="AK587" s="24"/>
      <c r="AL587" s="27"/>
      <c r="AM587" s="27"/>
      <c r="AN587" s="27"/>
      <c r="AO587" s="27"/>
      <c r="AP587" s="27"/>
      <c r="AQ587" s="23" t="str">
        <f aca="false">D587&amp;"|"&amp;TEXT(U587,"yyyy-mm-dd")</f>
        <v>신약|2027-03-06</v>
      </c>
      <c r="AR587" s="24" t="s">
        <v>6288</v>
      </c>
      <c r="AS587" s="24"/>
    </row>
    <row r="588" customFormat="false" ht="26.85" hidden="false" customHeight="false" outlineLevel="0" collapsed="false">
      <c r="A588" s="23" t="n">
        <v>587</v>
      </c>
      <c r="B588" s="31" t="s">
        <v>6289</v>
      </c>
      <c r="C588" s="20" t="n">
        <v>1</v>
      </c>
      <c r="D588" s="20" t="s">
        <v>5581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1" t="s">
        <v>6175</v>
      </c>
      <c r="H588" s="31" t="s">
        <v>6198</v>
      </c>
      <c r="I588" s="23" t="s">
        <v>6176</v>
      </c>
      <c r="J588" s="24" t="s">
        <v>6290</v>
      </c>
      <c r="K588" s="23" t="s">
        <v>165</v>
      </c>
      <c r="L588" s="24" t="s">
        <v>6291</v>
      </c>
      <c r="M588" s="24" t="s">
        <v>6292</v>
      </c>
      <c r="N588" s="23" t="s">
        <v>6293</v>
      </c>
      <c r="O588" s="24" t="s">
        <v>6294</v>
      </c>
      <c r="P588" s="24" t="s">
        <v>6295</v>
      </c>
      <c r="Q588" s="24" t="s">
        <v>6296</v>
      </c>
      <c r="R588" s="25" t="s">
        <v>1472</v>
      </c>
      <c r="S588" s="24" t="s">
        <v>173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174</v>
      </c>
      <c r="Y588" s="23" t="s">
        <v>174</v>
      </c>
      <c r="Z588" s="23" t="s">
        <v>174</v>
      </c>
      <c r="AA588" s="23" t="s">
        <v>174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  <c r="AE588" s="24" t="str">
        <f aca="false">M588&amp;" | 마가복음 12장 #"&amp;SUBSTITUTE(안내!$C$5," ","")</f>
        <v>가장 적게 냈는데 가장 많이 냈다 | 마가복음 12장 #1분성경</v>
      </c>
      <c r="AF588" s="24" t="s">
        <v>6297</v>
      </c>
      <c r="AG588" s="24"/>
      <c r="AH588" s="23" t="s">
        <v>290</v>
      </c>
      <c r="AI588" s="26" t="n">
        <f aca="false">U588-안내!$C$12</f>
        <v>46426</v>
      </c>
      <c r="AJ588" s="23" t="str">
        <f aca="false">IF(U588&lt;IF(C588=1,안내!$C$9,안내!$C$10)+안내!$C$12,"시즌 시작 전 제작","")</f>
        <v/>
      </c>
      <c r="AK588" s="24"/>
      <c r="AL588" s="27"/>
      <c r="AM588" s="27"/>
      <c r="AN588" s="27"/>
      <c r="AO588" s="27"/>
      <c r="AP588" s="27"/>
      <c r="AQ588" s="23" t="str">
        <f aca="false">D588&amp;"|"&amp;TEXT(U588,"yyyy-mm-dd")</f>
        <v>신약|2027-03-08</v>
      </c>
      <c r="AR588" s="24" t="s">
        <v>6298</v>
      </c>
      <c r="AS588" s="24"/>
    </row>
    <row r="589" customFormat="false" ht="39.55" hidden="false" customHeight="false" outlineLevel="0" collapsed="false">
      <c r="A589" s="23" t="n">
        <v>588</v>
      </c>
      <c r="B589" s="31" t="s">
        <v>6299</v>
      </c>
      <c r="C589" s="23" t="n">
        <v>2</v>
      </c>
      <c r="D589" s="23" t="s">
        <v>5581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1" t="s">
        <v>6175</v>
      </c>
      <c r="H589" s="31" t="s">
        <v>6077</v>
      </c>
      <c r="I589" s="23" t="s">
        <v>6176</v>
      </c>
      <c r="J589" s="24" t="s">
        <v>6300</v>
      </c>
      <c r="K589" s="23" t="s">
        <v>165</v>
      </c>
      <c r="L589" s="24" t="s">
        <v>6301</v>
      </c>
      <c r="M589" s="24" t="s">
        <v>6302</v>
      </c>
      <c r="N589" s="23" t="s">
        <v>6303</v>
      </c>
      <c r="O589" s="24" t="s">
        <v>6304</v>
      </c>
      <c r="P589" s="24" t="s">
        <v>6305</v>
      </c>
      <c r="Q589" s="24" t="s">
        <v>6306</v>
      </c>
      <c r="R589" s="28" t="s">
        <v>6307</v>
      </c>
      <c r="S589" s="24" t="s">
        <v>6308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174</v>
      </c>
      <c r="Y589" s="23" t="s">
        <v>174</v>
      </c>
      <c r="Z589" s="23" t="s">
        <v>174</v>
      </c>
      <c r="AA589" s="23" t="s">
        <v>174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  <c r="AE589" s="24" t="str">
        <f aca="false">M589&amp;" | 마가복음 16장 #"&amp;SUBSTITUTE(안내!$C$5," ","")</f>
        <v>부활 소식과 마지막 명령 | 마가복음 16장 #1분성경</v>
      </c>
      <c r="AF589" s="24" t="s">
        <v>304</v>
      </c>
      <c r="AG589" s="24"/>
      <c r="AH589" s="23" t="s">
        <v>290</v>
      </c>
      <c r="AI589" s="26" t="n">
        <f aca="false">U589-안내!$C$12</f>
        <v>46603</v>
      </c>
      <c r="AJ589" s="23" t="str">
        <f aca="false">IF(U589&lt;IF(C589=1,안내!$C$9,안내!$C$10)+안내!$C$12,"시즌 시작 전 제작","")</f>
        <v/>
      </c>
      <c r="AK589" s="24"/>
      <c r="AL589" s="27"/>
      <c r="AM589" s="27"/>
      <c r="AN589" s="27"/>
      <c r="AO589" s="27"/>
      <c r="AP589" s="27"/>
      <c r="AQ589" s="23" t="str">
        <f aca="false">D589&amp;"|"&amp;TEXT(U589,"yyyy-mm-dd")</f>
        <v>신약|2027-09-01</v>
      </c>
      <c r="AR589" s="24" t="s">
        <v>6309</v>
      </c>
      <c r="AS589" s="24"/>
    </row>
    <row r="590" customFormat="false" ht="26.85" hidden="false" customHeight="false" outlineLevel="0" collapsed="false">
      <c r="A590" s="23" t="n">
        <v>589</v>
      </c>
      <c r="B590" s="31" t="s">
        <v>6310</v>
      </c>
      <c r="C590" s="20" t="n">
        <v>1</v>
      </c>
      <c r="D590" s="20" t="s">
        <v>5581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1" t="s">
        <v>6311</v>
      </c>
      <c r="H590" s="31" t="s">
        <v>6198</v>
      </c>
      <c r="I590" s="23" t="s">
        <v>6312</v>
      </c>
      <c r="J590" s="24" t="s">
        <v>6313</v>
      </c>
      <c r="K590" s="23" t="s">
        <v>165</v>
      </c>
      <c r="L590" s="24" t="s">
        <v>6314</v>
      </c>
      <c r="M590" s="24" t="s">
        <v>6315</v>
      </c>
      <c r="N590" s="23" t="s">
        <v>6316</v>
      </c>
      <c r="O590" s="24" t="s">
        <v>6317</v>
      </c>
      <c r="P590" s="24" t="s">
        <v>6318</v>
      </c>
      <c r="Q590" s="24" t="s">
        <v>3589</v>
      </c>
      <c r="R590" s="25" t="s">
        <v>6319</v>
      </c>
      <c r="S590" s="29" t="s">
        <v>6320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174</v>
      </c>
      <c r="Y590" s="23" t="s">
        <v>174</v>
      </c>
      <c r="Z590" s="23" t="s">
        <v>174</v>
      </c>
      <c r="AA590" s="23" t="s">
        <v>174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  <c r="AE590" s="24" t="str">
        <f aca="false">M590&amp;" | 누가복음 1장 #"&amp;SUBSTITUTE(안내!$C$5," ","")</f>
        <v>늙은 제사장이 말을 못 하게 되었다 | 누가복음 1장 #1분성경</v>
      </c>
      <c r="AF590" s="24" t="s">
        <v>6321</v>
      </c>
      <c r="AG590" s="24" t="s">
        <v>6322</v>
      </c>
      <c r="AH590" s="23" t="s">
        <v>290</v>
      </c>
      <c r="AI590" s="26" t="n">
        <f aca="false">U590-안내!$C$12</f>
        <v>46428</v>
      </c>
      <c r="AJ590" s="23" t="str">
        <f aca="false">IF(U590&lt;IF(C590=1,안내!$C$9,안내!$C$10)+안내!$C$12,"시즌 시작 전 제작","")</f>
        <v/>
      </c>
      <c r="AK590" s="24"/>
      <c r="AL590" s="27"/>
      <c r="AM590" s="27"/>
      <c r="AN590" s="27"/>
      <c r="AO590" s="27"/>
      <c r="AP590" s="27"/>
      <c r="AQ590" s="23" t="str">
        <f aca="false">D590&amp;"|"&amp;TEXT(U590,"yyyy-mm-dd")</f>
        <v>신약|2027-03-10</v>
      </c>
      <c r="AR590" s="24" t="s">
        <v>6323</v>
      </c>
      <c r="AS590" s="24"/>
    </row>
    <row r="591" customFormat="false" ht="26.85" hidden="false" customHeight="false" outlineLevel="0" collapsed="false">
      <c r="A591" s="23" t="n">
        <v>590</v>
      </c>
      <c r="B591" s="31" t="s">
        <v>6324</v>
      </c>
      <c r="C591" s="20" t="n">
        <v>1</v>
      </c>
      <c r="D591" s="20" t="s">
        <v>5581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1" t="s">
        <v>6311</v>
      </c>
      <c r="H591" s="31" t="s">
        <v>6198</v>
      </c>
      <c r="I591" s="23" t="s">
        <v>6312</v>
      </c>
      <c r="J591" s="24" t="s">
        <v>6325</v>
      </c>
      <c r="K591" s="23" t="s">
        <v>165</v>
      </c>
      <c r="L591" s="24" t="s">
        <v>6326</v>
      </c>
      <c r="M591" s="24" t="s">
        <v>6327</v>
      </c>
      <c r="N591" s="23" t="s">
        <v>6328</v>
      </c>
      <c r="O591" s="24" t="s">
        <v>6329</v>
      </c>
      <c r="P591" s="24" t="s">
        <v>6330</v>
      </c>
      <c r="Q591" s="24" t="s">
        <v>6331</v>
      </c>
      <c r="R591" s="25" t="s">
        <v>6332</v>
      </c>
      <c r="S591" s="24" t="s">
        <v>173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174</v>
      </c>
      <c r="Y591" s="23" t="s">
        <v>174</v>
      </c>
      <c r="Z591" s="23" t="s">
        <v>174</v>
      </c>
      <c r="AA591" s="23" t="s">
        <v>174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  <c r="AE591" s="24" t="str">
        <f aca="false">M591&amp;" | 누가복음 1장 #"&amp;SUBSTITUTE(안내!$C$5," ","")</f>
        <v>처녀가 아들을 낳는다고요? | 누가복음 1장 #1분성경</v>
      </c>
      <c r="AF591" s="24" t="s">
        <v>6333</v>
      </c>
      <c r="AG591" s="24" t="s">
        <v>6334</v>
      </c>
      <c r="AH591" s="23" t="s">
        <v>176</v>
      </c>
      <c r="AI591" s="26" t="n">
        <f aca="false">U591-안내!$C$12</f>
        <v>46430</v>
      </c>
      <c r="AJ591" s="23" t="str">
        <f aca="false">IF(U591&lt;IF(C591=1,안내!$C$9,안내!$C$10)+안내!$C$12,"시즌 시작 전 제작","")</f>
        <v/>
      </c>
      <c r="AK591" s="24"/>
      <c r="AL591" s="27"/>
      <c r="AM591" s="27"/>
      <c r="AN591" s="27"/>
      <c r="AO591" s="27"/>
      <c r="AP591" s="27"/>
      <c r="AQ591" s="23" t="str">
        <f aca="false">D591&amp;"|"&amp;TEXT(U591,"yyyy-mm-dd")</f>
        <v>신약|2027-03-12</v>
      </c>
      <c r="AR591" s="24" t="s">
        <v>6335</v>
      </c>
      <c r="AS591" s="24"/>
    </row>
    <row r="592" customFormat="false" ht="26.85" hidden="false" customHeight="false" outlineLevel="0" collapsed="false">
      <c r="A592" s="23" t="n">
        <v>591</v>
      </c>
      <c r="B592" s="31" t="s">
        <v>6336</v>
      </c>
      <c r="C592" s="23" t="n">
        <v>2</v>
      </c>
      <c r="D592" s="23" t="s">
        <v>5581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1" t="s">
        <v>6311</v>
      </c>
      <c r="H592" s="31" t="s">
        <v>6337</v>
      </c>
      <c r="I592" s="23" t="s">
        <v>6312</v>
      </c>
      <c r="J592" s="24" t="s">
        <v>6338</v>
      </c>
      <c r="K592" s="23" t="s">
        <v>165</v>
      </c>
      <c r="L592" s="24" t="s">
        <v>6339</v>
      </c>
      <c r="M592" s="24" t="s">
        <v>6340</v>
      </c>
      <c r="N592" s="23" t="s">
        <v>6341</v>
      </c>
      <c r="O592" s="24" t="s">
        <v>6342</v>
      </c>
      <c r="P592" s="24" t="s">
        <v>6343</v>
      </c>
      <c r="Q592" s="24" t="s">
        <v>6344</v>
      </c>
      <c r="R592" s="24"/>
      <c r="S592" s="24" t="s">
        <v>6345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174</v>
      </c>
      <c r="Y592" s="23" t="s">
        <v>174</v>
      </c>
      <c r="Z592" s="23" t="s">
        <v>174</v>
      </c>
      <c r="AA592" s="23" t="s">
        <v>174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  <c r="AE592" s="24" t="str">
        <f aca="false">M592&amp;" | 누가복음 1장 #"&amp;SUBSTITUTE(안내!$C$5," ","")</f>
        <v>배 속 아기가 뛰놀았다 | 누가복음 1장 #1분성경</v>
      </c>
      <c r="AF592" s="24" t="s">
        <v>304</v>
      </c>
      <c r="AG592" s="24" t="s">
        <v>6346</v>
      </c>
      <c r="AH592" s="23" t="s">
        <v>290</v>
      </c>
      <c r="AI592" s="26" t="n">
        <f aca="false">U592-안내!$C$12</f>
        <v>46605</v>
      </c>
      <c r="AJ592" s="23" t="str">
        <f aca="false">IF(U592&lt;IF(C592=1,안내!$C$9,안내!$C$10)+안내!$C$12,"시즌 시작 전 제작","")</f>
        <v/>
      </c>
      <c r="AK592" s="24"/>
      <c r="AL592" s="27"/>
      <c r="AM592" s="27"/>
      <c r="AN592" s="27"/>
      <c r="AO592" s="27"/>
      <c r="AP592" s="27"/>
      <c r="AQ592" s="23" t="str">
        <f aca="false">D592&amp;"|"&amp;TEXT(U592,"yyyy-mm-dd")</f>
        <v>신약|2027-09-03</v>
      </c>
      <c r="AR592" s="24" t="s">
        <v>6342</v>
      </c>
      <c r="AS592" s="24"/>
    </row>
    <row r="593" customFormat="false" ht="26.85" hidden="false" customHeight="false" outlineLevel="0" collapsed="false">
      <c r="A593" s="23" t="n">
        <v>592</v>
      </c>
      <c r="B593" s="31" t="s">
        <v>6347</v>
      </c>
      <c r="C593" s="23" t="n">
        <v>2</v>
      </c>
      <c r="D593" s="23" t="s">
        <v>5581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1" t="s">
        <v>6311</v>
      </c>
      <c r="H593" s="31" t="s">
        <v>6337</v>
      </c>
      <c r="I593" s="23" t="s">
        <v>6312</v>
      </c>
      <c r="J593" s="24" t="s">
        <v>6348</v>
      </c>
      <c r="K593" s="23" t="s">
        <v>165</v>
      </c>
      <c r="L593" s="24" t="s">
        <v>6349</v>
      </c>
      <c r="M593" s="24" t="s">
        <v>6350</v>
      </c>
      <c r="N593" s="23" t="s">
        <v>6351</v>
      </c>
      <c r="O593" s="24" t="s">
        <v>6352</v>
      </c>
      <c r="P593" s="24" t="s">
        <v>6353</v>
      </c>
      <c r="Q593" s="24" t="s">
        <v>6354</v>
      </c>
      <c r="R593" s="24"/>
      <c r="S593" s="24" t="s">
        <v>6345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174</v>
      </c>
      <c r="Y593" s="23" t="s">
        <v>174</v>
      </c>
      <c r="Z593" s="23" t="s">
        <v>174</v>
      </c>
      <c r="AA593" s="23" t="s">
        <v>174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  <c r="AE593" s="24" t="str">
        <f aca="false">M593&amp;" | 누가복음 1장 #"&amp;SUBSTITUTE(안내!$C$5," ","")</f>
        <v>말을 못 하던 아버지가 입을 열었다 | 누가복음 1장 #1분성경</v>
      </c>
      <c r="AF593" s="24" t="s">
        <v>304</v>
      </c>
      <c r="AG593" s="24"/>
      <c r="AH593" s="23" t="s">
        <v>290</v>
      </c>
      <c r="AI593" s="26" t="n">
        <f aca="false">U593-안내!$C$12</f>
        <v>46606</v>
      </c>
      <c r="AJ593" s="23" t="str">
        <f aca="false">IF(U593&lt;IF(C593=1,안내!$C$9,안내!$C$10)+안내!$C$12,"시즌 시작 전 제작","")</f>
        <v/>
      </c>
      <c r="AK593" s="24"/>
      <c r="AL593" s="27"/>
      <c r="AM593" s="27"/>
      <c r="AN593" s="27"/>
      <c r="AO593" s="27"/>
      <c r="AP593" s="27"/>
      <c r="AQ593" s="23" t="str">
        <f aca="false">D593&amp;"|"&amp;TEXT(U593,"yyyy-mm-dd")</f>
        <v>신약|2027-09-04</v>
      </c>
      <c r="AR593" s="24" t="s">
        <v>6355</v>
      </c>
      <c r="AS593" s="24"/>
    </row>
    <row r="594" customFormat="false" ht="39.55" hidden="false" customHeight="false" outlineLevel="0" collapsed="false">
      <c r="A594" s="23" t="n">
        <v>593</v>
      </c>
      <c r="B594" s="31" t="s">
        <v>6356</v>
      </c>
      <c r="C594" s="20" t="n">
        <v>1</v>
      </c>
      <c r="D594" s="20" t="s">
        <v>5581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1" t="s">
        <v>6311</v>
      </c>
      <c r="H594" s="31" t="s">
        <v>6198</v>
      </c>
      <c r="I594" s="23" t="s">
        <v>6312</v>
      </c>
      <c r="J594" s="24" t="s">
        <v>6357</v>
      </c>
      <c r="K594" s="23" t="s">
        <v>165</v>
      </c>
      <c r="L594" s="24" t="s">
        <v>6358</v>
      </c>
      <c r="M594" s="24" t="s">
        <v>6359</v>
      </c>
      <c r="N594" s="23" t="s">
        <v>6360</v>
      </c>
      <c r="O594" s="24" t="s">
        <v>6361</v>
      </c>
      <c r="P594" s="24" t="s">
        <v>6362</v>
      </c>
      <c r="Q594" s="24" t="s">
        <v>6363</v>
      </c>
      <c r="R594" s="25" t="s">
        <v>6364</v>
      </c>
      <c r="S594" s="29" t="s">
        <v>6365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174</v>
      </c>
      <c r="Y594" s="23" t="s">
        <v>174</v>
      </c>
      <c r="Z594" s="23" t="s">
        <v>174</v>
      </c>
      <c r="AA594" s="23" t="s">
        <v>174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  <c r="AE594" s="24" t="str">
        <f aca="false">M594&amp;" | 누가복음 2장 #"&amp;SUBSTITUTE(안내!$C$5," ","")</f>
        <v>여관에 방이 없어서 | 누가복음 2장 #1분성경</v>
      </c>
      <c r="AF594" s="24" t="s">
        <v>6366</v>
      </c>
      <c r="AG594" s="24"/>
      <c r="AH594" s="23" t="s">
        <v>290</v>
      </c>
      <c r="AI594" s="26" t="n">
        <f aca="false">U594-안내!$C$12</f>
        <v>46431</v>
      </c>
      <c r="AJ594" s="23" t="str">
        <f aca="false">IF(U594&lt;IF(C594=1,안내!$C$9,안내!$C$10)+안내!$C$12,"시즌 시작 전 제작","")</f>
        <v/>
      </c>
      <c r="AK594" s="24"/>
      <c r="AL594" s="27"/>
      <c r="AM594" s="27"/>
      <c r="AN594" s="27"/>
      <c r="AO594" s="27"/>
      <c r="AP594" s="27"/>
      <c r="AQ594" s="23" t="str">
        <f aca="false">D594&amp;"|"&amp;TEXT(U594,"yyyy-mm-dd")</f>
        <v>신약|2027-03-13</v>
      </c>
      <c r="AR594" s="24" t="s">
        <v>6367</v>
      </c>
      <c r="AS594" s="24"/>
    </row>
    <row r="595" customFormat="false" ht="26.85" hidden="false" customHeight="false" outlineLevel="0" collapsed="false">
      <c r="A595" s="23" t="n">
        <v>594</v>
      </c>
      <c r="B595" s="31" t="s">
        <v>6368</v>
      </c>
      <c r="C595" s="20" t="n">
        <v>1</v>
      </c>
      <c r="D595" s="20" t="s">
        <v>5581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1" t="s">
        <v>6311</v>
      </c>
      <c r="H595" s="31" t="s">
        <v>6198</v>
      </c>
      <c r="I595" s="23" t="s">
        <v>6312</v>
      </c>
      <c r="J595" s="24" t="s">
        <v>6369</v>
      </c>
      <c r="K595" s="23" t="s">
        <v>165</v>
      </c>
      <c r="L595" s="24" t="s">
        <v>6370</v>
      </c>
      <c r="M595" s="24" t="s">
        <v>6371</v>
      </c>
      <c r="N595" s="23" t="s">
        <v>6372</v>
      </c>
      <c r="O595" s="24" t="s">
        <v>6373</v>
      </c>
      <c r="P595" s="24" t="s">
        <v>6374</v>
      </c>
      <c r="Q595" s="24" t="s">
        <v>6375</v>
      </c>
      <c r="R595" s="24"/>
      <c r="S595" s="24" t="s">
        <v>173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174</v>
      </c>
      <c r="Y595" s="23" t="s">
        <v>174</v>
      </c>
      <c r="Z595" s="23" t="s">
        <v>174</v>
      </c>
      <c r="AA595" s="23" t="s">
        <v>174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  <c r="AE595" s="24" t="str">
        <f aca="false">M595&amp;" | 누가복음 2장 #"&amp;SUBSTITUTE(안내!$C$5," ","")</f>
        <v>한밤중 들판에 나타난 하늘 군대 | 누가복음 2장 #1분성경</v>
      </c>
      <c r="AF595" s="24" t="s">
        <v>6376</v>
      </c>
      <c r="AG595" s="24"/>
      <c r="AH595" s="23" t="s">
        <v>290</v>
      </c>
      <c r="AI595" s="26" t="n">
        <f aca="false">U595-안내!$C$12</f>
        <v>46433</v>
      </c>
      <c r="AJ595" s="23" t="str">
        <f aca="false">IF(U595&lt;IF(C595=1,안내!$C$9,안내!$C$10)+안내!$C$12,"시즌 시작 전 제작","")</f>
        <v/>
      </c>
      <c r="AK595" s="24"/>
      <c r="AL595" s="27"/>
      <c r="AM595" s="27"/>
      <c r="AN595" s="27"/>
      <c r="AO595" s="27"/>
      <c r="AP595" s="27"/>
      <c r="AQ595" s="23" t="str">
        <f aca="false">D595&amp;"|"&amp;TEXT(U595,"yyyy-mm-dd")</f>
        <v>신약|2027-03-15</v>
      </c>
      <c r="AR595" s="24" t="s">
        <v>6377</v>
      </c>
      <c r="AS595" s="24"/>
    </row>
    <row r="596" customFormat="false" ht="26.85" hidden="false" customHeight="false" outlineLevel="0" collapsed="false">
      <c r="A596" s="23" t="n">
        <v>595</v>
      </c>
      <c r="B596" s="31" t="s">
        <v>6378</v>
      </c>
      <c r="C596" s="23" t="n">
        <v>2</v>
      </c>
      <c r="D596" s="23" t="s">
        <v>5581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1" t="s">
        <v>6311</v>
      </c>
      <c r="H596" s="31" t="s">
        <v>6337</v>
      </c>
      <c r="I596" s="23" t="s">
        <v>6312</v>
      </c>
      <c r="J596" s="24" t="s">
        <v>6379</v>
      </c>
      <c r="K596" s="23" t="s">
        <v>165</v>
      </c>
      <c r="L596" s="24" t="s">
        <v>6380</v>
      </c>
      <c r="M596" s="24" t="s">
        <v>6381</v>
      </c>
      <c r="N596" s="23" t="s">
        <v>6382</v>
      </c>
      <c r="O596" s="24" t="s">
        <v>6383</v>
      </c>
      <c r="P596" s="24" t="s">
        <v>6384</v>
      </c>
      <c r="Q596" s="24" t="s">
        <v>3369</v>
      </c>
      <c r="R596" s="24"/>
      <c r="S596" s="24" t="s">
        <v>6385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174</v>
      </c>
      <c r="Y596" s="23" t="s">
        <v>174</v>
      </c>
      <c r="Z596" s="23" t="s">
        <v>174</v>
      </c>
      <c r="AA596" s="23" t="s">
        <v>174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  <c r="AE596" s="24" t="str">
        <f aca="false">M596&amp;" | 누가복음 2장 #"&amp;SUBSTITUTE(안내!$C$5," ","")</f>
        <v>평생 기다린 노인이 아기를 안았다 | 누가복음 2장 #1분성경</v>
      </c>
      <c r="AF596" s="24" t="s">
        <v>304</v>
      </c>
      <c r="AG596" s="24"/>
      <c r="AH596" s="23" t="s">
        <v>290</v>
      </c>
      <c r="AI596" s="26" t="n">
        <f aca="false">U596-안내!$C$12</f>
        <v>46608</v>
      </c>
      <c r="AJ596" s="23" t="str">
        <f aca="false">IF(U596&lt;IF(C596=1,안내!$C$9,안내!$C$10)+안내!$C$12,"시즌 시작 전 제작","")</f>
        <v/>
      </c>
      <c r="AK596" s="24"/>
      <c r="AL596" s="27"/>
      <c r="AM596" s="27"/>
      <c r="AN596" s="27"/>
      <c r="AO596" s="27"/>
      <c r="AP596" s="27"/>
      <c r="AQ596" s="23" t="str">
        <f aca="false">D596&amp;"|"&amp;TEXT(U596,"yyyy-mm-dd")</f>
        <v>신약|2027-09-06</v>
      </c>
      <c r="AR596" s="24" t="s">
        <v>6383</v>
      </c>
      <c r="AS596" s="24"/>
    </row>
    <row r="597" customFormat="false" ht="26.85" hidden="false" customHeight="false" outlineLevel="0" collapsed="false">
      <c r="A597" s="23" t="n">
        <v>596</v>
      </c>
      <c r="B597" s="31" t="s">
        <v>6386</v>
      </c>
      <c r="C597" s="20" t="n">
        <v>1</v>
      </c>
      <c r="D597" s="20" t="s">
        <v>5581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1" t="s">
        <v>6311</v>
      </c>
      <c r="H597" s="31" t="s">
        <v>6198</v>
      </c>
      <c r="I597" s="23" t="s">
        <v>6312</v>
      </c>
      <c r="J597" s="24" t="s">
        <v>6387</v>
      </c>
      <c r="K597" s="23" t="s">
        <v>165</v>
      </c>
      <c r="L597" s="24" t="s">
        <v>6388</v>
      </c>
      <c r="M597" s="24" t="s">
        <v>6389</v>
      </c>
      <c r="N597" s="23" t="s">
        <v>6390</v>
      </c>
      <c r="O597" s="24" t="s">
        <v>6391</v>
      </c>
      <c r="P597" s="24" t="s">
        <v>6392</v>
      </c>
      <c r="Q597" s="24" t="s">
        <v>6393</v>
      </c>
      <c r="R597" s="24"/>
      <c r="S597" s="29" t="s">
        <v>6394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174</v>
      </c>
      <c r="Y597" s="23" t="s">
        <v>174</v>
      </c>
      <c r="Z597" s="23" t="s">
        <v>174</v>
      </c>
      <c r="AA597" s="23" t="s">
        <v>174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  <c r="AE597" s="24" t="str">
        <f aca="false">M597&amp;" | 누가복음 2장 #"&amp;SUBSTITUTE(안내!$C$5," ","")</f>
        <v>사흘 동안 잃어버린 아들 | 누가복음 2장 #1분성경</v>
      </c>
      <c r="AF597" s="24" t="s">
        <v>6395</v>
      </c>
      <c r="AG597" s="24"/>
      <c r="AH597" s="23" t="s">
        <v>290</v>
      </c>
      <c r="AI597" s="26" t="n">
        <f aca="false">U597-안내!$C$12</f>
        <v>46435</v>
      </c>
      <c r="AJ597" s="23" t="str">
        <f aca="false">IF(U597&lt;IF(C597=1,안내!$C$9,안내!$C$10)+안내!$C$12,"시즌 시작 전 제작","")</f>
        <v/>
      </c>
      <c r="AK597" s="24"/>
      <c r="AL597" s="27"/>
      <c r="AM597" s="27"/>
      <c r="AN597" s="27"/>
      <c r="AO597" s="27"/>
      <c r="AP597" s="27"/>
      <c r="AQ597" s="23" t="str">
        <f aca="false">D597&amp;"|"&amp;TEXT(U597,"yyyy-mm-dd")</f>
        <v>신약|2027-03-17</v>
      </c>
      <c r="AR597" s="24" t="s">
        <v>6396</v>
      </c>
      <c r="AS597" s="24"/>
    </row>
    <row r="598" customFormat="false" ht="39.55" hidden="false" customHeight="false" outlineLevel="0" collapsed="false">
      <c r="A598" s="23" t="n">
        <v>597</v>
      </c>
      <c r="B598" s="31" t="s">
        <v>6397</v>
      </c>
      <c r="C598" s="23" t="n">
        <v>2</v>
      </c>
      <c r="D598" s="23" t="s">
        <v>5581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1" t="s">
        <v>6398</v>
      </c>
      <c r="H598" s="31" t="s">
        <v>6337</v>
      </c>
      <c r="I598" s="23" t="s">
        <v>6312</v>
      </c>
      <c r="J598" s="24" t="s">
        <v>6399</v>
      </c>
      <c r="K598" s="23" t="s">
        <v>165</v>
      </c>
      <c r="L598" s="24" t="s">
        <v>6400</v>
      </c>
      <c r="M598" s="24" t="s">
        <v>6401</v>
      </c>
      <c r="N598" s="23" t="s">
        <v>6402</v>
      </c>
      <c r="O598" s="24" t="s">
        <v>6403</v>
      </c>
      <c r="P598" s="24" t="s">
        <v>6404</v>
      </c>
      <c r="Q598" s="24" t="s">
        <v>6400</v>
      </c>
      <c r="R598" s="24"/>
      <c r="S598" s="24" t="s">
        <v>6405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174</v>
      </c>
      <c r="Y598" s="23" t="s">
        <v>174</v>
      </c>
      <c r="Z598" s="23" t="s">
        <v>174</v>
      </c>
      <c r="AA598" s="23" t="s">
        <v>174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  <c r="AE598" s="24" t="str">
        <f aca="false">M598&amp;" | 누가복음 4장 #"&amp;SUBSTITUTE(안내!$C$5," ","")</f>
        <v>고향에서 거절당하신 예수님 | 누가복음 4장 #1분성경</v>
      </c>
      <c r="AF598" s="24" t="s">
        <v>304</v>
      </c>
      <c r="AG598" s="24" t="s">
        <v>6406</v>
      </c>
      <c r="AH598" s="23" t="s">
        <v>290</v>
      </c>
      <c r="AI598" s="26" t="n">
        <f aca="false">U598-안내!$C$12</f>
        <v>46610</v>
      </c>
      <c r="AJ598" s="23" t="str">
        <f aca="false">IF(U598&lt;IF(C598=1,안내!$C$9,안내!$C$10)+안내!$C$12,"시즌 시작 전 제작","")</f>
        <v/>
      </c>
      <c r="AK598" s="24"/>
      <c r="AL598" s="27"/>
      <c r="AM598" s="27"/>
      <c r="AN598" s="27"/>
      <c r="AO598" s="27"/>
      <c r="AP598" s="27"/>
      <c r="AQ598" s="23" t="str">
        <f aca="false">D598&amp;"|"&amp;TEXT(U598,"yyyy-mm-dd")</f>
        <v>신약|2027-09-08</v>
      </c>
      <c r="AR598" s="24" t="s">
        <v>6407</v>
      </c>
      <c r="AS598" s="24"/>
    </row>
    <row r="599" customFormat="false" ht="26.85" hidden="false" customHeight="false" outlineLevel="0" collapsed="false">
      <c r="A599" s="23" t="n">
        <v>598</v>
      </c>
      <c r="B599" s="31" t="s">
        <v>6408</v>
      </c>
      <c r="C599" s="20" t="n">
        <v>1</v>
      </c>
      <c r="D599" s="20" t="s">
        <v>5581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1" t="s">
        <v>6398</v>
      </c>
      <c r="H599" s="31" t="s">
        <v>6409</v>
      </c>
      <c r="I599" s="23" t="s">
        <v>6312</v>
      </c>
      <c r="J599" s="24" t="s">
        <v>6410</v>
      </c>
      <c r="K599" s="23" t="s">
        <v>165</v>
      </c>
      <c r="L599" s="24" t="s">
        <v>6411</v>
      </c>
      <c r="M599" s="24" t="s">
        <v>6412</v>
      </c>
      <c r="N599" s="23" t="s">
        <v>6413</v>
      </c>
      <c r="O599" s="24" t="s">
        <v>6414</v>
      </c>
      <c r="P599" s="24" t="s">
        <v>6415</v>
      </c>
      <c r="Q599" s="24" t="s">
        <v>6416</v>
      </c>
      <c r="R599" s="24"/>
      <c r="S599" s="29" t="s">
        <v>6417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174</v>
      </c>
      <c r="Y599" s="23" t="s">
        <v>174</v>
      </c>
      <c r="Z599" s="23" t="s">
        <v>174</v>
      </c>
      <c r="AA599" s="23" t="s">
        <v>174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  <c r="AE599" s="24" t="str">
        <f aca="false">M599&amp;" | 누가복음 5장 #"&amp;SUBSTITUTE(안내!$C$5," ","")</f>
        <v>밤새 한 마리도 못 잡았는데 | 누가복음 5장 #1분성경</v>
      </c>
      <c r="AF599" s="24" t="s">
        <v>6418</v>
      </c>
      <c r="AG599" s="24"/>
      <c r="AH599" s="23" t="s">
        <v>290</v>
      </c>
      <c r="AI599" s="26" t="n">
        <f aca="false">U599-안내!$C$12</f>
        <v>46437</v>
      </c>
      <c r="AJ599" s="23" t="str">
        <f aca="false">IF(U599&lt;IF(C599=1,안내!$C$9,안내!$C$10)+안내!$C$12,"시즌 시작 전 제작","")</f>
        <v/>
      </c>
      <c r="AK599" s="24" t="s">
        <v>5675</v>
      </c>
      <c r="AL599" s="27"/>
      <c r="AM599" s="27"/>
      <c r="AN599" s="27"/>
      <c r="AO599" s="27"/>
      <c r="AP599" s="27"/>
      <c r="AQ599" s="23" t="str">
        <f aca="false">D599&amp;"|"&amp;TEXT(U599,"yyyy-mm-dd")</f>
        <v>신약|2027-03-19</v>
      </c>
      <c r="AR599" s="24" t="s">
        <v>6419</v>
      </c>
      <c r="AS599" s="24"/>
    </row>
    <row r="600" customFormat="false" ht="26.85" hidden="false" customHeight="false" outlineLevel="0" collapsed="false">
      <c r="A600" s="23" t="n">
        <v>599</v>
      </c>
      <c r="B600" s="31" t="s">
        <v>6420</v>
      </c>
      <c r="C600" s="23" t="n">
        <v>2</v>
      </c>
      <c r="D600" s="23" t="s">
        <v>5581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1" t="s">
        <v>6398</v>
      </c>
      <c r="H600" s="31" t="s">
        <v>6337</v>
      </c>
      <c r="I600" s="23" t="s">
        <v>6312</v>
      </c>
      <c r="J600" s="24" t="s">
        <v>6421</v>
      </c>
      <c r="K600" s="23" t="s">
        <v>165</v>
      </c>
      <c r="L600" s="24" t="s">
        <v>6422</v>
      </c>
      <c r="M600" s="24" t="s">
        <v>6423</v>
      </c>
      <c r="N600" s="23" t="s">
        <v>6424</v>
      </c>
      <c r="O600" s="24" t="s">
        <v>6425</v>
      </c>
      <c r="P600" s="24" t="s">
        <v>6426</v>
      </c>
      <c r="Q600" s="24" t="s">
        <v>6427</v>
      </c>
      <c r="R600" s="24"/>
      <c r="S600" s="24" t="s">
        <v>6428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174</v>
      </c>
      <c r="Y600" s="23" t="s">
        <v>174</v>
      </c>
      <c r="Z600" s="23" t="s">
        <v>174</v>
      </c>
      <c r="AA600" s="23" t="s">
        <v>174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  <c r="AE600" s="24" t="str">
        <f aca="false">M600&amp;" | 누가복음 7장 #"&amp;SUBSTITUTE(안내!$C$5," ","")</f>
        <v>과부의 외아들 장례 행렬을 멈추신 예수님 | 누가복음 7장 #1분성경</v>
      </c>
      <c r="AF600" s="24" t="s">
        <v>304</v>
      </c>
      <c r="AG600" s="24" t="s">
        <v>6429</v>
      </c>
      <c r="AH600" s="23" t="s">
        <v>290</v>
      </c>
      <c r="AI600" s="26" t="n">
        <f aca="false">U600-안내!$C$12</f>
        <v>46612</v>
      </c>
      <c r="AJ600" s="23" t="str">
        <f aca="false">IF(U600&lt;IF(C600=1,안내!$C$9,안내!$C$10)+안내!$C$12,"시즌 시작 전 제작","")</f>
        <v/>
      </c>
      <c r="AK600" s="24"/>
      <c r="AL600" s="27"/>
      <c r="AM600" s="27"/>
      <c r="AN600" s="27"/>
      <c r="AO600" s="27"/>
      <c r="AP600" s="27"/>
      <c r="AQ600" s="23" t="str">
        <f aca="false">D600&amp;"|"&amp;TEXT(U600,"yyyy-mm-dd")</f>
        <v>신약|2027-09-10</v>
      </c>
      <c r="AR600" s="24" t="s">
        <v>6430</v>
      </c>
      <c r="AS600" s="24"/>
    </row>
    <row r="601" customFormat="false" ht="26.85" hidden="false" customHeight="false" outlineLevel="0" collapsed="false">
      <c r="A601" s="23" t="n">
        <v>600</v>
      </c>
      <c r="B601" s="31" t="s">
        <v>6431</v>
      </c>
      <c r="C601" s="23" t="n">
        <v>2</v>
      </c>
      <c r="D601" s="23" t="s">
        <v>5581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1" t="s">
        <v>6398</v>
      </c>
      <c r="H601" s="31" t="s">
        <v>6337</v>
      </c>
      <c r="I601" s="23" t="s">
        <v>6312</v>
      </c>
      <c r="J601" s="24" t="s">
        <v>6432</v>
      </c>
      <c r="K601" s="23" t="s">
        <v>165</v>
      </c>
      <c r="L601" s="24" t="s">
        <v>6433</v>
      </c>
      <c r="M601" s="24" t="s">
        <v>6434</v>
      </c>
      <c r="N601" s="23" t="s">
        <v>6435</v>
      </c>
      <c r="O601" s="24" t="s">
        <v>6436</v>
      </c>
      <c r="P601" s="24" t="s">
        <v>6437</v>
      </c>
      <c r="Q601" s="24" t="s">
        <v>6438</v>
      </c>
      <c r="R601" s="25" t="s">
        <v>6439</v>
      </c>
      <c r="S601" s="24" t="s">
        <v>6428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174</v>
      </c>
      <c r="Y601" s="23" t="s">
        <v>174</v>
      </c>
      <c r="Z601" s="23" t="s">
        <v>174</v>
      </c>
      <c r="AA601" s="23" t="s">
        <v>174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  <c r="AE601" s="24" t="str">
        <f aca="false">M601&amp;" | 누가복음 7장 #"&amp;SUBSTITUTE(안내!$C$5," ","")</f>
        <v>많이 용서받은 자가 많이 사랑한다 | 누가복음 7장 #1분성경</v>
      </c>
      <c r="AF601" s="24" t="s">
        <v>304</v>
      </c>
      <c r="AG601" s="24"/>
      <c r="AH601" s="23" t="s">
        <v>290</v>
      </c>
      <c r="AI601" s="26" t="n">
        <f aca="false">U601-안내!$C$12</f>
        <v>46613</v>
      </c>
      <c r="AJ601" s="23" t="str">
        <f aca="false">IF(U601&lt;IF(C601=1,안내!$C$9,안내!$C$10)+안내!$C$12,"시즌 시작 전 제작","")</f>
        <v/>
      </c>
      <c r="AK601" s="24"/>
      <c r="AL601" s="27"/>
      <c r="AM601" s="27"/>
      <c r="AN601" s="27"/>
      <c r="AO601" s="27"/>
      <c r="AP601" s="27"/>
      <c r="AQ601" s="23" t="str">
        <f aca="false">D601&amp;"|"&amp;TEXT(U601,"yyyy-mm-dd")</f>
        <v>신약|2027-09-11</v>
      </c>
      <c r="AR601" s="24" t="s">
        <v>6440</v>
      </c>
      <c r="AS601" s="24"/>
    </row>
    <row r="602" customFormat="false" ht="39.55" hidden="false" customHeight="false" outlineLevel="0" collapsed="false">
      <c r="A602" s="23" t="n">
        <v>601</v>
      </c>
      <c r="B602" s="31" t="s">
        <v>6441</v>
      </c>
      <c r="C602" s="20" t="n">
        <v>1</v>
      </c>
      <c r="D602" s="20" t="s">
        <v>5581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1" t="s">
        <v>6398</v>
      </c>
      <c r="H602" s="31" t="s">
        <v>6409</v>
      </c>
      <c r="I602" s="23" t="s">
        <v>6312</v>
      </c>
      <c r="J602" s="24" t="s">
        <v>6442</v>
      </c>
      <c r="K602" s="23" t="s">
        <v>165</v>
      </c>
      <c r="L602" s="24" t="s">
        <v>6443</v>
      </c>
      <c r="M602" s="24" t="s">
        <v>6444</v>
      </c>
      <c r="N602" s="23" t="s">
        <v>6445</v>
      </c>
      <c r="O602" s="24" t="s">
        <v>6446</v>
      </c>
      <c r="P602" s="24" t="s">
        <v>6447</v>
      </c>
      <c r="Q602" s="24" t="s">
        <v>6448</v>
      </c>
      <c r="R602" s="25" t="s">
        <v>6449</v>
      </c>
      <c r="S602" s="29" t="s">
        <v>6450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174</v>
      </c>
      <c r="Y602" s="23" t="s">
        <v>174</v>
      </c>
      <c r="Z602" s="23" t="s">
        <v>174</v>
      </c>
      <c r="AA602" s="23" t="s">
        <v>174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  <c r="AE602" s="24" t="str">
        <f aca="false">M602&amp;" | 누가복음 10장 #"&amp;SUBSTITUTE(안내!$C$5," ","")</f>
        <v>누가 내 이웃입니까? | 누가복음 10장 #1분성경</v>
      </c>
      <c r="AF602" s="24" t="s">
        <v>6451</v>
      </c>
      <c r="AG602" s="24"/>
      <c r="AH602" s="23" t="s">
        <v>176</v>
      </c>
      <c r="AI602" s="26" t="n">
        <f aca="false">U602-안내!$C$12</f>
        <v>46438</v>
      </c>
      <c r="AJ602" s="23" t="str">
        <f aca="false">IF(U602&lt;IF(C602=1,안내!$C$9,안내!$C$10)+안내!$C$12,"시즌 시작 전 제작","")</f>
        <v/>
      </c>
      <c r="AK602" s="24"/>
      <c r="AL602" s="27"/>
      <c r="AM602" s="27"/>
      <c r="AN602" s="27"/>
      <c r="AO602" s="27"/>
      <c r="AP602" s="27"/>
      <c r="AQ602" s="23" t="str">
        <f aca="false">D602&amp;"|"&amp;TEXT(U602,"yyyy-mm-dd")</f>
        <v>신약|2027-03-20</v>
      </c>
      <c r="AR602" s="24" t="s">
        <v>6452</v>
      </c>
      <c r="AS602" s="24"/>
    </row>
    <row r="603" customFormat="false" ht="26.85" hidden="false" customHeight="false" outlineLevel="0" collapsed="false">
      <c r="A603" s="23" t="n">
        <v>602</v>
      </c>
      <c r="B603" s="31" t="s">
        <v>6453</v>
      </c>
      <c r="C603" s="20" t="n">
        <v>1</v>
      </c>
      <c r="D603" s="20" t="s">
        <v>5581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1" t="s">
        <v>6398</v>
      </c>
      <c r="H603" s="31" t="s">
        <v>6409</v>
      </c>
      <c r="I603" s="23" t="s">
        <v>6312</v>
      </c>
      <c r="J603" s="24" t="s">
        <v>6454</v>
      </c>
      <c r="K603" s="23" t="s">
        <v>165</v>
      </c>
      <c r="L603" s="24" t="s">
        <v>6455</v>
      </c>
      <c r="M603" s="24" t="s">
        <v>6456</v>
      </c>
      <c r="N603" s="23" t="s">
        <v>6457</v>
      </c>
      <c r="O603" s="24" t="s">
        <v>6458</v>
      </c>
      <c r="P603" s="24" t="s">
        <v>6459</v>
      </c>
      <c r="Q603" s="24" t="s">
        <v>6460</v>
      </c>
      <c r="R603" s="24"/>
      <c r="S603" s="24" t="s">
        <v>173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174</v>
      </c>
      <c r="Y603" s="23" t="s">
        <v>174</v>
      </c>
      <c r="Z603" s="23" t="s">
        <v>174</v>
      </c>
      <c r="AA603" s="23" t="s">
        <v>174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  <c r="AE603" s="24" t="str">
        <f aca="false">M603&amp;" | 누가복음 10장 #"&amp;SUBSTITUTE(안내!$C$5," ","")</f>
        <v>바쁜 언니와 앉아 있는 동생 | 누가복음 10장 #1분성경</v>
      </c>
      <c r="AF603" s="24" t="s">
        <v>6461</v>
      </c>
      <c r="AG603" s="24" t="s">
        <v>6462</v>
      </c>
      <c r="AH603" s="23" t="s">
        <v>290</v>
      </c>
      <c r="AI603" s="26" t="n">
        <f aca="false">U603-안내!$C$12</f>
        <v>46440</v>
      </c>
      <c r="AJ603" s="23" t="str">
        <f aca="false">IF(U603&lt;IF(C603=1,안내!$C$9,안내!$C$10)+안내!$C$12,"시즌 시작 전 제작","")</f>
        <v/>
      </c>
      <c r="AK603" s="24"/>
      <c r="AL603" s="27"/>
      <c r="AM603" s="27"/>
      <c r="AN603" s="27"/>
      <c r="AO603" s="27"/>
      <c r="AP603" s="27"/>
      <c r="AQ603" s="23" t="str">
        <f aca="false">D603&amp;"|"&amp;TEXT(U603,"yyyy-mm-dd")</f>
        <v>신약|2027-03-22</v>
      </c>
      <c r="AR603" s="24" t="s">
        <v>6463</v>
      </c>
      <c r="AS603" s="24"/>
    </row>
    <row r="604" customFormat="false" ht="26.85" hidden="false" customHeight="false" outlineLevel="0" collapsed="false">
      <c r="A604" s="23" t="n">
        <v>603</v>
      </c>
      <c r="B604" s="31" t="s">
        <v>6464</v>
      </c>
      <c r="C604" s="23" t="n">
        <v>2</v>
      </c>
      <c r="D604" s="23" t="s">
        <v>5581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1" t="s">
        <v>6398</v>
      </c>
      <c r="H604" s="31" t="s">
        <v>6337</v>
      </c>
      <c r="I604" s="23" t="s">
        <v>6312</v>
      </c>
      <c r="J604" s="24" t="s">
        <v>6465</v>
      </c>
      <c r="K604" s="23" t="s">
        <v>1370</v>
      </c>
      <c r="L604" s="24" t="s">
        <v>6466</v>
      </c>
      <c r="M604" s="24" t="s">
        <v>6467</v>
      </c>
      <c r="N604" s="23" t="s">
        <v>6468</v>
      </c>
      <c r="O604" s="24" t="s">
        <v>5738</v>
      </c>
      <c r="P604" s="24" t="s">
        <v>5719</v>
      </c>
      <c r="Q604" s="24" t="s">
        <v>6469</v>
      </c>
      <c r="R604" s="24"/>
      <c r="S604" s="24" t="s">
        <v>6470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174</v>
      </c>
      <c r="Y604" s="23" t="s">
        <v>174</v>
      </c>
      <c r="Z604" s="23" t="s">
        <v>174</v>
      </c>
      <c r="AA604" s="23" t="s">
        <v>174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  <c r="AE604" s="24" t="str">
        <f aca="false">M604&amp;" | 누가복음 11장 #"&amp;SUBSTITUTE(안내!$C$5," ","")</f>
        <v>한밤중에 문을 두드린 친구 | 누가복음 11장 #1분성경</v>
      </c>
      <c r="AF604" s="24" t="s">
        <v>304</v>
      </c>
      <c r="AG604" s="24"/>
      <c r="AH604" s="23" t="s">
        <v>290</v>
      </c>
      <c r="AI604" s="26" t="n">
        <f aca="false">U604-안내!$C$12</f>
        <v>46615</v>
      </c>
      <c r="AJ604" s="23" t="str">
        <f aca="false">IF(U604&lt;IF(C604=1,안내!$C$9,안내!$C$10)+안내!$C$12,"시즌 시작 전 제작","")</f>
        <v/>
      </c>
      <c r="AK604" s="24"/>
      <c r="AL604" s="27"/>
      <c r="AM604" s="27"/>
      <c r="AN604" s="27"/>
      <c r="AO604" s="27"/>
      <c r="AP604" s="27"/>
      <c r="AQ604" s="23" t="str">
        <f aca="false">D604&amp;"|"&amp;TEXT(U604,"yyyy-mm-dd")</f>
        <v>신약|2027-09-13</v>
      </c>
      <c r="AR604" s="24" t="s">
        <v>6471</v>
      </c>
      <c r="AS604" s="24"/>
    </row>
    <row r="605" customFormat="false" ht="26.85" hidden="false" customHeight="false" outlineLevel="0" collapsed="false">
      <c r="A605" s="23" t="n">
        <v>604</v>
      </c>
      <c r="B605" s="31" t="s">
        <v>6472</v>
      </c>
      <c r="C605" s="20" t="n">
        <v>1</v>
      </c>
      <c r="D605" s="20" t="s">
        <v>5581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1" t="s">
        <v>6398</v>
      </c>
      <c r="H605" s="31" t="s">
        <v>6409</v>
      </c>
      <c r="I605" s="23" t="s">
        <v>6312</v>
      </c>
      <c r="J605" s="24" t="s">
        <v>6473</v>
      </c>
      <c r="K605" s="23" t="s">
        <v>165</v>
      </c>
      <c r="L605" s="24" t="s">
        <v>6474</v>
      </c>
      <c r="M605" s="24" t="s">
        <v>6475</v>
      </c>
      <c r="N605" s="23" t="s">
        <v>6476</v>
      </c>
      <c r="O605" s="24" t="s">
        <v>6477</v>
      </c>
      <c r="P605" s="24" t="s">
        <v>6478</v>
      </c>
      <c r="Q605" s="24" t="s">
        <v>6479</v>
      </c>
      <c r="R605" s="24"/>
      <c r="S605" s="29" t="s">
        <v>6480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174</v>
      </c>
      <c r="Y605" s="23" t="s">
        <v>174</v>
      </c>
      <c r="Z605" s="23" t="s">
        <v>174</v>
      </c>
      <c r="AA605" s="23" t="s">
        <v>174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  <c r="AE605" s="24" t="str">
        <f aca="false">M605&amp;" | 누가복음 12장 #"&amp;SUBSTITUTE(안내!$C$5," ","")</f>
        <v>창고를 더 크게 짓겠다는 사람 | 누가복음 12장 #1분성경</v>
      </c>
      <c r="AF605" s="24" t="s">
        <v>6481</v>
      </c>
      <c r="AG605" s="24"/>
      <c r="AH605" s="23" t="s">
        <v>290</v>
      </c>
      <c r="AI605" s="26" t="n">
        <f aca="false">U605-안내!$C$12</f>
        <v>46442</v>
      </c>
      <c r="AJ605" s="23" t="str">
        <f aca="false">IF(U605&lt;IF(C605=1,안내!$C$9,안내!$C$10)+안내!$C$12,"시즌 시작 전 제작","")</f>
        <v/>
      </c>
      <c r="AK605" s="24"/>
      <c r="AL605" s="27"/>
      <c r="AM605" s="27"/>
      <c r="AN605" s="27"/>
      <c r="AO605" s="27"/>
      <c r="AP605" s="27"/>
      <c r="AQ605" s="23" t="str">
        <f aca="false">D605&amp;"|"&amp;TEXT(U605,"yyyy-mm-dd")</f>
        <v>신약|2027-03-24</v>
      </c>
      <c r="AR605" s="24" t="s">
        <v>6482</v>
      </c>
      <c r="AS605" s="24"/>
    </row>
    <row r="606" customFormat="false" ht="26.85" hidden="false" customHeight="false" outlineLevel="0" collapsed="false">
      <c r="A606" s="23" t="n">
        <v>605</v>
      </c>
      <c r="B606" s="31" t="s">
        <v>6483</v>
      </c>
      <c r="C606" s="23" t="n">
        <v>2</v>
      </c>
      <c r="D606" s="23" t="s">
        <v>5581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1" t="s">
        <v>6398</v>
      </c>
      <c r="H606" s="31" t="s">
        <v>6337</v>
      </c>
      <c r="I606" s="23" t="s">
        <v>6312</v>
      </c>
      <c r="J606" s="24" t="s">
        <v>6484</v>
      </c>
      <c r="K606" s="23" t="s">
        <v>165</v>
      </c>
      <c r="L606" s="30" t="s">
        <v>6485</v>
      </c>
      <c r="M606" s="24" t="s">
        <v>6486</v>
      </c>
      <c r="N606" s="23" t="s">
        <v>6487</v>
      </c>
      <c r="O606" s="24" t="s">
        <v>6488</v>
      </c>
      <c r="P606" s="24" t="s">
        <v>6489</v>
      </c>
      <c r="Q606" s="24" t="s">
        <v>6490</v>
      </c>
      <c r="R606" s="24"/>
      <c r="S606" s="24" t="s">
        <v>6491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174</v>
      </c>
      <c r="Y606" s="23" t="s">
        <v>174</v>
      </c>
      <c r="Z606" s="23" t="s">
        <v>174</v>
      </c>
      <c r="AA606" s="23" t="s">
        <v>174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  <c r="AE606" s="24" t="str">
        <f aca="false">M606&amp;" | 누가복음 13장 #"&amp;SUBSTITUTE(안내!$C$5," ","")</f>
        <v>안식일에 고침받은 여인 | 누가복음 13장 #1분성경</v>
      </c>
      <c r="AF606" s="24" t="s">
        <v>304</v>
      </c>
      <c r="AG606" s="24"/>
      <c r="AH606" s="23" t="s">
        <v>290</v>
      </c>
      <c r="AI606" s="26" t="n">
        <f aca="false">U606-안내!$C$12</f>
        <v>46617</v>
      </c>
      <c r="AJ606" s="23" t="str">
        <f aca="false">IF(U606&lt;IF(C606=1,안내!$C$9,안내!$C$10)+안내!$C$12,"시즌 시작 전 제작","")</f>
        <v/>
      </c>
      <c r="AK606" s="24"/>
      <c r="AL606" s="27"/>
      <c r="AM606" s="27"/>
      <c r="AN606" s="27"/>
      <c r="AO606" s="27"/>
      <c r="AP606" s="27"/>
      <c r="AQ606" s="23" t="str">
        <f aca="false">D606&amp;"|"&amp;TEXT(U606,"yyyy-mm-dd")</f>
        <v>신약|2027-09-15</v>
      </c>
      <c r="AR606" s="24" t="s">
        <v>6492</v>
      </c>
      <c r="AS606" s="24"/>
    </row>
    <row r="607" customFormat="false" ht="26.85" hidden="false" customHeight="false" outlineLevel="0" collapsed="false">
      <c r="A607" s="23" t="n">
        <v>606</v>
      </c>
      <c r="B607" s="31" t="s">
        <v>6493</v>
      </c>
      <c r="C607" s="23" t="n">
        <v>2</v>
      </c>
      <c r="D607" s="23" t="s">
        <v>5581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1" t="s">
        <v>6398</v>
      </c>
      <c r="H607" s="31" t="s">
        <v>6337</v>
      </c>
      <c r="I607" s="23" t="s">
        <v>6312</v>
      </c>
      <c r="J607" s="24" t="s">
        <v>6494</v>
      </c>
      <c r="K607" s="23" t="s">
        <v>165</v>
      </c>
      <c r="L607" s="24" t="s">
        <v>6495</v>
      </c>
      <c r="M607" s="24" t="s">
        <v>6496</v>
      </c>
      <c r="N607" s="23" t="s">
        <v>6497</v>
      </c>
      <c r="O607" s="24" t="s">
        <v>6498</v>
      </c>
      <c r="P607" s="24" t="s">
        <v>6499</v>
      </c>
      <c r="Q607" s="24" t="s">
        <v>6500</v>
      </c>
      <c r="R607" s="24"/>
      <c r="S607" s="24" t="s">
        <v>6491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174</v>
      </c>
      <c r="Y607" s="23" t="s">
        <v>174</v>
      </c>
      <c r="Z607" s="23" t="s">
        <v>174</v>
      </c>
      <c r="AA607" s="23" t="s">
        <v>174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  <c r="AE607" s="24" t="str">
        <f aca="false">M607&amp;" | 누가복음 14장 #"&amp;SUBSTITUTE(안내!$C$5," ","")</f>
        <v>초대받은 사람들이 모두 핑계를 댔다 | 누가복음 14장 #1분성경</v>
      </c>
      <c r="AF607" s="24" t="s">
        <v>304</v>
      </c>
      <c r="AG607" s="24"/>
      <c r="AH607" s="23" t="s">
        <v>290</v>
      </c>
      <c r="AI607" s="26" t="n">
        <f aca="false">U607-안내!$C$12</f>
        <v>46619</v>
      </c>
      <c r="AJ607" s="23" t="str">
        <f aca="false">IF(U607&lt;IF(C607=1,안내!$C$9,안내!$C$10)+안내!$C$12,"시즌 시작 전 제작","")</f>
        <v/>
      </c>
      <c r="AK607" s="24"/>
      <c r="AL607" s="27"/>
      <c r="AM607" s="27"/>
      <c r="AN607" s="27"/>
      <c r="AO607" s="27"/>
      <c r="AP607" s="27"/>
      <c r="AQ607" s="23" t="str">
        <f aca="false">D607&amp;"|"&amp;TEXT(U607,"yyyy-mm-dd")</f>
        <v>신약|2027-09-17</v>
      </c>
      <c r="AR607" s="24" t="s">
        <v>6501</v>
      </c>
      <c r="AS607" s="24"/>
    </row>
    <row r="608" customFormat="false" ht="39.55" hidden="false" customHeight="false" outlineLevel="0" collapsed="false">
      <c r="A608" s="23" t="n">
        <v>607</v>
      </c>
      <c r="B608" s="31" t="s">
        <v>6502</v>
      </c>
      <c r="C608" s="20" t="n">
        <v>1</v>
      </c>
      <c r="D608" s="20" t="s">
        <v>5581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1" t="s">
        <v>6503</v>
      </c>
      <c r="H608" s="31" t="s">
        <v>6409</v>
      </c>
      <c r="I608" s="23" t="s">
        <v>6312</v>
      </c>
      <c r="J608" s="24" t="s">
        <v>6504</v>
      </c>
      <c r="K608" s="23" t="s">
        <v>165</v>
      </c>
      <c r="L608" s="24" t="s">
        <v>6505</v>
      </c>
      <c r="M608" s="30" t="s">
        <v>6506</v>
      </c>
      <c r="N608" s="23" t="s">
        <v>6507</v>
      </c>
      <c r="O608" s="24" t="s">
        <v>6508</v>
      </c>
      <c r="P608" s="24" t="s">
        <v>6509</v>
      </c>
      <c r="Q608" s="24" t="s">
        <v>6510</v>
      </c>
      <c r="R608" s="24"/>
      <c r="S608" s="29" t="s">
        <v>6511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174</v>
      </c>
      <c r="Y608" s="23" t="s">
        <v>174</v>
      </c>
      <c r="Z608" s="23" t="s">
        <v>174</v>
      </c>
      <c r="AA608" s="23" t="s">
        <v>174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  <c r="AE608" s="24" t="str">
        <f aca="false">M608&amp;" | 누가복음 15장 #"&amp;SUBSTITUTE(안내!$C$5," ","")</f>
        <v>99마리를 두고 한 마리를 찾으러 | 누가복음 15장 #1분성경</v>
      </c>
      <c r="AF608" s="24" t="s">
        <v>6512</v>
      </c>
      <c r="AG608" s="24"/>
      <c r="AH608" s="23" t="s">
        <v>360</v>
      </c>
      <c r="AI608" s="26" t="n">
        <f aca="false">U608-안내!$C$12</f>
        <v>46444</v>
      </c>
      <c r="AJ608" s="23" t="str">
        <f aca="false">IF(U608&lt;IF(C608=1,안내!$C$9,안내!$C$10)+안내!$C$12,"시즌 시작 전 제작","")</f>
        <v/>
      </c>
      <c r="AK608" s="24"/>
      <c r="AL608" s="27"/>
      <c r="AM608" s="27"/>
      <c r="AN608" s="27"/>
      <c r="AO608" s="27"/>
      <c r="AP608" s="27"/>
      <c r="AQ608" s="23" t="str">
        <f aca="false">D608&amp;"|"&amp;TEXT(U608,"yyyy-mm-dd")</f>
        <v>신약|2027-03-26</v>
      </c>
      <c r="AR608" s="24" t="s">
        <v>6513</v>
      </c>
      <c r="AS608" s="24"/>
    </row>
    <row r="609" customFormat="false" ht="26.85" hidden="false" customHeight="false" outlineLevel="0" collapsed="false">
      <c r="A609" s="23" t="n">
        <v>608</v>
      </c>
      <c r="B609" s="31" t="s">
        <v>6514</v>
      </c>
      <c r="C609" s="20" t="n">
        <v>1</v>
      </c>
      <c r="D609" s="20" t="s">
        <v>5581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1" t="s">
        <v>6503</v>
      </c>
      <c r="H609" s="31" t="s">
        <v>6409</v>
      </c>
      <c r="I609" s="23" t="s">
        <v>6312</v>
      </c>
      <c r="J609" s="24" t="s">
        <v>6515</v>
      </c>
      <c r="K609" s="23" t="s">
        <v>165</v>
      </c>
      <c r="L609" s="24" t="s">
        <v>6516</v>
      </c>
      <c r="M609" s="24" t="s">
        <v>6517</v>
      </c>
      <c r="N609" s="23" t="s">
        <v>6518</v>
      </c>
      <c r="O609" s="24" t="s">
        <v>6519</v>
      </c>
      <c r="P609" s="24" t="s">
        <v>6520</v>
      </c>
      <c r="Q609" s="24" t="s">
        <v>6521</v>
      </c>
      <c r="R609" s="24"/>
      <c r="S609" s="24" t="s">
        <v>173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174</v>
      </c>
      <c r="Y609" s="23" t="s">
        <v>174</v>
      </c>
      <c r="Z609" s="23" t="s">
        <v>174</v>
      </c>
      <c r="AA609" s="23" t="s">
        <v>174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  <c r="AE609" s="24" t="str">
        <f aca="false">M609&amp;" | 누가복음 15장 #"&amp;SUBSTITUTE(안내!$C$5," ","")</f>
        <v>아직 거리가 먼데 아버지가 달려왔다 | 누가복음 15장 #1분성경</v>
      </c>
      <c r="AF609" s="24" t="s">
        <v>6522</v>
      </c>
      <c r="AG609" s="24"/>
      <c r="AH609" s="23" t="s">
        <v>290</v>
      </c>
      <c r="AI609" s="26" t="n">
        <f aca="false">U609-안내!$C$12</f>
        <v>46445</v>
      </c>
      <c r="AJ609" s="23" t="str">
        <f aca="false">IF(U609&lt;IF(C609=1,안내!$C$9,안내!$C$10)+안내!$C$12,"시즌 시작 전 제작","")</f>
        <v/>
      </c>
      <c r="AK609" s="24"/>
      <c r="AL609" s="27"/>
      <c r="AM609" s="27"/>
      <c r="AN609" s="27"/>
      <c r="AO609" s="27"/>
      <c r="AP609" s="27"/>
      <c r="AQ609" s="23" t="str">
        <f aca="false">D609&amp;"|"&amp;TEXT(U609,"yyyy-mm-dd")</f>
        <v>신약|2027-03-27</v>
      </c>
      <c r="AR609" s="24" t="s">
        <v>6523</v>
      </c>
      <c r="AS609" s="24"/>
    </row>
    <row r="610" customFormat="false" ht="26.85" hidden="false" customHeight="false" outlineLevel="0" collapsed="false">
      <c r="A610" s="23" t="n">
        <v>609</v>
      </c>
      <c r="B610" s="31" t="s">
        <v>6524</v>
      </c>
      <c r="C610" s="23" t="n">
        <v>2</v>
      </c>
      <c r="D610" s="23" t="s">
        <v>5581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1" t="s">
        <v>6503</v>
      </c>
      <c r="H610" s="31" t="s">
        <v>6525</v>
      </c>
      <c r="I610" s="23" t="s">
        <v>6312</v>
      </c>
      <c r="J610" s="24" t="s">
        <v>6526</v>
      </c>
      <c r="K610" s="23" t="s">
        <v>165</v>
      </c>
      <c r="L610" s="24" t="s">
        <v>6527</v>
      </c>
      <c r="M610" s="24" t="s">
        <v>6528</v>
      </c>
      <c r="N610" s="23" t="s">
        <v>6529</v>
      </c>
      <c r="O610" s="24" t="s">
        <v>6530</v>
      </c>
      <c r="P610" s="24" t="s">
        <v>6531</v>
      </c>
      <c r="Q610" s="24" t="s">
        <v>6532</v>
      </c>
      <c r="R610" s="25" t="s">
        <v>6533</v>
      </c>
      <c r="S610" s="24" t="s">
        <v>6534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174</v>
      </c>
      <c r="Y610" s="23" t="s">
        <v>174</v>
      </c>
      <c r="Z610" s="23" t="s">
        <v>174</v>
      </c>
      <c r="AA610" s="23" t="s">
        <v>174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  <c r="AE610" s="24" t="str">
        <f aca="false">M610&amp;" | 누가복음 16장 #"&amp;SUBSTITUTE(안내!$C$5," ","")</f>
        <v>대문 앞의 가난한 사람 | 누가복음 16장 #1분성경</v>
      </c>
      <c r="AF610" s="24" t="s">
        <v>304</v>
      </c>
      <c r="AG610" s="24"/>
      <c r="AH610" s="23" t="s">
        <v>290</v>
      </c>
      <c r="AI610" s="26" t="n">
        <f aca="false">U610-안내!$C$12</f>
        <v>46620</v>
      </c>
      <c r="AJ610" s="23" t="str">
        <f aca="false">IF(U610&lt;IF(C610=1,안내!$C$9,안내!$C$10)+안내!$C$12,"시즌 시작 전 제작","")</f>
        <v/>
      </c>
      <c r="AK610" s="24"/>
      <c r="AL610" s="27"/>
      <c r="AM610" s="27"/>
      <c r="AN610" s="27"/>
      <c r="AO610" s="27"/>
      <c r="AP610" s="27"/>
      <c r="AQ610" s="23" t="str">
        <f aca="false">D610&amp;"|"&amp;TEXT(U610,"yyyy-mm-dd")</f>
        <v>신약|2027-09-18</v>
      </c>
      <c r="AR610" s="24" t="s">
        <v>6535</v>
      </c>
      <c r="AS610" s="24"/>
    </row>
    <row r="611" customFormat="false" ht="26.85" hidden="false" customHeight="false" outlineLevel="0" collapsed="false">
      <c r="A611" s="23" t="n">
        <v>610</v>
      </c>
      <c r="B611" s="31" t="s">
        <v>6536</v>
      </c>
      <c r="C611" s="20" t="n">
        <v>1</v>
      </c>
      <c r="D611" s="20" t="s">
        <v>5581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1" t="s">
        <v>6503</v>
      </c>
      <c r="H611" s="31" t="s">
        <v>6409</v>
      </c>
      <c r="I611" s="23" t="s">
        <v>6312</v>
      </c>
      <c r="J611" s="24" t="s">
        <v>6537</v>
      </c>
      <c r="K611" s="23" t="s">
        <v>165</v>
      </c>
      <c r="L611" s="24" t="s">
        <v>6538</v>
      </c>
      <c r="M611" s="24" t="s">
        <v>6539</v>
      </c>
      <c r="N611" s="23" t="s">
        <v>6540</v>
      </c>
      <c r="O611" s="24" t="s">
        <v>6541</v>
      </c>
      <c r="P611" s="24" t="s">
        <v>6542</v>
      </c>
      <c r="Q611" s="24" t="s">
        <v>6543</v>
      </c>
      <c r="R611" s="24"/>
      <c r="S611" s="29" t="s">
        <v>6544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174</v>
      </c>
      <c r="Y611" s="23" t="s">
        <v>174</v>
      </c>
      <c r="Z611" s="23" t="s">
        <v>174</v>
      </c>
      <c r="AA611" s="23" t="s">
        <v>174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  <c r="AE611" s="24" t="str">
        <f aca="false">M611&amp;" | 누가복음 17장 #"&amp;SUBSTITUTE(안내!$C$5," ","")</f>
        <v>열 명이 나았는데 한 명만 돌아왔다 | 누가복음 17장 #1분성경</v>
      </c>
      <c r="AF611" s="24" t="s">
        <v>6545</v>
      </c>
      <c r="AG611" s="24"/>
      <c r="AH611" s="23" t="s">
        <v>290</v>
      </c>
      <c r="AI611" s="26" t="n">
        <f aca="false">U611-안내!$C$12</f>
        <v>46447</v>
      </c>
      <c r="AJ611" s="23" t="str">
        <f aca="false">IF(U611&lt;IF(C611=1,안내!$C$9,안내!$C$10)+안내!$C$12,"시즌 시작 전 제작","")</f>
        <v/>
      </c>
      <c r="AK611" s="24"/>
      <c r="AL611" s="27"/>
      <c r="AM611" s="27"/>
      <c r="AN611" s="27"/>
      <c r="AO611" s="27"/>
      <c r="AP611" s="27"/>
      <c r="AQ611" s="23" t="str">
        <f aca="false">D611&amp;"|"&amp;TEXT(U611,"yyyy-mm-dd")</f>
        <v>신약|2027-03-29</v>
      </c>
      <c r="AR611" s="24" t="s">
        <v>6546</v>
      </c>
      <c r="AS611" s="24"/>
    </row>
    <row r="612" customFormat="false" ht="39.55" hidden="false" customHeight="false" outlineLevel="0" collapsed="false">
      <c r="A612" s="23" t="n">
        <v>611</v>
      </c>
      <c r="B612" s="31" t="s">
        <v>6547</v>
      </c>
      <c r="C612" s="20" t="n">
        <v>1</v>
      </c>
      <c r="D612" s="20" t="s">
        <v>5581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1" t="s">
        <v>6503</v>
      </c>
      <c r="H612" s="31" t="s">
        <v>6409</v>
      </c>
      <c r="I612" s="23" t="s">
        <v>6312</v>
      </c>
      <c r="J612" s="24" t="s">
        <v>6548</v>
      </c>
      <c r="K612" s="23" t="s">
        <v>165</v>
      </c>
      <c r="L612" s="24" t="s">
        <v>6549</v>
      </c>
      <c r="M612" s="24" t="s">
        <v>6550</v>
      </c>
      <c r="N612" s="23" t="s">
        <v>6551</v>
      </c>
      <c r="O612" s="24" t="s">
        <v>6552</v>
      </c>
      <c r="P612" s="24" t="s">
        <v>6553</v>
      </c>
      <c r="Q612" s="24" t="s">
        <v>6393</v>
      </c>
      <c r="R612" s="24"/>
      <c r="S612" s="24" t="s">
        <v>173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174</v>
      </c>
      <c r="Y612" s="23" t="s">
        <v>174</v>
      </c>
      <c r="Z612" s="23" t="s">
        <v>174</v>
      </c>
      <c r="AA612" s="23" t="s">
        <v>174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  <c r="AE612" s="24" t="str">
        <f aca="false">M612&amp;" | 누가복음 18장 #"&amp;SUBSTITUTE(안내!$C$5," ","")</f>
        <v>하나님 불쌍히 여기소서 나는 죄인이로소이다 | 누가복음 18장 #1분성경</v>
      </c>
      <c r="AF612" s="24" t="s">
        <v>6554</v>
      </c>
      <c r="AG612" s="24"/>
      <c r="AH612" s="23" t="s">
        <v>290</v>
      </c>
      <c r="AI612" s="26" t="n">
        <f aca="false">U612-안내!$C$12</f>
        <v>46449</v>
      </c>
      <c r="AJ612" s="23" t="str">
        <f aca="false">IF(U612&lt;IF(C612=1,안내!$C$9,안내!$C$10)+안내!$C$12,"시즌 시작 전 제작","")</f>
        <v/>
      </c>
      <c r="AK612" s="24"/>
      <c r="AL612" s="27"/>
      <c r="AM612" s="27"/>
      <c r="AN612" s="27"/>
      <c r="AO612" s="27"/>
      <c r="AP612" s="27"/>
      <c r="AQ612" s="23" t="str">
        <f aca="false">D612&amp;"|"&amp;TEXT(U612,"yyyy-mm-dd")</f>
        <v>신약|2027-03-31</v>
      </c>
      <c r="AR612" s="24" t="s">
        <v>6555</v>
      </c>
      <c r="AS612" s="24"/>
    </row>
    <row r="613" customFormat="false" ht="26.85" hidden="false" customHeight="false" outlineLevel="0" collapsed="false">
      <c r="A613" s="23" t="n">
        <v>612</v>
      </c>
      <c r="B613" s="31" t="s">
        <v>6556</v>
      </c>
      <c r="C613" s="20" t="n">
        <v>1</v>
      </c>
      <c r="D613" s="20" t="s">
        <v>5581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1" t="s">
        <v>6503</v>
      </c>
      <c r="H613" s="31" t="s">
        <v>6409</v>
      </c>
      <c r="I613" s="23" t="s">
        <v>6312</v>
      </c>
      <c r="J613" s="24" t="s">
        <v>6557</v>
      </c>
      <c r="K613" s="23" t="s">
        <v>165</v>
      </c>
      <c r="L613" s="24" t="s">
        <v>6558</v>
      </c>
      <c r="M613" s="24" t="s">
        <v>6559</v>
      </c>
      <c r="N613" s="23" t="s">
        <v>6560</v>
      </c>
      <c r="O613" s="24" t="s">
        <v>6561</v>
      </c>
      <c r="P613" s="24" t="s">
        <v>6562</v>
      </c>
      <c r="Q613" s="24" t="s">
        <v>6563</v>
      </c>
      <c r="R613" s="24"/>
      <c r="S613" s="24" t="s">
        <v>173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174</v>
      </c>
      <c r="Y613" s="23" t="s">
        <v>174</v>
      </c>
      <c r="Z613" s="23" t="s">
        <v>174</v>
      </c>
      <c r="AA613" s="23" t="s">
        <v>174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  <c r="AE613" s="24" t="str">
        <f aca="false">M613&amp;" | 누가복음 19장 #"&amp;SUBSTITUTE(안내!$C$5," ","")</f>
        <v>키 작은 세리장이 나무에 올라갔다 | 누가복음 19장 #1분성경</v>
      </c>
      <c r="AF613" s="24" t="s">
        <v>6564</v>
      </c>
      <c r="AG613" s="24" t="s">
        <v>6565</v>
      </c>
      <c r="AH613" s="23" t="s">
        <v>290</v>
      </c>
      <c r="AI613" s="26" t="n">
        <f aca="false">U613-안내!$C$12</f>
        <v>46451</v>
      </c>
      <c r="AJ613" s="23" t="str">
        <f aca="false">IF(U613&lt;IF(C613=1,안내!$C$9,안내!$C$10)+안내!$C$12,"시즌 시작 전 제작","")</f>
        <v/>
      </c>
      <c r="AK613" s="24"/>
      <c r="AL613" s="27"/>
      <c r="AM613" s="27"/>
      <c r="AN613" s="27"/>
      <c r="AO613" s="27"/>
      <c r="AP613" s="27"/>
      <c r="AQ613" s="23" t="str">
        <f aca="false">D613&amp;"|"&amp;TEXT(U613,"yyyy-mm-dd")</f>
        <v>신약|2027-04-02</v>
      </c>
      <c r="AR613" s="24" t="s">
        <v>6566</v>
      </c>
      <c r="AS613" s="24"/>
    </row>
    <row r="614" customFormat="false" ht="26.85" hidden="false" customHeight="false" outlineLevel="0" collapsed="false">
      <c r="A614" s="23" t="n">
        <v>613</v>
      </c>
      <c r="B614" s="31" t="s">
        <v>6567</v>
      </c>
      <c r="C614" s="23" t="n">
        <v>2</v>
      </c>
      <c r="D614" s="23" t="s">
        <v>5581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1" t="s">
        <v>6503</v>
      </c>
      <c r="H614" s="31" t="s">
        <v>6525</v>
      </c>
      <c r="I614" s="23" t="s">
        <v>6312</v>
      </c>
      <c r="J614" s="24" t="s">
        <v>6568</v>
      </c>
      <c r="K614" s="23" t="s">
        <v>165</v>
      </c>
      <c r="L614" s="24" t="s">
        <v>6569</v>
      </c>
      <c r="M614" s="24" t="s">
        <v>6570</v>
      </c>
      <c r="N614" s="23" t="s">
        <v>6571</v>
      </c>
      <c r="O614" s="24" t="s">
        <v>6572</v>
      </c>
      <c r="P614" s="24" t="s">
        <v>6573</v>
      </c>
      <c r="Q614" s="24" t="s">
        <v>6029</v>
      </c>
      <c r="R614" s="24"/>
      <c r="S614" s="24" t="s">
        <v>6574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174</v>
      </c>
      <c r="Y614" s="23" t="s">
        <v>174</v>
      </c>
      <c r="Z614" s="23" t="s">
        <v>174</v>
      </c>
      <c r="AA614" s="23" t="s">
        <v>174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  <c r="AE614" s="24" t="str">
        <f aca="false">M614&amp;" | 누가복음 22장 #"&amp;SUBSTITUTE(안내!$C$5," ","")</f>
        <v>감람산의 마지막 기도 | 누가복음 22장 #1분성경</v>
      </c>
      <c r="AF614" s="24" t="s">
        <v>304</v>
      </c>
      <c r="AG614" s="24"/>
      <c r="AH614" s="23" t="s">
        <v>290</v>
      </c>
      <c r="AI614" s="26" t="n">
        <f aca="false">U614-안내!$C$12</f>
        <v>46622</v>
      </c>
      <c r="AJ614" s="23" t="str">
        <f aca="false">IF(U614&lt;IF(C614=1,안내!$C$9,안내!$C$10)+안내!$C$12,"시즌 시작 전 제작","")</f>
        <v/>
      </c>
      <c r="AK614" s="24"/>
      <c r="AL614" s="27"/>
      <c r="AM614" s="27"/>
      <c r="AN614" s="27"/>
      <c r="AO614" s="27"/>
      <c r="AP614" s="27"/>
      <c r="AQ614" s="23" t="str">
        <f aca="false">D614&amp;"|"&amp;TEXT(U614,"yyyy-mm-dd")</f>
        <v>신약|2027-09-20</v>
      </c>
      <c r="AR614" s="24" t="s">
        <v>6575</v>
      </c>
      <c r="AS614" s="24"/>
    </row>
    <row r="615" customFormat="false" ht="26.85" hidden="false" customHeight="false" outlineLevel="0" collapsed="false">
      <c r="A615" s="23" t="n">
        <v>614</v>
      </c>
      <c r="B615" s="31" t="s">
        <v>6576</v>
      </c>
      <c r="C615" s="20" t="n">
        <v>1</v>
      </c>
      <c r="D615" s="20" t="s">
        <v>5581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1" t="s">
        <v>6503</v>
      </c>
      <c r="H615" s="31" t="s">
        <v>6409</v>
      </c>
      <c r="I615" s="23" t="s">
        <v>6312</v>
      </c>
      <c r="J615" s="24" t="s">
        <v>6577</v>
      </c>
      <c r="K615" s="23" t="s">
        <v>165</v>
      </c>
      <c r="L615" s="24" t="s">
        <v>6578</v>
      </c>
      <c r="M615" s="24" t="s">
        <v>6579</v>
      </c>
      <c r="N615" s="23" t="s">
        <v>6580</v>
      </c>
      <c r="O615" s="24" t="s">
        <v>6581</v>
      </c>
      <c r="P615" s="24" t="s">
        <v>6582</v>
      </c>
      <c r="Q615" s="24" t="s">
        <v>6583</v>
      </c>
      <c r="R615" s="25" t="s">
        <v>6584</v>
      </c>
      <c r="S615" s="29" t="s">
        <v>6585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174</v>
      </c>
      <c r="Y615" s="23" t="s">
        <v>174</v>
      </c>
      <c r="Z615" s="23" t="s">
        <v>174</v>
      </c>
      <c r="AA615" s="23" t="s">
        <v>174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  <c r="AE615" s="24" t="str">
        <f aca="false">M615&amp;" | 누가복음 23장 #"&amp;SUBSTITUTE(안내!$C$5," ","")</f>
        <v>오늘 네가 나와 함께 낙원에 있으리라 | 누가복음 23장 #1분성경</v>
      </c>
      <c r="AF615" s="24" t="s">
        <v>6586</v>
      </c>
      <c r="AG615" s="24" t="s">
        <v>6587</v>
      </c>
      <c r="AH615" s="23" t="s">
        <v>290</v>
      </c>
      <c r="AI615" s="26" t="n">
        <f aca="false">U615-안내!$C$12</f>
        <v>46452</v>
      </c>
      <c r="AJ615" s="23" t="str">
        <f aca="false">IF(U615&lt;IF(C615=1,안내!$C$9,안내!$C$10)+안내!$C$12,"시즌 시작 전 제작","")</f>
        <v/>
      </c>
      <c r="AK615" s="24"/>
      <c r="AL615" s="27"/>
      <c r="AM615" s="27"/>
      <c r="AN615" s="27"/>
      <c r="AO615" s="27"/>
      <c r="AP615" s="27"/>
      <c r="AQ615" s="23" t="str">
        <f aca="false">D615&amp;"|"&amp;TEXT(U615,"yyyy-mm-dd")</f>
        <v>신약|2027-04-03</v>
      </c>
      <c r="AR615" s="24" t="s">
        <v>6588</v>
      </c>
      <c r="AS615" s="24"/>
    </row>
    <row r="616" customFormat="false" ht="26.85" hidden="false" customHeight="false" outlineLevel="0" collapsed="false">
      <c r="A616" s="23" t="n">
        <v>615</v>
      </c>
      <c r="B616" s="31" t="s">
        <v>6589</v>
      </c>
      <c r="C616" s="20" t="n">
        <v>1</v>
      </c>
      <c r="D616" s="20" t="s">
        <v>5581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1" t="s">
        <v>6503</v>
      </c>
      <c r="H616" s="31" t="s">
        <v>6409</v>
      </c>
      <c r="I616" s="23" t="s">
        <v>6312</v>
      </c>
      <c r="J616" s="24" t="s">
        <v>6590</v>
      </c>
      <c r="K616" s="23" t="s">
        <v>165</v>
      </c>
      <c r="L616" s="24" t="s">
        <v>6591</v>
      </c>
      <c r="M616" s="24" t="s">
        <v>6592</v>
      </c>
      <c r="N616" s="23" t="s">
        <v>6593</v>
      </c>
      <c r="O616" s="24" t="s">
        <v>6594</v>
      </c>
      <c r="P616" s="24" t="s">
        <v>6595</v>
      </c>
      <c r="Q616" s="24" t="s">
        <v>6596</v>
      </c>
      <c r="R616" s="24"/>
      <c r="S616" s="24" t="s">
        <v>173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174</v>
      </c>
      <c r="Y616" s="23" t="s">
        <v>174</v>
      </c>
      <c r="Z616" s="23" t="s">
        <v>174</v>
      </c>
      <c r="AA616" s="23" t="s">
        <v>174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  <c r="AE616" s="24" t="str">
        <f aca="false">M616&amp;" | 누가복음 24장 #"&amp;SUBSTITUTE(안내!$C$5," ","")</f>
        <v>함께 걷던 그분이 예수님이었다 | 누가복음 24장 #1분성경</v>
      </c>
      <c r="AF616" s="24" t="s">
        <v>6597</v>
      </c>
      <c r="AG616" s="24" t="s">
        <v>6598</v>
      </c>
      <c r="AH616" s="23" t="s">
        <v>290</v>
      </c>
      <c r="AI616" s="26" t="n">
        <f aca="false">U616-안내!$C$12</f>
        <v>46454</v>
      </c>
      <c r="AJ616" s="23" t="str">
        <f aca="false">IF(U616&lt;IF(C616=1,안내!$C$9,안내!$C$10)+안내!$C$12,"시즌 시작 전 제작","")</f>
        <v/>
      </c>
      <c r="AK616" s="24"/>
      <c r="AL616" s="27"/>
      <c r="AM616" s="27"/>
      <c r="AN616" s="27"/>
      <c r="AO616" s="27"/>
      <c r="AP616" s="27"/>
      <c r="AQ616" s="23" t="str">
        <f aca="false">D616&amp;"|"&amp;TEXT(U616,"yyyy-mm-dd")</f>
        <v>신약|2027-04-05</v>
      </c>
      <c r="AR616" s="24" t="s">
        <v>6599</v>
      </c>
      <c r="AS616" s="24"/>
    </row>
    <row r="617" customFormat="false" ht="26.85" hidden="false" customHeight="false" outlineLevel="0" collapsed="false">
      <c r="A617" s="23" t="n">
        <v>616</v>
      </c>
      <c r="B617" s="31" t="s">
        <v>6600</v>
      </c>
      <c r="C617" s="20" t="n">
        <v>1</v>
      </c>
      <c r="D617" s="20" t="s">
        <v>5581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1" t="s">
        <v>6503</v>
      </c>
      <c r="H617" s="31" t="s">
        <v>6409</v>
      </c>
      <c r="I617" s="23" t="s">
        <v>6312</v>
      </c>
      <c r="J617" s="24" t="s">
        <v>6601</v>
      </c>
      <c r="K617" s="23" t="s">
        <v>165</v>
      </c>
      <c r="L617" s="24" t="s">
        <v>6602</v>
      </c>
      <c r="M617" s="24" t="s">
        <v>6603</v>
      </c>
      <c r="N617" s="23" t="s">
        <v>6604</v>
      </c>
      <c r="O617" s="24" t="s">
        <v>6605</v>
      </c>
      <c r="P617" s="24" t="s">
        <v>5719</v>
      </c>
      <c r="Q617" s="24" t="s">
        <v>6606</v>
      </c>
      <c r="R617" s="24"/>
      <c r="S617" s="24" t="s">
        <v>173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174</v>
      </c>
      <c r="Y617" s="23" t="s">
        <v>174</v>
      </c>
      <c r="Z617" s="23" t="s">
        <v>174</v>
      </c>
      <c r="AA617" s="23" t="s">
        <v>174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  <c r="AE617" s="24" t="str">
        <f aca="false">M617&amp;" | 누가복음 24장 #"&amp;SUBSTITUTE(안내!$C$5," ","")</f>
        <v>축복하시며 하늘로 올려지신 예수님 | 누가복음 24장 #1분성경</v>
      </c>
      <c r="AF617" s="24" t="s">
        <v>6607</v>
      </c>
      <c r="AG617" s="24"/>
      <c r="AH617" s="23" t="s">
        <v>290</v>
      </c>
      <c r="AI617" s="26" t="n">
        <f aca="false">U617-안내!$C$12</f>
        <v>46456</v>
      </c>
      <c r="AJ617" s="23" t="str">
        <f aca="false">IF(U617&lt;IF(C617=1,안내!$C$9,안내!$C$10)+안내!$C$12,"시즌 시작 전 제작","")</f>
        <v/>
      </c>
      <c r="AK617" s="24"/>
      <c r="AL617" s="27"/>
      <c r="AM617" s="27"/>
      <c r="AN617" s="27"/>
      <c r="AO617" s="27"/>
      <c r="AP617" s="27"/>
      <c r="AQ617" s="23" t="str">
        <f aca="false">D617&amp;"|"&amp;TEXT(U617,"yyyy-mm-dd")</f>
        <v>신약|2027-04-07</v>
      </c>
      <c r="AR617" s="24" t="s">
        <v>6608</v>
      </c>
      <c r="AS617" s="24"/>
    </row>
    <row r="618" customFormat="false" ht="26.85" hidden="false" customHeight="false" outlineLevel="0" collapsed="false">
      <c r="A618" s="23" t="n">
        <v>617</v>
      </c>
      <c r="B618" s="31" t="s">
        <v>6609</v>
      </c>
      <c r="C618" s="20" t="n">
        <v>1</v>
      </c>
      <c r="D618" s="20" t="s">
        <v>5581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1" t="s">
        <v>6610</v>
      </c>
      <c r="H618" s="31" t="s">
        <v>6611</v>
      </c>
      <c r="I618" s="23" t="s">
        <v>6612</v>
      </c>
      <c r="J618" s="24" t="s">
        <v>6613</v>
      </c>
      <c r="K618" s="23" t="s">
        <v>165</v>
      </c>
      <c r="L618" s="24" t="s">
        <v>6614</v>
      </c>
      <c r="M618" s="24" t="s">
        <v>6615</v>
      </c>
      <c r="N618" s="23" t="s">
        <v>6616</v>
      </c>
      <c r="O618" s="24" t="s">
        <v>6617</v>
      </c>
      <c r="P618" s="24" t="s">
        <v>6618</v>
      </c>
      <c r="Q618" s="24" t="s">
        <v>6619</v>
      </c>
      <c r="R618" s="28" t="s">
        <v>6620</v>
      </c>
      <c r="S618" s="24" t="s">
        <v>173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174</v>
      </c>
      <c r="Y618" s="23" t="s">
        <v>174</v>
      </c>
      <c r="Z618" s="23" t="s">
        <v>174</v>
      </c>
      <c r="AA618" s="23" t="s">
        <v>174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  <c r="AE618" s="24" t="str">
        <f aca="false">M618&amp;" | 요한복음 1장 #"&amp;SUBSTITUTE(안내!$C$5," ","")</f>
        <v>창세기 1장 1절과 똑같이 시작하는 책 | 요한복음 1장 #1분성경</v>
      </c>
      <c r="AF618" s="24" t="s">
        <v>6621</v>
      </c>
      <c r="AG618" s="24"/>
      <c r="AH618" s="23" t="s">
        <v>360</v>
      </c>
      <c r="AI618" s="26" t="n">
        <f aca="false">U618-안내!$C$12</f>
        <v>46458</v>
      </c>
      <c r="AJ618" s="23" t="str">
        <f aca="false">IF(U618&lt;IF(C618=1,안내!$C$9,안내!$C$10)+안내!$C$12,"시즌 시작 전 제작","")</f>
        <v/>
      </c>
      <c r="AK618" s="24"/>
      <c r="AL618" s="27"/>
      <c r="AM618" s="27"/>
      <c r="AN618" s="27"/>
      <c r="AO618" s="27"/>
      <c r="AP618" s="27"/>
      <c r="AQ618" s="23" t="str">
        <f aca="false">D618&amp;"|"&amp;TEXT(U618,"yyyy-mm-dd")</f>
        <v>신약|2027-04-09</v>
      </c>
      <c r="AR618" s="24" t="s">
        <v>6622</v>
      </c>
      <c r="AS618" s="24"/>
    </row>
    <row r="619" customFormat="false" ht="26.85" hidden="false" customHeight="false" outlineLevel="0" collapsed="false">
      <c r="A619" s="23" t="n">
        <v>618</v>
      </c>
      <c r="B619" s="31" t="s">
        <v>6623</v>
      </c>
      <c r="C619" s="23" t="n">
        <v>2</v>
      </c>
      <c r="D619" s="23" t="s">
        <v>5581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1" t="s">
        <v>6610</v>
      </c>
      <c r="H619" s="31" t="s">
        <v>6525</v>
      </c>
      <c r="I619" s="23" t="s">
        <v>6612</v>
      </c>
      <c r="J619" s="24" t="s">
        <v>6624</v>
      </c>
      <c r="K619" s="23" t="s">
        <v>165</v>
      </c>
      <c r="L619" s="24" t="s">
        <v>6625</v>
      </c>
      <c r="M619" s="24" t="s">
        <v>6626</v>
      </c>
      <c r="N619" s="23" t="s">
        <v>6627</v>
      </c>
      <c r="O619" s="24" t="s">
        <v>6628</v>
      </c>
      <c r="P619" s="24" t="s">
        <v>6629</v>
      </c>
      <c r="Q619" s="24" t="s">
        <v>6630</v>
      </c>
      <c r="R619" s="24"/>
      <c r="S619" s="24" t="s">
        <v>6631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174</v>
      </c>
      <c r="Y619" s="23" t="s">
        <v>174</v>
      </c>
      <c r="Z619" s="23" t="s">
        <v>174</v>
      </c>
      <c r="AA619" s="23" t="s">
        <v>174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  <c r="AE619" s="24" t="str">
        <f aca="false">M619&amp;" | 요한복음 1장 #"&amp;SUBSTITUTE(안내!$C$5," ","")</f>
        <v>와서 보라 | 요한복음 1장 #1분성경</v>
      </c>
      <c r="AF619" s="24" t="s">
        <v>304</v>
      </c>
      <c r="AG619" s="24" t="s">
        <v>6632</v>
      </c>
      <c r="AH619" s="23" t="s">
        <v>290</v>
      </c>
      <c r="AI619" s="26" t="n">
        <f aca="false">U619-안내!$C$12</f>
        <v>46624</v>
      </c>
      <c r="AJ619" s="23" t="str">
        <f aca="false">IF(U619&lt;IF(C619=1,안내!$C$9,안내!$C$10)+안내!$C$12,"시즌 시작 전 제작","")</f>
        <v/>
      </c>
      <c r="AK619" s="24" t="s">
        <v>5640</v>
      </c>
      <c r="AL619" s="27"/>
      <c r="AM619" s="27"/>
      <c r="AN619" s="27"/>
      <c r="AO619" s="27"/>
      <c r="AP619" s="27"/>
      <c r="AQ619" s="23" t="str">
        <f aca="false">D619&amp;"|"&amp;TEXT(U619,"yyyy-mm-dd")</f>
        <v>신약|2027-09-22</v>
      </c>
      <c r="AR619" s="24" t="s">
        <v>6633</v>
      </c>
      <c r="AS619" s="24"/>
    </row>
    <row r="620" customFormat="false" ht="26.85" hidden="false" customHeight="false" outlineLevel="0" collapsed="false">
      <c r="A620" s="23" t="n">
        <v>619</v>
      </c>
      <c r="B620" s="31" t="s">
        <v>6634</v>
      </c>
      <c r="C620" s="20" t="n">
        <v>1</v>
      </c>
      <c r="D620" s="20" t="s">
        <v>5581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1" t="s">
        <v>6610</v>
      </c>
      <c r="H620" s="31" t="s">
        <v>6611</v>
      </c>
      <c r="I620" s="23" t="s">
        <v>6612</v>
      </c>
      <c r="J620" s="24" t="s">
        <v>6635</v>
      </c>
      <c r="K620" s="23" t="s">
        <v>165</v>
      </c>
      <c r="L620" s="24" t="s">
        <v>6636</v>
      </c>
      <c r="M620" s="24" t="s">
        <v>6637</v>
      </c>
      <c r="N620" s="23" t="s">
        <v>6638</v>
      </c>
      <c r="O620" s="24" t="s">
        <v>6639</v>
      </c>
      <c r="P620" s="24" t="s">
        <v>6640</v>
      </c>
      <c r="Q620" s="24" t="s">
        <v>6641</v>
      </c>
      <c r="R620" s="25" t="s">
        <v>6642</v>
      </c>
      <c r="S620" s="29" t="s">
        <v>6643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174</v>
      </c>
      <c r="Y620" s="23" t="s">
        <v>174</v>
      </c>
      <c r="Z620" s="23" t="s">
        <v>174</v>
      </c>
      <c r="AA620" s="23" t="s">
        <v>174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  <c r="AE620" s="24" t="str">
        <f aca="false">M620&amp;" | 요한복음 2장 #"&amp;SUBSTITUTE(안내!$C$5," ","")</f>
        <v>포도주가 떨어졌다 | 요한복음 2장 #1분성경</v>
      </c>
      <c r="AF620" s="24" t="s">
        <v>6644</v>
      </c>
      <c r="AG620" s="24" t="s">
        <v>6645</v>
      </c>
      <c r="AH620" s="23" t="s">
        <v>290</v>
      </c>
      <c r="AI620" s="26" t="n">
        <f aca="false">U620-안내!$C$12</f>
        <v>46459</v>
      </c>
      <c r="AJ620" s="23" t="str">
        <f aca="false">IF(U620&lt;IF(C620=1,안내!$C$9,안내!$C$10)+안내!$C$12,"시즌 시작 전 제작","")</f>
        <v/>
      </c>
      <c r="AK620" s="24"/>
      <c r="AL620" s="27"/>
      <c r="AM620" s="27"/>
      <c r="AN620" s="27"/>
      <c r="AO620" s="27"/>
      <c r="AP620" s="27"/>
      <c r="AQ620" s="23" t="str">
        <f aca="false">D620&amp;"|"&amp;TEXT(U620,"yyyy-mm-dd")</f>
        <v>신약|2027-04-10</v>
      </c>
      <c r="AR620" s="24" t="s">
        <v>6646</v>
      </c>
      <c r="AS620" s="24"/>
    </row>
    <row r="621" customFormat="false" ht="26.85" hidden="false" customHeight="false" outlineLevel="0" collapsed="false">
      <c r="A621" s="23" t="n">
        <v>620</v>
      </c>
      <c r="B621" s="31" t="s">
        <v>6647</v>
      </c>
      <c r="C621" s="23" t="n">
        <v>2</v>
      </c>
      <c r="D621" s="23" t="s">
        <v>5581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1" t="s">
        <v>6610</v>
      </c>
      <c r="H621" s="31" t="s">
        <v>6525</v>
      </c>
      <c r="I621" s="23" t="s">
        <v>6612</v>
      </c>
      <c r="J621" s="24" t="s">
        <v>6648</v>
      </c>
      <c r="K621" s="23" t="s">
        <v>165</v>
      </c>
      <c r="L621" s="24" t="s">
        <v>6649</v>
      </c>
      <c r="M621" s="24" t="s">
        <v>6650</v>
      </c>
      <c r="N621" s="23" t="s">
        <v>6651</v>
      </c>
      <c r="O621" s="24" t="s">
        <v>6652</v>
      </c>
      <c r="P621" s="24" t="s">
        <v>6653</v>
      </c>
      <c r="Q621" s="24" t="s">
        <v>3006</v>
      </c>
      <c r="R621" s="24"/>
      <c r="S621" s="24" t="s">
        <v>6654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174</v>
      </c>
      <c r="Y621" s="23" t="s">
        <v>174</v>
      </c>
      <c r="Z621" s="23" t="s">
        <v>174</v>
      </c>
      <c r="AA621" s="23" t="s">
        <v>174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  <c r="AE621" s="24" t="str">
        <f aca="false">M621&amp;" | 요한복음 2장 #"&amp;SUBSTITUTE(안내!$C$5," ","")</f>
        <v>채찍을 만들어 장사꾼을 내쫓으셨다 | 요한복음 2장 #1분성경</v>
      </c>
      <c r="AF621" s="24" t="s">
        <v>304</v>
      </c>
      <c r="AG621" s="24" t="s">
        <v>6655</v>
      </c>
      <c r="AH621" s="23" t="s">
        <v>290</v>
      </c>
      <c r="AI621" s="26" t="n">
        <f aca="false">U621-안내!$C$12</f>
        <v>46626</v>
      </c>
      <c r="AJ621" s="23" t="str">
        <f aca="false">IF(U621&lt;IF(C621=1,안내!$C$9,안내!$C$10)+안내!$C$12,"시즌 시작 전 제작","")</f>
        <v/>
      </c>
      <c r="AK621" s="24"/>
      <c r="AL621" s="27"/>
      <c r="AM621" s="27"/>
      <c r="AN621" s="27"/>
      <c r="AO621" s="27"/>
      <c r="AP621" s="27"/>
      <c r="AQ621" s="23" t="str">
        <f aca="false">D621&amp;"|"&amp;TEXT(U621,"yyyy-mm-dd")</f>
        <v>신약|2027-09-24</v>
      </c>
      <c r="AR621" s="24" t="s">
        <v>6656</v>
      </c>
      <c r="AS621" s="24"/>
    </row>
    <row r="622" customFormat="false" ht="26.85" hidden="false" customHeight="false" outlineLevel="0" collapsed="false">
      <c r="A622" s="23" t="n">
        <v>621</v>
      </c>
      <c r="B622" s="31" t="s">
        <v>6657</v>
      </c>
      <c r="C622" s="20" t="n">
        <v>1</v>
      </c>
      <c r="D622" s="20" t="s">
        <v>5581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1" t="s">
        <v>6610</v>
      </c>
      <c r="H622" s="31" t="s">
        <v>6611</v>
      </c>
      <c r="I622" s="23" t="s">
        <v>6612</v>
      </c>
      <c r="J622" s="24" t="s">
        <v>6658</v>
      </c>
      <c r="K622" s="23" t="s">
        <v>165</v>
      </c>
      <c r="L622" s="24" t="s">
        <v>6659</v>
      </c>
      <c r="M622" s="24" t="s">
        <v>6660</v>
      </c>
      <c r="N622" s="23" t="s">
        <v>6661</v>
      </c>
      <c r="O622" s="24" t="s">
        <v>6662</v>
      </c>
      <c r="P622" s="24" t="s">
        <v>6663</v>
      </c>
      <c r="Q622" s="24" t="s">
        <v>6664</v>
      </c>
      <c r="R622" s="25" t="s">
        <v>6665</v>
      </c>
      <c r="S622" s="29" t="s">
        <v>6666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174</v>
      </c>
      <c r="Y622" s="23" t="s">
        <v>174</v>
      </c>
      <c r="Z622" s="23" t="s">
        <v>174</v>
      </c>
      <c r="AA622" s="23" t="s">
        <v>174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  <c r="AE622" s="24" t="str">
        <f aca="false">M622&amp;" | 요한복음 3장 #"&amp;SUBSTITUTE(안내!$C$5," ","")</f>
        <v>다시 태어나야 한다고요? | 요한복음 3장 #1분성경</v>
      </c>
      <c r="AF622" s="24" t="s">
        <v>6667</v>
      </c>
      <c r="AG622" s="24" t="s">
        <v>6668</v>
      </c>
      <c r="AH622" s="23" t="s">
        <v>176</v>
      </c>
      <c r="AI622" s="26" t="n">
        <f aca="false">U622-안내!$C$12</f>
        <v>46461</v>
      </c>
      <c r="AJ622" s="23" t="str">
        <f aca="false">IF(U622&lt;IF(C622=1,안내!$C$9,안내!$C$10)+안내!$C$12,"시즌 시작 전 제작","")</f>
        <v/>
      </c>
      <c r="AK622" s="24"/>
      <c r="AL622" s="27"/>
      <c r="AM622" s="27"/>
      <c r="AN622" s="27"/>
      <c r="AO622" s="27"/>
      <c r="AP622" s="27"/>
      <c r="AQ622" s="23" t="str">
        <f aca="false">D622&amp;"|"&amp;TEXT(U622,"yyyy-mm-dd")</f>
        <v>신약|2027-04-12</v>
      </c>
      <c r="AR622" s="24" t="s">
        <v>6669</v>
      </c>
      <c r="AS622" s="24"/>
    </row>
    <row r="623" customFormat="false" ht="26.85" hidden="false" customHeight="false" outlineLevel="0" collapsed="false">
      <c r="A623" s="23" t="n">
        <v>622</v>
      </c>
      <c r="B623" s="31" t="s">
        <v>6670</v>
      </c>
      <c r="C623" s="20" t="n">
        <v>1</v>
      </c>
      <c r="D623" s="20" t="s">
        <v>5581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1" t="s">
        <v>6610</v>
      </c>
      <c r="H623" s="31" t="s">
        <v>6611</v>
      </c>
      <c r="I623" s="23" t="s">
        <v>6612</v>
      </c>
      <c r="J623" s="24" t="s">
        <v>6671</v>
      </c>
      <c r="K623" s="23" t="s">
        <v>165</v>
      </c>
      <c r="L623" s="24" t="s">
        <v>6672</v>
      </c>
      <c r="M623" s="24" t="s">
        <v>6673</v>
      </c>
      <c r="N623" s="23" t="s">
        <v>6674</v>
      </c>
      <c r="O623" s="24" t="s">
        <v>6675</v>
      </c>
      <c r="P623" s="24" t="s">
        <v>6676</v>
      </c>
      <c r="Q623" s="24" t="s">
        <v>6677</v>
      </c>
      <c r="R623" s="25" t="s">
        <v>6678</v>
      </c>
      <c r="S623" s="24" t="s">
        <v>173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174</v>
      </c>
      <c r="Y623" s="23" t="s">
        <v>174</v>
      </c>
      <c r="Z623" s="23" t="s">
        <v>174</v>
      </c>
      <c r="AA623" s="23" t="s">
        <v>174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  <c r="AE623" s="24" t="str">
        <f aca="false">M623&amp;" | 요한복음 4장 #"&amp;SUBSTITUTE(안내!$C$5," ","")</f>
        <v>한낮에 홀로 물 길러 나온 여인 | 요한복음 4장 #1분성경</v>
      </c>
      <c r="AF623" s="24" t="s">
        <v>6679</v>
      </c>
      <c r="AG623" s="24" t="s">
        <v>6680</v>
      </c>
      <c r="AH623" s="23" t="s">
        <v>290</v>
      </c>
      <c r="AI623" s="26" t="n">
        <f aca="false">U623-안내!$C$12</f>
        <v>46463</v>
      </c>
      <c r="AJ623" s="23" t="str">
        <f aca="false">IF(U623&lt;IF(C623=1,안내!$C$9,안내!$C$10)+안내!$C$12,"시즌 시작 전 제작","")</f>
        <v/>
      </c>
      <c r="AK623" s="24"/>
      <c r="AL623" s="27"/>
      <c r="AM623" s="27"/>
      <c r="AN623" s="27"/>
      <c r="AO623" s="27"/>
      <c r="AP623" s="27"/>
      <c r="AQ623" s="23" t="str">
        <f aca="false">D623&amp;"|"&amp;TEXT(U623,"yyyy-mm-dd")</f>
        <v>신약|2027-04-14</v>
      </c>
      <c r="AR623" s="24" t="s">
        <v>6681</v>
      </c>
      <c r="AS623" s="24"/>
    </row>
    <row r="624" customFormat="false" ht="26.85" hidden="false" customHeight="false" outlineLevel="0" collapsed="false">
      <c r="A624" s="23" t="n">
        <v>623</v>
      </c>
      <c r="B624" s="31" t="s">
        <v>6682</v>
      </c>
      <c r="C624" s="23" t="n">
        <v>2</v>
      </c>
      <c r="D624" s="23" t="s">
        <v>5581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1" t="s">
        <v>6610</v>
      </c>
      <c r="H624" s="31" t="s">
        <v>6525</v>
      </c>
      <c r="I624" s="23" t="s">
        <v>6612</v>
      </c>
      <c r="J624" s="24" t="s">
        <v>6683</v>
      </c>
      <c r="K624" s="23" t="s">
        <v>165</v>
      </c>
      <c r="L624" s="24" t="s">
        <v>6684</v>
      </c>
      <c r="M624" s="24" t="s">
        <v>6685</v>
      </c>
      <c r="N624" s="23" t="s">
        <v>6686</v>
      </c>
      <c r="O624" s="24" t="s">
        <v>6687</v>
      </c>
      <c r="P624" s="24" t="s">
        <v>6688</v>
      </c>
      <c r="Q624" s="24" t="s">
        <v>6689</v>
      </c>
      <c r="R624" s="24"/>
      <c r="S624" s="24" t="s">
        <v>6690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174</v>
      </c>
      <c r="Y624" s="23" t="s">
        <v>174</v>
      </c>
      <c r="Z624" s="23" t="s">
        <v>174</v>
      </c>
      <c r="AA624" s="23" t="s">
        <v>174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  <c r="AE624" s="24" t="str">
        <f aca="false">M624&amp;" | 요한복음 4장 #"&amp;SUBSTITUTE(안내!$C$5," ","")</f>
        <v>멀리서 말씀만 하셨는데 아들이 나았다 | 요한복음 4장 #1분성경</v>
      </c>
      <c r="AF624" s="24" t="s">
        <v>304</v>
      </c>
      <c r="AG624" s="24"/>
      <c r="AH624" s="23" t="s">
        <v>290</v>
      </c>
      <c r="AI624" s="26" t="n">
        <f aca="false">U624-안내!$C$12</f>
        <v>46627</v>
      </c>
      <c r="AJ624" s="23" t="str">
        <f aca="false">IF(U624&lt;IF(C624=1,안내!$C$9,안내!$C$10)+안내!$C$12,"시즌 시작 전 제작","")</f>
        <v/>
      </c>
      <c r="AK624" s="24"/>
      <c r="AL624" s="27"/>
      <c r="AM624" s="27"/>
      <c r="AN624" s="27"/>
      <c r="AO624" s="27"/>
      <c r="AP624" s="27"/>
      <c r="AQ624" s="23" t="str">
        <f aca="false">D624&amp;"|"&amp;TEXT(U624,"yyyy-mm-dd")</f>
        <v>신약|2027-09-25</v>
      </c>
      <c r="AR624" s="24" t="s">
        <v>6691</v>
      </c>
      <c r="AS624" s="24"/>
    </row>
    <row r="625" customFormat="false" ht="26.85" hidden="false" customHeight="false" outlineLevel="0" collapsed="false">
      <c r="A625" s="23" t="n">
        <v>624</v>
      </c>
      <c r="B625" s="31" t="s">
        <v>6692</v>
      </c>
      <c r="C625" s="20" t="n">
        <v>1</v>
      </c>
      <c r="D625" s="20" t="s">
        <v>5581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1" t="s">
        <v>6610</v>
      </c>
      <c r="H625" s="31" t="s">
        <v>6611</v>
      </c>
      <c r="I625" s="23" t="s">
        <v>6612</v>
      </c>
      <c r="J625" s="24" t="s">
        <v>6693</v>
      </c>
      <c r="K625" s="23" t="s">
        <v>165</v>
      </c>
      <c r="L625" s="24" t="s">
        <v>6694</v>
      </c>
      <c r="M625" s="30" t="s">
        <v>6695</v>
      </c>
      <c r="N625" s="23" t="s">
        <v>6696</v>
      </c>
      <c r="O625" s="24" t="s">
        <v>6697</v>
      </c>
      <c r="P625" s="24" t="s">
        <v>6698</v>
      </c>
      <c r="Q625" s="24" t="s">
        <v>6694</v>
      </c>
      <c r="R625" s="24"/>
      <c r="S625" s="29" t="s">
        <v>6699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174</v>
      </c>
      <c r="Y625" s="23" t="s">
        <v>174</v>
      </c>
      <c r="Z625" s="23" t="s">
        <v>174</v>
      </c>
      <c r="AA625" s="23" t="s">
        <v>174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  <c r="AE625" s="24" t="str">
        <f aca="false">M625&amp;" | 요한복음 5장 #"&amp;SUBSTITUTE(안내!$C$5," ","")</f>
        <v>38년 동안 누워 있던 사람 | 요한복음 5장 #1분성경</v>
      </c>
      <c r="AF625" s="30" t="s">
        <v>6700</v>
      </c>
      <c r="AG625" s="24" t="s">
        <v>6701</v>
      </c>
      <c r="AH625" s="23" t="s">
        <v>360</v>
      </c>
      <c r="AI625" s="26" t="n">
        <f aca="false">U625-안내!$C$12</f>
        <v>46465</v>
      </c>
      <c r="AJ625" s="23" t="str">
        <f aca="false">IF(U625&lt;IF(C625=1,안내!$C$9,안내!$C$10)+안내!$C$12,"시즌 시작 전 제작","")</f>
        <v/>
      </c>
      <c r="AK625" s="24"/>
      <c r="AL625" s="27"/>
      <c r="AM625" s="27"/>
      <c r="AN625" s="27"/>
      <c r="AO625" s="27"/>
      <c r="AP625" s="27"/>
      <c r="AQ625" s="23" t="str">
        <f aca="false">D625&amp;"|"&amp;TEXT(U625,"yyyy-mm-dd")</f>
        <v>신약|2027-04-16</v>
      </c>
      <c r="AR625" s="24" t="s">
        <v>6702</v>
      </c>
      <c r="AS625" s="24"/>
    </row>
    <row r="626" customFormat="false" ht="26.85" hidden="false" customHeight="false" outlineLevel="0" collapsed="false">
      <c r="A626" s="23" t="n">
        <v>625</v>
      </c>
      <c r="B626" s="31" t="s">
        <v>6703</v>
      </c>
      <c r="C626" s="20" t="n">
        <v>1</v>
      </c>
      <c r="D626" s="20" t="s">
        <v>5581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1" t="s">
        <v>6610</v>
      </c>
      <c r="H626" s="31" t="s">
        <v>6611</v>
      </c>
      <c r="I626" s="23" t="s">
        <v>6612</v>
      </c>
      <c r="J626" s="24" t="s">
        <v>6704</v>
      </c>
      <c r="K626" s="23" t="s">
        <v>165</v>
      </c>
      <c r="L626" s="24" t="s">
        <v>6705</v>
      </c>
      <c r="M626" s="24" t="s">
        <v>6706</v>
      </c>
      <c r="N626" s="23" t="s">
        <v>6707</v>
      </c>
      <c r="O626" s="24" t="s">
        <v>6708</v>
      </c>
      <c r="P626" s="24" t="s">
        <v>6709</v>
      </c>
      <c r="Q626" s="24" t="s">
        <v>6710</v>
      </c>
      <c r="R626" s="24"/>
      <c r="S626" s="24" t="s">
        <v>173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174</v>
      </c>
      <c r="Y626" s="23" t="s">
        <v>174</v>
      </c>
      <c r="Z626" s="23" t="s">
        <v>174</v>
      </c>
      <c r="AA626" s="23" t="s">
        <v>174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  <c r="AE626" s="24" t="str">
        <f aca="false">M626&amp;" | 요한복음 6장 #"&amp;SUBSTITUTE(안내!$C$5," ","")</f>
        <v>폭풍 속 배를 향해 걸어오신 예수님 | 요한복음 6장 #1분성경</v>
      </c>
      <c r="AF626" s="24" t="s">
        <v>6711</v>
      </c>
      <c r="AG626" s="24" t="s">
        <v>6712</v>
      </c>
      <c r="AH626" s="23" t="s">
        <v>290</v>
      </c>
      <c r="AI626" s="26" t="n">
        <f aca="false">U626-안내!$C$12</f>
        <v>46466</v>
      </c>
      <c r="AJ626" s="23" t="str">
        <f aca="false">IF(U626&lt;IF(C626=1,안내!$C$9,안내!$C$10)+안내!$C$12,"시즌 시작 전 제작","")</f>
        <v/>
      </c>
      <c r="AK626" s="24"/>
      <c r="AL626" s="27"/>
      <c r="AM626" s="27"/>
      <c r="AN626" s="27"/>
      <c r="AO626" s="27"/>
      <c r="AP626" s="27"/>
      <c r="AQ626" s="23" t="str">
        <f aca="false">D626&amp;"|"&amp;TEXT(U626,"yyyy-mm-dd")</f>
        <v>신약|2027-04-17</v>
      </c>
      <c r="AR626" s="24" t="s">
        <v>6713</v>
      </c>
      <c r="AS626" s="24"/>
    </row>
    <row r="627" customFormat="false" ht="26.85" hidden="false" customHeight="false" outlineLevel="0" collapsed="false">
      <c r="A627" s="23" t="n">
        <v>626</v>
      </c>
      <c r="B627" s="31" t="s">
        <v>6714</v>
      </c>
      <c r="C627" s="20" t="n">
        <v>1</v>
      </c>
      <c r="D627" s="20" t="s">
        <v>5581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1" t="s">
        <v>6610</v>
      </c>
      <c r="H627" s="31" t="s">
        <v>6611</v>
      </c>
      <c r="I627" s="23" t="s">
        <v>6612</v>
      </c>
      <c r="J627" s="24" t="s">
        <v>6715</v>
      </c>
      <c r="K627" s="23" t="s">
        <v>165</v>
      </c>
      <c r="L627" s="24" t="s">
        <v>6716</v>
      </c>
      <c r="M627" s="24" t="s">
        <v>6717</v>
      </c>
      <c r="N627" s="23" t="s">
        <v>6718</v>
      </c>
      <c r="O627" s="24" t="s">
        <v>6719</v>
      </c>
      <c r="P627" s="24" t="s">
        <v>6720</v>
      </c>
      <c r="Q627" s="24" t="s">
        <v>6721</v>
      </c>
      <c r="R627" s="25" t="s">
        <v>6722</v>
      </c>
      <c r="S627" s="24" t="s">
        <v>173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174</v>
      </c>
      <c r="Y627" s="23" t="s">
        <v>174</v>
      </c>
      <c r="Z627" s="23" t="s">
        <v>174</v>
      </c>
      <c r="AA627" s="23" t="s">
        <v>174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  <c r="AE627" s="24" t="str">
        <f aca="false">M627&amp;" | 요한복음 6장 #"&amp;SUBSTITUTE(안내!$C$5," ","")</f>
        <v>나는 하늘에서 내려온 떡이다 | 요한복음 6장 #1분성경</v>
      </c>
      <c r="AF627" s="24" t="s">
        <v>6723</v>
      </c>
      <c r="AG627" s="24"/>
      <c r="AH627" s="23" t="s">
        <v>290</v>
      </c>
      <c r="AI627" s="26" t="n">
        <f aca="false">U627-안내!$C$12</f>
        <v>46468</v>
      </c>
      <c r="AJ627" s="23" t="str">
        <f aca="false">IF(U627&lt;IF(C627=1,안내!$C$9,안내!$C$10)+안내!$C$12,"시즌 시작 전 제작","")</f>
        <v/>
      </c>
      <c r="AK627" s="24" t="s">
        <v>5675</v>
      </c>
      <c r="AL627" s="27"/>
      <c r="AM627" s="27"/>
      <c r="AN627" s="27"/>
      <c r="AO627" s="27"/>
      <c r="AP627" s="27"/>
      <c r="AQ627" s="23" t="str">
        <f aca="false">D627&amp;"|"&amp;TEXT(U627,"yyyy-mm-dd")</f>
        <v>신약|2027-04-19</v>
      </c>
      <c r="AR627" s="24" t="s">
        <v>6724</v>
      </c>
      <c r="AS627" s="24"/>
    </row>
    <row r="628" customFormat="false" ht="26.85" hidden="false" customHeight="false" outlineLevel="0" collapsed="false">
      <c r="A628" s="23" t="n">
        <v>627</v>
      </c>
      <c r="B628" s="31" t="s">
        <v>6725</v>
      </c>
      <c r="C628" s="23" t="n">
        <v>2</v>
      </c>
      <c r="D628" s="23" t="s">
        <v>5581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1" t="s">
        <v>6726</v>
      </c>
      <c r="H628" s="31" t="s">
        <v>6525</v>
      </c>
      <c r="I628" s="23" t="s">
        <v>6612</v>
      </c>
      <c r="J628" s="24" t="s">
        <v>6727</v>
      </c>
      <c r="K628" s="23" t="s">
        <v>165</v>
      </c>
      <c r="L628" s="24" t="s">
        <v>6728</v>
      </c>
      <c r="M628" s="24" t="s">
        <v>6729</v>
      </c>
      <c r="N628" s="23" t="s">
        <v>6730</v>
      </c>
      <c r="O628" s="24" t="s">
        <v>6731</v>
      </c>
      <c r="P628" s="24" t="s">
        <v>5912</v>
      </c>
      <c r="Q628" s="24" t="s">
        <v>6732</v>
      </c>
      <c r="R628" s="24"/>
      <c r="S628" s="24" t="s">
        <v>6733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174</v>
      </c>
      <c r="Y628" s="23" t="s">
        <v>174</v>
      </c>
      <c r="Z628" s="23" t="s">
        <v>174</v>
      </c>
      <c r="AA628" s="23" t="s">
        <v>174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  <c r="AE628" s="24" t="str">
        <f aca="false">M628&amp;" | 요한복음 7장 #"&amp;SUBSTITUTE(안내!$C$5," ","")</f>
        <v>초막절 마지막 날 외치신 말씀 | 요한복음 7장 #1분성경</v>
      </c>
      <c r="AF628" s="24" t="s">
        <v>304</v>
      </c>
      <c r="AG628" s="24" t="s">
        <v>6734</v>
      </c>
      <c r="AH628" s="23" t="s">
        <v>290</v>
      </c>
      <c r="AI628" s="26" t="n">
        <f aca="false">U628-안내!$C$12</f>
        <v>46629</v>
      </c>
      <c r="AJ628" s="23" t="str">
        <f aca="false">IF(U628&lt;IF(C628=1,안내!$C$9,안내!$C$10)+안내!$C$12,"시즌 시작 전 제작","")</f>
        <v/>
      </c>
      <c r="AK628" s="24"/>
      <c r="AL628" s="27"/>
      <c r="AM628" s="27"/>
      <c r="AN628" s="27"/>
      <c r="AO628" s="27"/>
      <c r="AP628" s="27"/>
      <c r="AQ628" s="23" t="str">
        <f aca="false">D628&amp;"|"&amp;TEXT(U628,"yyyy-mm-dd")</f>
        <v>신약|2027-09-27</v>
      </c>
      <c r="AR628" s="24" t="s">
        <v>6735</v>
      </c>
      <c r="AS628" s="24"/>
    </row>
    <row r="629" customFormat="false" ht="26.85" hidden="false" customHeight="false" outlineLevel="0" collapsed="false">
      <c r="A629" s="23" t="n">
        <v>628</v>
      </c>
      <c r="B629" s="31" t="s">
        <v>6736</v>
      </c>
      <c r="C629" s="20" t="n">
        <v>1</v>
      </c>
      <c r="D629" s="20" t="s">
        <v>5581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1" t="s">
        <v>6726</v>
      </c>
      <c r="H629" s="31" t="s">
        <v>6611</v>
      </c>
      <c r="I629" s="23" t="s">
        <v>6612</v>
      </c>
      <c r="J629" s="24" t="s">
        <v>6737</v>
      </c>
      <c r="K629" s="23" t="s">
        <v>165</v>
      </c>
      <c r="L629" s="24" t="s">
        <v>6738</v>
      </c>
      <c r="M629" s="24" t="s">
        <v>6739</v>
      </c>
      <c r="N629" s="23" t="s">
        <v>6740</v>
      </c>
      <c r="O629" s="24" t="s">
        <v>6741</v>
      </c>
      <c r="P629" s="24" t="s">
        <v>6742</v>
      </c>
      <c r="Q629" s="24" t="s">
        <v>3006</v>
      </c>
      <c r="R629" s="25" t="s">
        <v>6743</v>
      </c>
      <c r="S629" s="29" t="s">
        <v>6744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174</v>
      </c>
      <c r="Y629" s="23" t="s">
        <v>174</v>
      </c>
      <c r="Z629" s="23" t="s">
        <v>174</v>
      </c>
      <c r="AA629" s="23" t="s">
        <v>174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  <c r="AE629" s="24" t="str">
        <f aca="false">M629&amp;" | 요한복음 8장 #"&amp;SUBSTITUTE(안내!$C$5," ","")</f>
        <v>죄 없는 자가 먼저 돌로 치라 | 요한복음 8장 #1분성경</v>
      </c>
      <c r="AF629" s="24" t="s">
        <v>6745</v>
      </c>
      <c r="AG629" s="24" t="s">
        <v>6746</v>
      </c>
      <c r="AH629" s="23" t="s">
        <v>290</v>
      </c>
      <c r="AI629" s="26" t="n">
        <f aca="false">U629-안내!$C$12</f>
        <v>46470</v>
      </c>
      <c r="AJ629" s="23" t="str">
        <f aca="false">IF(U629&lt;IF(C629=1,안내!$C$9,안내!$C$10)+안내!$C$12,"시즌 시작 전 제작","")</f>
        <v/>
      </c>
      <c r="AK629" s="24"/>
      <c r="AL629" s="27"/>
      <c r="AM629" s="27"/>
      <c r="AN629" s="27"/>
      <c r="AO629" s="27"/>
      <c r="AP629" s="27"/>
      <c r="AQ629" s="23" t="str">
        <f aca="false">D629&amp;"|"&amp;TEXT(U629,"yyyy-mm-dd")</f>
        <v>신약|2027-04-21</v>
      </c>
      <c r="AR629" s="24" t="s">
        <v>6747</v>
      </c>
      <c r="AS629" s="24" t="s">
        <v>292</v>
      </c>
    </row>
    <row r="630" customFormat="false" ht="26.85" hidden="false" customHeight="false" outlineLevel="0" collapsed="false">
      <c r="A630" s="23" t="n">
        <v>629</v>
      </c>
      <c r="B630" s="31" t="s">
        <v>6748</v>
      </c>
      <c r="C630" s="23" t="n">
        <v>2</v>
      </c>
      <c r="D630" s="23" t="s">
        <v>5581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1" t="s">
        <v>6726</v>
      </c>
      <c r="H630" s="31" t="s">
        <v>6525</v>
      </c>
      <c r="I630" s="23" t="s">
        <v>6612</v>
      </c>
      <c r="J630" s="24" t="s">
        <v>6749</v>
      </c>
      <c r="K630" s="23" t="s">
        <v>165</v>
      </c>
      <c r="L630" s="24" t="s">
        <v>6750</v>
      </c>
      <c r="M630" s="24" t="s">
        <v>6751</v>
      </c>
      <c r="N630" s="23" t="s">
        <v>6752</v>
      </c>
      <c r="O630" s="24" t="s">
        <v>6753</v>
      </c>
      <c r="P630" s="24" t="s">
        <v>6754</v>
      </c>
      <c r="Q630" s="24" t="s">
        <v>6755</v>
      </c>
      <c r="R630" s="24"/>
      <c r="S630" s="24" t="s">
        <v>6756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174</v>
      </c>
      <c r="Y630" s="23" t="s">
        <v>174</v>
      </c>
      <c r="Z630" s="23" t="s">
        <v>174</v>
      </c>
      <c r="AA630" s="23" t="s">
        <v>174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  <c r="AE630" s="24" t="str">
        <f aca="false">M630&amp;" | 요한복음 8장 #"&amp;SUBSTITUTE(안내!$C$5," ","")</f>
        <v>나는 세상의 빛이니 | 요한복음 8장 #1분성경</v>
      </c>
      <c r="AF630" s="24" t="s">
        <v>304</v>
      </c>
      <c r="AG630" s="24" t="s">
        <v>6757</v>
      </c>
      <c r="AH630" s="23" t="s">
        <v>290</v>
      </c>
      <c r="AI630" s="26" t="n">
        <f aca="false">U630-안내!$C$12</f>
        <v>46631</v>
      </c>
      <c r="AJ630" s="23" t="str">
        <f aca="false">IF(U630&lt;IF(C630=1,안내!$C$9,안내!$C$10)+안내!$C$12,"시즌 시작 전 제작","")</f>
        <v/>
      </c>
      <c r="AK630" s="24"/>
      <c r="AL630" s="27"/>
      <c r="AM630" s="27"/>
      <c r="AN630" s="27"/>
      <c r="AO630" s="27"/>
      <c r="AP630" s="27"/>
      <c r="AQ630" s="23" t="str">
        <f aca="false">D630&amp;"|"&amp;TEXT(U630,"yyyy-mm-dd")</f>
        <v>신약|2027-09-29</v>
      </c>
      <c r="AR630" s="24" t="s">
        <v>6758</v>
      </c>
      <c r="AS630" s="24"/>
    </row>
    <row r="631" customFormat="false" ht="26.85" hidden="false" customHeight="false" outlineLevel="0" collapsed="false">
      <c r="A631" s="23" t="n">
        <v>630</v>
      </c>
      <c r="B631" s="31" t="s">
        <v>6759</v>
      </c>
      <c r="C631" s="20" t="n">
        <v>1</v>
      </c>
      <c r="D631" s="20" t="s">
        <v>5581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1" t="s">
        <v>6726</v>
      </c>
      <c r="H631" s="31" t="s">
        <v>6611</v>
      </c>
      <c r="I631" s="23" t="s">
        <v>6612</v>
      </c>
      <c r="J631" s="24" t="s">
        <v>6760</v>
      </c>
      <c r="K631" s="23" t="s">
        <v>165</v>
      </c>
      <c r="L631" s="24" t="s">
        <v>6761</v>
      </c>
      <c r="M631" s="24" t="s">
        <v>6762</v>
      </c>
      <c r="N631" s="23" t="s">
        <v>6763</v>
      </c>
      <c r="O631" s="24" t="s">
        <v>6764</v>
      </c>
      <c r="P631" s="24" t="s">
        <v>6765</v>
      </c>
      <c r="Q631" s="24" t="s">
        <v>6766</v>
      </c>
      <c r="R631" s="24"/>
      <c r="S631" s="29" t="s">
        <v>6767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174</v>
      </c>
      <c r="Y631" s="23" t="s">
        <v>174</v>
      </c>
      <c r="Z631" s="23" t="s">
        <v>174</v>
      </c>
      <c r="AA631" s="23" t="s">
        <v>174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  <c r="AE631" s="24" t="str">
        <f aca="false">M631&amp;" | 요한복음 9장 #"&amp;SUBSTITUTE(안내!$C$5," ","")</f>
        <v>누구의 죄 때문입니까? | 요한복음 9장 #1분성경</v>
      </c>
      <c r="AF631" s="24" t="s">
        <v>6768</v>
      </c>
      <c r="AG631" s="24" t="s">
        <v>6769</v>
      </c>
      <c r="AH631" s="23" t="s">
        <v>176</v>
      </c>
      <c r="AI631" s="26" t="n">
        <f aca="false">U631-안내!$C$12</f>
        <v>46472</v>
      </c>
      <c r="AJ631" s="23" t="str">
        <f aca="false">IF(U631&lt;IF(C631=1,안내!$C$9,안내!$C$10)+안내!$C$12,"시즌 시작 전 제작","")</f>
        <v/>
      </c>
      <c r="AK631" s="24"/>
      <c r="AL631" s="27"/>
      <c r="AM631" s="27"/>
      <c r="AN631" s="27"/>
      <c r="AO631" s="27"/>
      <c r="AP631" s="27"/>
      <c r="AQ631" s="23" t="str">
        <f aca="false">D631&amp;"|"&amp;TEXT(U631,"yyyy-mm-dd")</f>
        <v>신약|2027-04-23</v>
      </c>
      <c r="AR631" s="24" t="s">
        <v>6770</v>
      </c>
      <c r="AS631" s="24"/>
    </row>
    <row r="632" customFormat="false" ht="26.85" hidden="false" customHeight="false" outlineLevel="0" collapsed="false">
      <c r="A632" s="23" t="n">
        <v>631</v>
      </c>
      <c r="B632" s="31" t="s">
        <v>6771</v>
      </c>
      <c r="C632" s="20" t="n">
        <v>1</v>
      </c>
      <c r="D632" s="20" t="s">
        <v>5581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1" t="s">
        <v>6726</v>
      </c>
      <c r="H632" s="31" t="s">
        <v>6611</v>
      </c>
      <c r="I632" s="23" t="s">
        <v>6612</v>
      </c>
      <c r="J632" s="24" t="s">
        <v>6772</v>
      </c>
      <c r="K632" s="23" t="s">
        <v>165</v>
      </c>
      <c r="L632" s="24" t="s">
        <v>6773</v>
      </c>
      <c r="M632" s="24" t="s">
        <v>6774</v>
      </c>
      <c r="N632" s="23" t="s">
        <v>6775</v>
      </c>
      <c r="O632" s="24" t="s">
        <v>6776</v>
      </c>
      <c r="P632" s="24" t="s">
        <v>6777</v>
      </c>
      <c r="Q632" s="24" t="s">
        <v>6778</v>
      </c>
      <c r="R632" s="24"/>
      <c r="S632" s="24" t="s">
        <v>173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174</v>
      </c>
      <c r="Y632" s="23" t="s">
        <v>174</v>
      </c>
      <c r="Z632" s="23" t="s">
        <v>174</v>
      </c>
      <c r="AA632" s="23" t="s">
        <v>174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  <c r="AE632" s="24" t="str">
        <f aca="false">M632&amp;" | 요한복음 10장 #"&amp;SUBSTITUTE(안내!$C$5," ","")</f>
        <v>양을 위해 목숨을 버리는 목자 | 요한복음 10장 #1분성경</v>
      </c>
      <c r="AF632" s="24" t="s">
        <v>6779</v>
      </c>
      <c r="AG632" s="24" t="s">
        <v>6780</v>
      </c>
      <c r="AH632" s="23" t="s">
        <v>290</v>
      </c>
      <c r="AI632" s="26" t="n">
        <f aca="false">U632-안내!$C$12</f>
        <v>46473</v>
      </c>
      <c r="AJ632" s="23" t="str">
        <f aca="false">IF(U632&lt;IF(C632=1,안내!$C$9,안내!$C$10)+안내!$C$12,"시즌 시작 전 제작","")</f>
        <v/>
      </c>
      <c r="AK632" s="24"/>
      <c r="AL632" s="27"/>
      <c r="AM632" s="27"/>
      <c r="AN632" s="27"/>
      <c r="AO632" s="27"/>
      <c r="AP632" s="27"/>
      <c r="AQ632" s="23" t="str">
        <f aca="false">D632&amp;"|"&amp;TEXT(U632,"yyyy-mm-dd")</f>
        <v>신약|2027-04-24</v>
      </c>
      <c r="AR632" s="24" t="s">
        <v>6781</v>
      </c>
      <c r="AS632" s="24"/>
    </row>
    <row r="633" customFormat="false" ht="26.85" hidden="false" customHeight="false" outlineLevel="0" collapsed="false">
      <c r="A633" s="23" t="n">
        <v>632</v>
      </c>
      <c r="B633" s="31" t="s">
        <v>6782</v>
      </c>
      <c r="C633" s="20" t="n">
        <v>1</v>
      </c>
      <c r="D633" s="20" t="s">
        <v>5581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1" t="s">
        <v>6726</v>
      </c>
      <c r="H633" s="31" t="s">
        <v>6611</v>
      </c>
      <c r="I633" s="23" t="s">
        <v>6612</v>
      </c>
      <c r="J633" s="24" t="s">
        <v>6783</v>
      </c>
      <c r="K633" s="23" t="s">
        <v>165</v>
      </c>
      <c r="L633" s="24" t="s">
        <v>6784</v>
      </c>
      <c r="M633" s="24" t="s">
        <v>6785</v>
      </c>
      <c r="N633" s="23" t="s">
        <v>6786</v>
      </c>
      <c r="O633" s="24" t="s">
        <v>6787</v>
      </c>
      <c r="P633" s="24" t="s">
        <v>6788</v>
      </c>
      <c r="Q633" s="24" t="s">
        <v>6789</v>
      </c>
      <c r="R633" s="24"/>
      <c r="S633" s="24" t="s">
        <v>173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174</v>
      </c>
      <c r="Y633" s="23" t="s">
        <v>174</v>
      </c>
      <c r="Z633" s="23" t="s">
        <v>174</v>
      </c>
      <c r="AA633" s="23" t="s">
        <v>174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  <c r="AE633" s="24" t="str">
        <f aca="false">M633&amp;" | 요한복음 11장 #"&amp;SUBSTITUTE(안내!$C$5," ","")</f>
        <v>무덤 앞에서 우신 예수님 | 요한복음 11장 #1분성경</v>
      </c>
      <c r="AF633" s="24" t="s">
        <v>6790</v>
      </c>
      <c r="AG633" s="24"/>
      <c r="AH633" s="23" t="s">
        <v>290</v>
      </c>
      <c r="AI633" s="26" t="n">
        <f aca="false">U633-안내!$C$12</f>
        <v>46475</v>
      </c>
      <c r="AJ633" s="23" t="str">
        <f aca="false">IF(U633&lt;IF(C633=1,안내!$C$9,안내!$C$10)+안내!$C$12,"시즌 시작 전 제작","")</f>
        <v/>
      </c>
      <c r="AK633" s="24"/>
      <c r="AL633" s="27"/>
      <c r="AM633" s="27"/>
      <c r="AN633" s="27"/>
      <c r="AO633" s="27"/>
      <c r="AP633" s="27"/>
      <c r="AQ633" s="23" t="str">
        <f aca="false">D633&amp;"|"&amp;TEXT(U633,"yyyy-mm-dd")</f>
        <v>신약|2027-04-26</v>
      </c>
      <c r="AR633" s="24" t="s">
        <v>6791</v>
      </c>
      <c r="AS633" s="24"/>
    </row>
    <row r="634" customFormat="false" ht="26.85" hidden="false" customHeight="false" outlineLevel="0" collapsed="false">
      <c r="A634" s="23" t="n">
        <v>633</v>
      </c>
      <c r="B634" s="31" t="s">
        <v>6792</v>
      </c>
      <c r="C634" s="23" t="n">
        <v>2</v>
      </c>
      <c r="D634" s="23" t="s">
        <v>5581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1" t="s">
        <v>6726</v>
      </c>
      <c r="H634" s="31" t="s">
        <v>6525</v>
      </c>
      <c r="I634" s="23" t="s">
        <v>6612</v>
      </c>
      <c r="J634" s="24" t="s">
        <v>6793</v>
      </c>
      <c r="K634" s="23" t="s">
        <v>165</v>
      </c>
      <c r="L634" s="24" t="s">
        <v>6794</v>
      </c>
      <c r="M634" s="24" t="s">
        <v>6795</v>
      </c>
      <c r="N634" s="23" t="s">
        <v>6796</v>
      </c>
      <c r="O634" s="24" t="s">
        <v>6797</v>
      </c>
      <c r="P634" s="24" t="s">
        <v>6798</v>
      </c>
      <c r="Q634" s="24" t="s">
        <v>6799</v>
      </c>
      <c r="R634" s="24"/>
      <c r="S634" s="24" t="s">
        <v>6800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174</v>
      </c>
      <c r="Y634" s="23" t="s">
        <v>174</v>
      </c>
      <c r="Z634" s="23" t="s">
        <v>174</v>
      </c>
      <c r="AA634" s="23" t="s">
        <v>174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  <c r="AE634" s="24" t="str">
        <f aca="false">M634&amp;" | 요한복음 11~12장 #"&amp;SUBSTITUTE(안내!$C$5," ","")</f>
        <v>온 집에 가득한 향기 | 요한복음 11~12장 #1분성경</v>
      </c>
      <c r="AF634" s="24" t="s">
        <v>304</v>
      </c>
      <c r="AG634" s="24" t="s">
        <v>6801</v>
      </c>
      <c r="AH634" s="23" t="s">
        <v>290</v>
      </c>
      <c r="AI634" s="26" t="n">
        <f aca="false">U634-안내!$C$12</f>
        <v>46633</v>
      </c>
      <c r="AJ634" s="23" t="str">
        <f aca="false">IF(U634&lt;IF(C634=1,안내!$C$9,안내!$C$10)+안내!$C$12,"시즌 시작 전 제작","")</f>
        <v/>
      </c>
      <c r="AK634" s="24"/>
      <c r="AL634" s="27"/>
      <c r="AM634" s="27"/>
      <c r="AN634" s="27"/>
      <c r="AO634" s="27"/>
      <c r="AP634" s="27"/>
      <c r="AQ634" s="23" t="str">
        <f aca="false">D634&amp;"|"&amp;TEXT(U634,"yyyy-mm-dd")</f>
        <v>신약|2027-10-01</v>
      </c>
      <c r="AR634" s="24" t="s">
        <v>6802</v>
      </c>
      <c r="AS634" s="24" t="s">
        <v>292</v>
      </c>
    </row>
    <row r="635" customFormat="false" ht="26.85" hidden="false" customHeight="false" outlineLevel="0" collapsed="false">
      <c r="A635" s="23" t="n">
        <v>634</v>
      </c>
      <c r="B635" s="31" t="s">
        <v>6803</v>
      </c>
      <c r="C635" s="23" t="n">
        <v>2</v>
      </c>
      <c r="D635" s="23" t="s">
        <v>5581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1" t="s">
        <v>6726</v>
      </c>
      <c r="H635" s="31" t="s">
        <v>6525</v>
      </c>
      <c r="I635" s="23" t="s">
        <v>6612</v>
      </c>
      <c r="J635" s="24" t="s">
        <v>6804</v>
      </c>
      <c r="K635" s="23" t="s">
        <v>165</v>
      </c>
      <c r="L635" s="24" t="s">
        <v>6805</v>
      </c>
      <c r="M635" s="24" t="s">
        <v>6806</v>
      </c>
      <c r="N635" s="23" t="s">
        <v>6807</v>
      </c>
      <c r="O635" s="24" t="s">
        <v>6808</v>
      </c>
      <c r="P635" s="24" t="s">
        <v>6809</v>
      </c>
      <c r="Q635" s="24" t="s">
        <v>2856</v>
      </c>
      <c r="R635" s="24"/>
      <c r="S635" s="24" t="s">
        <v>6800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174</v>
      </c>
      <c r="Y635" s="23" t="s">
        <v>174</v>
      </c>
      <c r="Z635" s="23" t="s">
        <v>174</v>
      </c>
      <c r="AA635" s="23" t="s">
        <v>174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  <c r="AE635" s="24" t="str">
        <f aca="false">M635&amp;" | 요한복음 12장 #"&amp;SUBSTITUTE(안내!$C$5," ","")</f>
        <v>밀알이 죽어야 열매를 맺는다 | 요한복음 12장 #1분성경</v>
      </c>
      <c r="AF635" s="24" t="s">
        <v>304</v>
      </c>
      <c r="AG635" s="24"/>
      <c r="AH635" s="23" t="s">
        <v>290</v>
      </c>
      <c r="AI635" s="26" t="n">
        <f aca="false">U635-안내!$C$12</f>
        <v>46634</v>
      </c>
      <c r="AJ635" s="23" t="str">
        <f aca="false">IF(U635&lt;IF(C635=1,안내!$C$9,안내!$C$10)+안내!$C$12,"시즌 시작 전 제작","")</f>
        <v/>
      </c>
      <c r="AK635" s="24"/>
      <c r="AL635" s="27"/>
      <c r="AM635" s="27"/>
      <c r="AN635" s="27"/>
      <c r="AO635" s="27"/>
      <c r="AP635" s="27"/>
      <c r="AQ635" s="23" t="str">
        <f aca="false">D635&amp;"|"&amp;TEXT(U635,"yyyy-mm-dd")</f>
        <v>신약|2027-10-02</v>
      </c>
      <c r="AR635" s="24" t="s">
        <v>6810</v>
      </c>
      <c r="AS635" s="24"/>
    </row>
    <row r="636" customFormat="false" ht="39.55" hidden="false" customHeight="false" outlineLevel="0" collapsed="false">
      <c r="A636" s="23" t="n">
        <v>635</v>
      </c>
      <c r="B636" s="31" t="s">
        <v>6811</v>
      </c>
      <c r="C636" s="20" t="n">
        <v>1</v>
      </c>
      <c r="D636" s="20" t="s">
        <v>5581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1" t="s">
        <v>6812</v>
      </c>
      <c r="H636" s="31" t="s">
        <v>6813</v>
      </c>
      <c r="I636" s="23" t="s">
        <v>6612</v>
      </c>
      <c r="J636" s="24" t="s">
        <v>6814</v>
      </c>
      <c r="K636" s="23" t="s">
        <v>165</v>
      </c>
      <c r="L636" s="24" t="s">
        <v>6815</v>
      </c>
      <c r="M636" s="24" t="s">
        <v>6816</v>
      </c>
      <c r="N636" s="23" t="s">
        <v>6817</v>
      </c>
      <c r="O636" s="24" t="s">
        <v>6818</v>
      </c>
      <c r="P636" s="24" t="s">
        <v>5890</v>
      </c>
      <c r="Q636" s="24" t="s">
        <v>6819</v>
      </c>
      <c r="R636" s="24"/>
      <c r="S636" s="29" t="s">
        <v>6820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174</v>
      </c>
      <c r="Y636" s="23" t="s">
        <v>174</v>
      </c>
      <c r="Z636" s="23" t="s">
        <v>174</v>
      </c>
      <c r="AA636" s="23" t="s">
        <v>174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  <c r="AE636" s="24" t="str">
        <f aca="false">M636&amp;" | 요한복음 13장 #"&amp;SUBSTITUTE(안내!$C$5," ","")</f>
        <v>스승이 제자의 발을 씻겼다 | 요한복음 13장 #1분성경</v>
      </c>
      <c r="AF636" s="24" t="s">
        <v>6821</v>
      </c>
      <c r="AG636" s="24" t="s">
        <v>6822</v>
      </c>
      <c r="AH636" s="23" t="s">
        <v>290</v>
      </c>
      <c r="AI636" s="26" t="n">
        <f aca="false">U636-안내!$C$12</f>
        <v>46477</v>
      </c>
      <c r="AJ636" s="23" t="str">
        <f aca="false">IF(U636&lt;IF(C636=1,안내!$C$9,안내!$C$10)+안내!$C$12,"시즌 시작 전 제작","")</f>
        <v/>
      </c>
      <c r="AK636" s="24" t="s">
        <v>5675</v>
      </c>
      <c r="AL636" s="27"/>
      <c r="AM636" s="27"/>
      <c r="AN636" s="27"/>
      <c r="AO636" s="27"/>
      <c r="AP636" s="27"/>
      <c r="AQ636" s="23" t="str">
        <f aca="false">D636&amp;"|"&amp;TEXT(U636,"yyyy-mm-dd")</f>
        <v>신약|2027-04-28</v>
      </c>
      <c r="AR636" s="24" t="s">
        <v>6823</v>
      </c>
      <c r="AS636" s="24"/>
    </row>
    <row r="637" customFormat="false" ht="26.85" hidden="false" customHeight="false" outlineLevel="0" collapsed="false">
      <c r="A637" s="23" t="n">
        <v>636</v>
      </c>
      <c r="B637" s="31" t="s">
        <v>6824</v>
      </c>
      <c r="C637" s="23" t="n">
        <v>2</v>
      </c>
      <c r="D637" s="23" t="s">
        <v>5581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1" t="s">
        <v>6812</v>
      </c>
      <c r="H637" s="31" t="s">
        <v>6825</v>
      </c>
      <c r="I637" s="23" t="s">
        <v>6612</v>
      </c>
      <c r="J637" s="24" t="s">
        <v>6826</v>
      </c>
      <c r="K637" s="23" t="s">
        <v>165</v>
      </c>
      <c r="L637" s="24" t="s">
        <v>6827</v>
      </c>
      <c r="M637" s="24" t="s">
        <v>6828</v>
      </c>
      <c r="N637" s="23" t="s">
        <v>6829</v>
      </c>
      <c r="O637" s="24" t="s">
        <v>6830</v>
      </c>
      <c r="P637" s="24" t="s">
        <v>6831</v>
      </c>
      <c r="Q637" s="24" t="s">
        <v>6832</v>
      </c>
      <c r="R637" s="24"/>
      <c r="S637" s="24" t="s">
        <v>6833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174</v>
      </c>
      <c r="Y637" s="23" t="s">
        <v>174</v>
      </c>
      <c r="Z637" s="23" t="s">
        <v>174</v>
      </c>
      <c r="AA637" s="23" t="s">
        <v>174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  <c r="AE637" s="24" t="str">
        <f aca="false">M637&amp;" | 요한복음 13장 #"&amp;SUBSTITUTE(안내!$C$5," ","")</f>
        <v>서로 사랑하라 | 요한복음 13장 #1분성경</v>
      </c>
      <c r="AF637" s="24" t="s">
        <v>304</v>
      </c>
      <c r="AG637" s="24" t="s">
        <v>6834</v>
      </c>
      <c r="AH637" s="23" t="s">
        <v>290</v>
      </c>
      <c r="AI637" s="26" t="n">
        <f aca="false">U637-안내!$C$12</f>
        <v>46636</v>
      </c>
      <c r="AJ637" s="23" t="str">
        <f aca="false">IF(U637&lt;IF(C637=1,안내!$C$9,안내!$C$10)+안내!$C$12,"시즌 시작 전 제작","")</f>
        <v/>
      </c>
      <c r="AK637" s="24" t="s">
        <v>5675</v>
      </c>
      <c r="AL637" s="27"/>
      <c r="AM637" s="27"/>
      <c r="AN637" s="27"/>
      <c r="AO637" s="27"/>
      <c r="AP637" s="27"/>
      <c r="AQ637" s="23" t="str">
        <f aca="false">D637&amp;"|"&amp;TEXT(U637,"yyyy-mm-dd")</f>
        <v>신약|2027-10-04</v>
      </c>
      <c r="AR637" s="24" t="s">
        <v>6835</v>
      </c>
      <c r="AS637" s="24"/>
    </row>
    <row r="638" customFormat="false" ht="39.55" hidden="false" customHeight="false" outlineLevel="0" collapsed="false">
      <c r="A638" s="23" t="n">
        <v>637</v>
      </c>
      <c r="B638" s="31" t="s">
        <v>6836</v>
      </c>
      <c r="C638" s="20" t="n">
        <v>1</v>
      </c>
      <c r="D638" s="20" t="s">
        <v>5581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1" t="s">
        <v>6812</v>
      </c>
      <c r="H638" s="31" t="s">
        <v>6813</v>
      </c>
      <c r="I638" s="23" t="s">
        <v>6612</v>
      </c>
      <c r="J638" s="24" t="s">
        <v>6837</v>
      </c>
      <c r="K638" s="23" t="s">
        <v>165</v>
      </c>
      <c r="L638" s="24" t="s">
        <v>6838</v>
      </c>
      <c r="M638" s="24" t="s">
        <v>6839</v>
      </c>
      <c r="N638" s="23" t="s">
        <v>6840</v>
      </c>
      <c r="O638" s="24" t="s">
        <v>6841</v>
      </c>
      <c r="P638" s="24" t="s">
        <v>6842</v>
      </c>
      <c r="Q638" s="24" t="s">
        <v>6819</v>
      </c>
      <c r="R638" s="25" t="s">
        <v>6843</v>
      </c>
      <c r="S638" s="29" t="s">
        <v>6844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174</v>
      </c>
      <c r="Y638" s="23" t="s">
        <v>174</v>
      </c>
      <c r="Z638" s="23" t="s">
        <v>174</v>
      </c>
      <c r="AA638" s="23" t="s">
        <v>174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  <c r="AE638" s="24" t="str">
        <f aca="false">M638&amp;" | 요한복음 14장 #"&amp;SUBSTITUTE(안내!$C$5," ","")</f>
        <v>아버지께로 가는 유일한 길 | 요한복음 14장 #1분성경</v>
      </c>
      <c r="AF638" s="24" t="s">
        <v>6845</v>
      </c>
      <c r="AG638" s="24" t="s">
        <v>6846</v>
      </c>
      <c r="AH638" s="23" t="s">
        <v>290</v>
      </c>
      <c r="AI638" s="26" t="n">
        <f aca="false">U638-안내!$C$12</f>
        <v>46479</v>
      </c>
      <c r="AJ638" s="23" t="str">
        <f aca="false">IF(U638&lt;IF(C638=1,안내!$C$9,안내!$C$10)+안내!$C$12,"시즌 시작 전 제작","")</f>
        <v/>
      </c>
      <c r="AK638" s="24"/>
      <c r="AL638" s="27"/>
      <c r="AM638" s="27"/>
      <c r="AN638" s="27"/>
      <c r="AO638" s="27"/>
      <c r="AP638" s="27"/>
      <c r="AQ638" s="23" t="str">
        <f aca="false">D638&amp;"|"&amp;TEXT(U638,"yyyy-mm-dd")</f>
        <v>신약|2027-04-30</v>
      </c>
      <c r="AR638" s="24" t="s">
        <v>6847</v>
      </c>
      <c r="AS638" s="24"/>
    </row>
    <row r="639" customFormat="false" ht="39.55" hidden="false" customHeight="false" outlineLevel="0" collapsed="false">
      <c r="A639" s="23" t="n">
        <v>638</v>
      </c>
      <c r="B639" s="31" t="s">
        <v>6848</v>
      </c>
      <c r="C639" s="20" t="n">
        <v>1</v>
      </c>
      <c r="D639" s="20" t="s">
        <v>5581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1" t="s">
        <v>6812</v>
      </c>
      <c r="H639" s="31" t="s">
        <v>6813</v>
      </c>
      <c r="I639" s="23" t="s">
        <v>6612</v>
      </c>
      <c r="J639" s="24" t="s">
        <v>6849</v>
      </c>
      <c r="K639" s="23" t="s">
        <v>165</v>
      </c>
      <c r="L639" s="24" t="s">
        <v>6850</v>
      </c>
      <c r="M639" s="24" t="s">
        <v>6851</v>
      </c>
      <c r="N639" s="23" t="s">
        <v>6852</v>
      </c>
      <c r="O639" s="24" t="s">
        <v>6853</v>
      </c>
      <c r="P639" s="24" t="s">
        <v>5719</v>
      </c>
      <c r="Q639" s="24" t="s">
        <v>4492</v>
      </c>
      <c r="R639" s="24"/>
      <c r="S639" s="24" t="s">
        <v>173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174</v>
      </c>
      <c r="Y639" s="23" t="s">
        <v>174</v>
      </c>
      <c r="Z639" s="23" t="s">
        <v>174</v>
      </c>
      <c r="AA639" s="23" t="s">
        <v>174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  <c r="AE639" s="24" t="str">
        <f aca="false">M639&amp;" | 요한복음 15장 #"&amp;SUBSTITUTE(안내!$C$5," ","")</f>
        <v>붙어 있기만 하면 열매가 맺힌다 | 요한복음 15장 #1분성경</v>
      </c>
      <c r="AF639" s="24" t="s">
        <v>6854</v>
      </c>
      <c r="AG639" s="24" t="s">
        <v>6855</v>
      </c>
      <c r="AH639" s="23" t="s">
        <v>290</v>
      </c>
      <c r="AI639" s="26" t="n">
        <f aca="false">U639-안내!$C$12</f>
        <v>46480</v>
      </c>
      <c r="AJ639" s="23" t="str">
        <f aca="false">IF(U639&lt;IF(C639=1,안내!$C$9,안내!$C$10)+안내!$C$12,"시즌 시작 전 제작","")</f>
        <v/>
      </c>
      <c r="AK639" s="24"/>
      <c r="AL639" s="27"/>
      <c r="AM639" s="27"/>
      <c r="AN639" s="27"/>
      <c r="AO639" s="27"/>
      <c r="AP639" s="27"/>
      <c r="AQ639" s="23" t="str">
        <f aca="false">D639&amp;"|"&amp;TEXT(U639,"yyyy-mm-dd")</f>
        <v>신약|2027-05-01</v>
      </c>
      <c r="AR639" s="24" t="s">
        <v>6856</v>
      </c>
      <c r="AS639" s="24"/>
    </row>
    <row r="640" customFormat="false" ht="39.55" hidden="false" customHeight="false" outlineLevel="0" collapsed="false">
      <c r="A640" s="23" t="n">
        <v>639</v>
      </c>
      <c r="B640" s="31" t="s">
        <v>6857</v>
      </c>
      <c r="C640" s="23" t="n">
        <v>2</v>
      </c>
      <c r="D640" s="23" t="s">
        <v>5581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1" t="s">
        <v>6812</v>
      </c>
      <c r="H640" s="31" t="s">
        <v>6825</v>
      </c>
      <c r="I640" s="23" t="s">
        <v>6612</v>
      </c>
      <c r="J640" s="24" t="s">
        <v>6858</v>
      </c>
      <c r="K640" s="23" t="s">
        <v>165</v>
      </c>
      <c r="L640" s="24" t="s">
        <v>6859</v>
      </c>
      <c r="M640" s="24" t="s">
        <v>6860</v>
      </c>
      <c r="N640" s="23" t="s">
        <v>6861</v>
      </c>
      <c r="O640" s="24" t="s">
        <v>6862</v>
      </c>
      <c r="P640" s="24" t="s">
        <v>5719</v>
      </c>
      <c r="Q640" s="24" t="s">
        <v>6863</v>
      </c>
      <c r="R640" s="24"/>
      <c r="S640" s="24" t="s">
        <v>6864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174</v>
      </c>
      <c r="Y640" s="23" t="s">
        <v>174</v>
      </c>
      <c r="Z640" s="23" t="s">
        <v>174</v>
      </c>
      <c r="AA640" s="23" t="s">
        <v>174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  <c r="AE640" s="24" t="str">
        <f aca="false">M640&amp;" | 요한복음 16장 #"&amp;SUBSTITUTE(안내!$C$5," ","")</f>
        <v>세상에서는 환난을 당하나 | 요한복음 16장 #1분성경</v>
      </c>
      <c r="AF640" s="24" t="s">
        <v>304</v>
      </c>
      <c r="AG640" s="24"/>
      <c r="AH640" s="23" t="s">
        <v>290</v>
      </c>
      <c r="AI640" s="26" t="n">
        <f aca="false">U640-안내!$C$12</f>
        <v>46638</v>
      </c>
      <c r="AJ640" s="23" t="str">
        <f aca="false">IF(U640&lt;IF(C640=1,안내!$C$9,안내!$C$10)+안내!$C$12,"시즌 시작 전 제작","")</f>
        <v/>
      </c>
      <c r="AK640" s="24"/>
      <c r="AL640" s="27"/>
      <c r="AM640" s="27"/>
      <c r="AN640" s="27"/>
      <c r="AO640" s="27"/>
      <c r="AP640" s="27"/>
      <c r="AQ640" s="23" t="str">
        <f aca="false">D640&amp;"|"&amp;TEXT(U640,"yyyy-mm-dd")</f>
        <v>신약|2027-10-06</v>
      </c>
      <c r="AR640" s="24" t="s">
        <v>6865</v>
      </c>
      <c r="AS640" s="24"/>
    </row>
    <row r="641" customFormat="false" ht="39.55" hidden="false" customHeight="false" outlineLevel="0" collapsed="false">
      <c r="A641" s="23" t="n">
        <v>640</v>
      </c>
      <c r="B641" s="31" t="s">
        <v>6866</v>
      </c>
      <c r="C641" s="23" t="n">
        <v>2</v>
      </c>
      <c r="D641" s="23" t="s">
        <v>5581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1" t="s">
        <v>6812</v>
      </c>
      <c r="H641" s="31" t="s">
        <v>6825</v>
      </c>
      <c r="I641" s="23" t="s">
        <v>6612</v>
      </c>
      <c r="J641" s="24" t="s">
        <v>6867</v>
      </c>
      <c r="K641" s="23" t="s">
        <v>165</v>
      </c>
      <c r="L641" s="24" t="s">
        <v>6868</v>
      </c>
      <c r="M641" s="24" t="s">
        <v>6869</v>
      </c>
      <c r="N641" s="23" t="s">
        <v>6870</v>
      </c>
      <c r="O641" s="24" t="s">
        <v>6871</v>
      </c>
      <c r="P641" s="24" t="s">
        <v>6872</v>
      </c>
      <c r="Q641" s="24" t="s">
        <v>6873</v>
      </c>
      <c r="R641" s="24"/>
      <c r="S641" s="24" t="s">
        <v>6864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174</v>
      </c>
      <c r="Y641" s="23" t="s">
        <v>174</v>
      </c>
      <c r="Z641" s="23" t="s">
        <v>174</v>
      </c>
      <c r="AA641" s="23" t="s">
        <v>174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  <c r="AE641" s="24" t="str">
        <f aca="false">M641&amp;" | 요한복음 17장 #"&amp;SUBSTITUTE(안내!$C$5," ","")</f>
        <v>예수님이 우리를 위해 하신 기도 | 요한복음 17장 #1분성경</v>
      </c>
      <c r="AF641" s="24" t="s">
        <v>304</v>
      </c>
      <c r="AG641" s="24"/>
      <c r="AH641" s="23" t="s">
        <v>290</v>
      </c>
      <c r="AI641" s="26" t="n">
        <f aca="false">U641-안내!$C$12</f>
        <v>46640</v>
      </c>
      <c r="AJ641" s="23" t="str">
        <f aca="false">IF(U641&lt;IF(C641=1,안내!$C$9,안내!$C$10)+안내!$C$12,"시즌 시작 전 제작","")</f>
        <v/>
      </c>
      <c r="AK641" s="24"/>
      <c r="AL641" s="27"/>
      <c r="AM641" s="27"/>
      <c r="AN641" s="27"/>
      <c r="AO641" s="27"/>
      <c r="AP641" s="27"/>
      <c r="AQ641" s="23" t="str">
        <f aca="false">D641&amp;"|"&amp;TEXT(U641,"yyyy-mm-dd")</f>
        <v>신약|2027-10-08</v>
      </c>
      <c r="AR641" s="24" t="s">
        <v>6874</v>
      </c>
      <c r="AS641" s="24"/>
    </row>
    <row r="642" customFormat="false" ht="26.85" hidden="false" customHeight="false" outlineLevel="0" collapsed="false">
      <c r="A642" s="23" t="n">
        <v>641</v>
      </c>
      <c r="B642" s="31" t="s">
        <v>6875</v>
      </c>
      <c r="C642" s="23" t="n">
        <v>2</v>
      </c>
      <c r="D642" s="23" t="s">
        <v>5581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1" t="s">
        <v>6812</v>
      </c>
      <c r="H642" s="31" t="s">
        <v>6825</v>
      </c>
      <c r="I642" s="23" t="s">
        <v>6612</v>
      </c>
      <c r="J642" s="24" t="s">
        <v>6876</v>
      </c>
      <c r="K642" s="23" t="s">
        <v>165</v>
      </c>
      <c r="L642" s="24" t="s">
        <v>6877</v>
      </c>
      <c r="M642" s="24" t="s">
        <v>6878</v>
      </c>
      <c r="N642" s="23" t="s">
        <v>6879</v>
      </c>
      <c r="O642" s="24" t="s">
        <v>6880</v>
      </c>
      <c r="P642" s="24" t="s">
        <v>6881</v>
      </c>
      <c r="Q642" s="24" t="s">
        <v>6882</v>
      </c>
      <c r="R642" s="24"/>
      <c r="S642" s="24" t="s">
        <v>6864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174</v>
      </c>
      <c r="Y642" s="23" t="s">
        <v>174</v>
      </c>
      <c r="Z642" s="23" t="s">
        <v>174</v>
      </c>
      <c r="AA642" s="23" t="s">
        <v>174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  <c r="AE642" s="24" t="str">
        <f aca="false">M642&amp;" | 요한복음 18장 #"&amp;SUBSTITUTE(안내!$C$5," ","")</f>
        <v>군인들이 땅에 엎드러졌다 | 요한복음 18장 #1분성경</v>
      </c>
      <c r="AF642" s="24" t="s">
        <v>304</v>
      </c>
      <c r="AG642" s="24" t="s">
        <v>6883</v>
      </c>
      <c r="AH642" s="23" t="s">
        <v>290</v>
      </c>
      <c r="AI642" s="26" t="n">
        <f aca="false">U642-안내!$C$12</f>
        <v>46641</v>
      </c>
      <c r="AJ642" s="23" t="str">
        <f aca="false">IF(U642&lt;IF(C642=1,안내!$C$9,안내!$C$10)+안내!$C$12,"시즌 시작 전 제작","")</f>
        <v/>
      </c>
      <c r="AK642" s="24" t="s">
        <v>5675</v>
      </c>
      <c r="AL642" s="27"/>
      <c r="AM642" s="27"/>
      <c r="AN642" s="27"/>
      <c r="AO642" s="27"/>
      <c r="AP642" s="27"/>
      <c r="AQ642" s="23" t="str">
        <f aca="false">D642&amp;"|"&amp;TEXT(U642,"yyyy-mm-dd")</f>
        <v>신약|2027-10-09</v>
      </c>
      <c r="AR642" s="24" t="s">
        <v>6884</v>
      </c>
      <c r="AS642" s="24"/>
    </row>
    <row r="643" customFormat="false" ht="26.85" hidden="false" customHeight="false" outlineLevel="0" collapsed="false">
      <c r="A643" s="23" t="n">
        <v>642</v>
      </c>
      <c r="B643" s="31" t="s">
        <v>6885</v>
      </c>
      <c r="C643" s="23" t="n">
        <v>2</v>
      </c>
      <c r="D643" s="23" t="s">
        <v>5581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1" t="s">
        <v>6812</v>
      </c>
      <c r="H643" s="31" t="s">
        <v>6825</v>
      </c>
      <c r="I643" s="23" t="s">
        <v>6612</v>
      </c>
      <c r="J643" s="24" t="s">
        <v>6886</v>
      </c>
      <c r="K643" s="23" t="s">
        <v>165</v>
      </c>
      <c r="L643" s="24" t="s">
        <v>6887</v>
      </c>
      <c r="M643" s="24" t="s">
        <v>6888</v>
      </c>
      <c r="N643" s="23" t="s">
        <v>6889</v>
      </c>
      <c r="O643" s="24" t="s">
        <v>6890</v>
      </c>
      <c r="P643" s="24" t="s">
        <v>6891</v>
      </c>
      <c r="Q643" s="24" t="s">
        <v>6127</v>
      </c>
      <c r="R643" s="25" t="s">
        <v>6892</v>
      </c>
      <c r="S643" s="24" t="s">
        <v>6864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174</v>
      </c>
      <c r="Y643" s="23" t="s">
        <v>174</v>
      </c>
      <c r="Z643" s="23" t="s">
        <v>174</v>
      </c>
      <c r="AA643" s="23" t="s">
        <v>174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  <c r="AE643" s="24" t="str">
        <f aca="false">M643&amp;" | 요한복음 18~19장 #"&amp;SUBSTITUTE(안내!$C$5," ","")</f>
        <v>로마 총독이 던진 질문 | 요한복음 18~19장 #1분성경</v>
      </c>
      <c r="AF643" s="24" t="s">
        <v>304</v>
      </c>
      <c r="AG643" s="24"/>
      <c r="AH643" s="23" t="s">
        <v>290</v>
      </c>
      <c r="AI643" s="26" t="n">
        <f aca="false">U643-안내!$C$12</f>
        <v>46643</v>
      </c>
      <c r="AJ643" s="23" t="str">
        <f aca="false">IF(U643&lt;IF(C643=1,안내!$C$9,안내!$C$10)+안내!$C$12,"시즌 시작 전 제작","")</f>
        <v/>
      </c>
      <c r="AK643" s="24"/>
      <c r="AL643" s="27"/>
      <c r="AM643" s="27"/>
      <c r="AN643" s="27"/>
      <c r="AO643" s="27"/>
      <c r="AP643" s="27"/>
      <c r="AQ643" s="23" t="str">
        <f aca="false">D643&amp;"|"&amp;TEXT(U643,"yyyy-mm-dd")</f>
        <v>신약|2027-10-11</v>
      </c>
      <c r="AR643" s="24" t="s">
        <v>6893</v>
      </c>
      <c r="AS643" s="24"/>
    </row>
    <row r="644" customFormat="false" ht="52.2" hidden="false" customHeight="false" outlineLevel="0" collapsed="false">
      <c r="A644" s="23" t="n">
        <v>643</v>
      </c>
      <c r="B644" s="31" t="s">
        <v>6894</v>
      </c>
      <c r="C644" s="20" t="n">
        <v>1</v>
      </c>
      <c r="D644" s="20" t="s">
        <v>5581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1" t="s">
        <v>6812</v>
      </c>
      <c r="H644" s="31" t="s">
        <v>6813</v>
      </c>
      <c r="I644" s="23" t="s">
        <v>6612</v>
      </c>
      <c r="J644" s="24" t="s">
        <v>6895</v>
      </c>
      <c r="K644" s="23" t="s">
        <v>165</v>
      </c>
      <c r="L644" s="24" t="s">
        <v>6896</v>
      </c>
      <c r="M644" s="24" t="s">
        <v>6897</v>
      </c>
      <c r="N644" s="23" t="s">
        <v>6898</v>
      </c>
      <c r="O644" s="24" t="s">
        <v>6899</v>
      </c>
      <c r="P644" s="24" t="s">
        <v>6900</v>
      </c>
      <c r="Q644" s="24" t="s">
        <v>6901</v>
      </c>
      <c r="R644" s="25" t="s">
        <v>6902</v>
      </c>
      <c r="S644" s="29" t="s">
        <v>6903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174</v>
      </c>
      <c r="Y644" s="23" t="s">
        <v>174</v>
      </c>
      <c r="Z644" s="23" t="s">
        <v>174</v>
      </c>
      <c r="AA644" s="23" t="s">
        <v>174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  <c r="AE644" s="24" t="str">
        <f aca="false">M644&amp;" | 요한복음 19장 #"&amp;SUBSTITUTE(안내!$C$5," ","")</f>
        <v>십자가 위의 마지막 한마디 | 요한복음 19장 #1분성경</v>
      </c>
      <c r="AF644" s="30" t="s">
        <v>6904</v>
      </c>
      <c r="AG644" s="24" t="s">
        <v>6905</v>
      </c>
      <c r="AH644" s="23" t="s">
        <v>290</v>
      </c>
      <c r="AI644" s="26" t="n">
        <f aca="false">U644-안내!$C$12</f>
        <v>46482</v>
      </c>
      <c r="AJ644" s="23" t="str">
        <f aca="false">IF(U644&lt;IF(C644=1,안내!$C$9,안내!$C$10)+안내!$C$12,"시즌 시작 전 제작","")</f>
        <v/>
      </c>
      <c r="AK644" s="24"/>
      <c r="AL644" s="27"/>
      <c r="AM644" s="27"/>
      <c r="AN644" s="27"/>
      <c r="AO644" s="27"/>
      <c r="AP644" s="27"/>
      <c r="AQ644" s="23" t="str">
        <f aca="false">D644&amp;"|"&amp;TEXT(U644,"yyyy-mm-dd")</f>
        <v>신약|2027-05-03</v>
      </c>
      <c r="AR644" s="24" t="s">
        <v>6906</v>
      </c>
      <c r="AS644" s="24"/>
    </row>
    <row r="645" customFormat="false" ht="26.85" hidden="false" customHeight="false" outlineLevel="0" collapsed="false">
      <c r="A645" s="23" t="n">
        <v>644</v>
      </c>
      <c r="B645" s="31" t="s">
        <v>6907</v>
      </c>
      <c r="C645" s="20" t="n">
        <v>1</v>
      </c>
      <c r="D645" s="20" t="s">
        <v>5581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1" t="s">
        <v>6812</v>
      </c>
      <c r="H645" s="31" t="s">
        <v>6813</v>
      </c>
      <c r="I645" s="23" t="s">
        <v>6612</v>
      </c>
      <c r="J645" s="24" t="s">
        <v>6908</v>
      </c>
      <c r="K645" s="23" t="s">
        <v>165</v>
      </c>
      <c r="L645" s="24" t="s">
        <v>6909</v>
      </c>
      <c r="M645" s="24" t="s">
        <v>6910</v>
      </c>
      <c r="N645" s="23" t="s">
        <v>6911</v>
      </c>
      <c r="O645" s="24" t="s">
        <v>6912</v>
      </c>
      <c r="P645" s="24" t="s">
        <v>6913</v>
      </c>
      <c r="Q645" s="24" t="s">
        <v>6914</v>
      </c>
      <c r="R645" s="24"/>
      <c r="S645" s="24" t="s">
        <v>173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174</v>
      </c>
      <c r="Y645" s="23" t="s">
        <v>174</v>
      </c>
      <c r="Z645" s="23" t="s">
        <v>174</v>
      </c>
      <c r="AA645" s="23" t="s">
        <v>174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  <c r="AE645" s="24" t="str">
        <f aca="false">M645&amp;" | 요한복음 20장 #"&amp;SUBSTITUTE(안내!$C$5," ","")</f>
        <v>이름을 부르실 때 알아보았다 | 요한복음 20장 #1분성경</v>
      </c>
      <c r="AF645" s="24" t="s">
        <v>6915</v>
      </c>
      <c r="AG645" s="24" t="s">
        <v>6916</v>
      </c>
      <c r="AH645" s="23" t="s">
        <v>290</v>
      </c>
      <c r="AI645" s="26" t="n">
        <f aca="false">U645-안내!$C$12</f>
        <v>46484</v>
      </c>
      <c r="AJ645" s="23" t="str">
        <f aca="false">IF(U645&lt;IF(C645=1,안내!$C$9,안내!$C$10)+안내!$C$12,"시즌 시작 전 제작","")</f>
        <v/>
      </c>
      <c r="AK645" s="24" t="s">
        <v>5675</v>
      </c>
      <c r="AL645" s="27"/>
      <c r="AM645" s="27"/>
      <c r="AN645" s="27"/>
      <c r="AO645" s="27"/>
      <c r="AP645" s="27"/>
      <c r="AQ645" s="23" t="str">
        <f aca="false">D645&amp;"|"&amp;TEXT(U645,"yyyy-mm-dd")</f>
        <v>신약|2027-05-05</v>
      </c>
      <c r="AR645" s="24" t="s">
        <v>6917</v>
      </c>
      <c r="AS645" s="24"/>
    </row>
    <row r="646" customFormat="false" ht="26.85" hidden="false" customHeight="false" outlineLevel="0" collapsed="false">
      <c r="A646" s="23" t="n">
        <v>645</v>
      </c>
      <c r="B646" s="31" t="s">
        <v>6918</v>
      </c>
      <c r="C646" s="20" t="n">
        <v>1</v>
      </c>
      <c r="D646" s="20" t="s">
        <v>5581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1" t="s">
        <v>6812</v>
      </c>
      <c r="H646" s="31" t="s">
        <v>6813</v>
      </c>
      <c r="I646" s="23" t="s">
        <v>6612</v>
      </c>
      <c r="J646" s="24" t="s">
        <v>6919</v>
      </c>
      <c r="K646" s="23" t="s">
        <v>165</v>
      </c>
      <c r="L646" s="24" t="s">
        <v>6920</v>
      </c>
      <c r="M646" s="24" t="s">
        <v>6921</v>
      </c>
      <c r="N646" s="23" t="s">
        <v>6922</v>
      </c>
      <c r="O646" s="24" t="s">
        <v>6923</v>
      </c>
      <c r="P646" s="24" t="s">
        <v>6924</v>
      </c>
      <c r="Q646" s="24" t="s">
        <v>6925</v>
      </c>
      <c r="R646" s="24"/>
      <c r="S646" s="24" t="s">
        <v>173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174</v>
      </c>
      <c r="Y646" s="23" t="s">
        <v>174</v>
      </c>
      <c r="Z646" s="23" t="s">
        <v>174</v>
      </c>
      <c r="AA646" s="23" t="s">
        <v>174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  <c r="AE646" s="24" t="str">
        <f aca="false">M646&amp;" | 요한복음 20장 #"&amp;SUBSTITUTE(안내!$C$5," ","")</f>
        <v>의심하던 도마의 고백 | 요한복음 20장 #1분성경</v>
      </c>
      <c r="AF646" s="24" t="s">
        <v>6926</v>
      </c>
      <c r="AG646" s="24" t="s">
        <v>6927</v>
      </c>
      <c r="AH646" s="23" t="s">
        <v>290</v>
      </c>
      <c r="AI646" s="26" t="n">
        <f aca="false">U646-안내!$C$12</f>
        <v>46486</v>
      </c>
      <c r="AJ646" s="23" t="str">
        <f aca="false">IF(U646&lt;IF(C646=1,안내!$C$9,안내!$C$10)+안내!$C$12,"시즌 시작 전 제작","")</f>
        <v/>
      </c>
      <c r="AK646" s="24"/>
      <c r="AL646" s="27"/>
      <c r="AM646" s="27"/>
      <c r="AN646" s="27"/>
      <c r="AO646" s="27"/>
      <c r="AP646" s="27"/>
      <c r="AQ646" s="23" t="str">
        <f aca="false">D646&amp;"|"&amp;TEXT(U646,"yyyy-mm-dd")</f>
        <v>신약|2027-05-07</v>
      </c>
      <c r="AR646" s="24" t="s">
        <v>6928</v>
      </c>
      <c r="AS646" s="24"/>
    </row>
    <row r="647" customFormat="false" ht="52.2" hidden="false" customHeight="false" outlineLevel="0" collapsed="false">
      <c r="A647" s="23" t="n">
        <v>646</v>
      </c>
      <c r="B647" s="31" t="s">
        <v>6929</v>
      </c>
      <c r="C647" s="20" t="n">
        <v>1</v>
      </c>
      <c r="D647" s="20" t="s">
        <v>5581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1" t="s">
        <v>6812</v>
      </c>
      <c r="H647" s="31" t="s">
        <v>6813</v>
      </c>
      <c r="I647" s="23" t="s">
        <v>6612</v>
      </c>
      <c r="J647" s="24" t="s">
        <v>6930</v>
      </c>
      <c r="K647" s="23" t="s">
        <v>165</v>
      </c>
      <c r="L647" s="24" t="s">
        <v>6931</v>
      </c>
      <c r="M647" s="24" t="s">
        <v>6932</v>
      </c>
      <c r="N647" s="23" t="s">
        <v>6933</v>
      </c>
      <c r="O647" s="24" t="s">
        <v>6934</v>
      </c>
      <c r="P647" s="24" t="s">
        <v>5890</v>
      </c>
      <c r="Q647" s="24" t="s">
        <v>6935</v>
      </c>
      <c r="R647" s="24"/>
      <c r="S647" s="24" t="s">
        <v>173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174</v>
      </c>
      <c r="Y647" s="23" t="s">
        <v>174</v>
      </c>
      <c r="Z647" s="23" t="s">
        <v>174</v>
      </c>
      <c r="AA647" s="23" t="s">
        <v>174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  <c r="AE647" s="24" t="str">
        <f aca="false">M647&amp;" | 요한복음 21장 #"&amp;SUBSTITUTE(안내!$C$5," ","")</f>
        <v>세 번 부인한 제자에게 세 번 물으셨다 | 요한복음 21장 #1분성경</v>
      </c>
      <c r="AF647" s="24" t="s">
        <v>6936</v>
      </c>
      <c r="AG647" s="24"/>
      <c r="AH647" s="23" t="s">
        <v>290</v>
      </c>
      <c r="AI647" s="26" t="n">
        <f aca="false">U647-안내!$C$12</f>
        <v>46487</v>
      </c>
      <c r="AJ647" s="23" t="str">
        <f aca="false">IF(U647&lt;IF(C647=1,안내!$C$9,안내!$C$10)+안내!$C$12,"시즌 시작 전 제작","")</f>
        <v/>
      </c>
      <c r="AK647" s="24" t="s">
        <v>5675</v>
      </c>
      <c r="AL647" s="27"/>
      <c r="AM647" s="27"/>
      <c r="AN647" s="27"/>
      <c r="AO647" s="27"/>
      <c r="AP647" s="27"/>
      <c r="AQ647" s="23" t="str">
        <f aca="false">D647&amp;"|"&amp;TEXT(U647,"yyyy-mm-dd")</f>
        <v>신약|2027-05-08</v>
      </c>
      <c r="AR647" s="24" t="s">
        <v>6937</v>
      </c>
      <c r="AS647" s="24"/>
    </row>
    <row r="648" customFormat="false" ht="26.85" hidden="false" customHeight="false" outlineLevel="0" collapsed="false">
      <c r="A648" s="23" t="n">
        <v>647</v>
      </c>
      <c r="B648" s="31" t="s">
        <v>6938</v>
      </c>
      <c r="C648" s="20" t="n">
        <v>1</v>
      </c>
      <c r="D648" s="20" t="s">
        <v>5581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1" t="s">
        <v>6939</v>
      </c>
      <c r="H648" s="31" t="s">
        <v>6813</v>
      </c>
      <c r="I648" s="23" t="s">
        <v>6940</v>
      </c>
      <c r="J648" s="24" t="s">
        <v>6941</v>
      </c>
      <c r="K648" s="23" t="s">
        <v>165</v>
      </c>
      <c r="L648" s="24" t="s">
        <v>6942</v>
      </c>
      <c r="M648" s="24" t="s">
        <v>6943</v>
      </c>
      <c r="N648" s="23" t="s">
        <v>6944</v>
      </c>
      <c r="O648" s="24" t="s">
        <v>6945</v>
      </c>
      <c r="P648" s="24" t="s">
        <v>6946</v>
      </c>
      <c r="Q648" s="24" t="s">
        <v>6947</v>
      </c>
      <c r="R648" s="24"/>
      <c r="S648" s="24" t="s">
        <v>173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174</v>
      </c>
      <c r="Y648" s="23" t="s">
        <v>174</v>
      </c>
      <c r="Z648" s="23" t="s">
        <v>174</v>
      </c>
      <c r="AA648" s="23" t="s">
        <v>174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  <c r="AE648" s="24" t="str">
        <f aca="false">M648&amp;" | 사도행전 1장 #"&amp;SUBSTITUTE(안내!$C$5," ","")</f>
        <v>하늘로 올라가시며 남기신 약속 | 사도행전 1장 #1분성경</v>
      </c>
      <c r="AF648" s="24" t="s">
        <v>6948</v>
      </c>
      <c r="AG648" s="24" t="s">
        <v>6949</v>
      </c>
      <c r="AH648" s="23" t="s">
        <v>290</v>
      </c>
      <c r="AI648" s="26" t="n">
        <f aca="false">U648-안내!$C$12</f>
        <v>46489</v>
      </c>
      <c r="AJ648" s="23" t="str">
        <f aca="false">IF(U648&lt;IF(C648=1,안내!$C$9,안내!$C$10)+안내!$C$12,"시즌 시작 전 제작","")</f>
        <v/>
      </c>
      <c r="AK648" s="24"/>
      <c r="AL648" s="27"/>
      <c r="AM648" s="27"/>
      <c r="AN648" s="27"/>
      <c r="AO648" s="27"/>
      <c r="AP648" s="27"/>
      <c r="AQ648" s="23" t="str">
        <f aca="false">D648&amp;"|"&amp;TEXT(U648,"yyyy-mm-dd")</f>
        <v>신약|2027-05-10</v>
      </c>
      <c r="AR648" s="24" t="s">
        <v>6950</v>
      </c>
      <c r="AS648" s="24"/>
    </row>
    <row r="649" customFormat="false" ht="26.85" hidden="false" customHeight="false" outlineLevel="0" collapsed="false">
      <c r="A649" s="23" t="n">
        <v>648</v>
      </c>
      <c r="B649" s="31" t="s">
        <v>6951</v>
      </c>
      <c r="C649" s="23" t="n">
        <v>2</v>
      </c>
      <c r="D649" s="23" t="s">
        <v>5581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1" t="s">
        <v>6939</v>
      </c>
      <c r="H649" s="31" t="s">
        <v>6825</v>
      </c>
      <c r="I649" s="23" t="s">
        <v>6940</v>
      </c>
      <c r="J649" s="24" t="s">
        <v>6952</v>
      </c>
      <c r="K649" s="23" t="s">
        <v>165</v>
      </c>
      <c r="L649" s="24" t="s">
        <v>6953</v>
      </c>
      <c r="M649" s="30" t="s">
        <v>6954</v>
      </c>
      <c r="N649" s="23" t="s">
        <v>6955</v>
      </c>
      <c r="O649" s="24" t="s">
        <v>6956</v>
      </c>
      <c r="P649" s="24" t="s">
        <v>6957</v>
      </c>
      <c r="Q649" s="24" t="s">
        <v>6819</v>
      </c>
      <c r="R649" s="24"/>
      <c r="S649" s="24" t="s">
        <v>6958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174</v>
      </c>
      <c r="Y649" s="23" t="s">
        <v>174</v>
      </c>
      <c r="Z649" s="23" t="s">
        <v>174</v>
      </c>
      <c r="AA649" s="23" t="s">
        <v>174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  <c r="AE649" s="24" t="str">
        <f aca="false">M649&amp;" | 사도행전 1장 #"&amp;SUBSTITUTE(안내!$C$5," ","")</f>
        <v>120명이 한마음으로 기도했다 | 사도행전 1장 #1분성경</v>
      </c>
      <c r="AF649" s="24" t="s">
        <v>304</v>
      </c>
      <c r="AG649" s="24"/>
      <c r="AH649" s="23" t="s">
        <v>360</v>
      </c>
      <c r="AI649" s="26" t="n">
        <f aca="false">U649-안내!$C$12</f>
        <v>46645</v>
      </c>
      <c r="AJ649" s="23" t="str">
        <f aca="false">IF(U649&lt;IF(C649=1,안내!$C$9,안내!$C$10)+안내!$C$12,"시즌 시작 전 제작","")</f>
        <v/>
      </c>
      <c r="AK649" s="24"/>
      <c r="AL649" s="27"/>
      <c r="AM649" s="27"/>
      <c r="AN649" s="27"/>
      <c r="AO649" s="27"/>
      <c r="AP649" s="27"/>
      <c r="AQ649" s="23" t="str">
        <f aca="false">D649&amp;"|"&amp;TEXT(U649,"yyyy-mm-dd")</f>
        <v>신약|2027-10-13</v>
      </c>
      <c r="AR649" s="24" t="s">
        <v>6959</v>
      </c>
      <c r="AS649" s="24"/>
    </row>
    <row r="650" customFormat="false" ht="26.85" hidden="false" customHeight="false" outlineLevel="0" collapsed="false">
      <c r="A650" s="23" t="n">
        <v>649</v>
      </c>
      <c r="B650" s="31" t="s">
        <v>6960</v>
      </c>
      <c r="C650" s="20" t="n">
        <v>1</v>
      </c>
      <c r="D650" s="20" t="s">
        <v>5581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1" t="s">
        <v>6939</v>
      </c>
      <c r="H650" s="31" t="s">
        <v>6813</v>
      </c>
      <c r="I650" s="23" t="s">
        <v>6940</v>
      </c>
      <c r="J650" s="24" t="s">
        <v>6961</v>
      </c>
      <c r="K650" s="23" t="s">
        <v>165</v>
      </c>
      <c r="L650" s="24" t="s">
        <v>6962</v>
      </c>
      <c r="M650" s="24" t="s">
        <v>6963</v>
      </c>
      <c r="N650" s="23" t="s">
        <v>6964</v>
      </c>
      <c r="O650" s="24" t="s">
        <v>6965</v>
      </c>
      <c r="P650" s="24" t="s">
        <v>6966</v>
      </c>
      <c r="Q650" s="24" t="s">
        <v>6967</v>
      </c>
      <c r="R650" s="25" t="s">
        <v>6968</v>
      </c>
      <c r="S650" s="29" t="s">
        <v>6969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174</v>
      </c>
      <c r="Y650" s="23" t="s">
        <v>174</v>
      </c>
      <c r="Z650" s="23" t="s">
        <v>174</v>
      </c>
      <c r="AA650" s="23" t="s">
        <v>174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  <c r="AE650" s="24" t="str">
        <f aca="false">M650&amp;" | 사도행전 2장 #"&amp;SUBSTITUTE(안내!$C$5," ","")</f>
        <v>불의 혀 같은 것이 임했다 | 사도행전 2장 #1분성경</v>
      </c>
      <c r="AF650" s="24" t="s">
        <v>6970</v>
      </c>
      <c r="AG650" s="24"/>
      <c r="AH650" s="23" t="s">
        <v>290</v>
      </c>
      <c r="AI650" s="26" t="n">
        <f aca="false">U650-안내!$C$12</f>
        <v>46491</v>
      </c>
      <c r="AJ650" s="23" t="str">
        <f aca="false">IF(U650&lt;IF(C650=1,안내!$C$9,안내!$C$10)+안내!$C$12,"시즌 시작 전 제작","")</f>
        <v/>
      </c>
      <c r="AK650" s="24"/>
      <c r="AL650" s="27"/>
      <c r="AM650" s="27"/>
      <c r="AN650" s="27"/>
      <c r="AO650" s="27"/>
      <c r="AP650" s="27"/>
      <c r="AQ650" s="23" t="str">
        <f aca="false">D650&amp;"|"&amp;TEXT(U650,"yyyy-mm-dd")</f>
        <v>신약|2027-05-12</v>
      </c>
      <c r="AR650" s="24" t="s">
        <v>6971</v>
      </c>
      <c r="AS650" s="24"/>
    </row>
    <row r="651" customFormat="false" ht="26.85" hidden="false" customHeight="false" outlineLevel="0" collapsed="false">
      <c r="A651" s="23" t="n">
        <v>650</v>
      </c>
      <c r="B651" s="31" t="s">
        <v>6972</v>
      </c>
      <c r="C651" s="20" t="n">
        <v>1</v>
      </c>
      <c r="D651" s="20" t="s">
        <v>5581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1" t="s">
        <v>6939</v>
      </c>
      <c r="H651" s="31" t="s">
        <v>6813</v>
      </c>
      <c r="I651" s="23" t="s">
        <v>6940</v>
      </c>
      <c r="J651" s="24" t="s">
        <v>6973</v>
      </c>
      <c r="K651" s="23" t="s">
        <v>165</v>
      </c>
      <c r="L651" s="24" t="s">
        <v>6974</v>
      </c>
      <c r="M651" s="24" t="s">
        <v>6975</v>
      </c>
      <c r="N651" s="23" t="s">
        <v>6976</v>
      </c>
      <c r="O651" s="24" t="s">
        <v>6977</v>
      </c>
      <c r="P651" s="24" t="s">
        <v>6978</v>
      </c>
      <c r="Q651" s="24" t="s">
        <v>6979</v>
      </c>
      <c r="R651" s="24"/>
      <c r="S651" s="24" t="s">
        <v>173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174</v>
      </c>
      <c r="Y651" s="23" t="s">
        <v>174</v>
      </c>
      <c r="Z651" s="23" t="s">
        <v>174</v>
      </c>
      <c r="AA651" s="23" t="s">
        <v>174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  <c r="AE651" s="24" t="str">
        <f aca="false">M651&amp;" | 사도행전 2장 #"&amp;SUBSTITUTE(안내!$C$5," ","")</f>
        <v>하루에 3천 명이 세례를 받았다 | 사도행전 2장 #1분성경</v>
      </c>
      <c r="AF651" s="24" t="s">
        <v>6980</v>
      </c>
      <c r="AG651" s="24" t="s">
        <v>6981</v>
      </c>
      <c r="AH651" s="23" t="s">
        <v>360</v>
      </c>
      <c r="AI651" s="26" t="n">
        <f aca="false">U651-안내!$C$12</f>
        <v>46493</v>
      </c>
      <c r="AJ651" s="23" t="str">
        <f aca="false">IF(U651&lt;IF(C651=1,안내!$C$9,안내!$C$10)+안내!$C$12,"시즌 시작 전 제작","")</f>
        <v/>
      </c>
      <c r="AK651" s="24" t="s">
        <v>5675</v>
      </c>
      <c r="AL651" s="27"/>
      <c r="AM651" s="27"/>
      <c r="AN651" s="27"/>
      <c r="AO651" s="27"/>
      <c r="AP651" s="27"/>
      <c r="AQ651" s="23" t="str">
        <f aca="false">D651&amp;"|"&amp;TEXT(U651,"yyyy-mm-dd")</f>
        <v>신약|2027-05-14</v>
      </c>
      <c r="AR651" s="24" t="s">
        <v>6982</v>
      </c>
      <c r="AS651" s="24"/>
    </row>
    <row r="652" customFormat="false" ht="26.85" hidden="false" customHeight="false" outlineLevel="0" collapsed="false">
      <c r="A652" s="23" t="n">
        <v>651</v>
      </c>
      <c r="B652" s="31" t="s">
        <v>6983</v>
      </c>
      <c r="C652" s="20" t="n">
        <v>1</v>
      </c>
      <c r="D652" s="20" t="s">
        <v>5581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1" t="s">
        <v>6939</v>
      </c>
      <c r="H652" s="31" t="s">
        <v>6813</v>
      </c>
      <c r="I652" s="23" t="s">
        <v>6940</v>
      </c>
      <c r="J652" s="24" t="s">
        <v>6984</v>
      </c>
      <c r="K652" s="23" t="s">
        <v>165</v>
      </c>
      <c r="L652" s="24" t="s">
        <v>6985</v>
      </c>
      <c r="M652" s="24" t="s">
        <v>6986</v>
      </c>
      <c r="N652" s="23" t="s">
        <v>6987</v>
      </c>
      <c r="O652" s="24" t="s">
        <v>6988</v>
      </c>
      <c r="P652" s="24" t="s">
        <v>6989</v>
      </c>
      <c r="Q652" s="24" t="s">
        <v>6990</v>
      </c>
      <c r="R652" s="24"/>
      <c r="S652" s="24" t="s">
        <v>173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174</v>
      </c>
      <c r="Y652" s="23" t="s">
        <v>174</v>
      </c>
      <c r="Z652" s="23" t="s">
        <v>174</v>
      </c>
      <c r="AA652" s="23" t="s">
        <v>174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  <c r="AE652" s="24" t="str">
        <f aca="false">M652&amp;" | 사도행전 3장 #"&amp;SUBSTITUTE(안내!$C$5," ","")</f>
        <v>은과 금은 내게 없거니와 | 사도행전 3장 #1분성경</v>
      </c>
      <c r="AF652" s="24" t="s">
        <v>6991</v>
      </c>
      <c r="AG652" s="24" t="s">
        <v>6992</v>
      </c>
      <c r="AH652" s="23" t="s">
        <v>290</v>
      </c>
      <c r="AI652" s="26" t="n">
        <f aca="false">U652-안내!$C$12</f>
        <v>46494</v>
      </c>
      <c r="AJ652" s="23" t="str">
        <f aca="false">IF(U652&lt;IF(C652=1,안내!$C$9,안내!$C$10)+안내!$C$12,"시즌 시작 전 제작","")</f>
        <v/>
      </c>
      <c r="AK652" s="24" t="s">
        <v>5675</v>
      </c>
      <c r="AL652" s="27"/>
      <c r="AM652" s="27"/>
      <c r="AN652" s="27"/>
      <c r="AO652" s="27"/>
      <c r="AP652" s="27"/>
      <c r="AQ652" s="23" t="str">
        <f aca="false">D652&amp;"|"&amp;TEXT(U652,"yyyy-mm-dd")</f>
        <v>신약|2027-05-15</v>
      </c>
      <c r="AR652" s="24" t="s">
        <v>6993</v>
      </c>
      <c r="AS652" s="24"/>
    </row>
    <row r="653" customFormat="false" ht="26.85" hidden="false" customHeight="false" outlineLevel="0" collapsed="false">
      <c r="A653" s="23" t="n">
        <v>652</v>
      </c>
      <c r="B653" s="31" t="s">
        <v>6994</v>
      </c>
      <c r="C653" s="20" t="n">
        <v>1</v>
      </c>
      <c r="D653" s="20" t="s">
        <v>5581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1" t="s">
        <v>6939</v>
      </c>
      <c r="H653" s="31" t="s">
        <v>6813</v>
      </c>
      <c r="I653" s="23" t="s">
        <v>6940</v>
      </c>
      <c r="J653" s="24" t="s">
        <v>6995</v>
      </c>
      <c r="K653" s="23" t="s">
        <v>165</v>
      </c>
      <c r="L653" s="24" t="s">
        <v>6996</v>
      </c>
      <c r="M653" s="24" t="s">
        <v>6997</v>
      </c>
      <c r="N653" s="23" t="s">
        <v>6998</v>
      </c>
      <c r="O653" s="24" t="s">
        <v>6999</v>
      </c>
      <c r="P653" s="24" t="s">
        <v>7000</v>
      </c>
      <c r="Q653" s="24" t="s">
        <v>7001</v>
      </c>
      <c r="R653" s="24"/>
      <c r="S653" s="24" t="s">
        <v>173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174</v>
      </c>
      <c r="Y653" s="23" t="s">
        <v>174</v>
      </c>
      <c r="Z653" s="23" t="s">
        <v>174</v>
      </c>
      <c r="AA653" s="23" t="s">
        <v>174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  <c r="AE653" s="24" t="str">
        <f aca="false">M653&amp;" | 사도행전 4장 #"&amp;SUBSTITUTE(안내!$C$5," ","")</f>
        <v>감옥에 갇힌 날 5천 명이 믿었다 | 사도행전 4장 #1분성경</v>
      </c>
      <c r="AF653" s="24" t="s">
        <v>7002</v>
      </c>
      <c r="AG653" s="24" t="s">
        <v>7003</v>
      </c>
      <c r="AH653" s="23" t="s">
        <v>360</v>
      </c>
      <c r="AI653" s="26" t="n">
        <f aca="false">U653-안내!$C$12</f>
        <v>46496</v>
      </c>
      <c r="AJ653" s="23" t="str">
        <f aca="false">IF(U653&lt;IF(C653=1,안내!$C$9,안내!$C$10)+안내!$C$12,"시즌 시작 전 제작","")</f>
        <v/>
      </c>
      <c r="AK653" s="24" t="s">
        <v>5675</v>
      </c>
      <c r="AL653" s="27"/>
      <c r="AM653" s="27"/>
      <c r="AN653" s="27"/>
      <c r="AO653" s="27"/>
      <c r="AP653" s="27"/>
      <c r="AQ653" s="23" t="str">
        <f aca="false">D653&amp;"|"&amp;TEXT(U653,"yyyy-mm-dd")</f>
        <v>신약|2027-05-17</v>
      </c>
      <c r="AR653" s="24" t="s">
        <v>7004</v>
      </c>
      <c r="AS653" s="24"/>
    </row>
    <row r="654" customFormat="false" ht="39.55" hidden="false" customHeight="false" outlineLevel="0" collapsed="false">
      <c r="A654" s="23" t="n">
        <v>653</v>
      </c>
      <c r="B654" s="31" t="s">
        <v>7005</v>
      </c>
      <c r="C654" s="23" t="n">
        <v>2</v>
      </c>
      <c r="D654" s="23" t="s">
        <v>5581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1" t="s">
        <v>6939</v>
      </c>
      <c r="H654" s="31" t="s">
        <v>6825</v>
      </c>
      <c r="I654" s="23" t="s">
        <v>6940</v>
      </c>
      <c r="J654" s="24" t="s">
        <v>7006</v>
      </c>
      <c r="K654" s="23" t="s">
        <v>165</v>
      </c>
      <c r="L654" s="24" t="s">
        <v>7007</v>
      </c>
      <c r="M654" s="24" t="s">
        <v>7008</v>
      </c>
      <c r="N654" s="23" t="s">
        <v>7009</v>
      </c>
      <c r="O654" s="24" t="s">
        <v>7010</v>
      </c>
      <c r="P654" s="24" t="s">
        <v>7011</v>
      </c>
      <c r="Q654" s="24" t="s">
        <v>7012</v>
      </c>
      <c r="R654" s="25" t="s">
        <v>7013</v>
      </c>
      <c r="S654" s="24" t="s">
        <v>7014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174</v>
      </c>
      <c r="Y654" s="23" t="s">
        <v>174</v>
      </c>
      <c r="Z654" s="23" t="s">
        <v>174</v>
      </c>
      <c r="AA654" s="23" t="s">
        <v>174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  <c r="AE654" s="24" t="str">
        <f aca="false">M654&amp;" | 사도행전 5장 #"&amp;SUBSTITUTE(안내!$C$5," ","")</f>
        <v>땅값을 속인 부부 | 사도행전 5장 #1분성경</v>
      </c>
      <c r="AF654" s="24" t="s">
        <v>304</v>
      </c>
      <c r="AG654" s="24"/>
      <c r="AH654" s="23" t="s">
        <v>290</v>
      </c>
      <c r="AI654" s="26" t="n">
        <f aca="false">U654-안내!$C$12</f>
        <v>46647</v>
      </c>
      <c r="AJ654" s="23" t="str">
        <f aca="false">IF(U654&lt;IF(C654=1,안내!$C$9,안내!$C$10)+안내!$C$12,"시즌 시작 전 제작","")</f>
        <v/>
      </c>
      <c r="AK654" s="24" t="s">
        <v>5675</v>
      </c>
      <c r="AL654" s="27"/>
      <c r="AM654" s="27"/>
      <c r="AN654" s="27"/>
      <c r="AO654" s="27"/>
      <c r="AP654" s="27"/>
      <c r="AQ654" s="23" t="str">
        <f aca="false">D654&amp;"|"&amp;TEXT(U654,"yyyy-mm-dd")</f>
        <v>신약|2027-10-15</v>
      </c>
      <c r="AR654" s="24" t="s">
        <v>7015</v>
      </c>
      <c r="AS654" s="24"/>
    </row>
    <row r="655" customFormat="false" ht="26.85" hidden="false" customHeight="false" outlineLevel="0" collapsed="false">
      <c r="A655" s="23" t="n">
        <v>654</v>
      </c>
      <c r="B655" s="31" t="s">
        <v>7016</v>
      </c>
      <c r="C655" s="23" t="n">
        <v>2</v>
      </c>
      <c r="D655" s="23" t="s">
        <v>5581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1" t="s">
        <v>6939</v>
      </c>
      <c r="H655" s="31" t="s">
        <v>6825</v>
      </c>
      <c r="I655" s="23" t="s">
        <v>6940</v>
      </c>
      <c r="J655" s="24" t="s">
        <v>7017</v>
      </c>
      <c r="K655" s="23" t="s">
        <v>165</v>
      </c>
      <c r="L655" s="24" t="s">
        <v>7018</v>
      </c>
      <c r="M655" s="24" t="s">
        <v>7019</v>
      </c>
      <c r="N655" s="23" t="s">
        <v>7020</v>
      </c>
      <c r="O655" s="24" t="s">
        <v>7021</v>
      </c>
      <c r="P655" s="24" t="s">
        <v>7022</v>
      </c>
      <c r="Q655" s="24" t="s">
        <v>7023</v>
      </c>
      <c r="R655" s="25" t="s">
        <v>7024</v>
      </c>
      <c r="S655" s="24" t="s">
        <v>7014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174</v>
      </c>
      <c r="Y655" s="23" t="s">
        <v>174</v>
      </c>
      <c r="Z655" s="23" t="s">
        <v>174</v>
      </c>
      <c r="AA655" s="23" t="s">
        <v>174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  <c r="AE655" s="24" t="str">
        <f aca="false">M655&amp;" | 사도행전 5장 #"&amp;SUBSTITUTE(안내!$C$5," ","")</f>
        <v>천사가 감옥 문을 열었다 | 사도행전 5장 #1분성경</v>
      </c>
      <c r="AF655" s="24" t="s">
        <v>304</v>
      </c>
      <c r="AG655" s="24" t="s">
        <v>7025</v>
      </c>
      <c r="AH655" s="23" t="s">
        <v>290</v>
      </c>
      <c r="AI655" s="26" t="n">
        <f aca="false">U655-안내!$C$12</f>
        <v>46648</v>
      </c>
      <c r="AJ655" s="23" t="str">
        <f aca="false">IF(U655&lt;IF(C655=1,안내!$C$9,안내!$C$10)+안내!$C$12,"시즌 시작 전 제작","")</f>
        <v/>
      </c>
      <c r="AK655" s="24"/>
      <c r="AL655" s="27"/>
      <c r="AM655" s="27"/>
      <c r="AN655" s="27"/>
      <c r="AO655" s="27"/>
      <c r="AP655" s="27"/>
      <c r="AQ655" s="23" t="str">
        <f aca="false">D655&amp;"|"&amp;TEXT(U655,"yyyy-mm-dd")</f>
        <v>신약|2027-10-16</v>
      </c>
      <c r="AR655" s="24" t="s">
        <v>7026</v>
      </c>
      <c r="AS655" s="24"/>
    </row>
    <row r="656" customFormat="false" ht="26.85" hidden="false" customHeight="false" outlineLevel="0" collapsed="false">
      <c r="A656" s="23" t="n">
        <v>655</v>
      </c>
      <c r="B656" s="31" t="s">
        <v>7027</v>
      </c>
      <c r="C656" s="23" t="n">
        <v>2</v>
      </c>
      <c r="D656" s="23" t="s">
        <v>5581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1" t="s">
        <v>6939</v>
      </c>
      <c r="H656" s="31" t="s">
        <v>6825</v>
      </c>
      <c r="I656" s="23" t="s">
        <v>6940</v>
      </c>
      <c r="J656" s="24" t="s">
        <v>7028</v>
      </c>
      <c r="K656" s="23" t="s">
        <v>165</v>
      </c>
      <c r="L656" s="24" t="s">
        <v>7029</v>
      </c>
      <c r="M656" s="24" t="s">
        <v>7030</v>
      </c>
      <c r="N656" s="23" t="s">
        <v>7031</v>
      </c>
      <c r="O656" s="24" t="s">
        <v>7032</v>
      </c>
      <c r="P656" s="24" t="s">
        <v>7033</v>
      </c>
      <c r="Q656" s="24" t="s">
        <v>7034</v>
      </c>
      <c r="R656" s="24"/>
      <c r="S656" s="24" t="s">
        <v>7014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174</v>
      </c>
      <c r="Y656" s="23" t="s">
        <v>174</v>
      </c>
      <c r="Z656" s="23" t="s">
        <v>174</v>
      </c>
      <c r="AA656" s="23" t="s">
        <v>174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  <c r="AE656" s="24" t="str">
        <f aca="false">M656&amp;" | 사도행전 6장 #"&amp;SUBSTITUTE(안내!$C$5," ","")</f>
        <v>교회 안의 불평을 해결한 방법 | 사도행전 6장 #1분성경</v>
      </c>
      <c r="AF656" s="24" t="s">
        <v>304</v>
      </c>
      <c r="AG656" s="24"/>
      <c r="AH656" s="23" t="s">
        <v>290</v>
      </c>
      <c r="AI656" s="26" t="n">
        <f aca="false">U656-안내!$C$12</f>
        <v>46650</v>
      </c>
      <c r="AJ656" s="23" t="str">
        <f aca="false">IF(U656&lt;IF(C656=1,안내!$C$9,안내!$C$10)+안내!$C$12,"시즌 시작 전 제작","")</f>
        <v/>
      </c>
      <c r="AK656" s="24"/>
      <c r="AL656" s="27"/>
      <c r="AM656" s="27"/>
      <c r="AN656" s="27"/>
      <c r="AO656" s="27"/>
      <c r="AP656" s="27"/>
      <c r="AQ656" s="23" t="str">
        <f aca="false">D656&amp;"|"&amp;TEXT(U656,"yyyy-mm-dd")</f>
        <v>신약|2027-10-18</v>
      </c>
      <c r="AR656" s="24" t="s">
        <v>7035</v>
      </c>
      <c r="AS656" s="24"/>
    </row>
    <row r="657" customFormat="false" ht="39.55" hidden="false" customHeight="false" outlineLevel="0" collapsed="false">
      <c r="A657" s="23" t="n">
        <v>656</v>
      </c>
      <c r="B657" s="31" t="s">
        <v>7036</v>
      </c>
      <c r="C657" s="20" t="n">
        <v>1</v>
      </c>
      <c r="D657" s="20" t="s">
        <v>5581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1" t="s">
        <v>6939</v>
      </c>
      <c r="H657" s="31" t="s">
        <v>6813</v>
      </c>
      <c r="I657" s="23" t="s">
        <v>6940</v>
      </c>
      <c r="J657" s="24" t="s">
        <v>7037</v>
      </c>
      <c r="K657" s="23" t="s">
        <v>165</v>
      </c>
      <c r="L657" s="24" t="s">
        <v>7038</v>
      </c>
      <c r="M657" s="24" t="s">
        <v>7039</v>
      </c>
      <c r="N657" s="23" t="s">
        <v>7040</v>
      </c>
      <c r="O657" s="24" t="s">
        <v>7041</v>
      </c>
      <c r="P657" s="24" t="s">
        <v>7042</v>
      </c>
      <c r="Q657" s="24" t="s">
        <v>7043</v>
      </c>
      <c r="R657" s="25" t="s">
        <v>7044</v>
      </c>
      <c r="S657" s="29" t="s">
        <v>7045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174</v>
      </c>
      <c r="Y657" s="23" t="s">
        <v>174</v>
      </c>
      <c r="Z657" s="23" t="s">
        <v>174</v>
      </c>
      <c r="AA657" s="23" t="s">
        <v>174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  <c r="AE657" s="24" t="str">
        <f aca="false">M657&amp;" | 사도행전 7장 #"&amp;SUBSTITUTE(안내!$C$5," ","")</f>
        <v>돌에 맞으며 원수를 위해 기도하다 | 사도행전 7장 #1분성경</v>
      </c>
      <c r="AF657" s="24" t="s">
        <v>7046</v>
      </c>
      <c r="AG657" s="24"/>
      <c r="AH657" s="23" t="s">
        <v>290</v>
      </c>
      <c r="AI657" s="26" t="n">
        <f aca="false">U657-안내!$C$12</f>
        <v>46498</v>
      </c>
      <c r="AJ657" s="23" t="str">
        <f aca="false">IF(U657&lt;IF(C657=1,안내!$C$9,안내!$C$10)+안내!$C$12,"시즌 시작 전 제작","")</f>
        <v/>
      </c>
      <c r="AK657" s="24" t="s">
        <v>7047</v>
      </c>
      <c r="AL657" s="27"/>
      <c r="AM657" s="27"/>
      <c r="AN657" s="27"/>
      <c r="AO657" s="27"/>
      <c r="AP657" s="27"/>
      <c r="AQ657" s="23" t="str">
        <f aca="false">D657&amp;"|"&amp;TEXT(U657,"yyyy-mm-dd")</f>
        <v>신약|2027-05-19</v>
      </c>
      <c r="AR657" s="24" t="s">
        <v>7048</v>
      </c>
      <c r="AS657" s="24"/>
    </row>
    <row r="658" customFormat="false" ht="26.85" hidden="false" customHeight="false" outlineLevel="0" collapsed="false">
      <c r="A658" s="23" t="n">
        <v>657</v>
      </c>
      <c r="B658" s="31" t="s">
        <v>7049</v>
      </c>
      <c r="C658" s="23" t="n">
        <v>2</v>
      </c>
      <c r="D658" s="23" t="s">
        <v>5581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1" t="s">
        <v>7050</v>
      </c>
      <c r="H658" s="31" t="s">
        <v>7051</v>
      </c>
      <c r="I658" s="23" t="s">
        <v>6940</v>
      </c>
      <c r="J658" s="24" t="s">
        <v>7052</v>
      </c>
      <c r="K658" s="23" t="s">
        <v>165</v>
      </c>
      <c r="L658" s="24" t="s">
        <v>7053</v>
      </c>
      <c r="M658" s="24" t="s">
        <v>7054</v>
      </c>
      <c r="N658" s="23" t="s">
        <v>7055</v>
      </c>
      <c r="O658" s="24" t="s">
        <v>7056</v>
      </c>
      <c r="P658" s="24" t="s">
        <v>7057</v>
      </c>
      <c r="Q658" s="24" t="s">
        <v>7058</v>
      </c>
      <c r="R658" s="24"/>
      <c r="S658" s="24" t="s">
        <v>7059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174</v>
      </c>
      <c r="Y658" s="23" t="s">
        <v>174</v>
      </c>
      <c r="Z658" s="23" t="s">
        <v>174</v>
      </c>
      <c r="AA658" s="23" t="s">
        <v>174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  <c r="AE658" s="24" t="str">
        <f aca="false">M658&amp;" | 사도행전 8장 #"&amp;SUBSTITUTE(안내!$C$5," ","")</f>
        <v>핍박 때문에 흩어진 사람들이 복음을 전했다 | 사도행전 8장 #1분성경</v>
      </c>
      <c r="AF658" s="24" t="s">
        <v>304</v>
      </c>
      <c r="AG658" s="24"/>
      <c r="AH658" s="23" t="s">
        <v>290</v>
      </c>
      <c r="AI658" s="26" t="n">
        <f aca="false">U658-안내!$C$12</f>
        <v>46652</v>
      </c>
      <c r="AJ658" s="23" t="str">
        <f aca="false">IF(U658&lt;IF(C658=1,안내!$C$9,안내!$C$10)+안내!$C$12,"시즌 시작 전 제작","")</f>
        <v/>
      </c>
      <c r="AK658" s="24" t="s">
        <v>5675</v>
      </c>
      <c r="AL658" s="27"/>
      <c r="AM658" s="27"/>
      <c r="AN658" s="27"/>
      <c r="AO658" s="27"/>
      <c r="AP658" s="27"/>
      <c r="AQ658" s="23" t="str">
        <f aca="false">D658&amp;"|"&amp;TEXT(U658,"yyyy-mm-dd")</f>
        <v>신약|2027-10-20</v>
      </c>
      <c r="AR658" s="24" t="s">
        <v>7060</v>
      </c>
      <c r="AS658" s="24"/>
    </row>
    <row r="659" customFormat="false" ht="26.85" hidden="false" customHeight="false" outlineLevel="0" collapsed="false">
      <c r="A659" s="23" t="n">
        <v>658</v>
      </c>
      <c r="B659" s="31" t="s">
        <v>7061</v>
      </c>
      <c r="C659" s="20" t="n">
        <v>1</v>
      </c>
      <c r="D659" s="20" t="s">
        <v>5581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1" t="s">
        <v>7050</v>
      </c>
      <c r="H659" s="31" t="s">
        <v>7062</v>
      </c>
      <c r="I659" s="23" t="s">
        <v>6940</v>
      </c>
      <c r="J659" s="24" t="s">
        <v>7063</v>
      </c>
      <c r="K659" s="23" t="s">
        <v>165</v>
      </c>
      <c r="L659" s="24" t="s">
        <v>7064</v>
      </c>
      <c r="M659" s="24" t="s">
        <v>7065</v>
      </c>
      <c r="N659" s="23" t="s">
        <v>7066</v>
      </c>
      <c r="O659" s="24" t="s">
        <v>7067</v>
      </c>
      <c r="P659" s="24" t="s">
        <v>7068</v>
      </c>
      <c r="Q659" s="24" t="s">
        <v>7069</v>
      </c>
      <c r="R659" s="24"/>
      <c r="S659" s="29" t="s">
        <v>7070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174</v>
      </c>
      <c r="Y659" s="23" t="s">
        <v>174</v>
      </c>
      <c r="Z659" s="23" t="s">
        <v>174</v>
      </c>
      <c r="AA659" s="23" t="s">
        <v>174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  <c r="AE659" s="24" t="str">
        <f aca="false">M659&amp;" | 사도행전 8장 #"&amp;SUBSTITUTE(안내!$C$5," ","")</f>
        <v>마차에서 이사야서를 읽던 사람 | 사도행전 8장 #1분성경</v>
      </c>
      <c r="AF659" s="24" t="s">
        <v>7071</v>
      </c>
      <c r="AG659" s="24"/>
      <c r="AH659" s="23" t="s">
        <v>290</v>
      </c>
      <c r="AI659" s="26" t="n">
        <f aca="false">U659-안내!$C$12</f>
        <v>46500</v>
      </c>
      <c r="AJ659" s="23" t="str">
        <f aca="false">IF(U659&lt;IF(C659=1,안내!$C$9,안내!$C$10)+안내!$C$12,"시즌 시작 전 제작","")</f>
        <v/>
      </c>
      <c r="AK659" s="24"/>
      <c r="AL659" s="27"/>
      <c r="AM659" s="27"/>
      <c r="AN659" s="27"/>
      <c r="AO659" s="27"/>
      <c r="AP659" s="27"/>
      <c r="AQ659" s="23" t="str">
        <f aca="false">D659&amp;"|"&amp;TEXT(U659,"yyyy-mm-dd")</f>
        <v>신약|2027-05-21</v>
      </c>
      <c r="AR659" s="24" t="s">
        <v>7072</v>
      </c>
      <c r="AS659" s="24"/>
    </row>
    <row r="660" customFormat="false" ht="26.85" hidden="false" customHeight="false" outlineLevel="0" collapsed="false">
      <c r="A660" s="23" t="n">
        <v>659</v>
      </c>
      <c r="B660" s="31" t="s">
        <v>7073</v>
      </c>
      <c r="C660" s="20" t="n">
        <v>1</v>
      </c>
      <c r="D660" s="20" t="s">
        <v>5581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1" t="s">
        <v>7050</v>
      </c>
      <c r="H660" s="31" t="s">
        <v>7062</v>
      </c>
      <c r="I660" s="23" t="s">
        <v>6940</v>
      </c>
      <c r="J660" s="24" t="s">
        <v>7074</v>
      </c>
      <c r="K660" s="23" t="s">
        <v>165</v>
      </c>
      <c r="L660" s="24" t="s">
        <v>7075</v>
      </c>
      <c r="M660" s="24" t="s">
        <v>7076</v>
      </c>
      <c r="N660" s="23" t="s">
        <v>7077</v>
      </c>
      <c r="O660" s="24" t="s">
        <v>7078</v>
      </c>
      <c r="P660" s="24" t="s">
        <v>7079</v>
      </c>
      <c r="Q660" s="24" t="s">
        <v>7080</v>
      </c>
      <c r="R660" s="24"/>
      <c r="S660" s="24" t="s">
        <v>173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174</v>
      </c>
      <c r="Y660" s="23" t="s">
        <v>174</v>
      </c>
      <c r="Z660" s="23" t="s">
        <v>174</v>
      </c>
      <c r="AA660" s="23" t="s">
        <v>174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  <c r="AE660" s="24" t="str">
        <f aca="false">M660&amp;" | 사도행전 9장 #"&amp;SUBSTITUTE(안내!$C$5," ","")</f>
        <v>사울아 사울아 네가 왜 나를 박해하느냐 | 사도행전 9장 #1분성경</v>
      </c>
      <c r="AF660" s="24" t="s">
        <v>7081</v>
      </c>
      <c r="AG660" s="24"/>
      <c r="AH660" s="23" t="s">
        <v>290</v>
      </c>
      <c r="AI660" s="26" t="n">
        <f aca="false">U660-안내!$C$12</f>
        <v>46501</v>
      </c>
      <c r="AJ660" s="23" t="str">
        <f aca="false">IF(U660&lt;IF(C660=1,안내!$C$9,안내!$C$10)+안내!$C$12,"시즌 시작 전 제작","")</f>
        <v/>
      </c>
      <c r="AK660" s="24" t="s">
        <v>7047</v>
      </c>
      <c r="AL660" s="27"/>
      <c r="AM660" s="27"/>
      <c r="AN660" s="27"/>
      <c r="AO660" s="27"/>
      <c r="AP660" s="27"/>
      <c r="AQ660" s="23" t="str">
        <f aca="false">D660&amp;"|"&amp;TEXT(U660,"yyyy-mm-dd")</f>
        <v>신약|2027-05-22</v>
      </c>
      <c r="AR660" s="24" t="s">
        <v>7082</v>
      </c>
      <c r="AS660" s="24"/>
    </row>
    <row r="661" customFormat="false" ht="39.55" hidden="false" customHeight="false" outlineLevel="0" collapsed="false">
      <c r="A661" s="23" t="n">
        <v>660</v>
      </c>
      <c r="B661" s="31" t="s">
        <v>7083</v>
      </c>
      <c r="C661" s="23" t="n">
        <v>2</v>
      </c>
      <c r="D661" s="23" t="s">
        <v>5581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1" t="s">
        <v>7050</v>
      </c>
      <c r="H661" s="31" t="s">
        <v>7051</v>
      </c>
      <c r="I661" s="23" t="s">
        <v>6940</v>
      </c>
      <c r="J661" s="24" t="s">
        <v>7084</v>
      </c>
      <c r="K661" s="23" t="s">
        <v>165</v>
      </c>
      <c r="L661" s="24" t="s">
        <v>7085</v>
      </c>
      <c r="M661" s="24" t="s">
        <v>7086</v>
      </c>
      <c r="N661" s="23" t="s">
        <v>7087</v>
      </c>
      <c r="O661" s="24" t="s">
        <v>7088</v>
      </c>
      <c r="P661" s="24" t="s">
        <v>7089</v>
      </c>
      <c r="Q661" s="24" t="s">
        <v>7090</v>
      </c>
      <c r="R661" s="24"/>
      <c r="S661" s="24" t="s">
        <v>7091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174</v>
      </c>
      <c r="Y661" s="23" t="s">
        <v>174</v>
      </c>
      <c r="Z661" s="23" t="s">
        <v>174</v>
      </c>
      <c r="AA661" s="23" t="s">
        <v>174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  <c r="AE661" s="24" t="str">
        <f aca="false">M661&amp;" | 사도행전 9장 #"&amp;SUBSTITUTE(안내!$C$5," ","")</f>
        <v>아무도 믿어 주지 않을 때 한 사람이 손을 내밀었다 | 사도행전 9장 #1분성경</v>
      </c>
      <c r="AF661" s="24" t="s">
        <v>304</v>
      </c>
      <c r="AG661" s="24"/>
      <c r="AH661" s="23" t="s">
        <v>290</v>
      </c>
      <c r="AI661" s="26" t="n">
        <f aca="false">U661-안내!$C$12</f>
        <v>46654</v>
      </c>
      <c r="AJ661" s="23" t="str">
        <f aca="false">IF(U661&lt;IF(C661=1,안내!$C$9,안내!$C$10)+안내!$C$12,"시즌 시작 전 제작","")</f>
        <v/>
      </c>
      <c r="AK661" s="24" t="s">
        <v>7047</v>
      </c>
      <c r="AL661" s="27"/>
      <c r="AM661" s="27"/>
      <c r="AN661" s="27"/>
      <c r="AO661" s="27"/>
      <c r="AP661" s="27"/>
      <c r="AQ661" s="23" t="str">
        <f aca="false">D661&amp;"|"&amp;TEXT(U661,"yyyy-mm-dd")</f>
        <v>신약|2027-10-22</v>
      </c>
      <c r="AR661" s="24" t="s">
        <v>7092</v>
      </c>
      <c r="AS661" s="24"/>
    </row>
    <row r="662" customFormat="false" ht="39.55" hidden="false" customHeight="false" outlineLevel="0" collapsed="false">
      <c r="A662" s="23" t="n">
        <v>661</v>
      </c>
      <c r="B662" s="31" t="s">
        <v>7093</v>
      </c>
      <c r="C662" s="23" t="n">
        <v>2</v>
      </c>
      <c r="D662" s="23" t="s">
        <v>5581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1" t="s">
        <v>7050</v>
      </c>
      <c r="H662" s="31" t="s">
        <v>7051</v>
      </c>
      <c r="I662" s="23" t="s">
        <v>6940</v>
      </c>
      <c r="J662" s="24" t="s">
        <v>7094</v>
      </c>
      <c r="K662" s="23" t="s">
        <v>165</v>
      </c>
      <c r="L662" s="24" t="s">
        <v>7095</v>
      </c>
      <c r="M662" s="24" t="s">
        <v>7096</v>
      </c>
      <c r="N662" s="23" t="s">
        <v>7097</v>
      </c>
      <c r="O662" s="24" t="s">
        <v>7098</v>
      </c>
      <c r="P662" s="24" t="s">
        <v>7099</v>
      </c>
      <c r="Q662" s="24" t="s">
        <v>7100</v>
      </c>
      <c r="R662" s="24"/>
      <c r="S662" s="24" t="s">
        <v>7091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174</v>
      </c>
      <c r="Y662" s="23" t="s">
        <v>174</v>
      </c>
      <c r="Z662" s="23" t="s">
        <v>174</v>
      </c>
      <c r="AA662" s="23" t="s">
        <v>174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  <c r="AE662" s="24" t="str">
        <f aca="false">M662&amp;" | 사도행전 9장 #"&amp;SUBSTITUTE(안내!$C$5," ","")</f>
        <v>과부들이 들고 온 옷 | 사도행전 9장 #1분성경</v>
      </c>
      <c r="AF662" s="24" t="s">
        <v>304</v>
      </c>
      <c r="AG662" s="24"/>
      <c r="AH662" s="23" t="s">
        <v>290</v>
      </c>
      <c r="AI662" s="26" t="n">
        <f aca="false">U662-안내!$C$12</f>
        <v>46655</v>
      </c>
      <c r="AJ662" s="23" t="str">
        <f aca="false">IF(U662&lt;IF(C662=1,안내!$C$9,안내!$C$10)+안내!$C$12,"시즌 시작 전 제작","")</f>
        <v/>
      </c>
      <c r="AK662" s="24" t="s">
        <v>5675</v>
      </c>
      <c r="AL662" s="27"/>
      <c r="AM662" s="27"/>
      <c r="AN662" s="27"/>
      <c r="AO662" s="27"/>
      <c r="AP662" s="27"/>
      <c r="AQ662" s="23" t="str">
        <f aca="false">D662&amp;"|"&amp;TEXT(U662,"yyyy-mm-dd")</f>
        <v>신약|2027-10-23</v>
      </c>
      <c r="AR662" s="24" t="s">
        <v>7101</v>
      </c>
      <c r="AS662" s="24"/>
    </row>
    <row r="663" customFormat="false" ht="39.55" hidden="false" customHeight="false" outlineLevel="0" collapsed="false">
      <c r="A663" s="23" t="n">
        <v>662</v>
      </c>
      <c r="B663" s="31" t="s">
        <v>7102</v>
      </c>
      <c r="C663" s="20" t="n">
        <v>1</v>
      </c>
      <c r="D663" s="20" t="s">
        <v>5581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1" t="s">
        <v>7050</v>
      </c>
      <c r="H663" s="31" t="s">
        <v>7062</v>
      </c>
      <c r="I663" s="23" t="s">
        <v>6940</v>
      </c>
      <c r="J663" s="24" t="s">
        <v>7103</v>
      </c>
      <c r="K663" s="23" t="s">
        <v>165</v>
      </c>
      <c r="L663" s="24" t="s">
        <v>7104</v>
      </c>
      <c r="M663" s="24" t="s">
        <v>7105</v>
      </c>
      <c r="N663" s="23" t="s">
        <v>7106</v>
      </c>
      <c r="O663" s="24" t="s">
        <v>7107</v>
      </c>
      <c r="P663" s="24" t="s">
        <v>7108</v>
      </c>
      <c r="Q663" s="24" t="s">
        <v>7109</v>
      </c>
      <c r="R663" s="24"/>
      <c r="S663" s="29" t="s">
        <v>7110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174</v>
      </c>
      <c r="Y663" s="23" t="s">
        <v>174</v>
      </c>
      <c r="Z663" s="23" t="s">
        <v>174</v>
      </c>
      <c r="AA663" s="23" t="s">
        <v>174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  <c r="AE663" s="24" t="str">
        <f aca="false">M663&amp;" | 사도행전 10장 #"&amp;SUBSTITUTE(안내!$C$5," ","")</f>
        <v>하나님은 사람을 차별하지 않으신다 | 사도행전 10장 #1분성경</v>
      </c>
      <c r="AF663" s="24" t="s">
        <v>7111</v>
      </c>
      <c r="AG663" s="24" t="s">
        <v>7112</v>
      </c>
      <c r="AH663" s="23" t="s">
        <v>290</v>
      </c>
      <c r="AI663" s="26" t="n">
        <f aca="false">U663-안내!$C$12</f>
        <v>46503</v>
      </c>
      <c r="AJ663" s="23" t="str">
        <f aca="false">IF(U663&lt;IF(C663=1,안내!$C$9,안내!$C$10)+안내!$C$12,"시즌 시작 전 제작","")</f>
        <v/>
      </c>
      <c r="AK663" s="24" t="s">
        <v>5675</v>
      </c>
      <c r="AL663" s="27"/>
      <c r="AM663" s="27"/>
      <c r="AN663" s="27"/>
      <c r="AO663" s="27"/>
      <c r="AP663" s="27"/>
      <c r="AQ663" s="23" t="str">
        <f aca="false">D663&amp;"|"&amp;TEXT(U663,"yyyy-mm-dd")</f>
        <v>신약|2027-05-24</v>
      </c>
      <c r="AR663" s="24" t="s">
        <v>7113</v>
      </c>
      <c r="AS663" s="24"/>
    </row>
    <row r="664" customFormat="false" ht="39.55" hidden="false" customHeight="false" outlineLevel="0" collapsed="false">
      <c r="A664" s="23" t="n">
        <v>663</v>
      </c>
      <c r="B664" s="31" t="s">
        <v>7114</v>
      </c>
      <c r="C664" s="23" t="n">
        <v>2</v>
      </c>
      <c r="D664" s="23" t="s">
        <v>5581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1" t="s">
        <v>7050</v>
      </c>
      <c r="H664" s="31" t="s">
        <v>7051</v>
      </c>
      <c r="I664" s="23" t="s">
        <v>6940</v>
      </c>
      <c r="J664" s="24" t="s">
        <v>7115</v>
      </c>
      <c r="K664" s="23" t="s">
        <v>165</v>
      </c>
      <c r="L664" s="24" t="s">
        <v>7116</v>
      </c>
      <c r="M664" s="24" t="s">
        <v>7117</v>
      </c>
      <c r="N664" s="23" t="s">
        <v>7118</v>
      </c>
      <c r="O664" s="24" t="s">
        <v>7119</v>
      </c>
      <c r="P664" s="24" t="s">
        <v>7120</v>
      </c>
      <c r="Q664" s="24" t="s">
        <v>7121</v>
      </c>
      <c r="R664" s="24"/>
      <c r="S664" s="24" t="s">
        <v>7122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174</v>
      </c>
      <c r="Y664" s="23" t="s">
        <v>174</v>
      </c>
      <c r="Z664" s="23" t="s">
        <v>174</v>
      </c>
      <c r="AA664" s="23" t="s">
        <v>174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  <c r="AE664" s="24" t="str">
        <f aca="false">M664&amp;" | 사도행전 11장 #"&amp;SUBSTITUTE(안내!$C$5," ","")</f>
        <v>처음으로 '그리스도인'이라는 이름을 얻은 곳 | 사도행전 11장 #1분성경</v>
      </c>
      <c r="AF664" s="24" t="s">
        <v>304</v>
      </c>
      <c r="AG664" s="24"/>
      <c r="AH664" s="23" t="s">
        <v>290</v>
      </c>
      <c r="AI664" s="26" t="n">
        <f aca="false">U664-안내!$C$12</f>
        <v>46657</v>
      </c>
      <c r="AJ664" s="23" t="str">
        <f aca="false">IF(U664&lt;IF(C664=1,안내!$C$9,안내!$C$10)+안내!$C$12,"시즌 시작 전 제작","")</f>
        <v/>
      </c>
      <c r="AK664" s="24" t="s">
        <v>7047</v>
      </c>
      <c r="AL664" s="27"/>
      <c r="AM664" s="27"/>
      <c r="AN664" s="27"/>
      <c r="AO664" s="27"/>
      <c r="AP664" s="27"/>
      <c r="AQ664" s="23" t="str">
        <f aca="false">D664&amp;"|"&amp;TEXT(U664,"yyyy-mm-dd")</f>
        <v>신약|2027-10-25</v>
      </c>
      <c r="AR664" s="24" t="s">
        <v>7123</v>
      </c>
      <c r="AS664" s="24"/>
    </row>
    <row r="665" customFormat="false" ht="39.55" hidden="false" customHeight="false" outlineLevel="0" collapsed="false">
      <c r="A665" s="23" t="n">
        <v>664</v>
      </c>
      <c r="B665" s="31" t="s">
        <v>7124</v>
      </c>
      <c r="C665" s="20" t="n">
        <v>1</v>
      </c>
      <c r="D665" s="20" t="s">
        <v>5581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1" t="s">
        <v>7050</v>
      </c>
      <c r="H665" s="31" t="s">
        <v>7062</v>
      </c>
      <c r="I665" s="23" t="s">
        <v>6940</v>
      </c>
      <c r="J665" s="24" t="s">
        <v>7125</v>
      </c>
      <c r="K665" s="23" t="s">
        <v>165</v>
      </c>
      <c r="L665" s="24" t="s">
        <v>7126</v>
      </c>
      <c r="M665" s="24" t="s">
        <v>7127</v>
      </c>
      <c r="N665" s="23" t="s">
        <v>7128</v>
      </c>
      <c r="O665" s="24" t="s">
        <v>7129</v>
      </c>
      <c r="P665" s="24" t="s">
        <v>7130</v>
      </c>
      <c r="Q665" s="24" t="s">
        <v>7131</v>
      </c>
      <c r="R665" s="25" t="s">
        <v>7132</v>
      </c>
      <c r="S665" s="29" t="s">
        <v>7133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174</v>
      </c>
      <c r="Y665" s="23" t="s">
        <v>174</v>
      </c>
      <c r="Z665" s="23" t="s">
        <v>174</v>
      </c>
      <c r="AA665" s="23" t="s">
        <v>174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  <c r="AE665" s="24" t="str">
        <f aca="false">M665&amp;" | 사도행전 12장 #"&amp;SUBSTITUTE(안내!$C$5," ","")</f>
        <v>교회가 간절히 기도하자 | 사도행전 12장 #1분성경</v>
      </c>
      <c r="AF665" s="24" t="s">
        <v>7134</v>
      </c>
      <c r="AG665" s="24"/>
      <c r="AH665" s="23" t="s">
        <v>290</v>
      </c>
      <c r="AI665" s="26" t="n">
        <f aca="false">U665-안내!$C$12</f>
        <v>46505</v>
      </c>
      <c r="AJ665" s="23" t="str">
        <f aca="false">IF(U665&lt;IF(C665=1,안내!$C$9,안내!$C$10)+안내!$C$12,"시즌 시작 전 제작","")</f>
        <v/>
      </c>
      <c r="AK665" s="24" t="s">
        <v>5675</v>
      </c>
      <c r="AL665" s="27"/>
      <c r="AM665" s="27"/>
      <c r="AN665" s="27"/>
      <c r="AO665" s="27"/>
      <c r="AP665" s="27"/>
      <c r="AQ665" s="23" t="str">
        <f aca="false">D665&amp;"|"&amp;TEXT(U665,"yyyy-mm-dd")</f>
        <v>신약|2027-05-26</v>
      </c>
      <c r="AR665" s="24" t="s">
        <v>7135</v>
      </c>
      <c r="AS665" s="24"/>
    </row>
    <row r="666" customFormat="false" ht="26.85" hidden="false" customHeight="false" outlineLevel="0" collapsed="false">
      <c r="A666" s="23" t="n">
        <v>665</v>
      </c>
      <c r="B666" s="31" t="s">
        <v>7136</v>
      </c>
      <c r="C666" s="20" t="n">
        <v>1</v>
      </c>
      <c r="D666" s="20" t="s">
        <v>5581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1" t="s">
        <v>7137</v>
      </c>
      <c r="H666" s="31" t="s">
        <v>7062</v>
      </c>
      <c r="I666" s="23" t="s">
        <v>6940</v>
      </c>
      <c r="J666" s="24" t="s">
        <v>7138</v>
      </c>
      <c r="K666" s="23" t="s">
        <v>165</v>
      </c>
      <c r="L666" s="24" t="s">
        <v>7139</v>
      </c>
      <c r="M666" s="24" t="s">
        <v>7140</v>
      </c>
      <c r="N666" s="23" t="s">
        <v>7141</v>
      </c>
      <c r="O666" s="24" t="s">
        <v>7142</v>
      </c>
      <c r="P666" s="24" t="s">
        <v>7143</v>
      </c>
      <c r="Q666" s="24" t="s">
        <v>7144</v>
      </c>
      <c r="R666" s="24"/>
      <c r="S666" s="24" t="s">
        <v>173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174</v>
      </c>
      <c r="Y666" s="23" t="s">
        <v>174</v>
      </c>
      <c r="Z666" s="23" t="s">
        <v>174</v>
      </c>
      <c r="AA666" s="23" t="s">
        <v>174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  <c r="AE666" s="24" t="str">
        <f aca="false">M666&amp;" | 사도행전 13장 #"&amp;SUBSTITUTE(안내!$C$5," ","")</f>
        <v>기도하던 교회가 두 사람을 보냈다 | 사도행전 13장 #1분성경</v>
      </c>
      <c r="AF666" s="24" t="s">
        <v>7145</v>
      </c>
      <c r="AG666" s="24" t="s">
        <v>7146</v>
      </c>
      <c r="AH666" s="23" t="s">
        <v>290</v>
      </c>
      <c r="AI666" s="26" t="n">
        <f aca="false">U666-안내!$C$12</f>
        <v>46507</v>
      </c>
      <c r="AJ666" s="23" t="str">
        <f aca="false">IF(U666&lt;IF(C666=1,안내!$C$9,안내!$C$10)+안내!$C$12,"시즌 시작 전 제작","")</f>
        <v/>
      </c>
      <c r="AK666" s="24" t="s">
        <v>7047</v>
      </c>
      <c r="AL666" s="27"/>
      <c r="AM666" s="27"/>
      <c r="AN666" s="27"/>
      <c r="AO666" s="27"/>
      <c r="AP666" s="27"/>
      <c r="AQ666" s="23" t="str">
        <f aca="false">D666&amp;"|"&amp;TEXT(U666,"yyyy-mm-dd")</f>
        <v>신약|2027-05-28</v>
      </c>
      <c r="AR666" s="24" t="s">
        <v>7147</v>
      </c>
      <c r="AS666" s="24"/>
    </row>
    <row r="667" customFormat="false" ht="26.85" hidden="false" customHeight="false" outlineLevel="0" collapsed="false">
      <c r="A667" s="23" t="n">
        <v>666</v>
      </c>
      <c r="B667" s="31" t="s">
        <v>7148</v>
      </c>
      <c r="C667" s="23" t="n">
        <v>2</v>
      </c>
      <c r="D667" s="23" t="s">
        <v>5581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1" t="s">
        <v>7137</v>
      </c>
      <c r="H667" s="31" t="s">
        <v>7051</v>
      </c>
      <c r="I667" s="23" t="s">
        <v>6940</v>
      </c>
      <c r="J667" s="24" t="s">
        <v>7149</v>
      </c>
      <c r="K667" s="23" t="s">
        <v>165</v>
      </c>
      <c r="L667" s="24" t="s">
        <v>7150</v>
      </c>
      <c r="M667" s="24" t="s">
        <v>7151</v>
      </c>
      <c r="N667" s="23" t="s">
        <v>7152</v>
      </c>
      <c r="O667" s="24" t="s">
        <v>7153</v>
      </c>
      <c r="P667" s="24" t="s">
        <v>7154</v>
      </c>
      <c r="Q667" s="24" t="s">
        <v>7155</v>
      </c>
      <c r="R667" s="24"/>
      <c r="S667" s="24" t="s">
        <v>7156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174</v>
      </c>
      <c r="Y667" s="23" t="s">
        <v>174</v>
      </c>
      <c r="Z667" s="23" t="s">
        <v>174</v>
      </c>
      <c r="AA667" s="23" t="s">
        <v>174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  <c r="AE667" s="24" t="str">
        <f aca="false">M667&amp;" | 사도행전 13장 #"&amp;SUBSTITUTE(안내!$C$5," ","")</f>
        <v>죄 사함의 소식이 이방인에게까지 | 사도행전 13장 #1분성경</v>
      </c>
      <c r="AF667" s="24" t="s">
        <v>304</v>
      </c>
      <c r="AG667" s="24" t="s">
        <v>7157</v>
      </c>
      <c r="AH667" s="23" t="s">
        <v>290</v>
      </c>
      <c r="AI667" s="26" t="n">
        <f aca="false">U667-안내!$C$12</f>
        <v>46659</v>
      </c>
      <c r="AJ667" s="23" t="str">
        <f aca="false">IF(U667&lt;IF(C667=1,안내!$C$9,안내!$C$10)+안내!$C$12,"시즌 시작 전 제작","")</f>
        <v/>
      </c>
      <c r="AK667" s="24" t="s">
        <v>7047</v>
      </c>
      <c r="AL667" s="27"/>
      <c r="AM667" s="27"/>
      <c r="AN667" s="27"/>
      <c r="AO667" s="27"/>
      <c r="AP667" s="27"/>
      <c r="AQ667" s="23" t="str">
        <f aca="false">D667&amp;"|"&amp;TEXT(U667,"yyyy-mm-dd")</f>
        <v>신약|2027-10-27</v>
      </c>
      <c r="AR667" s="24" t="s">
        <v>7158</v>
      </c>
      <c r="AS667" s="24"/>
    </row>
    <row r="668" customFormat="false" ht="52.2" hidden="false" customHeight="false" outlineLevel="0" collapsed="false">
      <c r="A668" s="23" t="n">
        <v>667</v>
      </c>
      <c r="B668" s="31" t="s">
        <v>7159</v>
      </c>
      <c r="C668" s="23" t="n">
        <v>2</v>
      </c>
      <c r="D668" s="23" t="s">
        <v>5581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1" t="s">
        <v>7137</v>
      </c>
      <c r="H668" s="31" t="s">
        <v>7051</v>
      </c>
      <c r="I668" s="23" t="s">
        <v>6940</v>
      </c>
      <c r="J668" s="24" t="s">
        <v>7160</v>
      </c>
      <c r="K668" s="23" t="s">
        <v>165</v>
      </c>
      <c r="L668" s="24" t="s">
        <v>7161</v>
      </c>
      <c r="M668" s="24" t="s">
        <v>7162</v>
      </c>
      <c r="N668" s="23" t="s">
        <v>7163</v>
      </c>
      <c r="O668" s="24" t="s">
        <v>7164</v>
      </c>
      <c r="P668" s="24" t="s">
        <v>7165</v>
      </c>
      <c r="Q668" s="24" t="s">
        <v>7166</v>
      </c>
      <c r="R668" s="25" t="s">
        <v>7167</v>
      </c>
      <c r="S668" s="24" t="s">
        <v>7156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174</v>
      </c>
      <c r="Y668" s="23" t="s">
        <v>174</v>
      </c>
      <c r="Z668" s="23" t="s">
        <v>174</v>
      </c>
      <c r="AA668" s="23" t="s">
        <v>174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  <c r="AE668" s="24" t="str">
        <f aca="false">M668&amp;" | 사도행전 14장 #"&amp;SUBSTITUTE(안내!$C$5," ","")</f>
        <v>사람들이 사도들에게 제사를 드리려 했다 | 사도행전 14장 #1분성경</v>
      </c>
      <c r="AF668" s="24" t="s">
        <v>304</v>
      </c>
      <c r="AG668" s="24" t="s">
        <v>7168</v>
      </c>
      <c r="AH668" s="23" t="s">
        <v>290</v>
      </c>
      <c r="AI668" s="26" t="n">
        <f aca="false">U668-안내!$C$12</f>
        <v>46661</v>
      </c>
      <c r="AJ668" s="23" t="str">
        <f aca="false">IF(U668&lt;IF(C668=1,안내!$C$9,안내!$C$10)+안내!$C$12,"시즌 시작 전 제작","")</f>
        <v/>
      </c>
      <c r="AK668" s="24" t="s">
        <v>7047</v>
      </c>
      <c r="AL668" s="27"/>
      <c r="AM668" s="27"/>
      <c r="AN668" s="27"/>
      <c r="AO668" s="27"/>
      <c r="AP668" s="27"/>
      <c r="AQ668" s="23" t="str">
        <f aca="false">D668&amp;"|"&amp;TEXT(U668,"yyyy-mm-dd")</f>
        <v>신약|2027-10-29</v>
      </c>
      <c r="AR668" s="24" t="s">
        <v>7169</v>
      </c>
      <c r="AS668" s="24"/>
    </row>
    <row r="669" customFormat="false" ht="39.55" hidden="false" customHeight="false" outlineLevel="0" collapsed="false">
      <c r="A669" s="23" t="n">
        <v>668</v>
      </c>
      <c r="B669" s="31" t="s">
        <v>7170</v>
      </c>
      <c r="C669" s="20" t="n">
        <v>1</v>
      </c>
      <c r="D669" s="20" t="s">
        <v>5581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1" t="s">
        <v>7137</v>
      </c>
      <c r="H669" s="31" t="s">
        <v>7062</v>
      </c>
      <c r="I669" s="23" t="s">
        <v>6940</v>
      </c>
      <c r="J669" s="24" t="s">
        <v>7171</v>
      </c>
      <c r="K669" s="23" t="s">
        <v>165</v>
      </c>
      <c r="L669" s="24" t="s">
        <v>7172</v>
      </c>
      <c r="M669" s="24" t="s">
        <v>7173</v>
      </c>
      <c r="N669" s="23" t="s">
        <v>7174</v>
      </c>
      <c r="O669" s="24" t="s">
        <v>7175</v>
      </c>
      <c r="P669" s="24" t="s">
        <v>7176</v>
      </c>
      <c r="Q669" s="24" t="s">
        <v>7177</v>
      </c>
      <c r="R669" s="24"/>
      <c r="S669" s="29" t="s">
        <v>7178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174</v>
      </c>
      <c r="Y669" s="23" t="s">
        <v>174</v>
      </c>
      <c r="Z669" s="23" t="s">
        <v>174</v>
      </c>
      <c r="AA669" s="23" t="s">
        <v>174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  <c r="AE669" s="24" t="str">
        <f aca="false">M669&amp;" | 사도행전 15장 #"&amp;SUBSTITUTE(안내!$C$5," ","")</f>
        <v>이방인도 율법을 지켜야 구원받을까? | 사도행전 15장 #1분성경</v>
      </c>
      <c r="AF669" s="24" t="s">
        <v>7179</v>
      </c>
      <c r="AG669" s="24" t="s">
        <v>7180</v>
      </c>
      <c r="AH669" s="23" t="s">
        <v>176</v>
      </c>
      <c r="AI669" s="26" t="n">
        <f aca="false">U669-안내!$C$12</f>
        <v>46508</v>
      </c>
      <c r="AJ669" s="23" t="str">
        <f aca="false">IF(U669&lt;IF(C669=1,안내!$C$9,안내!$C$10)+안내!$C$12,"시즌 시작 전 제작","")</f>
        <v/>
      </c>
      <c r="AK669" s="24" t="s">
        <v>7181</v>
      </c>
      <c r="AL669" s="27"/>
      <c r="AM669" s="27"/>
      <c r="AN669" s="27"/>
      <c r="AO669" s="27"/>
      <c r="AP669" s="27"/>
      <c r="AQ669" s="23" t="str">
        <f aca="false">D669&amp;"|"&amp;TEXT(U669,"yyyy-mm-dd")</f>
        <v>신약|2027-05-29</v>
      </c>
      <c r="AR669" s="24" t="s">
        <v>7182</v>
      </c>
      <c r="AS669" s="24"/>
    </row>
    <row r="670" customFormat="false" ht="26.85" hidden="false" customHeight="false" outlineLevel="0" collapsed="false">
      <c r="A670" s="23" t="n">
        <v>669</v>
      </c>
      <c r="B670" s="31" t="s">
        <v>7183</v>
      </c>
      <c r="C670" s="23" t="n">
        <v>2</v>
      </c>
      <c r="D670" s="23" t="s">
        <v>5581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1" t="s">
        <v>7137</v>
      </c>
      <c r="H670" s="31" t="s">
        <v>7051</v>
      </c>
      <c r="I670" s="23" t="s">
        <v>6940</v>
      </c>
      <c r="J670" s="24" t="s">
        <v>7184</v>
      </c>
      <c r="K670" s="23" t="s">
        <v>165</v>
      </c>
      <c r="L670" s="24" t="s">
        <v>7185</v>
      </c>
      <c r="M670" s="24" t="s">
        <v>7186</v>
      </c>
      <c r="N670" s="23" t="s">
        <v>7187</v>
      </c>
      <c r="O670" s="24" t="s">
        <v>7188</v>
      </c>
      <c r="P670" s="24" t="s">
        <v>7189</v>
      </c>
      <c r="Q670" s="24" t="s">
        <v>7190</v>
      </c>
      <c r="R670" s="24"/>
      <c r="S670" s="24" t="s">
        <v>7191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174</v>
      </c>
      <c r="Y670" s="23" t="s">
        <v>174</v>
      </c>
      <c r="Z670" s="23" t="s">
        <v>174</v>
      </c>
      <c r="AA670" s="23" t="s">
        <v>174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  <c r="AE670" s="24" t="str">
        <f aca="false">M670&amp;" | 사도행전 15~16장 #"&amp;SUBSTITUTE(안내!$C$5," ","")</f>
        <v>와서 우리를 도우라 | 사도행전 15~16장 #1분성경</v>
      </c>
      <c r="AF670" s="24" t="s">
        <v>304</v>
      </c>
      <c r="AG670" s="24" t="s">
        <v>7192</v>
      </c>
      <c r="AH670" s="23" t="s">
        <v>290</v>
      </c>
      <c r="AI670" s="26" t="n">
        <f aca="false">U670-안내!$C$12</f>
        <v>46662</v>
      </c>
      <c r="AJ670" s="23" t="str">
        <f aca="false">IF(U670&lt;IF(C670=1,안내!$C$9,안내!$C$10)+안내!$C$12,"시즌 시작 전 제작","")</f>
        <v/>
      </c>
      <c r="AK670" s="24" t="s">
        <v>7047</v>
      </c>
      <c r="AL670" s="27"/>
      <c r="AM670" s="27"/>
      <c r="AN670" s="27"/>
      <c r="AO670" s="27"/>
      <c r="AP670" s="27"/>
      <c r="AQ670" s="23" t="str">
        <f aca="false">D670&amp;"|"&amp;TEXT(U670,"yyyy-mm-dd")</f>
        <v>신약|2027-10-30</v>
      </c>
      <c r="AR670" s="24" t="s">
        <v>7193</v>
      </c>
      <c r="AS670" s="24"/>
    </row>
    <row r="671" customFormat="false" ht="39.55" hidden="false" customHeight="false" outlineLevel="0" collapsed="false">
      <c r="A671" s="23" t="n">
        <v>670</v>
      </c>
      <c r="B671" s="31" t="s">
        <v>7194</v>
      </c>
      <c r="C671" s="20" t="n">
        <v>1</v>
      </c>
      <c r="D671" s="20" t="s">
        <v>5581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1" t="s">
        <v>7137</v>
      </c>
      <c r="H671" s="31" t="s">
        <v>7062</v>
      </c>
      <c r="I671" s="23" t="s">
        <v>6940</v>
      </c>
      <c r="J671" s="24" t="s">
        <v>7195</v>
      </c>
      <c r="K671" s="23" t="s">
        <v>165</v>
      </c>
      <c r="L671" s="24" t="s">
        <v>7196</v>
      </c>
      <c r="M671" s="24" t="s">
        <v>7197</v>
      </c>
      <c r="N671" s="23" t="s">
        <v>7198</v>
      </c>
      <c r="O671" s="24" t="s">
        <v>7199</v>
      </c>
      <c r="P671" s="24" t="s">
        <v>7200</v>
      </c>
      <c r="Q671" s="24" t="s">
        <v>7201</v>
      </c>
      <c r="R671" s="25" t="s">
        <v>7024</v>
      </c>
      <c r="S671" s="29" t="s">
        <v>7202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174</v>
      </c>
      <c r="Y671" s="23" t="s">
        <v>174</v>
      </c>
      <c r="Z671" s="23" t="s">
        <v>174</v>
      </c>
      <c r="AA671" s="23" t="s">
        <v>174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  <c r="AE671" s="24" t="str">
        <f aca="false">M671&amp;" | 사도행전 16장 #"&amp;SUBSTITUTE(안내!$C$5," ","")</f>
        <v>감옥에서 찬양하자 문이 열렸다 | 사도행전 16장 #1분성경</v>
      </c>
      <c r="AF671" s="24" t="s">
        <v>7203</v>
      </c>
      <c r="AG671" s="24" t="s">
        <v>7204</v>
      </c>
      <c r="AH671" s="23" t="s">
        <v>290</v>
      </c>
      <c r="AI671" s="26" t="n">
        <f aca="false">U671-안내!$C$12</f>
        <v>46510</v>
      </c>
      <c r="AJ671" s="23" t="str">
        <f aca="false">IF(U671&lt;IF(C671=1,안내!$C$9,안내!$C$10)+안내!$C$12,"시즌 시작 전 제작","")</f>
        <v/>
      </c>
      <c r="AK671" s="24" t="s">
        <v>7047</v>
      </c>
      <c r="AL671" s="27"/>
      <c r="AM671" s="27"/>
      <c r="AN671" s="27"/>
      <c r="AO671" s="27"/>
      <c r="AP671" s="27"/>
      <c r="AQ671" s="23" t="str">
        <f aca="false">D671&amp;"|"&amp;TEXT(U671,"yyyy-mm-dd")</f>
        <v>신약|2027-05-31</v>
      </c>
      <c r="AR671" s="24" t="s">
        <v>7205</v>
      </c>
      <c r="AS671" s="24"/>
    </row>
    <row r="672" customFormat="false" ht="26.85" hidden="false" customHeight="false" outlineLevel="0" collapsed="false">
      <c r="A672" s="23" t="n">
        <v>671</v>
      </c>
      <c r="B672" s="31" t="s">
        <v>7206</v>
      </c>
      <c r="C672" s="23" t="n">
        <v>2</v>
      </c>
      <c r="D672" s="23" t="s">
        <v>5581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1" t="s">
        <v>7137</v>
      </c>
      <c r="H672" s="31" t="s">
        <v>7051</v>
      </c>
      <c r="I672" s="23" t="s">
        <v>6940</v>
      </c>
      <c r="J672" s="24" t="s">
        <v>7207</v>
      </c>
      <c r="K672" s="23" t="s">
        <v>165</v>
      </c>
      <c r="L672" s="24" t="s">
        <v>7208</v>
      </c>
      <c r="M672" s="24" t="s">
        <v>7209</v>
      </c>
      <c r="N672" s="23" t="s">
        <v>7210</v>
      </c>
      <c r="O672" s="24" t="s">
        <v>7211</v>
      </c>
      <c r="P672" s="24" t="s">
        <v>7212</v>
      </c>
      <c r="Q672" s="24" t="s">
        <v>7213</v>
      </c>
      <c r="R672" s="25" t="s">
        <v>7214</v>
      </c>
      <c r="S672" s="24" t="s">
        <v>7215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174</v>
      </c>
      <c r="Y672" s="23" t="s">
        <v>174</v>
      </c>
      <c r="Z672" s="23" t="s">
        <v>174</v>
      </c>
      <c r="AA672" s="23" t="s">
        <v>174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  <c r="AE672" s="24" t="str">
        <f aca="false">M672&amp;" | 사도행전 17장 #"&amp;SUBSTITUTE(안내!$C$5," ","")</f>
        <v>날마다 성경을 상고했다 | 사도행전 17장 #1분성경</v>
      </c>
      <c r="AF672" s="24" t="s">
        <v>304</v>
      </c>
      <c r="AG672" s="24" t="s">
        <v>7216</v>
      </c>
      <c r="AH672" s="23" t="s">
        <v>290</v>
      </c>
      <c r="AI672" s="26" t="n">
        <f aca="false">U672-안내!$C$12</f>
        <v>46664</v>
      </c>
      <c r="AJ672" s="23" t="str">
        <f aca="false">IF(U672&lt;IF(C672=1,안내!$C$9,안내!$C$10)+안내!$C$12,"시즌 시작 전 제작","")</f>
        <v/>
      </c>
      <c r="AK672" s="24" t="s">
        <v>7047</v>
      </c>
      <c r="AL672" s="27"/>
      <c r="AM672" s="27"/>
      <c r="AN672" s="27"/>
      <c r="AO672" s="27"/>
      <c r="AP672" s="27"/>
      <c r="AQ672" s="23" t="str">
        <f aca="false">D672&amp;"|"&amp;TEXT(U672,"yyyy-mm-dd")</f>
        <v>신약|2027-11-01</v>
      </c>
      <c r="AR672" s="24" t="s">
        <v>7217</v>
      </c>
      <c r="AS672" s="24"/>
    </row>
    <row r="673" customFormat="false" ht="26.85" hidden="false" customHeight="false" outlineLevel="0" collapsed="false">
      <c r="A673" s="23" t="n">
        <v>672</v>
      </c>
      <c r="B673" s="31" t="s">
        <v>7218</v>
      </c>
      <c r="C673" s="20" t="n">
        <v>1</v>
      </c>
      <c r="D673" s="20" t="s">
        <v>5581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1" t="s">
        <v>7137</v>
      </c>
      <c r="H673" s="31" t="s">
        <v>7062</v>
      </c>
      <c r="I673" s="23" t="s">
        <v>6940</v>
      </c>
      <c r="J673" s="24" t="s">
        <v>7219</v>
      </c>
      <c r="K673" s="23" t="s">
        <v>165</v>
      </c>
      <c r="L673" s="24" t="s">
        <v>7220</v>
      </c>
      <c r="M673" s="24" t="s">
        <v>7221</v>
      </c>
      <c r="N673" s="23" t="s">
        <v>7222</v>
      </c>
      <c r="O673" s="24" t="s">
        <v>7223</v>
      </c>
      <c r="P673" s="24" t="s">
        <v>7224</v>
      </c>
      <c r="Q673" s="24" t="s">
        <v>7225</v>
      </c>
      <c r="R673" s="24"/>
      <c r="S673" s="29" t="s">
        <v>7226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174</v>
      </c>
      <c r="Y673" s="23" t="s">
        <v>174</v>
      </c>
      <c r="Z673" s="23" t="s">
        <v>174</v>
      </c>
      <c r="AA673" s="23" t="s">
        <v>174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  <c r="AE673" s="24" t="str">
        <f aca="false">M673&amp;" | 사도행전 17장 #"&amp;SUBSTITUTE(안내!$C$5," ","")</f>
        <v>아테네 철학자들 앞에서 | 사도행전 17장 #1분성경</v>
      </c>
      <c r="AF673" s="30" t="s">
        <v>7227</v>
      </c>
      <c r="AG673" s="24" t="s">
        <v>7228</v>
      </c>
      <c r="AH673" s="23" t="s">
        <v>290</v>
      </c>
      <c r="AI673" s="26" t="n">
        <f aca="false">U673-안내!$C$12</f>
        <v>46512</v>
      </c>
      <c r="AJ673" s="23" t="str">
        <f aca="false">IF(U673&lt;IF(C673=1,안내!$C$9,안내!$C$10)+안내!$C$12,"시즌 시작 전 제작","")</f>
        <v/>
      </c>
      <c r="AK673" s="24" t="s">
        <v>7047</v>
      </c>
      <c r="AL673" s="27"/>
      <c r="AM673" s="27"/>
      <c r="AN673" s="27"/>
      <c r="AO673" s="27"/>
      <c r="AP673" s="27"/>
      <c r="AQ673" s="23" t="str">
        <f aca="false">D673&amp;"|"&amp;TEXT(U673,"yyyy-mm-dd")</f>
        <v>신약|2027-06-02</v>
      </c>
      <c r="AR673" s="24" t="s">
        <v>7229</v>
      </c>
      <c r="AS673" s="24"/>
    </row>
    <row r="674" customFormat="false" ht="26.85" hidden="false" customHeight="false" outlineLevel="0" collapsed="false">
      <c r="A674" s="23" t="n">
        <v>673</v>
      </c>
      <c r="B674" s="31" t="s">
        <v>7230</v>
      </c>
      <c r="C674" s="23" t="n">
        <v>2</v>
      </c>
      <c r="D674" s="23" t="s">
        <v>5581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1" t="s">
        <v>7137</v>
      </c>
      <c r="H674" s="31" t="s">
        <v>7051</v>
      </c>
      <c r="I674" s="23" t="s">
        <v>6940</v>
      </c>
      <c r="J674" s="24" t="s">
        <v>7231</v>
      </c>
      <c r="K674" s="23" t="s">
        <v>165</v>
      </c>
      <c r="L674" s="24" t="s">
        <v>4655</v>
      </c>
      <c r="M674" s="24" t="s">
        <v>7232</v>
      </c>
      <c r="N674" s="23" t="s">
        <v>7233</v>
      </c>
      <c r="O674" s="24" t="s">
        <v>7234</v>
      </c>
      <c r="P674" s="24" t="s">
        <v>7235</v>
      </c>
      <c r="Q674" s="24" t="s">
        <v>7236</v>
      </c>
      <c r="R674" s="24"/>
      <c r="S674" s="24" t="s">
        <v>7237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174</v>
      </c>
      <c r="Y674" s="23" t="s">
        <v>174</v>
      </c>
      <c r="Z674" s="23" t="s">
        <v>174</v>
      </c>
      <c r="AA674" s="23" t="s">
        <v>174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  <c r="AE674" s="24" t="str">
        <f aca="false">M674&amp;" | 사도행전 18장 #"&amp;SUBSTITUTE(안내!$C$5," ","")</f>
        <v>천막 만드는 사도 | 사도행전 18장 #1분성경</v>
      </c>
      <c r="AF674" s="24" t="s">
        <v>304</v>
      </c>
      <c r="AG674" s="24" t="s">
        <v>7238</v>
      </c>
      <c r="AH674" s="23" t="s">
        <v>290</v>
      </c>
      <c r="AI674" s="26" t="n">
        <f aca="false">U674-안내!$C$12</f>
        <v>46666</v>
      </c>
      <c r="AJ674" s="23" t="str">
        <f aca="false">IF(U674&lt;IF(C674=1,안내!$C$9,안내!$C$10)+안내!$C$12,"시즌 시작 전 제작","")</f>
        <v/>
      </c>
      <c r="AK674" s="24" t="s">
        <v>7047</v>
      </c>
      <c r="AL674" s="27"/>
      <c r="AM674" s="27"/>
      <c r="AN674" s="27"/>
      <c r="AO674" s="27"/>
      <c r="AP674" s="27"/>
      <c r="AQ674" s="23" t="str">
        <f aca="false">D674&amp;"|"&amp;TEXT(U674,"yyyy-mm-dd")</f>
        <v>신약|2027-11-03</v>
      </c>
      <c r="AR674" s="24" t="s">
        <v>7239</v>
      </c>
      <c r="AS674" s="24"/>
    </row>
    <row r="675" customFormat="false" ht="26.85" hidden="false" customHeight="false" outlineLevel="0" collapsed="false">
      <c r="A675" s="23" t="n">
        <v>674</v>
      </c>
      <c r="B675" s="31" t="s">
        <v>7240</v>
      </c>
      <c r="C675" s="23" t="n">
        <v>2</v>
      </c>
      <c r="D675" s="23" t="s">
        <v>5581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1" t="s">
        <v>7137</v>
      </c>
      <c r="H675" s="31" t="s">
        <v>7051</v>
      </c>
      <c r="I675" s="23" t="s">
        <v>6940</v>
      </c>
      <c r="J675" s="24" t="s">
        <v>7241</v>
      </c>
      <c r="K675" s="23" t="s">
        <v>165</v>
      </c>
      <c r="L675" s="24" t="s">
        <v>7242</v>
      </c>
      <c r="M675" s="24" t="s">
        <v>7243</v>
      </c>
      <c r="N675" s="23" t="s">
        <v>7244</v>
      </c>
      <c r="O675" s="24" t="s">
        <v>7245</v>
      </c>
      <c r="P675" s="24" t="s">
        <v>7246</v>
      </c>
      <c r="Q675" s="24" t="s">
        <v>7247</v>
      </c>
      <c r="R675" s="24"/>
      <c r="S675" s="24" t="s">
        <v>7237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174</v>
      </c>
      <c r="Y675" s="23" t="s">
        <v>174</v>
      </c>
      <c r="Z675" s="23" t="s">
        <v>174</v>
      </c>
      <c r="AA675" s="23" t="s">
        <v>174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  <c r="AE675" s="24" t="str">
        <f aca="false">M675&amp;" | 사도행전 19장 #"&amp;SUBSTITUTE(안내!$C$5," ","")</f>
        <v>마술책을 불태운 사람들 | 사도행전 19장 #1분성경</v>
      </c>
      <c r="AF675" s="24" t="s">
        <v>304</v>
      </c>
      <c r="AG675" s="24"/>
      <c r="AH675" s="23" t="s">
        <v>290</v>
      </c>
      <c r="AI675" s="26" t="n">
        <f aca="false">U675-안내!$C$12</f>
        <v>46668</v>
      </c>
      <c r="AJ675" s="23" t="str">
        <f aca="false">IF(U675&lt;IF(C675=1,안내!$C$9,안내!$C$10)+안내!$C$12,"시즌 시작 전 제작","")</f>
        <v/>
      </c>
      <c r="AK675" s="24" t="s">
        <v>7047</v>
      </c>
      <c r="AL675" s="27"/>
      <c r="AM675" s="27"/>
      <c r="AN675" s="27"/>
      <c r="AO675" s="27"/>
      <c r="AP675" s="27"/>
      <c r="AQ675" s="23" t="str">
        <f aca="false">D675&amp;"|"&amp;TEXT(U675,"yyyy-mm-dd")</f>
        <v>신약|2027-11-05</v>
      </c>
      <c r="AR675" s="24" t="s">
        <v>7248</v>
      </c>
      <c r="AS675" s="24"/>
    </row>
    <row r="676" customFormat="false" ht="39.55" hidden="false" customHeight="false" outlineLevel="0" collapsed="false">
      <c r="A676" s="23" t="n">
        <v>675</v>
      </c>
      <c r="B676" s="31" t="s">
        <v>7249</v>
      </c>
      <c r="C676" s="20" t="n">
        <v>1</v>
      </c>
      <c r="D676" s="20" t="s">
        <v>5581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1" t="s">
        <v>7137</v>
      </c>
      <c r="H676" s="31" t="s">
        <v>7062</v>
      </c>
      <c r="I676" s="23" t="s">
        <v>6940</v>
      </c>
      <c r="J676" s="24" t="s">
        <v>7250</v>
      </c>
      <c r="K676" s="23" t="s">
        <v>165</v>
      </c>
      <c r="L676" s="24" t="s">
        <v>7251</v>
      </c>
      <c r="M676" s="24" t="s">
        <v>7252</v>
      </c>
      <c r="N676" s="23" t="s">
        <v>7253</v>
      </c>
      <c r="O676" s="24" t="s">
        <v>7254</v>
      </c>
      <c r="P676" s="24" t="s">
        <v>7255</v>
      </c>
      <c r="Q676" s="24" t="s">
        <v>7256</v>
      </c>
      <c r="R676" s="24"/>
      <c r="S676" s="29" t="s">
        <v>7257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174</v>
      </c>
      <c r="Y676" s="23" t="s">
        <v>174</v>
      </c>
      <c r="Z676" s="23" t="s">
        <v>174</v>
      </c>
      <c r="AA676" s="23" t="s">
        <v>174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  <c r="AE676" s="24" t="str">
        <f aca="false">M676&amp;" | 사도행전 20장 #"&amp;SUBSTITUTE(안내!$C$5," ","")</f>
        <v>창문에서 떨어진 청년, 눈물의 작별 | 사도행전 20장 #1분성경</v>
      </c>
      <c r="AF676" s="24" t="s">
        <v>7258</v>
      </c>
      <c r="AG676" s="24"/>
      <c r="AH676" s="23" t="s">
        <v>290</v>
      </c>
      <c r="AI676" s="26" t="n">
        <f aca="false">U676-안내!$C$12</f>
        <v>46514</v>
      </c>
      <c r="AJ676" s="23" t="str">
        <f aca="false">IF(U676&lt;IF(C676=1,안내!$C$9,안내!$C$10)+안내!$C$12,"시즌 시작 전 제작","")</f>
        <v/>
      </c>
      <c r="AK676" s="24" t="s">
        <v>7047</v>
      </c>
      <c r="AL676" s="27"/>
      <c r="AM676" s="27"/>
      <c r="AN676" s="27"/>
      <c r="AO676" s="27"/>
      <c r="AP676" s="27"/>
      <c r="AQ676" s="23" t="str">
        <f aca="false">D676&amp;"|"&amp;TEXT(U676,"yyyy-mm-dd")</f>
        <v>신약|2027-06-04</v>
      </c>
      <c r="AR676" s="24" t="s">
        <v>7259</v>
      </c>
      <c r="AS676" s="24"/>
    </row>
    <row r="677" customFormat="false" ht="39.55" hidden="false" customHeight="false" outlineLevel="0" collapsed="false">
      <c r="A677" s="23" t="n">
        <v>676</v>
      </c>
      <c r="B677" s="31" t="s">
        <v>7260</v>
      </c>
      <c r="C677" s="23" t="n">
        <v>2</v>
      </c>
      <c r="D677" s="23" t="s">
        <v>5581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1" t="s">
        <v>7261</v>
      </c>
      <c r="H677" s="31" t="s">
        <v>7262</v>
      </c>
      <c r="I677" s="23" t="s">
        <v>6940</v>
      </c>
      <c r="J677" s="24" t="s">
        <v>7263</v>
      </c>
      <c r="K677" s="23" t="s">
        <v>165</v>
      </c>
      <c r="L677" s="24" t="s">
        <v>7264</v>
      </c>
      <c r="M677" s="24" t="s">
        <v>7265</v>
      </c>
      <c r="N677" s="23" t="s">
        <v>7266</v>
      </c>
      <c r="O677" s="24" t="s">
        <v>7267</v>
      </c>
      <c r="P677" s="24" t="s">
        <v>7268</v>
      </c>
      <c r="Q677" s="24" t="s">
        <v>7269</v>
      </c>
      <c r="R677" s="24"/>
      <c r="S677" s="24" t="s">
        <v>7270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174</v>
      </c>
      <c r="Y677" s="23" t="s">
        <v>174</v>
      </c>
      <c r="Z677" s="23" t="s">
        <v>174</v>
      </c>
      <c r="AA677" s="23" t="s">
        <v>174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  <c r="AE677" s="24" t="str">
        <f aca="false">M677&amp;" | 사도행전 21장 #"&amp;SUBSTITUTE(안내!$C$5," ","")</f>
        <v>결박당할 것을 알면서도 간 길 | 사도행전 21장 #1분성경</v>
      </c>
      <c r="AF677" s="24" t="s">
        <v>304</v>
      </c>
      <c r="AG677" s="24" t="s">
        <v>7271</v>
      </c>
      <c r="AH677" s="23" t="s">
        <v>290</v>
      </c>
      <c r="AI677" s="26" t="n">
        <f aca="false">U677-안내!$C$12</f>
        <v>46669</v>
      </c>
      <c r="AJ677" s="23" t="str">
        <f aca="false">IF(U677&lt;IF(C677=1,안내!$C$9,안내!$C$10)+안내!$C$12,"시즌 시작 전 제작","")</f>
        <v/>
      </c>
      <c r="AK677" s="24" t="s">
        <v>7047</v>
      </c>
      <c r="AL677" s="27"/>
      <c r="AM677" s="27"/>
      <c r="AN677" s="27"/>
      <c r="AO677" s="27"/>
      <c r="AP677" s="27"/>
      <c r="AQ677" s="23" t="str">
        <f aca="false">D677&amp;"|"&amp;TEXT(U677,"yyyy-mm-dd")</f>
        <v>신약|2027-11-06</v>
      </c>
      <c r="AR677" s="24" t="s">
        <v>7272</v>
      </c>
      <c r="AS677" s="24" t="s">
        <v>292</v>
      </c>
    </row>
    <row r="678" customFormat="false" ht="26.85" hidden="false" customHeight="false" outlineLevel="0" collapsed="false">
      <c r="A678" s="23" t="n">
        <v>677</v>
      </c>
      <c r="B678" s="31" t="s">
        <v>7273</v>
      </c>
      <c r="C678" s="23" t="n">
        <v>2</v>
      </c>
      <c r="D678" s="23" t="s">
        <v>5581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1" t="s">
        <v>7261</v>
      </c>
      <c r="H678" s="31" t="s">
        <v>7262</v>
      </c>
      <c r="I678" s="23" t="s">
        <v>6940</v>
      </c>
      <c r="J678" s="24" t="s">
        <v>7274</v>
      </c>
      <c r="K678" s="23" t="s">
        <v>165</v>
      </c>
      <c r="L678" s="24" t="s">
        <v>7275</v>
      </c>
      <c r="M678" s="24" t="s">
        <v>7276</v>
      </c>
      <c r="N678" s="23" t="s">
        <v>7277</v>
      </c>
      <c r="O678" s="24" t="s">
        <v>7278</v>
      </c>
      <c r="P678" s="24" t="s">
        <v>7279</v>
      </c>
      <c r="Q678" s="24" t="s">
        <v>7280</v>
      </c>
      <c r="R678" s="24"/>
      <c r="S678" s="24" t="s">
        <v>7270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174</v>
      </c>
      <c r="Y678" s="23" t="s">
        <v>174</v>
      </c>
      <c r="Z678" s="23" t="s">
        <v>174</v>
      </c>
      <c r="AA678" s="23" t="s">
        <v>174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  <c r="AE678" s="24" t="str">
        <f aca="false">M678&amp;" | 사도행전 22장 #"&amp;SUBSTITUTE(안내!$C$5," ","")</f>
        <v>군중 앞에서 들려준 자기 이야기 | 사도행전 22장 #1분성경</v>
      </c>
      <c r="AF678" s="24" t="s">
        <v>304</v>
      </c>
      <c r="AG678" s="24" t="s">
        <v>7281</v>
      </c>
      <c r="AH678" s="23" t="s">
        <v>290</v>
      </c>
      <c r="AI678" s="26" t="n">
        <f aca="false">U678-안내!$C$12</f>
        <v>46671</v>
      </c>
      <c r="AJ678" s="23" t="str">
        <f aca="false">IF(U678&lt;IF(C678=1,안내!$C$9,안내!$C$10)+안내!$C$12,"시즌 시작 전 제작","")</f>
        <v/>
      </c>
      <c r="AK678" s="24" t="s">
        <v>7047</v>
      </c>
      <c r="AL678" s="27"/>
      <c r="AM678" s="27"/>
      <c r="AN678" s="27"/>
      <c r="AO678" s="27"/>
      <c r="AP678" s="27"/>
      <c r="AQ678" s="23" t="str">
        <f aca="false">D678&amp;"|"&amp;TEXT(U678,"yyyy-mm-dd")</f>
        <v>신약|2027-11-08</v>
      </c>
      <c r="AR678" s="24" t="s">
        <v>7282</v>
      </c>
      <c r="AS678" s="24"/>
    </row>
    <row r="679" customFormat="false" ht="26.85" hidden="false" customHeight="false" outlineLevel="0" collapsed="false">
      <c r="A679" s="23" t="n">
        <v>678</v>
      </c>
      <c r="B679" s="31" t="s">
        <v>7283</v>
      </c>
      <c r="C679" s="23" t="n">
        <v>2</v>
      </c>
      <c r="D679" s="23" t="s">
        <v>5581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1" t="s">
        <v>7261</v>
      </c>
      <c r="H679" s="31" t="s">
        <v>7262</v>
      </c>
      <c r="I679" s="23" t="s">
        <v>6940</v>
      </c>
      <c r="J679" s="24" t="s">
        <v>7284</v>
      </c>
      <c r="K679" s="23" t="s">
        <v>165</v>
      </c>
      <c r="L679" s="30" t="s">
        <v>7285</v>
      </c>
      <c r="M679" s="24" t="s">
        <v>7286</v>
      </c>
      <c r="N679" s="23" t="s">
        <v>7287</v>
      </c>
      <c r="O679" s="24" t="s">
        <v>7288</v>
      </c>
      <c r="P679" s="24" t="s">
        <v>7289</v>
      </c>
      <c r="Q679" s="24" t="s">
        <v>7290</v>
      </c>
      <c r="R679" s="24"/>
      <c r="S679" s="24" t="s">
        <v>7270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174</v>
      </c>
      <c r="Y679" s="23" t="s">
        <v>174</v>
      </c>
      <c r="Z679" s="23" t="s">
        <v>174</v>
      </c>
      <c r="AA679" s="23" t="s">
        <v>174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  <c r="AE679" s="24" t="str">
        <f aca="false">M679&amp;" | 사도행전 23장 #"&amp;SUBSTITUTE(안내!$C$5," ","")</f>
        <v>조카가 엿들은 음모 | 사도행전 23장 #1분성경</v>
      </c>
      <c r="AF679" s="24" t="s">
        <v>304</v>
      </c>
      <c r="AG679" s="24" t="s">
        <v>7291</v>
      </c>
      <c r="AH679" s="23" t="s">
        <v>290</v>
      </c>
      <c r="AI679" s="26" t="n">
        <f aca="false">U679-안내!$C$12</f>
        <v>46673</v>
      </c>
      <c r="AJ679" s="23" t="str">
        <f aca="false">IF(U679&lt;IF(C679=1,안내!$C$9,안내!$C$10)+안내!$C$12,"시즌 시작 전 제작","")</f>
        <v/>
      </c>
      <c r="AK679" s="24" t="s">
        <v>7047</v>
      </c>
      <c r="AL679" s="27"/>
      <c r="AM679" s="27"/>
      <c r="AN679" s="27"/>
      <c r="AO679" s="27"/>
      <c r="AP679" s="27"/>
      <c r="AQ679" s="23" t="str">
        <f aca="false">D679&amp;"|"&amp;TEXT(U679,"yyyy-mm-dd")</f>
        <v>신약|2027-11-10</v>
      </c>
      <c r="AR679" s="24" t="s">
        <v>7292</v>
      </c>
      <c r="AS679" s="24"/>
    </row>
    <row r="680" customFormat="false" ht="26.85" hidden="false" customHeight="false" outlineLevel="0" collapsed="false">
      <c r="A680" s="23" t="n">
        <v>679</v>
      </c>
      <c r="B680" s="31" t="s">
        <v>7293</v>
      </c>
      <c r="C680" s="23" t="n">
        <v>2</v>
      </c>
      <c r="D680" s="23" t="s">
        <v>5581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1" t="s">
        <v>7261</v>
      </c>
      <c r="H680" s="31" t="s">
        <v>7262</v>
      </c>
      <c r="I680" s="23" t="s">
        <v>6940</v>
      </c>
      <c r="J680" s="24" t="s">
        <v>7294</v>
      </c>
      <c r="K680" s="23" t="s">
        <v>165</v>
      </c>
      <c r="L680" s="24" t="s">
        <v>7295</v>
      </c>
      <c r="M680" s="24" t="s">
        <v>7296</v>
      </c>
      <c r="N680" s="23" t="s">
        <v>7297</v>
      </c>
      <c r="O680" s="24" t="s">
        <v>7298</v>
      </c>
      <c r="P680" s="24" t="s">
        <v>7299</v>
      </c>
      <c r="Q680" s="24" t="s">
        <v>7300</v>
      </c>
      <c r="R680" s="24"/>
      <c r="S680" s="24" t="s">
        <v>7270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174</v>
      </c>
      <c r="Y680" s="23" t="s">
        <v>174</v>
      </c>
      <c r="Z680" s="23" t="s">
        <v>174</v>
      </c>
      <c r="AA680" s="23" t="s">
        <v>174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  <c r="AE680" s="24" t="str">
        <f aca="false">M680&amp;" | 사도행전 24장 #"&amp;SUBSTITUTE(안내!$C$5," ","")</f>
        <v>의와 절제와 심판을 전했다 | 사도행전 24장 #1분성경</v>
      </c>
      <c r="AF680" s="24" t="s">
        <v>304</v>
      </c>
      <c r="AG680" s="24" t="s">
        <v>7301</v>
      </c>
      <c r="AH680" s="23" t="s">
        <v>290</v>
      </c>
      <c r="AI680" s="26" t="n">
        <f aca="false">U680-안내!$C$12</f>
        <v>46675</v>
      </c>
      <c r="AJ680" s="23" t="str">
        <f aca="false">IF(U680&lt;IF(C680=1,안내!$C$9,안내!$C$10)+안내!$C$12,"시즌 시작 전 제작","")</f>
        <v/>
      </c>
      <c r="AK680" s="24" t="s">
        <v>7047</v>
      </c>
      <c r="AL680" s="27"/>
      <c r="AM680" s="27"/>
      <c r="AN680" s="27"/>
      <c r="AO680" s="27"/>
      <c r="AP680" s="27"/>
      <c r="AQ680" s="23" t="str">
        <f aca="false">D680&amp;"|"&amp;TEXT(U680,"yyyy-mm-dd")</f>
        <v>신약|2027-11-12</v>
      </c>
      <c r="AR680" s="24" t="s">
        <v>7302</v>
      </c>
      <c r="AS680" s="24"/>
    </row>
    <row r="681" customFormat="false" ht="26.85" hidden="false" customHeight="false" outlineLevel="0" collapsed="false">
      <c r="A681" s="23" t="n">
        <v>680</v>
      </c>
      <c r="B681" s="31" t="s">
        <v>7303</v>
      </c>
      <c r="C681" s="23" t="n">
        <v>2</v>
      </c>
      <c r="D681" s="23" t="s">
        <v>5581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1" t="s">
        <v>7261</v>
      </c>
      <c r="H681" s="31" t="s">
        <v>7262</v>
      </c>
      <c r="I681" s="23" t="s">
        <v>6940</v>
      </c>
      <c r="J681" s="24" t="s">
        <v>7304</v>
      </c>
      <c r="K681" s="23" t="s">
        <v>165</v>
      </c>
      <c r="L681" s="24" t="s">
        <v>7305</v>
      </c>
      <c r="M681" s="24" t="s">
        <v>7306</v>
      </c>
      <c r="N681" s="23" t="s">
        <v>7307</v>
      </c>
      <c r="O681" s="24" t="s">
        <v>7308</v>
      </c>
      <c r="P681" s="24" t="s">
        <v>7309</v>
      </c>
      <c r="Q681" s="24" t="s">
        <v>7310</v>
      </c>
      <c r="R681" s="24"/>
      <c r="S681" s="24" t="s">
        <v>7270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174</v>
      </c>
      <c r="Y681" s="23" t="s">
        <v>174</v>
      </c>
      <c r="Z681" s="23" t="s">
        <v>174</v>
      </c>
      <c r="AA681" s="23" t="s">
        <v>174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  <c r="AE681" s="24" t="str">
        <f aca="false">M681&amp;" | 사도행전 25~26장 #"&amp;SUBSTITUTE(안내!$C$5," ","")</f>
        <v>왕 앞에서 한 마지막 변론 | 사도행전 25~26장 #1분성경</v>
      </c>
      <c r="AF681" s="24" t="s">
        <v>304</v>
      </c>
      <c r="AG681" s="24" t="s">
        <v>7311</v>
      </c>
      <c r="AH681" s="23" t="s">
        <v>290</v>
      </c>
      <c r="AI681" s="26" t="n">
        <f aca="false">U681-안내!$C$12</f>
        <v>46676</v>
      </c>
      <c r="AJ681" s="23" t="str">
        <f aca="false">IF(U681&lt;IF(C681=1,안내!$C$9,안내!$C$10)+안내!$C$12,"시즌 시작 전 제작","")</f>
        <v/>
      </c>
      <c r="AK681" s="24" t="s">
        <v>7047</v>
      </c>
      <c r="AL681" s="27"/>
      <c r="AM681" s="27"/>
      <c r="AN681" s="27"/>
      <c r="AO681" s="27"/>
      <c r="AP681" s="27"/>
      <c r="AQ681" s="23" t="str">
        <f aca="false">D681&amp;"|"&amp;TEXT(U681,"yyyy-mm-dd")</f>
        <v>신약|2027-11-13</v>
      </c>
      <c r="AR681" s="24" t="s">
        <v>7312</v>
      </c>
      <c r="AS681" s="24"/>
    </row>
    <row r="682" customFormat="false" ht="52.2" hidden="false" customHeight="false" outlineLevel="0" collapsed="false">
      <c r="A682" s="23" t="n">
        <v>681</v>
      </c>
      <c r="B682" s="31" t="s">
        <v>7313</v>
      </c>
      <c r="C682" s="20" t="n">
        <v>1</v>
      </c>
      <c r="D682" s="20" t="s">
        <v>5581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1" t="s">
        <v>7261</v>
      </c>
      <c r="H682" s="31" t="s">
        <v>7314</v>
      </c>
      <c r="I682" s="23" t="s">
        <v>6940</v>
      </c>
      <c r="J682" s="24" t="s">
        <v>7315</v>
      </c>
      <c r="K682" s="23" t="s">
        <v>165</v>
      </c>
      <c r="L682" s="24" t="s">
        <v>7316</v>
      </c>
      <c r="M682" s="30" t="s">
        <v>7317</v>
      </c>
      <c r="N682" s="23" t="s">
        <v>7318</v>
      </c>
      <c r="O682" s="24" t="s">
        <v>7319</v>
      </c>
      <c r="P682" s="24" t="s">
        <v>7320</v>
      </c>
      <c r="Q682" s="24" t="s">
        <v>7321</v>
      </c>
      <c r="R682" s="24"/>
      <c r="S682" s="29" t="s">
        <v>7322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174</v>
      </c>
      <c r="Y682" s="23" t="s">
        <v>174</v>
      </c>
      <c r="Z682" s="23" t="s">
        <v>174</v>
      </c>
      <c r="AA682" s="23" t="s">
        <v>174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  <c r="AE682" s="24" t="str">
        <f aca="false">M682&amp;" | 사도행전 27장 #"&amp;SUBSTITUTE(안내!$C$5," ","")</f>
        <v>14일 동안 해도 별도 보이지 않았다 | 사도행전 27장 #1분성경</v>
      </c>
      <c r="AF682" s="24" t="s">
        <v>7323</v>
      </c>
      <c r="AG682" s="24" t="s">
        <v>7324</v>
      </c>
      <c r="AH682" s="23" t="s">
        <v>360</v>
      </c>
      <c r="AI682" s="26" t="n">
        <f aca="false">U682-안내!$C$12</f>
        <v>46515</v>
      </c>
      <c r="AJ682" s="23" t="str">
        <f aca="false">IF(U682&lt;IF(C682=1,안내!$C$9,안내!$C$10)+안내!$C$12,"시즌 시작 전 제작","")</f>
        <v/>
      </c>
      <c r="AK682" s="24" t="s">
        <v>7047</v>
      </c>
      <c r="AL682" s="27"/>
      <c r="AM682" s="27"/>
      <c r="AN682" s="27"/>
      <c r="AO682" s="27"/>
      <c r="AP682" s="27"/>
      <c r="AQ682" s="23" t="str">
        <f aca="false">D682&amp;"|"&amp;TEXT(U682,"yyyy-mm-dd")</f>
        <v>신약|2027-06-05</v>
      </c>
      <c r="AR682" s="24" t="s">
        <v>7325</v>
      </c>
      <c r="AS682" s="24"/>
    </row>
    <row r="683" customFormat="false" ht="26.85" hidden="false" customHeight="false" outlineLevel="0" collapsed="false">
      <c r="A683" s="23" t="n">
        <v>682</v>
      </c>
      <c r="B683" s="31" t="s">
        <v>7326</v>
      </c>
      <c r="C683" s="20" t="n">
        <v>1</v>
      </c>
      <c r="D683" s="20" t="s">
        <v>5581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1" t="s">
        <v>7261</v>
      </c>
      <c r="H683" s="31" t="s">
        <v>7314</v>
      </c>
      <c r="I683" s="23" t="s">
        <v>6940</v>
      </c>
      <c r="J683" s="24" t="s">
        <v>7327</v>
      </c>
      <c r="K683" s="23" t="s">
        <v>165</v>
      </c>
      <c r="L683" s="30" t="s">
        <v>7328</v>
      </c>
      <c r="M683" s="24" t="s">
        <v>7329</v>
      </c>
      <c r="N683" s="23" t="s">
        <v>7330</v>
      </c>
      <c r="O683" s="24" t="s">
        <v>7331</v>
      </c>
      <c r="P683" s="24" t="s">
        <v>7332</v>
      </c>
      <c r="Q683" s="24" t="s">
        <v>7333</v>
      </c>
      <c r="R683" s="24"/>
      <c r="S683" s="24" t="s">
        <v>173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174</v>
      </c>
      <c r="Y683" s="23" t="s">
        <v>174</v>
      </c>
      <c r="Z683" s="23" t="s">
        <v>174</v>
      </c>
      <c r="AA683" s="23" t="s">
        <v>174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  <c r="AE683" s="24" t="str">
        <f aca="false">M683&amp;" | 사도행전 27장 #"&amp;SUBSTITUTE(안내!$C$5," ","")</f>
        <v>배는 부서졌지만 한 사람도 잃지 않았다 | 사도행전 27장 #1분성경</v>
      </c>
      <c r="AF683" s="24" t="s">
        <v>7334</v>
      </c>
      <c r="AG683" s="24" t="s">
        <v>7335</v>
      </c>
      <c r="AH683" s="23" t="s">
        <v>290</v>
      </c>
      <c r="AI683" s="26" t="n">
        <f aca="false">U683-안내!$C$12</f>
        <v>46517</v>
      </c>
      <c r="AJ683" s="23" t="str">
        <f aca="false">IF(U683&lt;IF(C683=1,안내!$C$9,안내!$C$10)+안내!$C$12,"시즌 시작 전 제작","")</f>
        <v/>
      </c>
      <c r="AK683" s="24" t="s">
        <v>7047</v>
      </c>
      <c r="AL683" s="27"/>
      <c r="AM683" s="27"/>
      <c r="AN683" s="27"/>
      <c r="AO683" s="27"/>
      <c r="AP683" s="27"/>
      <c r="AQ683" s="23" t="str">
        <f aca="false">D683&amp;"|"&amp;TEXT(U683,"yyyy-mm-dd")</f>
        <v>신약|2027-06-07</v>
      </c>
      <c r="AR683" s="24" t="s">
        <v>7336</v>
      </c>
      <c r="AS683" s="24"/>
    </row>
    <row r="684" customFormat="false" ht="26.85" hidden="false" customHeight="false" outlineLevel="0" collapsed="false">
      <c r="A684" s="23" t="n">
        <v>683</v>
      </c>
      <c r="B684" s="31" t="s">
        <v>7337</v>
      </c>
      <c r="C684" s="23" t="n">
        <v>2</v>
      </c>
      <c r="D684" s="23" t="s">
        <v>5581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1" t="s">
        <v>7261</v>
      </c>
      <c r="H684" s="31" t="s">
        <v>7262</v>
      </c>
      <c r="I684" s="23" t="s">
        <v>6940</v>
      </c>
      <c r="J684" s="24" t="s">
        <v>7338</v>
      </c>
      <c r="K684" s="23" t="s">
        <v>165</v>
      </c>
      <c r="L684" s="24" t="s">
        <v>7339</v>
      </c>
      <c r="M684" s="24" t="s">
        <v>7340</v>
      </c>
      <c r="N684" s="23" t="s">
        <v>7341</v>
      </c>
      <c r="O684" s="24" t="s">
        <v>7342</v>
      </c>
      <c r="P684" s="24" t="s">
        <v>7343</v>
      </c>
      <c r="Q684" s="24" t="s">
        <v>7344</v>
      </c>
      <c r="R684" s="25" t="s">
        <v>7345</v>
      </c>
      <c r="S684" s="24" t="s">
        <v>7346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174</v>
      </c>
      <c r="Y684" s="23" t="s">
        <v>174</v>
      </c>
      <c r="Z684" s="23" t="s">
        <v>174</v>
      </c>
      <c r="AA684" s="23" t="s">
        <v>174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  <c r="AE684" s="24" t="str">
        <f aca="false">M684&amp;" | 사도행전 28장 #"&amp;SUBSTITUTE(안내!$C$5," ","")</f>
        <v>불 속에서 나온 독사가 손을 물었다 | 사도행전 28장 #1분성경</v>
      </c>
      <c r="AF684" s="24" t="s">
        <v>304</v>
      </c>
      <c r="AG684" s="24"/>
      <c r="AH684" s="23" t="s">
        <v>290</v>
      </c>
      <c r="AI684" s="26" t="n">
        <f aca="false">U684-안내!$C$12</f>
        <v>46678</v>
      </c>
      <c r="AJ684" s="23" t="str">
        <f aca="false">IF(U684&lt;IF(C684=1,안내!$C$9,안내!$C$10)+안내!$C$12,"시즌 시작 전 제작","")</f>
        <v/>
      </c>
      <c r="AK684" s="24" t="s">
        <v>7047</v>
      </c>
      <c r="AL684" s="27"/>
      <c r="AM684" s="27"/>
      <c r="AN684" s="27"/>
      <c r="AO684" s="27"/>
      <c r="AP684" s="27"/>
      <c r="AQ684" s="23" t="str">
        <f aca="false">D684&amp;"|"&amp;TEXT(U684,"yyyy-mm-dd")</f>
        <v>신약|2027-11-15</v>
      </c>
      <c r="AR684" s="24" t="s">
        <v>7347</v>
      </c>
      <c r="AS684" s="24"/>
    </row>
    <row r="685" customFormat="false" ht="26.85" hidden="false" customHeight="false" outlineLevel="0" collapsed="false">
      <c r="A685" s="23" t="n">
        <v>684</v>
      </c>
      <c r="B685" s="31" t="s">
        <v>7348</v>
      </c>
      <c r="C685" s="20" t="n">
        <v>1</v>
      </c>
      <c r="D685" s="20" t="s">
        <v>5581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1" t="s">
        <v>7261</v>
      </c>
      <c r="H685" s="31" t="s">
        <v>7314</v>
      </c>
      <c r="I685" s="23" t="s">
        <v>6940</v>
      </c>
      <c r="J685" s="24" t="s">
        <v>7349</v>
      </c>
      <c r="K685" s="23" t="s">
        <v>165</v>
      </c>
      <c r="L685" s="24" t="s">
        <v>7350</v>
      </c>
      <c r="M685" s="24" t="s">
        <v>7351</v>
      </c>
      <c r="N685" s="23" t="s">
        <v>7352</v>
      </c>
      <c r="O685" s="24" t="s">
        <v>7353</v>
      </c>
      <c r="P685" s="24" t="s">
        <v>7354</v>
      </c>
      <c r="Q685" s="24" t="s">
        <v>7355</v>
      </c>
      <c r="R685" s="24"/>
      <c r="S685" s="29" t="s">
        <v>7356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174</v>
      </c>
      <c r="Y685" s="23" t="s">
        <v>174</v>
      </c>
      <c r="Z685" s="23" t="s">
        <v>174</v>
      </c>
      <c r="AA685" s="23" t="s">
        <v>174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  <c r="AE685" s="24" t="str">
        <f aca="false">M685&amp;" | 사도행전 28장 #"&amp;SUBSTITUTE(안내!$C$5," ","")</f>
        <v>로마 셋집에서 2년 동안 | 사도행전 28장 #1분성경</v>
      </c>
      <c r="AF685" s="24" t="s">
        <v>7357</v>
      </c>
      <c r="AG685" s="24"/>
      <c r="AH685" s="23" t="s">
        <v>360</v>
      </c>
      <c r="AI685" s="26" t="n">
        <f aca="false">U685-안내!$C$12</f>
        <v>46519</v>
      </c>
      <c r="AJ685" s="23" t="str">
        <f aca="false">IF(U685&lt;IF(C685=1,안내!$C$9,안내!$C$10)+안내!$C$12,"시즌 시작 전 제작","")</f>
        <v/>
      </c>
      <c r="AK685" s="24" t="s">
        <v>7047</v>
      </c>
      <c r="AL685" s="27"/>
      <c r="AM685" s="27"/>
      <c r="AN685" s="27"/>
      <c r="AO685" s="27"/>
      <c r="AP685" s="27"/>
      <c r="AQ685" s="23" t="str">
        <f aca="false">D685&amp;"|"&amp;TEXT(U685,"yyyy-mm-dd")</f>
        <v>신약|2027-06-09</v>
      </c>
      <c r="AR685" s="24" t="s">
        <v>7358</v>
      </c>
      <c r="AS685" s="24"/>
    </row>
    <row r="686" customFormat="false" ht="39.55" hidden="false" customHeight="false" outlineLevel="0" collapsed="false">
      <c r="A686" s="23" t="n">
        <v>685</v>
      </c>
      <c r="B686" s="31" t="s">
        <v>7359</v>
      </c>
      <c r="C686" s="23" t="n">
        <v>2</v>
      </c>
      <c r="D686" s="23" t="s">
        <v>5581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1" t="s">
        <v>7360</v>
      </c>
      <c r="H686" s="31" t="s">
        <v>7262</v>
      </c>
      <c r="I686" s="23" t="s">
        <v>7361</v>
      </c>
      <c r="J686" s="24" t="s">
        <v>7362</v>
      </c>
      <c r="K686" s="23" t="s">
        <v>1370</v>
      </c>
      <c r="L686" s="24" t="s">
        <v>7363</v>
      </c>
      <c r="M686" s="24" t="s">
        <v>7364</v>
      </c>
      <c r="N686" s="23" t="s">
        <v>7365</v>
      </c>
      <c r="O686" s="24" t="s">
        <v>7366</v>
      </c>
      <c r="P686" s="24" t="s">
        <v>7047</v>
      </c>
      <c r="Q686" s="24" t="s">
        <v>7367</v>
      </c>
      <c r="R686" s="24"/>
      <c r="S686" s="24" t="s">
        <v>7368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174</v>
      </c>
      <c r="Y686" s="23" t="s">
        <v>174</v>
      </c>
      <c r="Z686" s="23" t="s">
        <v>174</v>
      </c>
      <c r="AA686" s="23" t="s">
        <v>174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  <c r="AE686" s="24" t="str">
        <f aca="false">M686&amp;" | 로마서 1장 #"&amp;SUBSTITUTE(안내!$C$5," ","")</f>
        <v>바울이 부끄러워하지 않은 한 가지 | 로마서 1장 #1분성경</v>
      </c>
      <c r="AF686" s="24" t="s">
        <v>304</v>
      </c>
      <c r="AG686" s="24"/>
      <c r="AH686" s="23" t="s">
        <v>290</v>
      </c>
      <c r="AI686" s="26" t="n">
        <f aca="false">U686-안내!$C$12</f>
        <v>46680</v>
      </c>
      <c r="AJ686" s="23" t="str">
        <f aca="false">IF(U686&lt;IF(C686=1,안내!$C$9,안내!$C$10)+안내!$C$12,"시즌 시작 전 제작","")</f>
        <v/>
      </c>
      <c r="AK686" s="24" t="s">
        <v>7047</v>
      </c>
      <c r="AL686" s="27"/>
      <c r="AM686" s="27"/>
      <c r="AN686" s="27"/>
      <c r="AO686" s="27"/>
      <c r="AP686" s="27"/>
      <c r="AQ686" s="23" t="str">
        <f aca="false">D686&amp;"|"&amp;TEXT(U686,"yyyy-mm-dd")</f>
        <v>신약|2027-11-17</v>
      </c>
      <c r="AR686" s="24" t="s">
        <v>7369</v>
      </c>
      <c r="AS686" s="24" t="s">
        <v>292</v>
      </c>
    </row>
    <row r="687" customFormat="false" ht="26.85" hidden="false" customHeight="false" outlineLevel="0" collapsed="false">
      <c r="A687" s="23" t="n">
        <v>686</v>
      </c>
      <c r="B687" s="31" t="s">
        <v>7370</v>
      </c>
      <c r="C687" s="23" t="n">
        <v>2</v>
      </c>
      <c r="D687" s="23" t="s">
        <v>5581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1" t="s">
        <v>7360</v>
      </c>
      <c r="H687" s="31" t="s">
        <v>7262</v>
      </c>
      <c r="I687" s="23" t="s">
        <v>7361</v>
      </c>
      <c r="J687" s="24" t="s">
        <v>7371</v>
      </c>
      <c r="K687" s="23" t="s">
        <v>1370</v>
      </c>
      <c r="L687" s="24" t="s">
        <v>7372</v>
      </c>
      <c r="M687" s="24" t="s">
        <v>7373</v>
      </c>
      <c r="N687" s="23" t="s">
        <v>7374</v>
      </c>
      <c r="O687" s="24" t="s">
        <v>7375</v>
      </c>
      <c r="P687" s="24" t="s">
        <v>7047</v>
      </c>
      <c r="Q687" s="24" t="s">
        <v>7376</v>
      </c>
      <c r="R687" s="24"/>
      <c r="S687" s="24" t="s">
        <v>7368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174</v>
      </c>
      <c r="Y687" s="23" t="s">
        <v>174</v>
      </c>
      <c r="Z687" s="23" t="s">
        <v>174</v>
      </c>
      <c r="AA687" s="23" t="s">
        <v>174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  <c r="AE687" s="24" t="str">
        <f aca="false">M687&amp;" | 로마서 1~3장 #"&amp;SUBSTITUTE(안내!$C$5," ","")</f>
        <v>착한 사람은 천국에 갈까? | 로마서 1~3장 #1분성경</v>
      </c>
      <c r="AF687" s="24" t="s">
        <v>304</v>
      </c>
      <c r="AG687" s="24"/>
      <c r="AH687" s="23" t="s">
        <v>176</v>
      </c>
      <c r="AI687" s="26" t="n">
        <f aca="false">U687-안내!$C$12</f>
        <v>46682</v>
      </c>
      <c r="AJ687" s="23" t="str">
        <f aca="false">IF(U687&lt;IF(C687=1,안내!$C$9,안내!$C$10)+안내!$C$12,"시즌 시작 전 제작","")</f>
        <v/>
      </c>
      <c r="AK687" s="24" t="s">
        <v>7047</v>
      </c>
      <c r="AL687" s="27"/>
      <c r="AM687" s="27"/>
      <c r="AN687" s="27"/>
      <c r="AO687" s="27"/>
      <c r="AP687" s="27"/>
      <c r="AQ687" s="23" t="str">
        <f aca="false">D687&amp;"|"&amp;TEXT(U687,"yyyy-mm-dd")</f>
        <v>신약|2027-11-19</v>
      </c>
      <c r="AR687" s="24" t="s">
        <v>7377</v>
      </c>
      <c r="AS687" s="24"/>
    </row>
    <row r="688" customFormat="false" ht="39.55" hidden="false" customHeight="false" outlineLevel="0" collapsed="false">
      <c r="A688" s="23" t="n">
        <v>687</v>
      </c>
      <c r="B688" s="31" t="s">
        <v>7378</v>
      </c>
      <c r="C688" s="20" t="n">
        <v>1</v>
      </c>
      <c r="D688" s="20" t="s">
        <v>5581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1" t="s">
        <v>7360</v>
      </c>
      <c r="H688" s="31" t="s">
        <v>7314</v>
      </c>
      <c r="I688" s="23" t="s">
        <v>7361</v>
      </c>
      <c r="J688" s="24" t="s">
        <v>7379</v>
      </c>
      <c r="K688" s="23" t="s">
        <v>1370</v>
      </c>
      <c r="L688" s="24" t="s">
        <v>7380</v>
      </c>
      <c r="M688" s="24" t="s">
        <v>7381</v>
      </c>
      <c r="N688" s="23" t="s">
        <v>7382</v>
      </c>
      <c r="O688" s="24" t="s">
        <v>7383</v>
      </c>
      <c r="P688" s="24" t="s">
        <v>7047</v>
      </c>
      <c r="Q688" s="24" t="s">
        <v>6134</v>
      </c>
      <c r="R688" s="25" t="s">
        <v>7384</v>
      </c>
      <c r="S688" s="29" t="s">
        <v>7385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174</v>
      </c>
      <c r="Y688" s="23" t="s">
        <v>174</v>
      </c>
      <c r="Z688" s="23" t="s">
        <v>174</v>
      </c>
      <c r="AA688" s="23" t="s">
        <v>174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  <c r="AE688" s="24" t="str">
        <f aca="false">M688&amp;" | 로마서 3장 #"&amp;SUBSTITUTE(안내!$C$5," ","")</f>
        <v>구원은 선물입니다 | 로마서 3장 #1분성경</v>
      </c>
      <c r="AF688" s="24" t="s">
        <v>7386</v>
      </c>
      <c r="AG688" s="24"/>
      <c r="AH688" s="23" t="s">
        <v>290</v>
      </c>
      <c r="AI688" s="26" t="n">
        <f aca="false">U688-안내!$C$12</f>
        <v>46521</v>
      </c>
      <c r="AJ688" s="23" t="str">
        <f aca="false">IF(U688&lt;IF(C688=1,안내!$C$9,안내!$C$10)+안내!$C$12,"시즌 시작 전 제작","")</f>
        <v/>
      </c>
      <c r="AK688" s="24" t="s">
        <v>7047</v>
      </c>
      <c r="AL688" s="27"/>
      <c r="AM688" s="27"/>
      <c r="AN688" s="27"/>
      <c r="AO688" s="27"/>
      <c r="AP688" s="27"/>
      <c r="AQ688" s="23" t="str">
        <f aca="false">D688&amp;"|"&amp;TEXT(U688,"yyyy-mm-dd")</f>
        <v>신약|2027-06-11</v>
      </c>
      <c r="AR688" s="24" t="s">
        <v>7387</v>
      </c>
      <c r="AS688" s="24"/>
    </row>
    <row r="689" customFormat="false" ht="26.85" hidden="false" customHeight="false" outlineLevel="0" collapsed="false">
      <c r="A689" s="23" t="n">
        <v>688</v>
      </c>
      <c r="B689" s="31" t="s">
        <v>7388</v>
      </c>
      <c r="C689" s="23" t="n">
        <v>2</v>
      </c>
      <c r="D689" s="23" t="s">
        <v>5581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1" t="s">
        <v>7360</v>
      </c>
      <c r="H689" s="31" t="s">
        <v>7389</v>
      </c>
      <c r="I689" s="23" t="s">
        <v>7361</v>
      </c>
      <c r="J689" s="24" t="s">
        <v>7390</v>
      </c>
      <c r="K689" s="23" t="s">
        <v>1370</v>
      </c>
      <c r="L689" s="24" t="s">
        <v>7391</v>
      </c>
      <c r="M689" s="24" t="s">
        <v>7392</v>
      </c>
      <c r="N689" s="23" t="s">
        <v>7393</v>
      </c>
      <c r="O689" s="24" t="s">
        <v>7394</v>
      </c>
      <c r="P689" s="24" t="s">
        <v>7395</v>
      </c>
      <c r="Q689" s="24" t="s">
        <v>7396</v>
      </c>
      <c r="R689" s="24"/>
      <c r="S689" s="24" t="s">
        <v>7397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174</v>
      </c>
      <c r="Y689" s="23" t="s">
        <v>174</v>
      </c>
      <c r="Z689" s="23" t="s">
        <v>174</v>
      </c>
      <c r="AA689" s="23" t="s">
        <v>174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  <c r="AE689" s="24" t="str">
        <f aca="false">M689&amp;" | 로마서 4장 #"&amp;SUBSTITUTE(안내!$C$5," ","")</f>
        <v>아브라함은 무엇으로 의롭게 되었을까? | 로마서 4장 #1분성경</v>
      </c>
      <c r="AF689" s="24" t="s">
        <v>304</v>
      </c>
      <c r="AG689" s="24"/>
      <c r="AH689" s="23" t="s">
        <v>176</v>
      </c>
      <c r="AI689" s="26" t="n">
        <f aca="false">U689-안내!$C$12</f>
        <v>46683</v>
      </c>
      <c r="AJ689" s="23" t="str">
        <f aca="false">IF(U689&lt;IF(C689=1,안내!$C$9,안내!$C$10)+안내!$C$12,"시즌 시작 전 제작","")</f>
        <v/>
      </c>
      <c r="AK689" s="24" t="s">
        <v>7047</v>
      </c>
      <c r="AL689" s="27"/>
      <c r="AM689" s="27"/>
      <c r="AN689" s="27"/>
      <c r="AO689" s="27"/>
      <c r="AP689" s="27"/>
      <c r="AQ689" s="23" t="str">
        <f aca="false">D689&amp;"|"&amp;TEXT(U689,"yyyy-mm-dd")</f>
        <v>신약|2027-11-20</v>
      </c>
      <c r="AR689" s="24" t="s">
        <v>7398</v>
      </c>
      <c r="AS689" s="24"/>
    </row>
    <row r="690" customFormat="false" ht="39.55" hidden="false" customHeight="false" outlineLevel="0" collapsed="false">
      <c r="A690" s="23" t="n">
        <v>689</v>
      </c>
      <c r="B690" s="31" t="s">
        <v>7399</v>
      </c>
      <c r="C690" s="23" t="n">
        <v>2</v>
      </c>
      <c r="D690" s="23" t="s">
        <v>5581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1" t="s">
        <v>7360</v>
      </c>
      <c r="H690" s="31" t="s">
        <v>7389</v>
      </c>
      <c r="I690" s="23" t="s">
        <v>7361</v>
      </c>
      <c r="J690" s="24" t="s">
        <v>7400</v>
      </c>
      <c r="K690" s="23" t="s">
        <v>1370</v>
      </c>
      <c r="L690" s="24" t="s">
        <v>7401</v>
      </c>
      <c r="M690" s="24" t="s">
        <v>7402</v>
      </c>
      <c r="N690" s="23" t="s">
        <v>7403</v>
      </c>
      <c r="O690" s="24" t="s">
        <v>7404</v>
      </c>
      <c r="P690" s="24" t="s">
        <v>7405</v>
      </c>
      <c r="Q690" s="24" t="s">
        <v>7406</v>
      </c>
      <c r="R690" s="25" t="s">
        <v>7407</v>
      </c>
      <c r="S690" s="24" t="s">
        <v>7397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174</v>
      </c>
      <c r="Y690" s="23" t="s">
        <v>174</v>
      </c>
      <c r="Z690" s="23" t="s">
        <v>174</v>
      </c>
      <c r="AA690" s="23" t="s">
        <v>174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  <c r="AE690" s="24" t="str">
        <f aca="false">M690&amp;" | 로마서 5장 #"&amp;SUBSTITUTE(안내!$C$5," ","")</f>
        <v>하나님이 사랑을 확증하신 방법 | 로마서 5장 #1분성경</v>
      </c>
      <c r="AF690" s="24" t="s">
        <v>304</v>
      </c>
      <c r="AG690" s="24"/>
      <c r="AH690" s="23" t="s">
        <v>290</v>
      </c>
      <c r="AI690" s="26" t="n">
        <f aca="false">U690-안내!$C$12</f>
        <v>46685</v>
      </c>
      <c r="AJ690" s="23" t="str">
        <f aca="false">IF(U690&lt;IF(C690=1,안내!$C$9,안내!$C$10)+안내!$C$12,"시즌 시작 전 제작","")</f>
        <v/>
      </c>
      <c r="AK690" s="24"/>
      <c r="AL690" s="27"/>
      <c r="AM690" s="27"/>
      <c r="AN690" s="27"/>
      <c r="AO690" s="27"/>
      <c r="AP690" s="27"/>
      <c r="AQ690" s="23" t="str">
        <f aca="false">D690&amp;"|"&amp;TEXT(U690,"yyyy-mm-dd")</f>
        <v>신약|2027-11-22</v>
      </c>
      <c r="AR690" s="24" t="s">
        <v>7408</v>
      </c>
      <c r="AS690" s="24"/>
    </row>
    <row r="691" customFormat="false" ht="26.85" hidden="false" customHeight="false" outlineLevel="0" collapsed="false">
      <c r="A691" s="23" t="n">
        <v>690</v>
      </c>
      <c r="B691" s="31" t="s">
        <v>7409</v>
      </c>
      <c r="C691" s="23" t="n">
        <v>2</v>
      </c>
      <c r="D691" s="23" t="s">
        <v>5581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1" t="s">
        <v>7360</v>
      </c>
      <c r="H691" s="31" t="s">
        <v>7389</v>
      </c>
      <c r="I691" s="23" t="s">
        <v>7361</v>
      </c>
      <c r="J691" s="24" t="s">
        <v>7410</v>
      </c>
      <c r="K691" s="23" t="s">
        <v>1370</v>
      </c>
      <c r="L691" s="24" t="s">
        <v>7411</v>
      </c>
      <c r="M691" s="24" t="s">
        <v>7412</v>
      </c>
      <c r="N691" s="23" t="s">
        <v>7413</v>
      </c>
      <c r="O691" s="24" t="s">
        <v>7414</v>
      </c>
      <c r="P691" s="24" t="s">
        <v>7047</v>
      </c>
      <c r="Q691" s="24" t="s">
        <v>7415</v>
      </c>
      <c r="R691" s="25" t="s">
        <v>7416</v>
      </c>
      <c r="S691" s="24" t="s">
        <v>7397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174</v>
      </c>
      <c r="Y691" s="23" t="s">
        <v>174</v>
      </c>
      <c r="Z691" s="23" t="s">
        <v>174</v>
      </c>
      <c r="AA691" s="23" t="s">
        <v>174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  <c r="AE691" s="24" t="str">
        <f aca="false">M691&amp;" | 로마서 6장 #"&amp;SUBSTITUTE(안내!$C$5," ","")</f>
        <v>은혜를 더하려고 죄를 지어도 될까? | 로마서 6장 #1분성경</v>
      </c>
      <c r="AF691" s="24" t="s">
        <v>304</v>
      </c>
      <c r="AG691" s="24"/>
      <c r="AH691" s="23" t="s">
        <v>176</v>
      </c>
      <c r="AI691" s="26" t="n">
        <f aca="false">U691-안내!$C$12</f>
        <v>46687</v>
      </c>
      <c r="AJ691" s="23" t="str">
        <f aca="false">IF(U691&lt;IF(C691=1,안내!$C$9,안내!$C$10)+안내!$C$12,"시즌 시작 전 제작","")</f>
        <v/>
      </c>
      <c r="AK691" s="24" t="s">
        <v>7047</v>
      </c>
      <c r="AL691" s="27"/>
      <c r="AM691" s="27"/>
      <c r="AN691" s="27"/>
      <c r="AO691" s="27"/>
      <c r="AP691" s="27"/>
      <c r="AQ691" s="23" t="str">
        <f aca="false">D691&amp;"|"&amp;TEXT(U691,"yyyy-mm-dd")</f>
        <v>신약|2027-11-24</v>
      </c>
      <c r="AR691" s="24" t="s">
        <v>7417</v>
      </c>
      <c r="AS691" s="24"/>
    </row>
    <row r="692" customFormat="false" ht="26.85" hidden="false" customHeight="false" outlineLevel="0" collapsed="false">
      <c r="A692" s="23" t="n">
        <v>691</v>
      </c>
      <c r="B692" s="31" t="s">
        <v>7418</v>
      </c>
      <c r="C692" s="23" t="n">
        <v>2</v>
      </c>
      <c r="D692" s="23" t="s">
        <v>5581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1" t="s">
        <v>7360</v>
      </c>
      <c r="H692" s="31" t="s">
        <v>7389</v>
      </c>
      <c r="I692" s="23" t="s">
        <v>7361</v>
      </c>
      <c r="J692" s="24" t="s">
        <v>7419</v>
      </c>
      <c r="K692" s="23" t="s">
        <v>1370</v>
      </c>
      <c r="L692" s="24" t="s">
        <v>7420</v>
      </c>
      <c r="M692" s="24" t="s">
        <v>7421</v>
      </c>
      <c r="N692" s="23" t="s">
        <v>7422</v>
      </c>
      <c r="O692" s="24" t="s">
        <v>7423</v>
      </c>
      <c r="P692" s="24" t="s">
        <v>7047</v>
      </c>
      <c r="Q692" s="24" t="s">
        <v>7424</v>
      </c>
      <c r="R692" s="24"/>
      <c r="S692" s="24" t="s">
        <v>7397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174</v>
      </c>
      <c r="Y692" s="23" t="s">
        <v>174</v>
      </c>
      <c r="Z692" s="23" t="s">
        <v>174</v>
      </c>
      <c r="AA692" s="23" t="s">
        <v>174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  <c r="AE692" s="24" t="str">
        <f aca="false">M692&amp;" | 로마서 7장 #"&amp;SUBSTITUTE(안내!$C$5," ","")</f>
        <v>바울도 고민했던 싸움 | 로마서 7장 #1분성경</v>
      </c>
      <c r="AF692" s="24" t="s">
        <v>304</v>
      </c>
      <c r="AG692" s="24"/>
      <c r="AH692" s="23" t="s">
        <v>290</v>
      </c>
      <c r="AI692" s="26" t="n">
        <f aca="false">U692-안내!$C$12</f>
        <v>46689</v>
      </c>
      <c r="AJ692" s="23" t="str">
        <f aca="false">IF(U692&lt;IF(C692=1,안내!$C$9,안내!$C$10)+안내!$C$12,"시즌 시작 전 제작","")</f>
        <v/>
      </c>
      <c r="AK692" s="24" t="s">
        <v>7047</v>
      </c>
      <c r="AL692" s="27"/>
      <c r="AM692" s="27"/>
      <c r="AN692" s="27"/>
      <c r="AO692" s="27"/>
      <c r="AP692" s="27"/>
      <c r="AQ692" s="23" t="str">
        <f aca="false">D692&amp;"|"&amp;TEXT(U692,"yyyy-mm-dd")</f>
        <v>신약|2027-11-26</v>
      </c>
      <c r="AR692" s="24" t="s">
        <v>7425</v>
      </c>
      <c r="AS692" s="24"/>
    </row>
    <row r="693" customFormat="false" ht="26.85" hidden="false" customHeight="false" outlineLevel="0" collapsed="false">
      <c r="A693" s="23" t="n">
        <v>692</v>
      </c>
      <c r="B693" s="31" t="s">
        <v>7426</v>
      </c>
      <c r="C693" s="23" t="n">
        <v>2</v>
      </c>
      <c r="D693" s="23" t="s">
        <v>5581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1" t="s">
        <v>7360</v>
      </c>
      <c r="H693" s="31" t="s">
        <v>7389</v>
      </c>
      <c r="I693" s="23" t="s">
        <v>7361</v>
      </c>
      <c r="J693" s="24" t="s">
        <v>7427</v>
      </c>
      <c r="K693" s="23" t="s">
        <v>1370</v>
      </c>
      <c r="L693" s="24" t="s">
        <v>7428</v>
      </c>
      <c r="M693" s="24" t="s">
        <v>7429</v>
      </c>
      <c r="N693" s="23" t="s">
        <v>7430</v>
      </c>
      <c r="O693" s="24" t="s">
        <v>7431</v>
      </c>
      <c r="P693" s="24" t="s">
        <v>7047</v>
      </c>
      <c r="Q693" s="24" t="s">
        <v>7432</v>
      </c>
      <c r="R693" s="24"/>
      <c r="S693" s="24" t="s">
        <v>7397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174</v>
      </c>
      <c r="Y693" s="23" t="s">
        <v>174</v>
      </c>
      <c r="Z693" s="23" t="s">
        <v>174</v>
      </c>
      <c r="AA693" s="23" t="s">
        <v>174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  <c r="AE693" s="24" t="str">
        <f aca="false">M693&amp;" | 로마서 8장 #"&amp;SUBSTITUTE(안내!$C$5," ","")</f>
        <v>그리스도 안에 있는 사람의 특권 | 로마서 8장 #1분성경</v>
      </c>
      <c r="AF693" s="24" t="s">
        <v>304</v>
      </c>
      <c r="AG693" s="24"/>
      <c r="AH693" s="23" t="s">
        <v>290</v>
      </c>
      <c r="AI693" s="26" t="n">
        <f aca="false">U693-안내!$C$12</f>
        <v>46690</v>
      </c>
      <c r="AJ693" s="23" t="str">
        <f aca="false">IF(U693&lt;IF(C693=1,안내!$C$9,안내!$C$10)+안내!$C$12,"시즌 시작 전 제작","")</f>
        <v/>
      </c>
      <c r="AK693" s="24" t="s">
        <v>7047</v>
      </c>
      <c r="AL693" s="27"/>
      <c r="AM693" s="27"/>
      <c r="AN693" s="27"/>
      <c r="AO693" s="27"/>
      <c r="AP693" s="27"/>
      <c r="AQ693" s="23" t="str">
        <f aca="false">D693&amp;"|"&amp;TEXT(U693,"yyyy-mm-dd")</f>
        <v>신약|2027-11-27</v>
      </c>
      <c r="AR693" s="24" t="s">
        <v>7433</v>
      </c>
      <c r="AS693" s="24"/>
    </row>
    <row r="694" customFormat="false" ht="52.2" hidden="false" customHeight="false" outlineLevel="0" collapsed="false">
      <c r="A694" s="23" t="n">
        <v>693</v>
      </c>
      <c r="B694" s="31" t="s">
        <v>7434</v>
      </c>
      <c r="C694" s="20" t="n">
        <v>1</v>
      </c>
      <c r="D694" s="20" t="s">
        <v>5581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1" t="s">
        <v>7360</v>
      </c>
      <c r="H694" s="31" t="s">
        <v>7314</v>
      </c>
      <c r="I694" s="23" t="s">
        <v>7361</v>
      </c>
      <c r="J694" s="24" t="s">
        <v>7435</v>
      </c>
      <c r="K694" s="23" t="s">
        <v>1370</v>
      </c>
      <c r="L694" s="24" t="s">
        <v>7436</v>
      </c>
      <c r="M694" s="24" t="s">
        <v>7437</v>
      </c>
      <c r="N694" s="23" t="s">
        <v>7438</v>
      </c>
      <c r="O694" s="24" t="s">
        <v>7439</v>
      </c>
      <c r="P694" s="24" t="s">
        <v>7047</v>
      </c>
      <c r="Q694" s="24" t="s">
        <v>7440</v>
      </c>
      <c r="R694" s="25" t="s">
        <v>7441</v>
      </c>
      <c r="S694" s="29" t="s">
        <v>7442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174</v>
      </c>
      <c r="Y694" s="23" t="s">
        <v>174</v>
      </c>
      <c r="Z694" s="23" t="s">
        <v>174</v>
      </c>
      <c r="AA694" s="23" t="s">
        <v>174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  <c r="AE694" s="24" t="str">
        <f aca="false">M694&amp;" | 로마서 8장 #"&amp;SUBSTITUTE(안내!$C$5," ","")</f>
        <v>하나님의 사랑에서 나를 끊을 것은? | 로마서 8장 #1분성경</v>
      </c>
      <c r="AF694" s="24" t="s">
        <v>7443</v>
      </c>
      <c r="AG694" s="24"/>
      <c r="AH694" s="23" t="s">
        <v>176</v>
      </c>
      <c r="AI694" s="26" t="n">
        <f aca="false">U694-안내!$C$12</f>
        <v>46522</v>
      </c>
      <c r="AJ694" s="23" t="str">
        <f aca="false">IF(U694&lt;IF(C694=1,안내!$C$9,안내!$C$10)+안내!$C$12,"시즌 시작 전 제작","")</f>
        <v/>
      </c>
      <c r="AK694" s="24" t="s">
        <v>7047</v>
      </c>
      <c r="AL694" s="27"/>
      <c r="AM694" s="27"/>
      <c r="AN694" s="27"/>
      <c r="AO694" s="27"/>
      <c r="AP694" s="27"/>
      <c r="AQ694" s="23" t="str">
        <f aca="false">D694&amp;"|"&amp;TEXT(U694,"yyyy-mm-dd")</f>
        <v>신약|2027-06-12</v>
      </c>
      <c r="AR694" s="24" t="s">
        <v>7444</v>
      </c>
      <c r="AS694" s="24"/>
    </row>
    <row r="695" customFormat="false" ht="26.85" hidden="false" customHeight="false" outlineLevel="0" collapsed="false">
      <c r="A695" s="23" t="n">
        <v>694</v>
      </c>
      <c r="B695" s="31" t="s">
        <v>7445</v>
      </c>
      <c r="C695" s="23" t="n">
        <v>2</v>
      </c>
      <c r="D695" s="23" t="s">
        <v>5581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1" t="s">
        <v>7360</v>
      </c>
      <c r="H695" s="31" t="s">
        <v>7389</v>
      </c>
      <c r="I695" s="23" t="s">
        <v>7361</v>
      </c>
      <c r="J695" s="24" t="s">
        <v>7446</v>
      </c>
      <c r="K695" s="23" t="s">
        <v>1370</v>
      </c>
      <c r="L695" s="24" t="s">
        <v>7447</v>
      </c>
      <c r="M695" s="24" t="s">
        <v>7448</v>
      </c>
      <c r="N695" s="23" t="s">
        <v>7449</v>
      </c>
      <c r="O695" s="24" t="s">
        <v>7450</v>
      </c>
      <c r="P695" s="24" t="s">
        <v>7047</v>
      </c>
      <c r="Q695" s="24" t="s">
        <v>7451</v>
      </c>
      <c r="R695" s="25" t="s">
        <v>7452</v>
      </c>
      <c r="S695" s="24" t="s">
        <v>7453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174</v>
      </c>
      <c r="Y695" s="23" t="s">
        <v>174</v>
      </c>
      <c r="Z695" s="23" t="s">
        <v>174</v>
      </c>
      <c r="AA695" s="23" t="s">
        <v>174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  <c r="AE695" s="24" t="str">
        <f aca="false">M695&amp;" | 로마서 9~11장 #"&amp;SUBSTITUTE(안내!$C$5," ","")</f>
        <v>하나님은 왜 야곱을 택하셨을까? | 로마서 9~11장 #1분성경</v>
      </c>
      <c r="AF695" s="24" t="s">
        <v>304</v>
      </c>
      <c r="AG695" s="24"/>
      <c r="AH695" s="23" t="s">
        <v>176</v>
      </c>
      <c r="AI695" s="26" t="n">
        <f aca="false">U695-안내!$C$12</f>
        <v>46692</v>
      </c>
      <c r="AJ695" s="23" t="str">
        <f aca="false">IF(U695&lt;IF(C695=1,안내!$C$9,안내!$C$10)+안내!$C$12,"시즌 시작 전 제작","")</f>
        <v/>
      </c>
      <c r="AK695" s="24" t="s">
        <v>7047</v>
      </c>
      <c r="AL695" s="27"/>
      <c r="AM695" s="27"/>
      <c r="AN695" s="27"/>
      <c r="AO695" s="27"/>
      <c r="AP695" s="27"/>
      <c r="AQ695" s="23" t="str">
        <f aca="false">D695&amp;"|"&amp;TEXT(U695,"yyyy-mm-dd")</f>
        <v>신약|2027-11-29</v>
      </c>
      <c r="AR695" s="24" t="s">
        <v>7454</v>
      </c>
      <c r="AS695" s="24"/>
    </row>
    <row r="696" customFormat="false" ht="39.55" hidden="false" customHeight="false" outlineLevel="0" collapsed="false">
      <c r="A696" s="23" t="n">
        <v>695</v>
      </c>
      <c r="B696" s="31" t="s">
        <v>7455</v>
      </c>
      <c r="C696" s="23" t="n">
        <v>2</v>
      </c>
      <c r="D696" s="23" t="s">
        <v>5581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1" t="s">
        <v>7360</v>
      </c>
      <c r="H696" s="31" t="s">
        <v>7389</v>
      </c>
      <c r="I696" s="23" t="s">
        <v>7361</v>
      </c>
      <c r="J696" s="24" t="s">
        <v>7456</v>
      </c>
      <c r="K696" s="23" t="s">
        <v>1370</v>
      </c>
      <c r="L696" s="24" t="s">
        <v>7457</v>
      </c>
      <c r="M696" s="24" t="s">
        <v>7458</v>
      </c>
      <c r="N696" s="23" t="s">
        <v>7459</v>
      </c>
      <c r="O696" s="24" t="s">
        <v>7460</v>
      </c>
      <c r="P696" s="24" t="s">
        <v>7047</v>
      </c>
      <c r="Q696" s="24" t="s">
        <v>7461</v>
      </c>
      <c r="R696" s="24"/>
      <c r="S696" s="24" t="s">
        <v>7453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174</v>
      </c>
      <c r="Y696" s="23" t="s">
        <v>174</v>
      </c>
      <c r="Z696" s="23" t="s">
        <v>174</v>
      </c>
      <c r="AA696" s="23" t="s">
        <v>174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  <c r="AE696" s="24" t="str">
        <f aca="false">M696&amp;" | 로마서 12장 #"&amp;SUBSTITUTE(안내!$C$5," ","")</f>
        <v>매일의 삶이 예배가 되려면 | 로마서 12장 #1분성경</v>
      </c>
      <c r="AF696" s="24" t="s">
        <v>304</v>
      </c>
      <c r="AG696" s="24"/>
      <c r="AH696" s="23" t="s">
        <v>290</v>
      </c>
      <c r="AI696" s="26" t="n">
        <f aca="false">U696-안내!$C$12</f>
        <v>46694</v>
      </c>
      <c r="AJ696" s="23" t="str">
        <f aca="false">IF(U696&lt;IF(C696=1,안내!$C$9,안내!$C$10)+안내!$C$12,"시즌 시작 전 제작","")</f>
        <v/>
      </c>
      <c r="AK696" s="24" t="s">
        <v>7047</v>
      </c>
      <c r="AL696" s="27"/>
      <c r="AM696" s="27"/>
      <c r="AN696" s="27"/>
      <c r="AO696" s="27"/>
      <c r="AP696" s="27"/>
      <c r="AQ696" s="23" t="str">
        <f aca="false">D696&amp;"|"&amp;TEXT(U696,"yyyy-mm-dd")</f>
        <v>신약|2027-12-01</v>
      </c>
      <c r="AR696" s="24" t="s">
        <v>7462</v>
      </c>
      <c r="AS696" s="24"/>
    </row>
    <row r="697" customFormat="false" ht="26.85" hidden="false" customHeight="false" outlineLevel="0" collapsed="false">
      <c r="A697" s="23" t="n">
        <v>696</v>
      </c>
      <c r="B697" s="31" t="s">
        <v>7463</v>
      </c>
      <c r="C697" s="23" t="n">
        <v>2</v>
      </c>
      <c r="D697" s="23" t="s">
        <v>5581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1" t="s">
        <v>7360</v>
      </c>
      <c r="H697" s="31" t="s">
        <v>7389</v>
      </c>
      <c r="I697" s="23" t="s">
        <v>7361</v>
      </c>
      <c r="J697" s="24" t="s">
        <v>7464</v>
      </c>
      <c r="K697" s="23" t="s">
        <v>1370</v>
      </c>
      <c r="L697" s="24" t="s">
        <v>7465</v>
      </c>
      <c r="M697" s="24" t="s">
        <v>7466</v>
      </c>
      <c r="N697" s="23" t="s">
        <v>7467</v>
      </c>
      <c r="O697" s="24" t="s">
        <v>7468</v>
      </c>
      <c r="P697" s="24" t="s">
        <v>7047</v>
      </c>
      <c r="Q697" s="24" t="s">
        <v>7469</v>
      </c>
      <c r="R697" s="24"/>
      <c r="S697" s="24" t="s">
        <v>7453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174</v>
      </c>
      <c r="Y697" s="23" t="s">
        <v>174</v>
      </c>
      <c r="Z697" s="23" t="s">
        <v>174</v>
      </c>
      <c r="AA697" s="23" t="s">
        <v>174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  <c r="AE697" s="24" t="str">
        <f aca="false">M697&amp;" | 로마서 13장 #"&amp;SUBSTITUTE(안내!$C$5," ","")</f>
        <v>서로 사랑하는 빚 외에는 | 로마서 13장 #1분성경</v>
      </c>
      <c r="AF697" s="24" t="s">
        <v>304</v>
      </c>
      <c r="AG697" s="24"/>
      <c r="AH697" s="23" t="s">
        <v>290</v>
      </c>
      <c r="AI697" s="26" t="n">
        <f aca="false">U697-안내!$C$12</f>
        <v>46696</v>
      </c>
      <c r="AJ697" s="23" t="str">
        <f aca="false">IF(U697&lt;IF(C697=1,안내!$C$9,안내!$C$10)+안내!$C$12,"시즌 시작 전 제작","")</f>
        <v/>
      </c>
      <c r="AK697" s="24" t="s">
        <v>7047</v>
      </c>
      <c r="AL697" s="27"/>
      <c r="AM697" s="27"/>
      <c r="AN697" s="27"/>
      <c r="AO697" s="27"/>
      <c r="AP697" s="27"/>
      <c r="AQ697" s="23" t="str">
        <f aca="false">D697&amp;"|"&amp;TEXT(U697,"yyyy-mm-dd")</f>
        <v>신약|2027-12-03</v>
      </c>
      <c r="AR697" s="24" t="s">
        <v>7470</v>
      </c>
      <c r="AS697" s="24"/>
    </row>
    <row r="698" customFormat="false" ht="26.85" hidden="false" customHeight="false" outlineLevel="0" collapsed="false">
      <c r="A698" s="23" t="n">
        <v>697</v>
      </c>
      <c r="B698" s="31" t="s">
        <v>7471</v>
      </c>
      <c r="C698" s="23" t="n">
        <v>2</v>
      </c>
      <c r="D698" s="23" t="s">
        <v>5581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1" t="s">
        <v>7360</v>
      </c>
      <c r="H698" s="31" t="s">
        <v>7389</v>
      </c>
      <c r="I698" s="23" t="s">
        <v>7361</v>
      </c>
      <c r="J698" s="24" t="s">
        <v>7472</v>
      </c>
      <c r="K698" s="23" t="s">
        <v>1370</v>
      </c>
      <c r="L698" s="24" t="s">
        <v>7473</v>
      </c>
      <c r="M698" s="24" t="s">
        <v>7474</v>
      </c>
      <c r="N698" s="23" t="s">
        <v>7475</v>
      </c>
      <c r="O698" s="24" t="s">
        <v>7476</v>
      </c>
      <c r="P698" s="24" t="s">
        <v>7477</v>
      </c>
      <c r="Q698" s="24" t="s">
        <v>7478</v>
      </c>
      <c r="R698" s="24"/>
      <c r="S698" s="24" t="s">
        <v>7453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174</v>
      </c>
      <c r="Y698" s="23" t="s">
        <v>174</v>
      </c>
      <c r="Z698" s="23" t="s">
        <v>174</v>
      </c>
      <c r="AA698" s="23" t="s">
        <v>174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  <c r="AE698" s="24" t="str">
        <f aca="false">M698&amp;" | 로마서 14~16장 #"&amp;SUBSTITUTE(안내!$C$5," ","")</f>
        <v>생각이 다른 형제를 어떻게 대할까? | 로마서 14~16장 #1분성경</v>
      </c>
      <c r="AF698" s="24" t="s">
        <v>304</v>
      </c>
      <c r="AG698" s="24"/>
      <c r="AH698" s="23" t="s">
        <v>176</v>
      </c>
      <c r="AI698" s="26" t="n">
        <f aca="false">U698-안내!$C$12</f>
        <v>46697</v>
      </c>
      <c r="AJ698" s="23" t="str">
        <f aca="false">IF(U698&lt;IF(C698=1,안내!$C$9,안내!$C$10)+안내!$C$12,"시즌 시작 전 제작","")</f>
        <v/>
      </c>
      <c r="AK698" s="24" t="s">
        <v>7047</v>
      </c>
      <c r="AL698" s="27"/>
      <c r="AM698" s="27"/>
      <c r="AN698" s="27"/>
      <c r="AO698" s="27"/>
      <c r="AP698" s="27"/>
      <c r="AQ698" s="23" t="str">
        <f aca="false">D698&amp;"|"&amp;TEXT(U698,"yyyy-mm-dd")</f>
        <v>신약|2027-12-04</v>
      </c>
      <c r="AR698" s="24" t="s">
        <v>7479</v>
      </c>
      <c r="AS698" s="24"/>
    </row>
    <row r="699" customFormat="false" ht="26.85" hidden="false" customHeight="false" outlineLevel="0" collapsed="false">
      <c r="A699" s="23" t="n">
        <v>698</v>
      </c>
      <c r="B699" s="31" t="s">
        <v>7480</v>
      </c>
      <c r="C699" s="23" t="n">
        <v>2</v>
      </c>
      <c r="D699" s="23" t="s">
        <v>5581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1" t="s">
        <v>7481</v>
      </c>
      <c r="H699" s="31" t="s">
        <v>7482</v>
      </c>
      <c r="I699" s="23" t="s">
        <v>7483</v>
      </c>
      <c r="J699" s="24" t="s">
        <v>7484</v>
      </c>
      <c r="K699" s="23" t="s">
        <v>1370</v>
      </c>
      <c r="L699" s="24" t="s">
        <v>7485</v>
      </c>
      <c r="M699" s="24" t="s">
        <v>7486</v>
      </c>
      <c r="N699" s="23" t="s">
        <v>7487</v>
      </c>
      <c r="O699" s="24" t="s">
        <v>7488</v>
      </c>
      <c r="P699" s="24" t="s">
        <v>7047</v>
      </c>
      <c r="Q699" s="24" t="s">
        <v>7489</v>
      </c>
      <c r="R699" s="24"/>
      <c r="S699" s="24" t="s">
        <v>7453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174</v>
      </c>
      <c r="Y699" s="23" t="s">
        <v>174</v>
      </c>
      <c r="Z699" s="23" t="s">
        <v>174</v>
      </c>
      <c r="AA699" s="23" t="s">
        <v>174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  <c r="AE699" s="24" t="str">
        <f aca="false">M699&amp;" | 고린도전서 1~2장 #"&amp;SUBSTITUTE(안내!$C$5," ","")</f>
        <v>세상은 미련하다 했지만 | 고린도전서 1~2장 #1분성경</v>
      </c>
      <c r="AF699" s="24" t="s">
        <v>304</v>
      </c>
      <c r="AG699" s="24"/>
      <c r="AH699" s="23" t="s">
        <v>290</v>
      </c>
      <c r="AI699" s="26" t="n">
        <f aca="false">U699-안내!$C$12</f>
        <v>46699</v>
      </c>
      <c r="AJ699" s="23" t="str">
        <f aca="false">IF(U699&lt;IF(C699=1,안내!$C$9,안내!$C$10)+안내!$C$12,"시즌 시작 전 제작","")</f>
        <v/>
      </c>
      <c r="AK699" s="24" t="s">
        <v>7047</v>
      </c>
      <c r="AL699" s="27"/>
      <c r="AM699" s="27"/>
      <c r="AN699" s="27"/>
      <c r="AO699" s="27"/>
      <c r="AP699" s="27"/>
      <c r="AQ699" s="23" t="str">
        <f aca="false">D699&amp;"|"&amp;TEXT(U699,"yyyy-mm-dd")</f>
        <v>신약|2027-12-06</v>
      </c>
      <c r="AR699" s="24" t="s">
        <v>7490</v>
      </c>
      <c r="AS699" s="24"/>
    </row>
    <row r="700" customFormat="false" ht="26.85" hidden="false" customHeight="false" outlineLevel="0" collapsed="false">
      <c r="A700" s="23" t="n">
        <v>699</v>
      </c>
      <c r="B700" s="31" t="s">
        <v>7491</v>
      </c>
      <c r="C700" s="23" t="n">
        <v>2</v>
      </c>
      <c r="D700" s="23" t="s">
        <v>5581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1" t="s">
        <v>7481</v>
      </c>
      <c r="H700" s="31" t="s">
        <v>7482</v>
      </c>
      <c r="I700" s="23" t="s">
        <v>7483</v>
      </c>
      <c r="J700" s="24" t="s">
        <v>7492</v>
      </c>
      <c r="K700" s="23" t="s">
        <v>1370</v>
      </c>
      <c r="L700" s="24" t="s">
        <v>7493</v>
      </c>
      <c r="M700" s="24" t="s">
        <v>7494</v>
      </c>
      <c r="N700" s="23" t="s">
        <v>7495</v>
      </c>
      <c r="O700" s="24" t="s">
        <v>7496</v>
      </c>
      <c r="P700" s="24" t="s">
        <v>7497</v>
      </c>
      <c r="Q700" s="24" t="s">
        <v>7498</v>
      </c>
      <c r="R700" s="25" t="s">
        <v>7499</v>
      </c>
      <c r="S700" s="24" t="s">
        <v>7453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174</v>
      </c>
      <c r="Y700" s="23" t="s">
        <v>174</v>
      </c>
      <c r="Z700" s="23" t="s">
        <v>174</v>
      </c>
      <c r="AA700" s="23" t="s">
        <v>174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  <c r="AE700" s="24" t="str">
        <f aca="false">M700&amp;" | 고린도전서 3~4장 #"&amp;SUBSTITUTE(안내!$C$5," ","")</f>
        <v>나는 심었고 아볼로는 물을 주었으되 | 고린도전서 3~4장 #1분성경</v>
      </c>
      <c r="AF700" s="24" t="s">
        <v>304</v>
      </c>
      <c r="AG700" s="24"/>
      <c r="AH700" s="23" t="s">
        <v>290</v>
      </c>
      <c r="AI700" s="26" t="n">
        <f aca="false">U700-안내!$C$12</f>
        <v>46701</v>
      </c>
      <c r="AJ700" s="23" t="str">
        <f aca="false">IF(U700&lt;IF(C700=1,안내!$C$9,안내!$C$10)+안내!$C$12,"시즌 시작 전 제작","")</f>
        <v/>
      </c>
      <c r="AK700" s="24" t="s">
        <v>7047</v>
      </c>
      <c r="AL700" s="27"/>
      <c r="AM700" s="27"/>
      <c r="AN700" s="27"/>
      <c r="AO700" s="27"/>
      <c r="AP700" s="27"/>
      <c r="AQ700" s="23" t="str">
        <f aca="false">D700&amp;"|"&amp;TEXT(U700,"yyyy-mm-dd")</f>
        <v>신약|2027-12-08</v>
      </c>
      <c r="AR700" s="24" t="s">
        <v>7500</v>
      </c>
      <c r="AS700" s="24"/>
    </row>
    <row r="701" customFormat="false" ht="26.85" hidden="false" customHeight="false" outlineLevel="0" collapsed="false">
      <c r="A701" s="23" t="n">
        <v>700</v>
      </c>
      <c r="B701" s="31" t="s">
        <v>7501</v>
      </c>
      <c r="C701" s="23" t="n">
        <v>2</v>
      </c>
      <c r="D701" s="23" t="s">
        <v>5581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1" t="s">
        <v>7481</v>
      </c>
      <c r="H701" s="31" t="s">
        <v>7482</v>
      </c>
      <c r="I701" s="23" t="s">
        <v>7483</v>
      </c>
      <c r="J701" s="24" t="s">
        <v>7502</v>
      </c>
      <c r="K701" s="23" t="s">
        <v>1370</v>
      </c>
      <c r="L701" s="24" t="s">
        <v>7503</v>
      </c>
      <c r="M701" s="24" t="s">
        <v>7504</v>
      </c>
      <c r="N701" s="23" t="s">
        <v>7505</v>
      </c>
      <c r="O701" s="24" t="s">
        <v>7506</v>
      </c>
      <c r="P701" s="24" t="s">
        <v>7047</v>
      </c>
      <c r="Q701" s="24" t="s">
        <v>7507</v>
      </c>
      <c r="R701" s="25" t="s">
        <v>7508</v>
      </c>
      <c r="S701" s="24" t="s">
        <v>7453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174</v>
      </c>
      <c r="Y701" s="23" t="s">
        <v>174</v>
      </c>
      <c r="Z701" s="23" t="s">
        <v>174</v>
      </c>
      <c r="AA701" s="23" t="s">
        <v>174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  <c r="AE701" s="24" t="str">
        <f aca="false">M701&amp;" | 고린도전서 5~6장 #"&amp;SUBSTITUTE(안내!$C$5," ","")</f>
        <v>내 몸은 내 것일까? | 고린도전서 5~6장 #1분성경</v>
      </c>
      <c r="AF701" s="24" t="s">
        <v>304</v>
      </c>
      <c r="AG701" s="24"/>
      <c r="AH701" s="23" t="s">
        <v>176</v>
      </c>
      <c r="AI701" s="26" t="n">
        <f aca="false">U701-안내!$C$12</f>
        <v>46703</v>
      </c>
      <c r="AJ701" s="23" t="str">
        <f aca="false">IF(U701&lt;IF(C701=1,안내!$C$9,안내!$C$10)+안내!$C$12,"시즌 시작 전 제작","")</f>
        <v/>
      </c>
      <c r="AK701" s="24" t="s">
        <v>7047</v>
      </c>
      <c r="AL701" s="27"/>
      <c r="AM701" s="27"/>
      <c r="AN701" s="27"/>
      <c r="AO701" s="27"/>
      <c r="AP701" s="27"/>
      <c r="AQ701" s="23" t="str">
        <f aca="false">D701&amp;"|"&amp;TEXT(U701,"yyyy-mm-dd")</f>
        <v>신약|2027-12-10</v>
      </c>
      <c r="AR701" s="24" t="s">
        <v>7509</v>
      </c>
      <c r="AS701" s="24"/>
    </row>
    <row r="702" customFormat="false" ht="26.85" hidden="false" customHeight="false" outlineLevel="0" collapsed="false">
      <c r="A702" s="23" t="n">
        <v>701</v>
      </c>
      <c r="B702" s="31" t="s">
        <v>7510</v>
      </c>
      <c r="C702" s="23" t="n">
        <v>2</v>
      </c>
      <c r="D702" s="23" t="s">
        <v>5581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1" t="s">
        <v>7481</v>
      </c>
      <c r="H702" s="31" t="s">
        <v>7482</v>
      </c>
      <c r="I702" s="23" t="s">
        <v>7483</v>
      </c>
      <c r="J702" s="24" t="s">
        <v>7511</v>
      </c>
      <c r="K702" s="23" t="s">
        <v>1370</v>
      </c>
      <c r="L702" s="24" t="s">
        <v>7512</v>
      </c>
      <c r="M702" s="24" t="s">
        <v>7513</v>
      </c>
      <c r="N702" s="23" t="s">
        <v>7514</v>
      </c>
      <c r="O702" s="24" t="s">
        <v>7515</v>
      </c>
      <c r="P702" s="24" t="s">
        <v>7047</v>
      </c>
      <c r="Q702" s="24" t="s">
        <v>7516</v>
      </c>
      <c r="R702" s="24"/>
      <c r="S702" s="24" t="s">
        <v>7453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174</v>
      </c>
      <c r="Y702" s="23" t="s">
        <v>174</v>
      </c>
      <c r="Z702" s="23" t="s">
        <v>174</v>
      </c>
      <c r="AA702" s="23" t="s">
        <v>174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  <c r="AE702" s="24" t="str">
        <f aca="false">M702&amp;" | 고린도전서 7장 #"&amp;SUBSTITUTE(안내!$C$5," ","")</f>
        <v>결혼해야 할까 말아야 할까? | 고린도전서 7장 #1분성경</v>
      </c>
      <c r="AF702" s="24" t="s">
        <v>304</v>
      </c>
      <c r="AG702" s="24"/>
      <c r="AH702" s="23" t="s">
        <v>176</v>
      </c>
      <c r="AI702" s="26" t="n">
        <f aca="false">U702-안내!$C$12</f>
        <v>46704</v>
      </c>
      <c r="AJ702" s="23" t="str">
        <f aca="false">IF(U702&lt;IF(C702=1,안내!$C$9,안내!$C$10)+안내!$C$12,"시즌 시작 전 제작","")</f>
        <v/>
      </c>
      <c r="AK702" s="24" t="s">
        <v>7047</v>
      </c>
      <c r="AL702" s="27"/>
      <c r="AM702" s="27"/>
      <c r="AN702" s="27"/>
      <c r="AO702" s="27"/>
      <c r="AP702" s="27"/>
      <c r="AQ702" s="23" t="str">
        <f aca="false">D702&amp;"|"&amp;TEXT(U702,"yyyy-mm-dd")</f>
        <v>신약|2027-12-11</v>
      </c>
      <c r="AR702" s="24" t="s">
        <v>7517</v>
      </c>
      <c r="AS702" s="24"/>
    </row>
    <row r="703" customFormat="false" ht="26.85" hidden="false" customHeight="false" outlineLevel="0" collapsed="false">
      <c r="A703" s="23" t="n">
        <v>702</v>
      </c>
      <c r="B703" s="31" t="s">
        <v>7518</v>
      </c>
      <c r="C703" s="23" t="n">
        <v>2</v>
      </c>
      <c r="D703" s="23" t="s">
        <v>5581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1" t="s">
        <v>7481</v>
      </c>
      <c r="H703" s="31" t="s">
        <v>7482</v>
      </c>
      <c r="I703" s="23" t="s">
        <v>7483</v>
      </c>
      <c r="J703" s="24" t="s">
        <v>7519</v>
      </c>
      <c r="K703" s="23" t="s">
        <v>1370</v>
      </c>
      <c r="L703" s="24" t="s">
        <v>7520</v>
      </c>
      <c r="M703" s="24" t="s">
        <v>7521</v>
      </c>
      <c r="N703" s="23" t="s">
        <v>7522</v>
      </c>
      <c r="O703" s="24" t="s">
        <v>7523</v>
      </c>
      <c r="P703" s="24" t="s">
        <v>7047</v>
      </c>
      <c r="Q703" s="24" t="s">
        <v>7524</v>
      </c>
      <c r="R703" s="24"/>
      <c r="S703" s="24" t="s">
        <v>7453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174</v>
      </c>
      <c r="Y703" s="23" t="s">
        <v>174</v>
      </c>
      <c r="Z703" s="23" t="s">
        <v>174</v>
      </c>
      <c r="AA703" s="23" t="s">
        <v>174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  <c r="AE703" s="24" t="str">
        <f aca="false">M703&amp;" | 고린도전서 8~11장 #"&amp;SUBSTITUTE(안내!$C$5," ","")</f>
        <v>먹든지 마시든지 | 고린도전서 8~11장 #1분성경</v>
      </c>
      <c r="AF703" s="24" t="s">
        <v>304</v>
      </c>
      <c r="AG703" s="24"/>
      <c r="AH703" s="23" t="s">
        <v>290</v>
      </c>
      <c r="AI703" s="26" t="n">
        <f aca="false">U703-안내!$C$12</f>
        <v>46706</v>
      </c>
      <c r="AJ703" s="23" t="str">
        <f aca="false">IF(U703&lt;IF(C703=1,안내!$C$9,안내!$C$10)+안내!$C$12,"시즌 시작 전 제작","")</f>
        <v/>
      </c>
      <c r="AK703" s="24" t="s">
        <v>7047</v>
      </c>
      <c r="AL703" s="27"/>
      <c r="AM703" s="27"/>
      <c r="AN703" s="27"/>
      <c r="AO703" s="27"/>
      <c r="AP703" s="27"/>
      <c r="AQ703" s="23" t="str">
        <f aca="false">D703&amp;"|"&amp;TEXT(U703,"yyyy-mm-dd")</f>
        <v>신약|2027-12-13</v>
      </c>
      <c r="AR703" s="24" t="s">
        <v>7525</v>
      </c>
      <c r="AS703" s="24"/>
    </row>
    <row r="704" customFormat="false" ht="26.85" hidden="false" customHeight="false" outlineLevel="0" collapsed="false">
      <c r="A704" s="23" t="n">
        <v>703</v>
      </c>
      <c r="B704" s="31" t="s">
        <v>7526</v>
      </c>
      <c r="C704" s="23" t="n">
        <v>2</v>
      </c>
      <c r="D704" s="23" t="s">
        <v>5581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1" t="s">
        <v>7481</v>
      </c>
      <c r="H704" s="31" t="s">
        <v>7482</v>
      </c>
      <c r="I704" s="23" t="s">
        <v>7483</v>
      </c>
      <c r="J704" s="24" t="s">
        <v>7527</v>
      </c>
      <c r="K704" s="23" t="s">
        <v>1370</v>
      </c>
      <c r="L704" s="24" t="s">
        <v>7528</v>
      </c>
      <c r="M704" s="24" t="s">
        <v>7529</v>
      </c>
      <c r="N704" s="23" t="s">
        <v>7530</v>
      </c>
      <c r="O704" s="24" t="s">
        <v>7531</v>
      </c>
      <c r="P704" s="24" t="s">
        <v>7532</v>
      </c>
      <c r="Q704" s="24" t="s">
        <v>7533</v>
      </c>
      <c r="R704" s="25" t="s">
        <v>7534</v>
      </c>
      <c r="S704" s="24" t="s">
        <v>7453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174</v>
      </c>
      <c r="Y704" s="23" t="s">
        <v>174</v>
      </c>
      <c r="Z704" s="23" t="s">
        <v>174</v>
      </c>
      <c r="AA704" s="23" t="s">
        <v>174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  <c r="AE704" s="24" t="str">
        <f aca="false">M704&amp;" | 고린도전서 11장 #"&amp;SUBSTITUTE(안내!$C$5," ","")</f>
        <v>떡과 잔을 받을 때마다 기억할 것 | 고린도전서 11장 #1분성경</v>
      </c>
      <c r="AF704" s="24" t="s">
        <v>304</v>
      </c>
      <c r="AG704" s="24"/>
      <c r="AH704" s="23" t="s">
        <v>290</v>
      </c>
      <c r="AI704" s="26" t="n">
        <f aca="false">U704-안내!$C$12</f>
        <v>46708</v>
      </c>
      <c r="AJ704" s="23" t="str">
        <f aca="false">IF(U704&lt;IF(C704=1,안내!$C$9,안내!$C$10)+안내!$C$12,"시즌 시작 전 제작","")</f>
        <v/>
      </c>
      <c r="AK704" s="24" t="s">
        <v>7047</v>
      </c>
      <c r="AL704" s="27"/>
      <c r="AM704" s="27"/>
      <c r="AN704" s="27"/>
      <c r="AO704" s="27"/>
      <c r="AP704" s="27"/>
      <c r="AQ704" s="23" t="str">
        <f aca="false">D704&amp;"|"&amp;TEXT(U704,"yyyy-mm-dd")</f>
        <v>신약|2027-12-15</v>
      </c>
      <c r="AR704" s="24" t="s">
        <v>7535</v>
      </c>
      <c r="AS704" s="24"/>
    </row>
    <row r="705" customFormat="false" ht="26.85" hidden="false" customHeight="false" outlineLevel="0" collapsed="false">
      <c r="A705" s="23" t="n">
        <v>704</v>
      </c>
      <c r="B705" s="31" t="s">
        <v>7536</v>
      </c>
      <c r="C705" s="23" t="n">
        <v>2</v>
      </c>
      <c r="D705" s="23" t="s">
        <v>5581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1" t="s">
        <v>7481</v>
      </c>
      <c r="H705" s="31" t="s">
        <v>7482</v>
      </c>
      <c r="I705" s="23" t="s">
        <v>7483</v>
      </c>
      <c r="J705" s="24" t="s">
        <v>7537</v>
      </c>
      <c r="K705" s="23" t="s">
        <v>1370</v>
      </c>
      <c r="L705" s="24" t="s">
        <v>7538</v>
      </c>
      <c r="M705" s="24" t="s">
        <v>7539</v>
      </c>
      <c r="N705" s="23" t="s">
        <v>7540</v>
      </c>
      <c r="O705" s="24" t="s">
        <v>7541</v>
      </c>
      <c r="P705" s="24" t="s">
        <v>7047</v>
      </c>
      <c r="Q705" s="24" t="s">
        <v>7542</v>
      </c>
      <c r="R705" s="25" t="s">
        <v>7543</v>
      </c>
      <c r="S705" s="24" t="s">
        <v>7453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174</v>
      </c>
      <c r="Y705" s="23" t="s">
        <v>174</v>
      </c>
      <c r="Z705" s="23" t="s">
        <v>174</v>
      </c>
      <c r="AA705" s="23" t="s">
        <v>174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  <c r="AE705" s="24" t="str">
        <f aca="false">M705&amp;" | 고린도전서 12장 #"&amp;SUBSTITUTE(안내!$C$5," ","")</f>
        <v>눈이 손에게 너는 쓸데없다고 할 수 있을까? | 고린도전서 12장 #1분성경</v>
      </c>
      <c r="AF705" s="24" t="s">
        <v>304</v>
      </c>
      <c r="AG705" s="24"/>
      <c r="AH705" s="23" t="s">
        <v>176</v>
      </c>
      <c r="AI705" s="26" t="n">
        <f aca="false">U705-안내!$C$12</f>
        <v>46710</v>
      </c>
      <c r="AJ705" s="23" t="str">
        <f aca="false">IF(U705&lt;IF(C705=1,안내!$C$9,안내!$C$10)+안내!$C$12,"시즌 시작 전 제작","")</f>
        <v/>
      </c>
      <c r="AK705" s="24" t="s">
        <v>7047</v>
      </c>
      <c r="AL705" s="27"/>
      <c r="AM705" s="27"/>
      <c r="AN705" s="27"/>
      <c r="AO705" s="27"/>
      <c r="AP705" s="27"/>
      <c r="AQ705" s="23" t="str">
        <f aca="false">D705&amp;"|"&amp;TEXT(U705,"yyyy-mm-dd")</f>
        <v>신약|2027-12-17</v>
      </c>
      <c r="AR705" s="24" t="s">
        <v>7541</v>
      </c>
      <c r="AS705" s="24"/>
    </row>
    <row r="706" customFormat="false" ht="52.2" hidden="false" customHeight="false" outlineLevel="0" collapsed="false">
      <c r="A706" s="23" t="n">
        <v>705</v>
      </c>
      <c r="B706" s="31" t="s">
        <v>7544</v>
      </c>
      <c r="C706" s="20" t="n">
        <v>1</v>
      </c>
      <c r="D706" s="20" t="s">
        <v>5581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1" t="s">
        <v>7481</v>
      </c>
      <c r="H706" s="31" t="s">
        <v>7314</v>
      </c>
      <c r="I706" s="23" t="s">
        <v>7483</v>
      </c>
      <c r="J706" s="24" t="s">
        <v>7545</v>
      </c>
      <c r="K706" s="23" t="s">
        <v>1370</v>
      </c>
      <c r="L706" s="24" t="s">
        <v>7546</v>
      </c>
      <c r="M706" s="24" t="s">
        <v>7547</v>
      </c>
      <c r="N706" s="23" t="s">
        <v>7548</v>
      </c>
      <c r="O706" s="24" t="s">
        <v>7549</v>
      </c>
      <c r="P706" s="24" t="s">
        <v>7047</v>
      </c>
      <c r="Q706" s="24" t="s">
        <v>7550</v>
      </c>
      <c r="R706" s="25" t="s">
        <v>7551</v>
      </c>
      <c r="S706" s="29" t="s">
        <v>7552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174</v>
      </c>
      <c r="Y706" s="23" t="s">
        <v>174</v>
      </c>
      <c r="Z706" s="23" t="s">
        <v>174</v>
      </c>
      <c r="AA706" s="23" t="s">
        <v>174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  <c r="AE706" s="24" t="str">
        <f aca="false">M706&amp;" | 고린도전서 13장 #"&amp;SUBSTITUTE(안내!$C$5," ","")</f>
        <v>사랑이 없으면 아무것도 아니다 | 고린도전서 13장 #1분성경</v>
      </c>
      <c r="AF706" s="24" t="s">
        <v>7553</v>
      </c>
      <c r="AG706" s="24"/>
      <c r="AH706" s="23" t="s">
        <v>290</v>
      </c>
      <c r="AI706" s="26" t="n">
        <f aca="false">U706-안내!$C$12</f>
        <v>46524</v>
      </c>
      <c r="AJ706" s="23" t="str">
        <f aca="false">IF(U706&lt;IF(C706=1,안내!$C$9,안내!$C$10)+안내!$C$12,"시즌 시작 전 제작","")</f>
        <v/>
      </c>
      <c r="AK706" s="24" t="s">
        <v>7047</v>
      </c>
      <c r="AL706" s="27"/>
      <c r="AM706" s="27"/>
      <c r="AN706" s="27"/>
      <c r="AO706" s="27"/>
      <c r="AP706" s="27"/>
      <c r="AQ706" s="23" t="str">
        <f aca="false">D706&amp;"|"&amp;TEXT(U706,"yyyy-mm-dd")</f>
        <v>신약|2027-06-14</v>
      </c>
      <c r="AR706" s="24" t="s">
        <v>7554</v>
      </c>
      <c r="AS706" s="24"/>
    </row>
    <row r="707" customFormat="false" ht="26.85" hidden="false" customHeight="false" outlineLevel="0" collapsed="false">
      <c r="A707" s="23" t="n">
        <v>706</v>
      </c>
      <c r="B707" s="31" t="s">
        <v>7555</v>
      </c>
      <c r="C707" s="23" t="n">
        <v>2</v>
      </c>
      <c r="D707" s="23" t="s">
        <v>5581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1" t="s">
        <v>7481</v>
      </c>
      <c r="H707" s="31" t="s">
        <v>7482</v>
      </c>
      <c r="I707" s="23" t="s">
        <v>7483</v>
      </c>
      <c r="J707" s="24" t="s">
        <v>7556</v>
      </c>
      <c r="K707" s="23" t="s">
        <v>1370</v>
      </c>
      <c r="L707" s="24" t="s">
        <v>7557</v>
      </c>
      <c r="M707" s="24" t="s">
        <v>7558</v>
      </c>
      <c r="N707" s="23" t="s">
        <v>7559</v>
      </c>
      <c r="O707" s="24" t="s">
        <v>7560</v>
      </c>
      <c r="P707" s="24" t="s">
        <v>7047</v>
      </c>
      <c r="Q707" s="24" t="s">
        <v>7561</v>
      </c>
      <c r="R707" s="25" t="s">
        <v>7562</v>
      </c>
      <c r="S707" s="24" t="s">
        <v>7563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174</v>
      </c>
      <c r="Y707" s="23" t="s">
        <v>174</v>
      </c>
      <c r="Z707" s="23" t="s">
        <v>174</v>
      </c>
      <c r="AA707" s="23" t="s">
        <v>174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  <c r="AE707" s="24" t="str">
        <f aca="false">M707&amp;" | 고린도전서 14장 #"&amp;SUBSTITUTE(안내!$C$5," ","")</f>
        <v>예배는 왜 질서가 있어야 할까? | 고린도전서 14장 #1분성경</v>
      </c>
      <c r="AF707" s="24" t="s">
        <v>304</v>
      </c>
      <c r="AG707" s="24"/>
      <c r="AH707" s="23" t="s">
        <v>176</v>
      </c>
      <c r="AI707" s="26" t="n">
        <f aca="false">U707-안내!$C$12</f>
        <v>46711</v>
      </c>
      <c r="AJ707" s="23" t="str">
        <f aca="false">IF(U707&lt;IF(C707=1,안내!$C$9,안내!$C$10)+안내!$C$12,"시즌 시작 전 제작","")</f>
        <v/>
      </c>
      <c r="AK707" s="24" t="s">
        <v>7047</v>
      </c>
      <c r="AL707" s="27"/>
      <c r="AM707" s="27"/>
      <c r="AN707" s="27"/>
      <c r="AO707" s="27"/>
      <c r="AP707" s="27"/>
      <c r="AQ707" s="23" t="str">
        <f aca="false">D707&amp;"|"&amp;TEXT(U707,"yyyy-mm-dd")</f>
        <v>신약|2027-12-18</v>
      </c>
      <c r="AR707" s="24" t="s">
        <v>7564</v>
      </c>
      <c r="AS707" s="24"/>
    </row>
    <row r="708" customFormat="false" ht="39.55" hidden="false" customHeight="false" outlineLevel="0" collapsed="false">
      <c r="A708" s="23" t="n">
        <v>707</v>
      </c>
      <c r="B708" s="31" t="s">
        <v>7565</v>
      </c>
      <c r="C708" s="20" t="n">
        <v>1</v>
      </c>
      <c r="D708" s="20" t="s">
        <v>5581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1" t="s">
        <v>7481</v>
      </c>
      <c r="H708" s="31" t="s">
        <v>7314</v>
      </c>
      <c r="I708" s="23" t="s">
        <v>7483</v>
      </c>
      <c r="J708" s="24" t="s">
        <v>7566</v>
      </c>
      <c r="K708" s="23" t="s">
        <v>1370</v>
      </c>
      <c r="L708" s="24" t="s">
        <v>7567</v>
      </c>
      <c r="M708" s="24" t="s">
        <v>7568</v>
      </c>
      <c r="N708" s="23" t="s">
        <v>7569</v>
      </c>
      <c r="O708" s="24" t="s">
        <v>7570</v>
      </c>
      <c r="P708" s="24" t="s">
        <v>7571</v>
      </c>
      <c r="Q708" s="24" t="s">
        <v>7572</v>
      </c>
      <c r="R708" s="25" t="s">
        <v>7573</v>
      </c>
      <c r="S708" s="29" t="s">
        <v>7574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174</v>
      </c>
      <c r="Y708" s="23" t="s">
        <v>174</v>
      </c>
      <c r="Z708" s="23" t="s">
        <v>174</v>
      </c>
      <c r="AA708" s="23" t="s">
        <v>174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  <c r="AE708" s="24" t="str">
        <f aca="false">M708&amp;" | 고린도전서 15~16장 #"&amp;SUBSTITUTE(안내!$C$5," ","")</f>
        <v>예수님이 다시 살지 않으셨다면? | 고린도전서 15~16장 #1분성경</v>
      </c>
      <c r="AF708" s="24" t="s">
        <v>7575</v>
      </c>
      <c r="AG708" s="24"/>
      <c r="AH708" s="23" t="s">
        <v>176</v>
      </c>
      <c r="AI708" s="26" t="n">
        <f aca="false">U708-안내!$C$12</f>
        <v>46526</v>
      </c>
      <c r="AJ708" s="23" t="str">
        <f aca="false">IF(U708&lt;IF(C708=1,안내!$C$9,안내!$C$10)+안내!$C$12,"시즌 시작 전 제작","")</f>
        <v/>
      </c>
      <c r="AK708" s="24" t="s">
        <v>7047</v>
      </c>
      <c r="AL708" s="27"/>
      <c r="AM708" s="27"/>
      <c r="AN708" s="27"/>
      <c r="AO708" s="27"/>
      <c r="AP708" s="27"/>
      <c r="AQ708" s="23" t="str">
        <f aca="false">D708&amp;"|"&amp;TEXT(U708,"yyyy-mm-dd")</f>
        <v>신약|2027-06-16</v>
      </c>
      <c r="AR708" s="24" t="s">
        <v>7576</v>
      </c>
      <c r="AS708" s="24"/>
    </row>
    <row r="709" customFormat="false" ht="26.85" hidden="false" customHeight="false" outlineLevel="0" collapsed="false">
      <c r="A709" s="23" t="n">
        <v>708</v>
      </c>
      <c r="B709" s="31" t="s">
        <v>7577</v>
      </c>
      <c r="C709" s="23" t="n">
        <v>2</v>
      </c>
      <c r="D709" s="23" t="s">
        <v>5581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1" t="s">
        <v>7578</v>
      </c>
      <c r="H709" s="31" t="s">
        <v>7579</v>
      </c>
      <c r="I709" s="23" t="s">
        <v>7580</v>
      </c>
      <c r="J709" s="24" t="s">
        <v>7581</v>
      </c>
      <c r="K709" s="23" t="s">
        <v>1370</v>
      </c>
      <c r="L709" s="24" t="s">
        <v>7582</v>
      </c>
      <c r="M709" s="24" t="s">
        <v>7583</v>
      </c>
      <c r="N709" s="23" t="s">
        <v>7584</v>
      </c>
      <c r="O709" s="24" t="s">
        <v>7585</v>
      </c>
      <c r="P709" s="24" t="s">
        <v>7047</v>
      </c>
      <c r="Q709" s="24" t="s">
        <v>7586</v>
      </c>
      <c r="R709" s="24"/>
      <c r="S709" s="24" t="s">
        <v>7587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174</v>
      </c>
      <c r="Y709" s="23" t="s">
        <v>174</v>
      </c>
      <c r="Z709" s="23" t="s">
        <v>174</v>
      </c>
      <c r="AA709" s="23" t="s">
        <v>174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  <c r="AE709" s="24" t="str">
        <f aca="false">M709&amp;" | 고린도후서 1~2장 #"&amp;SUBSTITUTE(안내!$C$5," ","")</f>
        <v>위로받은 사람이 위로할 수 있다 | 고린도후서 1~2장 #1분성경</v>
      </c>
      <c r="AF709" s="24" t="s">
        <v>304</v>
      </c>
      <c r="AG709" s="24"/>
      <c r="AH709" s="23" t="s">
        <v>290</v>
      </c>
      <c r="AI709" s="26" t="n">
        <f aca="false">U709-안내!$C$12</f>
        <v>46713</v>
      </c>
      <c r="AJ709" s="23" t="str">
        <f aca="false">IF(U709&lt;IF(C709=1,안내!$C$9,안내!$C$10)+안내!$C$12,"시즌 시작 전 제작","")</f>
        <v/>
      </c>
      <c r="AK709" s="24" t="s">
        <v>7047</v>
      </c>
      <c r="AL709" s="27"/>
      <c r="AM709" s="27"/>
      <c r="AN709" s="27"/>
      <c r="AO709" s="27"/>
      <c r="AP709" s="27"/>
      <c r="AQ709" s="23" t="str">
        <f aca="false">D709&amp;"|"&amp;TEXT(U709,"yyyy-mm-dd")</f>
        <v>신약|2027-12-20</v>
      </c>
      <c r="AR709" s="24" t="s">
        <v>7588</v>
      </c>
      <c r="AS709" s="24"/>
    </row>
    <row r="710" customFormat="false" ht="26.85" hidden="false" customHeight="false" outlineLevel="0" collapsed="false">
      <c r="A710" s="23" t="n">
        <v>709</v>
      </c>
      <c r="B710" s="31" t="s">
        <v>7589</v>
      </c>
      <c r="C710" s="23" t="n">
        <v>2</v>
      </c>
      <c r="D710" s="23" t="s">
        <v>5581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1" t="s">
        <v>7578</v>
      </c>
      <c r="H710" s="31" t="s">
        <v>7579</v>
      </c>
      <c r="I710" s="23" t="s">
        <v>7580</v>
      </c>
      <c r="J710" s="24" t="s">
        <v>7590</v>
      </c>
      <c r="K710" s="23" t="s">
        <v>1370</v>
      </c>
      <c r="L710" s="24" t="s">
        <v>7591</v>
      </c>
      <c r="M710" s="24" t="s">
        <v>7592</v>
      </c>
      <c r="N710" s="23" t="s">
        <v>7593</v>
      </c>
      <c r="O710" s="24" t="s">
        <v>7594</v>
      </c>
      <c r="P710" s="24" t="s">
        <v>7047</v>
      </c>
      <c r="Q710" s="24" t="s">
        <v>7595</v>
      </c>
      <c r="R710" s="24"/>
      <c r="S710" s="24" t="s">
        <v>7587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174</v>
      </c>
      <c r="Y710" s="23" t="s">
        <v>174</v>
      </c>
      <c r="Z710" s="23" t="s">
        <v>174</v>
      </c>
      <c r="AA710" s="23" t="s">
        <v>174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  <c r="AE710" s="24" t="str">
        <f aca="false">M710&amp;" | 고린도후서 3~4장 #"&amp;SUBSTITUTE(안내!$C$5," ","")</f>
        <v>깨지기 쉬운 그릇에 담긴 보물 | 고린도후서 3~4장 #1분성경</v>
      </c>
      <c r="AF710" s="24" t="s">
        <v>304</v>
      </c>
      <c r="AG710" s="24"/>
      <c r="AH710" s="23" t="s">
        <v>290</v>
      </c>
      <c r="AI710" s="26" t="n">
        <f aca="false">U710-안내!$C$12</f>
        <v>46715</v>
      </c>
      <c r="AJ710" s="23" t="str">
        <f aca="false">IF(U710&lt;IF(C710=1,안내!$C$9,안내!$C$10)+안내!$C$12,"시즌 시작 전 제작","")</f>
        <v/>
      </c>
      <c r="AK710" s="24" t="s">
        <v>7047</v>
      </c>
      <c r="AL710" s="27"/>
      <c r="AM710" s="27"/>
      <c r="AN710" s="27"/>
      <c r="AO710" s="27"/>
      <c r="AP710" s="27"/>
      <c r="AQ710" s="23" t="str">
        <f aca="false">D710&amp;"|"&amp;TEXT(U710,"yyyy-mm-dd")</f>
        <v>신약|2027-12-22</v>
      </c>
      <c r="AR710" s="24" t="s">
        <v>7596</v>
      </c>
      <c r="AS710" s="24"/>
    </row>
    <row r="711" customFormat="false" ht="26.85" hidden="false" customHeight="false" outlineLevel="0" collapsed="false">
      <c r="A711" s="23" t="n">
        <v>710</v>
      </c>
      <c r="B711" s="31" t="s">
        <v>7597</v>
      </c>
      <c r="C711" s="23" t="n">
        <v>2</v>
      </c>
      <c r="D711" s="23" t="s">
        <v>5581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1" t="s">
        <v>7578</v>
      </c>
      <c r="H711" s="31" t="s">
        <v>7579</v>
      </c>
      <c r="I711" s="23" t="s">
        <v>7580</v>
      </c>
      <c r="J711" s="24" t="s">
        <v>7598</v>
      </c>
      <c r="K711" s="23" t="s">
        <v>1370</v>
      </c>
      <c r="L711" s="24" t="s">
        <v>7599</v>
      </c>
      <c r="M711" s="24" t="s">
        <v>7600</v>
      </c>
      <c r="N711" s="23" t="s">
        <v>7601</v>
      </c>
      <c r="O711" s="24" t="s">
        <v>7602</v>
      </c>
      <c r="P711" s="24" t="s">
        <v>7047</v>
      </c>
      <c r="Q711" s="24" t="s">
        <v>7603</v>
      </c>
      <c r="R711" s="24"/>
      <c r="S711" s="24" t="s">
        <v>7587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174</v>
      </c>
      <c r="Y711" s="23" t="s">
        <v>174</v>
      </c>
      <c r="Z711" s="23" t="s">
        <v>174</v>
      </c>
      <c r="AA711" s="23" t="s">
        <v>174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  <c r="AE711" s="24" t="str">
        <f aca="false">M711&amp;" | 고린도후서 5장 #"&amp;SUBSTITUTE(안내!$C$5," ","")</f>
        <v>그리스도 안에 있으면 | 고린도후서 5장 #1분성경</v>
      </c>
      <c r="AF711" s="24" t="s">
        <v>304</v>
      </c>
      <c r="AG711" s="24"/>
      <c r="AH711" s="23" t="s">
        <v>290</v>
      </c>
      <c r="AI711" s="26" t="n">
        <f aca="false">U711-안내!$C$12</f>
        <v>46717</v>
      </c>
      <c r="AJ711" s="23" t="str">
        <f aca="false">IF(U711&lt;IF(C711=1,안내!$C$9,안내!$C$10)+안내!$C$12,"시즌 시작 전 제작","")</f>
        <v/>
      </c>
      <c r="AK711" s="24" t="s">
        <v>7047</v>
      </c>
      <c r="AL711" s="27"/>
      <c r="AM711" s="27"/>
      <c r="AN711" s="27"/>
      <c r="AO711" s="27"/>
      <c r="AP711" s="27"/>
      <c r="AQ711" s="23" t="str">
        <f aca="false">D711&amp;"|"&amp;TEXT(U711,"yyyy-mm-dd")</f>
        <v>신약|2027-12-24</v>
      </c>
      <c r="AR711" s="24" t="s">
        <v>7604</v>
      </c>
      <c r="AS711" s="24"/>
    </row>
    <row r="712" customFormat="false" ht="26.85" hidden="false" customHeight="false" outlineLevel="0" collapsed="false">
      <c r="A712" s="23" t="n">
        <v>711</v>
      </c>
      <c r="B712" s="31" t="s">
        <v>7605</v>
      </c>
      <c r="C712" s="23" t="n">
        <v>2</v>
      </c>
      <c r="D712" s="23" t="s">
        <v>5581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1" t="s">
        <v>7578</v>
      </c>
      <c r="H712" s="31" t="s">
        <v>7579</v>
      </c>
      <c r="I712" s="23" t="s">
        <v>7580</v>
      </c>
      <c r="J712" s="24" t="s">
        <v>7606</v>
      </c>
      <c r="K712" s="23" t="s">
        <v>1370</v>
      </c>
      <c r="L712" s="24" t="s">
        <v>7607</v>
      </c>
      <c r="M712" s="24" t="s">
        <v>7608</v>
      </c>
      <c r="N712" s="23" t="s">
        <v>7609</v>
      </c>
      <c r="O712" s="24" t="s">
        <v>7610</v>
      </c>
      <c r="P712" s="24" t="s">
        <v>7047</v>
      </c>
      <c r="Q712" s="24" t="s">
        <v>7611</v>
      </c>
      <c r="R712" s="24"/>
      <c r="S712" s="24" t="s">
        <v>7587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174</v>
      </c>
      <c r="Y712" s="23" t="s">
        <v>174</v>
      </c>
      <c r="Z712" s="23" t="s">
        <v>174</v>
      </c>
      <c r="AA712" s="23" t="s">
        <v>174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  <c r="AE712" s="24" t="str">
        <f aca="false">M712&amp;" | 고린도후서 6~7장 #"&amp;SUBSTITUTE(안내!$C$5," ","")</f>
        <v>내일이 아니라 오늘 | 고린도후서 6~7장 #1분성경</v>
      </c>
      <c r="AF712" s="24" t="s">
        <v>304</v>
      </c>
      <c r="AG712" s="24"/>
      <c r="AH712" s="23" t="s">
        <v>290</v>
      </c>
      <c r="AI712" s="26" t="n">
        <f aca="false">U712-안내!$C$12</f>
        <v>46718</v>
      </c>
      <c r="AJ712" s="23" t="str">
        <f aca="false">IF(U712&lt;IF(C712=1,안내!$C$9,안내!$C$10)+안내!$C$12,"시즌 시작 전 제작","")</f>
        <v/>
      </c>
      <c r="AK712" s="24" t="s">
        <v>7047</v>
      </c>
      <c r="AL712" s="27"/>
      <c r="AM712" s="27"/>
      <c r="AN712" s="27"/>
      <c r="AO712" s="27"/>
      <c r="AP712" s="27"/>
      <c r="AQ712" s="23" t="str">
        <f aca="false">D712&amp;"|"&amp;TEXT(U712,"yyyy-mm-dd")</f>
        <v>신약|2027-12-25</v>
      </c>
      <c r="AR712" s="24" t="s">
        <v>7612</v>
      </c>
      <c r="AS712" s="24"/>
    </row>
    <row r="713" customFormat="false" ht="26.85" hidden="false" customHeight="false" outlineLevel="0" collapsed="false">
      <c r="A713" s="23" t="n">
        <v>712</v>
      </c>
      <c r="B713" s="31" t="s">
        <v>7613</v>
      </c>
      <c r="C713" s="23" t="n">
        <v>2</v>
      </c>
      <c r="D713" s="23" t="s">
        <v>5581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1" t="s">
        <v>7578</v>
      </c>
      <c r="H713" s="31" t="s">
        <v>7579</v>
      </c>
      <c r="I713" s="23" t="s">
        <v>7580</v>
      </c>
      <c r="J713" s="24" t="s">
        <v>7614</v>
      </c>
      <c r="K713" s="23" t="s">
        <v>1370</v>
      </c>
      <c r="L713" s="24" t="s">
        <v>7615</v>
      </c>
      <c r="M713" s="24" t="s">
        <v>7616</v>
      </c>
      <c r="N713" s="23" t="s">
        <v>7617</v>
      </c>
      <c r="O713" s="24" t="s">
        <v>7618</v>
      </c>
      <c r="P713" s="24" t="s">
        <v>7619</v>
      </c>
      <c r="Q713" s="24" t="s">
        <v>7620</v>
      </c>
      <c r="R713" s="25" t="s">
        <v>7621</v>
      </c>
      <c r="S713" s="24" t="s">
        <v>7587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174</v>
      </c>
      <c r="Y713" s="23" t="s">
        <v>174</v>
      </c>
      <c r="Z713" s="23" t="s">
        <v>174</v>
      </c>
      <c r="AA713" s="23" t="s">
        <v>174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  <c r="AE713" s="24" t="str">
        <f aca="false">M713&amp;" | 고린도후서 8~9장 #"&amp;SUBSTITUTE(안내!$C$5," ","")</f>
        <v>가난한 교회가 더 많이 드렸다 | 고린도후서 8~9장 #1분성경</v>
      </c>
      <c r="AF713" s="24" t="s">
        <v>304</v>
      </c>
      <c r="AG713" s="24"/>
      <c r="AH713" s="23" t="s">
        <v>290</v>
      </c>
      <c r="AI713" s="26" t="n">
        <f aca="false">U713-안내!$C$12</f>
        <v>46720</v>
      </c>
      <c r="AJ713" s="23" t="str">
        <f aca="false">IF(U713&lt;IF(C713=1,안내!$C$9,안내!$C$10)+안내!$C$12,"시즌 시작 전 제작","")</f>
        <v/>
      </c>
      <c r="AK713" s="24" t="s">
        <v>7047</v>
      </c>
      <c r="AL713" s="27"/>
      <c r="AM713" s="27"/>
      <c r="AN713" s="27"/>
      <c r="AO713" s="27"/>
      <c r="AP713" s="27"/>
      <c r="AQ713" s="23" t="str">
        <f aca="false">D713&amp;"|"&amp;TEXT(U713,"yyyy-mm-dd")</f>
        <v>신약|2027-12-27</v>
      </c>
      <c r="AR713" s="24" t="s">
        <v>7622</v>
      </c>
      <c r="AS713" s="24"/>
    </row>
    <row r="714" customFormat="false" ht="52.2" hidden="false" customHeight="false" outlineLevel="0" collapsed="false">
      <c r="A714" s="23" t="n">
        <v>713</v>
      </c>
      <c r="B714" s="31" t="s">
        <v>7623</v>
      </c>
      <c r="C714" s="23" t="n">
        <v>2</v>
      </c>
      <c r="D714" s="23" t="s">
        <v>5581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1" t="s">
        <v>7578</v>
      </c>
      <c r="H714" s="31" t="s">
        <v>7579</v>
      </c>
      <c r="I714" s="23" t="s">
        <v>7580</v>
      </c>
      <c r="J714" s="24" t="s">
        <v>7624</v>
      </c>
      <c r="K714" s="23" t="s">
        <v>1370</v>
      </c>
      <c r="L714" s="24" t="s">
        <v>7625</v>
      </c>
      <c r="M714" s="24" t="s">
        <v>7626</v>
      </c>
      <c r="N714" s="23" t="s">
        <v>7627</v>
      </c>
      <c r="O714" s="24" t="s">
        <v>7628</v>
      </c>
      <c r="P714" s="24" t="s">
        <v>7047</v>
      </c>
      <c r="Q714" s="24" t="s">
        <v>7629</v>
      </c>
      <c r="R714" s="24"/>
      <c r="S714" s="24" t="s">
        <v>7587</v>
      </c>
      <c r="T714" s="24" t="str">
        <f aca="false">"["&amp;안내!$C$5&amp;" "&amp;F714&amp;"] "&amp;L714&amp;" | "&amp;J714</f>
        <v>[1분 성경 신약 #202] 내 은혜가 네게 족하도다 | 고후 10:1-13:13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174</v>
      </c>
      <c r="Y714" s="23" t="s">
        <v>174</v>
      </c>
      <c r="Z714" s="23" t="s">
        <v>174</v>
      </c>
      <c r="AA714" s="23" t="s">
        <v>174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  <c r="AE714" s="24" t="str">
        <f aca="false">M714&amp;" | 고린도후서 10~13장 #"&amp;SUBSTITUTE(안내!$C$5," ","")</f>
        <v>세 번 기도해도 사라지지 않은 가시 | 고린도후서 10~13장 #1분성경</v>
      </c>
      <c r="AF714" s="24" t="s">
        <v>304</v>
      </c>
      <c r="AG714" s="24"/>
      <c r="AH714" s="23" t="s">
        <v>290</v>
      </c>
      <c r="AI714" s="26" t="n">
        <f aca="false">U714-안내!$C$12</f>
        <v>46722</v>
      </c>
      <c r="AJ714" s="23" t="str">
        <f aca="false">IF(U714&lt;IF(C714=1,안내!$C$9,안내!$C$10)+안내!$C$12,"시즌 시작 전 제작","")</f>
        <v/>
      </c>
      <c r="AK714" s="24" t="s">
        <v>7047</v>
      </c>
      <c r="AL714" s="27"/>
      <c r="AM714" s="27"/>
      <c r="AN714" s="27"/>
      <c r="AO714" s="27"/>
      <c r="AP714" s="27"/>
      <c r="AQ714" s="23" t="str">
        <f aca="false">D714&amp;"|"&amp;TEXT(U714,"yyyy-mm-dd")</f>
        <v>신약|2027-12-29</v>
      </c>
      <c r="AR714" s="24" t="s">
        <v>7630</v>
      </c>
      <c r="AS714" s="24" t="s">
        <v>292</v>
      </c>
    </row>
    <row r="715" customFormat="false" ht="52.2" hidden="false" customHeight="false" outlineLevel="0" collapsed="false">
      <c r="A715" s="23" t="n">
        <v>714</v>
      </c>
      <c r="B715" s="31" t="s">
        <v>7631</v>
      </c>
      <c r="C715" s="23" t="n">
        <v>2</v>
      </c>
      <c r="D715" s="23" t="s">
        <v>5581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1" t="s">
        <v>7578</v>
      </c>
      <c r="H715" s="31" t="s">
        <v>7579</v>
      </c>
      <c r="I715" s="23" t="s">
        <v>7632</v>
      </c>
      <c r="J715" s="24" t="s">
        <v>7633</v>
      </c>
      <c r="K715" s="23" t="s">
        <v>1370</v>
      </c>
      <c r="L715" s="24" t="s">
        <v>7634</v>
      </c>
      <c r="M715" s="24" t="s">
        <v>7635</v>
      </c>
      <c r="N715" s="23" t="s">
        <v>7636</v>
      </c>
      <c r="O715" s="24" t="s">
        <v>7637</v>
      </c>
      <c r="P715" s="24" t="s">
        <v>7638</v>
      </c>
      <c r="Q715" s="24" t="s">
        <v>7639</v>
      </c>
      <c r="R715" s="28" t="s">
        <v>7640</v>
      </c>
      <c r="S715" s="24" t="s">
        <v>7587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174</v>
      </c>
      <c r="Y715" s="23" t="s">
        <v>174</v>
      </c>
      <c r="Z715" s="23" t="s">
        <v>174</v>
      </c>
      <c r="AA715" s="23" t="s">
        <v>174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  <c r="AE715" s="24" t="str">
        <f aca="false">M715&amp;" | 갈라디아서 1~2장 #"&amp;SUBSTITUTE(안내!$C$5," ","")</f>
        <v>하늘의 천사라도 다른 복음을 전하면 | 갈라디아서 1~2장 #1분성경</v>
      </c>
      <c r="AF715" s="24" t="s">
        <v>304</v>
      </c>
      <c r="AG715" s="24"/>
      <c r="AH715" s="23" t="s">
        <v>290</v>
      </c>
      <c r="AI715" s="26" t="n">
        <f aca="false">U715-안내!$C$12</f>
        <v>46724</v>
      </c>
      <c r="AJ715" s="23" t="str">
        <f aca="false">IF(U715&lt;IF(C715=1,안내!$C$9,안내!$C$10)+안내!$C$12,"시즌 시작 전 제작","")</f>
        <v/>
      </c>
      <c r="AK715" s="24" t="s">
        <v>7181</v>
      </c>
      <c r="AL715" s="27"/>
      <c r="AM715" s="27"/>
      <c r="AN715" s="27"/>
      <c r="AO715" s="27"/>
      <c r="AP715" s="27"/>
      <c r="AQ715" s="23" t="str">
        <f aca="false">D715&amp;"|"&amp;TEXT(U715,"yyyy-mm-dd")</f>
        <v>신약|2027-12-31</v>
      </c>
      <c r="AR715" s="24" t="s">
        <v>7641</v>
      </c>
      <c r="AS715" s="24"/>
    </row>
    <row r="716" customFormat="false" ht="39.55" hidden="false" customHeight="false" outlineLevel="0" collapsed="false">
      <c r="A716" s="23" t="n">
        <v>715</v>
      </c>
      <c r="B716" s="31" t="s">
        <v>7642</v>
      </c>
      <c r="C716" s="23" t="n">
        <v>2</v>
      </c>
      <c r="D716" s="23" t="s">
        <v>5581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1" t="s">
        <v>7578</v>
      </c>
      <c r="H716" s="31" t="s">
        <v>7579</v>
      </c>
      <c r="I716" s="23" t="s">
        <v>7632</v>
      </c>
      <c r="J716" s="24" t="s">
        <v>7643</v>
      </c>
      <c r="K716" s="23" t="s">
        <v>1370</v>
      </c>
      <c r="L716" s="24" t="s">
        <v>7644</v>
      </c>
      <c r="M716" s="24" t="s">
        <v>7645</v>
      </c>
      <c r="N716" s="23" t="s">
        <v>7646</v>
      </c>
      <c r="O716" s="24" t="s">
        <v>7647</v>
      </c>
      <c r="P716" s="24" t="s">
        <v>7047</v>
      </c>
      <c r="Q716" s="24" t="s">
        <v>7648</v>
      </c>
      <c r="R716" s="25" t="s">
        <v>7649</v>
      </c>
      <c r="S716" s="24" t="s">
        <v>7587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174</v>
      </c>
      <c r="Y716" s="23" t="s">
        <v>174</v>
      </c>
      <c r="Z716" s="23" t="s">
        <v>174</v>
      </c>
      <c r="AA716" s="23" t="s">
        <v>174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  <c r="AE716" s="24" t="str">
        <f aca="false">M716&amp;" | 갈라디아서 3~4장 #"&amp;SUBSTITUTE(안내!$C$5," ","")</f>
        <v>우리를 위해 저주를 받으신 분 | 갈라디아서 3~4장 #1분성경</v>
      </c>
      <c r="AF716" s="24" t="s">
        <v>304</v>
      </c>
      <c r="AG716" s="24"/>
      <c r="AH716" s="23" t="s">
        <v>290</v>
      </c>
      <c r="AI716" s="26" t="n">
        <f aca="false">U716-안내!$C$12</f>
        <v>46725</v>
      </c>
      <c r="AJ716" s="23" t="str">
        <f aca="false">IF(U716&lt;IF(C716=1,안내!$C$9,안내!$C$10)+안내!$C$12,"시즌 시작 전 제작","")</f>
        <v/>
      </c>
      <c r="AK716" s="24" t="s">
        <v>7047</v>
      </c>
      <c r="AL716" s="27"/>
      <c r="AM716" s="27"/>
      <c r="AN716" s="27"/>
      <c r="AO716" s="27"/>
      <c r="AP716" s="27"/>
      <c r="AQ716" s="23" t="str">
        <f aca="false">D716&amp;"|"&amp;TEXT(U716,"yyyy-mm-dd")</f>
        <v>신약|2028-01-01</v>
      </c>
      <c r="AR716" s="24" t="s">
        <v>7650</v>
      </c>
      <c r="AS716" s="24"/>
    </row>
    <row r="717" customFormat="false" ht="26.85" hidden="false" customHeight="false" outlineLevel="0" collapsed="false">
      <c r="A717" s="23" t="n">
        <v>716</v>
      </c>
      <c r="B717" s="31" t="s">
        <v>7651</v>
      </c>
      <c r="C717" s="23" t="n">
        <v>2</v>
      </c>
      <c r="D717" s="23" t="s">
        <v>5581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1" t="s">
        <v>7578</v>
      </c>
      <c r="H717" s="31" t="s">
        <v>7579</v>
      </c>
      <c r="I717" s="23" t="s">
        <v>7632</v>
      </c>
      <c r="J717" s="24" t="s">
        <v>7652</v>
      </c>
      <c r="K717" s="23" t="s">
        <v>1370</v>
      </c>
      <c r="L717" s="24" t="s">
        <v>7653</v>
      </c>
      <c r="M717" s="24" t="s">
        <v>7654</v>
      </c>
      <c r="N717" s="23" t="s">
        <v>7655</v>
      </c>
      <c r="O717" s="24" t="s">
        <v>7656</v>
      </c>
      <c r="P717" s="24" t="s">
        <v>7047</v>
      </c>
      <c r="Q717" s="24" t="s">
        <v>7657</v>
      </c>
      <c r="R717" s="24"/>
      <c r="S717" s="24" t="s">
        <v>7587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174</v>
      </c>
      <c r="Y717" s="23" t="s">
        <v>174</v>
      </c>
      <c r="Z717" s="23" t="s">
        <v>174</v>
      </c>
      <c r="AA717" s="23" t="s">
        <v>174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  <c r="AE717" s="24" t="str">
        <f aca="false">M717&amp;" | 갈라디아서 5장 #"&amp;SUBSTITUTE(안내!$C$5," ","")</f>
        <v>다시는 종의 멍에를 메지 말라 | 갈라디아서 5장 #1분성경</v>
      </c>
      <c r="AF717" s="24" t="s">
        <v>304</v>
      </c>
      <c r="AG717" s="24"/>
      <c r="AH717" s="23" t="s">
        <v>290</v>
      </c>
      <c r="AI717" s="26" t="n">
        <f aca="false">U717-안내!$C$12</f>
        <v>46727</v>
      </c>
      <c r="AJ717" s="23" t="str">
        <f aca="false">IF(U717&lt;IF(C717=1,안내!$C$9,안내!$C$10)+안내!$C$12,"시즌 시작 전 제작","")</f>
        <v/>
      </c>
      <c r="AK717" s="24" t="s">
        <v>7047</v>
      </c>
      <c r="AL717" s="27"/>
      <c r="AM717" s="27"/>
      <c r="AN717" s="27"/>
      <c r="AO717" s="27"/>
      <c r="AP717" s="27"/>
      <c r="AQ717" s="23" t="str">
        <f aca="false">D717&amp;"|"&amp;TEXT(U717,"yyyy-mm-dd")</f>
        <v>신약|2028-01-03</v>
      </c>
      <c r="AR717" s="24" t="s">
        <v>7658</v>
      </c>
      <c r="AS717" s="24"/>
    </row>
    <row r="718" customFormat="false" ht="52.2" hidden="false" customHeight="false" outlineLevel="0" collapsed="false">
      <c r="A718" s="23" t="n">
        <v>717</v>
      </c>
      <c r="B718" s="31" t="s">
        <v>7659</v>
      </c>
      <c r="C718" s="20" t="n">
        <v>1</v>
      </c>
      <c r="D718" s="20" t="s">
        <v>5581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1" t="s">
        <v>7578</v>
      </c>
      <c r="H718" s="31" t="s">
        <v>7314</v>
      </c>
      <c r="I718" s="23" t="s">
        <v>7632</v>
      </c>
      <c r="J718" s="24" t="s">
        <v>7660</v>
      </c>
      <c r="K718" s="23" t="s">
        <v>1370</v>
      </c>
      <c r="L718" s="24" t="s">
        <v>7661</v>
      </c>
      <c r="M718" s="24" t="s">
        <v>7662</v>
      </c>
      <c r="N718" s="23" t="s">
        <v>7663</v>
      </c>
      <c r="O718" s="24" t="s">
        <v>7664</v>
      </c>
      <c r="P718" s="24" t="s">
        <v>7047</v>
      </c>
      <c r="Q718" s="24" t="s">
        <v>7665</v>
      </c>
      <c r="R718" s="24"/>
      <c r="S718" s="29" t="s">
        <v>7666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174</v>
      </c>
      <c r="Y718" s="23" t="s">
        <v>174</v>
      </c>
      <c r="Z718" s="23" t="s">
        <v>174</v>
      </c>
      <c r="AA718" s="23" t="s">
        <v>174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  <c r="AE718" s="24" t="str">
        <f aca="false">M718&amp;" | 갈라디아서 5장 #"&amp;SUBSTITUTE(안내!$C$5," ","")</f>
        <v>아홉 가지 열매 | 갈라디아서 5장 #1분성경</v>
      </c>
      <c r="AF718" s="24" t="s">
        <v>7667</v>
      </c>
      <c r="AG718" s="24"/>
      <c r="AH718" s="23" t="s">
        <v>290</v>
      </c>
      <c r="AI718" s="26" t="n">
        <f aca="false">U718-안내!$C$12</f>
        <v>46528</v>
      </c>
      <c r="AJ718" s="23" t="str">
        <f aca="false">IF(U718&lt;IF(C718=1,안내!$C$9,안내!$C$10)+안내!$C$12,"시즌 시작 전 제작","")</f>
        <v/>
      </c>
      <c r="AK718" s="24" t="s">
        <v>7047</v>
      </c>
      <c r="AL718" s="27"/>
      <c r="AM718" s="27"/>
      <c r="AN718" s="27"/>
      <c r="AO718" s="27"/>
      <c r="AP718" s="27"/>
      <c r="AQ718" s="23" t="str">
        <f aca="false">D718&amp;"|"&amp;TEXT(U718,"yyyy-mm-dd")</f>
        <v>신약|2027-06-18</v>
      </c>
      <c r="AR718" s="24" t="s">
        <v>7668</v>
      </c>
      <c r="AS718" s="24"/>
    </row>
    <row r="719" customFormat="false" ht="26.85" hidden="false" customHeight="false" outlineLevel="0" collapsed="false">
      <c r="A719" s="23" t="n">
        <v>718</v>
      </c>
      <c r="B719" s="31" t="s">
        <v>7669</v>
      </c>
      <c r="C719" s="23" t="n">
        <v>2</v>
      </c>
      <c r="D719" s="23" t="s">
        <v>5581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1" t="s">
        <v>7578</v>
      </c>
      <c r="H719" s="31" t="s">
        <v>7579</v>
      </c>
      <c r="I719" s="23" t="s">
        <v>7632</v>
      </c>
      <c r="J719" s="24" t="s">
        <v>7670</v>
      </c>
      <c r="K719" s="23" t="s">
        <v>1370</v>
      </c>
      <c r="L719" s="24" t="s">
        <v>7671</v>
      </c>
      <c r="M719" s="24" t="s">
        <v>7672</v>
      </c>
      <c r="N719" s="23" t="s">
        <v>7673</v>
      </c>
      <c r="O719" s="24" t="s">
        <v>7674</v>
      </c>
      <c r="P719" s="24" t="s">
        <v>7047</v>
      </c>
      <c r="Q719" s="24" t="s">
        <v>7675</v>
      </c>
      <c r="R719" s="24"/>
      <c r="S719" s="24" t="s">
        <v>7676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174</v>
      </c>
      <c r="Y719" s="23" t="s">
        <v>174</v>
      </c>
      <c r="Z719" s="23" t="s">
        <v>174</v>
      </c>
      <c r="AA719" s="23" t="s">
        <v>174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  <c r="AE719" s="24" t="str">
        <f aca="false">M719&amp;" | 갈라디아서 6장 #"&amp;SUBSTITUTE(안내!$C$5," ","")</f>
        <v>넘어진 사람을 어떻게 대할까? | 갈라디아서 6장 #1분성경</v>
      </c>
      <c r="AF719" s="24" t="s">
        <v>304</v>
      </c>
      <c r="AG719" s="24"/>
      <c r="AH719" s="23" t="s">
        <v>176</v>
      </c>
      <c r="AI719" s="26" t="n">
        <f aca="false">U719-안내!$C$12</f>
        <v>46729</v>
      </c>
      <c r="AJ719" s="23" t="str">
        <f aca="false">IF(U719&lt;IF(C719=1,안내!$C$9,안내!$C$10)+안내!$C$12,"시즌 시작 전 제작","")</f>
        <v/>
      </c>
      <c r="AK719" s="24" t="s">
        <v>7047</v>
      </c>
      <c r="AL719" s="27"/>
      <c r="AM719" s="27"/>
      <c r="AN719" s="27"/>
      <c r="AO719" s="27"/>
      <c r="AP719" s="27"/>
      <c r="AQ719" s="23" t="str">
        <f aca="false">D719&amp;"|"&amp;TEXT(U719,"yyyy-mm-dd")</f>
        <v>신약|2028-01-05</v>
      </c>
      <c r="AR719" s="24" t="s">
        <v>7677</v>
      </c>
      <c r="AS719" s="24"/>
    </row>
    <row r="720" customFormat="false" ht="26.85" hidden="false" customHeight="false" outlineLevel="0" collapsed="false">
      <c r="A720" s="23" t="n">
        <v>719</v>
      </c>
      <c r="B720" s="31" t="s">
        <v>7678</v>
      </c>
      <c r="C720" s="23" t="n">
        <v>2</v>
      </c>
      <c r="D720" s="23" t="s">
        <v>5581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1" t="s">
        <v>7679</v>
      </c>
      <c r="H720" s="31" t="s">
        <v>7680</v>
      </c>
      <c r="I720" s="23" t="s">
        <v>7681</v>
      </c>
      <c r="J720" s="24" t="s">
        <v>7682</v>
      </c>
      <c r="K720" s="23" t="s">
        <v>1370</v>
      </c>
      <c r="L720" s="24" t="s">
        <v>7683</v>
      </c>
      <c r="M720" s="24" t="s">
        <v>7684</v>
      </c>
      <c r="N720" s="23" t="s">
        <v>7685</v>
      </c>
      <c r="O720" s="24" t="s">
        <v>7686</v>
      </c>
      <c r="P720" s="24" t="s">
        <v>7047</v>
      </c>
      <c r="Q720" s="24" t="s">
        <v>7687</v>
      </c>
      <c r="R720" s="25" t="s">
        <v>7688</v>
      </c>
      <c r="S720" s="24" t="s">
        <v>7676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174</v>
      </c>
      <c r="Y720" s="23" t="s">
        <v>174</v>
      </c>
      <c r="Z720" s="23" t="s">
        <v>174</v>
      </c>
      <c r="AA720" s="23" t="s">
        <v>174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  <c r="AE720" s="24" t="str">
        <f aca="false">M720&amp;" | 에베소서 1장 #"&amp;SUBSTITUTE(안내!$C$5," ","")</f>
        <v>세상이 생기기 전부터 나를 택하셨다 | 에베소서 1장 #1분성경</v>
      </c>
      <c r="AF720" s="24" t="s">
        <v>304</v>
      </c>
      <c r="AG720" s="24"/>
      <c r="AH720" s="23" t="s">
        <v>290</v>
      </c>
      <c r="AI720" s="26" t="n">
        <f aca="false">U720-안내!$C$12</f>
        <v>46731</v>
      </c>
      <c r="AJ720" s="23" t="str">
        <f aca="false">IF(U720&lt;IF(C720=1,안내!$C$9,안내!$C$10)+안내!$C$12,"시즌 시작 전 제작","")</f>
        <v/>
      </c>
      <c r="AK720" s="24" t="s">
        <v>7047</v>
      </c>
      <c r="AL720" s="27"/>
      <c r="AM720" s="27"/>
      <c r="AN720" s="27"/>
      <c r="AO720" s="27"/>
      <c r="AP720" s="27"/>
      <c r="AQ720" s="23" t="str">
        <f aca="false">D720&amp;"|"&amp;TEXT(U720,"yyyy-mm-dd")</f>
        <v>신약|2028-01-07</v>
      </c>
      <c r="AR720" s="24" t="s">
        <v>7689</v>
      </c>
      <c r="AS720" s="24"/>
    </row>
    <row r="721" customFormat="false" ht="39.55" hidden="false" customHeight="false" outlineLevel="0" collapsed="false">
      <c r="A721" s="23" t="n">
        <v>720</v>
      </c>
      <c r="B721" s="31" t="s">
        <v>7690</v>
      </c>
      <c r="C721" s="20" t="n">
        <v>1</v>
      </c>
      <c r="D721" s="20" t="s">
        <v>5581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1" t="s">
        <v>7679</v>
      </c>
      <c r="H721" s="31" t="s">
        <v>7691</v>
      </c>
      <c r="I721" s="23" t="s">
        <v>7681</v>
      </c>
      <c r="J721" s="24" t="s">
        <v>7692</v>
      </c>
      <c r="K721" s="23" t="s">
        <v>1370</v>
      </c>
      <c r="L721" s="24" t="s">
        <v>7693</v>
      </c>
      <c r="M721" s="24" t="s">
        <v>7694</v>
      </c>
      <c r="N721" s="23" t="s">
        <v>7695</v>
      </c>
      <c r="O721" s="24" t="s">
        <v>7696</v>
      </c>
      <c r="P721" s="24" t="s">
        <v>7047</v>
      </c>
      <c r="Q721" s="24" t="s">
        <v>7697</v>
      </c>
      <c r="R721" s="25" t="s">
        <v>7698</v>
      </c>
      <c r="S721" s="29" t="s">
        <v>7699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174</v>
      </c>
      <c r="Y721" s="23" t="s">
        <v>174</v>
      </c>
      <c r="Z721" s="23" t="s">
        <v>174</v>
      </c>
      <c r="AA721" s="23" t="s">
        <v>174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  <c r="AE721" s="24" t="str">
        <f aca="false">M721&amp;" | 에베소서 2장 #"&amp;SUBSTITUTE(안내!$C$5," ","")</f>
        <v>구원은 내가 노력한 결과일까? | 에베소서 2장 #1분성경</v>
      </c>
      <c r="AF721" s="24" t="s">
        <v>7700</v>
      </c>
      <c r="AG721" s="24"/>
      <c r="AH721" s="23" t="s">
        <v>176</v>
      </c>
      <c r="AI721" s="26" t="n">
        <f aca="false">U721-안내!$C$12</f>
        <v>46529</v>
      </c>
      <c r="AJ721" s="23" t="str">
        <f aca="false">IF(U721&lt;IF(C721=1,안내!$C$9,안내!$C$10)+안내!$C$12,"시즌 시작 전 제작","")</f>
        <v/>
      </c>
      <c r="AK721" s="24" t="s">
        <v>7047</v>
      </c>
      <c r="AL721" s="27"/>
      <c r="AM721" s="27"/>
      <c r="AN721" s="27"/>
      <c r="AO721" s="27"/>
      <c r="AP721" s="27"/>
      <c r="AQ721" s="23" t="str">
        <f aca="false">D721&amp;"|"&amp;TEXT(U721,"yyyy-mm-dd")</f>
        <v>신약|2027-06-19</v>
      </c>
      <c r="AR721" s="24" t="s">
        <v>7701</v>
      </c>
      <c r="AS721" s="24"/>
    </row>
    <row r="722" customFormat="false" ht="26.85" hidden="false" customHeight="false" outlineLevel="0" collapsed="false">
      <c r="A722" s="23" t="n">
        <v>721</v>
      </c>
      <c r="B722" s="31" t="s">
        <v>7702</v>
      </c>
      <c r="C722" s="23" t="n">
        <v>2</v>
      </c>
      <c r="D722" s="23" t="s">
        <v>5581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1" t="s">
        <v>7679</v>
      </c>
      <c r="H722" s="31" t="s">
        <v>7680</v>
      </c>
      <c r="I722" s="23" t="s">
        <v>7681</v>
      </c>
      <c r="J722" s="24" t="s">
        <v>7703</v>
      </c>
      <c r="K722" s="23" t="s">
        <v>1370</v>
      </c>
      <c r="L722" s="24" t="s">
        <v>7704</v>
      </c>
      <c r="M722" s="24" t="s">
        <v>7705</v>
      </c>
      <c r="N722" s="23" t="s">
        <v>7706</v>
      </c>
      <c r="O722" s="24" t="s">
        <v>7707</v>
      </c>
      <c r="P722" s="24" t="s">
        <v>7047</v>
      </c>
      <c r="Q722" s="24" t="s">
        <v>7708</v>
      </c>
      <c r="R722" s="24"/>
      <c r="S722" s="24" t="s">
        <v>7709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174</v>
      </c>
      <c r="Y722" s="23" t="s">
        <v>174</v>
      </c>
      <c r="Z722" s="23" t="s">
        <v>174</v>
      </c>
      <c r="AA722" s="23" t="s">
        <v>174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  <c r="AE722" s="24" t="str">
        <f aca="false">M722&amp;" | 에베소서 2~3장 #"&amp;SUBSTITUTE(안내!$C$5," ","")</f>
        <v>원수였던 사람들이 한 가족이 되다 | 에베소서 2~3장 #1분성경</v>
      </c>
      <c r="AF722" s="24" t="s">
        <v>304</v>
      </c>
      <c r="AG722" s="24"/>
      <c r="AH722" s="23" t="s">
        <v>290</v>
      </c>
      <c r="AI722" s="26" t="n">
        <f aca="false">U722-안내!$C$12</f>
        <v>46732</v>
      </c>
      <c r="AJ722" s="23" t="str">
        <f aca="false">IF(U722&lt;IF(C722=1,안내!$C$9,안내!$C$10)+안내!$C$12,"시즌 시작 전 제작","")</f>
        <v/>
      </c>
      <c r="AK722" s="24" t="s">
        <v>7047</v>
      </c>
      <c r="AL722" s="27"/>
      <c r="AM722" s="27"/>
      <c r="AN722" s="27"/>
      <c r="AO722" s="27"/>
      <c r="AP722" s="27"/>
      <c r="AQ722" s="23" t="str">
        <f aca="false">D722&amp;"|"&amp;TEXT(U722,"yyyy-mm-dd")</f>
        <v>신약|2028-01-08</v>
      </c>
      <c r="AR722" s="24" t="s">
        <v>7710</v>
      </c>
      <c r="AS722" s="24"/>
    </row>
    <row r="723" customFormat="false" ht="26.85" hidden="false" customHeight="false" outlineLevel="0" collapsed="false">
      <c r="A723" s="23" t="n">
        <v>722</v>
      </c>
      <c r="B723" s="31" t="s">
        <v>7711</v>
      </c>
      <c r="C723" s="23" t="n">
        <v>2</v>
      </c>
      <c r="D723" s="23" t="s">
        <v>5581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1" t="s">
        <v>7679</v>
      </c>
      <c r="H723" s="31" t="s">
        <v>7680</v>
      </c>
      <c r="I723" s="23" t="s">
        <v>7681</v>
      </c>
      <c r="J723" s="24" t="s">
        <v>7712</v>
      </c>
      <c r="K723" s="23" t="s">
        <v>1370</v>
      </c>
      <c r="L723" s="24" t="s">
        <v>7713</v>
      </c>
      <c r="M723" s="24" t="s">
        <v>7714</v>
      </c>
      <c r="N723" s="23" t="s">
        <v>7715</v>
      </c>
      <c r="O723" s="24" t="s">
        <v>7716</v>
      </c>
      <c r="P723" s="24" t="s">
        <v>7047</v>
      </c>
      <c r="Q723" s="24" t="s">
        <v>7717</v>
      </c>
      <c r="R723" s="24"/>
      <c r="S723" s="24" t="s">
        <v>7709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174</v>
      </c>
      <c r="Y723" s="23" t="s">
        <v>174</v>
      </c>
      <c r="Z723" s="23" t="s">
        <v>174</v>
      </c>
      <c r="AA723" s="23" t="s">
        <v>174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  <c r="AE723" s="24" t="str">
        <f aca="false">M723&amp;" | 에베소서 4장 #"&amp;SUBSTITUTE(안내!$C$5," ","")</f>
        <v>하나 되는 것이 왜 이렇게 어려울까? | 에베소서 4장 #1분성경</v>
      </c>
      <c r="AF723" s="24" t="s">
        <v>304</v>
      </c>
      <c r="AG723" s="24"/>
      <c r="AH723" s="23" t="s">
        <v>176</v>
      </c>
      <c r="AI723" s="26" t="n">
        <f aca="false">U723-안내!$C$12</f>
        <v>46734</v>
      </c>
      <c r="AJ723" s="23" t="str">
        <f aca="false">IF(U723&lt;IF(C723=1,안내!$C$9,안내!$C$10)+안내!$C$12,"시즌 시작 전 제작","")</f>
        <v/>
      </c>
      <c r="AK723" s="24" t="s">
        <v>7047</v>
      </c>
      <c r="AL723" s="27"/>
      <c r="AM723" s="27"/>
      <c r="AN723" s="27"/>
      <c r="AO723" s="27"/>
      <c r="AP723" s="27"/>
      <c r="AQ723" s="23" t="str">
        <f aca="false">D723&amp;"|"&amp;TEXT(U723,"yyyy-mm-dd")</f>
        <v>신약|2028-01-10</v>
      </c>
      <c r="AR723" s="24" t="s">
        <v>7718</v>
      </c>
      <c r="AS723" s="24"/>
    </row>
    <row r="724" customFormat="false" ht="26.85" hidden="false" customHeight="false" outlineLevel="0" collapsed="false">
      <c r="A724" s="23" t="n">
        <v>723</v>
      </c>
      <c r="B724" s="31" t="s">
        <v>7719</v>
      </c>
      <c r="C724" s="23" t="n">
        <v>2</v>
      </c>
      <c r="D724" s="23" t="s">
        <v>5581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1" t="s">
        <v>7679</v>
      </c>
      <c r="H724" s="31" t="s">
        <v>7680</v>
      </c>
      <c r="I724" s="23" t="s">
        <v>7681</v>
      </c>
      <c r="J724" s="24" t="s">
        <v>7720</v>
      </c>
      <c r="K724" s="23" t="s">
        <v>1370</v>
      </c>
      <c r="L724" s="24" t="s">
        <v>7721</v>
      </c>
      <c r="M724" s="24" t="s">
        <v>7722</v>
      </c>
      <c r="N724" s="23" t="s">
        <v>7723</v>
      </c>
      <c r="O724" s="24" t="s">
        <v>7724</v>
      </c>
      <c r="P724" s="24" t="s">
        <v>7047</v>
      </c>
      <c r="Q724" s="24" t="s">
        <v>7725</v>
      </c>
      <c r="R724" s="28" t="s">
        <v>7726</v>
      </c>
      <c r="S724" s="24" t="s">
        <v>7709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174</v>
      </c>
      <c r="Y724" s="23" t="s">
        <v>174</v>
      </c>
      <c r="Z724" s="23" t="s">
        <v>174</v>
      </c>
      <c r="AA724" s="23" t="s">
        <v>174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  <c r="AE724" s="24" t="str">
        <f aca="false">M724&amp;" | 에베소서 5~6장 #"&amp;SUBSTITUTE(안내!$C$5," ","")</f>
        <v>가정과 일터에서 빛으로 살기 | 에베소서 5~6장 #1분성경</v>
      </c>
      <c r="AF724" s="24" t="s">
        <v>304</v>
      </c>
      <c r="AG724" s="24"/>
      <c r="AH724" s="23" t="s">
        <v>290</v>
      </c>
      <c r="AI724" s="26" t="n">
        <f aca="false">U724-안내!$C$12</f>
        <v>46736</v>
      </c>
      <c r="AJ724" s="23" t="str">
        <f aca="false">IF(U724&lt;IF(C724=1,안내!$C$9,안내!$C$10)+안내!$C$12,"시즌 시작 전 제작","")</f>
        <v/>
      </c>
      <c r="AK724" s="24" t="s">
        <v>7047</v>
      </c>
      <c r="AL724" s="27"/>
      <c r="AM724" s="27"/>
      <c r="AN724" s="27"/>
      <c r="AO724" s="27"/>
      <c r="AP724" s="27"/>
      <c r="AQ724" s="23" t="str">
        <f aca="false">D724&amp;"|"&amp;TEXT(U724,"yyyy-mm-dd")</f>
        <v>신약|2028-01-12</v>
      </c>
      <c r="AR724" s="24" t="s">
        <v>7727</v>
      </c>
      <c r="AS724" s="24"/>
    </row>
    <row r="725" customFormat="false" ht="39.55" hidden="false" customHeight="false" outlineLevel="0" collapsed="false">
      <c r="A725" s="23" t="n">
        <v>724</v>
      </c>
      <c r="B725" s="31" t="s">
        <v>7728</v>
      </c>
      <c r="C725" s="20" t="n">
        <v>1</v>
      </c>
      <c r="D725" s="20" t="s">
        <v>5581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1" t="s">
        <v>7679</v>
      </c>
      <c r="H725" s="31" t="s">
        <v>7691</v>
      </c>
      <c r="I725" s="23" t="s">
        <v>7681</v>
      </c>
      <c r="J725" s="24" t="s">
        <v>7729</v>
      </c>
      <c r="K725" s="23" t="s">
        <v>1370</v>
      </c>
      <c r="L725" s="24" t="s">
        <v>7730</v>
      </c>
      <c r="M725" s="24" t="s">
        <v>7731</v>
      </c>
      <c r="N725" s="23" t="s">
        <v>7732</v>
      </c>
      <c r="O725" s="24" t="s">
        <v>7733</v>
      </c>
      <c r="P725" s="24" t="s">
        <v>7734</v>
      </c>
      <c r="Q725" s="24" t="s">
        <v>7735</v>
      </c>
      <c r="R725" s="25" t="s">
        <v>7736</v>
      </c>
      <c r="S725" s="29" t="s">
        <v>7737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174</v>
      </c>
      <c r="Y725" s="23" t="s">
        <v>174</v>
      </c>
      <c r="Z725" s="23" t="s">
        <v>174</v>
      </c>
      <c r="AA725" s="23" t="s">
        <v>174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  <c r="AE725" s="24" t="str">
        <f aca="false">M725&amp;" | 에베소서 6장 #"&amp;SUBSTITUTE(안내!$C$5," ","")</f>
        <v>영적 전쟁을 위한 무장 | 에베소서 6장 #1분성경</v>
      </c>
      <c r="AF725" s="24" t="s">
        <v>7738</v>
      </c>
      <c r="AG725" s="24"/>
      <c r="AH725" s="23" t="s">
        <v>290</v>
      </c>
      <c r="AI725" s="26" t="n">
        <f aca="false">U725-안내!$C$12</f>
        <v>46531</v>
      </c>
      <c r="AJ725" s="23" t="str">
        <f aca="false">IF(U725&lt;IF(C725=1,안내!$C$9,안내!$C$10)+안내!$C$12,"시즌 시작 전 제작","")</f>
        <v/>
      </c>
      <c r="AK725" s="24" t="s">
        <v>7047</v>
      </c>
      <c r="AL725" s="27"/>
      <c r="AM725" s="27"/>
      <c r="AN725" s="27"/>
      <c r="AO725" s="27"/>
      <c r="AP725" s="27"/>
      <c r="AQ725" s="23" t="str">
        <f aca="false">D725&amp;"|"&amp;TEXT(U725,"yyyy-mm-dd")</f>
        <v>신약|2027-06-21</v>
      </c>
      <c r="AR725" s="24" t="s">
        <v>7739</v>
      </c>
      <c r="AS725" s="24"/>
    </row>
    <row r="726" customFormat="false" ht="26.85" hidden="false" customHeight="false" outlineLevel="0" collapsed="false">
      <c r="A726" s="23" t="n">
        <v>725</v>
      </c>
      <c r="B726" s="31" t="s">
        <v>7740</v>
      </c>
      <c r="C726" s="23" t="n">
        <v>2</v>
      </c>
      <c r="D726" s="23" t="s">
        <v>5581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1" t="s">
        <v>7679</v>
      </c>
      <c r="H726" s="31" t="s">
        <v>7680</v>
      </c>
      <c r="I726" s="23" t="s">
        <v>7741</v>
      </c>
      <c r="J726" s="24" t="s">
        <v>7742</v>
      </c>
      <c r="K726" s="23" t="s">
        <v>1370</v>
      </c>
      <c r="L726" s="24" t="s">
        <v>7743</v>
      </c>
      <c r="M726" s="24" t="s">
        <v>7744</v>
      </c>
      <c r="N726" s="23" t="s">
        <v>7745</v>
      </c>
      <c r="O726" s="24" t="s">
        <v>7746</v>
      </c>
      <c r="P726" s="24" t="s">
        <v>7047</v>
      </c>
      <c r="Q726" s="24" t="s">
        <v>7747</v>
      </c>
      <c r="R726" s="24"/>
      <c r="S726" s="24" t="s">
        <v>7748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174</v>
      </c>
      <c r="Y726" s="23" t="s">
        <v>174</v>
      </c>
      <c r="Z726" s="23" t="s">
        <v>174</v>
      </c>
      <c r="AA726" s="23" t="s">
        <v>174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  <c r="AE726" s="24" t="str">
        <f aca="false">M726&amp;" | 빌립보서 1장 #"&amp;SUBSTITUTE(안내!$C$5," ","")</f>
        <v>감옥에서 쓴 기쁨의 편지 | 빌립보서 1장 #1분성경</v>
      </c>
      <c r="AF726" s="24" t="s">
        <v>304</v>
      </c>
      <c r="AG726" s="24"/>
      <c r="AH726" s="23" t="s">
        <v>290</v>
      </c>
      <c r="AI726" s="26" t="n">
        <f aca="false">U726-안내!$C$12</f>
        <v>46738</v>
      </c>
      <c r="AJ726" s="23" t="str">
        <f aca="false">IF(U726&lt;IF(C726=1,안내!$C$9,안내!$C$10)+안내!$C$12,"시즌 시작 전 제작","")</f>
        <v/>
      </c>
      <c r="AK726" s="24" t="s">
        <v>7047</v>
      </c>
      <c r="AL726" s="27"/>
      <c r="AM726" s="27"/>
      <c r="AN726" s="27"/>
      <c r="AO726" s="27"/>
      <c r="AP726" s="27"/>
      <c r="AQ726" s="23" t="str">
        <f aca="false">D726&amp;"|"&amp;TEXT(U726,"yyyy-mm-dd")</f>
        <v>신약|2028-01-14</v>
      </c>
      <c r="AR726" s="24" t="s">
        <v>7749</v>
      </c>
      <c r="AS726" s="24"/>
    </row>
    <row r="727" customFormat="false" ht="26.85" hidden="false" customHeight="false" outlineLevel="0" collapsed="false">
      <c r="A727" s="23" t="n">
        <v>726</v>
      </c>
      <c r="B727" s="31" t="s">
        <v>7750</v>
      </c>
      <c r="C727" s="23" t="n">
        <v>2</v>
      </c>
      <c r="D727" s="23" t="s">
        <v>5581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1" t="s">
        <v>7679</v>
      </c>
      <c r="H727" s="31" t="s">
        <v>7680</v>
      </c>
      <c r="I727" s="23" t="s">
        <v>7741</v>
      </c>
      <c r="J727" s="24" t="s">
        <v>7751</v>
      </c>
      <c r="K727" s="23" t="s">
        <v>1370</v>
      </c>
      <c r="L727" s="24" t="s">
        <v>7752</v>
      </c>
      <c r="M727" s="24" t="s">
        <v>7753</v>
      </c>
      <c r="N727" s="23" t="s">
        <v>7754</v>
      </c>
      <c r="O727" s="24" t="s">
        <v>7755</v>
      </c>
      <c r="P727" s="24" t="s">
        <v>7756</v>
      </c>
      <c r="Q727" s="24" t="s">
        <v>7757</v>
      </c>
      <c r="R727" s="25" t="s">
        <v>7758</v>
      </c>
      <c r="S727" s="24" t="s">
        <v>7748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174</v>
      </c>
      <c r="Y727" s="23" t="s">
        <v>174</v>
      </c>
      <c r="Z727" s="23" t="s">
        <v>174</v>
      </c>
      <c r="AA727" s="23" t="s">
        <v>174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  <c r="AE727" s="24" t="str">
        <f aca="false">M727&amp;" | 빌립보서 2장 #"&amp;SUBSTITUTE(안내!$C$5," ","")</f>
        <v>하나님이 종의 모습으로 | 빌립보서 2장 #1분성경</v>
      </c>
      <c r="AF727" s="24" t="s">
        <v>304</v>
      </c>
      <c r="AG727" s="24"/>
      <c r="AH727" s="23" t="s">
        <v>290</v>
      </c>
      <c r="AI727" s="26" t="n">
        <f aca="false">U727-안내!$C$12</f>
        <v>46739</v>
      </c>
      <c r="AJ727" s="23" t="str">
        <f aca="false">IF(U727&lt;IF(C727=1,안내!$C$9,안내!$C$10)+안내!$C$12,"시즌 시작 전 제작","")</f>
        <v/>
      </c>
      <c r="AK727" s="24" t="s">
        <v>7047</v>
      </c>
      <c r="AL727" s="27"/>
      <c r="AM727" s="27"/>
      <c r="AN727" s="27"/>
      <c r="AO727" s="27"/>
      <c r="AP727" s="27"/>
      <c r="AQ727" s="23" t="str">
        <f aca="false">D727&amp;"|"&amp;TEXT(U727,"yyyy-mm-dd")</f>
        <v>신약|2028-01-15</v>
      </c>
      <c r="AR727" s="24" t="s">
        <v>7755</v>
      </c>
      <c r="AS727" s="24"/>
    </row>
    <row r="728" customFormat="false" ht="39.55" hidden="false" customHeight="false" outlineLevel="0" collapsed="false">
      <c r="A728" s="23" t="n">
        <v>727</v>
      </c>
      <c r="B728" s="31" t="s">
        <v>7759</v>
      </c>
      <c r="C728" s="23" t="n">
        <v>2</v>
      </c>
      <c r="D728" s="23" t="s">
        <v>5581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1" t="s">
        <v>7679</v>
      </c>
      <c r="H728" s="31" t="s">
        <v>7680</v>
      </c>
      <c r="I728" s="23" t="s">
        <v>7741</v>
      </c>
      <c r="J728" s="24" t="s">
        <v>7760</v>
      </c>
      <c r="K728" s="23" t="s">
        <v>1370</v>
      </c>
      <c r="L728" s="24" t="s">
        <v>7761</v>
      </c>
      <c r="M728" s="24" t="s">
        <v>7762</v>
      </c>
      <c r="N728" s="23" t="s">
        <v>7763</v>
      </c>
      <c r="O728" s="24" t="s">
        <v>7764</v>
      </c>
      <c r="P728" s="24" t="s">
        <v>7047</v>
      </c>
      <c r="Q728" s="24" t="s">
        <v>7765</v>
      </c>
      <c r="R728" s="24"/>
      <c r="S728" s="24" t="s">
        <v>7748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174</v>
      </c>
      <c r="Y728" s="23" t="s">
        <v>174</v>
      </c>
      <c r="Z728" s="23" t="s">
        <v>174</v>
      </c>
      <c r="AA728" s="23" t="s">
        <v>174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  <c r="AE728" s="24" t="str">
        <f aca="false">M728&amp;" | 빌립보서 3장 #"&amp;SUBSTITUTE(안내!$C$5," ","")</f>
        <v>뒤에 있는 것은 잊어버리고 | 빌립보서 3장 #1분성경</v>
      </c>
      <c r="AF728" s="24" t="s">
        <v>304</v>
      </c>
      <c r="AG728" s="24"/>
      <c r="AH728" s="23" t="s">
        <v>290</v>
      </c>
      <c r="AI728" s="26" t="n">
        <f aca="false">U728-안내!$C$12</f>
        <v>46741</v>
      </c>
      <c r="AJ728" s="23" t="str">
        <f aca="false">IF(U728&lt;IF(C728=1,안내!$C$9,안내!$C$10)+안내!$C$12,"시즌 시작 전 제작","")</f>
        <v/>
      </c>
      <c r="AK728" s="24" t="s">
        <v>7047</v>
      </c>
      <c r="AL728" s="27"/>
      <c r="AM728" s="27"/>
      <c r="AN728" s="27"/>
      <c r="AO728" s="27"/>
      <c r="AP728" s="27"/>
      <c r="AQ728" s="23" t="str">
        <f aca="false">D728&amp;"|"&amp;TEXT(U728,"yyyy-mm-dd")</f>
        <v>신약|2028-01-17</v>
      </c>
      <c r="AR728" s="24" t="s">
        <v>7766</v>
      </c>
      <c r="AS728" s="24"/>
    </row>
    <row r="729" customFormat="false" ht="26.85" hidden="false" customHeight="false" outlineLevel="0" collapsed="false">
      <c r="A729" s="23" t="n">
        <v>728</v>
      </c>
      <c r="B729" s="31" t="s">
        <v>7767</v>
      </c>
      <c r="C729" s="23" t="n">
        <v>2</v>
      </c>
      <c r="D729" s="23" t="s">
        <v>5581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1" t="s">
        <v>7679</v>
      </c>
      <c r="H729" s="31" t="s">
        <v>7680</v>
      </c>
      <c r="I729" s="23" t="s">
        <v>7741</v>
      </c>
      <c r="J729" s="24" t="s">
        <v>7768</v>
      </c>
      <c r="K729" s="23" t="s">
        <v>1370</v>
      </c>
      <c r="L729" s="24" t="s">
        <v>7769</v>
      </c>
      <c r="M729" s="24" t="s">
        <v>7770</v>
      </c>
      <c r="N729" s="23" t="s">
        <v>7771</v>
      </c>
      <c r="O729" s="24" t="s">
        <v>7772</v>
      </c>
      <c r="P729" s="24" t="s">
        <v>7047</v>
      </c>
      <c r="Q729" s="24" t="s">
        <v>7773</v>
      </c>
      <c r="R729" s="28" t="s">
        <v>7774</v>
      </c>
      <c r="S729" s="24" t="s">
        <v>7748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174</v>
      </c>
      <c r="Y729" s="23" t="s">
        <v>174</v>
      </c>
      <c r="Z729" s="23" t="s">
        <v>174</v>
      </c>
      <c r="AA729" s="23" t="s">
        <v>174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  <c r="AE729" s="24" t="str">
        <f aca="false">M729&amp;" | 빌립보서 4장 #"&amp;SUBSTITUTE(안내!$C$5," ","")</f>
        <v>배부름과 배고픔 모두에 | 빌립보서 4장 #1분성경</v>
      </c>
      <c r="AF729" s="24" t="s">
        <v>304</v>
      </c>
      <c r="AG729" s="24"/>
      <c r="AH729" s="23" t="s">
        <v>290</v>
      </c>
      <c r="AI729" s="26" t="n">
        <f aca="false">U729-안내!$C$12</f>
        <v>46743</v>
      </c>
      <c r="AJ729" s="23" t="str">
        <f aca="false">IF(U729&lt;IF(C729=1,안내!$C$9,안내!$C$10)+안내!$C$12,"시즌 시작 전 제작","")</f>
        <v/>
      </c>
      <c r="AK729" s="24" t="s">
        <v>7047</v>
      </c>
      <c r="AL729" s="27"/>
      <c r="AM729" s="27"/>
      <c r="AN729" s="27"/>
      <c r="AO729" s="27"/>
      <c r="AP729" s="27"/>
      <c r="AQ729" s="23" t="str">
        <f aca="false">D729&amp;"|"&amp;TEXT(U729,"yyyy-mm-dd")</f>
        <v>신약|2028-01-19</v>
      </c>
      <c r="AR729" s="24" t="s">
        <v>7772</v>
      </c>
      <c r="AS729" s="24"/>
    </row>
    <row r="730" customFormat="false" ht="39.55" hidden="false" customHeight="false" outlineLevel="0" collapsed="false">
      <c r="A730" s="23" t="n">
        <v>729</v>
      </c>
      <c r="B730" s="31" t="s">
        <v>7775</v>
      </c>
      <c r="C730" s="23" t="n">
        <v>2</v>
      </c>
      <c r="D730" s="23" t="s">
        <v>5581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1" t="s">
        <v>7776</v>
      </c>
      <c r="H730" s="31" t="s">
        <v>7777</v>
      </c>
      <c r="I730" s="23" t="s">
        <v>7778</v>
      </c>
      <c r="J730" s="24" t="s">
        <v>7779</v>
      </c>
      <c r="K730" s="23" t="s">
        <v>1370</v>
      </c>
      <c r="L730" s="24" t="s">
        <v>7780</v>
      </c>
      <c r="M730" s="24" t="s">
        <v>7781</v>
      </c>
      <c r="N730" s="23" t="s">
        <v>7782</v>
      </c>
      <c r="O730" s="24" t="s">
        <v>7783</v>
      </c>
      <c r="P730" s="24" t="s">
        <v>7047</v>
      </c>
      <c r="Q730" s="24" t="s">
        <v>7784</v>
      </c>
      <c r="R730" s="28" t="s">
        <v>7785</v>
      </c>
      <c r="S730" s="24" t="s">
        <v>7748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174</v>
      </c>
      <c r="Y730" s="23" t="s">
        <v>174</v>
      </c>
      <c r="Z730" s="23" t="s">
        <v>174</v>
      </c>
      <c r="AA730" s="23" t="s">
        <v>174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  <c r="AE730" s="24" t="str">
        <f aca="false">M730&amp;" | 골로새서 1장 #"&amp;SUBSTITUTE(안내!$C$5," ","")</f>
        <v>모든 것이 그를 위하여 창조되었다 | 골로새서 1장 #1분성경</v>
      </c>
      <c r="AF730" s="24" t="s">
        <v>304</v>
      </c>
      <c r="AG730" s="24"/>
      <c r="AH730" s="23" t="s">
        <v>290</v>
      </c>
      <c r="AI730" s="26" t="n">
        <f aca="false">U730-안내!$C$12</f>
        <v>46745</v>
      </c>
      <c r="AJ730" s="23" t="str">
        <f aca="false">IF(U730&lt;IF(C730=1,안내!$C$9,안내!$C$10)+안내!$C$12,"시즌 시작 전 제작","")</f>
        <v/>
      </c>
      <c r="AK730" s="24" t="s">
        <v>7047</v>
      </c>
      <c r="AL730" s="27"/>
      <c r="AM730" s="27"/>
      <c r="AN730" s="27"/>
      <c r="AO730" s="27"/>
      <c r="AP730" s="27"/>
      <c r="AQ730" s="23" t="str">
        <f aca="false">D730&amp;"|"&amp;TEXT(U730,"yyyy-mm-dd")</f>
        <v>신약|2028-01-21</v>
      </c>
      <c r="AR730" s="24" t="s">
        <v>7786</v>
      </c>
      <c r="AS730" s="24" t="s">
        <v>292</v>
      </c>
    </row>
    <row r="731" customFormat="false" ht="26.85" hidden="false" customHeight="false" outlineLevel="0" collapsed="false">
      <c r="A731" s="23" t="n">
        <v>730</v>
      </c>
      <c r="B731" s="31" t="s">
        <v>7787</v>
      </c>
      <c r="C731" s="23" t="n">
        <v>2</v>
      </c>
      <c r="D731" s="23" t="s">
        <v>5581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1" t="s">
        <v>7776</v>
      </c>
      <c r="H731" s="31" t="s">
        <v>7777</v>
      </c>
      <c r="I731" s="23" t="s">
        <v>7778</v>
      </c>
      <c r="J731" s="24" t="s">
        <v>7788</v>
      </c>
      <c r="K731" s="23" t="s">
        <v>1370</v>
      </c>
      <c r="L731" s="24" t="s">
        <v>7789</v>
      </c>
      <c r="M731" s="24" t="s">
        <v>7790</v>
      </c>
      <c r="N731" s="23" t="s">
        <v>7791</v>
      </c>
      <c r="O731" s="24" t="s">
        <v>7792</v>
      </c>
      <c r="P731" s="24" t="s">
        <v>7047</v>
      </c>
      <c r="Q731" s="24" t="s">
        <v>7793</v>
      </c>
      <c r="R731" s="25" t="s">
        <v>7794</v>
      </c>
      <c r="S731" s="24" t="s">
        <v>7748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174</v>
      </c>
      <c r="Y731" s="23" t="s">
        <v>174</v>
      </c>
      <c r="Z731" s="23" t="s">
        <v>174</v>
      </c>
      <c r="AA731" s="23" t="s">
        <v>174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  <c r="AE731" s="24" t="str">
        <f aca="false">M731&amp;" | 골로새서 2장 #"&amp;SUBSTITUTE(안내!$C$5," ","")</f>
        <v>그럴듯한 철학과 전통 | 골로새서 2장 #1분성경</v>
      </c>
      <c r="AF731" s="24" t="s">
        <v>304</v>
      </c>
      <c r="AG731" s="24"/>
      <c r="AH731" s="23" t="s">
        <v>290</v>
      </c>
      <c r="AI731" s="26" t="n">
        <f aca="false">U731-안내!$C$12</f>
        <v>46746</v>
      </c>
      <c r="AJ731" s="23" t="str">
        <f aca="false">IF(U731&lt;IF(C731=1,안내!$C$9,안내!$C$10)+안내!$C$12,"시즌 시작 전 제작","")</f>
        <v/>
      </c>
      <c r="AK731" s="24" t="s">
        <v>7047</v>
      </c>
      <c r="AL731" s="27"/>
      <c r="AM731" s="27"/>
      <c r="AN731" s="27"/>
      <c r="AO731" s="27"/>
      <c r="AP731" s="27"/>
      <c r="AQ731" s="23" t="str">
        <f aca="false">D731&amp;"|"&amp;TEXT(U731,"yyyy-mm-dd")</f>
        <v>신약|2028-01-22</v>
      </c>
      <c r="AR731" s="24" t="s">
        <v>7795</v>
      </c>
      <c r="AS731" s="24" t="s">
        <v>292</v>
      </c>
    </row>
    <row r="732" customFormat="false" ht="26.85" hidden="false" customHeight="false" outlineLevel="0" collapsed="false">
      <c r="A732" s="23" t="n">
        <v>731</v>
      </c>
      <c r="B732" s="31" t="s">
        <v>7796</v>
      </c>
      <c r="C732" s="23" t="n">
        <v>2</v>
      </c>
      <c r="D732" s="23" t="s">
        <v>5581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1" t="s">
        <v>7776</v>
      </c>
      <c r="H732" s="31" t="s">
        <v>7777</v>
      </c>
      <c r="I732" s="23" t="s">
        <v>7778</v>
      </c>
      <c r="J732" s="24" t="s">
        <v>7797</v>
      </c>
      <c r="K732" s="23" t="s">
        <v>1370</v>
      </c>
      <c r="L732" s="24" t="s">
        <v>7798</v>
      </c>
      <c r="M732" s="24" t="s">
        <v>7799</v>
      </c>
      <c r="N732" s="23" t="s">
        <v>7800</v>
      </c>
      <c r="O732" s="24" t="s">
        <v>7801</v>
      </c>
      <c r="P732" s="24" t="s">
        <v>7047</v>
      </c>
      <c r="Q732" s="24" t="s">
        <v>7802</v>
      </c>
      <c r="R732" s="24"/>
      <c r="S732" s="24" t="s">
        <v>7748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174</v>
      </c>
      <c r="Y732" s="23" t="s">
        <v>174</v>
      </c>
      <c r="Z732" s="23" t="s">
        <v>174</v>
      </c>
      <c r="AA732" s="23" t="s">
        <v>174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  <c r="AE732" s="24" t="str">
        <f aca="false">M732&amp;" | 골로새서 3장 #"&amp;SUBSTITUTE(안내!$C$5," ","")</f>
        <v>땅의 것이 아니라 | 골로새서 3장 #1분성경</v>
      </c>
      <c r="AF732" s="24" t="s">
        <v>304</v>
      </c>
      <c r="AG732" s="24"/>
      <c r="AH732" s="23" t="s">
        <v>290</v>
      </c>
      <c r="AI732" s="26" t="n">
        <f aca="false">U732-안내!$C$12</f>
        <v>46748</v>
      </c>
      <c r="AJ732" s="23" t="str">
        <f aca="false">IF(U732&lt;IF(C732=1,안내!$C$9,안내!$C$10)+안내!$C$12,"시즌 시작 전 제작","")</f>
        <v/>
      </c>
      <c r="AK732" s="24" t="s">
        <v>7047</v>
      </c>
      <c r="AL732" s="27"/>
      <c r="AM732" s="27"/>
      <c r="AN732" s="27"/>
      <c r="AO732" s="27"/>
      <c r="AP732" s="27"/>
      <c r="AQ732" s="23" t="str">
        <f aca="false">D732&amp;"|"&amp;TEXT(U732,"yyyy-mm-dd")</f>
        <v>신약|2028-01-24</v>
      </c>
      <c r="AR732" s="24" t="s">
        <v>7803</v>
      </c>
      <c r="AS732" s="24"/>
    </row>
    <row r="733" customFormat="false" ht="26.85" hidden="false" customHeight="false" outlineLevel="0" collapsed="false">
      <c r="A733" s="23" t="n">
        <v>732</v>
      </c>
      <c r="B733" s="31" t="s">
        <v>7804</v>
      </c>
      <c r="C733" s="23" t="n">
        <v>2</v>
      </c>
      <c r="D733" s="23" t="s">
        <v>5581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1" t="s">
        <v>7776</v>
      </c>
      <c r="H733" s="31" t="s">
        <v>7777</v>
      </c>
      <c r="I733" s="23" t="s">
        <v>7778</v>
      </c>
      <c r="J733" s="24" t="s">
        <v>7805</v>
      </c>
      <c r="K733" s="23" t="s">
        <v>1370</v>
      </c>
      <c r="L733" s="24" t="s">
        <v>7806</v>
      </c>
      <c r="M733" s="24" t="s">
        <v>7807</v>
      </c>
      <c r="N733" s="23" t="s">
        <v>7808</v>
      </c>
      <c r="O733" s="24" t="s">
        <v>7809</v>
      </c>
      <c r="P733" s="24" t="s">
        <v>7047</v>
      </c>
      <c r="Q733" s="24" t="s">
        <v>7725</v>
      </c>
      <c r="R733" s="24"/>
      <c r="S733" s="24" t="s">
        <v>7748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174</v>
      </c>
      <c r="Y733" s="23" t="s">
        <v>174</v>
      </c>
      <c r="Z733" s="23" t="s">
        <v>174</v>
      </c>
      <c r="AA733" s="23" t="s">
        <v>174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  <c r="AE733" s="24" t="str">
        <f aca="false">M733&amp;" | 골로새서 3~4장 #"&amp;SUBSTITUTE(안내!$C$5," ","")</f>
        <v>일할 때 누구를 위해 하나요? | 골로새서 3~4장 #1분성경</v>
      </c>
      <c r="AF733" s="24" t="s">
        <v>304</v>
      </c>
      <c r="AG733" s="24"/>
      <c r="AH733" s="23" t="s">
        <v>176</v>
      </c>
      <c r="AI733" s="26" t="n">
        <f aca="false">U733-안내!$C$12</f>
        <v>46750</v>
      </c>
      <c r="AJ733" s="23" t="str">
        <f aca="false">IF(U733&lt;IF(C733=1,안내!$C$9,안내!$C$10)+안내!$C$12,"시즌 시작 전 제작","")</f>
        <v/>
      </c>
      <c r="AK733" s="24" t="s">
        <v>7047</v>
      </c>
      <c r="AL733" s="27"/>
      <c r="AM733" s="27"/>
      <c r="AN733" s="27"/>
      <c r="AO733" s="27"/>
      <c r="AP733" s="27"/>
      <c r="AQ733" s="23" t="str">
        <f aca="false">D733&amp;"|"&amp;TEXT(U733,"yyyy-mm-dd")</f>
        <v>신약|2028-01-26</v>
      </c>
      <c r="AR733" s="24" t="s">
        <v>7810</v>
      </c>
      <c r="AS733" s="24"/>
    </row>
    <row r="734" customFormat="false" ht="26.85" hidden="false" customHeight="false" outlineLevel="0" collapsed="false">
      <c r="A734" s="23" t="n">
        <v>733</v>
      </c>
      <c r="B734" s="31" t="s">
        <v>7811</v>
      </c>
      <c r="C734" s="23" t="n">
        <v>2</v>
      </c>
      <c r="D734" s="23" t="s">
        <v>5581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1" t="s">
        <v>7776</v>
      </c>
      <c r="H734" s="31" t="s">
        <v>7777</v>
      </c>
      <c r="I734" s="23" t="s">
        <v>7812</v>
      </c>
      <c r="J734" s="24" t="s">
        <v>7813</v>
      </c>
      <c r="K734" s="23" t="s">
        <v>1370</v>
      </c>
      <c r="L734" s="24" t="s">
        <v>7814</v>
      </c>
      <c r="M734" s="24" t="s">
        <v>7815</v>
      </c>
      <c r="N734" s="23" t="s">
        <v>7816</v>
      </c>
      <c r="O734" s="24" t="s">
        <v>7817</v>
      </c>
      <c r="P734" s="24" t="s">
        <v>7818</v>
      </c>
      <c r="Q734" s="24" t="s">
        <v>7819</v>
      </c>
      <c r="R734" s="24"/>
      <c r="S734" s="24" t="s">
        <v>7748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174</v>
      </c>
      <c r="Y734" s="23" t="s">
        <v>174</v>
      </c>
      <c r="Z734" s="23" t="s">
        <v>174</v>
      </c>
      <c r="AA734" s="23" t="s">
        <v>174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  <c r="AE734" s="24" t="str">
        <f aca="false">M734&amp;" | 데살로니가전서 1~3장 #"&amp;SUBSTITUTE(안내!$C$5," ","")</f>
        <v>핍박 속에서 소문난 믿음 | 데살로니가전서 1~3장 #1분성경</v>
      </c>
      <c r="AF734" s="24" t="s">
        <v>304</v>
      </c>
      <c r="AG734" s="24"/>
      <c r="AH734" s="23" t="s">
        <v>290</v>
      </c>
      <c r="AI734" s="26" t="n">
        <f aca="false">U734-안내!$C$12</f>
        <v>46752</v>
      </c>
      <c r="AJ734" s="23" t="str">
        <f aca="false">IF(U734&lt;IF(C734=1,안내!$C$9,안내!$C$10)+안내!$C$12,"시즌 시작 전 제작","")</f>
        <v/>
      </c>
      <c r="AK734" s="24" t="s">
        <v>7047</v>
      </c>
      <c r="AL734" s="27"/>
      <c r="AM734" s="27"/>
      <c r="AN734" s="27"/>
      <c r="AO734" s="27"/>
      <c r="AP734" s="27"/>
      <c r="AQ734" s="23" t="str">
        <f aca="false">D734&amp;"|"&amp;TEXT(U734,"yyyy-mm-dd")</f>
        <v>신약|2028-01-28</v>
      </c>
      <c r="AR734" s="24" t="s">
        <v>7820</v>
      </c>
      <c r="AS734" s="24"/>
    </row>
    <row r="735" customFormat="false" ht="26.85" hidden="false" customHeight="false" outlineLevel="0" collapsed="false">
      <c r="A735" s="23" t="n">
        <v>734</v>
      </c>
      <c r="B735" s="31" t="s">
        <v>7821</v>
      </c>
      <c r="C735" s="23" t="n">
        <v>2</v>
      </c>
      <c r="D735" s="23" t="s">
        <v>5581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1" t="s">
        <v>7776</v>
      </c>
      <c r="H735" s="31" t="s">
        <v>7777</v>
      </c>
      <c r="I735" s="23" t="s">
        <v>7812</v>
      </c>
      <c r="J735" s="24" t="s">
        <v>7822</v>
      </c>
      <c r="K735" s="23" t="s">
        <v>1370</v>
      </c>
      <c r="L735" s="24" t="s">
        <v>7823</v>
      </c>
      <c r="M735" s="24" t="s">
        <v>7824</v>
      </c>
      <c r="N735" s="23" t="s">
        <v>7825</v>
      </c>
      <c r="O735" s="24" t="s">
        <v>7826</v>
      </c>
      <c r="P735" s="24" t="s">
        <v>7047</v>
      </c>
      <c r="Q735" s="24" t="s">
        <v>7827</v>
      </c>
      <c r="R735" s="25" t="s">
        <v>7828</v>
      </c>
      <c r="S735" s="24" t="s">
        <v>7748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174</v>
      </c>
      <c r="Y735" s="23" t="s">
        <v>174</v>
      </c>
      <c r="Z735" s="23" t="s">
        <v>174</v>
      </c>
      <c r="AA735" s="23" t="s">
        <v>174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  <c r="AE735" s="24" t="str">
        <f aca="false">M735&amp;" | 데살로니가전서 4~5장 #"&amp;SUBSTITUTE(안내!$C$5," ","")</f>
        <v>먼저 죽은 성도들은 어떻게 될까? | 데살로니가전서 4~5장 #1분성경</v>
      </c>
      <c r="AF735" s="24" t="s">
        <v>304</v>
      </c>
      <c r="AG735" s="24"/>
      <c r="AH735" s="23" t="s">
        <v>176</v>
      </c>
      <c r="AI735" s="26" t="n">
        <f aca="false">U735-안내!$C$12</f>
        <v>46753</v>
      </c>
      <c r="AJ735" s="23" t="str">
        <f aca="false">IF(U735&lt;IF(C735=1,안내!$C$9,안내!$C$10)+안내!$C$12,"시즌 시작 전 제작","")</f>
        <v/>
      </c>
      <c r="AK735" s="24" t="s">
        <v>7047</v>
      </c>
      <c r="AL735" s="27"/>
      <c r="AM735" s="27"/>
      <c r="AN735" s="27"/>
      <c r="AO735" s="27"/>
      <c r="AP735" s="27"/>
      <c r="AQ735" s="23" t="str">
        <f aca="false">D735&amp;"|"&amp;TEXT(U735,"yyyy-mm-dd")</f>
        <v>신약|2028-01-29</v>
      </c>
      <c r="AR735" s="24" t="s">
        <v>7829</v>
      </c>
      <c r="AS735" s="24"/>
    </row>
    <row r="736" customFormat="false" ht="26.85" hidden="false" customHeight="false" outlineLevel="0" collapsed="false">
      <c r="A736" s="23" t="n">
        <v>735</v>
      </c>
      <c r="B736" s="31" t="s">
        <v>7830</v>
      </c>
      <c r="C736" s="23" t="n">
        <v>2</v>
      </c>
      <c r="D736" s="23" t="s">
        <v>5581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1" t="s">
        <v>7776</v>
      </c>
      <c r="H736" s="31" t="s">
        <v>7777</v>
      </c>
      <c r="I736" s="23" t="s">
        <v>7812</v>
      </c>
      <c r="J736" s="24" t="s">
        <v>7831</v>
      </c>
      <c r="K736" s="23" t="s">
        <v>1370</v>
      </c>
      <c r="L736" s="24" t="s">
        <v>7832</v>
      </c>
      <c r="M736" s="24" t="s">
        <v>7833</v>
      </c>
      <c r="N736" s="23" t="s">
        <v>7834</v>
      </c>
      <c r="O736" s="24" t="s">
        <v>7835</v>
      </c>
      <c r="P736" s="24" t="s">
        <v>7047</v>
      </c>
      <c r="Q736" s="24" t="s">
        <v>7836</v>
      </c>
      <c r="R736" s="24"/>
      <c r="S736" s="24" t="s">
        <v>7748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174</v>
      </c>
      <c r="Y736" s="23" t="s">
        <v>174</v>
      </c>
      <c r="Z736" s="23" t="s">
        <v>174</v>
      </c>
      <c r="AA736" s="23" t="s">
        <v>174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  <c r="AE736" s="24" t="str">
        <f aca="false">M736&amp;" | 데살로니가전서 5장 #"&amp;SUBSTITUTE(안내!$C$5," ","")</f>
        <v>하나님의 뜻을 알고 싶다면 | 데살로니가전서 5장 #1분성경</v>
      </c>
      <c r="AF736" s="24" t="s">
        <v>304</v>
      </c>
      <c r="AG736" s="24"/>
      <c r="AH736" s="23" t="s">
        <v>290</v>
      </c>
      <c r="AI736" s="26" t="n">
        <f aca="false">U736-안내!$C$12</f>
        <v>46755</v>
      </c>
      <c r="AJ736" s="23" t="str">
        <f aca="false">IF(U736&lt;IF(C736=1,안내!$C$9,안내!$C$10)+안내!$C$12,"시즌 시작 전 제작","")</f>
        <v/>
      </c>
      <c r="AK736" s="24" t="s">
        <v>7047</v>
      </c>
      <c r="AL736" s="27"/>
      <c r="AM736" s="27"/>
      <c r="AN736" s="27"/>
      <c r="AO736" s="27"/>
      <c r="AP736" s="27"/>
      <c r="AQ736" s="23" t="str">
        <f aca="false">D736&amp;"|"&amp;TEXT(U736,"yyyy-mm-dd")</f>
        <v>신약|2028-01-31</v>
      </c>
      <c r="AR736" s="24" t="s">
        <v>7835</v>
      </c>
      <c r="AS736" s="24"/>
    </row>
    <row r="737" customFormat="false" ht="26.85" hidden="false" customHeight="false" outlineLevel="0" collapsed="false">
      <c r="A737" s="23" t="n">
        <v>736</v>
      </c>
      <c r="B737" s="31" t="s">
        <v>7837</v>
      </c>
      <c r="C737" s="23" t="n">
        <v>2</v>
      </c>
      <c r="D737" s="23" t="s">
        <v>5581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1" t="s">
        <v>7776</v>
      </c>
      <c r="H737" s="31" t="s">
        <v>7777</v>
      </c>
      <c r="I737" s="23" t="s">
        <v>7838</v>
      </c>
      <c r="J737" s="24" t="s">
        <v>7839</v>
      </c>
      <c r="K737" s="23" t="s">
        <v>1370</v>
      </c>
      <c r="L737" s="24" t="s">
        <v>7840</v>
      </c>
      <c r="M737" s="24" t="s">
        <v>7841</v>
      </c>
      <c r="N737" s="23" t="s">
        <v>7842</v>
      </c>
      <c r="O737" s="24" t="s">
        <v>7843</v>
      </c>
      <c r="P737" s="24" t="s">
        <v>7047</v>
      </c>
      <c r="Q737" s="24" t="s">
        <v>7844</v>
      </c>
      <c r="R737" s="25" t="s">
        <v>7845</v>
      </c>
      <c r="S737" s="24" t="s">
        <v>7748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174</v>
      </c>
      <c r="Y737" s="23" t="s">
        <v>174</v>
      </c>
      <c r="Z737" s="23" t="s">
        <v>174</v>
      </c>
      <c r="AA737" s="23" t="s">
        <v>174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  <c r="AE737" s="24" t="str">
        <f aca="false">M737&amp;" | 데살로니가후서 1~2장 #"&amp;SUBSTITUTE(안내!$C$5," ","")</f>
        <v>주의 날이 벌써 왔다는 소문 | 데살로니가후서 1~2장 #1분성경</v>
      </c>
      <c r="AF737" s="24" t="s">
        <v>304</v>
      </c>
      <c r="AG737" s="24"/>
      <c r="AH737" s="23" t="s">
        <v>290</v>
      </c>
      <c r="AI737" s="26" t="n">
        <f aca="false">U737-안내!$C$12</f>
        <v>46757</v>
      </c>
      <c r="AJ737" s="23" t="str">
        <f aca="false">IF(U737&lt;IF(C737=1,안내!$C$9,안내!$C$10)+안내!$C$12,"시즌 시작 전 제작","")</f>
        <v/>
      </c>
      <c r="AK737" s="24" t="s">
        <v>7047</v>
      </c>
      <c r="AL737" s="27"/>
      <c r="AM737" s="27"/>
      <c r="AN737" s="27"/>
      <c r="AO737" s="27"/>
      <c r="AP737" s="27"/>
      <c r="AQ737" s="23" t="str">
        <f aca="false">D737&amp;"|"&amp;TEXT(U737,"yyyy-mm-dd")</f>
        <v>신약|2028-02-02</v>
      </c>
      <c r="AR737" s="24" t="s">
        <v>7846</v>
      </c>
      <c r="AS737" s="24"/>
    </row>
    <row r="738" customFormat="false" ht="26.85" hidden="false" customHeight="false" outlineLevel="0" collapsed="false">
      <c r="A738" s="23" t="n">
        <v>737</v>
      </c>
      <c r="B738" s="31" t="s">
        <v>7847</v>
      </c>
      <c r="C738" s="23" t="n">
        <v>2</v>
      </c>
      <c r="D738" s="23" t="s">
        <v>5581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1" t="s">
        <v>7776</v>
      </c>
      <c r="H738" s="31" t="s">
        <v>7777</v>
      </c>
      <c r="I738" s="23" t="s">
        <v>7838</v>
      </c>
      <c r="J738" s="24" t="s">
        <v>7848</v>
      </c>
      <c r="K738" s="23" t="s">
        <v>1370</v>
      </c>
      <c r="L738" s="24" t="s">
        <v>7849</v>
      </c>
      <c r="M738" s="24" t="s">
        <v>7850</v>
      </c>
      <c r="N738" s="23" t="s">
        <v>7851</v>
      </c>
      <c r="O738" s="24" t="s">
        <v>7852</v>
      </c>
      <c r="P738" s="24" t="s">
        <v>7047</v>
      </c>
      <c r="Q738" s="24" t="s">
        <v>7853</v>
      </c>
      <c r="R738" s="24"/>
      <c r="S738" s="24" t="s">
        <v>7748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174</v>
      </c>
      <c r="Y738" s="23" t="s">
        <v>174</v>
      </c>
      <c r="Z738" s="23" t="s">
        <v>174</v>
      </c>
      <c r="AA738" s="23" t="s">
        <v>174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  <c r="AE738" s="24" t="str">
        <f aca="false">M738&amp;" | 데살로니가후서 3장 #"&amp;SUBSTITUTE(안내!$C$5," ","")</f>
        <v>종말을 기다린다며 일을 그만둔 사람들 | 데살로니가후서 3장 #1분성경</v>
      </c>
      <c r="AF738" s="24" t="s">
        <v>304</v>
      </c>
      <c r="AG738" s="24"/>
      <c r="AH738" s="23" t="s">
        <v>290</v>
      </c>
      <c r="AI738" s="26" t="n">
        <f aca="false">U738-안내!$C$12</f>
        <v>46759</v>
      </c>
      <c r="AJ738" s="23" t="str">
        <f aca="false">IF(U738&lt;IF(C738=1,안내!$C$9,안내!$C$10)+안내!$C$12,"시즌 시작 전 제작","")</f>
        <v/>
      </c>
      <c r="AK738" s="24" t="s">
        <v>7047</v>
      </c>
      <c r="AL738" s="27"/>
      <c r="AM738" s="27"/>
      <c r="AN738" s="27"/>
      <c r="AO738" s="27"/>
      <c r="AP738" s="27"/>
      <c r="AQ738" s="23" t="str">
        <f aca="false">D738&amp;"|"&amp;TEXT(U738,"yyyy-mm-dd")</f>
        <v>신약|2028-02-04</v>
      </c>
      <c r="AR738" s="24" t="s">
        <v>7854</v>
      </c>
      <c r="AS738" s="24"/>
    </row>
    <row r="739" customFormat="false" ht="26.85" hidden="false" customHeight="false" outlineLevel="0" collapsed="false">
      <c r="A739" s="23" t="n">
        <v>738</v>
      </c>
      <c r="B739" s="31" t="s">
        <v>7855</v>
      </c>
      <c r="C739" s="23" t="n">
        <v>2</v>
      </c>
      <c r="D739" s="23" t="s">
        <v>5581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1" t="s">
        <v>7856</v>
      </c>
      <c r="H739" s="31" t="s">
        <v>7857</v>
      </c>
      <c r="I739" s="23" t="s">
        <v>7858</v>
      </c>
      <c r="J739" s="24" t="s">
        <v>7859</v>
      </c>
      <c r="K739" s="23" t="s">
        <v>1370</v>
      </c>
      <c r="L739" s="24" t="s">
        <v>7860</v>
      </c>
      <c r="M739" s="24" t="s">
        <v>7861</v>
      </c>
      <c r="N739" s="23" t="s">
        <v>7862</v>
      </c>
      <c r="O739" s="24" t="s">
        <v>7863</v>
      </c>
      <c r="P739" s="24" t="s">
        <v>7864</v>
      </c>
      <c r="Q739" s="24" t="s">
        <v>7865</v>
      </c>
      <c r="R739" s="24"/>
      <c r="S739" s="24" t="s">
        <v>7748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174</v>
      </c>
      <c r="Y739" s="23" t="s">
        <v>174</v>
      </c>
      <c r="Z739" s="23" t="s">
        <v>174</v>
      </c>
      <c r="AA739" s="23" t="s">
        <v>174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  <c r="AE739" s="24" t="str">
        <f aca="false">M739&amp;" | 디모데전서 1장 #"&amp;SUBSTITUTE(안내!$C$5," ","")</f>
        <v>바울은 자신을 이렇게 소개했다 | 디모데전서 1장 #1분성경</v>
      </c>
      <c r="AF739" s="24" t="s">
        <v>304</v>
      </c>
      <c r="AG739" s="24"/>
      <c r="AH739" s="23" t="s">
        <v>290</v>
      </c>
      <c r="AI739" s="26" t="n">
        <f aca="false">U739-안내!$C$12</f>
        <v>46760</v>
      </c>
      <c r="AJ739" s="23" t="str">
        <f aca="false">IF(U739&lt;IF(C739=1,안내!$C$9,안내!$C$10)+안내!$C$12,"시즌 시작 전 제작","")</f>
        <v/>
      </c>
      <c r="AK739" s="24" t="s">
        <v>7047</v>
      </c>
      <c r="AL739" s="27"/>
      <c r="AM739" s="27"/>
      <c r="AN739" s="27"/>
      <c r="AO739" s="27"/>
      <c r="AP739" s="27"/>
      <c r="AQ739" s="23" t="str">
        <f aca="false">D739&amp;"|"&amp;TEXT(U739,"yyyy-mm-dd")</f>
        <v>신약|2028-02-05</v>
      </c>
      <c r="AR739" s="24" t="s">
        <v>7866</v>
      </c>
      <c r="AS739" s="24"/>
    </row>
    <row r="740" customFormat="false" ht="39.55" hidden="false" customHeight="false" outlineLevel="0" collapsed="false">
      <c r="A740" s="23" t="n">
        <v>739</v>
      </c>
      <c r="B740" s="31" t="s">
        <v>7867</v>
      </c>
      <c r="C740" s="23" t="n">
        <v>2</v>
      </c>
      <c r="D740" s="23" t="s">
        <v>5581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1" t="s">
        <v>7856</v>
      </c>
      <c r="H740" s="31" t="s">
        <v>7857</v>
      </c>
      <c r="I740" s="23" t="s">
        <v>7858</v>
      </c>
      <c r="J740" s="24" t="s">
        <v>7868</v>
      </c>
      <c r="K740" s="23" t="s">
        <v>1370</v>
      </c>
      <c r="L740" s="24" t="s">
        <v>7869</v>
      </c>
      <c r="M740" s="24" t="s">
        <v>7870</v>
      </c>
      <c r="N740" s="23" t="s">
        <v>7871</v>
      </c>
      <c r="O740" s="24" t="s">
        <v>7872</v>
      </c>
      <c r="P740" s="24" t="s">
        <v>7047</v>
      </c>
      <c r="Q740" s="24" t="s">
        <v>7873</v>
      </c>
      <c r="R740" s="25" t="s">
        <v>7874</v>
      </c>
      <c r="S740" s="24" t="s">
        <v>7748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174</v>
      </c>
      <c r="Y740" s="23" t="s">
        <v>174</v>
      </c>
      <c r="Z740" s="23" t="s">
        <v>174</v>
      </c>
      <c r="AA740" s="23" t="s">
        <v>174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  <c r="AE740" s="24" t="str">
        <f aca="false">M740&amp;" | 디모데전서 2~3장 #"&amp;SUBSTITUTE(안내!$C$5," ","")</f>
        <v>하나님과 사람 사이에 | 디모데전서 2~3장 #1분성경</v>
      </c>
      <c r="AF740" s="24" t="s">
        <v>304</v>
      </c>
      <c r="AG740" s="24"/>
      <c r="AH740" s="23" t="s">
        <v>290</v>
      </c>
      <c r="AI740" s="26" t="n">
        <f aca="false">U740-안내!$C$12</f>
        <v>46762</v>
      </c>
      <c r="AJ740" s="23" t="str">
        <f aca="false">IF(U740&lt;IF(C740=1,안내!$C$9,안내!$C$10)+안내!$C$12,"시즌 시작 전 제작","")</f>
        <v/>
      </c>
      <c r="AK740" s="24" t="s">
        <v>7047</v>
      </c>
      <c r="AL740" s="27"/>
      <c r="AM740" s="27"/>
      <c r="AN740" s="27"/>
      <c r="AO740" s="27"/>
      <c r="AP740" s="27"/>
      <c r="AQ740" s="23" t="str">
        <f aca="false">D740&amp;"|"&amp;TEXT(U740,"yyyy-mm-dd")</f>
        <v>신약|2028-02-07</v>
      </c>
      <c r="AR740" s="24" t="s">
        <v>7875</v>
      </c>
      <c r="AS740" s="24"/>
    </row>
    <row r="741" customFormat="false" ht="26.85" hidden="false" customHeight="false" outlineLevel="0" collapsed="false">
      <c r="A741" s="23" t="n">
        <v>740</v>
      </c>
      <c r="B741" s="31" t="s">
        <v>7876</v>
      </c>
      <c r="C741" s="23" t="n">
        <v>2</v>
      </c>
      <c r="D741" s="23" t="s">
        <v>5581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1" t="s">
        <v>7856</v>
      </c>
      <c r="H741" s="31" t="s">
        <v>7857</v>
      </c>
      <c r="I741" s="23" t="s">
        <v>7858</v>
      </c>
      <c r="J741" s="24" t="s">
        <v>7877</v>
      </c>
      <c r="K741" s="23" t="s">
        <v>1370</v>
      </c>
      <c r="L741" s="24" t="s">
        <v>7878</v>
      </c>
      <c r="M741" s="24" t="s">
        <v>7879</v>
      </c>
      <c r="N741" s="23" t="s">
        <v>7880</v>
      </c>
      <c r="O741" s="24" t="s">
        <v>7881</v>
      </c>
      <c r="P741" s="24" t="s">
        <v>7864</v>
      </c>
      <c r="Q741" s="24" t="s">
        <v>7882</v>
      </c>
      <c r="R741" s="25" t="s">
        <v>7883</v>
      </c>
      <c r="S741" s="24" t="s">
        <v>7748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174</v>
      </c>
      <c r="Y741" s="23" t="s">
        <v>174</v>
      </c>
      <c r="Z741" s="23" t="s">
        <v>174</v>
      </c>
      <c r="AA741" s="23" t="s">
        <v>174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  <c r="AE741" s="24" t="str">
        <f aca="false">M741&amp;" | 디모데전서 4장 #"&amp;SUBSTITUTE(안내!$C$5," ","")</f>
        <v>젊은 목회자에게 보낸 응원 | 디모데전서 4장 #1분성경</v>
      </c>
      <c r="AF741" s="24" t="s">
        <v>304</v>
      </c>
      <c r="AG741" s="24"/>
      <c r="AH741" s="23" t="s">
        <v>290</v>
      </c>
      <c r="AI741" s="26" t="n">
        <f aca="false">U741-안내!$C$12</f>
        <v>46764</v>
      </c>
      <c r="AJ741" s="23" t="str">
        <f aca="false">IF(U741&lt;IF(C741=1,안내!$C$9,안내!$C$10)+안내!$C$12,"시즌 시작 전 제작","")</f>
        <v/>
      </c>
      <c r="AK741" s="24" t="s">
        <v>7047</v>
      </c>
      <c r="AL741" s="27"/>
      <c r="AM741" s="27"/>
      <c r="AN741" s="27"/>
      <c r="AO741" s="27"/>
      <c r="AP741" s="27"/>
      <c r="AQ741" s="23" t="str">
        <f aca="false">D741&amp;"|"&amp;TEXT(U741,"yyyy-mm-dd")</f>
        <v>신약|2028-02-09</v>
      </c>
      <c r="AR741" s="24" t="s">
        <v>7884</v>
      </c>
      <c r="AS741" s="24"/>
    </row>
    <row r="742" customFormat="false" ht="26.85" hidden="false" customHeight="false" outlineLevel="0" collapsed="false">
      <c r="A742" s="23" t="n">
        <v>741</v>
      </c>
      <c r="B742" s="31" t="s">
        <v>7885</v>
      </c>
      <c r="C742" s="23" t="n">
        <v>2</v>
      </c>
      <c r="D742" s="23" t="s">
        <v>5581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1" t="s">
        <v>7856</v>
      </c>
      <c r="H742" s="31" t="s">
        <v>7857</v>
      </c>
      <c r="I742" s="23" t="s">
        <v>7858</v>
      </c>
      <c r="J742" s="24" t="s">
        <v>7886</v>
      </c>
      <c r="K742" s="23" t="s">
        <v>1370</v>
      </c>
      <c r="L742" s="24" t="s">
        <v>7887</v>
      </c>
      <c r="M742" s="24" t="s">
        <v>7888</v>
      </c>
      <c r="N742" s="23" t="s">
        <v>7889</v>
      </c>
      <c r="O742" s="24" t="s">
        <v>7890</v>
      </c>
      <c r="P742" s="24" t="s">
        <v>7864</v>
      </c>
      <c r="Q742" s="24" t="s">
        <v>7891</v>
      </c>
      <c r="R742" s="25" t="s">
        <v>7892</v>
      </c>
      <c r="S742" s="24" t="s">
        <v>7748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174</v>
      </c>
      <c r="Y742" s="23" t="s">
        <v>174</v>
      </c>
      <c r="Z742" s="23" t="s">
        <v>174</v>
      </c>
      <c r="AA742" s="23" t="s">
        <v>174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  <c r="AE742" s="24" t="str">
        <f aca="false">M742&amp;" | 디모데전서 5~6장 #"&amp;SUBSTITUTE(안내!$C$5," ","")</f>
        <v>돈을 사랑함이 일만 악의 뿌리 | 디모데전서 5~6장 #1분성경</v>
      </c>
      <c r="AF742" s="24" t="s">
        <v>304</v>
      </c>
      <c r="AG742" s="24"/>
      <c r="AH742" s="23" t="s">
        <v>290</v>
      </c>
      <c r="AI742" s="26" t="n">
        <f aca="false">U742-안내!$C$12</f>
        <v>46766</v>
      </c>
      <c r="AJ742" s="23" t="str">
        <f aca="false">IF(U742&lt;IF(C742=1,안내!$C$9,안내!$C$10)+안내!$C$12,"시즌 시작 전 제작","")</f>
        <v/>
      </c>
      <c r="AK742" s="24" t="s">
        <v>7047</v>
      </c>
      <c r="AL742" s="27"/>
      <c r="AM742" s="27"/>
      <c r="AN742" s="27"/>
      <c r="AO742" s="27"/>
      <c r="AP742" s="27"/>
      <c r="AQ742" s="23" t="str">
        <f aca="false">D742&amp;"|"&amp;TEXT(U742,"yyyy-mm-dd")</f>
        <v>신약|2028-02-11</v>
      </c>
      <c r="AR742" s="24" t="s">
        <v>7893</v>
      </c>
      <c r="AS742" s="24"/>
    </row>
    <row r="743" customFormat="false" ht="39.55" hidden="false" customHeight="false" outlineLevel="0" collapsed="false">
      <c r="A743" s="23" t="n">
        <v>742</v>
      </c>
      <c r="B743" s="31" t="s">
        <v>7894</v>
      </c>
      <c r="C743" s="23" t="n">
        <v>2</v>
      </c>
      <c r="D743" s="23" t="s">
        <v>5581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1" t="s">
        <v>7856</v>
      </c>
      <c r="H743" s="31" t="s">
        <v>7857</v>
      </c>
      <c r="I743" s="23" t="s">
        <v>7895</v>
      </c>
      <c r="J743" s="24" t="s">
        <v>7896</v>
      </c>
      <c r="K743" s="23" t="s">
        <v>1370</v>
      </c>
      <c r="L743" s="24" t="s">
        <v>7897</v>
      </c>
      <c r="M743" s="24" t="s">
        <v>7898</v>
      </c>
      <c r="N743" s="23" t="s">
        <v>7899</v>
      </c>
      <c r="O743" s="24" t="s">
        <v>7900</v>
      </c>
      <c r="P743" s="24" t="s">
        <v>7901</v>
      </c>
      <c r="Q743" s="24" t="s">
        <v>7902</v>
      </c>
      <c r="R743" s="24"/>
      <c r="S743" s="24" t="s">
        <v>7748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174</v>
      </c>
      <c r="Y743" s="23" t="s">
        <v>174</v>
      </c>
      <c r="Z743" s="23" t="s">
        <v>174</v>
      </c>
      <c r="AA743" s="23" t="s">
        <v>174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  <c r="AE743" s="24" t="str">
        <f aca="false">M743&amp;" | 디모데후서 1장 #"&amp;SUBSTITUTE(안내!$C$5," ","")</f>
        <v>할머니와 어머니에게서 물려받은 믿음 | 디모데후서 1장 #1분성경</v>
      </c>
      <c r="AF743" s="24" t="s">
        <v>304</v>
      </c>
      <c r="AG743" s="24"/>
      <c r="AH743" s="23" t="s">
        <v>290</v>
      </c>
      <c r="AI743" s="26" t="n">
        <f aca="false">U743-안내!$C$12</f>
        <v>46767</v>
      </c>
      <c r="AJ743" s="23" t="str">
        <f aca="false">IF(U743&lt;IF(C743=1,안내!$C$9,안내!$C$10)+안내!$C$12,"시즌 시작 전 제작","")</f>
        <v/>
      </c>
      <c r="AK743" s="24" t="s">
        <v>7047</v>
      </c>
      <c r="AL743" s="27"/>
      <c r="AM743" s="27"/>
      <c r="AN743" s="27"/>
      <c r="AO743" s="27"/>
      <c r="AP743" s="27"/>
      <c r="AQ743" s="23" t="str">
        <f aca="false">D743&amp;"|"&amp;TEXT(U743,"yyyy-mm-dd")</f>
        <v>신약|2028-02-12</v>
      </c>
      <c r="AR743" s="24" t="s">
        <v>7903</v>
      </c>
      <c r="AS743" s="24"/>
    </row>
    <row r="744" customFormat="false" ht="26.85" hidden="false" customHeight="false" outlineLevel="0" collapsed="false">
      <c r="A744" s="23" t="n">
        <v>743</v>
      </c>
      <c r="B744" s="31" t="s">
        <v>7904</v>
      </c>
      <c r="C744" s="23" t="n">
        <v>2</v>
      </c>
      <c r="D744" s="23" t="s">
        <v>5581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1" t="s">
        <v>7856</v>
      </c>
      <c r="H744" s="31" t="s">
        <v>7857</v>
      </c>
      <c r="I744" s="23" t="s">
        <v>7895</v>
      </c>
      <c r="J744" s="24" t="s">
        <v>7905</v>
      </c>
      <c r="K744" s="23" t="s">
        <v>1370</v>
      </c>
      <c r="L744" s="24" t="s">
        <v>7906</v>
      </c>
      <c r="M744" s="24" t="s">
        <v>7907</v>
      </c>
      <c r="N744" s="23" t="s">
        <v>7908</v>
      </c>
      <c r="O744" s="24" t="s">
        <v>7909</v>
      </c>
      <c r="P744" s="24" t="s">
        <v>7864</v>
      </c>
      <c r="Q744" s="24" t="s">
        <v>7910</v>
      </c>
      <c r="R744" s="24"/>
      <c r="S744" s="24" t="s">
        <v>7748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174</v>
      </c>
      <c r="Y744" s="23" t="s">
        <v>174</v>
      </c>
      <c r="Z744" s="23" t="s">
        <v>174</v>
      </c>
      <c r="AA744" s="23" t="s">
        <v>174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  <c r="AE744" s="24" t="str">
        <f aca="false">M744&amp;" | 디모데후서 2장 #"&amp;SUBSTITUTE(안내!$C$5," ","")</f>
        <v>좋은 병사, 경기하는 자, 농부처럼 | 디모데후서 2장 #1분성경</v>
      </c>
      <c r="AF744" s="24" t="s">
        <v>304</v>
      </c>
      <c r="AG744" s="24"/>
      <c r="AH744" s="23" t="s">
        <v>290</v>
      </c>
      <c r="AI744" s="26" t="n">
        <f aca="false">U744-안내!$C$12</f>
        <v>46769</v>
      </c>
      <c r="AJ744" s="23" t="str">
        <f aca="false">IF(U744&lt;IF(C744=1,안내!$C$9,안내!$C$10)+안내!$C$12,"시즌 시작 전 제작","")</f>
        <v/>
      </c>
      <c r="AK744" s="24" t="s">
        <v>7047</v>
      </c>
      <c r="AL744" s="27"/>
      <c r="AM744" s="27"/>
      <c r="AN744" s="27"/>
      <c r="AO744" s="27"/>
      <c r="AP744" s="27"/>
      <c r="AQ744" s="23" t="str">
        <f aca="false">D744&amp;"|"&amp;TEXT(U744,"yyyy-mm-dd")</f>
        <v>신약|2028-02-14</v>
      </c>
      <c r="AR744" s="24" t="s">
        <v>7911</v>
      </c>
      <c r="AS744" s="24"/>
    </row>
    <row r="745" customFormat="false" ht="39.55" hidden="false" customHeight="false" outlineLevel="0" collapsed="false">
      <c r="A745" s="23" t="n">
        <v>744</v>
      </c>
      <c r="B745" s="31" t="s">
        <v>7912</v>
      </c>
      <c r="C745" s="23" t="n">
        <v>2</v>
      </c>
      <c r="D745" s="23" t="s">
        <v>5581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1" t="s">
        <v>7856</v>
      </c>
      <c r="H745" s="31" t="s">
        <v>7857</v>
      </c>
      <c r="I745" s="23" t="s">
        <v>7895</v>
      </c>
      <c r="J745" s="24" t="s">
        <v>7913</v>
      </c>
      <c r="K745" s="23" t="s">
        <v>1370</v>
      </c>
      <c r="L745" s="24" t="s">
        <v>7914</v>
      </c>
      <c r="M745" s="24" t="s">
        <v>7915</v>
      </c>
      <c r="N745" s="23" t="s">
        <v>7916</v>
      </c>
      <c r="O745" s="24" t="s">
        <v>7917</v>
      </c>
      <c r="P745" s="24" t="s">
        <v>7047</v>
      </c>
      <c r="Q745" s="24" t="s">
        <v>7918</v>
      </c>
      <c r="R745" s="25" t="s">
        <v>7919</v>
      </c>
      <c r="S745" s="24" t="s">
        <v>7748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174</v>
      </c>
      <c r="Y745" s="23" t="s">
        <v>174</v>
      </c>
      <c r="Z745" s="23" t="s">
        <v>174</v>
      </c>
      <c r="AA745" s="23" t="s">
        <v>174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  <c r="AE745" s="24" t="str">
        <f aca="false">M745&amp;" | 디모데후서 3~4장 #"&amp;SUBSTITUTE(안내!$C$5," ","")</f>
        <v>순교를 앞둔 바울의 마지막 편지 | 디모데후서 3~4장 #1분성경</v>
      </c>
      <c r="AF745" s="24" t="s">
        <v>304</v>
      </c>
      <c r="AG745" s="24"/>
      <c r="AH745" s="23" t="s">
        <v>290</v>
      </c>
      <c r="AI745" s="26" t="n">
        <f aca="false">U745-안내!$C$12</f>
        <v>46771</v>
      </c>
      <c r="AJ745" s="23" t="str">
        <f aca="false">IF(U745&lt;IF(C745=1,안내!$C$9,안내!$C$10)+안내!$C$12,"시즌 시작 전 제작","")</f>
        <v/>
      </c>
      <c r="AK745" s="24" t="s">
        <v>7047</v>
      </c>
      <c r="AL745" s="27"/>
      <c r="AM745" s="27"/>
      <c r="AN745" s="27"/>
      <c r="AO745" s="27"/>
      <c r="AP745" s="27"/>
      <c r="AQ745" s="23" t="str">
        <f aca="false">D745&amp;"|"&amp;TEXT(U745,"yyyy-mm-dd")</f>
        <v>신약|2028-02-16</v>
      </c>
      <c r="AR745" s="24" t="s">
        <v>7917</v>
      </c>
      <c r="AS745" s="24"/>
    </row>
    <row r="746" customFormat="false" ht="26.85" hidden="false" customHeight="false" outlineLevel="0" collapsed="false">
      <c r="A746" s="23" t="n">
        <v>745</v>
      </c>
      <c r="B746" s="31" t="s">
        <v>7920</v>
      </c>
      <c r="C746" s="23" t="n">
        <v>2</v>
      </c>
      <c r="D746" s="23" t="s">
        <v>5581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1" t="s">
        <v>7856</v>
      </c>
      <c r="H746" s="31" t="s">
        <v>7857</v>
      </c>
      <c r="I746" s="23" t="s">
        <v>7921</v>
      </c>
      <c r="J746" s="24" t="s">
        <v>7922</v>
      </c>
      <c r="K746" s="23" t="s">
        <v>1370</v>
      </c>
      <c r="L746" s="24" t="s">
        <v>7923</v>
      </c>
      <c r="M746" s="24" t="s">
        <v>7924</v>
      </c>
      <c r="N746" s="23" t="s">
        <v>7925</v>
      </c>
      <c r="O746" s="24" t="s">
        <v>7926</v>
      </c>
      <c r="P746" s="24" t="s">
        <v>7927</v>
      </c>
      <c r="Q746" s="24" t="s">
        <v>7928</v>
      </c>
      <c r="R746" s="24"/>
      <c r="S746" s="24" t="s">
        <v>7748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174</v>
      </c>
      <c r="Y746" s="23" t="s">
        <v>174</v>
      </c>
      <c r="Z746" s="23" t="s">
        <v>174</v>
      </c>
      <c r="AA746" s="23" t="s">
        <v>174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  <c r="AE746" s="24" t="str">
        <f aca="false">M746&amp;" | 디도서 1장 #"&amp;SUBSTITUTE(안내!$C$5," ","")</f>
        <v>교회 지도자는 어떤 사람이어야 할까? | 디도서 1장 #1분성경</v>
      </c>
      <c r="AF746" s="24" t="s">
        <v>304</v>
      </c>
      <c r="AG746" s="24"/>
      <c r="AH746" s="23" t="s">
        <v>176</v>
      </c>
      <c r="AI746" s="26" t="n">
        <f aca="false">U746-안내!$C$12</f>
        <v>46773</v>
      </c>
      <c r="AJ746" s="23" t="str">
        <f aca="false">IF(U746&lt;IF(C746=1,안내!$C$9,안내!$C$10)+안내!$C$12,"시즌 시작 전 제작","")</f>
        <v/>
      </c>
      <c r="AK746" s="24" t="s">
        <v>7047</v>
      </c>
      <c r="AL746" s="27"/>
      <c r="AM746" s="27"/>
      <c r="AN746" s="27"/>
      <c r="AO746" s="27"/>
      <c r="AP746" s="27"/>
      <c r="AQ746" s="23" t="str">
        <f aca="false">D746&amp;"|"&amp;TEXT(U746,"yyyy-mm-dd")</f>
        <v>신약|2028-02-18</v>
      </c>
      <c r="AR746" s="24" t="s">
        <v>7929</v>
      </c>
      <c r="AS746" s="24"/>
    </row>
    <row r="747" customFormat="false" ht="39.55" hidden="false" customHeight="false" outlineLevel="0" collapsed="false">
      <c r="A747" s="23" t="n">
        <v>746</v>
      </c>
      <c r="B747" s="31" t="s">
        <v>7930</v>
      </c>
      <c r="C747" s="23" t="n">
        <v>2</v>
      </c>
      <c r="D747" s="23" t="s">
        <v>5581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1" t="s">
        <v>7856</v>
      </c>
      <c r="H747" s="31" t="s">
        <v>7857</v>
      </c>
      <c r="I747" s="23" t="s">
        <v>7921</v>
      </c>
      <c r="J747" s="24" t="s">
        <v>7931</v>
      </c>
      <c r="K747" s="23" t="s">
        <v>1370</v>
      </c>
      <c r="L747" s="24" t="s">
        <v>7932</v>
      </c>
      <c r="M747" s="24" t="s">
        <v>7933</v>
      </c>
      <c r="N747" s="23" t="s">
        <v>7934</v>
      </c>
      <c r="O747" s="24" t="s">
        <v>7935</v>
      </c>
      <c r="P747" s="24" t="s">
        <v>7927</v>
      </c>
      <c r="Q747" s="24" t="s">
        <v>7936</v>
      </c>
      <c r="R747" s="25" t="s">
        <v>7698</v>
      </c>
      <c r="S747" s="24" t="s">
        <v>7748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174</v>
      </c>
      <c r="Y747" s="23" t="s">
        <v>174</v>
      </c>
      <c r="Z747" s="23" t="s">
        <v>174</v>
      </c>
      <c r="AA747" s="23" t="s">
        <v>174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  <c r="AE747" s="24" t="str">
        <f aca="false">M747&amp;" | 디도서 2~3장 #"&amp;SUBSTITUTE(안내!$C$5," ","")</f>
        <v>우리를 구원하신 이유 | 디도서 2~3장 #1분성경</v>
      </c>
      <c r="AF747" s="24" t="s">
        <v>304</v>
      </c>
      <c r="AG747" s="24"/>
      <c r="AH747" s="23" t="s">
        <v>290</v>
      </c>
      <c r="AI747" s="26" t="n">
        <f aca="false">U747-안내!$C$12</f>
        <v>46774</v>
      </c>
      <c r="AJ747" s="23" t="str">
        <f aca="false">IF(U747&lt;IF(C747=1,안내!$C$9,안내!$C$10)+안내!$C$12,"시즌 시작 전 제작","")</f>
        <v/>
      </c>
      <c r="AK747" s="24" t="s">
        <v>7047</v>
      </c>
      <c r="AL747" s="27"/>
      <c r="AM747" s="27"/>
      <c r="AN747" s="27"/>
      <c r="AO747" s="27"/>
      <c r="AP747" s="27"/>
      <c r="AQ747" s="23" t="str">
        <f aca="false">D747&amp;"|"&amp;TEXT(U747,"yyyy-mm-dd")</f>
        <v>신약|2028-02-19</v>
      </c>
      <c r="AR747" s="24" t="s">
        <v>7937</v>
      </c>
      <c r="AS747" s="24"/>
    </row>
    <row r="748" customFormat="false" ht="26.85" hidden="false" customHeight="false" outlineLevel="0" collapsed="false">
      <c r="A748" s="23" t="n">
        <v>747</v>
      </c>
      <c r="B748" s="31" t="s">
        <v>7938</v>
      </c>
      <c r="C748" s="23" t="n">
        <v>2</v>
      </c>
      <c r="D748" s="23" t="s">
        <v>5581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1" t="s">
        <v>7856</v>
      </c>
      <c r="H748" s="31" t="s">
        <v>7857</v>
      </c>
      <c r="I748" s="23" t="s">
        <v>7939</v>
      </c>
      <c r="J748" s="24" t="s">
        <v>7940</v>
      </c>
      <c r="K748" s="23" t="s">
        <v>1370</v>
      </c>
      <c r="L748" s="24" t="s">
        <v>7941</v>
      </c>
      <c r="M748" s="24" t="s">
        <v>7942</v>
      </c>
      <c r="N748" s="23" t="s">
        <v>7943</v>
      </c>
      <c r="O748" s="24" t="s">
        <v>7944</v>
      </c>
      <c r="P748" s="24" t="s">
        <v>7945</v>
      </c>
      <c r="Q748" s="24" t="s">
        <v>7946</v>
      </c>
      <c r="R748" s="25" t="s">
        <v>7947</v>
      </c>
      <c r="S748" s="24" t="s">
        <v>7748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174</v>
      </c>
      <c r="Y748" s="23" t="s">
        <v>174</v>
      </c>
      <c r="Z748" s="23" t="s">
        <v>174</v>
      </c>
      <c r="AA748" s="23" t="s">
        <v>174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  <c r="AE748" s="24" t="str">
        <f aca="false">M748&amp;" | 빌레몬서 1장 #"&amp;SUBSTITUTE(안내!$C$5," ","")</f>
        <v>주인에게 돌아가는 노예의 손에 들린 편지 | 빌레몬서 1장 #1분성경</v>
      </c>
      <c r="AF748" s="24" t="s">
        <v>304</v>
      </c>
      <c r="AG748" s="24"/>
      <c r="AH748" s="23" t="s">
        <v>290</v>
      </c>
      <c r="AI748" s="26" t="n">
        <f aca="false">U748-안내!$C$12</f>
        <v>46776</v>
      </c>
      <c r="AJ748" s="23" t="str">
        <f aca="false">IF(U748&lt;IF(C748=1,안내!$C$9,안내!$C$10)+안내!$C$12,"시즌 시작 전 제작","")</f>
        <v/>
      </c>
      <c r="AK748" s="24" t="s">
        <v>7047</v>
      </c>
      <c r="AL748" s="27"/>
      <c r="AM748" s="27"/>
      <c r="AN748" s="27"/>
      <c r="AO748" s="27"/>
      <c r="AP748" s="27"/>
      <c r="AQ748" s="23" t="str">
        <f aca="false">D748&amp;"|"&amp;TEXT(U748,"yyyy-mm-dd")</f>
        <v>신약|2028-02-21</v>
      </c>
      <c r="AR748" s="24" t="s">
        <v>7948</v>
      </c>
      <c r="AS748" s="24"/>
    </row>
    <row r="749" customFormat="false" ht="39.55" hidden="false" customHeight="false" outlineLevel="0" collapsed="false">
      <c r="A749" s="23" t="n">
        <v>748</v>
      </c>
      <c r="B749" s="31" t="s">
        <v>7949</v>
      </c>
      <c r="C749" s="23" t="n">
        <v>2</v>
      </c>
      <c r="D749" s="23" t="s">
        <v>5581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1" t="s">
        <v>7950</v>
      </c>
      <c r="H749" s="31" t="s">
        <v>7951</v>
      </c>
      <c r="I749" s="23" t="s">
        <v>7952</v>
      </c>
      <c r="J749" s="24" t="s">
        <v>7953</v>
      </c>
      <c r="K749" s="23" t="s">
        <v>1370</v>
      </c>
      <c r="L749" s="24" t="s">
        <v>7954</v>
      </c>
      <c r="M749" s="24" t="s">
        <v>7955</v>
      </c>
      <c r="N749" s="23" t="s">
        <v>7956</v>
      </c>
      <c r="O749" s="24" t="s">
        <v>7957</v>
      </c>
      <c r="P749" s="24" t="s">
        <v>7958</v>
      </c>
      <c r="Q749" s="24" t="s">
        <v>4262</v>
      </c>
      <c r="R749" s="25" t="s">
        <v>7959</v>
      </c>
      <c r="S749" s="24" t="s">
        <v>7748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174</v>
      </c>
      <c r="Y749" s="23" t="s">
        <v>174</v>
      </c>
      <c r="Z749" s="23" t="s">
        <v>174</v>
      </c>
      <c r="AA749" s="23" t="s">
        <v>174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  <c r="AE749" s="24" t="str">
        <f aca="false">M749&amp;" | 히브리서 1~2장 #"&amp;SUBSTITUTE(안내!$C$5," ","")</f>
        <v>하나님이 마지막으로 하신 말씀 | 히브리서 1~2장 #1분성경</v>
      </c>
      <c r="AF749" s="24" t="s">
        <v>304</v>
      </c>
      <c r="AG749" s="24"/>
      <c r="AH749" s="23" t="s">
        <v>290</v>
      </c>
      <c r="AI749" s="26" t="n">
        <f aca="false">U749-안내!$C$12</f>
        <v>46778</v>
      </c>
      <c r="AJ749" s="23" t="str">
        <f aca="false">IF(U749&lt;IF(C749=1,안내!$C$9,안내!$C$10)+안내!$C$12,"시즌 시작 전 제작","")</f>
        <v/>
      </c>
      <c r="AK749" s="24"/>
      <c r="AL749" s="27"/>
      <c r="AM749" s="27"/>
      <c r="AN749" s="27"/>
      <c r="AO749" s="27"/>
      <c r="AP749" s="27"/>
      <c r="AQ749" s="23" t="str">
        <f aca="false">D749&amp;"|"&amp;TEXT(U749,"yyyy-mm-dd")</f>
        <v>신약|2028-02-23</v>
      </c>
      <c r="AR749" s="24" t="s">
        <v>7960</v>
      </c>
      <c r="AS749" s="24"/>
    </row>
    <row r="750" customFormat="false" ht="39.55" hidden="false" customHeight="false" outlineLevel="0" collapsed="false">
      <c r="A750" s="23" t="n">
        <v>749</v>
      </c>
      <c r="B750" s="31" t="s">
        <v>7961</v>
      </c>
      <c r="C750" s="23" t="n">
        <v>2</v>
      </c>
      <c r="D750" s="23" t="s">
        <v>5581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1" t="s">
        <v>7950</v>
      </c>
      <c r="H750" s="31" t="s">
        <v>7951</v>
      </c>
      <c r="I750" s="23" t="s">
        <v>7952</v>
      </c>
      <c r="J750" s="24" t="s">
        <v>7962</v>
      </c>
      <c r="K750" s="23" t="s">
        <v>1370</v>
      </c>
      <c r="L750" s="24" t="s">
        <v>7963</v>
      </c>
      <c r="M750" s="24" t="s">
        <v>7964</v>
      </c>
      <c r="N750" s="23" t="s">
        <v>7965</v>
      </c>
      <c r="O750" s="24" t="s">
        <v>7966</v>
      </c>
      <c r="P750" s="24" t="s">
        <v>7967</v>
      </c>
      <c r="Q750" s="24" t="s">
        <v>7968</v>
      </c>
      <c r="R750" s="24"/>
      <c r="S750" s="24" t="s">
        <v>7748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174</v>
      </c>
      <c r="Y750" s="23" t="s">
        <v>174</v>
      </c>
      <c r="Z750" s="23" t="s">
        <v>174</v>
      </c>
      <c r="AA750" s="23" t="s">
        <v>174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  <c r="AE750" s="24" t="str">
        <f aca="false">M750&amp;" | 히브리서 3~4장 #"&amp;SUBSTITUTE(안내!$C$5," ","")</f>
        <v>좌우에 날 선 어떤 검보다 예리한 | 히브리서 3~4장 #1분성경</v>
      </c>
      <c r="AF750" s="24" t="s">
        <v>304</v>
      </c>
      <c r="AG750" s="24"/>
      <c r="AH750" s="23" t="s">
        <v>290</v>
      </c>
      <c r="AI750" s="26" t="n">
        <f aca="false">U750-안내!$C$12</f>
        <v>46780</v>
      </c>
      <c r="AJ750" s="23" t="str">
        <f aca="false">IF(U750&lt;IF(C750=1,안내!$C$9,안내!$C$10)+안내!$C$12,"시즌 시작 전 제작","")</f>
        <v/>
      </c>
      <c r="AK750" s="24"/>
      <c r="AL750" s="27"/>
      <c r="AM750" s="27"/>
      <c r="AN750" s="27"/>
      <c r="AO750" s="27"/>
      <c r="AP750" s="27"/>
      <c r="AQ750" s="23" t="str">
        <f aca="false">D750&amp;"|"&amp;TEXT(U750,"yyyy-mm-dd")</f>
        <v>신약|2028-02-25</v>
      </c>
      <c r="AR750" s="24" t="s">
        <v>7969</v>
      </c>
      <c r="AS750" s="24"/>
    </row>
    <row r="751" customFormat="false" ht="26.85" hidden="false" customHeight="false" outlineLevel="0" collapsed="false">
      <c r="A751" s="23" t="n">
        <v>750</v>
      </c>
      <c r="B751" s="31" t="s">
        <v>7970</v>
      </c>
      <c r="C751" s="23" t="n">
        <v>2</v>
      </c>
      <c r="D751" s="23" t="s">
        <v>5581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1" t="s">
        <v>7950</v>
      </c>
      <c r="H751" s="31" t="s">
        <v>7951</v>
      </c>
      <c r="I751" s="23" t="s">
        <v>7952</v>
      </c>
      <c r="J751" s="24" t="s">
        <v>7971</v>
      </c>
      <c r="K751" s="23" t="s">
        <v>1370</v>
      </c>
      <c r="L751" s="24" t="s">
        <v>7972</v>
      </c>
      <c r="M751" s="24" t="s">
        <v>7973</v>
      </c>
      <c r="N751" s="23" t="s">
        <v>7974</v>
      </c>
      <c r="O751" s="24" t="s">
        <v>7975</v>
      </c>
      <c r="P751" s="24" t="s">
        <v>7976</v>
      </c>
      <c r="Q751" s="24" t="s">
        <v>7977</v>
      </c>
      <c r="R751" s="24"/>
      <c r="S751" s="24" t="s">
        <v>7748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174</v>
      </c>
      <c r="Y751" s="23" t="s">
        <v>174</v>
      </c>
      <c r="Z751" s="23" t="s">
        <v>174</v>
      </c>
      <c r="AA751" s="23" t="s">
        <v>174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  <c r="AE751" s="24" t="str">
        <f aca="false">M751&amp;" | 히브리서 4~5장 #"&amp;SUBSTITUTE(안내!$C$5," ","")</f>
        <v>우리의 연약함을 아시는 분 | 히브리서 4~5장 #1분성경</v>
      </c>
      <c r="AF751" s="24" t="s">
        <v>304</v>
      </c>
      <c r="AG751" s="24"/>
      <c r="AH751" s="23" t="s">
        <v>290</v>
      </c>
      <c r="AI751" s="26" t="n">
        <f aca="false">U751-안내!$C$12</f>
        <v>46781</v>
      </c>
      <c r="AJ751" s="23" t="str">
        <f aca="false">IF(U751&lt;IF(C751=1,안내!$C$9,안내!$C$10)+안내!$C$12,"시즌 시작 전 제작","")</f>
        <v/>
      </c>
      <c r="AK751" s="24"/>
      <c r="AL751" s="27"/>
      <c r="AM751" s="27"/>
      <c r="AN751" s="27"/>
      <c r="AO751" s="27"/>
      <c r="AP751" s="27"/>
      <c r="AQ751" s="23" t="str">
        <f aca="false">D751&amp;"|"&amp;TEXT(U751,"yyyy-mm-dd")</f>
        <v>신약|2028-02-26</v>
      </c>
      <c r="AR751" s="24" t="s">
        <v>7978</v>
      </c>
      <c r="AS751" s="24"/>
    </row>
    <row r="752" customFormat="false" ht="26.85" hidden="false" customHeight="false" outlineLevel="0" collapsed="false">
      <c r="A752" s="23" t="n">
        <v>751</v>
      </c>
      <c r="B752" s="31" t="s">
        <v>7979</v>
      </c>
      <c r="C752" s="23" t="n">
        <v>2</v>
      </c>
      <c r="D752" s="23" t="s">
        <v>5581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1" t="s">
        <v>7950</v>
      </c>
      <c r="H752" s="31" t="s">
        <v>7951</v>
      </c>
      <c r="I752" s="23" t="s">
        <v>7952</v>
      </c>
      <c r="J752" s="24" t="s">
        <v>7980</v>
      </c>
      <c r="K752" s="23" t="s">
        <v>1370</v>
      </c>
      <c r="L752" s="24" t="s">
        <v>7981</v>
      </c>
      <c r="M752" s="24" t="s">
        <v>7982</v>
      </c>
      <c r="N752" s="23" t="s">
        <v>7983</v>
      </c>
      <c r="O752" s="24" t="s">
        <v>7984</v>
      </c>
      <c r="P752" s="24" t="s">
        <v>7985</v>
      </c>
      <c r="Q752" s="24" t="s">
        <v>7986</v>
      </c>
      <c r="R752" s="28" t="s">
        <v>7987</v>
      </c>
      <c r="S752" s="24" t="s">
        <v>7748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174</v>
      </c>
      <c r="Y752" s="23" t="s">
        <v>174</v>
      </c>
      <c r="Z752" s="23" t="s">
        <v>174</v>
      </c>
      <c r="AA752" s="23" t="s">
        <v>174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  <c r="AE752" s="24" t="str">
        <f aca="false">M752&amp;" | 히브리서 5~6장 #"&amp;SUBSTITUTE(안내!$C$5," ","")</f>
        <v>흔들리는 배를 붙드는 닻 | 히브리서 5~6장 #1분성경</v>
      </c>
      <c r="AF752" s="24" t="s">
        <v>304</v>
      </c>
      <c r="AG752" s="24"/>
      <c r="AH752" s="23" t="s">
        <v>290</v>
      </c>
      <c r="AI752" s="26" t="n">
        <f aca="false">U752-안내!$C$12</f>
        <v>46783</v>
      </c>
      <c r="AJ752" s="23" t="str">
        <f aca="false">IF(U752&lt;IF(C752=1,안내!$C$9,안내!$C$10)+안내!$C$12,"시즌 시작 전 제작","")</f>
        <v/>
      </c>
      <c r="AK752" s="24"/>
      <c r="AL752" s="27"/>
      <c r="AM752" s="27"/>
      <c r="AN752" s="27"/>
      <c r="AO752" s="27"/>
      <c r="AP752" s="27"/>
      <c r="AQ752" s="23" t="str">
        <f aca="false">D752&amp;"|"&amp;TEXT(U752,"yyyy-mm-dd")</f>
        <v>신약|2028-02-28</v>
      </c>
      <c r="AR752" s="24" t="s">
        <v>7988</v>
      </c>
      <c r="AS752" s="24"/>
    </row>
    <row r="753" customFormat="false" ht="26.85" hidden="false" customHeight="false" outlineLevel="0" collapsed="false">
      <c r="A753" s="23" t="n">
        <v>752</v>
      </c>
      <c r="B753" s="31" t="s">
        <v>7989</v>
      </c>
      <c r="C753" s="23" t="n">
        <v>2</v>
      </c>
      <c r="D753" s="23" t="s">
        <v>5581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1" t="s">
        <v>7950</v>
      </c>
      <c r="H753" s="31" t="s">
        <v>7951</v>
      </c>
      <c r="I753" s="23" t="s">
        <v>7952</v>
      </c>
      <c r="J753" s="24" t="s">
        <v>7990</v>
      </c>
      <c r="K753" s="23" t="s">
        <v>1370</v>
      </c>
      <c r="L753" s="24" t="s">
        <v>7991</v>
      </c>
      <c r="M753" s="24" t="s">
        <v>7992</v>
      </c>
      <c r="N753" s="23" t="s">
        <v>7993</v>
      </c>
      <c r="O753" s="24" t="s">
        <v>7994</v>
      </c>
      <c r="P753" s="24" t="s">
        <v>7995</v>
      </c>
      <c r="Q753" s="24" t="s">
        <v>7996</v>
      </c>
      <c r="R753" s="24"/>
      <c r="S753" s="24" t="s">
        <v>7748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174</v>
      </c>
      <c r="Y753" s="23" t="s">
        <v>174</v>
      </c>
      <c r="Z753" s="23" t="s">
        <v>174</v>
      </c>
      <c r="AA753" s="23" t="s">
        <v>174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  <c r="AE753" s="24" t="str">
        <f aca="false">M753&amp;" | 히브리서 7장 #"&amp;SUBSTITUTE(안내!$C$5," ","")</f>
        <v>족보도 없이 등장한 제사장 | 히브리서 7장 #1분성경</v>
      </c>
      <c r="AF753" s="24" t="s">
        <v>304</v>
      </c>
      <c r="AG753" s="24"/>
      <c r="AH753" s="23" t="s">
        <v>290</v>
      </c>
      <c r="AI753" s="26" t="n">
        <f aca="false">U753-안내!$C$12</f>
        <v>46785</v>
      </c>
      <c r="AJ753" s="23" t="str">
        <f aca="false">IF(U753&lt;IF(C753=1,안내!$C$9,안내!$C$10)+안내!$C$12,"시즌 시작 전 제작","")</f>
        <v/>
      </c>
      <c r="AK753" s="24"/>
      <c r="AL753" s="27"/>
      <c r="AM753" s="27"/>
      <c r="AN753" s="27"/>
      <c r="AO753" s="27"/>
      <c r="AP753" s="27"/>
      <c r="AQ753" s="23" t="str">
        <f aca="false">D753&amp;"|"&amp;TEXT(U753,"yyyy-mm-dd")</f>
        <v>신약|2028-03-01</v>
      </c>
      <c r="AR753" s="24" t="s">
        <v>7997</v>
      </c>
      <c r="AS753" s="24"/>
    </row>
    <row r="754" customFormat="false" ht="26.85" hidden="false" customHeight="false" outlineLevel="0" collapsed="false">
      <c r="A754" s="23" t="n">
        <v>753</v>
      </c>
      <c r="B754" s="31" t="s">
        <v>7998</v>
      </c>
      <c r="C754" s="23" t="n">
        <v>2</v>
      </c>
      <c r="D754" s="23" t="s">
        <v>5581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1" t="s">
        <v>7950</v>
      </c>
      <c r="H754" s="31" t="s">
        <v>7951</v>
      </c>
      <c r="I754" s="23" t="s">
        <v>7952</v>
      </c>
      <c r="J754" s="24" t="s">
        <v>7999</v>
      </c>
      <c r="K754" s="23" t="s">
        <v>1370</v>
      </c>
      <c r="L754" s="24" t="s">
        <v>8000</v>
      </c>
      <c r="M754" s="24" t="s">
        <v>8001</v>
      </c>
      <c r="N754" s="23" t="s">
        <v>8002</v>
      </c>
      <c r="O754" s="24" t="s">
        <v>8003</v>
      </c>
      <c r="P754" s="24" t="s">
        <v>8004</v>
      </c>
      <c r="Q754" s="24" t="s">
        <v>8005</v>
      </c>
      <c r="R754" s="25" t="s">
        <v>8006</v>
      </c>
      <c r="S754" s="24" t="s">
        <v>7748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174</v>
      </c>
      <c r="Y754" s="23" t="s">
        <v>174</v>
      </c>
      <c r="Z754" s="23" t="s">
        <v>174</v>
      </c>
      <c r="AA754" s="23" t="s">
        <v>174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  <c r="AE754" s="24" t="str">
        <f aca="false">M754&amp;" | 히브리서 8~10장 #"&amp;SUBSTITUTE(안내!$C$5," ","")</f>
        <v>매일 반복된 제사, 단 한 번의 제사 | 히브리서 8~10장 #1분성경</v>
      </c>
      <c r="AF754" s="24" t="s">
        <v>304</v>
      </c>
      <c r="AG754" s="24"/>
      <c r="AH754" s="23" t="s">
        <v>290</v>
      </c>
      <c r="AI754" s="26" t="n">
        <f aca="false">U754-안내!$C$12</f>
        <v>46787</v>
      </c>
      <c r="AJ754" s="23" t="str">
        <f aca="false">IF(U754&lt;IF(C754=1,안내!$C$9,안내!$C$10)+안내!$C$12,"시즌 시작 전 제작","")</f>
        <v/>
      </c>
      <c r="AK754" s="24"/>
      <c r="AL754" s="27"/>
      <c r="AM754" s="27"/>
      <c r="AN754" s="27"/>
      <c r="AO754" s="27"/>
      <c r="AP754" s="27"/>
      <c r="AQ754" s="23" t="str">
        <f aca="false">D754&amp;"|"&amp;TEXT(U754,"yyyy-mm-dd")</f>
        <v>신약|2028-03-03</v>
      </c>
      <c r="AR754" s="24" t="s">
        <v>8007</v>
      </c>
      <c r="AS754" s="24"/>
    </row>
    <row r="755" customFormat="false" ht="26.85" hidden="false" customHeight="false" outlineLevel="0" collapsed="false">
      <c r="A755" s="23" t="n">
        <v>754</v>
      </c>
      <c r="B755" s="31" t="s">
        <v>8008</v>
      </c>
      <c r="C755" s="23" t="n">
        <v>2</v>
      </c>
      <c r="D755" s="23" t="s">
        <v>5581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1" t="s">
        <v>7950</v>
      </c>
      <c r="H755" s="31" t="s">
        <v>7951</v>
      </c>
      <c r="I755" s="23" t="s">
        <v>7952</v>
      </c>
      <c r="J755" s="24" t="s">
        <v>8009</v>
      </c>
      <c r="K755" s="23" t="s">
        <v>1370</v>
      </c>
      <c r="L755" s="24" t="s">
        <v>8010</v>
      </c>
      <c r="M755" s="24" t="s">
        <v>8011</v>
      </c>
      <c r="N755" s="23" t="s">
        <v>8012</v>
      </c>
      <c r="O755" s="24" t="s">
        <v>8013</v>
      </c>
      <c r="P755" s="24" t="s">
        <v>4209</v>
      </c>
      <c r="Q755" s="24" t="s">
        <v>7561</v>
      </c>
      <c r="R755" s="28" t="s">
        <v>8014</v>
      </c>
      <c r="S755" s="24" t="s">
        <v>7748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174</v>
      </c>
      <c r="Y755" s="23" t="s">
        <v>174</v>
      </c>
      <c r="Z755" s="23" t="s">
        <v>174</v>
      </c>
      <c r="AA755" s="23" t="s">
        <v>174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  <c r="AE755" s="24" t="str">
        <f aca="false">M755&amp;" | 히브리서 10장 #"&amp;SUBSTITUTE(안내!$C$5," ","")</f>
        <v>함께 모여야 하는 이유 | 히브리서 10장 #1분성경</v>
      </c>
      <c r="AF755" s="24" t="s">
        <v>304</v>
      </c>
      <c r="AG755" s="24"/>
      <c r="AH755" s="23" t="s">
        <v>290</v>
      </c>
      <c r="AI755" s="26" t="n">
        <f aca="false">U755-안내!$C$12</f>
        <v>46788</v>
      </c>
      <c r="AJ755" s="23" t="str">
        <f aca="false">IF(U755&lt;IF(C755=1,안내!$C$9,안내!$C$10)+안내!$C$12,"시즌 시작 전 제작","")</f>
        <v/>
      </c>
      <c r="AK755" s="24"/>
      <c r="AL755" s="27"/>
      <c r="AM755" s="27"/>
      <c r="AN755" s="27"/>
      <c r="AO755" s="27"/>
      <c r="AP755" s="27"/>
      <c r="AQ755" s="23" t="str">
        <f aca="false">D755&amp;"|"&amp;TEXT(U755,"yyyy-mm-dd")</f>
        <v>신약|2028-03-04</v>
      </c>
      <c r="AR755" s="24" t="s">
        <v>8015</v>
      </c>
      <c r="AS755" s="24"/>
    </row>
    <row r="756" customFormat="false" ht="52.2" hidden="false" customHeight="false" outlineLevel="0" collapsed="false">
      <c r="A756" s="23" t="n">
        <v>755</v>
      </c>
      <c r="B756" s="31" t="s">
        <v>8016</v>
      </c>
      <c r="C756" s="20" t="n">
        <v>1</v>
      </c>
      <c r="D756" s="20" t="s">
        <v>5581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1" t="s">
        <v>7950</v>
      </c>
      <c r="H756" s="31" t="s">
        <v>7691</v>
      </c>
      <c r="I756" s="23" t="s">
        <v>7952</v>
      </c>
      <c r="J756" s="24" t="s">
        <v>8017</v>
      </c>
      <c r="K756" s="23" t="s">
        <v>1370</v>
      </c>
      <c r="L756" s="24" t="s">
        <v>8018</v>
      </c>
      <c r="M756" s="24" t="s">
        <v>8019</v>
      </c>
      <c r="N756" s="23" t="s">
        <v>8020</v>
      </c>
      <c r="O756" s="24" t="s">
        <v>8021</v>
      </c>
      <c r="P756" s="24" t="s">
        <v>8022</v>
      </c>
      <c r="Q756" s="24" t="s">
        <v>8023</v>
      </c>
      <c r="R756" s="25" t="s">
        <v>8024</v>
      </c>
      <c r="S756" s="29" t="s">
        <v>8025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174</v>
      </c>
      <c r="Y756" s="23" t="s">
        <v>174</v>
      </c>
      <c r="Z756" s="23" t="s">
        <v>174</v>
      </c>
      <c r="AA756" s="23" t="s">
        <v>174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  <c r="AE756" s="24" t="str">
        <f aca="false">M756&amp;" | 히브리서 11장 #"&amp;SUBSTITUTE(안내!$C$5," ","")</f>
        <v>믿음으로 살았던 사람들의 명예의 전당 | 히브리서 11장 #1분성경</v>
      </c>
      <c r="AF756" s="24" t="s">
        <v>8026</v>
      </c>
      <c r="AG756" s="24"/>
      <c r="AH756" s="23" t="s">
        <v>290</v>
      </c>
      <c r="AI756" s="26" t="n">
        <f aca="false">U756-안내!$C$12</f>
        <v>46533</v>
      </c>
      <c r="AJ756" s="23" t="str">
        <f aca="false">IF(U756&lt;IF(C756=1,안내!$C$9,안내!$C$10)+안내!$C$12,"시즌 시작 전 제작","")</f>
        <v/>
      </c>
      <c r="AK756" s="24"/>
      <c r="AL756" s="27"/>
      <c r="AM756" s="27"/>
      <c r="AN756" s="27"/>
      <c r="AO756" s="27"/>
      <c r="AP756" s="27"/>
      <c r="AQ756" s="23" t="str">
        <f aca="false">D756&amp;"|"&amp;TEXT(U756,"yyyy-mm-dd")</f>
        <v>신약|2027-06-23</v>
      </c>
      <c r="AR756" s="24" t="s">
        <v>8027</v>
      </c>
      <c r="AS756" s="24"/>
    </row>
    <row r="757" customFormat="false" ht="39.55" hidden="false" customHeight="false" outlineLevel="0" collapsed="false">
      <c r="A757" s="23" t="n">
        <v>756</v>
      </c>
      <c r="B757" s="31" t="s">
        <v>8028</v>
      </c>
      <c r="C757" s="23" t="n">
        <v>2</v>
      </c>
      <c r="D757" s="23" t="s">
        <v>5581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1" t="s">
        <v>7950</v>
      </c>
      <c r="H757" s="31" t="s">
        <v>7951</v>
      </c>
      <c r="I757" s="23" t="s">
        <v>7952</v>
      </c>
      <c r="J757" s="24" t="s">
        <v>8029</v>
      </c>
      <c r="K757" s="23" t="s">
        <v>1370</v>
      </c>
      <c r="L757" s="24" t="s">
        <v>8030</v>
      </c>
      <c r="M757" s="24" t="s">
        <v>8031</v>
      </c>
      <c r="N757" s="23" t="s">
        <v>8032</v>
      </c>
      <c r="O757" s="24" t="s">
        <v>8033</v>
      </c>
      <c r="P757" s="24" t="s">
        <v>8034</v>
      </c>
      <c r="Q757" s="24" t="s">
        <v>8035</v>
      </c>
      <c r="R757" s="24"/>
      <c r="S757" s="24" t="s">
        <v>8036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174</v>
      </c>
      <c r="Y757" s="23" t="s">
        <v>174</v>
      </c>
      <c r="Z757" s="23" t="s">
        <v>174</v>
      </c>
      <c r="AA757" s="23" t="s">
        <v>174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  <c r="AE757" s="24" t="str">
        <f aca="false">M757&amp;" | 히브리서 12장 #"&amp;SUBSTITUTE(안내!$C$5," ","")</f>
        <v>구름같이 둘러싼 응원단 | 히브리서 12장 #1분성경</v>
      </c>
      <c r="AF757" s="24" t="s">
        <v>304</v>
      </c>
      <c r="AG757" s="24"/>
      <c r="AH757" s="23" t="s">
        <v>290</v>
      </c>
      <c r="AI757" s="26" t="n">
        <f aca="false">U757-안내!$C$12</f>
        <v>46790</v>
      </c>
      <c r="AJ757" s="23" t="str">
        <f aca="false">IF(U757&lt;IF(C757=1,안내!$C$9,안내!$C$10)+안내!$C$12,"시즌 시작 전 제작","")</f>
        <v/>
      </c>
      <c r="AK757" s="24"/>
      <c r="AL757" s="27"/>
      <c r="AM757" s="27"/>
      <c r="AN757" s="27"/>
      <c r="AO757" s="27"/>
      <c r="AP757" s="27"/>
      <c r="AQ757" s="23" t="str">
        <f aca="false">D757&amp;"|"&amp;TEXT(U757,"yyyy-mm-dd")</f>
        <v>신약|2028-03-06</v>
      </c>
      <c r="AR757" s="24" t="s">
        <v>8037</v>
      </c>
      <c r="AS757" s="24"/>
    </row>
    <row r="758" customFormat="false" ht="26.85" hidden="false" customHeight="false" outlineLevel="0" collapsed="false">
      <c r="A758" s="23" t="n">
        <v>757</v>
      </c>
      <c r="B758" s="31" t="s">
        <v>8038</v>
      </c>
      <c r="C758" s="23" t="n">
        <v>2</v>
      </c>
      <c r="D758" s="23" t="s">
        <v>5581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1" t="s">
        <v>7950</v>
      </c>
      <c r="H758" s="31" t="s">
        <v>7951</v>
      </c>
      <c r="I758" s="23" t="s">
        <v>7952</v>
      </c>
      <c r="J758" s="24" t="s">
        <v>8039</v>
      </c>
      <c r="K758" s="23" t="s">
        <v>1370</v>
      </c>
      <c r="L758" s="24" t="s">
        <v>8040</v>
      </c>
      <c r="M758" s="24" t="s">
        <v>8041</v>
      </c>
      <c r="N758" s="23" t="s">
        <v>8042</v>
      </c>
      <c r="O758" s="24" t="s">
        <v>8043</v>
      </c>
      <c r="P758" s="24" t="s">
        <v>8044</v>
      </c>
      <c r="Q758" s="24" t="s">
        <v>8045</v>
      </c>
      <c r="R758" s="24"/>
      <c r="S758" s="24" t="s">
        <v>8036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174</v>
      </c>
      <c r="Y758" s="23" t="s">
        <v>174</v>
      </c>
      <c r="Z758" s="23" t="s">
        <v>174</v>
      </c>
      <c r="AA758" s="23" t="s">
        <v>174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  <c r="AE758" s="24" t="str">
        <f aca="false">M758&amp;" | 히브리서 13장 #"&amp;SUBSTITUTE(안내!$C$5," ","")</f>
        <v>변하지 않는 한 분 | 히브리서 13장 #1분성경</v>
      </c>
      <c r="AF758" s="24" t="s">
        <v>304</v>
      </c>
      <c r="AG758" s="24"/>
      <c r="AH758" s="23" t="s">
        <v>290</v>
      </c>
      <c r="AI758" s="26" t="n">
        <f aca="false">U758-안내!$C$12</f>
        <v>46792</v>
      </c>
      <c r="AJ758" s="23" t="str">
        <f aca="false">IF(U758&lt;IF(C758=1,안내!$C$9,안내!$C$10)+안내!$C$12,"시즌 시작 전 제작","")</f>
        <v/>
      </c>
      <c r="AK758" s="24"/>
      <c r="AL758" s="27"/>
      <c r="AM758" s="27"/>
      <c r="AN758" s="27"/>
      <c r="AO758" s="27"/>
      <c r="AP758" s="27"/>
      <c r="AQ758" s="23" t="str">
        <f aca="false">D758&amp;"|"&amp;TEXT(U758,"yyyy-mm-dd")</f>
        <v>신약|2028-03-08</v>
      </c>
      <c r="AR758" s="24" t="s">
        <v>8043</v>
      </c>
      <c r="AS758" s="24"/>
    </row>
    <row r="759" customFormat="false" ht="26.85" hidden="false" customHeight="false" outlineLevel="0" collapsed="false">
      <c r="A759" s="23" t="n">
        <v>758</v>
      </c>
      <c r="B759" s="31" t="s">
        <v>8046</v>
      </c>
      <c r="C759" s="23" t="n">
        <v>2</v>
      </c>
      <c r="D759" s="23" t="s">
        <v>5581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1" t="s">
        <v>8047</v>
      </c>
      <c r="H759" s="31" t="s">
        <v>8048</v>
      </c>
      <c r="I759" s="23" t="s">
        <v>8049</v>
      </c>
      <c r="J759" s="24" t="s">
        <v>8050</v>
      </c>
      <c r="K759" s="23" t="s">
        <v>1370</v>
      </c>
      <c r="L759" s="24" t="s">
        <v>8051</v>
      </c>
      <c r="M759" s="24" t="s">
        <v>8052</v>
      </c>
      <c r="N759" s="23" t="s">
        <v>8053</v>
      </c>
      <c r="O759" s="24" t="s">
        <v>8054</v>
      </c>
      <c r="P759" s="24" t="s">
        <v>8055</v>
      </c>
      <c r="Q759" s="24" t="s">
        <v>8056</v>
      </c>
      <c r="R759" s="24"/>
      <c r="S759" s="24" t="s">
        <v>8036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174</v>
      </c>
      <c r="Y759" s="23" t="s">
        <v>174</v>
      </c>
      <c r="Z759" s="23" t="s">
        <v>174</v>
      </c>
      <c r="AA759" s="23" t="s">
        <v>174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  <c r="AE759" s="24" t="str">
        <f aca="false">M759&amp;" | 야고보서 1장 #"&amp;SUBSTITUTE(안내!$C$5," ","")</f>
        <v>힘든 일이 기쁨이 될 수 있을까? | 야고보서 1장 #1분성경</v>
      </c>
      <c r="AF759" s="24" t="s">
        <v>304</v>
      </c>
      <c r="AG759" s="24"/>
      <c r="AH759" s="23" t="s">
        <v>176</v>
      </c>
      <c r="AI759" s="26" t="n">
        <f aca="false">U759-안내!$C$12</f>
        <v>46794</v>
      </c>
      <c r="AJ759" s="23" t="str">
        <f aca="false">IF(U759&lt;IF(C759=1,안내!$C$9,안내!$C$10)+안내!$C$12,"시즌 시작 전 제작","")</f>
        <v/>
      </c>
      <c r="AK759" s="24"/>
      <c r="AL759" s="27"/>
      <c r="AM759" s="27"/>
      <c r="AN759" s="27"/>
      <c r="AO759" s="27"/>
      <c r="AP759" s="27"/>
      <c r="AQ759" s="23" t="str">
        <f aca="false">D759&amp;"|"&amp;TEXT(U759,"yyyy-mm-dd")</f>
        <v>신약|2028-03-10</v>
      </c>
      <c r="AR759" s="24" t="s">
        <v>8057</v>
      </c>
      <c r="AS759" s="24"/>
    </row>
    <row r="760" customFormat="false" ht="26.85" hidden="false" customHeight="false" outlineLevel="0" collapsed="false">
      <c r="A760" s="23" t="n">
        <v>759</v>
      </c>
      <c r="B760" s="31" t="s">
        <v>8058</v>
      </c>
      <c r="C760" s="23" t="n">
        <v>2</v>
      </c>
      <c r="D760" s="23" t="s">
        <v>5581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1" t="s">
        <v>8047</v>
      </c>
      <c r="H760" s="31" t="s">
        <v>8048</v>
      </c>
      <c r="I760" s="23" t="s">
        <v>8049</v>
      </c>
      <c r="J760" s="24" t="s">
        <v>8059</v>
      </c>
      <c r="K760" s="23" t="s">
        <v>1370</v>
      </c>
      <c r="L760" s="24" t="s">
        <v>8060</v>
      </c>
      <c r="M760" s="24" t="s">
        <v>8061</v>
      </c>
      <c r="N760" s="23" t="s">
        <v>8062</v>
      </c>
      <c r="O760" s="24" t="s">
        <v>8063</v>
      </c>
      <c r="P760" s="24" t="s">
        <v>8055</v>
      </c>
      <c r="Q760" s="24" t="s">
        <v>8064</v>
      </c>
      <c r="R760" s="24"/>
      <c r="S760" s="24" t="s">
        <v>8036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174</v>
      </c>
      <c r="Y760" s="23" t="s">
        <v>174</v>
      </c>
      <c r="Z760" s="23" t="s">
        <v>174</v>
      </c>
      <c r="AA760" s="23" t="s">
        <v>174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  <c r="AE760" s="24" t="str">
        <f aca="false">M760&amp;" | 야고보서 1장 #"&amp;SUBSTITUTE(안내!$C$5," ","")</f>
        <v>말하기는 더디 하고 성내기도 더디 하라 | 야고보서 1장 #1분성경</v>
      </c>
      <c r="AF760" s="24" t="s">
        <v>304</v>
      </c>
      <c r="AG760" s="24"/>
      <c r="AH760" s="23" t="s">
        <v>290</v>
      </c>
      <c r="AI760" s="26" t="n">
        <f aca="false">U760-안내!$C$12</f>
        <v>46795</v>
      </c>
      <c r="AJ760" s="23" t="str">
        <f aca="false">IF(U760&lt;IF(C760=1,안내!$C$9,안내!$C$10)+안내!$C$12,"시즌 시작 전 제작","")</f>
        <v/>
      </c>
      <c r="AK760" s="24"/>
      <c r="AL760" s="27"/>
      <c r="AM760" s="27"/>
      <c r="AN760" s="27"/>
      <c r="AO760" s="27"/>
      <c r="AP760" s="27"/>
      <c r="AQ760" s="23" t="str">
        <f aca="false">D760&amp;"|"&amp;TEXT(U760,"yyyy-mm-dd")</f>
        <v>신약|2028-03-11</v>
      </c>
      <c r="AR760" s="24" t="s">
        <v>8065</v>
      </c>
      <c r="AS760" s="24"/>
    </row>
    <row r="761" customFormat="false" ht="26.85" hidden="false" customHeight="false" outlineLevel="0" collapsed="false">
      <c r="A761" s="23" t="n">
        <v>760</v>
      </c>
      <c r="B761" s="31" t="s">
        <v>8066</v>
      </c>
      <c r="C761" s="23" t="n">
        <v>2</v>
      </c>
      <c r="D761" s="23" t="s">
        <v>5581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1" t="s">
        <v>8047</v>
      </c>
      <c r="H761" s="31" t="s">
        <v>8048</v>
      </c>
      <c r="I761" s="23" t="s">
        <v>8049</v>
      </c>
      <c r="J761" s="24" t="s">
        <v>8067</v>
      </c>
      <c r="K761" s="23" t="s">
        <v>1370</v>
      </c>
      <c r="L761" s="24" t="s">
        <v>8068</v>
      </c>
      <c r="M761" s="24" t="s">
        <v>8069</v>
      </c>
      <c r="N761" s="23" t="s">
        <v>8070</v>
      </c>
      <c r="O761" s="24" t="s">
        <v>8071</v>
      </c>
      <c r="P761" s="24" t="s">
        <v>8072</v>
      </c>
      <c r="Q761" s="24" t="s">
        <v>8073</v>
      </c>
      <c r="R761" s="25" t="s">
        <v>8074</v>
      </c>
      <c r="S761" s="24" t="s">
        <v>8036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174</v>
      </c>
      <c r="Y761" s="23" t="s">
        <v>174</v>
      </c>
      <c r="Z761" s="23" t="s">
        <v>174</v>
      </c>
      <c r="AA761" s="23" t="s">
        <v>174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  <c r="AE761" s="24" t="str">
        <f aca="false">M761&amp;" | 야고보서 2장 #"&amp;SUBSTITUTE(안내!$C$5," ","")</f>
        <v>믿음만 있으면 아무렇게나 살아도 될까? | 야고보서 2장 #1분성경</v>
      </c>
      <c r="AF761" s="24" t="s">
        <v>304</v>
      </c>
      <c r="AG761" s="24"/>
      <c r="AH761" s="23" t="s">
        <v>176</v>
      </c>
      <c r="AI761" s="26" t="n">
        <f aca="false">U761-안내!$C$12</f>
        <v>46797</v>
      </c>
      <c r="AJ761" s="23" t="str">
        <f aca="false">IF(U761&lt;IF(C761=1,안내!$C$9,안내!$C$10)+안내!$C$12,"시즌 시작 전 제작","")</f>
        <v/>
      </c>
      <c r="AK761" s="24"/>
      <c r="AL761" s="27"/>
      <c r="AM761" s="27"/>
      <c r="AN761" s="27"/>
      <c r="AO761" s="27"/>
      <c r="AP761" s="27"/>
      <c r="AQ761" s="23" t="str">
        <f aca="false">D761&amp;"|"&amp;TEXT(U761,"yyyy-mm-dd")</f>
        <v>신약|2028-03-13</v>
      </c>
      <c r="AR761" s="24" t="s">
        <v>8075</v>
      </c>
      <c r="AS761" s="24"/>
    </row>
    <row r="762" customFormat="false" ht="26.85" hidden="false" customHeight="false" outlineLevel="0" collapsed="false">
      <c r="A762" s="23" t="n">
        <v>761</v>
      </c>
      <c r="B762" s="31" t="s">
        <v>8076</v>
      </c>
      <c r="C762" s="23" t="n">
        <v>2</v>
      </c>
      <c r="D762" s="23" t="s">
        <v>5581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1" t="s">
        <v>8047</v>
      </c>
      <c r="H762" s="31" t="s">
        <v>8048</v>
      </c>
      <c r="I762" s="23" t="s">
        <v>8049</v>
      </c>
      <c r="J762" s="24" t="s">
        <v>8077</v>
      </c>
      <c r="K762" s="23" t="s">
        <v>1370</v>
      </c>
      <c r="L762" s="24" t="s">
        <v>8078</v>
      </c>
      <c r="M762" s="24" t="s">
        <v>8079</v>
      </c>
      <c r="N762" s="23" t="s">
        <v>8080</v>
      </c>
      <c r="O762" s="24" t="s">
        <v>8081</v>
      </c>
      <c r="P762" s="24" t="s">
        <v>8055</v>
      </c>
      <c r="Q762" s="24" t="s">
        <v>8082</v>
      </c>
      <c r="R762" s="24"/>
      <c r="S762" s="24" t="s">
        <v>8036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174</v>
      </c>
      <c r="Y762" s="23" t="s">
        <v>174</v>
      </c>
      <c r="Z762" s="23" t="s">
        <v>174</v>
      </c>
      <c r="AA762" s="23" t="s">
        <v>174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  <c r="AE762" s="24" t="str">
        <f aca="false">M762&amp;" | 야고보서 3장 #"&amp;SUBSTITUTE(안내!$C$5," ","")</f>
        <v>작은 불이 큰 숲을 태운다 | 야고보서 3장 #1분성경</v>
      </c>
      <c r="AF762" s="24" t="s">
        <v>304</v>
      </c>
      <c r="AG762" s="24"/>
      <c r="AH762" s="23" t="s">
        <v>290</v>
      </c>
      <c r="AI762" s="26" t="n">
        <f aca="false">U762-안내!$C$12</f>
        <v>46799</v>
      </c>
      <c r="AJ762" s="23" t="str">
        <f aca="false">IF(U762&lt;IF(C762=1,안내!$C$9,안내!$C$10)+안내!$C$12,"시즌 시작 전 제작","")</f>
        <v/>
      </c>
      <c r="AK762" s="24"/>
      <c r="AL762" s="27"/>
      <c r="AM762" s="27"/>
      <c r="AN762" s="27"/>
      <c r="AO762" s="27"/>
      <c r="AP762" s="27"/>
      <c r="AQ762" s="23" t="str">
        <f aca="false">D762&amp;"|"&amp;TEXT(U762,"yyyy-mm-dd")</f>
        <v>신약|2028-03-15</v>
      </c>
      <c r="AR762" s="24" t="s">
        <v>8083</v>
      </c>
      <c r="AS762" s="24"/>
    </row>
    <row r="763" customFormat="false" ht="26.85" hidden="false" customHeight="false" outlineLevel="0" collapsed="false">
      <c r="A763" s="23" t="n">
        <v>762</v>
      </c>
      <c r="B763" s="31" t="s">
        <v>8084</v>
      </c>
      <c r="C763" s="23" t="n">
        <v>2</v>
      </c>
      <c r="D763" s="23" t="s">
        <v>5581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1" t="s">
        <v>8047</v>
      </c>
      <c r="H763" s="31" t="s">
        <v>8048</v>
      </c>
      <c r="I763" s="23" t="s">
        <v>8049</v>
      </c>
      <c r="J763" s="24" t="s">
        <v>8085</v>
      </c>
      <c r="K763" s="23" t="s">
        <v>1370</v>
      </c>
      <c r="L763" s="24" t="s">
        <v>8086</v>
      </c>
      <c r="M763" s="24" t="s">
        <v>8087</v>
      </c>
      <c r="N763" s="23" t="s">
        <v>8088</v>
      </c>
      <c r="O763" s="24" t="s">
        <v>8089</v>
      </c>
      <c r="P763" s="24" t="s">
        <v>8090</v>
      </c>
      <c r="Q763" s="24" t="s">
        <v>8091</v>
      </c>
      <c r="R763" s="28" t="s">
        <v>8092</v>
      </c>
      <c r="S763" s="24" t="s">
        <v>8036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174</v>
      </c>
      <c r="Y763" s="23" t="s">
        <v>174</v>
      </c>
      <c r="Z763" s="23" t="s">
        <v>174</v>
      </c>
      <c r="AA763" s="23" t="s">
        <v>174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  <c r="AE763" s="24" t="str">
        <f aca="false">M763&amp;" | 야고보서 4~5장 #"&amp;SUBSTITUTE(안내!$C$5," ","")</f>
        <v>하나님께 가까이 가면 | 야고보서 4~5장 #1분성경</v>
      </c>
      <c r="AF763" s="24" t="s">
        <v>304</v>
      </c>
      <c r="AG763" s="24"/>
      <c r="AH763" s="23" t="s">
        <v>290</v>
      </c>
      <c r="AI763" s="26" t="n">
        <f aca="false">U763-안내!$C$12</f>
        <v>46801</v>
      </c>
      <c r="AJ763" s="23" t="str">
        <f aca="false">IF(U763&lt;IF(C763=1,안내!$C$9,안내!$C$10)+안내!$C$12,"시즌 시작 전 제작","")</f>
        <v/>
      </c>
      <c r="AK763" s="24"/>
      <c r="AL763" s="27"/>
      <c r="AM763" s="27"/>
      <c r="AN763" s="27"/>
      <c r="AO763" s="27"/>
      <c r="AP763" s="27"/>
      <c r="AQ763" s="23" t="str">
        <f aca="false">D763&amp;"|"&amp;TEXT(U763,"yyyy-mm-dd")</f>
        <v>신약|2028-03-17</v>
      </c>
      <c r="AR763" s="24" t="s">
        <v>8093</v>
      </c>
      <c r="AS763" s="24"/>
    </row>
    <row r="764" customFormat="false" ht="39.55" hidden="false" customHeight="false" outlineLevel="0" collapsed="false">
      <c r="A764" s="23" t="n">
        <v>763</v>
      </c>
      <c r="B764" s="31" t="s">
        <v>8094</v>
      </c>
      <c r="C764" s="23" t="n">
        <v>2</v>
      </c>
      <c r="D764" s="23" t="s">
        <v>5581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1" t="s">
        <v>8047</v>
      </c>
      <c r="H764" s="31" t="s">
        <v>8048</v>
      </c>
      <c r="I764" s="23" t="s">
        <v>8095</v>
      </c>
      <c r="J764" s="24" t="s">
        <v>8096</v>
      </c>
      <c r="K764" s="23" t="s">
        <v>1370</v>
      </c>
      <c r="L764" s="24" t="s">
        <v>8097</v>
      </c>
      <c r="M764" s="24" t="s">
        <v>8098</v>
      </c>
      <c r="N764" s="23" t="s">
        <v>8099</v>
      </c>
      <c r="O764" s="24" t="s">
        <v>8100</v>
      </c>
      <c r="P764" s="24" t="s">
        <v>5675</v>
      </c>
      <c r="Q764" s="24" t="s">
        <v>8101</v>
      </c>
      <c r="R764" s="24"/>
      <c r="S764" s="24" t="s">
        <v>8036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174</v>
      </c>
      <c r="Y764" s="23" t="s">
        <v>174</v>
      </c>
      <c r="Z764" s="23" t="s">
        <v>174</v>
      </c>
      <c r="AA764" s="23" t="s">
        <v>174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  <c r="AE764" s="24" t="str">
        <f aca="false">M764&amp;" | 베드로전서 1장 #"&amp;SUBSTITUTE(안내!$C$5," ","")</f>
        <v>부활이 주는 새로운 출발 | 베드로전서 1장 #1분성경</v>
      </c>
      <c r="AF764" s="24" t="s">
        <v>304</v>
      </c>
      <c r="AG764" s="24"/>
      <c r="AH764" s="23" t="s">
        <v>290</v>
      </c>
      <c r="AI764" s="26" t="n">
        <f aca="false">U764-안내!$C$12</f>
        <v>46802</v>
      </c>
      <c r="AJ764" s="23" t="str">
        <f aca="false">IF(U764&lt;IF(C764=1,안내!$C$9,안내!$C$10)+안내!$C$12,"시즌 시작 전 제작","")</f>
        <v/>
      </c>
      <c r="AK764" s="24" t="s">
        <v>5675</v>
      </c>
      <c r="AL764" s="27"/>
      <c r="AM764" s="27"/>
      <c r="AN764" s="27"/>
      <c r="AO764" s="27"/>
      <c r="AP764" s="27"/>
      <c r="AQ764" s="23" t="str">
        <f aca="false">D764&amp;"|"&amp;TEXT(U764,"yyyy-mm-dd")</f>
        <v>신약|2028-03-18</v>
      </c>
      <c r="AR764" s="24" t="s">
        <v>8102</v>
      </c>
      <c r="AS764" s="24"/>
    </row>
    <row r="765" customFormat="false" ht="39.55" hidden="false" customHeight="false" outlineLevel="0" collapsed="false">
      <c r="A765" s="23" t="n">
        <v>764</v>
      </c>
      <c r="B765" s="31" t="s">
        <v>8103</v>
      </c>
      <c r="C765" s="23" t="n">
        <v>2</v>
      </c>
      <c r="D765" s="23" t="s">
        <v>5581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1" t="s">
        <v>8047</v>
      </c>
      <c r="H765" s="31" t="s">
        <v>8048</v>
      </c>
      <c r="I765" s="23" t="s">
        <v>8095</v>
      </c>
      <c r="J765" s="24" t="s">
        <v>8104</v>
      </c>
      <c r="K765" s="23" t="s">
        <v>1370</v>
      </c>
      <c r="L765" s="24" t="s">
        <v>8105</v>
      </c>
      <c r="M765" s="24" t="s">
        <v>8106</v>
      </c>
      <c r="N765" s="23" t="s">
        <v>8107</v>
      </c>
      <c r="O765" s="24" t="s">
        <v>8108</v>
      </c>
      <c r="P765" s="24" t="s">
        <v>5675</v>
      </c>
      <c r="Q765" s="24" t="s">
        <v>8109</v>
      </c>
      <c r="R765" s="25" t="s">
        <v>8110</v>
      </c>
      <c r="S765" s="24" t="s">
        <v>8036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174</v>
      </c>
      <c r="Y765" s="23" t="s">
        <v>174</v>
      </c>
      <c r="Z765" s="23" t="s">
        <v>174</v>
      </c>
      <c r="AA765" s="23" t="s">
        <v>174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  <c r="AE765" s="24" t="str">
        <f aca="false">M765&amp;" | 베드로전서 2장 #"&amp;SUBSTITUTE(안내!$C$5," ","")</f>
        <v>당신은 택하신 족속입니다 | 베드로전서 2장 #1분성경</v>
      </c>
      <c r="AF765" s="24" t="s">
        <v>304</v>
      </c>
      <c r="AG765" s="24"/>
      <c r="AH765" s="23" t="s">
        <v>290</v>
      </c>
      <c r="AI765" s="26" t="n">
        <f aca="false">U765-안내!$C$12</f>
        <v>46804</v>
      </c>
      <c r="AJ765" s="23" t="str">
        <f aca="false">IF(U765&lt;IF(C765=1,안내!$C$9,안내!$C$10)+안내!$C$12,"시즌 시작 전 제작","")</f>
        <v/>
      </c>
      <c r="AK765" s="24" t="s">
        <v>5675</v>
      </c>
      <c r="AL765" s="27"/>
      <c r="AM765" s="27"/>
      <c r="AN765" s="27"/>
      <c r="AO765" s="27"/>
      <c r="AP765" s="27"/>
      <c r="AQ765" s="23" t="str">
        <f aca="false">D765&amp;"|"&amp;TEXT(U765,"yyyy-mm-dd")</f>
        <v>신약|2028-03-20</v>
      </c>
      <c r="AR765" s="24" t="s">
        <v>8111</v>
      </c>
      <c r="AS765" s="24"/>
    </row>
    <row r="766" customFormat="false" ht="39.55" hidden="false" customHeight="false" outlineLevel="0" collapsed="false">
      <c r="A766" s="23" t="n">
        <v>765</v>
      </c>
      <c r="B766" s="31" t="s">
        <v>8112</v>
      </c>
      <c r="C766" s="23" t="n">
        <v>2</v>
      </c>
      <c r="D766" s="23" t="s">
        <v>5581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1" t="s">
        <v>8047</v>
      </c>
      <c r="H766" s="31" t="s">
        <v>8048</v>
      </c>
      <c r="I766" s="23" t="s">
        <v>8095</v>
      </c>
      <c r="J766" s="24" t="s">
        <v>8113</v>
      </c>
      <c r="K766" s="23" t="s">
        <v>1370</v>
      </c>
      <c r="L766" s="24" t="s">
        <v>8114</v>
      </c>
      <c r="M766" s="24" t="s">
        <v>8115</v>
      </c>
      <c r="N766" s="23" t="s">
        <v>8116</v>
      </c>
      <c r="O766" s="24" t="s">
        <v>8117</v>
      </c>
      <c r="P766" s="24" t="s">
        <v>5675</v>
      </c>
      <c r="Q766" s="24" t="s">
        <v>8118</v>
      </c>
      <c r="R766" s="28" t="s">
        <v>8119</v>
      </c>
      <c r="S766" s="24" t="s">
        <v>8036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174</v>
      </c>
      <c r="Y766" s="23" t="s">
        <v>174</v>
      </c>
      <c r="Z766" s="23" t="s">
        <v>174</v>
      </c>
      <c r="AA766" s="23" t="s">
        <v>174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  <c r="AE766" s="24" t="str">
        <f aca="false">M766&amp;" | 베드로전서 3장 #"&amp;SUBSTITUTE(안내!$C$5," ","")</f>
        <v>왜 믿느냐고 묻는다면 | 베드로전서 3장 #1분성경</v>
      </c>
      <c r="AF766" s="24" t="s">
        <v>304</v>
      </c>
      <c r="AG766" s="24"/>
      <c r="AH766" s="23" t="s">
        <v>290</v>
      </c>
      <c r="AI766" s="26" t="n">
        <f aca="false">U766-안내!$C$12</f>
        <v>46806</v>
      </c>
      <c r="AJ766" s="23" t="str">
        <f aca="false">IF(U766&lt;IF(C766=1,안내!$C$9,안내!$C$10)+안내!$C$12,"시즌 시작 전 제작","")</f>
        <v/>
      </c>
      <c r="AK766" s="24" t="s">
        <v>5675</v>
      </c>
      <c r="AL766" s="27"/>
      <c r="AM766" s="27"/>
      <c r="AN766" s="27"/>
      <c r="AO766" s="27"/>
      <c r="AP766" s="27"/>
      <c r="AQ766" s="23" t="str">
        <f aca="false">D766&amp;"|"&amp;TEXT(U766,"yyyy-mm-dd")</f>
        <v>신약|2028-03-22</v>
      </c>
      <c r="AR766" s="24" t="s">
        <v>8120</v>
      </c>
      <c r="AS766" s="24"/>
    </row>
    <row r="767" customFormat="false" ht="26.85" hidden="false" customHeight="false" outlineLevel="0" collapsed="false">
      <c r="A767" s="23" t="n">
        <v>766</v>
      </c>
      <c r="B767" s="31" t="s">
        <v>8121</v>
      </c>
      <c r="C767" s="23" t="n">
        <v>2</v>
      </c>
      <c r="D767" s="23" t="s">
        <v>5581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1" t="s">
        <v>8047</v>
      </c>
      <c r="H767" s="31" t="s">
        <v>8048</v>
      </c>
      <c r="I767" s="23" t="s">
        <v>8095</v>
      </c>
      <c r="J767" s="24" t="s">
        <v>8122</v>
      </c>
      <c r="K767" s="23" t="s">
        <v>1370</v>
      </c>
      <c r="L767" s="24" t="s">
        <v>8123</v>
      </c>
      <c r="M767" s="24" t="s">
        <v>8124</v>
      </c>
      <c r="N767" s="23" t="s">
        <v>8125</v>
      </c>
      <c r="O767" s="24" t="s">
        <v>8126</v>
      </c>
      <c r="P767" s="24" t="s">
        <v>5675</v>
      </c>
      <c r="Q767" s="24" t="s">
        <v>8127</v>
      </c>
      <c r="R767" s="24"/>
      <c r="S767" s="24" t="s">
        <v>8036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174</v>
      </c>
      <c r="Y767" s="23" t="s">
        <v>174</v>
      </c>
      <c r="Z767" s="23" t="s">
        <v>174</v>
      </c>
      <c r="AA767" s="23" t="s">
        <v>174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  <c r="AE767" s="24" t="str">
        <f aca="false">M767&amp;" | 베드로전서 4~5장 #"&amp;SUBSTITUTE(안내!$C$5," ","")</f>
        <v>사자처럼 삼킬 자를 찾는 원수 | 베드로전서 4~5장 #1분성경</v>
      </c>
      <c r="AF767" s="24" t="s">
        <v>304</v>
      </c>
      <c r="AG767" s="24"/>
      <c r="AH767" s="23" t="s">
        <v>290</v>
      </c>
      <c r="AI767" s="26" t="n">
        <f aca="false">U767-안내!$C$12</f>
        <v>46808</v>
      </c>
      <c r="AJ767" s="23" t="str">
        <f aca="false">IF(U767&lt;IF(C767=1,안내!$C$9,안내!$C$10)+안내!$C$12,"시즌 시작 전 제작","")</f>
        <v/>
      </c>
      <c r="AK767" s="24" t="s">
        <v>5675</v>
      </c>
      <c r="AL767" s="27"/>
      <c r="AM767" s="27"/>
      <c r="AN767" s="27"/>
      <c r="AO767" s="27"/>
      <c r="AP767" s="27"/>
      <c r="AQ767" s="23" t="str">
        <f aca="false">D767&amp;"|"&amp;TEXT(U767,"yyyy-mm-dd")</f>
        <v>신약|2028-03-24</v>
      </c>
      <c r="AR767" s="24" t="s">
        <v>8128</v>
      </c>
      <c r="AS767" s="24"/>
    </row>
    <row r="768" customFormat="false" ht="26.85" hidden="false" customHeight="false" outlineLevel="0" collapsed="false">
      <c r="A768" s="23" t="n">
        <v>767</v>
      </c>
      <c r="B768" s="31" t="s">
        <v>8129</v>
      </c>
      <c r="C768" s="23" t="n">
        <v>2</v>
      </c>
      <c r="D768" s="23" t="s">
        <v>5581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1" t="s">
        <v>8047</v>
      </c>
      <c r="H768" s="31" t="s">
        <v>8048</v>
      </c>
      <c r="I768" s="23" t="s">
        <v>8130</v>
      </c>
      <c r="J768" s="24" t="s">
        <v>8131</v>
      </c>
      <c r="K768" s="23" t="s">
        <v>1370</v>
      </c>
      <c r="L768" s="24" t="s">
        <v>8132</v>
      </c>
      <c r="M768" s="24" t="s">
        <v>8133</v>
      </c>
      <c r="N768" s="23" t="s">
        <v>8134</v>
      </c>
      <c r="O768" s="24" t="s">
        <v>8135</v>
      </c>
      <c r="P768" s="24" t="s">
        <v>5675</v>
      </c>
      <c r="Q768" s="24" t="s">
        <v>8136</v>
      </c>
      <c r="R768" s="25" t="s">
        <v>8137</v>
      </c>
      <c r="S768" s="24" t="s">
        <v>8036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174</v>
      </c>
      <c r="Y768" s="23" t="s">
        <v>174</v>
      </c>
      <c r="Z768" s="23" t="s">
        <v>174</v>
      </c>
      <c r="AA768" s="23" t="s">
        <v>174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  <c r="AE768" s="24" t="str">
        <f aca="false">M768&amp;" | 베드로후서 1장 #"&amp;SUBSTITUTE(안내!$C$5," ","")</f>
        <v>성경은 어떻게 기록되었을까? | 베드로후서 1장 #1분성경</v>
      </c>
      <c r="AF768" s="24" t="s">
        <v>304</v>
      </c>
      <c r="AG768" s="24"/>
      <c r="AH768" s="23" t="s">
        <v>176</v>
      </c>
      <c r="AI768" s="26" t="n">
        <f aca="false">U768-안내!$C$12</f>
        <v>46809</v>
      </c>
      <c r="AJ768" s="23" t="str">
        <f aca="false">IF(U768&lt;IF(C768=1,안내!$C$9,안내!$C$10)+안내!$C$12,"시즌 시작 전 제작","")</f>
        <v/>
      </c>
      <c r="AK768" s="24" t="s">
        <v>5675</v>
      </c>
      <c r="AL768" s="27"/>
      <c r="AM768" s="27"/>
      <c r="AN768" s="27"/>
      <c r="AO768" s="27"/>
      <c r="AP768" s="27"/>
      <c r="AQ768" s="23" t="str">
        <f aca="false">D768&amp;"|"&amp;TEXT(U768,"yyyy-mm-dd")</f>
        <v>신약|2028-03-25</v>
      </c>
      <c r="AR768" s="24" t="s">
        <v>8138</v>
      </c>
      <c r="AS768" s="24"/>
    </row>
    <row r="769" customFormat="false" ht="39.55" hidden="false" customHeight="false" outlineLevel="0" collapsed="false">
      <c r="A769" s="23" t="n">
        <v>768</v>
      </c>
      <c r="B769" s="31" t="s">
        <v>8139</v>
      </c>
      <c r="C769" s="23" t="n">
        <v>2</v>
      </c>
      <c r="D769" s="23" t="s">
        <v>5581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1" t="s">
        <v>8047</v>
      </c>
      <c r="H769" s="31" t="s">
        <v>8048</v>
      </c>
      <c r="I769" s="23" t="s">
        <v>8130</v>
      </c>
      <c r="J769" s="24" t="s">
        <v>8140</v>
      </c>
      <c r="K769" s="23" t="s">
        <v>1370</v>
      </c>
      <c r="L769" s="24" t="s">
        <v>8141</v>
      </c>
      <c r="M769" s="24" t="s">
        <v>8142</v>
      </c>
      <c r="N769" s="23" t="s">
        <v>8143</v>
      </c>
      <c r="O769" s="24" t="s">
        <v>8144</v>
      </c>
      <c r="P769" s="24" t="s">
        <v>5675</v>
      </c>
      <c r="Q769" s="24" t="s">
        <v>8145</v>
      </c>
      <c r="R769" s="25" t="s">
        <v>8146</v>
      </c>
      <c r="S769" s="24" t="s">
        <v>8036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174</v>
      </c>
      <c r="Y769" s="23" t="s">
        <v>174</v>
      </c>
      <c r="Z769" s="23" t="s">
        <v>174</v>
      </c>
      <c r="AA769" s="23" t="s">
        <v>174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  <c r="AE769" s="24" t="str">
        <f aca="false">M769&amp;" | 베드로후서 2장 #"&amp;SUBSTITUTE(안내!$C$5," ","")</f>
        <v>교회 안에 들어온 거짓 선생들 | 베드로후서 2장 #1분성경</v>
      </c>
      <c r="AF769" s="24" t="s">
        <v>304</v>
      </c>
      <c r="AG769" s="24"/>
      <c r="AH769" s="23" t="s">
        <v>290</v>
      </c>
      <c r="AI769" s="26" t="n">
        <f aca="false">U769-안내!$C$12</f>
        <v>46811</v>
      </c>
      <c r="AJ769" s="23" t="str">
        <f aca="false">IF(U769&lt;IF(C769=1,안내!$C$9,안내!$C$10)+안내!$C$12,"시즌 시작 전 제작","")</f>
        <v/>
      </c>
      <c r="AK769" s="24" t="s">
        <v>5675</v>
      </c>
      <c r="AL769" s="27"/>
      <c r="AM769" s="27"/>
      <c r="AN769" s="27"/>
      <c r="AO769" s="27"/>
      <c r="AP769" s="27"/>
      <c r="AQ769" s="23" t="str">
        <f aca="false">D769&amp;"|"&amp;TEXT(U769,"yyyy-mm-dd")</f>
        <v>신약|2028-03-27</v>
      </c>
      <c r="AR769" s="24" t="s">
        <v>8147</v>
      </c>
      <c r="AS769" s="24" t="s">
        <v>292</v>
      </c>
    </row>
    <row r="770" customFormat="false" ht="39.55" hidden="false" customHeight="false" outlineLevel="0" collapsed="false">
      <c r="A770" s="23" t="n">
        <v>769</v>
      </c>
      <c r="B770" s="31" t="s">
        <v>8148</v>
      </c>
      <c r="C770" s="23" t="n">
        <v>2</v>
      </c>
      <c r="D770" s="23" t="s">
        <v>5581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1" t="s">
        <v>8047</v>
      </c>
      <c r="H770" s="31" t="s">
        <v>8048</v>
      </c>
      <c r="I770" s="23" t="s">
        <v>8130</v>
      </c>
      <c r="J770" s="24" t="s">
        <v>8149</v>
      </c>
      <c r="K770" s="23" t="s">
        <v>1370</v>
      </c>
      <c r="L770" s="24" t="s">
        <v>8150</v>
      </c>
      <c r="M770" s="24" t="s">
        <v>8151</v>
      </c>
      <c r="N770" s="23" t="s">
        <v>8152</v>
      </c>
      <c r="O770" s="24" t="s">
        <v>8153</v>
      </c>
      <c r="P770" s="24" t="s">
        <v>5675</v>
      </c>
      <c r="Q770" s="24" t="s">
        <v>8154</v>
      </c>
      <c r="R770" s="25" t="s">
        <v>8155</v>
      </c>
      <c r="S770" s="24" t="s">
        <v>8036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174</v>
      </c>
      <c r="Y770" s="23" t="s">
        <v>174</v>
      </c>
      <c r="Z770" s="23" t="s">
        <v>174</v>
      </c>
      <c r="AA770" s="23" t="s">
        <v>174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  <c r="AE770" s="24" t="str">
        <f aca="false">M770&amp;" | 베드로후서 3장 #"&amp;SUBSTITUTE(안내!$C$5," ","")</f>
        <v>왜 아직 오시지 않을까? | 베드로후서 3장 #1분성경</v>
      </c>
      <c r="AF770" s="24" t="s">
        <v>304</v>
      </c>
      <c r="AG770" s="24"/>
      <c r="AH770" s="23" t="s">
        <v>176</v>
      </c>
      <c r="AI770" s="26" t="n">
        <f aca="false">U770-안내!$C$12</f>
        <v>46813</v>
      </c>
      <c r="AJ770" s="23" t="str">
        <f aca="false">IF(U770&lt;IF(C770=1,안내!$C$9,안내!$C$10)+안내!$C$12,"시즌 시작 전 제작","")</f>
        <v/>
      </c>
      <c r="AK770" s="24" t="s">
        <v>5675</v>
      </c>
      <c r="AL770" s="27"/>
      <c r="AM770" s="27"/>
      <c r="AN770" s="27"/>
      <c r="AO770" s="27"/>
      <c r="AP770" s="27"/>
      <c r="AQ770" s="23" t="str">
        <f aca="false">D770&amp;"|"&amp;TEXT(U770,"yyyy-mm-dd")</f>
        <v>신약|2028-03-29</v>
      </c>
      <c r="AR770" s="24" t="s">
        <v>8156</v>
      </c>
      <c r="AS770" s="24"/>
    </row>
    <row r="771" customFormat="false" ht="26.85" hidden="false" customHeight="false" outlineLevel="0" collapsed="false">
      <c r="A771" s="23" t="n">
        <v>770</v>
      </c>
      <c r="B771" s="31" t="s">
        <v>8157</v>
      </c>
      <c r="C771" s="23" t="n">
        <v>2</v>
      </c>
      <c r="D771" s="23" t="s">
        <v>5581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1" t="s">
        <v>8158</v>
      </c>
      <c r="H771" s="31" t="s">
        <v>8159</v>
      </c>
      <c r="I771" s="23" t="s">
        <v>8160</v>
      </c>
      <c r="J771" s="24" t="s">
        <v>8161</v>
      </c>
      <c r="K771" s="23" t="s">
        <v>1370</v>
      </c>
      <c r="L771" s="24" t="s">
        <v>8162</v>
      </c>
      <c r="M771" s="24" t="s">
        <v>8163</v>
      </c>
      <c r="N771" s="23" t="s">
        <v>8164</v>
      </c>
      <c r="O771" s="24" t="s">
        <v>8165</v>
      </c>
      <c r="P771" s="24" t="s">
        <v>8166</v>
      </c>
      <c r="Q771" s="24" t="s">
        <v>8167</v>
      </c>
      <c r="R771" s="24"/>
      <c r="S771" s="24" t="s">
        <v>8036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174</v>
      </c>
      <c r="Y771" s="23" t="s">
        <v>174</v>
      </c>
      <c r="Z771" s="23" t="s">
        <v>174</v>
      </c>
      <c r="AA771" s="23" t="s">
        <v>174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  <c r="AE771" s="24" t="str">
        <f aca="false">M771&amp;" | 요한일서 1~2장 #"&amp;SUBSTITUTE(안내!$C$5," ","")</f>
        <v>죄를 자백하면 | 요한일서 1~2장 #1분성경</v>
      </c>
      <c r="AF771" s="24" t="s">
        <v>304</v>
      </c>
      <c r="AG771" s="24"/>
      <c r="AH771" s="23" t="s">
        <v>290</v>
      </c>
      <c r="AI771" s="26" t="n">
        <f aca="false">U771-안내!$C$12</f>
        <v>46815</v>
      </c>
      <c r="AJ771" s="23" t="str">
        <f aca="false">IF(U771&lt;IF(C771=1,안내!$C$9,안내!$C$10)+안내!$C$12,"시즌 시작 전 제작","")</f>
        <v/>
      </c>
      <c r="AK771" s="24"/>
      <c r="AL771" s="27"/>
      <c r="AM771" s="27"/>
      <c r="AN771" s="27"/>
      <c r="AO771" s="27"/>
      <c r="AP771" s="27"/>
      <c r="AQ771" s="23" t="str">
        <f aca="false">D771&amp;"|"&amp;TEXT(U771,"yyyy-mm-dd")</f>
        <v>신약|2028-03-31</v>
      </c>
      <c r="AR771" s="24" t="s">
        <v>8168</v>
      </c>
      <c r="AS771" s="24"/>
    </row>
    <row r="772" customFormat="false" ht="39.55" hidden="false" customHeight="false" outlineLevel="0" collapsed="false">
      <c r="A772" s="23" t="n">
        <v>771</v>
      </c>
      <c r="B772" s="31" t="s">
        <v>8169</v>
      </c>
      <c r="C772" s="23" t="n">
        <v>2</v>
      </c>
      <c r="D772" s="23" t="s">
        <v>5581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1" t="s">
        <v>8158</v>
      </c>
      <c r="H772" s="31" t="s">
        <v>8159</v>
      </c>
      <c r="I772" s="23" t="s">
        <v>8160</v>
      </c>
      <c r="J772" s="24" t="s">
        <v>8170</v>
      </c>
      <c r="K772" s="23" t="s">
        <v>1370</v>
      </c>
      <c r="L772" s="24" t="s">
        <v>8171</v>
      </c>
      <c r="M772" s="24" t="s">
        <v>8172</v>
      </c>
      <c r="N772" s="23" t="s">
        <v>8173</v>
      </c>
      <c r="O772" s="24" t="s">
        <v>8174</v>
      </c>
      <c r="P772" s="24" t="s">
        <v>8166</v>
      </c>
      <c r="Q772" s="24" t="s">
        <v>8175</v>
      </c>
      <c r="R772" s="24"/>
      <c r="S772" s="24" t="s">
        <v>8036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174</v>
      </c>
      <c r="Y772" s="23" t="s">
        <v>174</v>
      </c>
      <c r="Z772" s="23" t="s">
        <v>174</v>
      </c>
      <c r="AA772" s="23" t="s">
        <v>174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  <c r="AE772" s="24" t="str">
        <f aca="false">M772&amp;" | 요한일서 2~3장 #"&amp;SUBSTITUTE(안내!$C$5," ","")</f>
        <v>아버지께서 어떠한 사랑을 우리에게 주사 | 요한일서 2~3장 #1분성경</v>
      </c>
      <c r="AF772" s="24" t="s">
        <v>304</v>
      </c>
      <c r="AG772" s="24"/>
      <c r="AH772" s="23" t="s">
        <v>290</v>
      </c>
      <c r="AI772" s="26" t="n">
        <f aca="false">U772-안내!$C$12</f>
        <v>46816</v>
      </c>
      <c r="AJ772" s="23" t="str">
        <f aca="false">IF(U772&lt;IF(C772=1,안내!$C$9,안내!$C$10)+안내!$C$12,"시즌 시작 전 제작","")</f>
        <v/>
      </c>
      <c r="AK772" s="24"/>
      <c r="AL772" s="27"/>
      <c r="AM772" s="27"/>
      <c r="AN772" s="27"/>
      <c r="AO772" s="27"/>
      <c r="AP772" s="27"/>
      <c r="AQ772" s="23" t="str">
        <f aca="false">D772&amp;"|"&amp;TEXT(U772,"yyyy-mm-dd")</f>
        <v>신약|2028-04-01</v>
      </c>
      <c r="AR772" s="24" t="s">
        <v>8176</v>
      </c>
      <c r="AS772" s="24"/>
    </row>
    <row r="773" customFormat="false" ht="26.85" hidden="false" customHeight="false" outlineLevel="0" collapsed="false">
      <c r="A773" s="23" t="n">
        <v>772</v>
      </c>
      <c r="B773" s="31" t="s">
        <v>8177</v>
      </c>
      <c r="C773" s="23" t="n">
        <v>2</v>
      </c>
      <c r="D773" s="23" t="s">
        <v>5581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1" t="s">
        <v>8158</v>
      </c>
      <c r="H773" s="31" t="s">
        <v>8159</v>
      </c>
      <c r="I773" s="23" t="s">
        <v>8160</v>
      </c>
      <c r="J773" s="24" t="s">
        <v>8178</v>
      </c>
      <c r="K773" s="23" t="s">
        <v>1370</v>
      </c>
      <c r="L773" s="24" t="s">
        <v>8179</v>
      </c>
      <c r="M773" s="24" t="s">
        <v>8180</v>
      </c>
      <c r="N773" s="23" t="s">
        <v>8181</v>
      </c>
      <c r="O773" s="24" t="s">
        <v>8182</v>
      </c>
      <c r="P773" s="24" t="s">
        <v>8166</v>
      </c>
      <c r="Q773" s="24" t="s">
        <v>8183</v>
      </c>
      <c r="R773" s="28" t="s">
        <v>8184</v>
      </c>
      <c r="S773" s="24" t="s">
        <v>8036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174</v>
      </c>
      <c r="Y773" s="23" t="s">
        <v>174</v>
      </c>
      <c r="Z773" s="23" t="s">
        <v>174</v>
      </c>
      <c r="AA773" s="23" t="s">
        <v>174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  <c r="AE773" s="24" t="str">
        <f aca="false">M773&amp;" | 요한일서 4장 #"&amp;SUBSTITUTE(안내!$C$5," ","")</f>
        <v>모든 영을 다 믿지 말라 | 요한일서 4장 #1분성경</v>
      </c>
      <c r="AF773" s="24" t="s">
        <v>304</v>
      </c>
      <c r="AG773" s="24"/>
      <c r="AH773" s="23" t="s">
        <v>290</v>
      </c>
      <c r="AI773" s="26" t="n">
        <f aca="false">U773-안내!$C$12</f>
        <v>46818</v>
      </c>
      <c r="AJ773" s="23" t="str">
        <f aca="false">IF(U773&lt;IF(C773=1,안내!$C$9,안내!$C$10)+안내!$C$12,"시즌 시작 전 제작","")</f>
        <v/>
      </c>
      <c r="AK773" s="24"/>
      <c r="AL773" s="27"/>
      <c r="AM773" s="27"/>
      <c r="AN773" s="27"/>
      <c r="AO773" s="27"/>
      <c r="AP773" s="27"/>
      <c r="AQ773" s="23" t="str">
        <f aca="false">D773&amp;"|"&amp;TEXT(U773,"yyyy-mm-dd")</f>
        <v>신약|2028-04-03</v>
      </c>
      <c r="AR773" s="24" t="s">
        <v>8185</v>
      </c>
      <c r="AS773" s="24"/>
    </row>
    <row r="774" customFormat="false" ht="26.85" hidden="false" customHeight="false" outlineLevel="0" collapsed="false">
      <c r="A774" s="23" t="n">
        <v>773</v>
      </c>
      <c r="B774" s="31" t="s">
        <v>8186</v>
      </c>
      <c r="C774" s="23" t="n">
        <v>2</v>
      </c>
      <c r="D774" s="23" t="s">
        <v>5581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1" t="s">
        <v>8158</v>
      </c>
      <c r="H774" s="31" t="s">
        <v>8159</v>
      </c>
      <c r="I774" s="23" t="s">
        <v>8160</v>
      </c>
      <c r="J774" s="24" t="s">
        <v>8187</v>
      </c>
      <c r="K774" s="23" t="s">
        <v>1370</v>
      </c>
      <c r="L774" s="24" t="s">
        <v>8188</v>
      </c>
      <c r="M774" s="24" t="s">
        <v>8189</v>
      </c>
      <c r="N774" s="23" t="s">
        <v>8190</v>
      </c>
      <c r="O774" s="24" t="s">
        <v>8191</v>
      </c>
      <c r="P774" s="24" t="s">
        <v>8166</v>
      </c>
      <c r="Q774" s="24" t="s">
        <v>8192</v>
      </c>
      <c r="R774" s="25" t="s">
        <v>8193</v>
      </c>
      <c r="S774" s="24" t="s">
        <v>8036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174</v>
      </c>
      <c r="Y774" s="23" t="s">
        <v>174</v>
      </c>
      <c r="Z774" s="23" t="s">
        <v>174</v>
      </c>
      <c r="AA774" s="23" t="s">
        <v>174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  <c r="AE774" s="24" t="str">
        <f aca="false">M774&amp;" | 요한일서 5장 #"&amp;SUBSTITUTE(안내!$C$5," ","")</f>
        <v>구원받았는지 어떻게 알 수 있을까? | 요한일서 5장 #1분성경</v>
      </c>
      <c r="AF774" s="24" t="s">
        <v>304</v>
      </c>
      <c r="AG774" s="24"/>
      <c r="AH774" s="23" t="s">
        <v>176</v>
      </c>
      <c r="AI774" s="26" t="n">
        <f aca="false">U774-안내!$C$12</f>
        <v>46820</v>
      </c>
      <c r="AJ774" s="23" t="str">
        <f aca="false">IF(U774&lt;IF(C774=1,안내!$C$9,안내!$C$10)+안내!$C$12,"시즌 시작 전 제작","")</f>
        <v/>
      </c>
      <c r="AK774" s="24"/>
      <c r="AL774" s="27"/>
      <c r="AM774" s="27"/>
      <c r="AN774" s="27"/>
      <c r="AO774" s="27"/>
      <c r="AP774" s="27"/>
      <c r="AQ774" s="23" t="str">
        <f aca="false">D774&amp;"|"&amp;TEXT(U774,"yyyy-mm-dd")</f>
        <v>신약|2028-04-05</v>
      </c>
      <c r="AR774" s="24" t="s">
        <v>8194</v>
      </c>
      <c r="AS774" s="24"/>
    </row>
    <row r="775" customFormat="false" ht="26.85" hidden="false" customHeight="false" outlineLevel="0" collapsed="false">
      <c r="A775" s="23" t="n">
        <v>774</v>
      </c>
      <c r="B775" s="31" t="s">
        <v>8195</v>
      </c>
      <c r="C775" s="23" t="n">
        <v>2</v>
      </c>
      <c r="D775" s="23" t="s">
        <v>5581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1" t="s">
        <v>8158</v>
      </c>
      <c r="H775" s="31" t="s">
        <v>8159</v>
      </c>
      <c r="I775" s="23" t="s">
        <v>8196</v>
      </c>
      <c r="J775" s="24" t="s">
        <v>8197</v>
      </c>
      <c r="K775" s="23" t="s">
        <v>1370</v>
      </c>
      <c r="L775" s="24" t="s">
        <v>8198</v>
      </c>
      <c r="M775" s="24" t="s">
        <v>8199</v>
      </c>
      <c r="N775" s="23" t="s">
        <v>8200</v>
      </c>
      <c r="O775" s="24" t="s">
        <v>8201</v>
      </c>
      <c r="P775" s="24" t="s">
        <v>8202</v>
      </c>
      <c r="Q775" s="24" t="s">
        <v>8203</v>
      </c>
      <c r="R775" s="25" t="s">
        <v>8204</v>
      </c>
      <c r="S775" s="24" t="s">
        <v>8036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174</v>
      </c>
      <c r="Y775" s="23" t="s">
        <v>174</v>
      </c>
      <c r="Z775" s="23" t="s">
        <v>174</v>
      </c>
      <c r="AA775" s="23" t="s">
        <v>174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  <c r="AE775" s="24" t="str">
        <f aca="false">M775&amp;" | 요한이서 1장 #"&amp;SUBSTITUTE(안내!$C$5," ","")</f>
        <v>집에 들이지도 말라고 한 사람들 | 요한이서 1장 #1분성경</v>
      </c>
      <c r="AF775" s="24" t="s">
        <v>304</v>
      </c>
      <c r="AG775" s="24"/>
      <c r="AH775" s="23" t="s">
        <v>290</v>
      </c>
      <c r="AI775" s="26" t="n">
        <f aca="false">U775-안내!$C$12</f>
        <v>46822</v>
      </c>
      <c r="AJ775" s="23" t="str">
        <f aca="false">IF(U775&lt;IF(C775=1,안내!$C$9,안내!$C$10)+안내!$C$12,"시즌 시작 전 제작","")</f>
        <v/>
      </c>
      <c r="AK775" s="24"/>
      <c r="AL775" s="27"/>
      <c r="AM775" s="27"/>
      <c r="AN775" s="27"/>
      <c r="AO775" s="27"/>
      <c r="AP775" s="27"/>
      <c r="AQ775" s="23" t="str">
        <f aca="false">D775&amp;"|"&amp;TEXT(U775,"yyyy-mm-dd")</f>
        <v>신약|2028-04-07</v>
      </c>
      <c r="AR775" s="24" t="s">
        <v>8205</v>
      </c>
      <c r="AS775" s="24"/>
    </row>
    <row r="776" customFormat="false" ht="26.85" hidden="false" customHeight="false" outlineLevel="0" collapsed="false">
      <c r="A776" s="23" t="n">
        <v>775</v>
      </c>
      <c r="B776" s="31" t="s">
        <v>8206</v>
      </c>
      <c r="C776" s="23" t="n">
        <v>2</v>
      </c>
      <c r="D776" s="23" t="s">
        <v>5581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1" t="s">
        <v>8158</v>
      </c>
      <c r="H776" s="31" t="s">
        <v>8159</v>
      </c>
      <c r="I776" s="23" t="s">
        <v>8207</v>
      </c>
      <c r="J776" s="24" t="s">
        <v>8208</v>
      </c>
      <c r="K776" s="23" t="s">
        <v>1370</v>
      </c>
      <c r="L776" s="24" t="s">
        <v>8209</v>
      </c>
      <c r="M776" s="24" t="s">
        <v>8210</v>
      </c>
      <c r="N776" s="23" t="s">
        <v>8211</v>
      </c>
      <c r="O776" s="24" t="s">
        <v>8212</v>
      </c>
      <c r="P776" s="24" t="s">
        <v>8213</v>
      </c>
      <c r="Q776" s="24" t="s">
        <v>8214</v>
      </c>
      <c r="R776" s="28" t="s">
        <v>8215</v>
      </c>
      <c r="S776" s="24" t="s">
        <v>8036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174</v>
      </c>
      <c r="Y776" s="23" t="s">
        <v>174</v>
      </c>
      <c r="Z776" s="23" t="s">
        <v>174</v>
      </c>
      <c r="AA776" s="23" t="s">
        <v>174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  <c r="AE776" s="24" t="str">
        <f aca="false">M776&amp;" | 요한삼서 1장 #"&amp;SUBSTITUTE(안내!$C$5," ","")</f>
        <v>사랑으로 손님을 대접한 가이오 | 요한삼서 1장 #1분성경</v>
      </c>
      <c r="AF776" s="24" t="s">
        <v>304</v>
      </c>
      <c r="AG776" s="24"/>
      <c r="AH776" s="23" t="s">
        <v>290</v>
      </c>
      <c r="AI776" s="26" t="n">
        <f aca="false">U776-안내!$C$12</f>
        <v>46823</v>
      </c>
      <c r="AJ776" s="23" t="str">
        <f aca="false">IF(U776&lt;IF(C776=1,안내!$C$9,안내!$C$10)+안내!$C$12,"시즌 시작 전 제작","")</f>
        <v/>
      </c>
      <c r="AK776" s="24"/>
      <c r="AL776" s="27"/>
      <c r="AM776" s="27"/>
      <c r="AN776" s="27"/>
      <c r="AO776" s="27"/>
      <c r="AP776" s="27"/>
      <c r="AQ776" s="23" t="str">
        <f aca="false">D776&amp;"|"&amp;TEXT(U776,"yyyy-mm-dd")</f>
        <v>신약|2028-04-08</v>
      </c>
      <c r="AR776" s="24" t="s">
        <v>8216</v>
      </c>
      <c r="AS776" s="24"/>
    </row>
    <row r="777" customFormat="false" ht="39.55" hidden="false" customHeight="false" outlineLevel="0" collapsed="false">
      <c r="A777" s="23" t="n">
        <v>776</v>
      </c>
      <c r="B777" s="31" t="s">
        <v>8217</v>
      </c>
      <c r="C777" s="23" t="n">
        <v>2</v>
      </c>
      <c r="D777" s="23" t="s">
        <v>5581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1" t="s">
        <v>8158</v>
      </c>
      <c r="H777" s="31" t="s">
        <v>8159</v>
      </c>
      <c r="I777" s="23" t="s">
        <v>8218</v>
      </c>
      <c r="J777" s="24" t="s">
        <v>8219</v>
      </c>
      <c r="K777" s="23" t="s">
        <v>1370</v>
      </c>
      <c r="L777" s="24" t="s">
        <v>8220</v>
      </c>
      <c r="M777" s="24" t="s">
        <v>8221</v>
      </c>
      <c r="N777" s="23" t="s">
        <v>8222</v>
      </c>
      <c r="O777" s="24" t="s">
        <v>8223</v>
      </c>
      <c r="P777" s="24" t="s">
        <v>8224</v>
      </c>
      <c r="Q777" s="24" t="s">
        <v>8225</v>
      </c>
      <c r="R777" s="28" t="s">
        <v>8226</v>
      </c>
      <c r="S777" s="24" t="s">
        <v>8036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174</v>
      </c>
      <c r="Y777" s="23" t="s">
        <v>174</v>
      </c>
      <c r="Z777" s="23" t="s">
        <v>174</v>
      </c>
      <c r="AA777" s="23" t="s">
        <v>174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  <c r="AE777" s="24" t="str">
        <f aca="false">M777&amp;" | 유다서 1장 #"&amp;SUBSTITUTE(안내!$C$5," ","")</f>
        <v>가만히 들어온 사람들 | 유다서 1장 #1분성경</v>
      </c>
      <c r="AF777" s="24" t="s">
        <v>304</v>
      </c>
      <c r="AG777" s="24"/>
      <c r="AH777" s="23" t="s">
        <v>290</v>
      </c>
      <c r="AI777" s="26" t="n">
        <f aca="false">U777-안내!$C$12</f>
        <v>46825</v>
      </c>
      <c r="AJ777" s="23" t="str">
        <f aca="false">IF(U777&lt;IF(C777=1,안내!$C$9,안내!$C$10)+안내!$C$12,"시즌 시작 전 제작","")</f>
        <v/>
      </c>
      <c r="AK777" s="24"/>
      <c r="AL777" s="27"/>
      <c r="AM777" s="27"/>
      <c r="AN777" s="27"/>
      <c r="AO777" s="27"/>
      <c r="AP777" s="27"/>
      <c r="AQ777" s="23" t="str">
        <f aca="false">D777&amp;"|"&amp;TEXT(U777,"yyyy-mm-dd")</f>
        <v>신약|2028-04-10</v>
      </c>
      <c r="AR777" s="24" t="s">
        <v>8227</v>
      </c>
      <c r="AS777" s="24"/>
    </row>
    <row r="778" customFormat="false" ht="26.85" hidden="false" customHeight="false" outlineLevel="0" collapsed="false">
      <c r="A778" s="23" t="n">
        <v>777</v>
      </c>
      <c r="B778" s="31" t="s">
        <v>8228</v>
      </c>
      <c r="C778" s="23" t="n">
        <v>2</v>
      </c>
      <c r="D778" s="23" t="s">
        <v>5581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1" t="s">
        <v>8229</v>
      </c>
      <c r="H778" s="31" t="s">
        <v>8159</v>
      </c>
      <c r="I778" s="23" t="s">
        <v>8230</v>
      </c>
      <c r="J778" s="24" t="s">
        <v>8231</v>
      </c>
      <c r="K778" s="23" t="s">
        <v>1370</v>
      </c>
      <c r="L778" s="24" t="s">
        <v>8232</v>
      </c>
      <c r="M778" s="24" t="s">
        <v>8233</v>
      </c>
      <c r="N778" s="23" t="s">
        <v>8234</v>
      </c>
      <c r="O778" s="24" t="s">
        <v>8235</v>
      </c>
      <c r="P778" s="24" t="s">
        <v>8166</v>
      </c>
      <c r="Q778" s="24" t="s">
        <v>8236</v>
      </c>
      <c r="R778" s="24"/>
      <c r="S778" s="24" t="s">
        <v>8036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174</v>
      </c>
      <c r="Y778" s="23" t="s">
        <v>174</v>
      </c>
      <c r="Z778" s="23" t="s">
        <v>174</v>
      </c>
      <c r="AA778" s="23" t="s">
        <v>174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  <c r="AE778" s="24" t="str">
        <f aca="false">M778&amp;" | 요한계시록 1장 #"&amp;SUBSTITUTE(안내!$C$5," ","")</f>
        <v>복 받는다고 약속된 책 | 요한계시록 1장 #1분성경</v>
      </c>
      <c r="AF778" s="24" t="s">
        <v>304</v>
      </c>
      <c r="AG778" s="24"/>
      <c r="AH778" s="23" t="s">
        <v>290</v>
      </c>
      <c r="AI778" s="26" t="n">
        <f aca="false">U778-안내!$C$12</f>
        <v>46827</v>
      </c>
      <c r="AJ778" s="23" t="str">
        <f aca="false">IF(U778&lt;IF(C778=1,안내!$C$9,안내!$C$10)+안내!$C$12,"시즌 시작 전 제작","")</f>
        <v/>
      </c>
      <c r="AK778" s="24"/>
      <c r="AL778" s="27"/>
      <c r="AM778" s="27"/>
      <c r="AN778" s="27"/>
      <c r="AO778" s="27"/>
      <c r="AP778" s="27"/>
      <c r="AQ778" s="23" t="str">
        <f aca="false">D778&amp;"|"&amp;TEXT(U778,"yyyy-mm-dd")</f>
        <v>신약|2028-04-12</v>
      </c>
      <c r="AR778" s="24" t="s">
        <v>8237</v>
      </c>
      <c r="AS778" s="24"/>
    </row>
    <row r="779" customFormat="false" ht="26.85" hidden="false" customHeight="false" outlineLevel="0" collapsed="false">
      <c r="A779" s="23" t="n">
        <v>778</v>
      </c>
      <c r="B779" s="31" t="s">
        <v>8238</v>
      </c>
      <c r="C779" s="23" t="n">
        <v>2</v>
      </c>
      <c r="D779" s="23" t="s">
        <v>5581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1" t="s">
        <v>8229</v>
      </c>
      <c r="H779" s="31" t="s">
        <v>8239</v>
      </c>
      <c r="I779" s="23" t="s">
        <v>8230</v>
      </c>
      <c r="J779" s="24" t="s">
        <v>8240</v>
      </c>
      <c r="K779" s="23" t="s">
        <v>1370</v>
      </c>
      <c r="L779" s="24" t="s">
        <v>8241</v>
      </c>
      <c r="M779" s="24" t="s">
        <v>8242</v>
      </c>
      <c r="N779" s="23" t="s">
        <v>8243</v>
      </c>
      <c r="O779" s="24" t="s">
        <v>8244</v>
      </c>
      <c r="P779" s="24" t="s">
        <v>8245</v>
      </c>
      <c r="Q779" s="24" t="s">
        <v>8246</v>
      </c>
      <c r="R779" s="25" t="s">
        <v>8247</v>
      </c>
      <c r="S779" s="24" t="s">
        <v>8036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174</v>
      </c>
      <c r="Y779" s="23" t="s">
        <v>174</v>
      </c>
      <c r="Z779" s="23" t="s">
        <v>174</v>
      </c>
      <c r="AA779" s="23" t="s">
        <v>174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  <c r="AE779" s="24" t="str">
        <f aca="false">M779&amp;" | 요한계시록 1장 #"&amp;SUBSTITUTE(안내!$C$5," ","")</f>
        <v>발 앞에 죽은 자같이 엎드렸다 | 요한계시록 1장 #1분성경</v>
      </c>
      <c r="AF779" s="24" t="s">
        <v>304</v>
      </c>
      <c r="AG779" s="24"/>
      <c r="AH779" s="23" t="s">
        <v>290</v>
      </c>
      <c r="AI779" s="26" t="n">
        <f aca="false">U779-안내!$C$12</f>
        <v>46829</v>
      </c>
      <c r="AJ779" s="23" t="str">
        <f aca="false">IF(U779&lt;IF(C779=1,안내!$C$9,안내!$C$10)+안내!$C$12,"시즌 시작 전 제작","")</f>
        <v/>
      </c>
      <c r="AK779" s="24"/>
      <c r="AL779" s="27"/>
      <c r="AM779" s="27"/>
      <c r="AN779" s="27"/>
      <c r="AO779" s="27"/>
      <c r="AP779" s="27"/>
      <c r="AQ779" s="23" t="str">
        <f aca="false">D779&amp;"|"&amp;TEXT(U779,"yyyy-mm-dd")</f>
        <v>신약|2028-04-14</v>
      </c>
      <c r="AR779" s="24" t="s">
        <v>8248</v>
      </c>
      <c r="AS779" s="24"/>
    </row>
    <row r="780" customFormat="false" ht="26.85" hidden="false" customHeight="false" outlineLevel="0" collapsed="false">
      <c r="A780" s="23" t="n">
        <v>779</v>
      </c>
      <c r="B780" s="31" t="s">
        <v>8249</v>
      </c>
      <c r="C780" s="23" t="n">
        <v>2</v>
      </c>
      <c r="D780" s="23" t="s">
        <v>5581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1" t="s">
        <v>8229</v>
      </c>
      <c r="H780" s="31" t="s">
        <v>8239</v>
      </c>
      <c r="I780" s="23" t="s">
        <v>8230</v>
      </c>
      <c r="J780" s="24" t="s">
        <v>8250</v>
      </c>
      <c r="K780" s="23" t="s">
        <v>1370</v>
      </c>
      <c r="L780" s="24" t="s">
        <v>8251</v>
      </c>
      <c r="M780" s="24" t="s">
        <v>8252</v>
      </c>
      <c r="N780" s="23" t="s">
        <v>8253</v>
      </c>
      <c r="O780" s="24" t="s">
        <v>8254</v>
      </c>
      <c r="P780" s="24" t="s">
        <v>8255</v>
      </c>
      <c r="Q780" s="24" t="s">
        <v>8256</v>
      </c>
      <c r="R780" s="25" t="s">
        <v>8257</v>
      </c>
      <c r="S780" s="24" t="s">
        <v>8036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174</v>
      </c>
      <c r="Y780" s="23" t="s">
        <v>174</v>
      </c>
      <c r="Z780" s="23" t="s">
        <v>174</v>
      </c>
      <c r="AA780" s="23" t="s">
        <v>174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  <c r="AE780" s="24" t="str">
        <f aca="false">M780&amp;" | 요한계시록 2장 #"&amp;SUBSTITUTE(안내!$C$5," ","")</f>
        <v>일곱 교회에 보낸 편지 ① | 요한계시록 2장 #1분성경</v>
      </c>
      <c r="AF780" s="24" t="s">
        <v>304</v>
      </c>
      <c r="AG780" s="24"/>
      <c r="AH780" s="23" t="s">
        <v>290</v>
      </c>
      <c r="AI780" s="26" t="n">
        <f aca="false">U780-안내!$C$12</f>
        <v>46830</v>
      </c>
      <c r="AJ780" s="23" t="str">
        <f aca="false">IF(U780&lt;IF(C780=1,안내!$C$9,안내!$C$10)+안내!$C$12,"시즌 시작 전 제작","")</f>
        <v/>
      </c>
      <c r="AK780" s="24"/>
      <c r="AL780" s="27"/>
      <c r="AM780" s="27"/>
      <c r="AN780" s="27"/>
      <c r="AO780" s="27"/>
      <c r="AP780" s="27"/>
      <c r="AQ780" s="23" t="str">
        <f aca="false">D780&amp;"|"&amp;TEXT(U780,"yyyy-mm-dd")</f>
        <v>신약|2028-04-15</v>
      </c>
      <c r="AR780" s="24" t="s">
        <v>8258</v>
      </c>
      <c r="AS780" s="24"/>
    </row>
    <row r="781" customFormat="false" ht="39.55" hidden="false" customHeight="false" outlineLevel="0" collapsed="false">
      <c r="A781" s="23" t="n">
        <v>780</v>
      </c>
      <c r="B781" s="31" t="s">
        <v>8259</v>
      </c>
      <c r="C781" s="23" t="n">
        <v>2</v>
      </c>
      <c r="D781" s="23" t="s">
        <v>5581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1" t="s">
        <v>8229</v>
      </c>
      <c r="H781" s="31" t="s">
        <v>8239</v>
      </c>
      <c r="I781" s="23" t="s">
        <v>8230</v>
      </c>
      <c r="J781" s="24" t="s">
        <v>8260</v>
      </c>
      <c r="K781" s="23" t="s">
        <v>1370</v>
      </c>
      <c r="L781" s="24" t="s">
        <v>8261</v>
      </c>
      <c r="M781" s="24" t="s">
        <v>8262</v>
      </c>
      <c r="N781" s="23" t="s">
        <v>8263</v>
      </c>
      <c r="O781" s="24" t="s">
        <v>8264</v>
      </c>
      <c r="P781" s="24" t="s">
        <v>8265</v>
      </c>
      <c r="Q781" s="24" t="s">
        <v>8256</v>
      </c>
      <c r="R781" s="28" t="s">
        <v>8266</v>
      </c>
      <c r="S781" s="24" t="s">
        <v>8036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174</v>
      </c>
      <c r="Y781" s="23" t="s">
        <v>174</v>
      </c>
      <c r="Z781" s="23" t="s">
        <v>174</v>
      </c>
      <c r="AA781" s="23" t="s">
        <v>174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  <c r="AE781" s="24" t="str">
        <f aca="false">M781&amp;" | 요한계시록 2~3장 #"&amp;SUBSTITUTE(안내!$C$5," ","")</f>
        <v>일곱 교회에 보낸 편지 ② | 요한계시록 2~3장 #1분성경</v>
      </c>
      <c r="AF781" s="24" t="s">
        <v>304</v>
      </c>
      <c r="AG781" s="24"/>
      <c r="AH781" s="23" t="s">
        <v>290</v>
      </c>
      <c r="AI781" s="26" t="n">
        <f aca="false">U781-안내!$C$12</f>
        <v>46832</v>
      </c>
      <c r="AJ781" s="23" t="str">
        <f aca="false">IF(U781&lt;IF(C781=1,안내!$C$9,안내!$C$10)+안내!$C$12,"시즌 시작 전 제작","")</f>
        <v/>
      </c>
      <c r="AK781" s="24"/>
      <c r="AL781" s="27"/>
      <c r="AM781" s="27"/>
      <c r="AN781" s="27"/>
      <c r="AO781" s="27"/>
      <c r="AP781" s="27"/>
      <c r="AQ781" s="23" t="str">
        <f aca="false">D781&amp;"|"&amp;TEXT(U781,"yyyy-mm-dd")</f>
        <v>신약|2028-04-17</v>
      </c>
      <c r="AR781" s="24" t="s">
        <v>8267</v>
      </c>
      <c r="AS781" s="24"/>
    </row>
    <row r="782" customFormat="false" ht="52.2" hidden="false" customHeight="false" outlineLevel="0" collapsed="false">
      <c r="A782" s="23" t="n">
        <v>781</v>
      </c>
      <c r="B782" s="31" t="s">
        <v>8268</v>
      </c>
      <c r="C782" s="20" t="n">
        <v>1</v>
      </c>
      <c r="D782" s="20" t="s">
        <v>5581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1" t="s">
        <v>8229</v>
      </c>
      <c r="H782" s="31" t="s">
        <v>7691</v>
      </c>
      <c r="I782" s="23" t="s">
        <v>8230</v>
      </c>
      <c r="J782" s="24" t="s">
        <v>8269</v>
      </c>
      <c r="K782" s="23" t="s">
        <v>1370</v>
      </c>
      <c r="L782" s="24" t="s">
        <v>8270</v>
      </c>
      <c r="M782" s="24" t="s">
        <v>8271</v>
      </c>
      <c r="N782" s="23" t="s">
        <v>8272</v>
      </c>
      <c r="O782" s="24" t="s">
        <v>8273</v>
      </c>
      <c r="P782" s="24" t="s">
        <v>8274</v>
      </c>
      <c r="Q782" s="24" t="s">
        <v>8275</v>
      </c>
      <c r="R782" s="24"/>
      <c r="S782" s="29" t="s">
        <v>8276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174</v>
      </c>
      <c r="Y782" s="23" t="s">
        <v>174</v>
      </c>
      <c r="Z782" s="23" t="s">
        <v>174</v>
      </c>
      <c r="AA782" s="23" t="s">
        <v>174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  <c r="AE782" s="24" t="str">
        <f aca="false">M782&amp;" | 요한계시록 3장 #"&amp;SUBSTITUTE(안내!$C$5," ","")</f>
        <v>일곱 교회에 보낸 편지 ③ | 요한계시록 3장 #1분성경</v>
      </c>
      <c r="AF782" s="24" t="s">
        <v>8277</v>
      </c>
      <c r="AG782" s="24"/>
      <c r="AH782" s="23" t="s">
        <v>290</v>
      </c>
      <c r="AI782" s="26" t="n">
        <f aca="false">U782-안내!$C$12</f>
        <v>46535</v>
      </c>
      <c r="AJ782" s="23" t="str">
        <f aca="false">IF(U782&lt;IF(C782=1,안내!$C$9,안내!$C$10)+안내!$C$12,"시즌 시작 전 제작","")</f>
        <v/>
      </c>
      <c r="AK782" s="24"/>
      <c r="AL782" s="27"/>
      <c r="AM782" s="27"/>
      <c r="AN782" s="27"/>
      <c r="AO782" s="27"/>
      <c r="AP782" s="27"/>
      <c r="AQ782" s="23" t="str">
        <f aca="false">D782&amp;"|"&amp;TEXT(U782,"yyyy-mm-dd")</f>
        <v>신약|2027-06-25</v>
      </c>
      <c r="AR782" s="24" t="s">
        <v>8278</v>
      </c>
      <c r="AS782" s="24"/>
    </row>
    <row r="783" customFormat="false" ht="39.55" hidden="false" customHeight="false" outlineLevel="0" collapsed="false">
      <c r="A783" s="23" t="n">
        <v>782</v>
      </c>
      <c r="B783" s="31" t="s">
        <v>8279</v>
      </c>
      <c r="C783" s="23" t="n">
        <v>2</v>
      </c>
      <c r="D783" s="23" t="s">
        <v>5581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1" t="s">
        <v>8229</v>
      </c>
      <c r="H783" s="31" t="s">
        <v>8239</v>
      </c>
      <c r="I783" s="23" t="s">
        <v>8230</v>
      </c>
      <c r="J783" s="24" t="s">
        <v>8280</v>
      </c>
      <c r="K783" s="23" t="s">
        <v>1370</v>
      </c>
      <c r="L783" s="24" t="s">
        <v>8281</v>
      </c>
      <c r="M783" s="24" t="s">
        <v>8282</v>
      </c>
      <c r="N783" s="23" t="s">
        <v>8283</v>
      </c>
      <c r="O783" s="24" t="s">
        <v>8284</v>
      </c>
      <c r="P783" s="24" t="s">
        <v>8285</v>
      </c>
      <c r="Q783" s="24" t="s">
        <v>8286</v>
      </c>
      <c r="R783" s="25" t="s">
        <v>8287</v>
      </c>
      <c r="S783" s="24" t="s">
        <v>8288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174</v>
      </c>
      <c r="Y783" s="23" t="s">
        <v>174</v>
      </c>
      <c r="Z783" s="23" t="s">
        <v>174</v>
      </c>
      <c r="AA783" s="23" t="s">
        <v>174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  <c r="AE783" s="24" t="str">
        <f aca="false">M783&amp;" | 요한계시록 4장 #"&amp;SUBSTITUTE(안내!$C$5," ","")</f>
        <v>하늘 문이 열리고 본 광경 | 요한계시록 4장 #1분성경</v>
      </c>
      <c r="AF783" s="24" t="s">
        <v>304</v>
      </c>
      <c r="AG783" s="24"/>
      <c r="AH783" s="23" t="s">
        <v>290</v>
      </c>
      <c r="AI783" s="26" t="n">
        <f aca="false">U783-안내!$C$12</f>
        <v>46834</v>
      </c>
      <c r="AJ783" s="23" t="str">
        <f aca="false">IF(U783&lt;IF(C783=1,안내!$C$9,안내!$C$10)+안내!$C$12,"시즌 시작 전 제작","")</f>
        <v/>
      </c>
      <c r="AK783" s="24"/>
      <c r="AL783" s="27"/>
      <c r="AM783" s="27"/>
      <c r="AN783" s="27"/>
      <c r="AO783" s="27"/>
      <c r="AP783" s="27"/>
      <c r="AQ783" s="23" t="str">
        <f aca="false">D783&amp;"|"&amp;TEXT(U783,"yyyy-mm-dd")</f>
        <v>신약|2028-04-19</v>
      </c>
      <c r="AR783" s="24" t="s">
        <v>8289</v>
      </c>
      <c r="AS783" s="24"/>
    </row>
    <row r="784" customFormat="false" ht="26.85" hidden="false" customHeight="false" outlineLevel="0" collapsed="false">
      <c r="A784" s="23" t="n">
        <v>783</v>
      </c>
      <c r="B784" s="31" t="s">
        <v>8290</v>
      </c>
      <c r="C784" s="20" t="n">
        <v>1</v>
      </c>
      <c r="D784" s="20" t="s">
        <v>5581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1" t="s">
        <v>8229</v>
      </c>
      <c r="H784" s="31" t="s">
        <v>7691</v>
      </c>
      <c r="I784" s="23" t="s">
        <v>8230</v>
      </c>
      <c r="J784" s="24" t="s">
        <v>8291</v>
      </c>
      <c r="K784" s="23" t="s">
        <v>1370</v>
      </c>
      <c r="L784" s="24" t="s">
        <v>8292</v>
      </c>
      <c r="M784" s="24" t="s">
        <v>8293</v>
      </c>
      <c r="N784" s="23" t="s">
        <v>8294</v>
      </c>
      <c r="O784" s="24" t="s">
        <v>8295</v>
      </c>
      <c r="P784" s="24" t="s">
        <v>8296</v>
      </c>
      <c r="Q784" s="24" t="s">
        <v>8297</v>
      </c>
      <c r="R784" s="25" t="s">
        <v>8298</v>
      </c>
      <c r="S784" s="29" t="s">
        <v>8299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174</v>
      </c>
      <c r="Y784" s="23" t="s">
        <v>174</v>
      </c>
      <c r="Z784" s="23" t="s">
        <v>174</v>
      </c>
      <c r="AA784" s="23" t="s">
        <v>174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  <c r="AE784" s="24" t="str">
        <f aca="false">M784&amp;" | 요한계시록 5장 #"&amp;SUBSTITUTE(안내!$C$5," ","")</f>
        <v>아무도 열 수 없던 두루마리 | 요한계시록 5장 #1분성경</v>
      </c>
      <c r="AF784" s="24" t="s">
        <v>8300</v>
      </c>
      <c r="AG784" s="24"/>
      <c r="AH784" s="23" t="s">
        <v>290</v>
      </c>
      <c r="AI784" s="26" t="n">
        <f aca="false">U784-안내!$C$12</f>
        <v>46536</v>
      </c>
      <c r="AJ784" s="23" t="str">
        <f aca="false">IF(U784&lt;IF(C784=1,안내!$C$9,안내!$C$10)+안내!$C$12,"시즌 시작 전 제작","")</f>
        <v/>
      </c>
      <c r="AK784" s="24"/>
      <c r="AL784" s="27"/>
      <c r="AM784" s="27"/>
      <c r="AN784" s="27"/>
      <c r="AO784" s="27"/>
      <c r="AP784" s="27"/>
      <c r="AQ784" s="23" t="str">
        <f aca="false">D784&amp;"|"&amp;TEXT(U784,"yyyy-mm-dd")</f>
        <v>신약|2027-06-26</v>
      </c>
      <c r="AR784" s="24" t="s">
        <v>8301</v>
      </c>
      <c r="AS784" s="24"/>
    </row>
    <row r="785" customFormat="false" ht="39.55" hidden="false" customHeight="false" outlineLevel="0" collapsed="false">
      <c r="A785" s="23" t="n">
        <v>784</v>
      </c>
      <c r="B785" s="31" t="s">
        <v>8302</v>
      </c>
      <c r="C785" s="23" t="n">
        <v>2</v>
      </c>
      <c r="D785" s="23" t="s">
        <v>5581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1" t="s">
        <v>8229</v>
      </c>
      <c r="H785" s="31" t="s">
        <v>8239</v>
      </c>
      <c r="I785" s="23" t="s">
        <v>8230</v>
      </c>
      <c r="J785" s="24" t="s">
        <v>8303</v>
      </c>
      <c r="K785" s="23" t="s">
        <v>1370</v>
      </c>
      <c r="L785" s="24" t="s">
        <v>8304</v>
      </c>
      <c r="M785" s="24" t="s">
        <v>8305</v>
      </c>
      <c r="N785" s="23" t="s">
        <v>8306</v>
      </c>
      <c r="O785" s="24" t="s">
        <v>8307</v>
      </c>
      <c r="P785" s="24" t="s">
        <v>8308</v>
      </c>
      <c r="Q785" s="24" t="s">
        <v>8309</v>
      </c>
      <c r="R785" s="25" t="s">
        <v>8310</v>
      </c>
      <c r="S785" s="24" t="s">
        <v>8311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174</v>
      </c>
      <c r="Y785" s="23" t="s">
        <v>174</v>
      </c>
      <c r="Z785" s="23" t="s">
        <v>174</v>
      </c>
      <c r="AA785" s="23" t="s">
        <v>174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  <c r="AE785" s="24" t="str">
        <f aca="false">M785&amp;" | 요한계시록 6장 #"&amp;SUBSTITUTE(안내!$C$5," ","")</f>
        <v>두루마리의 인을 떼자 나타난 말들 | 요한계시록 6장 #1분성경</v>
      </c>
      <c r="AF785" s="24" t="s">
        <v>304</v>
      </c>
      <c r="AG785" s="24"/>
      <c r="AH785" s="23" t="s">
        <v>290</v>
      </c>
      <c r="AI785" s="26" t="n">
        <f aca="false">U785-안내!$C$12</f>
        <v>46836</v>
      </c>
      <c r="AJ785" s="23" t="str">
        <f aca="false">IF(U785&lt;IF(C785=1,안내!$C$9,안내!$C$10)+안내!$C$12,"시즌 시작 전 제작","")</f>
        <v/>
      </c>
      <c r="AK785" s="24"/>
      <c r="AL785" s="27"/>
      <c r="AM785" s="27"/>
      <c r="AN785" s="27"/>
      <c r="AO785" s="27"/>
      <c r="AP785" s="27"/>
      <c r="AQ785" s="23" t="str">
        <f aca="false">D785&amp;"|"&amp;TEXT(U785,"yyyy-mm-dd")</f>
        <v>신약|2028-04-21</v>
      </c>
      <c r="AR785" s="24" t="s">
        <v>8312</v>
      </c>
      <c r="AS785" s="24"/>
    </row>
    <row r="786" customFormat="false" ht="39.55" hidden="false" customHeight="false" outlineLevel="0" collapsed="false">
      <c r="A786" s="23" t="n">
        <v>785</v>
      </c>
      <c r="B786" s="31" t="s">
        <v>8313</v>
      </c>
      <c r="C786" s="23" t="n">
        <v>2</v>
      </c>
      <c r="D786" s="23" t="s">
        <v>5581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1" t="s">
        <v>8229</v>
      </c>
      <c r="H786" s="31" t="s">
        <v>8239</v>
      </c>
      <c r="I786" s="23" t="s">
        <v>8230</v>
      </c>
      <c r="J786" s="24" t="s">
        <v>8314</v>
      </c>
      <c r="K786" s="23" t="s">
        <v>1370</v>
      </c>
      <c r="L786" s="24" t="s">
        <v>8315</v>
      </c>
      <c r="M786" s="24" t="s">
        <v>8316</v>
      </c>
      <c r="N786" s="23" t="s">
        <v>8317</v>
      </c>
      <c r="O786" s="24" t="s">
        <v>8318</v>
      </c>
      <c r="P786" s="24" t="s">
        <v>8319</v>
      </c>
      <c r="Q786" s="24" t="s">
        <v>8320</v>
      </c>
      <c r="R786" s="28" t="s">
        <v>8321</v>
      </c>
      <c r="S786" s="24" t="s">
        <v>8311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174</v>
      </c>
      <c r="Y786" s="23" t="s">
        <v>174</v>
      </c>
      <c r="Z786" s="23" t="s">
        <v>174</v>
      </c>
      <c r="AA786" s="23" t="s">
        <v>174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  <c r="AE786" s="24" t="str">
        <f aca="false">M786&amp;" | 요한계시록 7장 #"&amp;SUBSTITUTE(안내!$C$5," ","")</f>
        <v>아무도 셀 수 없는 큰 무리 | 요한계시록 7장 #1분성경</v>
      </c>
      <c r="AF786" s="24" t="s">
        <v>304</v>
      </c>
      <c r="AG786" s="24"/>
      <c r="AH786" s="23" t="s">
        <v>290</v>
      </c>
      <c r="AI786" s="26" t="n">
        <f aca="false">U786-안내!$C$12</f>
        <v>46837</v>
      </c>
      <c r="AJ786" s="23" t="str">
        <f aca="false">IF(U786&lt;IF(C786=1,안내!$C$9,안내!$C$10)+안내!$C$12,"시즌 시작 전 제작","")</f>
        <v/>
      </c>
      <c r="AK786" s="24"/>
      <c r="AL786" s="27"/>
      <c r="AM786" s="27"/>
      <c r="AN786" s="27"/>
      <c r="AO786" s="27"/>
      <c r="AP786" s="27"/>
      <c r="AQ786" s="23" t="str">
        <f aca="false">D786&amp;"|"&amp;TEXT(U786,"yyyy-mm-dd")</f>
        <v>신약|2028-04-22</v>
      </c>
      <c r="AR786" s="24" t="s">
        <v>8322</v>
      </c>
      <c r="AS786" s="24"/>
    </row>
    <row r="787" customFormat="false" ht="26.85" hidden="false" customHeight="false" outlineLevel="0" collapsed="false">
      <c r="A787" s="23" t="n">
        <v>786</v>
      </c>
      <c r="B787" s="31" t="s">
        <v>8323</v>
      </c>
      <c r="C787" s="23" t="n">
        <v>2</v>
      </c>
      <c r="D787" s="23" t="s">
        <v>5581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1" t="s">
        <v>8229</v>
      </c>
      <c r="H787" s="31" t="s">
        <v>8239</v>
      </c>
      <c r="I787" s="23" t="s">
        <v>8230</v>
      </c>
      <c r="J787" s="24" t="s">
        <v>8324</v>
      </c>
      <c r="K787" s="23" t="s">
        <v>1370</v>
      </c>
      <c r="L787" s="24" t="s">
        <v>8325</v>
      </c>
      <c r="M787" s="24" t="s">
        <v>8326</v>
      </c>
      <c r="N787" s="23" t="s">
        <v>8327</v>
      </c>
      <c r="O787" s="24" t="s">
        <v>8328</v>
      </c>
      <c r="P787" s="24" t="s">
        <v>8329</v>
      </c>
      <c r="Q787" s="24" t="s">
        <v>8330</v>
      </c>
      <c r="R787" s="25" t="s">
        <v>8331</v>
      </c>
      <c r="S787" s="24" t="s">
        <v>8311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174</v>
      </c>
      <c r="Y787" s="23" t="s">
        <v>174</v>
      </c>
      <c r="Z787" s="23" t="s">
        <v>174</v>
      </c>
      <c r="AA787" s="23" t="s">
        <v>174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  <c r="AE787" s="24" t="str">
        <f aca="false">M787&amp;" | 요한계시록 8~9장 #"&amp;SUBSTITUTE(안내!$C$5," ","")</f>
        <v>성도의 기도가 향과 함께 올라가다 | 요한계시록 8~9장 #1분성경</v>
      </c>
      <c r="AF787" s="24" t="s">
        <v>304</v>
      </c>
      <c r="AG787" s="24"/>
      <c r="AH787" s="23" t="s">
        <v>290</v>
      </c>
      <c r="AI787" s="26" t="n">
        <f aca="false">U787-안내!$C$12</f>
        <v>46839</v>
      </c>
      <c r="AJ787" s="23" t="str">
        <f aca="false">IF(U787&lt;IF(C787=1,안내!$C$9,안내!$C$10)+안내!$C$12,"시즌 시작 전 제작","")</f>
        <v/>
      </c>
      <c r="AK787" s="24"/>
      <c r="AL787" s="27"/>
      <c r="AM787" s="27"/>
      <c r="AN787" s="27"/>
      <c r="AO787" s="27"/>
      <c r="AP787" s="27"/>
      <c r="AQ787" s="23" t="str">
        <f aca="false">D787&amp;"|"&amp;TEXT(U787,"yyyy-mm-dd")</f>
        <v>신약|2028-04-24</v>
      </c>
      <c r="AR787" s="24" t="s">
        <v>8332</v>
      </c>
      <c r="AS787" s="24"/>
    </row>
    <row r="788" customFormat="false" ht="39.55" hidden="false" customHeight="false" outlineLevel="0" collapsed="false">
      <c r="A788" s="23" t="n">
        <v>787</v>
      </c>
      <c r="B788" s="31" t="s">
        <v>8333</v>
      </c>
      <c r="C788" s="23" t="n">
        <v>2</v>
      </c>
      <c r="D788" s="23" t="s">
        <v>5581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1" t="s">
        <v>8229</v>
      </c>
      <c r="H788" s="31" t="s">
        <v>8239</v>
      </c>
      <c r="I788" s="23" t="s">
        <v>8230</v>
      </c>
      <c r="J788" s="24" t="s">
        <v>8334</v>
      </c>
      <c r="K788" s="23" t="s">
        <v>1370</v>
      </c>
      <c r="L788" s="24" t="s">
        <v>8335</v>
      </c>
      <c r="M788" s="24" t="s">
        <v>8336</v>
      </c>
      <c r="N788" s="23" t="s">
        <v>8337</v>
      </c>
      <c r="O788" s="24" t="s">
        <v>8338</v>
      </c>
      <c r="P788" s="24" t="s">
        <v>8339</v>
      </c>
      <c r="Q788" s="24" t="s">
        <v>8340</v>
      </c>
      <c r="R788" s="25" t="s">
        <v>8341</v>
      </c>
      <c r="S788" s="24" t="s">
        <v>8311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174</v>
      </c>
      <c r="Y788" s="23" t="s">
        <v>174</v>
      </c>
      <c r="Z788" s="23" t="s">
        <v>174</v>
      </c>
      <c r="AA788" s="23" t="s">
        <v>174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  <c r="AE788" s="24" t="str">
        <f aca="false">M788&amp;" | 요한계시록 10~11장 #"&amp;SUBSTITUTE(안내!$C$5," ","")</f>
        <v>일곱째 나팔이 울릴 때 | 요한계시록 10~11장 #1분성경</v>
      </c>
      <c r="AF788" s="24" t="s">
        <v>304</v>
      </c>
      <c r="AG788" s="24"/>
      <c r="AH788" s="23" t="s">
        <v>290</v>
      </c>
      <c r="AI788" s="26" t="n">
        <f aca="false">U788-안내!$C$12</f>
        <v>46841</v>
      </c>
      <c r="AJ788" s="23" t="str">
        <f aca="false">IF(U788&lt;IF(C788=1,안내!$C$9,안내!$C$10)+안내!$C$12,"시즌 시작 전 제작","")</f>
        <v/>
      </c>
      <c r="AK788" s="24"/>
      <c r="AL788" s="27"/>
      <c r="AM788" s="27"/>
      <c r="AN788" s="27"/>
      <c r="AO788" s="27"/>
      <c r="AP788" s="27"/>
      <c r="AQ788" s="23" t="str">
        <f aca="false">D788&amp;"|"&amp;TEXT(U788,"yyyy-mm-dd")</f>
        <v>신약|2028-04-26</v>
      </c>
      <c r="AR788" s="24" t="s">
        <v>8342</v>
      </c>
      <c r="AS788" s="24"/>
    </row>
    <row r="789" customFormat="false" ht="26.85" hidden="false" customHeight="false" outlineLevel="0" collapsed="false">
      <c r="A789" s="23" t="n">
        <v>788</v>
      </c>
      <c r="B789" s="31" t="s">
        <v>8343</v>
      </c>
      <c r="C789" s="23" t="n">
        <v>2</v>
      </c>
      <c r="D789" s="23" t="s">
        <v>5581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1" t="s">
        <v>8344</v>
      </c>
      <c r="H789" s="31" t="s">
        <v>8345</v>
      </c>
      <c r="I789" s="23" t="s">
        <v>8230</v>
      </c>
      <c r="J789" s="24" t="s">
        <v>8346</v>
      </c>
      <c r="K789" s="23" t="s">
        <v>1370</v>
      </c>
      <c r="L789" s="24" t="s">
        <v>8347</v>
      </c>
      <c r="M789" s="24" t="s">
        <v>8348</v>
      </c>
      <c r="N789" s="23" t="s">
        <v>8349</v>
      </c>
      <c r="O789" s="24" t="s">
        <v>8350</v>
      </c>
      <c r="P789" s="24" t="s">
        <v>8351</v>
      </c>
      <c r="Q789" s="24" t="s">
        <v>8352</v>
      </c>
      <c r="R789" s="28" t="s">
        <v>8353</v>
      </c>
      <c r="S789" s="24" t="s">
        <v>8311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174</v>
      </c>
      <c r="Y789" s="23" t="s">
        <v>174</v>
      </c>
      <c r="Z789" s="23" t="s">
        <v>174</v>
      </c>
      <c r="AA789" s="23" t="s">
        <v>174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  <c r="AE789" s="24" t="str">
        <f aca="false">M789&amp;" | 요한계시록 12장 #"&amp;SUBSTITUTE(안내!$C$5," ","")</f>
        <v>해를 옷 입은 여자와 붉은 용 | 요한계시록 12장 #1분성경</v>
      </c>
      <c r="AF789" s="24" t="s">
        <v>304</v>
      </c>
      <c r="AG789" s="24"/>
      <c r="AH789" s="23" t="s">
        <v>290</v>
      </c>
      <c r="AI789" s="26" t="n">
        <f aca="false">U789-안내!$C$12</f>
        <v>46843</v>
      </c>
      <c r="AJ789" s="23" t="str">
        <f aca="false">IF(U789&lt;IF(C789=1,안내!$C$9,안내!$C$10)+안내!$C$12,"시즌 시작 전 제작","")</f>
        <v/>
      </c>
      <c r="AK789" s="24"/>
      <c r="AL789" s="27"/>
      <c r="AM789" s="27"/>
      <c r="AN789" s="27"/>
      <c r="AO789" s="27"/>
      <c r="AP789" s="27"/>
      <c r="AQ789" s="23" t="str">
        <f aca="false">D789&amp;"|"&amp;TEXT(U789,"yyyy-mm-dd")</f>
        <v>신약|2028-04-28</v>
      </c>
      <c r="AR789" s="24" t="s">
        <v>8354</v>
      </c>
      <c r="AS789" s="24"/>
    </row>
    <row r="790" customFormat="false" ht="26.85" hidden="false" customHeight="false" outlineLevel="0" collapsed="false">
      <c r="A790" s="23" t="n">
        <v>789</v>
      </c>
      <c r="B790" s="31" t="s">
        <v>8355</v>
      </c>
      <c r="C790" s="23" t="n">
        <v>2</v>
      </c>
      <c r="D790" s="23" t="s">
        <v>5581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1" t="s">
        <v>8344</v>
      </c>
      <c r="H790" s="31" t="s">
        <v>8345</v>
      </c>
      <c r="I790" s="23" t="s">
        <v>8230</v>
      </c>
      <c r="J790" s="24" t="s">
        <v>8356</v>
      </c>
      <c r="K790" s="23" t="s">
        <v>1370</v>
      </c>
      <c r="L790" s="24" t="s">
        <v>8357</v>
      </c>
      <c r="M790" s="24" t="s">
        <v>8358</v>
      </c>
      <c r="N790" s="23" t="s">
        <v>8359</v>
      </c>
      <c r="O790" s="24" t="s">
        <v>8360</v>
      </c>
      <c r="P790" s="24" t="s">
        <v>8361</v>
      </c>
      <c r="Q790" s="24" t="s">
        <v>8362</v>
      </c>
      <c r="R790" s="28" t="s">
        <v>8363</v>
      </c>
      <c r="S790" s="24" t="s">
        <v>8311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174</v>
      </c>
      <c r="Y790" s="23" t="s">
        <v>174</v>
      </c>
      <c r="Z790" s="23" t="s">
        <v>174</v>
      </c>
      <c r="AA790" s="23" t="s">
        <v>174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  <c r="AE790" s="24" t="str">
        <f aca="false">M790&amp;" | 요한계시록 13장 #"&amp;SUBSTITUTE(안내!$C$5," ","")</f>
        <v>짐승의 표를 받지 말라 | 요한계시록 13장 #1분성경</v>
      </c>
      <c r="AF790" s="24" t="s">
        <v>304</v>
      </c>
      <c r="AG790" s="24"/>
      <c r="AH790" s="23" t="s">
        <v>290</v>
      </c>
      <c r="AI790" s="26" t="n">
        <f aca="false">U790-안내!$C$12</f>
        <v>46844</v>
      </c>
      <c r="AJ790" s="23" t="str">
        <f aca="false">IF(U790&lt;IF(C790=1,안내!$C$9,안내!$C$10)+안내!$C$12,"시즌 시작 전 제작","")</f>
        <v/>
      </c>
      <c r="AK790" s="24"/>
      <c r="AL790" s="27"/>
      <c r="AM790" s="27"/>
      <c r="AN790" s="27"/>
      <c r="AO790" s="27"/>
      <c r="AP790" s="27"/>
      <c r="AQ790" s="23" t="str">
        <f aca="false">D790&amp;"|"&amp;TEXT(U790,"yyyy-mm-dd")</f>
        <v>신약|2028-04-29</v>
      </c>
      <c r="AR790" s="24" t="s">
        <v>8364</v>
      </c>
      <c r="AS790" s="24"/>
    </row>
    <row r="791" customFormat="false" ht="39.55" hidden="false" customHeight="false" outlineLevel="0" collapsed="false">
      <c r="A791" s="23" t="n">
        <v>790</v>
      </c>
      <c r="B791" s="31" t="s">
        <v>8365</v>
      </c>
      <c r="C791" s="23" t="n">
        <v>2</v>
      </c>
      <c r="D791" s="23" t="s">
        <v>5581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1" t="s">
        <v>8344</v>
      </c>
      <c r="H791" s="31" t="s">
        <v>8345</v>
      </c>
      <c r="I791" s="23" t="s">
        <v>8230</v>
      </c>
      <c r="J791" s="24" t="s">
        <v>8366</v>
      </c>
      <c r="K791" s="23" t="s">
        <v>1370</v>
      </c>
      <c r="L791" s="24" t="s">
        <v>8367</v>
      </c>
      <c r="M791" s="24" t="s">
        <v>8368</v>
      </c>
      <c r="N791" s="23" t="s">
        <v>8369</v>
      </c>
      <c r="O791" s="24" t="s">
        <v>8370</v>
      </c>
      <c r="P791" s="24" t="s">
        <v>8371</v>
      </c>
      <c r="Q791" s="24" t="s">
        <v>8372</v>
      </c>
      <c r="R791" s="24"/>
      <c r="S791" s="24" t="s">
        <v>8311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174</v>
      </c>
      <c r="Y791" s="23" t="s">
        <v>174</v>
      </c>
      <c r="Z791" s="23" t="s">
        <v>174</v>
      </c>
      <c r="AA791" s="23" t="s">
        <v>174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  <c r="AE791" s="24" t="str">
        <f aca="false">M791&amp;" | 요한계시록 14장 #"&amp;SUBSTITUTE(안내!$C$5," ","")</f>
        <v>시온 산에 선 어린양 | 요한계시록 14장 #1분성경</v>
      </c>
      <c r="AF791" s="24" t="s">
        <v>304</v>
      </c>
      <c r="AG791" s="24"/>
      <c r="AH791" s="23" t="s">
        <v>290</v>
      </c>
      <c r="AI791" s="26" t="n">
        <f aca="false">U791-안내!$C$12</f>
        <v>46846</v>
      </c>
      <c r="AJ791" s="23" t="str">
        <f aca="false">IF(U791&lt;IF(C791=1,안내!$C$9,안내!$C$10)+안내!$C$12,"시즌 시작 전 제작","")</f>
        <v/>
      </c>
      <c r="AK791" s="24"/>
      <c r="AL791" s="27"/>
      <c r="AM791" s="27"/>
      <c r="AN791" s="27"/>
      <c r="AO791" s="27"/>
      <c r="AP791" s="27"/>
      <c r="AQ791" s="23" t="str">
        <f aca="false">D791&amp;"|"&amp;TEXT(U791,"yyyy-mm-dd")</f>
        <v>신약|2028-05-01</v>
      </c>
      <c r="AR791" s="24" t="s">
        <v>8373</v>
      </c>
      <c r="AS791" s="24"/>
    </row>
    <row r="792" customFormat="false" ht="39.55" hidden="false" customHeight="false" outlineLevel="0" collapsed="false">
      <c r="A792" s="23" t="n">
        <v>791</v>
      </c>
      <c r="B792" s="31" t="s">
        <v>8374</v>
      </c>
      <c r="C792" s="23" t="n">
        <v>2</v>
      </c>
      <c r="D792" s="23" t="s">
        <v>5581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1" t="s">
        <v>8344</v>
      </c>
      <c r="H792" s="31" t="s">
        <v>8345</v>
      </c>
      <c r="I792" s="23" t="s">
        <v>8230</v>
      </c>
      <c r="J792" s="24" t="s">
        <v>8375</v>
      </c>
      <c r="K792" s="23" t="s">
        <v>1370</v>
      </c>
      <c r="L792" s="24" t="s">
        <v>8376</v>
      </c>
      <c r="M792" s="24" t="s">
        <v>8377</v>
      </c>
      <c r="N792" s="23" t="s">
        <v>8378</v>
      </c>
      <c r="O792" s="24" t="s">
        <v>8379</v>
      </c>
      <c r="P792" s="24" t="s">
        <v>8380</v>
      </c>
      <c r="Q792" s="24" t="s">
        <v>8381</v>
      </c>
      <c r="R792" s="25" t="s">
        <v>8331</v>
      </c>
      <c r="S792" s="24" t="s">
        <v>8311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174</v>
      </c>
      <c r="Y792" s="23" t="s">
        <v>174</v>
      </c>
      <c r="Z792" s="23" t="s">
        <v>174</v>
      </c>
      <c r="AA792" s="23" t="s">
        <v>174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  <c r="AE792" s="24" t="str">
        <f aca="false">M792&amp;" | 요한계시록 15~16장 #"&amp;SUBSTITUTE(안내!$C$5," ","")</f>
        <v>일곱 대접 | 요한계시록 15~16장 #1분성경</v>
      </c>
      <c r="AF792" s="24" t="s">
        <v>304</v>
      </c>
      <c r="AG792" s="24"/>
      <c r="AH792" s="23" t="s">
        <v>290</v>
      </c>
      <c r="AI792" s="26" t="n">
        <f aca="false">U792-안내!$C$12</f>
        <v>46848</v>
      </c>
      <c r="AJ792" s="23" t="str">
        <f aca="false">IF(U792&lt;IF(C792=1,안내!$C$9,안내!$C$10)+안내!$C$12,"시즌 시작 전 제작","")</f>
        <v/>
      </c>
      <c r="AK792" s="24"/>
      <c r="AL792" s="27"/>
      <c r="AM792" s="27"/>
      <c r="AN792" s="27"/>
      <c r="AO792" s="27"/>
      <c r="AP792" s="27"/>
      <c r="AQ792" s="23" t="str">
        <f aca="false">D792&amp;"|"&amp;TEXT(U792,"yyyy-mm-dd")</f>
        <v>신약|2028-05-03</v>
      </c>
      <c r="AR792" s="24" t="s">
        <v>8382</v>
      </c>
      <c r="AS792" s="24" t="s">
        <v>292</v>
      </c>
    </row>
    <row r="793" customFormat="false" ht="26.85" hidden="false" customHeight="false" outlineLevel="0" collapsed="false">
      <c r="A793" s="23" t="n">
        <v>792</v>
      </c>
      <c r="B793" s="31" t="s">
        <v>8383</v>
      </c>
      <c r="C793" s="23" t="n">
        <v>2</v>
      </c>
      <c r="D793" s="23" t="s">
        <v>5581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1" t="s">
        <v>8344</v>
      </c>
      <c r="H793" s="31" t="s">
        <v>8345</v>
      </c>
      <c r="I793" s="23" t="s">
        <v>8230</v>
      </c>
      <c r="J793" s="24" t="s">
        <v>8384</v>
      </c>
      <c r="K793" s="23" t="s">
        <v>1370</v>
      </c>
      <c r="L793" s="24" t="s">
        <v>8385</v>
      </c>
      <c r="M793" s="24" t="s">
        <v>8386</v>
      </c>
      <c r="N793" s="23" t="s">
        <v>8387</v>
      </c>
      <c r="O793" s="24" t="s">
        <v>8388</v>
      </c>
      <c r="P793" s="24" t="s">
        <v>8389</v>
      </c>
      <c r="Q793" s="24" t="s">
        <v>8390</v>
      </c>
      <c r="R793" s="25" t="s">
        <v>8391</v>
      </c>
      <c r="S793" s="24" t="s">
        <v>8311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174</v>
      </c>
      <c r="Y793" s="23" t="s">
        <v>174</v>
      </c>
      <c r="Z793" s="23" t="s">
        <v>174</v>
      </c>
      <c r="AA793" s="23" t="s">
        <v>174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  <c r="AE793" s="24" t="str">
        <f aca="false">M793&amp;" | 요한계시록 17~18장 #"&amp;SUBSTITUTE(안내!$C$5," ","")</f>
        <v>무너지는 큰 성 | 요한계시록 17~18장 #1분성경</v>
      </c>
      <c r="AF793" s="24" t="s">
        <v>304</v>
      </c>
      <c r="AG793" s="24"/>
      <c r="AH793" s="23" t="s">
        <v>290</v>
      </c>
      <c r="AI793" s="26" t="n">
        <f aca="false">U793-안내!$C$12</f>
        <v>46850</v>
      </c>
      <c r="AJ793" s="23" t="str">
        <f aca="false">IF(U793&lt;IF(C793=1,안내!$C$9,안내!$C$10)+안내!$C$12,"시즌 시작 전 제작","")</f>
        <v/>
      </c>
      <c r="AK793" s="24"/>
      <c r="AL793" s="27"/>
      <c r="AM793" s="27"/>
      <c r="AN793" s="27"/>
      <c r="AO793" s="27"/>
      <c r="AP793" s="27"/>
      <c r="AQ793" s="23" t="str">
        <f aca="false">D793&amp;"|"&amp;TEXT(U793,"yyyy-mm-dd")</f>
        <v>신약|2028-05-05</v>
      </c>
      <c r="AR793" s="24" t="s">
        <v>8392</v>
      </c>
      <c r="AS793" s="24" t="s">
        <v>292</v>
      </c>
    </row>
    <row r="794" customFormat="false" ht="39.55" hidden="false" customHeight="false" outlineLevel="0" collapsed="false">
      <c r="A794" s="23" t="n">
        <v>793</v>
      </c>
      <c r="B794" s="31" t="s">
        <v>8393</v>
      </c>
      <c r="C794" s="20" t="n">
        <v>1</v>
      </c>
      <c r="D794" s="20" t="s">
        <v>5581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1" t="s">
        <v>8344</v>
      </c>
      <c r="H794" s="31" t="s">
        <v>7691</v>
      </c>
      <c r="I794" s="23" t="s">
        <v>8230</v>
      </c>
      <c r="J794" s="24" t="s">
        <v>8394</v>
      </c>
      <c r="K794" s="23" t="s">
        <v>1370</v>
      </c>
      <c r="L794" s="24" t="s">
        <v>8395</v>
      </c>
      <c r="M794" s="24" t="s">
        <v>8396</v>
      </c>
      <c r="N794" s="23" t="s">
        <v>8397</v>
      </c>
      <c r="O794" s="24" t="s">
        <v>8398</v>
      </c>
      <c r="P794" s="24" t="s">
        <v>8399</v>
      </c>
      <c r="Q794" s="24" t="s">
        <v>8400</v>
      </c>
      <c r="R794" s="24"/>
      <c r="S794" s="29" t="s">
        <v>8401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174</v>
      </c>
      <c r="Y794" s="23" t="s">
        <v>174</v>
      </c>
      <c r="Z794" s="23" t="s">
        <v>174</v>
      </c>
      <c r="AA794" s="23" t="s">
        <v>174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  <c r="AE794" s="24" t="str">
        <f aca="false">M794&amp;" | 요한계시록 19장 #"&amp;SUBSTITUTE(안내!$C$5," ","")</f>
        <v>할렐루야가 울려 퍼지는 하늘 | 요한계시록 19장 #1분성경</v>
      </c>
      <c r="AF794" s="24" t="s">
        <v>8402</v>
      </c>
      <c r="AG794" s="24"/>
      <c r="AH794" s="23" t="s">
        <v>290</v>
      </c>
      <c r="AI794" s="26" t="n">
        <f aca="false">U794-안내!$C$12</f>
        <v>46538</v>
      </c>
      <c r="AJ794" s="23" t="str">
        <f aca="false">IF(U794&lt;IF(C794=1,안내!$C$9,안내!$C$10)+안내!$C$12,"시즌 시작 전 제작","")</f>
        <v/>
      </c>
      <c r="AK794" s="24"/>
      <c r="AL794" s="27"/>
      <c r="AM794" s="27"/>
      <c r="AN794" s="27"/>
      <c r="AO794" s="27"/>
      <c r="AP794" s="27"/>
      <c r="AQ794" s="23" t="str">
        <f aca="false">D794&amp;"|"&amp;TEXT(U794,"yyyy-mm-dd")</f>
        <v>신약|2027-06-28</v>
      </c>
      <c r="AR794" s="24" t="s">
        <v>8403</v>
      </c>
      <c r="AS794" s="24"/>
    </row>
    <row r="795" customFormat="false" ht="26.85" hidden="false" customHeight="false" outlineLevel="0" collapsed="false">
      <c r="A795" s="23" t="n">
        <v>794</v>
      </c>
      <c r="B795" s="31" t="s">
        <v>8404</v>
      </c>
      <c r="C795" s="23" t="n">
        <v>2</v>
      </c>
      <c r="D795" s="23" t="s">
        <v>5581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1" t="s">
        <v>8344</v>
      </c>
      <c r="H795" s="31" t="s">
        <v>8345</v>
      </c>
      <c r="I795" s="23" t="s">
        <v>8230</v>
      </c>
      <c r="J795" s="24" t="s">
        <v>8405</v>
      </c>
      <c r="K795" s="23" t="s">
        <v>1370</v>
      </c>
      <c r="L795" s="24" t="s">
        <v>8406</v>
      </c>
      <c r="M795" s="24" t="s">
        <v>8407</v>
      </c>
      <c r="N795" s="23" t="s">
        <v>8408</v>
      </c>
      <c r="O795" s="24" t="s">
        <v>8409</v>
      </c>
      <c r="P795" s="24" t="s">
        <v>8410</v>
      </c>
      <c r="Q795" s="24" t="s">
        <v>8411</v>
      </c>
      <c r="R795" s="25" t="s">
        <v>8412</v>
      </c>
      <c r="S795" s="24" t="s">
        <v>8413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174</v>
      </c>
      <c r="Y795" s="23" t="s">
        <v>174</v>
      </c>
      <c r="Z795" s="23" t="s">
        <v>174</v>
      </c>
      <c r="AA795" s="23" t="s">
        <v>174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  <c r="AE795" s="24" t="str">
        <f aca="false">M795&amp;" | 요한계시록 19장 #"&amp;SUBSTITUTE(안내!$C$5," ","")</f>
        <v>만왕의 왕이요 만주의 주 | 요한계시록 19장 #1분성경</v>
      </c>
      <c r="AF795" s="24" t="s">
        <v>304</v>
      </c>
      <c r="AG795" s="24"/>
      <c r="AH795" s="23" t="s">
        <v>290</v>
      </c>
      <c r="AI795" s="26" t="n">
        <f aca="false">U795-안내!$C$12</f>
        <v>46851</v>
      </c>
      <c r="AJ795" s="23" t="str">
        <f aca="false">IF(U795&lt;IF(C795=1,안내!$C$9,안내!$C$10)+안내!$C$12,"시즌 시작 전 제작","")</f>
        <v/>
      </c>
      <c r="AK795" s="24"/>
      <c r="AL795" s="27"/>
      <c r="AM795" s="27"/>
      <c r="AN795" s="27"/>
      <c r="AO795" s="27"/>
      <c r="AP795" s="27"/>
      <c r="AQ795" s="23" t="str">
        <f aca="false">D795&amp;"|"&amp;TEXT(U795,"yyyy-mm-dd")</f>
        <v>신약|2028-05-06</v>
      </c>
      <c r="AR795" s="24" t="s">
        <v>8414</v>
      </c>
      <c r="AS795" s="24"/>
    </row>
    <row r="796" customFormat="false" ht="39.55" hidden="false" customHeight="false" outlineLevel="0" collapsed="false">
      <c r="A796" s="23" t="n">
        <v>795</v>
      </c>
      <c r="B796" s="31" t="s">
        <v>8415</v>
      </c>
      <c r="C796" s="23" t="n">
        <v>2</v>
      </c>
      <c r="D796" s="23" t="s">
        <v>5581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1" t="s">
        <v>8344</v>
      </c>
      <c r="H796" s="31" t="s">
        <v>8345</v>
      </c>
      <c r="I796" s="23" t="s">
        <v>8230</v>
      </c>
      <c r="J796" s="24" t="s">
        <v>8416</v>
      </c>
      <c r="K796" s="23" t="s">
        <v>1370</v>
      </c>
      <c r="L796" s="24" t="s">
        <v>8417</v>
      </c>
      <c r="M796" s="24" t="s">
        <v>8418</v>
      </c>
      <c r="N796" s="23" t="s">
        <v>8419</v>
      </c>
      <c r="O796" s="24" t="s">
        <v>8420</v>
      </c>
      <c r="P796" s="24" t="s">
        <v>8421</v>
      </c>
      <c r="Q796" s="24" t="s">
        <v>8422</v>
      </c>
      <c r="R796" s="25" t="s">
        <v>8423</v>
      </c>
      <c r="S796" s="24" t="s">
        <v>8413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174</v>
      </c>
      <c r="Y796" s="23" t="s">
        <v>174</v>
      </c>
      <c r="Z796" s="23" t="s">
        <v>174</v>
      </c>
      <c r="AA796" s="23" t="s">
        <v>174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  <c r="AE796" s="24" t="str">
        <f aca="false">M796&amp;" | 요한계시록 20장 #"&amp;SUBSTITUTE(안내!$C$5," ","")</f>
        <v>생명책에 이름이 있는가 | 요한계시록 20장 #1분성경</v>
      </c>
      <c r="AF796" s="24" t="s">
        <v>304</v>
      </c>
      <c r="AG796" s="24"/>
      <c r="AH796" s="23" t="s">
        <v>290</v>
      </c>
      <c r="AI796" s="26" t="n">
        <f aca="false">U796-안내!$C$12</f>
        <v>46853</v>
      </c>
      <c r="AJ796" s="23" t="str">
        <f aca="false">IF(U796&lt;IF(C796=1,안내!$C$9,안내!$C$10)+안내!$C$12,"시즌 시작 전 제작","")</f>
        <v/>
      </c>
      <c r="AK796" s="24"/>
      <c r="AL796" s="27"/>
      <c r="AM796" s="27"/>
      <c r="AN796" s="27"/>
      <c r="AO796" s="27"/>
      <c r="AP796" s="27"/>
      <c r="AQ796" s="23" t="str">
        <f aca="false">D796&amp;"|"&amp;TEXT(U796,"yyyy-mm-dd")</f>
        <v>신약|2028-05-08</v>
      </c>
      <c r="AR796" s="24" t="s">
        <v>8424</v>
      </c>
      <c r="AS796" s="24"/>
    </row>
    <row r="797" customFormat="false" ht="39.55" hidden="false" customHeight="false" outlineLevel="0" collapsed="false">
      <c r="A797" s="23" t="n">
        <v>796</v>
      </c>
      <c r="B797" s="31" t="s">
        <v>8425</v>
      </c>
      <c r="C797" s="20" t="n">
        <v>1</v>
      </c>
      <c r="D797" s="20" t="s">
        <v>5581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1" t="s">
        <v>8344</v>
      </c>
      <c r="H797" s="31" t="s">
        <v>7691</v>
      </c>
      <c r="I797" s="23" t="s">
        <v>8230</v>
      </c>
      <c r="J797" s="24" t="s">
        <v>8426</v>
      </c>
      <c r="K797" s="23" t="s">
        <v>1370</v>
      </c>
      <c r="L797" s="24" t="s">
        <v>4742</v>
      </c>
      <c r="M797" s="24" t="s">
        <v>8427</v>
      </c>
      <c r="N797" s="23" t="s">
        <v>8428</v>
      </c>
      <c r="O797" s="24" t="s">
        <v>8429</v>
      </c>
      <c r="P797" s="24" t="s">
        <v>8430</v>
      </c>
      <c r="Q797" s="24" t="s">
        <v>4742</v>
      </c>
      <c r="R797" s="24"/>
      <c r="S797" s="29" t="s">
        <v>8431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174</v>
      </c>
      <c r="Y797" s="23" t="s">
        <v>174</v>
      </c>
      <c r="Z797" s="23" t="s">
        <v>174</v>
      </c>
      <c r="AA797" s="23" t="s">
        <v>174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  <c r="AE797" s="24" t="str">
        <f aca="false">M797&amp;" | 요한계시록 21장 #"&amp;SUBSTITUTE(안내!$C$5," ","")</f>
        <v>다시는 눈물도 죽음도 없는 곳 | 요한계시록 21장 #1분성경</v>
      </c>
      <c r="AF797" s="24" t="s">
        <v>8432</v>
      </c>
      <c r="AG797" s="24"/>
      <c r="AH797" s="23" t="s">
        <v>290</v>
      </c>
      <c r="AI797" s="26" t="n">
        <f aca="false">U797-안내!$C$12</f>
        <v>46540</v>
      </c>
      <c r="AJ797" s="23" t="str">
        <f aca="false">IF(U797&lt;IF(C797=1,안내!$C$9,안내!$C$10)+안내!$C$12,"시즌 시작 전 제작","")</f>
        <v/>
      </c>
      <c r="AK797" s="24"/>
      <c r="AL797" s="27"/>
      <c r="AM797" s="27"/>
      <c r="AN797" s="27"/>
      <c r="AO797" s="27"/>
      <c r="AP797" s="27"/>
      <c r="AQ797" s="23" t="str">
        <f aca="false">D797&amp;"|"&amp;TEXT(U797,"yyyy-mm-dd")</f>
        <v>신약|2027-06-30</v>
      </c>
      <c r="AR797" s="24" t="s">
        <v>8433</v>
      </c>
      <c r="AS797" s="24"/>
    </row>
    <row r="798" customFormat="false" ht="26.85" hidden="false" customHeight="false" outlineLevel="0" collapsed="false">
      <c r="A798" s="23" t="n">
        <v>797</v>
      </c>
      <c r="B798" s="31" t="s">
        <v>8434</v>
      </c>
      <c r="C798" s="20" t="n">
        <v>1</v>
      </c>
      <c r="D798" s="20" t="s">
        <v>5581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1" t="s">
        <v>8344</v>
      </c>
      <c r="H798" s="31" t="s">
        <v>7691</v>
      </c>
      <c r="I798" s="23" t="s">
        <v>8230</v>
      </c>
      <c r="J798" s="24" t="s">
        <v>8435</v>
      </c>
      <c r="K798" s="23" t="s">
        <v>1370</v>
      </c>
      <c r="L798" s="24" t="s">
        <v>8436</v>
      </c>
      <c r="M798" s="24" t="s">
        <v>8437</v>
      </c>
      <c r="N798" s="23" t="s">
        <v>8438</v>
      </c>
      <c r="O798" s="24" t="s">
        <v>8439</v>
      </c>
      <c r="P798" s="24" t="s">
        <v>8440</v>
      </c>
      <c r="Q798" s="24" t="s">
        <v>8441</v>
      </c>
      <c r="R798" s="25" t="s">
        <v>8442</v>
      </c>
      <c r="S798" s="24" t="s">
        <v>173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174</v>
      </c>
      <c r="Y798" s="23" t="s">
        <v>174</v>
      </c>
      <c r="Z798" s="23" t="s">
        <v>174</v>
      </c>
      <c r="AA798" s="23" t="s">
        <v>174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  <c r="AE798" s="24" t="str">
        <f aca="false">M798&amp;" | 요한계시록 21~22장 #"&amp;SUBSTITUTE(안내!$C$5," ","")</f>
        <v>해도 달도 필요 없는 도시 | 요한계시록 21~22장 #1분성경</v>
      </c>
      <c r="AF798" s="24" t="s">
        <v>8443</v>
      </c>
      <c r="AG798" s="24"/>
      <c r="AH798" s="23" t="s">
        <v>290</v>
      </c>
      <c r="AI798" s="26" t="n">
        <f aca="false">U798-안내!$C$12</f>
        <v>46542</v>
      </c>
      <c r="AJ798" s="23" t="str">
        <f aca="false">IF(U798&lt;IF(C798=1,안내!$C$9,안내!$C$10)+안내!$C$12,"시즌 시작 전 제작","")</f>
        <v/>
      </c>
      <c r="AK798" s="24"/>
      <c r="AL798" s="27"/>
      <c r="AM798" s="27"/>
      <c r="AN798" s="27"/>
      <c r="AO798" s="27"/>
      <c r="AP798" s="27"/>
      <c r="AQ798" s="23" t="str">
        <f aca="false">D798&amp;"|"&amp;TEXT(U798,"yyyy-mm-dd")</f>
        <v>신약|2027-07-02</v>
      </c>
      <c r="AR798" s="24" t="s">
        <v>8444</v>
      </c>
      <c r="AS798" s="24"/>
    </row>
    <row r="799" customFormat="false" ht="39.55" hidden="false" customHeight="false" outlineLevel="0" collapsed="false">
      <c r="A799" s="23" t="n">
        <v>798</v>
      </c>
      <c r="B799" s="31" t="s">
        <v>8445</v>
      </c>
      <c r="C799" s="20" t="n">
        <v>1</v>
      </c>
      <c r="D799" s="20" t="s">
        <v>5581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1" t="s">
        <v>8344</v>
      </c>
      <c r="H799" s="31" t="s">
        <v>7691</v>
      </c>
      <c r="I799" s="23" t="s">
        <v>8230</v>
      </c>
      <c r="J799" s="24" t="s">
        <v>8446</v>
      </c>
      <c r="K799" s="23" t="s">
        <v>1370</v>
      </c>
      <c r="L799" s="24" t="s">
        <v>8447</v>
      </c>
      <c r="M799" s="24" t="s">
        <v>8448</v>
      </c>
      <c r="N799" s="23" t="s">
        <v>8449</v>
      </c>
      <c r="O799" s="24" t="s">
        <v>8450</v>
      </c>
      <c r="P799" s="24" t="s">
        <v>8451</v>
      </c>
      <c r="Q799" s="24" t="s">
        <v>8452</v>
      </c>
      <c r="R799" s="28" t="s">
        <v>8453</v>
      </c>
      <c r="S799" s="24" t="s">
        <v>173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174</v>
      </c>
      <c r="Y799" s="23" t="s">
        <v>174</v>
      </c>
      <c r="Z799" s="23" t="s">
        <v>174</v>
      </c>
      <c r="AA799" s="23" t="s">
        <v>174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  <c r="AE799" s="24" t="str">
        <f aca="false">M799&amp;" | 요한계시록 22장 #"&amp;SUBSTITUTE(안내!$C$5," ","")</f>
        <v>성경의 마지막 기도 | 요한계시록 22장 #1분성경</v>
      </c>
      <c r="AF799" s="24" t="s">
        <v>8454</v>
      </c>
      <c r="AG799" s="24"/>
      <c r="AH799" s="23" t="s">
        <v>290</v>
      </c>
      <c r="AI799" s="26" t="n">
        <f aca="false">U799-안내!$C$12</f>
        <v>46543</v>
      </c>
      <c r="AJ799" s="23" t="str">
        <f aca="false">IF(U799&lt;IF(C799=1,안내!$C$9,안내!$C$10)+안내!$C$12,"시즌 시작 전 제작","")</f>
        <v/>
      </c>
      <c r="AK799" s="24"/>
      <c r="AL799" s="27"/>
      <c r="AM799" s="27"/>
      <c r="AN799" s="27"/>
      <c r="AO799" s="27"/>
      <c r="AP799" s="27"/>
      <c r="AQ799" s="23" t="str">
        <f aca="false">D799&amp;"|"&amp;TEXT(U799,"yyyy-mm-dd")</f>
        <v>신약|2027-07-03</v>
      </c>
      <c r="AR799" s="24" t="s">
        <v>8455</v>
      </c>
      <c r="AS799" s="24"/>
    </row>
  </sheetData>
  <autoFilter ref="A1:AS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116</v>
      </c>
      <c r="D1" s="16" t="s">
        <v>117</v>
      </c>
      <c r="E1" s="16" t="s">
        <v>8457</v>
      </c>
      <c r="F1" s="16" t="s">
        <v>8458</v>
      </c>
      <c r="G1" s="16" t="s">
        <v>8459</v>
      </c>
      <c r="H1" s="17" t="s">
        <v>8460</v>
      </c>
      <c r="I1" s="16" t="s">
        <v>8461</v>
      </c>
      <c r="J1" s="16" t="s">
        <v>8462</v>
      </c>
      <c r="K1" s="16" t="s">
        <v>8463</v>
      </c>
      <c r="L1" s="16" t="s">
        <v>8464</v>
      </c>
      <c r="M1" s="16" t="s">
        <v>8465</v>
      </c>
      <c r="N1" s="16" t="s">
        <v>8466</v>
      </c>
      <c r="O1" s="16" t="s">
        <v>8467</v>
      </c>
      <c r="P1" s="16" t="s">
        <v>135</v>
      </c>
      <c r="Q1" s="16" t="s">
        <v>137</v>
      </c>
      <c r="R1" s="16" t="s">
        <v>138</v>
      </c>
      <c r="S1" s="16" t="s">
        <v>139</v>
      </c>
      <c r="T1" s="16" t="s">
        <v>140</v>
      </c>
      <c r="U1" s="16" t="s">
        <v>141</v>
      </c>
    </row>
    <row r="2" customFormat="false" ht="26.85" hidden="false" customHeight="false" outlineLevel="0" collapsed="false">
      <c r="A2" s="23" t="n">
        <v>1</v>
      </c>
      <c r="B2" s="19" t="s">
        <v>162</v>
      </c>
      <c r="C2" s="20" t="n">
        <v>1</v>
      </c>
      <c r="D2" s="20" t="s">
        <v>160</v>
      </c>
      <c r="E2" s="24" t="s">
        <v>8468</v>
      </c>
      <c r="F2" s="30" t="s">
        <v>161</v>
      </c>
      <c r="G2" s="24" t="s">
        <v>8469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30" t="s">
        <v>8470</v>
      </c>
      <c r="N2" s="24" t="s">
        <v>8471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174</v>
      </c>
      <c r="R2" s="23" t="s">
        <v>174</v>
      </c>
      <c r="S2" s="23" t="s">
        <v>174</v>
      </c>
      <c r="T2" s="23" t="s">
        <v>174</v>
      </c>
      <c r="U2" s="24"/>
    </row>
    <row r="3" customFormat="false" ht="26.85" hidden="false" customHeight="false" outlineLevel="0" collapsed="false">
      <c r="A3" s="23" t="n">
        <v>2</v>
      </c>
      <c r="B3" s="19" t="s">
        <v>280</v>
      </c>
      <c r="C3" s="20" t="n">
        <v>1</v>
      </c>
      <c r="D3" s="20" t="s">
        <v>160</v>
      </c>
      <c r="E3" s="24" t="s">
        <v>8472</v>
      </c>
      <c r="F3" s="30" t="s">
        <v>279</v>
      </c>
      <c r="G3" s="24" t="s">
        <v>8473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8474</v>
      </c>
      <c r="N3" s="24" t="s">
        <v>8475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174</v>
      </c>
      <c r="R3" s="23" t="s">
        <v>174</v>
      </c>
      <c r="S3" s="23" t="s">
        <v>174</v>
      </c>
      <c r="T3" s="23" t="s">
        <v>174</v>
      </c>
      <c r="U3" s="24"/>
    </row>
    <row r="4" customFormat="false" ht="63.4" hidden="false" customHeight="false" outlineLevel="0" collapsed="false">
      <c r="A4" s="23" t="n">
        <v>3</v>
      </c>
      <c r="B4" s="19" t="s">
        <v>426</v>
      </c>
      <c r="C4" s="20" t="n">
        <v>1</v>
      </c>
      <c r="D4" s="20" t="s">
        <v>160</v>
      </c>
      <c r="E4" s="24" t="s">
        <v>8476</v>
      </c>
      <c r="F4" s="30" t="s">
        <v>8477</v>
      </c>
      <c r="G4" s="24" t="s">
        <v>8478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8479</v>
      </c>
      <c r="N4" s="24" t="s">
        <v>8480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174</v>
      </c>
      <c r="R4" s="23" t="s">
        <v>174</v>
      </c>
      <c r="S4" s="23" t="s">
        <v>174</v>
      </c>
      <c r="T4" s="23" t="s">
        <v>174</v>
      </c>
      <c r="U4" s="24"/>
    </row>
    <row r="5" customFormat="false" ht="52.2" hidden="false" customHeight="false" outlineLevel="0" collapsed="false">
      <c r="A5" s="23" t="n">
        <v>4</v>
      </c>
      <c r="B5" s="19" t="s">
        <v>668</v>
      </c>
      <c r="C5" s="20" t="n">
        <v>1</v>
      </c>
      <c r="D5" s="20" t="s">
        <v>160</v>
      </c>
      <c r="E5" s="24" t="s">
        <v>8481</v>
      </c>
      <c r="F5" s="30" t="s">
        <v>8482</v>
      </c>
      <c r="G5" s="24" t="s">
        <v>8483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8484</v>
      </c>
      <c r="N5" s="24" t="s">
        <v>8485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174</v>
      </c>
      <c r="R5" s="23" t="s">
        <v>174</v>
      </c>
      <c r="S5" s="23" t="s">
        <v>174</v>
      </c>
      <c r="T5" s="23" t="s">
        <v>174</v>
      </c>
      <c r="U5" s="24"/>
    </row>
    <row r="6" customFormat="false" ht="52.2" hidden="false" customHeight="false" outlineLevel="0" collapsed="false">
      <c r="A6" s="23" t="n">
        <v>5</v>
      </c>
      <c r="B6" s="19" t="s">
        <v>912</v>
      </c>
      <c r="C6" s="20" t="n">
        <v>1</v>
      </c>
      <c r="D6" s="20" t="s">
        <v>160</v>
      </c>
      <c r="E6" s="24" t="s">
        <v>8486</v>
      </c>
      <c r="F6" s="30" t="s">
        <v>8487</v>
      </c>
      <c r="G6" s="24" t="s">
        <v>8488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8489</v>
      </c>
      <c r="N6" s="24" t="s">
        <v>8490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174</v>
      </c>
      <c r="R6" s="23" t="s">
        <v>174</v>
      </c>
      <c r="S6" s="23" t="s">
        <v>174</v>
      </c>
      <c r="T6" s="23" t="s">
        <v>174</v>
      </c>
      <c r="U6" s="24"/>
    </row>
    <row r="7" customFormat="false" ht="52.2" hidden="false" customHeight="false" outlineLevel="0" collapsed="false">
      <c r="A7" s="23" t="n">
        <v>6</v>
      </c>
      <c r="B7" s="19" t="s">
        <v>1122</v>
      </c>
      <c r="C7" s="20" t="n">
        <v>1</v>
      </c>
      <c r="D7" s="20" t="s">
        <v>160</v>
      </c>
      <c r="E7" s="24" t="s">
        <v>8491</v>
      </c>
      <c r="F7" s="30" t="s">
        <v>8492</v>
      </c>
      <c r="G7" s="24" t="s">
        <v>8493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8494</v>
      </c>
      <c r="N7" s="24" t="s">
        <v>8495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174</v>
      </c>
      <c r="R7" s="23" t="s">
        <v>174</v>
      </c>
      <c r="S7" s="23" t="s">
        <v>174</v>
      </c>
      <c r="T7" s="23" t="s">
        <v>174</v>
      </c>
      <c r="U7" s="24"/>
    </row>
    <row r="8" customFormat="false" ht="99.95" hidden="false" customHeight="false" outlineLevel="0" collapsed="false">
      <c r="A8" s="23" t="n">
        <v>7</v>
      </c>
      <c r="B8" s="19" t="s">
        <v>1335</v>
      </c>
      <c r="C8" s="20" t="n">
        <v>1</v>
      </c>
      <c r="D8" s="20" t="s">
        <v>160</v>
      </c>
      <c r="E8" s="24" t="s">
        <v>8496</v>
      </c>
      <c r="F8" s="30" t="s">
        <v>8497</v>
      </c>
      <c r="G8" s="24" t="s">
        <v>8498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8499</v>
      </c>
      <c r="N8" s="24" t="s">
        <v>8500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174</v>
      </c>
      <c r="R8" s="23" t="s">
        <v>174</v>
      </c>
      <c r="S8" s="23" t="s">
        <v>174</v>
      </c>
      <c r="T8" s="23" t="s">
        <v>174</v>
      </c>
      <c r="U8" s="24"/>
    </row>
    <row r="9" customFormat="false" ht="77.6" hidden="false" customHeight="false" outlineLevel="0" collapsed="false">
      <c r="A9" s="23" t="n">
        <v>8</v>
      </c>
      <c r="B9" s="19" t="s">
        <v>1739</v>
      </c>
      <c r="C9" s="20" t="n">
        <v>1</v>
      </c>
      <c r="D9" s="20" t="s">
        <v>160</v>
      </c>
      <c r="E9" s="24" t="s">
        <v>8501</v>
      </c>
      <c r="F9" s="30" t="s">
        <v>8502</v>
      </c>
      <c r="G9" s="24" t="s">
        <v>8503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8504</v>
      </c>
      <c r="N9" s="24" t="s">
        <v>8505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174</v>
      </c>
      <c r="R9" s="23" t="s">
        <v>174</v>
      </c>
      <c r="S9" s="23" t="s">
        <v>174</v>
      </c>
      <c r="T9" s="23" t="s">
        <v>174</v>
      </c>
      <c r="U9" s="24"/>
    </row>
    <row r="10" customFormat="false" ht="64.9" hidden="false" customHeight="false" outlineLevel="0" collapsed="false">
      <c r="A10" s="23" t="n">
        <v>9</v>
      </c>
      <c r="B10" s="19" t="s">
        <v>2042</v>
      </c>
      <c r="C10" s="20" t="n">
        <v>1</v>
      </c>
      <c r="D10" s="20" t="s">
        <v>160</v>
      </c>
      <c r="E10" s="24" t="s">
        <v>8506</v>
      </c>
      <c r="F10" s="30" t="s">
        <v>8507</v>
      </c>
      <c r="G10" s="24" t="s">
        <v>8508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8509</v>
      </c>
      <c r="N10" s="24" t="s">
        <v>8510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174</v>
      </c>
      <c r="R10" s="23" t="s">
        <v>174</v>
      </c>
      <c r="S10" s="23" t="s">
        <v>174</v>
      </c>
      <c r="T10" s="23" t="s">
        <v>174</v>
      </c>
      <c r="U10" s="24"/>
    </row>
    <row r="11" customFormat="false" ht="39.55" hidden="false" customHeight="false" outlineLevel="0" collapsed="false">
      <c r="A11" s="23" t="n">
        <v>10</v>
      </c>
      <c r="B11" s="19" t="s">
        <v>2338</v>
      </c>
      <c r="C11" s="20" t="n">
        <v>1</v>
      </c>
      <c r="D11" s="20" t="s">
        <v>160</v>
      </c>
      <c r="E11" s="24" t="s">
        <v>8511</v>
      </c>
      <c r="F11" s="30" t="s">
        <v>8512</v>
      </c>
      <c r="G11" s="24" t="s">
        <v>8513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8514</v>
      </c>
      <c r="N11" s="24" t="s">
        <v>8515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174</v>
      </c>
      <c r="R11" s="23" t="s">
        <v>174</v>
      </c>
      <c r="S11" s="23" t="s">
        <v>174</v>
      </c>
      <c r="T11" s="23" t="s">
        <v>174</v>
      </c>
      <c r="U11" s="24"/>
    </row>
    <row r="12" customFormat="false" ht="50.7" hidden="false" customHeight="false" outlineLevel="0" collapsed="false">
      <c r="A12" s="23" t="n">
        <v>11</v>
      </c>
      <c r="B12" s="19" t="s">
        <v>2529</v>
      </c>
      <c r="C12" s="20" t="n">
        <v>1</v>
      </c>
      <c r="D12" s="20" t="s">
        <v>160</v>
      </c>
      <c r="E12" s="24" t="s">
        <v>8516</v>
      </c>
      <c r="F12" s="30" t="s">
        <v>8517</v>
      </c>
      <c r="G12" s="24" t="s">
        <v>8518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8519</v>
      </c>
      <c r="N12" s="24" t="s">
        <v>8520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174</v>
      </c>
      <c r="R12" s="23" t="s">
        <v>174</v>
      </c>
      <c r="S12" s="23" t="s">
        <v>174</v>
      </c>
      <c r="T12" s="23" t="s">
        <v>174</v>
      </c>
      <c r="U12" s="24"/>
    </row>
    <row r="13" customFormat="false" ht="39.55" hidden="false" customHeight="false" outlineLevel="0" collapsed="false">
      <c r="A13" s="23" t="n">
        <v>12</v>
      </c>
      <c r="B13" s="19" t="s">
        <v>2814</v>
      </c>
      <c r="C13" s="20" t="n">
        <v>1</v>
      </c>
      <c r="D13" s="20" t="s">
        <v>160</v>
      </c>
      <c r="E13" s="24" t="s">
        <v>8521</v>
      </c>
      <c r="F13" s="30" t="s">
        <v>8522</v>
      </c>
      <c r="G13" s="24" t="s">
        <v>8523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8524</v>
      </c>
      <c r="N13" s="24" t="s">
        <v>8525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174</v>
      </c>
      <c r="R13" s="23" t="s">
        <v>174</v>
      </c>
      <c r="S13" s="23" t="s">
        <v>174</v>
      </c>
      <c r="T13" s="23" t="s">
        <v>174</v>
      </c>
      <c r="U13" s="24"/>
    </row>
    <row r="14" customFormat="false" ht="52.2" hidden="false" customHeight="false" outlineLevel="0" collapsed="false">
      <c r="A14" s="23" t="n">
        <v>13</v>
      </c>
      <c r="B14" s="19" t="s">
        <v>3044</v>
      </c>
      <c r="C14" s="20" t="n">
        <v>1</v>
      </c>
      <c r="D14" s="20" t="s">
        <v>160</v>
      </c>
      <c r="E14" s="24" t="s">
        <v>8526</v>
      </c>
      <c r="F14" s="30" t="s">
        <v>8527</v>
      </c>
      <c r="G14" s="24" t="s">
        <v>8528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8529</v>
      </c>
      <c r="N14" s="24" t="s">
        <v>8530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174</v>
      </c>
      <c r="R14" s="23" t="s">
        <v>174</v>
      </c>
      <c r="S14" s="23" t="s">
        <v>174</v>
      </c>
      <c r="T14" s="23" t="s">
        <v>174</v>
      </c>
      <c r="U14" s="24"/>
    </row>
    <row r="15" customFormat="false" ht="77.6" hidden="false" customHeight="false" outlineLevel="0" collapsed="false">
      <c r="A15" s="23" t="n">
        <v>14</v>
      </c>
      <c r="B15" s="19" t="s">
        <v>3242</v>
      </c>
      <c r="C15" s="20" t="n">
        <v>1</v>
      </c>
      <c r="D15" s="20" t="s">
        <v>160</v>
      </c>
      <c r="E15" s="24" t="s">
        <v>8531</v>
      </c>
      <c r="F15" s="30" t="s">
        <v>8532</v>
      </c>
      <c r="G15" s="24" t="s">
        <v>8533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8534</v>
      </c>
      <c r="N15" s="24" t="s">
        <v>8535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174</v>
      </c>
      <c r="R15" s="23" t="s">
        <v>174</v>
      </c>
      <c r="S15" s="23" t="s">
        <v>174</v>
      </c>
      <c r="T15" s="23" t="s">
        <v>174</v>
      </c>
      <c r="U15" s="24"/>
    </row>
    <row r="16" customFormat="false" ht="77.6" hidden="false" customHeight="false" outlineLevel="0" collapsed="false">
      <c r="A16" s="23" t="n">
        <v>15</v>
      </c>
      <c r="B16" s="19" t="s">
        <v>3571</v>
      </c>
      <c r="C16" s="20" t="n">
        <v>1</v>
      </c>
      <c r="D16" s="20" t="s">
        <v>160</v>
      </c>
      <c r="E16" s="24" t="s">
        <v>8536</v>
      </c>
      <c r="F16" s="30" t="s">
        <v>8537</v>
      </c>
      <c r="G16" s="24" t="s">
        <v>8538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8539</v>
      </c>
      <c r="N16" s="24" t="s">
        <v>8540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174</v>
      </c>
      <c r="R16" s="23" t="s">
        <v>174</v>
      </c>
      <c r="S16" s="23" t="s">
        <v>174</v>
      </c>
      <c r="T16" s="23" t="s">
        <v>174</v>
      </c>
      <c r="U16" s="24"/>
    </row>
    <row r="17" customFormat="false" ht="52.2" hidden="false" customHeight="false" outlineLevel="0" collapsed="false">
      <c r="A17" s="23" t="n">
        <v>16</v>
      </c>
      <c r="B17" s="19" t="s">
        <v>3823</v>
      </c>
      <c r="C17" s="20" t="n">
        <v>1</v>
      </c>
      <c r="D17" s="20" t="s">
        <v>160</v>
      </c>
      <c r="E17" s="24" t="s">
        <v>8541</v>
      </c>
      <c r="F17" s="30" t="s">
        <v>8542</v>
      </c>
      <c r="G17" s="24" t="s">
        <v>8543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8544</v>
      </c>
      <c r="N17" s="24" t="s">
        <v>8545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174</v>
      </c>
      <c r="R17" s="23" t="s">
        <v>174</v>
      </c>
      <c r="S17" s="23" t="s">
        <v>174</v>
      </c>
      <c r="T17" s="23" t="s">
        <v>174</v>
      </c>
      <c r="U17" s="24"/>
    </row>
    <row r="18" customFormat="false" ht="115.65" hidden="false" customHeight="false" outlineLevel="0" collapsed="false">
      <c r="A18" s="23" t="n">
        <v>17</v>
      </c>
      <c r="B18" s="19" t="s">
        <v>4042</v>
      </c>
      <c r="C18" s="20" t="n">
        <v>1</v>
      </c>
      <c r="D18" s="20" t="s">
        <v>160</v>
      </c>
      <c r="E18" s="24" t="s">
        <v>8546</v>
      </c>
      <c r="F18" s="30" t="s">
        <v>8547</v>
      </c>
      <c r="G18" s="24" t="s">
        <v>8548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8549</v>
      </c>
      <c r="N18" s="24" t="s">
        <v>8550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174</v>
      </c>
      <c r="R18" s="23" t="s">
        <v>174</v>
      </c>
      <c r="S18" s="23" t="s">
        <v>174</v>
      </c>
      <c r="T18" s="23" t="s">
        <v>174</v>
      </c>
      <c r="U18" s="24"/>
    </row>
    <row r="19" customFormat="false" ht="126.85" hidden="false" customHeight="false" outlineLevel="0" collapsed="false">
      <c r="A19" s="23" t="n">
        <v>18</v>
      </c>
      <c r="B19" s="19" t="s">
        <v>4516</v>
      </c>
      <c r="C19" s="20" t="n">
        <v>1</v>
      </c>
      <c r="D19" s="20" t="s">
        <v>160</v>
      </c>
      <c r="E19" s="24" t="s">
        <v>8551</v>
      </c>
      <c r="F19" s="30" t="s">
        <v>8552</v>
      </c>
      <c r="G19" s="24" t="s">
        <v>8553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8554</v>
      </c>
      <c r="N19" s="24" t="s">
        <v>8555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174</v>
      </c>
      <c r="R19" s="23" t="s">
        <v>174</v>
      </c>
      <c r="S19" s="23" t="s">
        <v>174</v>
      </c>
      <c r="T19" s="23" t="s">
        <v>174</v>
      </c>
      <c r="U19" s="24"/>
    </row>
    <row r="20" customFormat="false" ht="52.2" hidden="false" customHeight="false" outlineLevel="0" collapsed="false">
      <c r="A20" s="23" t="n">
        <v>19</v>
      </c>
      <c r="B20" s="19" t="s">
        <v>5069</v>
      </c>
      <c r="C20" s="20" t="n">
        <v>1</v>
      </c>
      <c r="D20" s="20" t="s">
        <v>160</v>
      </c>
      <c r="E20" s="24" t="s">
        <v>8556</v>
      </c>
      <c r="F20" s="30" t="s">
        <v>8557</v>
      </c>
      <c r="G20" s="24" t="s">
        <v>8558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8559</v>
      </c>
      <c r="N20" s="24" t="s">
        <v>8560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174</v>
      </c>
      <c r="R20" s="23" t="s">
        <v>174</v>
      </c>
      <c r="S20" s="23" t="s">
        <v>174</v>
      </c>
      <c r="T20" s="23" t="s">
        <v>174</v>
      </c>
      <c r="U20" s="24"/>
    </row>
    <row r="21" customFormat="false" ht="52.2" hidden="false" customHeight="false" outlineLevel="0" collapsed="false">
      <c r="A21" s="23" t="n">
        <v>20</v>
      </c>
      <c r="B21" s="19" t="s">
        <v>5348</v>
      </c>
      <c r="C21" s="20" t="n">
        <v>1</v>
      </c>
      <c r="D21" s="20" t="s">
        <v>160</v>
      </c>
      <c r="E21" s="24" t="s">
        <v>8561</v>
      </c>
      <c r="F21" s="30" t="s">
        <v>8562</v>
      </c>
      <c r="G21" s="24" t="s">
        <v>8563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8564</v>
      </c>
      <c r="N21" s="24" t="s">
        <v>8565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174</v>
      </c>
      <c r="R21" s="23" t="s">
        <v>174</v>
      </c>
      <c r="S21" s="23" t="s">
        <v>174</v>
      </c>
      <c r="T21" s="23" t="s">
        <v>174</v>
      </c>
      <c r="U21" s="24"/>
    </row>
    <row r="22" customFormat="false" ht="39.55" hidden="false" customHeight="false" outlineLevel="0" collapsed="false">
      <c r="A22" s="23" t="n">
        <v>21</v>
      </c>
      <c r="B22" s="19" t="s">
        <v>5594</v>
      </c>
      <c r="C22" s="20" t="n">
        <v>1</v>
      </c>
      <c r="D22" s="20" t="s">
        <v>5581</v>
      </c>
      <c r="E22" s="24" t="s">
        <v>8566</v>
      </c>
      <c r="F22" s="30" t="s">
        <v>8567</v>
      </c>
      <c r="G22" s="24" t="s">
        <v>8568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8569</v>
      </c>
      <c r="N22" s="24" t="s">
        <v>8570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174</v>
      </c>
      <c r="R22" s="23" t="s">
        <v>174</v>
      </c>
      <c r="S22" s="23" t="s">
        <v>174</v>
      </c>
      <c r="T22" s="23" t="s">
        <v>174</v>
      </c>
      <c r="U22" s="24"/>
    </row>
    <row r="23" customFormat="false" ht="39.55" hidden="false" customHeight="false" outlineLevel="0" collapsed="false">
      <c r="A23" s="23" t="n">
        <v>22</v>
      </c>
      <c r="B23" s="19" t="s">
        <v>5754</v>
      </c>
      <c r="C23" s="20" t="n">
        <v>1</v>
      </c>
      <c r="D23" s="20" t="s">
        <v>5581</v>
      </c>
      <c r="E23" s="24" t="s">
        <v>8571</v>
      </c>
      <c r="F23" s="30" t="s">
        <v>8572</v>
      </c>
      <c r="G23" s="24" t="s">
        <v>8573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8574</v>
      </c>
      <c r="N23" s="24" t="s">
        <v>8575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174</v>
      </c>
      <c r="R23" s="23" t="s">
        <v>174</v>
      </c>
      <c r="S23" s="23" t="s">
        <v>174</v>
      </c>
      <c r="T23" s="23" t="s">
        <v>174</v>
      </c>
      <c r="U23" s="24"/>
    </row>
    <row r="24" customFormat="false" ht="39.55" hidden="false" customHeight="false" outlineLevel="0" collapsed="false">
      <c r="A24" s="23" t="n">
        <v>23</v>
      </c>
      <c r="B24" s="19" t="s">
        <v>5984</v>
      </c>
      <c r="C24" s="20" t="n">
        <v>1</v>
      </c>
      <c r="D24" s="20" t="s">
        <v>5581</v>
      </c>
      <c r="E24" s="24" t="s">
        <v>8576</v>
      </c>
      <c r="F24" s="30" t="s">
        <v>8577</v>
      </c>
      <c r="G24" s="24" t="s">
        <v>8578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8579</v>
      </c>
      <c r="N24" s="24" t="s">
        <v>8580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174</v>
      </c>
      <c r="R24" s="23" t="s">
        <v>174</v>
      </c>
      <c r="S24" s="23" t="s">
        <v>174</v>
      </c>
      <c r="T24" s="23" t="s">
        <v>174</v>
      </c>
      <c r="U24" s="24"/>
    </row>
    <row r="25" customFormat="false" ht="26.85" hidden="false" customHeight="false" outlineLevel="0" collapsed="false">
      <c r="A25" s="23" t="n">
        <v>24</v>
      </c>
      <c r="B25" s="19" t="s">
        <v>6198</v>
      </c>
      <c r="C25" s="20" t="n">
        <v>1</v>
      </c>
      <c r="D25" s="20" t="s">
        <v>5581</v>
      </c>
      <c r="E25" s="24" t="s">
        <v>8581</v>
      </c>
      <c r="F25" s="30" t="s">
        <v>8582</v>
      </c>
      <c r="G25" s="24" t="s">
        <v>8583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8584</v>
      </c>
      <c r="N25" s="24" t="s">
        <v>8585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174</v>
      </c>
      <c r="R25" s="23" t="s">
        <v>174</v>
      </c>
      <c r="S25" s="23" t="s">
        <v>174</v>
      </c>
      <c r="T25" s="23" t="s">
        <v>174</v>
      </c>
      <c r="U25" s="24"/>
    </row>
    <row r="26" customFormat="false" ht="39.55" hidden="false" customHeight="false" outlineLevel="0" collapsed="false">
      <c r="A26" s="23" t="n">
        <v>25</v>
      </c>
      <c r="B26" s="19" t="s">
        <v>6409</v>
      </c>
      <c r="C26" s="20" t="n">
        <v>1</v>
      </c>
      <c r="D26" s="20" t="s">
        <v>5581</v>
      </c>
      <c r="E26" s="24" t="s">
        <v>8586</v>
      </c>
      <c r="F26" s="30" t="s">
        <v>8587</v>
      </c>
      <c r="G26" s="24" t="s">
        <v>8588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8589</v>
      </c>
      <c r="N26" s="24" t="s">
        <v>8590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174</v>
      </c>
      <c r="R26" s="23" t="s">
        <v>174</v>
      </c>
      <c r="S26" s="23" t="s">
        <v>174</v>
      </c>
      <c r="T26" s="23" t="s">
        <v>174</v>
      </c>
      <c r="U26" s="24"/>
    </row>
    <row r="27" customFormat="false" ht="39.55" hidden="false" customHeight="false" outlineLevel="0" collapsed="false">
      <c r="A27" s="23" t="n">
        <v>26</v>
      </c>
      <c r="B27" s="19" t="s">
        <v>6611</v>
      </c>
      <c r="C27" s="20" t="n">
        <v>1</v>
      </c>
      <c r="D27" s="20" t="s">
        <v>5581</v>
      </c>
      <c r="E27" s="24" t="s">
        <v>8591</v>
      </c>
      <c r="F27" s="30" t="s">
        <v>8592</v>
      </c>
      <c r="G27" s="24" t="s">
        <v>8593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8594</v>
      </c>
      <c r="N27" s="24" t="s">
        <v>8595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174</v>
      </c>
      <c r="R27" s="23" t="s">
        <v>174</v>
      </c>
      <c r="S27" s="23" t="s">
        <v>174</v>
      </c>
      <c r="T27" s="23" t="s">
        <v>174</v>
      </c>
      <c r="U27" s="24"/>
    </row>
    <row r="28" customFormat="false" ht="26.85" hidden="false" customHeight="false" outlineLevel="0" collapsed="false">
      <c r="A28" s="23" t="n">
        <v>27</v>
      </c>
      <c r="B28" s="19" t="s">
        <v>6813</v>
      </c>
      <c r="C28" s="20" t="n">
        <v>1</v>
      </c>
      <c r="D28" s="20" t="s">
        <v>5581</v>
      </c>
      <c r="E28" s="24" t="s">
        <v>8596</v>
      </c>
      <c r="F28" s="30" t="s">
        <v>8597</v>
      </c>
      <c r="G28" s="24" t="s">
        <v>8598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8599</v>
      </c>
      <c r="N28" s="24" t="s">
        <v>8600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174</v>
      </c>
      <c r="R28" s="23" t="s">
        <v>174</v>
      </c>
      <c r="S28" s="23" t="s">
        <v>174</v>
      </c>
      <c r="T28" s="23" t="s">
        <v>174</v>
      </c>
      <c r="U28" s="24"/>
    </row>
    <row r="29" customFormat="false" ht="39.55" hidden="false" customHeight="false" outlineLevel="0" collapsed="false">
      <c r="A29" s="23" t="n">
        <v>28</v>
      </c>
      <c r="B29" s="19" t="s">
        <v>7062</v>
      </c>
      <c r="C29" s="20" t="n">
        <v>1</v>
      </c>
      <c r="D29" s="20" t="s">
        <v>5581</v>
      </c>
      <c r="E29" s="24" t="s">
        <v>8601</v>
      </c>
      <c r="F29" s="30" t="s">
        <v>8602</v>
      </c>
      <c r="G29" s="24" t="s">
        <v>8603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8604</v>
      </c>
      <c r="N29" s="24" t="s">
        <v>8605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174</v>
      </c>
      <c r="R29" s="23" t="s">
        <v>174</v>
      </c>
      <c r="S29" s="23" t="s">
        <v>174</v>
      </c>
      <c r="T29" s="23" t="s">
        <v>174</v>
      </c>
      <c r="U29" s="24"/>
    </row>
    <row r="30" customFormat="false" ht="64.9" hidden="false" customHeight="false" outlineLevel="0" collapsed="false">
      <c r="A30" s="23" t="n">
        <v>29</v>
      </c>
      <c r="B30" s="19" t="s">
        <v>7314</v>
      </c>
      <c r="C30" s="20" t="n">
        <v>1</v>
      </c>
      <c r="D30" s="20" t="s">
        <v>5581</v>
      </c>
      <c r="E30" s="24" t="s">
        <v>8606</v>
      </c>
      <c r="F30" s="30" t="s">
        <v>8607</v>
      </c>
      <c r="G30" s="24" t="s">
        <v>8608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8609</v>
      </c>
      <c r="N30" s="24" t="s">
        <v>8610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174</v>
      </c>
      <c r="R30" s="23" t="s">
        <v>174</v>
      </c>
      <c r="S30" s="23" t="s">
        <v>174</v>
      </c>
      <c r="T30" s="23" t="s">
        <v>174</v>
      </c>
      <c r="U30" s="24"/>
    </row>
    <row r="31" customFormat="false" ht="102.95" hidden="false" customHeight="false" outlineLevel="0" collapsed="false">
      <c r="A31" s="23" t="n">
        <v>30</v>
      </c>
      <c r="B31" s="19" t="s">
        <v>7691</v>
      </c>
      <c r="C31" s="20" t="n">
        <v>1</v>
      </c>
      <c r="D31" s="20" t="s">
        <v>5581</v>
      </c>
      <c r="E31" s="24" t="s">
        <v>8611</v>
      </c>
      <c r="F31" s="30" t="s">
        <v>8612</v>
      </c>
      <c r="G31" s="24" t="s">
        <v>8613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8614</v>
      </c>
      <c r="N31" s="24" t="s">
        <v>8615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174</v>
      </c>
      <c r="R31" s="23" t="s">
        <v>174</v>
      </c>
      <c r="S31" s="23" t="s">
        <v>174</v>
      </c>
      <c r="T31" s="23" t="s">
        <v>174</v>
      </c>
      <c r="U31" s="24"/>
    </row>
    <row r="32" customFormat="false" ht="50.7" hidden="false" customHeight="false" outlineLevel="0" collapsed="false">
      <c r="A32" s="23" t="n">
        <v>31</v>
      </c>
      <c r="B32" s="31" t="s">
        <v>294</v>
      </c>
      <c r="C32" s="23" t="n">
        <v>2</v>
      </c>
      <c r="D32" s="23" t="s">
        <v>160</v>
      </c>
      <c r="E32" s="24" t="s">
        <v>8616</v>
      </c>
      <c r="F32" s="30" t="s">
        <v>8617</v>
      </c>
      <c r="G32" s="24" t="s">
        <v>8618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8619</v>
      </c>
      <c r="N32" s="24" t="s">
        <v>8620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174</v>
      </c>
      <c r="R32" s="23" t="s">
        <v>174</v>
      </c>
      <c r="S32" s="23" t="s">
        <v>174</v>
      </c>
      <c r="T32" s="23" t="s">
        <v>174</v>
      </c>
      <c r="U32" s="24"/>
    </row>
    <row r="33" customFormat="false" ht="39.55" hidden="false" customHeight="false" outlineLevel="0" collapsed="false">
      <c r="A33" s="23" t="n">
        <v>32</v>
      </c>
      <c r="B33" s="31" t="s">
        <v>518</v>
      </c>
      <c r="C33" s="23" t="n">
        <v>2</v>
      </c>
      <c r="D33" s="23" t="s">
        <v>160</v>
      </c>
      <c r="E33" s="24" t="s">
        <v>8621</v>
      </c>
      <c r="F33" s="30" t="s">
        <v>8622</v>
      </c>
      <c r="G33" s="24" t="s">
        <v>8623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8624</v>
      </c>
      <c r="N33" s="24" t="s">
        <v>8625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174</v>
      </c>
      <c r="R33" s="23" t="s">
        <v>174</v>
      </c>
      <c r="S33" s="23" t="s">
        <v>174</v>
      </c>
      <c r="T33" s="23" t="s">
        <v>174</v>
      </c>
      <c r="U33" s="24"/>
    </row>
    <row r="34" customFormat="false" ht="26.85" hidden="false" customHeight="false" outlineLevel="0" collapsed="false">
      <c r="A34" s="23" t="n">
        <v>33</v>
      </c>
      <c r="B34" s="31" t="s">
        <v>680</v>
      </c>
      <c r="C34" s="23" t="n">
        <v>2</v>
      </c>
      <c r="D34" s="23" t="s">
        <v>160</v>
      </c>
      <c r="E34" s="24" t="s">
        <v>8626</v>
      </c>
      <c r="F34" s="30" t="s">
        <v>8627</v>
      </c>
      <c r="G34" s="24" t="s">
        <v>8628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8629</v>
      </c>
      <c r="N34" s="24" t="s">
        <v>8485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174</v>
      </c>
      <c r="R34" s="23" t="s">
        <v>174</v>
      </c>
      <c r="S34" s="23" t="s">
        <v>174</v>
      </c>
      <c r="T34" s="23" t="s">
        <v>174</v>
      </c>
      <c r="U34" s="24"/>
    </row>
    <row r="35" customFormat="false" ht="77.6" hidden="false" customHeight="false" outlineLevel="0" collapsed="false">
      <c r="A35" s="23" t="n">
        <v>34</v>
      </c>
      <c r="B35" s="31" t="s">
        <v>853</v>
      </c>
      <c r="C35" s="23" t="n">
        <v>2</v>
      </c>
      <c r="D35" s="23" t="s">
        <v>160</v>
      </c>
      <c r="E35" s="24" t="s">
        <v>8630</v>
      </c>
      <c r="F35" s="30" t="s">
        <v>8631</v>
      </c>
      <c r="G35" s="24" t="s">
        <v>8632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8633</v>
      </c>
      <c r="N35" s="24" t="s">
        <v>8634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174</v>
      </c>
      <c r="R35" s="23" t="s">
        <v>174</v>
      </c>
      <c r="S35" s="23" t="s">
        <v>174</v>
      </c>
      <c r="T35" s="23" t="s">
        <v>174</v>
      </c>
      <c r="U35" s="24"/>
    </row>
    <row r="36" customFormat="false" ht="52.2" hidden="false" customHeight="false" outlineLevel="0" collapsed="false">
      <c r="A36" s="23" t="n">
        <v>35</v>
      </c>
      <c r="B36" s="31" t="s">
        <v>1157</v>
      </c>
      <c r="C36" s="23" t="n">
        <v>2</v>
      </c>
      <c r="D36" s="23" t="s">
        <v>160</v>
      </c>
      <c r="E36" s="24" t="s">
        <v>8491</v>
      </c>
      <c r="F36" s="30" t="s">
        <v>8492</v>
      </c>
      <c r="G36" s="24" t="s">
        <v>8635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8494</v>
      </c>
      <c r="N36" s="24" t="s">
        <v>8495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174</v>
      </c>
      <c r="R36" s="23" t="s">
        <v>174</v>
      </c>
      <c r="S36" s="23" t="s">
        <v>174</v>
      </c>
      <c r="T36" s="23" t="s">
        <v>174</v>
      </c>
      <c r="U36" s="24"/>
    </row>
    <row r="37" customFormat="false" ht="50.7" hidden="false" customHeight="false" outlineLevel="0" collapsed="false">
      <c r="A37" s="23" t="n">
        <v>36</v>
      </c>
      <c r="B37" s="31" t="s">
        <v>1368</v>
      </c>
      <c r="C37" s="23" t="n">
        <v>2</v>
      </c>
      <c r="D37" s="23" t="s">
        <v>160</v>
      </c>
      <c r="E37" s="24" t="s">
        <v>8636</v>
      </c>
      <c r="F37" s="30" t="s">
        <v>8637</v>
      </c>
      <c r="G37" s="24" t="s">
        <v>8638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8639</v>
      </c>
      <c r="N37" s="24" t="s">
        <v>8500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174</v>
      </c>
      <c r="R37" s="23" t="s">
        <v>174</v>
      </c>
      <c r="S37" s="23" t="s">
        <v>174</v>
      </c>
      <c r="T37" s="23" t="s">
        <v>174</v>
      </c>
      <c r="U37" s="24"/>
    </row>
    <row r="38" customFormat="false" ht="25.35" hidden="false" customHeight="false" outlineLevel="0" collapsed="false">
      <c r="A38" s="23" t="n">
        <v>37</v>
      </c>
      <c r="B38" s="31" t="s">
        <v>1495</v>
      </c>
      <c r="C38" s="23" t="n">
        <v>2</v>
      </c>
      <c r="D38" s="23" t="s">
        <v>160</v>
      </c>
      <c r="E38" s="24" t="s">
        <v>8640</v>
      </c>
      <c r="F38" s="30" t="s">
        <v>1494</v>
      </c>
      <c r="G38" s="24" t="s">
        <v>8641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8642</v>
      </c>
      <c r="N38" s="24" t="s">
        <v>8643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174</v>
      </c>
      <c r="R38" s="23" t="s">
        <v>174</v>
      </c>
      <c r="S38" s="23" t="s">
        <v>174</v>
      </c>
      <c r="T38" s="23" t="s">
        <v>174</v>
      </c>
      <c r="U38" s="24"/>
    </row>
    <row r="39" customFormat="false" ht="52.2" hidden="false" customHeight="false" outlineLevel="0" collapsed="false">
      <c r="A39" s="23" t="n">
        <v>38</v>
      </c>
      <c r="B39" s="31" t="s">
        <v>1609</v>
      </c>
      <c r="C39" s="23" t="n">
        <v>2</v>
      </c>
      <c r="D39" s="23" t="s">
        <v>160</v>
      </c>
      <c r="E39" s="24" t="s">
        <v>8644</v>
      </c>
      <c r="F39" s="30" t="s">
        <v>8645</v>
      </c>
      <c r="G39" s="24" t="s">
        <v>8646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8647</v>
      </c>
      <c r="N39" s="24" t="s">
        <v>8648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174</v>
      </c>
      <c r="R39" s="23" t="s">
        <v>174</v>
      </c>
      <c r="S39" s="23" t="s">
        <v>174</v>
      </c>
      <c r="T39" s="23" t="s">
        <v>174</v>
      </c>
      <c r="U39" s="24"/>
    </row>
    <row r="40" customFormat="false" ht="26.85" hidden="false" customHeight="false" outlineLevel="0" collapsed="false">
      <c r="A40" s="23" t="n">
        <v>39</v>
      </c>
      <c r="B40" s="31" t="s">
        <v>1720</v>
      </c>
      <c r="C40" s="23" t="n">
        <v>2</v>
      </c>
      <c r="D40" s="23" t="s">
        <v>160</v>
      </c>
      <c r="E40" s="24" t="s">
        <v>8649</v>
      </c>
      <c r="F40" s="30" t="s">
        <v>1691</v>
      </c>
      <c r="G40" s="24" t="s">
        <v>8650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8651</v>
      </c>
      <c r="N40" s="24" t="s">
        <v>8652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174</v>
      </c>
      <c r="R40" s="23" t="s">
        <v>174</v>
      </c>
      <c r="S40" s="23" t="s">
        <v>174</v>
      </c>
      <c r="T40" s="23" t="s">
        <v>174</v>
      </c>
      <c r="U40" s="24"/>
    </row>
    <row r="41" customFormat="false" ht="26.85" hidden="false" customHeight="false" outlineLevel="0" collapsed="false">
      <c r="A41" s="23" t="n">
        <v>40</v>
      </c>
      <c r="B41" s="31" t="s">
        <v>1831</v>
      </c>
      <c r="C41" s="23" t="n">
        <v>2</v>
      </c>
      <c r="D41" s="23" t="s">
        <v>160</v>
      </c>
      <c r="E41" s="24" t="s">
        <v>8653</v>
      </c>
      <c r="F41" s="30" t="s">
        <v>1830</v>
      </c>
      <c r="G41" s="24" t="s">
        <v>8654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8655</v>
      </c>
      <c r="N41" s="24" t="s">
        <v>8656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174</v>
      </c>
      <c r="R41" s="23" t="s">
        <v>174</v>
      </c>
      <c r="S41" s="23" t="s">
        <v>174</v>
      </c>
      <c r="T41" s="23" t="s">
        <v>174</v>
      </c>
      <c r="U41" s="24"/>
    </row>
    <row r="42" customFormat="false" ht="52.2" hidden="false" customHeight="false" outlineLevel="0" collapsed="false">
      <c r="A42" s="23" t="n">
        <v>41</v>
      </c>
      <c r="B42" s="31" t="s">
        <v>1986</v>
      </c>
      <c r="C42" s="23" t="n">
        <v>2</v>
      </c>
      <c r="D42" s="23" t="s">
        <v>160</v>
      </c>
      <c r="E42" s="24" t="s">
        <v>8657</v>
      </c>
      <c r="F42" s="30" t="s">
        <v>8658</v>
      </c>
      <c r="G42" s="24" t="s">
        <v>8659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8660</v>
      </c>
      <c r="N42" s="24" t="s">
        <v>8661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174</v>
      </c>
      <c r="R42" s="23" t="s">
        <v>174</v>
      </c>
      <c r="S42" s="23" t="s">
        <v>174</v>
      </c>
      <c r="T42" s="23" t="s">
        <v>174</v>
      </c>
      <c r="U42" s="24"/>
    </row>
    <row r="43" customFormat="false" ht="39.55" hidden="false" customHeight="false" outlineLevel="0" collapsed="false">
      <c r="A43" s="23" t="n">
        <v>42</v>
      </c>
      <c r="B43" s="31" t="s">
        <v>2121</v>
      </c>
      <c r="C43" s="23" t="n">
        <v>2</v>
      </c>
      <c r="D43" s="23" t="s">
        <v>160</v>
      </c>
      <c r="E43" s="24" t="s">
        <v>8662</v>
      </c>
      <c r="F43" s="30" t="s">
        <v>8663</v>
      </c>
      <c r="G43" s="24" t="s">
        <v>8664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8665</v>
      </c>
      <c r="N43" s="24" t="s">
        <v>8666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174</v>
      </c>
      <c r="R43" s="23" t="s">
        <v>174</v>
      </c>
      <c r="S43" s="23" t="s">
        <v>174</v>
      </c>
      <c r="T43" s="23" t="s">
        <v>174</v>
      </c>
      <c r="U43" s="24"/>
    </row>
    <row r="44" customFormat="false" ht="64.9" hidden="false" customHeight="false" outlineLevel="0" collapsed="false">
      <c r="A44" s="23" t="n">
        <v>43</v>
      </c>
      <c r="B44" s="31" t="s">
        <v>2364</v>
      </c>
      <c r="C44" s="23" t="n">
        <v>2</v>
      </c>
      <c r="D44" s="23" t="s">
        <v>160</v>
      </c>
      <c r="E44" s="24" t="s">
        <v>8667</v>
      </c>
      <c r="F44" s="30" t="s">
        <v>8668</v>
      </c>
      <c r="G44" s="24" t="s">
        <v>8669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8670</v>
      </c>
      <c r="N44" s="24" t="s">
        <v>8515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174</v>
      </c>
      <c r="R44" s="23" t="s">
        <v>174</v>
      </c>
      <c r="S44" s="23" t="s">
        <v>174</v>
      </c>
      <c r="T44" s="23" t="s">
        <v>174</v>
      </c>
      <c r="U44" s="24"/>
    </row>
    <row r="45" customFormat="false" ht="26.85" hidden="false" customHeight="false" outlineLevel="0" collapsed="false">
      <c r="A45" s="23" t="n">
        <v>44</v>
      </c>
      <c r="B45" s="31" t="s">
        <v>2644</v>
      </c>
      <c r="C45" s="23" t="n">
        <v>2</v>
      </c>
      <c r="D45" s="23" t="s">
        <v>160</v>
      </c>
      <c r="E45" s="24" t="s">
        <v>8671</v>
      </c>
      <c r="F45" s="30" t="s">
        <v>2643</v>
      </c>
      <c r="G45" s="24" t="s">
        <v>8672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8673</v>
      </c>
      <c r="N45" s="24" t="s">
        <v>8674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174</v>
      </c>
      <c r="R45" s="23" t="s">
        <v>174</v>
      </c>
      <c r="S45" s="23" t="s">
        <v>174</v>
      </c>
      <c r="T45" s="23" t="s">
        <v>174</v>
      </c>
      <c r="U45" s="24"/>
    </row>
    <row r="46" customFormat="false" ht="38.05" hidden="false" customHeight="false" outlineLevel="0" collapsed="false">
      <c r="A46" s="23" t="n">
        <v>45</v>
      </c>
      <c r="B46" s="31" t="s">
        <v>2725</v>
      </c>
      <c r="C46" s="23" t="n">
        <v>2</v>
      </c>
      <c r="D46" s="23" t="s">
        <v>160</v>
      </c>
      <c r="E46" s="24" t="s">
        <v>8675</v>
      </c>
      <c r="F46" s="30" t="s">
        <v>8676</v>
      </c>
      <c r="G46" s="24" t="s">
        <v>8677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8678</v>
      </c>
      <c r="N46" s="24" t="s">
        <v>8679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174</v>
      </c>
      <c r="R46" s="23" t="s">
        <v>174</v>
      </c>
      <c r="S46" s="23" t="s">
        <v>174</v>
      </c>
      <c r="T46" s="23" t="s">
        <v>174</v>
      </c>
      <c r="U46" s="24"/>
    </row>
    <row r="47" customFormat="false" ht="52.2" hidden="false" customHeight="false" outlineLevel="0" collapsed="false">
      <c r="A47" s="23" t="n">
        <v>46</v>
      </c>
      <c r="B47" s="31" t="s">
        <v>2935</v>
      </c>
      <c r="C47" s="23" t="n">
        <v>2</v>
      </c>
      <c r="D47" s="23" t="s">
        <v>160</v>
      </c>
      <c r="E47" s="24" t="s">
        <v>8680</v>
      </c>
      <c r="F47" s="30" t="s">
        <v>8681</v>
      </c>
      <c r="G47" s="24" t="s">
        <v>8682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8683</v>
      </c>
      <c r="N47" s="24" t="s">
        <v>8684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174</v>
      </c>
      <c r="R47" s="23" t="s">
        <v>174</v>
      </c>
      <c r="S47" s="23" t="s">
        <v>174</v>
      </c>
      <c r="T47" s="23" t="s">
        <v>174</v>
      </c>
      <c r="U47" s="24"/>
    </row>
    <row r="48" customFormat="false" ht="52.2" hidden="false" customHeight="false" outlineLevel="0" collapsed="false">
      <c r="A48" s="23" t="n">
        <v>47</v>
      </c>
      <c r="B48" s="31" t="s">
        <v>3153</v>
      </c>
      <c r="C48" s="23" t="n">
        <v>2</v>
      </c>
      <c r="D48" s="23" t="s">
        <v>160</v>
      </c>
      <c r="E48" s="24" t="s">
        <v>8685</v>
      </c>
      <c r="F48" s="30" t="s">
        <v>8686</v>
      </c>
      <c r="G48" s="24" t="s">
        <v>8687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8688</v>
      </c>
      <c r="N48" s="24" t="s">
        <v>8689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174</v>
      </c>
      <c r="R48" s="23" t="s">
        <v>174</v>
      </c>
      <c r="S48" s="23" t="s">
        <v>174</v>
      </c>
      <c r="T48" s="23" t="s">
        <v>174</v>
      </c>
      <c r="U48" s="24"/>
    </row>
    <row r="49" customFormat="false" ht="52.2" hidden="false" customHeight="false" outlineLevel="0" collapsed="false">
      <c r="A49" s="23" t="n">
        <v>48</v>
      </c>
      <c r="B49" s="31" t="s">
        <v>3332</v>
      </c>
      <c r="C49" s="23" t="n">
        <v>2</v>
      </c>
      <c r="D49" s="23" t="s">
        <v>160</v>
      </c>
      <c r="E49" s="24" t="s">
        <v>8690</v>
      </c>
      <c r="F49" s="30" t="s">
        <v>8691</v>
      </c>
      <c r="G49" s="24" t="s">
        <v>8692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8693</v>
      </c>
      <c r="N49" s="24" t="s">
        <v>8694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174</v>
      </c>
      <c r="R49" s="23" t="s">
        <v>174</v>
      </c>
      <c r="S49" s="23" t="s">
        <v>174</v>
      </c>
      <c r="T49" s="23" t="s">
        <v>174</v>
      </c>
      <c r="U49" s="24"/>
    </row>
    <row r="50" customFormat="false" ht="52.2" hidden="false" customHeight="false" outlineLevel="0" collapsed="false">
      <c r="A50" s="23" t="n">
        <v>49</v>
      </c>
      <c r="B50" s="31" t="s">
        <v>3488</v>
      </c>
      <c r="C50" s="23" t="n">
        <v>2</v>
      </c>
      <c r="D50" s="23" t="s">
        <v>160</v>
      </c>
      <c r="E50" s="24" t="s">
        <v>8695</v>
      </c>
      <c r="F50" s="30" t="s">
        <v>8696</v>
      </c>
      <c r="G50" s="24" t="s">
        <v>8697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8698</v>
      </c>
      <c r="N50" s="24" t="s">
        <v>8699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174</v>
      </c>
      <c r="R50" s="23" t="s">
        <v>174</v>
      </c>
      <c r="S50" s="23" t="s">
        <v>174</v>
      </c>
      <c r="T50" s="23" t="s">
        <v>174</v>
      </c>
      <c r="U50" s="24"/>
    </row>
    <row r="51" customFormat="false" ht="52.2" hidden="false" customHeight="false" outlineLevel="0" collapsed="false">
      <c r="A51" s="23" t="n">
        <v>50</v>
      </c>
      <c r="B51" s="31" t="s">
        <v>3644</v>
      </c>
      <c r="C51" s="23" t="n">
        <v>2</v>
      </c>
      <c r="D51" s="23" t="s">
        <v>160</v>
      </c>
      <c r="E51" s="24" t="s">
        <v>8700</v>
      </c>
      <c r="F51" s="30" t="s">
        <v>8701</v>
      </c>
      <c r="G51" s="24" t="s">
        <v>8702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8703</v>
      </c>
      <c r="N51" s="24" t="s">
        <v>8704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174</v>
      </c>
      <c r="R51" s="23" t="s">
        <v>174</v>
      </c>
      <c r="S51" s="23" t="s">
        <v>174</v>
      </c>
      <c r="T51" s="23" t="s">
        <v>174</v>
      </c>
      <c r="U51" s="24"/>
    </row>
    <row r="52" customFormat="false" ht="52.2" hidden="false" customHeight="false" outlineLevel="0" collapsed="false">
      <c r="A52" s="23" t="n">
        <v>51</v>
      </c>
      <c r="B52" s="31" t="s">
        <v>3811</v>
      </c>
      <c r="C52" s="23" t="n">
        <v>2</v>
      </c>
      <c r="D52" s="23" t="s">
        <v>160</v>
      </c>
      <c r="E52" s="24" t="s">
        <v>8541</v>
      </c>
      <c r="F52" s="30" t="s">
        <v>8542</v>
      </c>
      <c r="G52" s="24" t="s">
        <v>8705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8544</v>
      </c>
      <c r="N52" s="24" t="s">
        <v>8545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174</v>
      </c>
      <c r="R52" s="23" t="s">
        <v>174</v>
      </c>
      <c r="S52" s="23" t="s">
        <v>174</v>
      </c>
      <c r="T52" s="23" t="s">
        <v>174</v>
      </c>
      <c r="U52" s="24"/>
    </row>
    <row r="53" customFormat="false" ht="52.2" hidden="false" customHeight="false" outlineLevel="0" collapsed="false">
      <c r="A53" s="23" t="n">
        <v>52</v>
      </c>
      <c r="B53" s="31" t="s">
        <v>4054</v>
      </c>
      <c r="C53" s="23" t="n">
        <v>2</v>
      </c>
      <c r="D53" s="23" t="s">
        <v>160</v>
      </c>
      <c r="E53" s="24" t="s">
        <v>8706</v>
      </c>
      <c r="F53" s="30" t="s">
        <v>8707</v>
      </c>
      <c r="G53" s="24" t="s">
        <v>8708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8709</v>
      </c>
      <c r="N53" s="24" t="s">
        <v>8550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174</v>
      </c>
      <c r="R53" s="23" t="s">
        <v>174</v>
      </c>
      <c r="S53" s="23" t="s">
        <v>174</v>
      </c>
      <c r="T53" s="23" t="s">
        <v>174</v>
      </c>
      <c r="U53" s="24"/>
    </row>
    <row r="54" customFormat="false" ht="39.55" hidden="false" customHeight="false" outlineLevel="0" collapsed="false">
      <c r="A54" s="23" t="n">
        <v>53</v>
      </c>
      <c r="B54" s="31" t="s">
        <v>4195</v>
      </c>
      <c r="C54" s="23" t="n">
        <v>2</v>
      </c>
      <c r="D54" s="23" t="s">
        <v>160</v>
      </c>
      <c r="E54" s="24" t="s">
        <v>8710</v>
      </c>
      <c r="F54" s="30" t="s">
        <v>8711</v>
      </c>
      <c r="G54" s="24" t="s">
        <v>8712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8713</v>
      </c>
      <c r="N54" s="24" t="s">
        <v>8714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174</v>
      </c>
      <c r="R54" s="23" t="s">
        <v>174</v>
      </c>
      <c r="S54" s="23" t="s">
        <v>174</v>
      </c>
      <c r="T54" s="23" t="s">
        <v>174</v>
      </c>
      <c r="U54" s="24"/>
    </row>
    <row r="55" customFormat="false" ht="26.85" hidden="false" customHeight="false" outlineLevel="0" collapsed="false">
      <c r="A55" s="23" t="n">
        <v>54</v>
      </c>
      <c r="B55" s="31" t="s">
        <v>4344</v>
      </c>
      <c r="C55" s="23" t="n">
        <v>2</v>
      </c>
      <c r="D55" s="23" t="s">
        <v>160</v>
      </c>
      <c r="E55" s="24" t="s">
        <v>8715</v>
      </c>
      <c r="F55" s="30" t="s">
        <v>4331</v>
      </c>
      <c r="G55" s="24" t="s">
        <v>8716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8717</v>
      </c>
      <c r="N55" s="24" t="s">
        <v>8718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174</v>
      </c>
      <c r="R55" s="23" t="s">
        <v>174</v>
      </c>
      <c r="S55" s="23" t="s">
        <v>174</v>
      </c>
      <c r="T55" s="23" t="s">
        <v>174</v>
      </c>
      <c r="U55" s="24"/>
    </row>
    <row r="56" customFormat="false" ht="52.2" hidden="false" customHeight="false" outlineLevel="0" collapsed="false">
      <c r="A56" s="23" t="n">
        <v>55</v>
      </c>
      <c r="B56" s="31" t="s">
        <v>4419</v>
      </c>
      <c r="C56" s="23" t="n">
        <v>2</v>
      </c>
      <c r="D56" s="23" t="s">
        <v>160</v>
      </c>
      <c r="E56" s="24" t="s">
        <v>8719</v>
      </c>
      <c r="F56" s="30" t="s">
        <v>8720</v>
      </c>
      <c r="G56" s="24" t="s">
        <v>8721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8722</v>
      </c>
      <c r="N56" s="24" t="s">
        <v>8723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174</v>
      </c>
      <c r="R56" s="23" t="s">
        <v>174</v>
      </c>
      <c r="S56" s="23" t="s">
        <v>174</v>
      </c>
      <c r="T56" s="23" t="s">
        <v>174</v>
      </c>
      <c r="U56" s="24"/>
    </row>
    <row r="57" customFormat="false" ht="52.2" hidden="false" customHeight="false" outlineLevel="0" collapsed="false">
      <c r="A57" s="23" t="n">
        <v>56</v>
      </c>
      <c r="B57" s="31" t="s">
        <v>4579</v>
      </c>
      <c r="C57" s="23" t="n">
        <v>2</v>
      </c>
      <c r="D57" s="23" t="s">
        <v>160</v>
      </c>
      <c r="E57" s="24" t="s">
        <v>8724</v>
      </c>
      <c r="F57" s="30" t="s">
        <v>8725</v>
      </c>
      <c r="G57" s="24" t="s">
        <v>8726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8727</v>
      </c>
      <c r="N57" s="24" t="s">
        <v>8728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174</v>
      </c>
      <c r="R57" s="23" t="s">
        <v>174</v>
      </c>
      <c r="S57" s="23" t="s">
        <v>174</v>
      </c>
      <c r="T57" s="23" t="s">
        <v>174</v>
      </c>
      <c r="U57" s="24"/>
    </row>
    <row r="58" customFormat="false" ht="26.85" hidden="false" customHeight="false" outlineLevel="0" collapsed="false">
      <c r="A58" s="23" t="n">
        <v>57</v>
      </c>
      <c r="B58" s="31" t="s">
        <v>4664</v>
      </c>
      <c r="C58" s="23" t="n">
        <v>2</v>
      </c>
      <c r="D58" s="23" t="s">
        <v>160</v>
      </c>
      <c r="E58" s="24" t="s">
        <v>8729</v>
      </c>
      <c r="F58" s="30" t="s">
        <v>4653</v>
      </c>
      <c r="G58" s="24" t="s">
        <v>8730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8731</v>
      </c>
      <c r="N58" s="24" t="s">
        <v>8732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174</v>
      </c>
      <c r="R58" s="23" t="s">
        <v>174</v>
      </c>
      <c r="S58" s="23" t="s">
        <v>174</v>
      </c>
      <c r="T58" s="23" t="s">
        <v>174</v>
      </c>
      <c r="U58" s="24"/>
    </row>
    <row r="59" customFormat="false" ht="26.85" hidden="false" customHeight="false" outlineLevel="0" collapsed="false">
      <c r="A59" s="23" t="n">
        <v>58</v>
      </c>
      <c r="B59" s="31" t="s">
        <v>4762</v>
      </c>
      <c r="C59" s="23" t="n">
        <v>2</v>
      </c>
      <c r="D59" s="23" t="s">
        <v>160</v>
      </c>
      <c r="E59" s="24" t="s">
        <v>8733</v>
      </c>
      <c r="F59" s="30" t="s">
        <v>4749</v>
      </c>
      <c r="G59" s="24" t="s">
        <v>8734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8735</v>
      </c>
      <c r="N59" s="24" t="s">
        <v>8736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174</v>
      </c>
      <c r="R59" s="23" t="s">
        <v>174</v>
      </c>
      <c r="S59" s="23" t="s">
        <v>174</v>
      </c>
      <c r="T59" s="23" t="s">
        <v>174</v>
      </c>
      <c r="U59" s="24"/>
    </row>
    <row r="60" customFormat="false" ht="26.85" hidden="false" customHeight="false" outlineLevel="0" collapsed="false">
      <c r="A60" s="23" t="n">
        <v>59</v>
      </c>
      <c r="B60" s="31" t="s">
        <v>4844</v>
      </c>
      <c r="C60" s="23" t="n">
        <v>2</v>
      </c>
      <c r="D60" s="23" t="s">
        <v>160</v>
      </c>
      <c r="E60" s="24" t="s">
        <v>8737</v>
      </c>
      <c r="F60" s="30" t="s">
        <v>4843</v>
      </c>
      <c r="G60" s="24" t="s">
        <v>8738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8739</v>
      </c>
      <c r="N60" s="24" t="s">
        <v>8740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174</v>
      </c>
      <c r="R60" s="23" t="s">
        <v>174</v>
      </c>
      <c r="S60" s="23" t="s">
        <v>174</v>
      </c>
      <c r="T60" s="23" t="s">
        <v>174</v>
      </c>
      <c r="U60" s="24"/>
    </row>
    <row r="61" customFormat="false" ht="26.85" hidden="false" customHeight="false" outlineLevel="0" collapsed="false">
      <c r="A61" s="23" t="n">
        <v>60</v>
      </c>
      <c r="B61" s="31" t="s">
        <v>4972</v>
      </c>
      <c r="C61" s="23" t="n">
        <v>2</v>
      </c>
      <c r="D61" s="23" t="s">
        <v>160</v>
      </c>
      <c r="E61" s="24" t="s">
        <v>8741</v>
      </c>
      <c r="F61" s="30" t="s">
        <v>4971</v>
      </c>
      <c r="G61" s="24" t="s">
        <v>8742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8743</v>
      </c>
      <c r="N61" s="24" t="s">
        <v>8744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174</v>
      </c>
      <c r="R61" s="23" t="s">
        <v>174</v>
      </c>
      <c r="S61" s="23" t="s">
        <v>174</v>
      </c>
      <c r="T61" s="23" t="s">
        <v>174</v>
      </c>
      <c r="U61" s="24"/>
    </row>
    <row r="62" customFormat="false" ht="52.2" hidden="false" customHeight="false" outlineLevel="0" collapsed="false">
      <c r="A62" s="23" t="n">
        <v>61</v>
      </c>
      <c r="B62" s="31" t="s">
        <v>5114</v>
      </c>
      <c r="C62" s="23" t="n">
        <v>2</v>
      </c>
      <c r="D62" s="23" t="s">
        <v>160</v>
      </c>
      <c r="E62" s="24" t="s">
        <v>8745</v>
      </c>
      <c r="F62" s="30" t="s">
        <v>8746</v>
      </c>
      <c r="G62" s="24" t="s">
        <v>8747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8748</v>
      </c>
      <c r="N62" s="24" t="s">
        <v>8749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174</v>
      </c>
      <c r="R62" s="23" t="s">
        <v>174</v>
      </c>
      <c r="S62" s="23" t="s">
        <v>174</v>
      </c>
      <c r="T62" s="23" t="s">
        <v>174</v>
      </c>
      <c r="U62" s="24"/>
    </row>
    <row r="63" customFormat="false" ht="26.85" hidden="false" customHeight="false" outlineLevel="0" collapsed="false">
      <c r="A63" s="23" t="n">
        <v>62</v>
      </c>
      <c r="B63" s="31" t="s">
        <v>5260</v>
      </c>
      <c r="C63" s="23" t="n">
        <v>2</v>
      </c>
      <c r="D63" s="23" t="s">
        <v>160</v>
      </c>
      <c r="E63" s="24" t="s">
        <v>8750</v>
      </c>
      <c r="F63" s="30" t="s">
        <v>5240</v>
      </c>
      <c r="G63" s="24" t="s">
        <v>8751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8752</v>
      </c>
      <c r="N63" s="24" t="s">
        <v>8753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174</v>
      </c>
      <c r="R63" s="23" t="s">
        <v>174</v>
      </c>
      <c r="S63" s="23" t="s">
        <v>174</v>
      </c>
      <c r="T63" s="23" t="s">
        <v>174</v>
      </c>
      <c r="U63" s="24"/>
    </row>
    <row r="64" customFormat="false" ht="52.2" hidden="false" customHeight="false" outlineLevel="0" collapsed="false">
      <c r="A64" s="23" t="n">
        <v>63</v>
      </c>
      <c r="B64" s="31" t="s">
        <v>5338</v>
      </c>
      <c r="C64" s="23" t="n">
        <v>2</v>
      </c>
      <c r="D64" s="23" t="s">
        <v>160</v>
      </c>
      <c r="E64" s="24" t="s">
        <v>8561</v>
      </c>
      <c r="F64" s="30" t="s">
        <v>8562</v>
      </c>
      <c r="G64" s="24" t="s">
        <v>8754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8564</v>
      </c>
      <c r="N64" s="24" t="s">
        <v>8565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174</v>
      </c>
      <c r="R64" s="23" t="s">
        <v>174</v>
      </c>
      <c r="S64" s="23" t="s">
        <v>174</v>
      </c>
      <c r="T64" s="23" t="s">
        <v>174</v>
      </c>
      <c r="U64" s="24"/>
    </row>
    <row r="65" customFormat="false" ht="26.85" hidden="false" customHeight="false" outlineLevel="0" collapsed="false">
      <c r="A65" s="23" t="n">
        <v>64</v>
      </c>
      <c r="B65" s="31" t="s">
        <v>5492</v>
      </c>
      <c r="C65" s="23" t="n">
        <v>2</v>
      </c>
      <c r="D65" s="23" t="s">
        <v>160</v>
      </c>
      <c r="E65" s="24" t="s">
        <v>8755</v>
      </c>
      <c r="F65" s="30" t="s">
        <v>5445</v>
      </c>
      <c r="G65" s="24" t="s">
        <v>8756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8757</v>
      </c>
      <c r="N65" s="24" t="s">
        <v>8758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174</v>
      </c>
      <c r="R65" s="23" t="s">
        <v>174</v>
      </c>
      <c r="S65" s="23" t="s">
        <v>174</v>
      </c>
      <c r="T65" s="23" t="s">
        <v>174</v>
      </c>
      <c r="U65" s="24"/>
    </row>
    <row r="66" customFormat="false" ht="50.7" hidden="false" customHeight="false" outlineLevel="0" collapsed="false">
      <c r="A66" s="23" t="n">
        <v>65</v>
      </c>
      <c r="B66" s="31" t="s">
        <v>5583</v>
      </c>
      <c r="C66" s="23" t="n">
        <v>2</v>
      </c>
      <c r="D66" s="23" t="s">
        <v>5581</v>
      </c>
      <c r="E66" s="24" t="s">
        <v>8759</v>
      </c>
      <c r="F66" s="30" t="s">
        <v>8760</v>
      </c>
      <c r="G66" s="24" t="s">
        <v>8761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8762</v>
      </c>
      <c r="N66" s="24" t="s">
        <v>8570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174</v>
      </c>
      <c r="R66" s="23" t="s">
        <v>174</v>
      </c>
      <c r="S66" s="23" t="s">
        <v>174</v>
      </c>
      <c r="T66" s="23" t="s">
        <v>174</v>
      </c>
      <c r="U66" s="24"/>
    </row>
    <row r="67" customFormat="false" ht="52.2" hidden="false" customHeight="false" outlineLevel="0" collapsed="false">
      <c r="A67" s="23" t="n">
        <v>66</v>
      </c>
      <c r="B67" s="31" t="s">
        <v>5863</v>
      </c>
      <c r="C67" s="23" t="n">
        <v>2</v>
      </c>
      <c r="D67" s="23" t="s">
        <v>5581</v>
      </c>
      <c r="E67" s="24" t="s">
        <v>8763</v>
      </c>
      <c r="F67" s="30" t="s">
        <v>8764</v>
      </c>
      <c r="G67" s="24" t="s">
        <v>8765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30" t="s">
        <v>8766</v>
      </c>
      <c r="N67" s="24" t="s">
        <v>8767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174</v>
      </c>
      <c r="R67" s="23" t="s">
        <v>174</v>
      </c>
      <c r="S67" s="23" t="s">
        <v>174</v>
      </c>
      <c r="T67" s="23" t="s">
        <v>174</v>
      </c>
      <c r="U67" s="24"/>
    </row>
    <row r="68" customFormat="false" ht="26.85" hidden="false" customHeight="false" outlineLevel="0" collapsed="false">
      <c r="A68" s="23" t="n">
        <v>67</v>
      </c>
      <c r="B68" s="31" t="s">
        <v>6077</v>
      </c>
      <c r="C68" s="23" t="n">
        <v>2</v>
      </c>
      <c r="D68" s="23" t="s">
        <v>5581</v>
      </c>
      <c r="E68" s="24" t="s">
        <v>8768</v>
      </c>
      <c r="F68" s="30" t="s">
        <v>8769</v>
      </c>
      <c r="G68" s="24" t="s">
        <v>8770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8771</v>
      </c>
      <c r="N68" s="24" t="s">
        <v>8772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174</v>
      </c>
      <c r="R68" s="23" t="s">
        <v>174</v>
      </c>
      <c r="S68" s="23" t="s">
        <v>174</v>
      </c>
      <c r="T68" s="23" t="s">
        <v>174</v>
      </c>
      <c r="U68" s="24"/>
    </row>
    <row r="69" customFormat="false" ht="26.85" hidden="false" customHeight="false" outlineLevel="0" collapsed="false">
      <c r="A69" s="23" t="n">
        <v>68</v>
      </c>
      <c r="B69" s="31" t="s">
        <v>6337</v>
      </c>
      <c r="C69" s="23" t="n">
        <v>2</v>
      </c>
      <c r="D69" s="23" t="s">
        <v>5581</v>
      </c>
      <c r="E69" s="24" t="s">
        <v>8773</v>
      </c>
      <c r="F69" s="30" t="s">
        <v>8774</v>
      </c>
      <c r="G69" s="24" t="s">
        <v>8775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8776</v>
      </c>
      <c r="N69" s="24" t="s">
        <v>8777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174</v>
      </c>
      <c r="R69" s="23" t="s">
        <v>174</v>
      </c>
      <c r="S69" s="23" t="s">
        <v>174</v>
      </c>
      <c r="T69" s="23" t="s">
        <v>174</v>
      </c>
      <c r="U69" s="24"/>
    </row>
    <row r="70" customFormat="false" ht="64.9" hidden="false" customHeight="false" outlineLevel="0" collapsed="false">
      <c r="A70" s="23" t="n">
        <v>69</v>
      </c>
      <c r="B70" s="31" t="s">
        <v>6525</v>
      </c>
      <c r="C70" s="23" t="n">
        <v>2</v>
      </c>
      <c r="D70" s="23" t="s">
        <v>5581</v>
      </c>
      <c r="E70" s="24" t="s">
        <v>8778</v>
      </c>
      <c r="F70" s="30" t="s">
        <v>8779</v>
      </c>
      <c r="G70" s="24" t="s">
        <v>8780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8781</v>
      </c>
      <c r="N70" s="24" t="s">
        <v>8782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174</v>
      </c>
      <c r="R70" s="23" t="s">
        <v>174</v>
      </c>
      <c r="S70" s="23" t="s">
        <v>174</v>
      </c>
      <c r="T70" s="23" t="s">
        <v>174</v>
      </c>
      <c r="U70" s="24"/>
    </row>
    <row r="71" customFormat="false" ht="26.85" hidden="false" customHeight="false" outlineLevel="0" collapsed="false">
      <c r="A71" s="23" t="n">
        <v>70</v>
      </c>
      <c r="B71" s="31" t="s">
        <v>6825</v>
      </c>
      <c r="C71" s="23" t="n">
        <v>2</v>
      </c>
      <c r="D71" s="23" t="s">
        <v>5581</v>
      </c>
      <c r="E71" s="24" t="s">
        <v>8596</v>
      </c>
      <c r="F71" s="30" t="s">
        <v>8597</v>
      </c>
      <c r="G71" s="24" t="s">
        <v>8783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8599</v>
      </c>
      <c r="N71" s="24" t="s">
        <v>8600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174</v>
      </c>
      <c r="R71" s="23" t="s">
        <v>174</v>
      </c>
      <c r="S71" s="23" t="s">
        <v>174</v>
      </c>
      <c r="T71" s="23" t="s">
        <v>174</v>
      </c>
      <c r="U71" s="24"/>
    </row>
    <row r="72" customFormat="false" ht="39.55" hidden="false" customHeight="false" outlineLevel="0" collapsed="false">
      <c r="A72" s="23" t="n">
        <v>71</v>
      </c>
      <c r="B72" s="31" t="s">
        <v>7051</v>
      </c>
      <c r="C72" s="23" t="n">
        <v>2</v>
      </c>
      <c r="D72" s="23" t="s">
        <v>5581</v>
      </c>
      <c r="E72" s="24" t="s">
        <v>8601</v>
      </c>
      <c r="F72" s="30" t="s">
        <v>8602</v>
      </c>
      <c r="G72" s="24" t="s">
        <v>8784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8604</v>
      </c>
      <c r="N72" s="24" t="s">
        <v>8605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174</v>
      </c>
      <c r="R72" s="23" t="s">
        <v>174</v>
      </c>
      <c r="S72" s="23" t="s">
        <v>174</v>
      </c>
      <c r="T72" s="23" t="s">
        <v>174</v>
      </c>
      <c r="U72" s="24"/>
    </row>
    <row r="73" customFormat="false" ht="39.55" hidden="false" customHeight="false" outlineLevel="0" collapsed="false">
      <c r="A73" s="23" t="n">
        <v>72</v>
      </c>
      <c r="B73" s="31" t="s">
        <v>7262</v>
      </c>
      <c r="C73" s="23" t="n">
        <v>2</v>
      </c>
      <c r="D73" s="23" t="s">
        <v>5581</v>
      </c>
      <c r="E73" s="24" t="s">
        <v>8785</v>
      </c>
      <c r="F73" s="30" t="s">
        <v>8786</v>
      </c>
      <c r="G73" s="24" t="s">
        <v>8787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8788</v>
      </c>
      <c r="N73" s="24" t="s">
        <v>8610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174</v>
      </c>
      <c r="R73" s="23" t="s">
        <v>174</v>
      </c>
      <c r="S73" s="23" t="s">
        <v>174</v>
      </c>
      <c r="T73" s="23" t="s">
        <v>174</v>
      </c>
      <c r="U73" s="24"/>
    </row>
    <row r="74" customFormat="false" ht="26.85" hidden="false" customHeight="false" outlineLevel="0" collapsed="false">
      <c r="A74" s="23" t="n">
        <v>73</v>
      </c>
      <c r="B74" s="31" t="s">
        <v>7389</v>
      </c>
      <c r="C74" s="23" t="n">
        <v>2</v>
      </c>
      <c r="D74" s="23" t="s">
        <v>5581</v>
      </c>
      <c r="E74" s="24" t="s">
        <v>8789</v>
      </c>
      <c r="F74" s="30" t="s">
        <v>7360</v>
      </c>
      <c r="G74" s="24" t="s">
        <v>8790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8791</v>
      </c>
      <c r="N74" s="24" t="s">
        <v>8792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174</v>
      </c>
      <c r="R74" s="23" t="s">
        <v>174</v>
      </c>
      <c r="S74" s="23" t="s">
        <v>174</v>
      </c>
      <c r="T74" s="23" t="s">
        <v>174</v>
      </c>
      <c r="U74" s="24"/>
    </row>
    <row r="75" customFormat="false" ht="15" hidden="false" customHeight="false" outlineLevel="0" collapsed="false">
      <c r="A75" s="23" t="n">
        <v>74</v>
      </c>
      <c r="B75" s="31" t="s">
        <v>7482</v>
      </c>
      <c r="C75" s="23" t="n">
        <v>2</v>
      </c>
      <c r="D75" s="23" t="s">
        <v>5581</v>
      </c>
      <c r="E75" s="24" t="s">
        <v>8793</v>
      </c>
      <c r="F75" s="30" t="s">
        <v>7481</v>
      </c>
      <c r="G75" s="24" t="s">
        <v>8794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8795</v>
      </c>
      <c r="N75" s="24" t="s">
        <v>8796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174</v>
      </c>
      <c r="R75" s="23" t="s">
        <v>174</v>
      </c>
      <c r="S75" s="23" t="s">
        <v>174</v>
      </c>
      <c r="T75" s="23" t="s">
        <v>174</v>
      </c>
      <c r="U75" s="24"/>
    </row>
    <row r="76" customFormat="false" ht="26.85" hidden="false" customHeight="false" outlineLevel="0" collapsed="false">
      <c r="A76" s="23" t="n">
        <v>75</v>
      </c>
      <c r="B76" s="31" t="s">
        <v>7579</v>
      </c>
      <c r="C76" s="23" t="n">
        <v>2</v>
      </c>
      <c r="D76" s="23" t="s">
        <v>5581</v>
      </c>
      <c r="E76" s="24" t="s">
        <v>8797</v>
      </c>
      <c r="F76" s="30" t="s">
        <v>7578</v>
      </c>
      <c r="G76" s="24" t="s">
        <v>8798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8799</v>
      </c>
      <c r="N76" s="24" t="s">
        <v>8800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174</v>
      </c>
      <c r="R76" s="23" t="s">
        <v>174</v>
      </c>
      <c r="S76" s="23" t="s">
        <v>174</v>
      </c>
      <c r="T76" s="23" t="s">
        <v>174</v>
      </c>
      <c r="U76" s="24"/>
    </row>
    <row r="77" customFormat="false" ht="26.85" hidden="false" customHeight="false" outlineLevel="0" collapsed="false">
      <c r="A77" s="23" t="n">
        <v>76</v>
      </c>
      <c r="B77" s="31" t="s">
        <v>7680</v>
      </c>
      <c r="C77" s="23" t="n">
        <v>2</v>
      </c>
      <c r="D77" s="23" t="s">
        <v>5581</v>
      </c>
      <c r="E77" s="24" t="s">
        <v>8801</v>
      </c>
      <c r="F77" s="30" t="s">
        <v>7679</v>
      </c>
      <c r="G77" s="24" t="s">
        <v>8802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8803</v>
      </c>
      <c r="N77" s="24" t="s">
        <v>8804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174</v>
      </c>
      <c r="R77" s="23" t="s">
        <v>174</v>
      </c>
      <c r="S77" s="23" t="s">
        <v>174</v>
      </c>
      <c r="T77" s="23" t="s">
        <v>174</v>
      </c>
      <c r="U77" s="24"/>
    </row>
    <row r="78" customFormat="false" ht="26.85" hidden="false" customHeight="false" outlineLevel="0" collapsed="false">
      <c r="A78" s="23" t="n">
        <v>77</v>
      </c>
      <c r="B78" s="31" t="s">
        <v>7777</v>
      </c>
      <c r="C78" s="23" t="n">
        <v>2</v>
      </c>
      <c r="D78" s="23" t="s">
        <v>5581</v>
      </c>
      <c r="E78" s="24" t="s">
        <v>8805</v>
      </c>
      <c r="F78" s="30" t="s">
        <v>7776</v>
      </c>
      <c r="G78" s="24" t="s">
        <v>8806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8807</v>
      </c>
      <c r="N78" s="24" t="s">
        <v>8808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174</v>
      </c>
      <c r="R78" s="23" t="s">
        <v>174</v>
      </c>
      <c r="S78" s="23" t="s">
        <v>174</v>
      </c>
      <c r="T78" s="23" t="s">
        <v>174</v>
      </c>
      <c r="U78" s="24"/>
    </row>
    <row r="79" customFormat="false" ht="26.85" hidden="false" customHeight="false" outlineLevel="0" collapsed="false">
      <c r="A79" s="23" t="n">
        <v>78</v>
      </c>
      <c r="B79" s="31" t="s">
        <v>7857</v>
      </c>
      <c r="C79" s="23" t="n">
        <v>2</v>
      </c>
      <c r="D79" s="23" t="s">
        <v>5581</v>
      </c>
      <c r="E79" s="24" t="s">
        <v>8809</v>
      </c>
      <c r="F79" s="30" t="s">
        <v>7856</v>
      </c>
      <c r="G79" s="24" t="s">
        <v>8810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8811</v>
      </c>
      <c r="N79" s="24" t="s">
        <v>8812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174</v>
      </c>
      <c r="R79" s="23" t="s">
        <v>174</v>
      </c>
      <c r="S79" s="23" t="s">
        <v>174</v>
      </c>
      <c r="T79" s="23" t="s">
        <v>174</v>
      </c>
      <c r="U79" s="24"/>
    </row>
    <row r="80" customFormat="false" ht="26.85" hidden="false" customHeight="false" outlineLevel="0" collapsed="false">
      <c r="A80" s="23" t="n">
        <v>79</v>
      </c>
      <c r="B80" s="31" t="s">
        <v>7951</v>
      </c>
      <c r="C80" s="23" t="n">
        <v>2</v>
      </c>
      <c r="D80" s="23" t="s">
        <v>5581</v>
      </c>
      <c r="E80" s="24" t="s">
        <v>8813</v>
      </c>
      <c r="F80" s="30" t="s">
        <v>7950</v>
      </c>
      <c r="G80" s="24" t="s">
        <v>8814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8815</v>
      </c>
      <c r="N80" s="24" t="s">
        <v>8816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174</v>
      </c>
      <c r="R80" s="23" t="s">
        <v>174</v>
      </c>
      <c r="S80" s="23" t="s">
        <v>174</v>
      </c>
      <c r="T80" s="23" t="s">
        <v>174</v>
      </c>
      <c r="U80" s="24"/>
    </row>
    <row r="81" customFormat="false" ht="26.85" hidden="false" customHeight="false" outlineLevel="0" collapsed="false">
      <c r="A81" s="23" t="n">
        <v>80</v>
      </c>
      <c r="B81" s="31" t="s">
        <v>8048</v>
      </c>
      <c r="C81" s="23" t="n">
        <v>2</v>
      </c>
      <c r="D81" s="23" t="s">
        <v>5581</v>
      </c>
      <c r="E81" s="24" t="s">
        <v>8817</v>
      </c>
      <c r="F81" s="30" t="s">
        <v>8047</v>
      </c>
      <c r="G81" s="24" t="s">
        <v>8818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8819</v>
      </c>
      <c r="N81" s="24" t="s">
        <v>8820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174</v>
      </c>
      <c r="R81" s="23" t="s">
        <v>174</v>
      </c>
      <c r="S81" s="23" t="s">
        <v>174</v>
      </c>
      <c r="T81" s="23" t="s">
        <v>174</v>
      </c>
      <c r="U81" s="24"/>
    </row>
    <row r="82" customFormat="false" ht="39.55" hidden="false" customHeight="false" outlineLevel="0" collapsed="false">
      <c r="A82" s="23" t="n">
        <v>81</v>
      </c>
      <c r="B82" s="31" t="s">
        <v>8159</v>
      </c>
      <c r="C82" s="23" t="n">
        <v>2</v>
      </c>
      <c r="D82" s="23" t="s">
        <v>5581</v>
      </c>
      <c r="E82" s="24" t="s">
        <v>8821</v>
      </c>
      <c r="F82" s="30" t="s">
        <v>8822</v>
      </c>
      <c r="G82" s="24" t="s">
        <v>8823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8824</v>
      </c>
      <c r="N82" s="24" t="s">
        <v>8825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174</v>
      </c>
      <c r="R82" s="23" t="s">
        <v>174</v>
      </c>
      <c r="S82" s="23" t="s">
        <v>174</v>
      </c>
      <c r="T82" s="23" t="s">
        <v>174</v>
      </c>
      <c r="U82" s="24"/>
    </row>
    <row r="83" customFormat="false" ht="26.85" hidden="false" customHeight="false" outlineLevel="0" collapsed="false">
      <c r="A83" s="23" t="n">
        <v>82</v>
      </c>
      <c r="B83" s="31" t="s">
        <v>8239</v>
      </c>
      <c r="C83" s="23" t="n">
        <v>2</v>
      </c>
      <c r="D83" s="23" t="s">
        <v>5581</v>
      </c>
      <c r="E83" s="24" t="s">
        <v>8826</v>
      </c>
      <c r="F83" s="30" t="s">
        <v>8229</v>
      </c>
      <c r="G83" s="24" t="s">
        <v>8827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8828</v>
      </c>
      <c r="N83" s="24" t="s">
        <v>8829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174</v>
      </c>
      <c r="R83" s="23" t="s">
        <v>174</v>
      </c>
      <c r="S83" s="23" t="s">
        <v>174</v>
      </c>
      <c r="T83" s="23" t="s">
        <v>174</v>
      </c>
      <c r="U83" s="24"/>
    </row>
    <row r="84" customFormat="false" ht="26.85" hidden="false" customHeight="false" outlineLevel="0" collapsed="false">
      <c r="A84" s="23" t="n">
        <v>83</v>
      </c>
      <c r="B84" s="31" t="s">
        <v>8345</v>
      </c>
      <c r="C84" s="23" t="n">
        <v>2</v>
      </c>
      <c r="D84" s="23" t="s">
        <v>5581</v>
      </c>
      <c r="E84" s="24" t="s">
        <v>8830</v>
      </c>
      <c r="F84" s="30" t="s">
        <v>8344</v>
      </c>
      <c r="G84" s="24" t="s">
        <v>8831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8832</v>
      </c>
      <c r="N84" s="24" t="s">
        <v>8833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174</v>
      </c>
      <c r="R84" s="23" t="s">
        <v>174</v>
      </c>
      <c r="S84" s="23" t="s">
        <v>174</v>
      </c>
      <c r="T84" s="23" t="s">
        <v>174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114</v>
      </c>
      <c r="B1" s="17" t="s">
        <v>8834</v>
      </c>
      <c r="C1" s="16" t="s">
        <v>8457</v>
      </c>
      <c r="D1" s="16" t="s">
        <v>8835</v>
      </c>
      <c r="E1" s="16" t="s">
        <v>8459</v>
      </c>
      <c r="F1" s="17" t="s">
        <v>8460</v>
      </c>
      <c r="G1" s="16" t="s">
        <v>8836</v>
      </c>
      <c r="H1" s="16" t="s">
        <v>8461</v>
      </c>
      <c r="I1" s="16" t="s">
        <v>8462</v>
      </c>
      <c r="J1" s="16" t="s">
        <v>8837</v>
      </c>
      <c r="K1" s="16" t="s">
        <v>8838</v>
      </c>
      <c r="L1" s="16" t="s">
        <v>8465</v>
      </c>
      <c r="M1" s="16" t="s">
        <v>8466</v>
      </c>
      <c r="N1" s="16" t="s">
        <v>8839</v>
      </c>
      <c r="O1" s="16" t="s">
        <v>8840</v>
      </c>
      <c r="P1" s="16" t="s">
        <v>137</v>
      </c>
      <c r="Q1" s="16" t="s">
        <v>138</v>
      </c>
      <c r="R1" s="16" t="s">
        <v>139</v>
      </c>
      <c r="S1" s="16" t="s">
        <v>140</v>
      </c>
      <c r="T1" s="16" t="s">
        <v>141</v>
      </c>
    </row>
    <row r="2" customFormat="false" ht="26.85" hidden="false" customHeight="false" outlineLevel="0" collapsed="false">
      <c r="A2" s="23" t="n">
        <v>1</v>
      </c>
      <c r="B2" s="31" t="s">
        <v>161</v>
      </c>
      <c r="C2" s="24" t="s">
        <v>8468</v>
      </c>
      <c r="D2" s="24" t="s">
        <v>163</v>
      </c>
      <c r="E2" s="24" t="s">
        <v>8469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30" t="s">
        <v>8470</v>
      </c>
      <c r="M2" s="24" t="s">
        <v>8471</v>
      </c>
      <c r="N2" s="24"/>
      <c r="O2" s="26" t="n">
        <f aca="false">_xlfn.MAXIFS(A타입_제작표!$U$2:$U$799,A타입_제작표!$G$2:$G$799,B2)</f>
        <v>46400</v>
      </c>
      <c r="P2" s="23" t="s">
        <v>174</v>
      </c>
      <c r="Q2" s="23" t="s">
        <v>174</v>
      </c>
      <c r="R2" s="23" t="s">
        <v>174</v>
      </c>
      <c r="S2" s="23" t="s">
        <v>174</v>
      </c>
      <c r="T2" s="24"/>
    </row>
    <row r="3" customFormat="false" ht="26.85" hidden="false" customHeight="false" outlineLevel="0" collapsed="false">
      <c r="A3" s="23" t="n">
        <v>2</v>
      </c>
      <c r="B3" s="31" t="s">
        <v>279</v>
      </c>
      <c r="C3" s="24" t="s">
        <v>8472</v>
      </c>
      <c r="D3" s="24" t="s">
        <v>163</v>
      </c>
      <c r="E3" s="24" t="s">
        <v>8841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8474</v>
      </c>
      <c r="M3" s="24" t="s">
        <v>8475</v>
      </c>
      <c r="N3" s="24"/>
      <c r="O3" s="26" t="n">
        <f aca="false">_xlfn.MAXIFS(A타입_제작표!$U$2:$U$799,A타입_제작표!$G$2:$G$799,B3)</f>
        <v>46584</v>
      </c>
      <c r="P3" s="23" t="s">
        <v>174</v>
      </c>
      <c r="Q3" s="23" t="s">
        <v>174</v>
      </c>
      <c r="R3" s="23" t="s">
        <v>174</v>
      </c>
      <c r="S3" s="23" t="s">
        <v>174</v>
      </c>
      <c r="T3" s="24"/>
    </row>
    <row r="4" customFormat="false" ht="26.85" hidden="false" customHeight="false" outlineLevel="0" collapsed="false">
      <c r="A4" s="23" t="n">
        <v>3</v>
      </c>
      <c r="B4" s="31" t="s">
        <v>425</v>
      </c>
      <c r="C4" s="24" t="s">
        <v>8842</v>
      </c>
      <c r="D4" s="24" t="s">
        <v>163</v>
      </c>
      <c r="E4" s="24" t="s">
        <v>8843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8844</v>
      </c>
      <c r="M4" s="24" t="s">
        <v>8845</v>
      </c>
      <c r="N4" s="24"/>
      <c r="O4" s="26" t="n">
        <f aca="false">_xlfn.MAXIFS(A타입_제작표!$U$2:$U$799,A타입_제작표!$G$2:$G$799,B4)</f>
        <v>46589</v>
      </c>
      <c r="P4" s="23" t="s">
        <v>174</v>
      </c>
      <c r="Q4" s="23" t="s">
        <v>174</v>
      </c>
      <c r="R4" s="23" t="s">
        <v>174</v>
      </c>
      <c r="S4" s="23" t="s">
        <v>174</v>
      </c>
      <c r="T4" s="24"/>
    </row>
    <row r="5" customFormat="false" ht="26.85" hidden="false" customHeight="false" outlineLevel="0" collapsed="false">
      <c r="A5" s="23" t="n">
        <v>4</v>
      </c>
      <c r="B5" s="31" t="s">
        <v>504</v>
      </c>
      <c r="C5" s="24" t="s">
        <v>8846</v>
      </c>
      <c r="D5" s="24" t="s">
        <v>163</v>
      </c>
      <c r="E5" s="24" t="s">
        <v>8847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8848</v>
      </c>
      <c r="M5" s="24" t="s">
        <v>8849</v>
      </c>
      <c r="N5" s="24"/>
      <c r="O5" s="26" t="n">
        <f aca="false">_xlfn.MAXIFS(A타입_제작표!$U$2:$U$799,A타입_제작표!$G$2:$G$799,B5)</f>
        <v>46594</v>
      </c>
      <c r="P5" s="23" t="s">
        <v>174</v>
      </c>
      <c r="Q5" s="23" t="s">
        <v>174</v>
      </c>
      <c r="R5" s="23" t="s">
        <v>174</v>
      </c>
      <c r="S5" s="23" t="s">
        <v>174</v>
      </c>
      <c r="T5" s="24"/>
    </row>
    <row r="6" customFormat="false" ht="26.85" hidden="false" customHeight="false" outlineLevel="0" collapsed="false">
      <c r="A6" s="23" t="n">
        <v>5</v>
      </c>
      <c r="B6" s="31" t="s">
        <v>591</v>
      </c>
      <c r="C6" s="24" t="s">
        <v>8850</v>
      </c>
      <c r="D6" s="24" t="s">
        <v>163</v>
      </c>
      <c r="E6" s="24" t="s">
        <v>8851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8852</v>
      </c>
      <c r="M6" s="24" t="s">
        <v>8853</v>
      </c>
      <c r="N6" s="24"/>
      <c r="O6" s="26" t="n">
        <f aca="false">_xlfn.MAXIFS(A타입_제작표!$U$2:$U$799,A타입_제작표!$G$2:$G$799,B6)</f>
        <v>46598</v>
      </c>
      <c r="P6" s="23" t="s">
        <v>174</v>
      </c>
      <c r="Q6" s="23" t="s">
        <v>174</v>
      </c>
      <c r="R6" s="23" t="s">
        <v>174</v>
      </c>
      <c r="S6" s="23" t="s">
        <v>174</v>
      </c>
      <c r="T6" s="24"/>
    </row>
    <row r="7" customFormat="false" ht="15" hidden="false" customHeight="false" outlineLevel="0" collapsed="false">
      <c r="A7" s="23" t="n">
        <v>6</v>
      </c>
      <c r="B7" s="31" t="s">
        <v>667</v>
      </c>
      <c r="C7" s="24" t="s">
        <v>8854</v>
      </c>
      <c r="D7" s="24" t="s">
        <v>163</v>
      </c>
      <c r="E7" s="24" t="s">
        <v>8855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8856</v>
      </c>
      <c r="M7" s="24" t="s">
        <v>8857</v>
      </c>
      <c r="N7" s="24"/>
      <c r="O7" s="26" t="n">
        <f aca="false">_xlfn.MAXIFS(A타입_제작표!$U$2:$U$799,A타입_제작표!$G$2:$G$799,B7)</f>
        <v>46603</v>
      </c>
      <c r="P7" s="23" t="s">
        <v>174</v>
      </c>
      <c r="Q7" s="23" t="s">
        <v>174</v>
      </c>
      <c r="R7" s="23" t="s">
        <v>174</v>
      </c>
      <c r="S7" s="23" t="s">
        <v>174</v>
      </c>
      <c r="T7" s="24"/>
    </row>
    <row r="8" customFormat="false" ht="26.85" hidden="false" customHeight="false" outlineLevel="0" collapsed="false">
      <c r="A8" s="23" t="n">
        <v>7</v>
      </c>
      <c r="B8" s="31" t="s">
        <v>754</v>
      </c>
      <c r="C8" s="24" t="s">
        <v>8858</v>
      </c>
      <c r="D8" s="24" t="s">
        <v>163</v>
      </c>
      <c r="E8" s="24" t="s">
        <v>8859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8860</v>
      </c>
      <c r="M8" s="24" t="s">
        <v>8861</v>
      </c>
      <c r="N8" s="24"/>
      <c r="O8" s="26" t="n">
        <f aca="false">_xlfn.MAXIFS(A타입_제작표!$U$2:$U$799,A타입_제작표!$G$2:$G$799,B8)</f>
        <v>46608</v>
      </c>
      <c r="P8" s="23" t="s">
        <v>174</v>
      </c>
      <c r="Q8" s="23" t="s">
        <v>174</v>
      </c>
      <c r="R8" s="23" t="s">
        <v>174</v>
      </c>
      <c r="S8" s="23" t="s">
        <v>174</v>
      </c>
      <c r="T8" s="24"/>
    </row>
    <row r="9" customFormat="false" ht="26.85" hidden="false" customHeight="false" outlineLevel="0" collapsed="false">
      <c r="A9" s="23" t="n">
        <v>8</v>
      </c>
      <c r="B9" s="31" t="s">
        <v>827</v>
      </c>
      <c r="C9" s="24" t="s">
        <v>8862</v>
      </c>
      <c r="D9" s="24" t="s">
        <v>163</v>
      </c>
      <c r="E9" s="24" t="s">
        <v>8863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8864</v>
      </c>
      <c r="M9" s="24" t="s">
        <v>8865</v>
      </c>
      <c r="N9" s="24"/>
      <c r="O9" s="26" t="n">
        <f aca="false">_xlfn.MAXIFS(A타입_제작표!$U$2:$U$799,A타입_제작표!$G$2:$G$799,B9)</f>
        <v>46609</v>
      </c>
      <c r="P9" s="23" t="s">
        <v>174</v>
      </c>
      <c r="Q9" s="23" t="s">
        <v>174</v>
      </c>
      <c r="R9" s="23" t="s">
        <v>174</v>
      </c>
      <c r="S9" s="23" t="s">
        <v>174</v>
      </c>
      <c r="T9" s="24"/>
    </row>
    <row r="10" customFormat="false" ht="26.85" hidden="false" customHeight="false" outlineLevel="0" collapsed="false">
      <c r="A10" s="23" t="n">
        <v>9</v>
      </c>
      <c r="B10" s="31" t="s">
        <v>911</v>
      </c>
      <c r="C10" s="24" t="s">
        <v>8866</v>
      </c>
      <c r="D10" s="24" t="s">
        <v>163</v>
      </c>
      <c r="E10" s="24" t="s">
        <v>8867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8868</v>
      </c>
      <c r="M10" s="24" t="s">
        <v>8869</v>
      </c>
      <c r="N10" s="24"/>
      <c r="O10" s="26" t="n">
        <f aca="false">_xlfn.MAXIFS(A타입_제작표!$U$2:$U$799,A타입_제작표!$G$2:$G$799,B10)</f>
        <v>46615</v>
      </c>
      <c r="P10" s="23" t="s">
        <v>174</v>
      </c>
      <c r="Q10" s="23" t="s">
        <v>174</v>
      </c>
      <c r="R10" s="23" t="s">
        <v>174</v>
      </c>
      <c r="S10" s="23" t="s">
        <v>174</v>
      </c>
      <c r="T10" s="24"/>
    </row>
    <row r="11" customFormat="false" ht="26.85" hidden="false" customHeight="false" outlineLevel="0" collapsed="false">
      <c r="A11" s="23" t="n">
        <v>10</v>
      </c>
      <c r="B11" s="31" t="s">
        <v>1030</v>
      </c>
      <c r="C11" s="24" t="s">
        <v>8870</v>
      </c>
      <c r="D11" s="24" t="s">
        <v>1031</v>
      </c>
      <c r="E11" s="24" t="s">
        <v>8871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8872</v>
      </c>
      <c r="M11" s="24" t="s">
        <v>8873</v>
      </c>
      <c r="N11" s="24"/>
      <c r="O11" s="26" t="n">
        <f aca="false">_xlfn.MAXIFS(A타입_제작표!$U$2:$U$799,A타입_제작표!$G$2:$G$799,B11)</f>
        <v>46617</v>
      </c>
      <c r="P11" s="23" t="s">
        <v>174</v>
      </c>
      <c r="Q11" s="23" t="s">
        <v>174</v>
      </c>
      <c r="R11" s="23" t="s">
        <v>174</v>
      </c>
      <c r="S11" s="23" t="s">
        <v>174</v>
      </c>
      <c r="T11" s="24"/>
    </row>
    <row r="12" customFormat="false" ht="26.85" hidden="false" customHeight="false" outlineLevel="0" collapsed="false">
      <c r="A12" s="23" t="n">
        <v>11</v>
      </c>
      <c r="B12" s="31" t="s">
        <v>1121</v>
      </c>
      <c r="C12" s="24" t="s">
        <v>8874</v>
      </c>
      <c r="D12" s="24" t="s">
        <v>1031</v>
      </c>
      <c r="E12" s="24" t="s">
        <v>8875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8876</v>
      </c>
      <c r="M12" s="24" t="s">
        <v>8877</v>
      </c>
      <c r="N12" s="24"/>
      <c r="O12" s="26" t="n">
        <f aca="false">_xlfn.MAXIFS(A타입_제작표!$U$2:$U$799,A타입_제작표!$G$2:$G$799,B12)</f>
        <v>46623</v>
      </c>
      <c r="P12" s="23" t="s">
        <v>174</v>
      </c>
      <c r="Q12" s="23" t="s">
        <v>174</v>
      </c>
      <c r="R12" s="23" t="s">
        <v>174</v>
      </c>
      <c r="S12" s="23" t="s">
        <v>174</v>
      </c>
      <c r="T12" s="24"/>
    </row>
    <row r="13" customFormat="false" ht="26.85" hidden="false" customHeight="false" outlineLevel="0" collapsed="false">
      <c r="A13" s="23" t="n">
        <v>12</v>
      </c>
      <c r="B13" s="31" t="s">
        <v>1241</v>
      </c>
      <c r="C13" s="24" t="s">
        <v>8878</v>
      </c>
      <c r="D13" s="24" t="s">
        <v>1031</v>
      </c>
      <c r="E13" s="24" t="s">
        <v>8879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8880</v>
      </c>
      <c r="M13" s="24" t="s">
        <v>8881</v>
      </c>
      <c r="N13" s="24"/>
      <c r="O13" s="26" t="n">
        <f aca="false">_xlfn.MAXIFS(A타입_제작표!$U$2:$U$799,A타입_제작표!$G$2:$G$799,B13)</f>
        <v>46625</v>
      </c>
      <c r="P13" s="23" t="s">
        <v>174</v>
      </c>
      <c r="Q13" s="23" t="s">
        <v>174</v>
      </c>
      <c r="R13" s="23" t="s">
        <v>174</v>
      </c>
      <c r="S13" s="23" t="s">
        <v>174</v>
      </c>
      <c r="T13" s="24"/>
    </row>
    <row r="14" customFormat="false" ht="26.85" hidden="false" customHeight="false" outlineLevel="0" collapsed="false">
      <c r="A14" s="23" t="n">
        <v>13</v>
      </c>
      <c r="B14" s="31" t="s">
        <v>1334</v>
      </c>
      <c r="C14" s="24" t="s">
        <v>8882</v>
      </c>
      <c r="D14" s="24" t="s">
        <v>1031</v>
      </c>
      <c r="E14" s="24" t="s">
        <v>8883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8884</v>
      </c>
      <c r="M14" s="24" t="s">
        <v>8885</v>
      </c>
      <c r="N14" s="24"/>
      <c r="O14" s="26" t="n">
        <f aca="false">_xlfn.MAXIFS(A타입_제작표!$U$2:$U$799,A타입_제작표!$G$2:$G$799,B14)</f>
        <v>46629</v>
      </c>
      <c r="P14" s="23" t="s">
        <v>174</v>
      </c>
      <c r="Q14" s="23" t="s">
        <v>174</v>
      </c>
      <c r="R14" s="23" t="s">
        <v>174</v>
      </c>
      <c r="S14" s="23" t="s">
        <v>174</v>
      </c>
      <c r="T14" s="24"/>
    </row>
    <row r="15" customFormat="false" ht="26.85" hidden="false" customHeight="false" outlineLevel="0" collapsed="false">
      <c r="A15" s="23" t="n">
        <v>14</v>
      </c>
      <c r="B15" s="31" t="s">
        <v>1421</v>
      </c>
      <c r="C15" s="24" t="s">
        <v>8886</v>
      </c>
      <c r="D15" s="24" t="s">
        <v>1031</v>
      </c>
      <c r="E15" s="24" t="s">
        <v>8887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8888</v>
      </c>
      <c r="M15" s="24" t="s">
        <v>8889</v>
      </c>
      <c r="N15" s="24"/>
      <c r="O15" s="26" t="n">
        <f aca="false">_xlfn.MAXIFS(A타입_제작표!$U$2:$U$799,A타입_제작표!$G$2:$G$799,B15)</f>
        <v>46634</v>
      </c>
      <c r="P15" s="23" t="s">
        <v>174</v>
      </c>
      <c r="Q15" s="23" t="s">
        <v>174</v>
      </c>
      <c r="R15" s="23" t="s">
        <v>174</v>
      </c>
      <c r="S15" s="23" t="s">
        <v>174</v>
      </c>
      <c r="T15" s="24"/>
    </row>
    <row r="16" customFormat="false" ht="26.85" hidden="false" customHeight="false" outlineLevel="0" collapsed="false">
      <c r="A16" s="23" t="n">
        <v>15</v>
      </c>
      <c r="B16" s="31" t="s">
        <v>1494</v>
      </c>
      <c r="C16" s="24" t="s">
        <v>8640</v>
      </c>
      <c r="D16" s="24" t="s">
        <v>1496</v>
      </c>
      <c r="E16" s="24" t="s">
        <v>8641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8642</v>
      </c>
      <c r="M16" s="24" t="s">
        <v>8643</v>
      </c>
      <c r="N16" s="24"/>
      <c r="O16" s="26" t="n">
        <f aca="false">_xlfn.MAXIFS(A타입_제작표!$U$2:$U$799,A타입_제작표!$G$2:$G$799,B16)</f>
        <v>46645</v>
      </c>
      <c r="P16" s="23" t="s">
        <v>174</v>
      </c>
      <c r="Q16" s="23" t="s">
        <v>174</v>
      </c>
      <c r="R16" s="23" t="s">
        <v>174</v>
      </c>
      <c r="S16" s="23" t="s">
        <v>174</v>
      </c>
      <c r="T16" s="24"/>
    </row>
    <row r="17" customFormat="false" ht="26.85" hidden="false" customHeight="false" outlineLevel="0" collapsed="false">
      <c r="A17" s="23" t="n">
        <v>16</v>
      </c>
      <c r="B17" s="31" t="s">
        <v>1608</v>
      </c>
      <c r="C17" s="24" t="s">
        <v>8890</v>
      </c>
      <c r="D17" s="24" t="s">
        <v>1610</v>
      </c>
      <c r="E17" s="24" t="s">
        <v>8891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8892</v>
      </c>
      <c r="M17" s="24" t="s">
        <v>8893</v>
      </c>
      <c r="N17" s="24"/>
      <c r="O17" s="26" t="n">
        <f aca="false">_xlfn.MAXIFS(A타입_제작표!$U$2:$U$799,A타입_제작표!$G$2:$G$799,B17)</f>
        <v>46651</v>
      </c>
      <c r="P17" s="23" t="s">
        <v>174</v>
      </c>
      <c r="Q17" s="23" t="s">
        <v>174</v>
      </c>
      <c r="R17" s="23" t="s">
        <v>174</v>
      </c>
      <c r="S17" s="23" t="s">
        <v>174</v>
      </c>
      <c r="T17" s="24"/>
    </row>
    <row r="18" customFormat="false" ht="26.85" hidden="false" customHeight="false" outlineLevel="0" collapsed="false">
      <c r="A18" s="23" t="n">
        <v>17</v>
      </c>
      <c r="B18" s="31" t="s">
        <v>1691</v>
      </c>
      <c r="C18" s="24" t="s">
        <v>8649</v>
      </c>
      <c r="D18" s="24" t="s">
        <v>1610</v>
      </c>
      <c r="E18" s="24" t="s">
        <v>8894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8651</v>
      </c>
      <c r="M18" s="24" t="s">
        <v>8652</v>
      </c>
      <c r="N18" s="24"/>
      <c r="O18" s="26" t="n">
        <f aca="false">_xlfn.MAXIFS(A타입_제작표!$U$2:$U$799,A타입_제작표!$G$2:$G$799,B18)</f>
        <v>46663</v>
      </c>
      <c r="P18" s="23" t="s">
        <v>174</v>
      </c>
      <c r="Q18" s="23" t="s">
        <v>174</v>
      </c>
      <c r="R18" s="23" t="s">
        <v>174</v>
      </c>
      <c r="S18" s="23" t="s">
        <v>174</v>
      </c>
      <c r="T18" s="24"/>
    </row>
    <row r="19" customFormat="false" ht="26.85" hidden="false" customHeight="false" outlineLevel="0" collapsed="false">
      <c r="A19" s="23" t="n">
        <v>18</v>
      </c>
      <c r="B19" s="31" t="s">
        <v>1830</v>
      </c>
      <c r="C19" s="24" t="s">
        <v>8653</v>
      </c>
      <c r="D19" s="24" t="s">
        <v>1832</v>
      </c>
      <c r="E19" s="24" t="s">
        <v>8895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8655</v>
      </c>
      <c r="M19" s="24" t="s">
        <v>8656</v>
      </c>
      <c r="N19" s="24"/>
      <c r="O19" s="26" t="n">
        <f aca="false">_xlfn.MAXIFS(A타입_제작표!$U$2:$U$799,A타입_제작표!$G$2:$G$799,B19)</f>
        <v>46675</v>
      </c>
      <c r="P19" s="23" t="s">
        <v>174</v>
      </c>
      <c r="Q19" s="23" t="s">
        <v>174</v>
      </c>
      <c r="R19" s="23" t="s">
        <v>174</v>
      </c>
      <c r="S19" s="23" t="s">
        <v>174</v>
      </c>
      <c r="T19" s="24"/>
    </row>
    <row r="20" customFormat="false" ht="39.55" hidden="false" customHeight="false" outlineLevel="0" collapsed="false">
      <c r="A20" s="23" t="n">
        <v>19</v>
      </c>
      <c r="B20" s="31" t="s">
        <v>1954</v>
      </c>
      <c r="C20" s="24" t="s">
        <v>8896</v>
      </c>
      <c r="D20" s="24" t="s">
        <v>1678</v>
      </c>
      <c r="E20" s="24" t="s">
        <v>8897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8898</v>
      </c>
      <c r="M20" s="24" t="s">
        <v>8899</v>
      </c>
      <c r="N20" s="24"/>
      <c r="O20" s="26" t="n">
        <f aca="false">_xlfn.MAXIFS(A타입_제작표!$U$2:$U$799,A타입_제작표!$G$2:$G$799,B20)</f>
        <v>46677</v>
      </c>
      <c r="P20" s="23" t="s">
        <v>174</v>
      </c>
      <c r="Q20" s="23" t="s">
        <v>174</v>
      </c>
      <c r="R20" s="23" t="s">
        <v>174</v>
      </c>
      <c r="S20" s="23" t="s">
        <v>174</v>
      </c>
      <c r="T20" s="24"/>
    </row>
    <row r="21" customFormat="false" ht="26.85" hidden="false" customHeight="false" outlineLevel="0" collapsed="false">
      <c r="A21" s="23" t="n">
        <v>20</v>
      </c>
      <c r="B21" s="31" t="s">
        <v>2032</v>
      </c>
      <c r="C21" s="24" t="s">
        <v>8900</v>
      </c>
      <c r="D21" s="24" t="s">
        <v>1678</v>
      </c>
      <c r="E21" s="24" t="s">
        <v>8901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8902</v>
      </c>
      <c r="M21" s="24" t="s">
        <v>8903</v>
      </c>
      <c r="N21" s="24"/>
      <c r="O21" s="26" t="n">
        <f aca="false">_xlfn.MAXIFS(A타입_제작표!$U$2:$U$799,A타입_제작표!$G$2:$G$799,B21)</f>
        <v>46684</v>
      </c>
      <c r="P21" s="23" t="s">
        <v>174</v>
      </c>
      <c r="Q21" s="23" t="s">
        <v>174</v>
      </c>
      <c r="R21" s="23" t="s">
        <v>174</v>
      </c>
      <c r="S21" s="23" t="s">
        <v>174</v>
      </c>
      <c r="T21" s="24"/>
    </row>
    <row r="22" customFormat="false" ht="26.85" hidden="false" customHeight="false" outlineLevel="0" collapsed="false">
      <c r="A22" s="23" t="n">
        <v>21</v>
      </c>
      <c r="B22" s="31" t="s">
        <v>2120</v>
      </c>
      <c r="C22" s="24" t="s">
        <v>8904</v>
      </c>
      <c r="D22" s="24" t="s">
        <v>2122</v>
      </c>
      <c r="E22" s="24" t="s">
        <v>8905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8906</v>
      </c>
      <c r="M22" s="24" t="s">
        <v>8907</v>
      </c>
      <c r="N22" s="24"/>
      <c r="O22" s="26" t="n">
        <f aca="false">_xlfn.MAXIFS(A타입_제작표!$U$2:$U$799,A타입_제작표!$G$2:$G$799,B22)</f>
        <v>46690</v>
      </c>
      <c r="P22" s="23" t="s">
        <v>174</v>
      </c>
      <c r="Q22" s="23" t="s">
        <v>174</v>
      </c>
      <c r="R22" s="23" t="s">
        <v>174</v>
      </c>
      <c r="S22" s="23" t="s">
        <v>174</v>
      </c>
      <c r="T22" s="24"/>
    </row>
    <row r="23" customFormat="false" ht="26.85" hidden="false" customHeight="false" outlineLevel="0" collapsed="false">
      <c r="A23" s="23" t="n">
        <v>22</v>
      </c>
      <c r="B23" s="31" t="s">
        <v>2218</v>
      </c>
      <c r="C23" s="24" t="s">
        <v>8908</v>
      </c>
      <c r="D23" s="24" t="s">
        <v>2122</v>
      </c>
      <c r="E23" s="24" t="s">
        <v>8909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8910</v>
      </c>
      <c r="M23" s="24" t="s">
        <v>8911</v>
      </c>
      <c r="N23" s="24"/>
      <c r="O23" s="26" t="n">
        <f aca="false">_xlfn.MAXIFS(A타입_제작표!$U$2:$U$799,A타입_제작표!$G$2:$G$799,B23)</f>
        <v>46698</v>
      </c>
      <c r="P23" s="23" t="s">
        <v>174</v>
      </c>
      <c r="Q23" s="23" t="s">
        <v>174</v>
      </c>
      <c r="R23" s="23" t="s">
        <v>174</v>
      </c>
      <c r="S23" s="23" t="s">
        <v>174</v>
      </c>
      <c r="T23" s="24"/>
    </row>
    <row r="24" customFormat="false" ht="26.85" hidden="false" customHeight="false" outlineLevel="0" collapsed="false">
      <c r="A24" s="23" t="n">
        <v>23</v>
      </c>
      <c r="B24" s="31" t="s">
        <v>2337</v>
      </c>
      <c r="C24" s="24" t="s">
        <v>8912</v>
      </c>
      <c r="D24" s="24" t="s">
        <v>8913</v>
      </c>
      <c r="E24" s="24" t="s">
        <v>8914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8915</v>
      </c>
      <c r="M24" s="24" t="s">
        <v>8916</v>
      </c>
      <c r="N24" s="24"/>
      <c r="O24" s="26" t="n">
        <f aca="false">_xlfn.MAXIFS(A타입_제작표!$U$2:$U$799,A타입_제작표!$G$2:$G$799,B24)</f>
        <v>46700</v>
      </c>
      <c r="P24" s="23" t="s">
        <v>174</v>
      </c>
      <c r="Q24" s="23" t="s">
        <v>174</v>
      </c>
      <c r="R24" s="23" t="s">
        <v>174</v>
      </c>
      <c r="S24" s="23" t="s">
        <v>174</v>
      </c>
      <c r="T24" s="24"/>
    </row>
    <row r="25" customFormat="false" ht="26.85" hidden="false" customHeight="false" outlineLevel="0" collapsed="false">
      <c r="A25" s="23" t="n">
        <v>24</v>
      </c>
      <c r="B25" s="31" t="s">
        <v>2432</v>
      </c>
      <c r="C25" s="24" t="s">
        <v>8917</v>
      </c>
      <c r="D25" s="24" t="s">
        <v>2399</v>
      </c>
      <c r="E25" s="24" t="s">
        <v>8918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8919</v>
      </c>
      <c r="M25" s="24" t="s">
        <v>8920</v>
      </c>
      <c r="N25" s="24"/>
      <c r="O25" s="26" t="n">
        <f aca="false">_xlfn.MAXIFS(A타입_제작표!$U$2:$U$799,A타입_제작표!$G$2:$G$799,B25)</f>
        <v>46705</v>
      </c>
      <c r="P25" s="23" t="s">
        <v>174</v>
      </c>
      <c r="Q25" s="23" t="s">
        <v>174</v>
      </c>
      <c r="R25" s="23" t="s">
        <v>174</v>
      </c>
      <c r="S25" s="23" t="s">
        <v>174</v>
      </c>
      <c r="T25" s="24"/>
    </row>
    <row r="26" customFormat="false" ht="26.85" hidden="false" customHeight="false" outlineLevel="0" collapsed="false">
      <c r="A26" s="23" t="n">
        <v>25</v>
      </c>
      <c r="B26" s="31" t="s">
        <v>2528</v>
      </c>
      <c r="C26" s="24" t="s">
        <v>8921</v>
      </c>
      <c r="D26" s="24" t="s">
        <v>2399</v>
      </c>
      <c r="E26" s="24" t="s">
        <v>8922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8923</v>
      </c>
      <c r="M26" s="24" t="s">
        <v>8924</v>
      </c>
      <c r="N26" s="24"/>
      <c r="O26" s="26" t="n">
        <f aca="false">_xlfn.MAXIFS(A타입_제작표!$U$2:$U$799,A타입_제작표!$G$2:$G$799,B26)</f>
        <v>46709</v>
      </c>
      <c r="P26" s="23" t="s">
        <v>174</v>
      </c>
      <c r="Q26" s="23" t="s">
        <v>174</v>
      </c>
      <c r="R26" s="23" t="s">
        <v>174</v>
      </c>
      <c r="S26" s="23" t="s">
        <v>174</v>
      </c>
      <c r="T26" s="24"/>
    </row>
    <row r="27" customFormat="false" ht="26.85" hidden="false" customHeight="false" outlineLevel="0" collapsed="false">
      <c r="A27" s="23" t="n">
        <v>26</v>
      </c>
      <c r="B27" s="31" t="s">
        <v>2643</v>
      </c>
      <c r="C27" s="24" t="s">
        <v>8671</v>
      </c>
      <c r="D27" s="24" t="s">
        <v>8925</v>
      </c>
      <c r="E27" s="24" t="s">
        <v>8672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8673</v>
      </c>
      <c r="M27" s="24" t="s">
        <v>8674</v>
      </c>
      <c r="N27" s="24"/>
      <c r="O27" s="26" t="n">
        <f aca="false">_xlfn.MAXIFS(A타입_제작표!$U$2:$U$799,A타입_제작표!$G$2:$G$799,B27)</f>
        <v>46717</v>
      </c>
      <c r="P27" s="23" t="s">
        <v>174</v>
      </c>
      <c r="Q27" s="23" t="s">
        <v>174</v>
      </c>
      <c r="R27" s="23" t="s">
        <v>174</v>
      </c>
      <c r="S27" s="23" t="s">
        <v>174</v>
      </c>
      <c r="T27" s="24"/>
    </row>
    <row r="28" customFormat="false" ht="26.85" hidden="false" customHeight="false" outlineLevel="0" collapsed="false">
      <c r="A28" s="23" t="n">
        <v>27</v>
      </c>
      <c r="B28" s="31" t="s">
        <v>2724</v>
      </c>
      <c r="C28" s="24" t="s">
        <v>8926</v>
      </c>
      <c r="D28" s="24" t="s">
        <v>2704</v>
      </c>
      <c r="E28" s="24" t="s">
        <v>8927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8928</v>
      </c>
      <c r="M28" s="24" t="s">
        <v>8929</v>
      </c>
      <c r="N28" s="24"/>
      <c r="O28" s="26" t="n">
        <f aca="false">_xlfn.MAXIFS(A타입_제작표!$U$2:$U$799,A타입_제작표!$G$2:$G$799,B28)</f>
        <v>46722</v>
      </c>
      <c r="P28" s="23" t="s">
        <v>174</v>
      </c>
      <c r="Q28" s="23" t="s">
        <v>174</v>
      </c>
      <c r="R28" s="23" t="s">
        <v>174</v>
      </c>
      <c r="S28" s="23" t="s">
        <v>174</v>
      </c>
      <c r="T28" s="24"/>
    </row>
    <row r="29" customFormat="false" ht="26.85" hidden="false" customHeight="false" outlineLevel="0" collapsed="false">
      <c r="A29" s="23" t="n">
        <v>28</v>
      </c>
      <c r="B29" s="31" t="s">
        <v>2813</v>
      </c>
      <c r="C29" s="24" t="s">
        <v>8930</v>
      </c>
      <c r="D29" s="24" t="s">
        <v>2704</v>
      </c>
      <c r="E29" s="24" t="s">
        <v>8931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8932</v>
      </c>
      <c r="M29" s="24" t="s">
        <v>8933</v>
      </c>
      <c r="N29" s="24"/>
      <c r="O29" s="26" t="n">
        <f aca="false">_xlfn.MAXIFS(A타입_제작표!$U$2:$U$799,A타입_제작표!$G$2:$G$799,B29)</f>
        <v>46729</v>
      </c>
      <c r="P29" s="23" t="s">
        <v>174</v>
      </c>
      <c r="Q29" s="23" t="s">
        <v>174</v>
      </c>
      <c r="R29" s="23" t="s">
        <v>174</v>
      </c>
      <c r="S29" s="23" t="s">
        <v>174</v>
      </c>
      <c r="T29" s="24"/>
    </row>
    <row r="30" customFormat="false" ht="26.85" hidden="false" customHeight="false" outlineLevel="0" collapsed="false">
      <c r="A30" s="23" t="n">
        <v>29</v>
      </c>
      <c r="B30" s="31" t="s">
        <v>2934</v>
      </c>
      <c r="C30" s="24" t="s">
        <v>8934</v>
      </c>
      <c r="D30" s="24" t="s">
        <v>2936</v>
      </c>
      <c r="E30" s="24" t="s">
        <v>8935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8936</v>
      </c>
      <c r="M30" s="24" t="s">
        <v>8937</v>
      </c>
      <c r="N30" s="24"/>
      <c r="O30" s="26" t="n">
        <f aca="false">_xlfn.MAXIFS(A타입_제작표!$U$2:$U$799,A타입_제작표!$G$2:$G$799,B30)</f>
        <v>46734</v>
      </c>
      <c r="P30" s="23" t="s">
        <v>174</v>
      </c>
      <c r="Q30" s="23" t="s">
        <v>174</v>
      </c>
      <c r="R30" s="23" t="s">
        <v>174</v>
      </c>
      <c r="S30" s="23" t="s">
        <v>174</v>
      </c>
      <c r="T30" s="24"/>
    </row>
    <row r="31" customFormat="false" ht="26.85" hidden="false" customHeight="false" outlineLevel="0" collapsed="false">
      <c r="A31" s="23" t="n">
        <v>30</v>
      </c>
      <c r="B31" s="31" t="s">
        <v>3043</v>
      </c>
      <c r="C31" s="24" t="s">
        <v>8938</v>
      </c>
      <c r="D31" s="24" t="s">
        <v>2936</v>
      </c>
      <c r="E31" s="24" t="s">
        <v>8939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8940</v>
      </c>
      <c r="M31" s="24" t="s">
        <v>8941</v>
      </c>
      <c r="N31" s="24"/>
      <c r="O31" s="26" t="n">
        <f aca="false">_xlfn.MAXIFS(A타입_제작표!$U$2:$U$799,A타입_제작표!$G$2:$G$799,B31)</f>
        <v>46737</v>
      </c>
      <c r="P31" s="23" t="s">
        <v>174</v>
      </c>
      <c r="Q31" s="23" t="s">
        <v>174</v>
      </c>
      <c r="R31" s="23" t="s">
        <v>174</v>
      </c>
      <c r="S31" s="23" t="s">
        <v>174</v>
      </c>
      <c r="T31" s="24"/>
    </row>
    <row r="32" customFormat="false" ht="26.85" hidden="false" customHeight="false" outlineLevel="0" collapsed="false">
      <c r="A32" s="23" t="n">
        <v>31</v>
      </c>
      <c r="B32" s="31" t="s">
        <v>3128</v>
      </c>
      <c r="C32" s="24" t="s">
        <v>8942</v>
      </c>
      <c r="D32" s="24" t="s">
        <v>8943</v>
      </c>
      <c r="E32" s="24" t="s">
        <v>8944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8945</v>
      </c>
      <c r="M32" s="24" t="s">
        <v>8946</v>
      </c>
      <c r="N32" s="24"/>
      <c r="O32" s="26" t="n">
        <f aca="false">_xlfn.MAXIFS(A타입_제작표!$U$2:$U$799,A타입_제작표!$G$2:$G$799,B32)</f>
        <v>46742</v>
      </c>
      <c r="P32" s="23" t="s">
        <v>174</v>
      </c>
      <c r="Q32" s="23" t="s">
        <v>174</v>
      </c>
      <c r="R32" s="23" t="s">
        <v>174</v>
      </c>
      <c r="S32" s="23" t="s">
        <v>174</v>
      </c>
      <c r="T32" s="24"/>
    </row>
    <row r="33" customFormat="false" ht="26.85" hidden="false" customHeight="false" outlineLevel="0" collapsed="false">
      <c r="A33" s="23" t="n">
        <v>32</v>
      </c>
      <c r="B33" s="31" t="s">
        <v>3220</v>
      </c>
      <c r="C33" s="24" t="s">
        <v>8947</v>
      </c>
      <c r="D33" s="24" t="s">
        <v>3185</v>
      </c>
      <c r="E33" s="24" t="s">
        <v>8948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8949</v>
      </c>
      <c r="M33" s="24" t="s">
        <v>8950</v>
      </c>
      <c r="N33" s="24"/>
      <c r="O33" s="26" t="n">
        <f aca="false">_xlfn.MAXIFS(A타입_제작표!$U$2:$U$799,A타입_제작표!$G$2:$G$799,B33)</f>
        <v>46748</v>
      </c>
      <c r="P33" s="23" t="s">
        <v>174</v>
      </c>
      <c r="Q33" s="23" t="s">
        <v>174</v>
      </c>
      <c r="R33" s="23" t="s">
        <v>174</v>
      </c>
      <c r="S33" s="23" t="s">
        <v>174</v>
      </c>
      <c r="T33" s="24"/>
    </row>
    <row r="34" customFormat="false" ht="26.85" hidden="false" customHeight="false" outlineLevel="0" collapsed="false">
      <c r="A34" s="23" t="n">
        <v>33</v>
      </c>
      <c r="B34" s="31" t="s">
        <v>3331</v>
      </c>
      <c r="C34" s="24" t="s">
        <v>3393</v>
      </c>
      <c r="D34" s="24" t="s">
        <v>3185</v>
      </c>
      <c r="E34" s="24" t="s">
        <v>8951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8952</v>
      </c>
      <c r="M34" s="24" t="s">
        <v>8953</v>
      </c>
      <c r="N34" s="24"/>
      <c r="O34" s="26" t="n">
        <f aca="false">_xlfn.MAXIFS(A타입_제작표!$U$2:$U$799,A타입_제작표!$G$2:$G$799,B34)</f>
        <v>46753</v>
      </c>
      <c r="P34" s="23" t="s">
        <v>174</v>
      </c>
      <c r="Q34" s="23" t="s">
        <v>174</v>
      </c>
      <c r="R34" s="23" t="s">
        <v>174</v>
      </c>
      <c r="S34" s="23" t="s">
        <v>174</v>
      </c>
      <c r="T34" s="24"/>
    </row>
    <row r="35" customFormat="false" ht="26.85" hidden="false" customHeight="false" outlineLevel="0" collapsed="false">
      <c r="A35" s="23" t="n">
        <v>34</v>
      </c>
      <c r="B35" s="31" t="s">
        <v>3403</v>
      </c>
      <c r="C35" s="24" t="s">
        <v>8954</v>
      </c>
      <c r="D35" s="24" t="s">
        <v>3185</v>
      </c>
      <c r="E35" s="24" t="s">
        <v>8955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8956</v>
      </c>
      <c r="M35" s="24" t="s">
        <v>8957</v>
      </c>
      <c r="N35" s="24"/>
      <c r="O35" s="26" t="n">
        <f aca="false">_xlfn.MAXIFS(A타입_제작표!$U$2:$U$799,A타입_제작표!$G$2:$G$799,B35)</f>
        <v>46758</v>
      </c>
      <c r="P35" s="23" t="s">
        <v>174</v>
      </c>
      <c r="Q35" s="23" t="s">
        <v>174</v>
      </c>
      <c r="R35" s="23" t="s">
        <v>174</v>
      </c>
      <c r="S35" s="23" t="s">
        <v>174</v>
      </c>
      <c r="T35" s="24"/>
    </row>
    <row r="36" customFormat="false" ht="26.85" hidden="false" customHeight="false" outlineLevel="0" collapsed="false">
      <c r="A36" s="23" t="n">
        <v>35</v>
      </c>
      <c r="B36" s="31" t="s">
        <v>3487</v>
      </c>
      <c r="C36" s="24" t="s">
        <v>8958</v>
      </c>
      <c r="D36" s="24" t="s">
        <v>3489</v>
      </c>
      <c r="E36" s="24" t="s">
        <v>8959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8960</v>
      </c>
      <c r="M36" s="24" t="s">
        <v>8961</v>
      </c>
      <c r="N36" s="24"/>
      <c r="O36" s="26" t="n">
        <f aca="false">_xlfn.MAXIFS(A타입_제작표!$U$2:$U$799,A타입_제작표!$G$2:$G$799,B36)</f>
        <v>46765</v>
      </c>
      <c r="P36" s="23" t="s">
        <v>174</v>
      </c>
      <c r="Q36" s="23" t="s">
        <v>174</v>
      </c>
      <c r="R36" s="23" t="s">
        <v>174</v>
      </c>
      <c r="S36" s="23" t="s">
        <v>174</v>
      </c>
      <c r="T36" s="24"/>
    </row>
    <row r="37" customFormat="false" ht="26.85" hidden="false" customHeight="false" outlineLevel="0" collapsed="false">
      <c r="A37" s="23" t="n">
        <v>36</v>
      </c>
      <c r="B37" s="31" t="s">
        <v>3553</v>
      </c>
      <c r="C37" s="24" t="s">
        <v>8962</v>
      </c>
      <c r="D37" s="24" t="s">
        <v>3554</v>
      </c>
      <c r="E37" s="24" t="s">
        <v>8963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8964</v>
      </c>
      <c r="M37" s="24" t="s">
        <v>8965</v>
      </c>
      <c r="N37" s="24"/>
      <c r="O37" s="26" t="n">
        <f aca="false">_xlfn.MAXIFS(A타입_제작표!$U$2:$U$799,A타입_제작표!$G$2:$G$799,B37)</f>
        <v>46771</v>
      </c>
      <c r="P37" s="23" t="s">
        <v>174</v>
      </c>
      <c r="Q37" s="23" t="s">
        <v>174</v>
      </c>
      <c r="R37" s="23" t="s">
        <v>174</v>
      </c>
      <c r="S37" s="23" t="s">
        <v>174</v>
      </c>
      <c r="T37" s="24"/>
    </row>
    <row r="38" customFormat="false" ht="26.85" hidden="false" customHeight="false" outlineLevel="0" collapsed="false">
      <c r="A38" s="23" t="n">
        <v>37</v>
      </c>
      <c r="B38" s="31" t="s">
        <v>3631</v>
      </c>
      <c r="C38" s="24" t="s">
        <v>8966</v>
      </c>
      <c r="D38" s="24" t="s">
        <v>3632</v>
      </c>
      <c r="E38" s="24" t="s">
        <v>8967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8968</v>
      </c>
      <c r="M38" s="24" t="s">
        <v>8969</v>
      </c>
      <c r="N38" s="24"/>
      <c r="O38" s="26" t="n">
        <f aca="false">_xlfn.MAXIFS(A타입_제작표!$U$2:$U$799,A타입_제작표!$G$2:$G$799,B38)</f>
        <v>46777</v>
      </c>
      <c r="P38" s="23" t="s">
        <v>174</v>
      </c>
      <c r="Q38" s="23" t="s">
        <v>174</v>
      </c>
      <c r="R38" s="23" t="s">
        <v>174</v>
      </c>
      <c r="S38" s="23" t="s">
        <v>174</v>
      </c>
      <c r="T38" s="24"/>
    </row>
    <row r="39" customFormat="false" ht="26.85" hidden="false" customHeight="false" outlineLevel="0" collapsed="false">
      <c r="A39" s="23" t="n">
        <v>38</v>
      </c>
      <c r="B39" s="31" t="s">
        <v>3714</v>
      </c>
      <c r="C39" s="24" t="s">
        <v>8970</v>
      </c>
      <c r="D39" s="24" t="s">
        <v>3715</v>
      </c>
      <c r="E39" s="24" t="s">
        <v>8971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8972</v>
      </c>
      <c r="M39" s="24" t="s">
        <v>8973</v>
      </c>
      <c r="N39" s="24"/>
      <c r="O39" s="26" t="n">
        <f aca="false">_xlfn.MAXIFS(A타입_제작표!$U$2:$U$799,A타입_제작표!$G$2:$G$799,B39)</f>
        <v>46782</v>
      </c>
      <c r="P39" s="23" t="s">
        <v>174</v>
      </c>
      <c r="Q39" s="23" t="s">
        <v>174</v>
      </c>
      <c r="R39" s="23" t="s">
        <v>174</v>
      </c>
      <c r="S39" s="23" t="s">
        <v>174</v>
      </c>
      <c r="T39" s="24"/>
    </row>
    <row r="40" customFormat="false" ht="26.85" hidden="false" customHeight="false" outlineLevel="0" collapsed="false">
      <c r="A40" s="23" t="n">
        <v>39</v>
      </c>
      <c r="B40" s="31" t="s">
        <v>3810</v>
      </c>
      <c r="C40" s="24" t="s">
        <v>8974</v>
      </c>
      <c r="D40" s="24" t="s">
        <v>3812</v>
      </c>
      <c r="E40" s="24" t="s">
        <v>8975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8976</v>
      </c>
      <c r="M40" s="24" t="s">
        <v>8977</v>
      </c>
      <c r="N40" s="24"/>
      <c r="O40" s="26" t="n">
        <f aca="false">_xlfn.MAXIFS(A타입_제작표!$U$2:$U$799,A타입_제작표!$G$2:$G$799,B40)</f>
        <v>46787</v>
      </c>
      <c r="P40" s="23" t="s">
        <v>174</v>
      </c>
      <c r="Q40" s="23" t="s">
        <v>174</v>
      </c>
      <c r="R40" s="23" t="s">
        <v>174</v>
      </c>
      <c r="S40" s="23" t="s">
        <v>174</v>
      </c>
      <c r="T40" s="24"/>
    </row>
    <row r="41" customFormat="false" ht="26.85" hidden="false" customHeight="false" outlineLevel="0" collapsed="false">
      <c r="A41" s="23" t="n">
        <v>40</v>
      </c>
      <c r="B41" s="31" t="s">
        <v>3922</v>
      </c>
      <c r="C41" s="24" t="s">
        <v>8978</v>
      </c>
      <c r="D41" s="24" t="s">
        <v>3923</v>
      </c>
      <c r="E41" s="24" t="s">
        <v>8979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30" t="s">
        <v>8980</v>
      </c>
      <c r="M41" s="24" t="s">
        <v>8981</v>
      </c>
      <c r="N41" s="24"/>
      <c r="O41" s="26" t="n">
        <f aca="false">_xlfn.MAXIFS(A타입_제작표!$U$2:$U$799,A타입_제작표!$G$2:$G$799,B41)</f>
        <v>46793</v>
      </c>
      <c r="P41" s="23" t="s">
        <v>174</v>
      </c>
      <c r="Q41" s="23" t="s">
        <v>174</v>
      </c>
      <c r="R41" s="23" t="s">
        <v>174</v>
      </c>
      <c r="S41" s="23" t="s">
        <v>174</v>
      </c>
      <c r="T41" s="24"/>
    </row>
    <row r="42" customFormat="false" ht="26.85" hidden="false" customHeight="false" outlineLevel="0" collapsed="false">
      <c r="A42" s="23" t="n">
        <v>41</v>
      </c>
      <c r="B42" s="31" t="s">
        <v>4041</v>
      </c>
      <c r="C42" s="24" t="s">
        <v>8982</v>
      </c>
      <c r="D42" s="24" t="s">
        <v>4043</v>
      </c>
      <c r="E42" s="24" t="s">
        <v>8983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8984</v>
      </c>
      <c r="M42" s="24" t="s">
        <v>8985</v>
      </c>
      <c r="N42" s="24"/>
      <c r="O42" s="26" t="n">
        <f aca="false">_xlfn.MAXIFS(A타입_제작표!$U$2:$U$799,A타입_제작표!$G$2:$G$799,B42)</f>
        <v>46798</v>
      </c>
      <c r="P42" s="23" t="s">
        <v>174</v>
      </c>
      <c r="Q42" s="23" t="s">
        <v>174</v>
      </c>
      <c r="R42" s="23" t="s">
        <v>174</v>
      </c>
      <c r="S42" s="23" t="s">
        <v>174</v>
      </c>
      <c r="T42" s="24"/>
    </row>
    <row r="43" customFormat="false" ht="26.85" hidden="false" customHeight="false" outlineLevel="0" collapsed="false">
      <c r="A43" s="23" t="n">
        <v>42</v>
      </c>
      <c r="B43" s="31" t="s">
        <v>4123</v>
      </c>
      <c r="C43" s="24" t="s">
        <v>8986</v>
      </c>
      <c r="D43" s="24" t="s">
        <v>4043</v>
      </c>
      <c r="E43" s="24" t="s">
        <v>8987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30" t="s">
        <v>8988</v>
      </c>
      <c r="M43" s="24" t="s">
        <v>8989</v>
      </c>
      <c r="N43" s="24"/>
      <c r="O43" s="26" t="n">
        <f aca="false">_xlfn.MAXIFS(A타입_제작표!$U$2:$U$799,A타입_제작표!$G$2:$G$799,B43)</f>
        <v>46805</v>
      </c>
      <c r="P43" s="23" t="s">
        <v>174</v>
      </c>
      <c r="Q43" s="23" t="s">
        <v>174</v>
      </c>
      <c r="R43" s="23" t="s">
        <v>174</v>
      </c>
      <c r="S43" s="23" t="s">
        <v>174</v>
      </c>
      <c r="T43" s="24"/>
    </row>
    <row r="44" customFormat="false" ht="26.85" hidden="false" customHeight="false" outlineLevel="0" collapsed="false">
      <c r="A44" s="23" t="n">
        <v>43</v>
      </c>
      <c r="B44" s="31" t="s">
        <v>4194</v>
      </c>
      <c r="C44" s="24" t="s">
        <v>8990</v>
      </c>
      <c r="D44" s="24" t="s">
        <v>4043</v>
      </c>
      <c r="E44" s="24" t="s">
        <v>8991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8992</v>
      </c>
      <c r="M44" s="24" t="s">
        <v>8993</v>
      </c>
      <c r="N44" s="24"/>
      <c r="O44" s="26" t="n">
        <f aca="false">_xlfn.MAXIFS(A타입_제작표!$U$2:$U$799,A타입_제작표!$G$2:$G$799,B44)</f>
        <v>46812</v>
      </c>
      <c r="P44" s="23" t="s">
        <v>174</v>
      </c>
      <c r="Q44" s="23" t="s">
        <v>174</v>
      </c>
      <c r="R44" s="23" t="s">
        <v>174</v>
      </c>
      <c r="S44" s="23" t="s">
        <v>174</v>
      </c>
      <c r="T44" s="24"/>
    </row>
    <row r="45" customFormat="false" ht="26.85" hidden="false" customHeight="false" outlineLevel="0" collapsed="false">
      <c r="A45" s="23" t="n">
        <v>44</v>
      </c>
      <c r="B45" s="31" t="s">
        <v>4255</v>
      </c>
      <c r="C45" s="24" t="s">
        <v>8994</v>
      </c>
      <c r="D45" s="24" t="s">
        <v>4043</v>
      </c>
      <c r="E45" s="24" t="s">
        <v>8995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30" t="s">
        <v>8996</v>
      </c>
      <c r="M45" s="24" t="s">
        <v>8997</v>
      </c>
      <c r="N45" s="24"/>
      <c r="O45" s="26" t="n">
        <f aca="false">_xlfn.MAXIFS(A타입_제작표!$U$2:$U$799,A타입_제작표!$G$2:$G$799,B45)</f>
        <v>46818</v>
      </c>
      <c r="P45" s="23" t="s">
        <v>174</v>
      </c>
      <c r="Q45" s="23" t="s">
        <v>174</v>
      </c>
      <c r="R45" s="23" t="s">
        <v>174</v>
      </c>
      <c r="S45" s="23" t="s">
        <v>174</v>
      </c>
      <c r="T45" s="24"/>
    </row>
    <row r="46" customFormat="false" ht="26.85" hidden="false" customHeight="false" outlineLevel="0" collapsed="false">
      <c r="A46" s="23" t="n">
        <v>45</v>
      </c>
      <c r="B46" s="31" t="s">
        <v>4331</v>
      </c>
      <c r="C46" s="24" t="s">
        <v>8715</v>
      </c>
      <c r="D46" s="24" t="s">
        <v>4332</v>
      </c>
      <c r="E46" s="24" t="s">
        <v>8998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8717</v>
      </c>
      <c r="M46" s="24" t="s">
        <v>8718</v>
      </c>
      <c r="N46" s="24"/>
      <c r="O46" s="26" t="n">
        <f aca="false">_xlfn.MAXIFS(A타입_제작표!$U$2:$U$799,A타입_제작표!$G$2:$G$799,B46)</f>
        <v>46826</v>
      </c>
      <c r="P46" s="23" t="s">
        <v>174</v>
      </c>
      <c r="Q46" s="23" t="s">
        <v>174</v>
      </c>
      <c r="R46" s="23" t="s">
        <v>174</v>
      </c>
      <c r="S46" s="23" t="s">
        <v>174</v>
      </c>
      <c r="T46" s="24"/>
    </row>
    <row r="47" customFormat="false" ht="26.85" hidden="false" customHeight="false" outlineLevel="0" collapsed="false">
      <c r="A47" s="23" t="n">
        <v>46</v>
      </c>
      <c r="B47" s="31" t="s">
        <v>4418</v>
      </c>
      <c r="C47" s="24" t="s">
        <v>8999</v>
      </c>
      <c r="D47" s="24" t="s">
        <v>9000</v>
      </c>
      <c r="E47" s="24" t="s">
        <v>9001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9002</v>
      </c>
      <c r="M47" s="24" t="s">
        <v>9003</v>
      </c>
      <c r="N47" s="24"/>
      <c r="O47" s="26" t="n">
        <f aca="false">_xlfn.MAXIFS(A타입_제작표!$U$2:$U$799,A타입_제작표!$G$2:$G$799,B47)</f>
        <v>46833</v>
      </c>
      <c r="P47" s="23" t="s">
        <v>174</v>
      </c>
      <c r="Q47" s="23" t="s">
        <v>174</v>
      </c>
      <c r="R47" s="23" t="s">
        <v>174</v>
      </c>
      <c r="S47" s="23" t="s">
        <v>174</v>
      </c>
      <c r="T47" s="24"/>
    </row>
    <row r="48" customFormat="false" ht="26.85" hidden="false" customHeight="false" outlineLevel="0" collapsed="false">
      <c r="A48" s="23" t="n">
        <v>47</v>
      </c>
      <c r="B48" s="31" t="s">
        <v>4496</v>
      </c>
      <c r="C48" s="24" t="s">
        <v>9004</v>
      </c>
      <c r="D48" s="24" t="s">
        <v>4497</v>
      </c>
      <c r="E48" s="24" t="s">
        <v>9005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9006</v>
      </c>
      <c r="M48" s="24" t="s">
        <v>9007</v>
      </c>
      <c r="N48" s="24"/>
      <c r="O48" s="26" t="n">
        <f aca="false">_xlfn.MAXIFS(A타입_제작표!$U$2:$U$799,A타입_제작표!$G$2:$G$799,B48)</f>
        <v>46838</v>
      </c>
      <c r="P48" s="23" t="s">
        <v>174</v>
      </c>
      <c r="Q48" s="23" t="s">
        <v>174</v>
      </c>
      <c r="R48" s="23" t="s">
        <v>174</v>
      </c>
      <c r="S48" s="23" t="s">
        <v>174</v>
      </c>
      <c r="T48" s="24"/>
    </row>
    <row r="49" customFormat="false" ht="26.85" hidden="false" customHeight="false" outlineLevel="0" collapsed="false">
      <c r="A49" s="23" t="n">
        <v>48</v>
      </c>
      <c r="B49" s="31" t="s">
        <v>4578</v>
      </c>
      <c r="C49" s="24" t="s">
        <v>9008</v>
      </c>
      <c r="D49" s="24" t="s">
        <v>4497</v>
      </c>
      <c r="E49" s="24" t="s">
        <v>9009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9010</v>
      </c>
      <c r="M49" s="24" t="s">
        <v>9011</v>
      </c>
      <c r="N49" s="24"/>
      <c r="O49" s="26" t="n">
        <f aca="false">_xlfn.MAXIFS(A타입_제작표!$U$2:$U$799,A타입_제작표!$G$2:$G$799,B49)</f>
        <v>46845</v>
      </c>
      <c r="P49" s="23" t="s">
        <v>174</v>
      </c>
      <c r="Q49" s="23" t="s">
        <v>174</v>
      </c>
      <c r="R49" s="23" t="s">
        <v>174</v>
      </c>
      <c r="S49" s="23" t="s">
        <v>174</v>
      </c>
      <c r="T49" s="24"/>
    </row>
    <row r="50" customFormat="false" ht="26.85" hidden="false" customHeight="false" outlineLevel="0" collapsed="false">
      <c r="A50" s="23" t="n">
        <v>49</v>
      </c>
      <c r="B50" s="31" t="s">
        <v>4653</v>
      </c>
      <c r="C50" s="24" t="s">
        <v>8729</v>
      </c>
      <c r="D50" s="24" t="s">
        <v>4497</v>
      </c>
      <c r="E50" s="24" t="s">
        <v>9012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8731</v>
      </c>
      <c r="M50" s="24" t="s">
        <v>8732</v>
      </c>
      <c r="N50" s="24"/>
      <c r="O50" s="26" t="n">
        <f aca="false">_xlfn.MAXIFS(A타입_제작표!$U$2:$U$799,A타입_제작표!$G$2:$G$799,B50)</f>
        <v>46854</v>
      </c>
      <c r="P50" s="23" t="s">
        <v>174</v>
      </c>
      <c r="Q50" s="23" t="s">
        <v>174</v>
      </c>
      <c r="R50" s="23" t="s">
        <v>174</v>
      </c>
      <c r="S50" s="23" t="s">
        <v>174</v>
      </c>
      <c r="T50" s="24"/>
    </row>
    <row r="51" customFormat="false" ht="26.85" hidden="false" customHeight="false" outlineLevel="0" collapsed="false">
      <c r="A51" s="23" t="n">
        <v>50</v>
      </c>
      <c r="B51" s="31" t="s">
        <v>4749</v>
      </c>
      <c r="C51" s="24" t="s">
        <v>8733</v>
      </c>
      <c r="D51" s="24" t="s">
        <v>4750</v>
      </c>
      <c r="E51" s="24" t="s">
        <v>9013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8735</v>
      </c>
      <c r="M51" s="24" t="s">
        <v>8736</v>
      </c>
      <c r="N51" s="24"/>
      <c r="O51" s="26" t="n">
        <f aca="false">_xlfn.MAXIFS(A타입_제작표!$U$2:$U$799,A타입_제작표!$G$2:$G$799,B51)</f>
        <v>46862</v>
      </c>
      <c r="P51" s="23" t="s">
        <v>174</v>
      </c>
      <c r="Q51" s="23" t="s">
        <v>174</v>
      </c>
      <c r="R51" s="23" t="s">
        <v>174</v>
      </c>
      <c r="S51" s="23" t="s">
        <v>174</v>
      </c>
      <c r="T51" s="24"/>
    </row>
    <row r="52" customFormat="false" ht="26.85" hidden="false" customHeight="false" outlineLevel="0" collapsed="false">
      <c r="A52" s="23" t="n">
        <v>51</v>
      </c>
      <c r="B52" s="31" t="s">
        <v>4843</v>
      </c>
      <c r="C52" s="24" t="s">
        <v>8737</v>
      </c>
      <c r="D52" s="24" t="s">
        <v>9014</v>
      </c>
      <c r="E52" s="24" t="s">
        <v>8738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8739</v>
      </c>
      <c r="M52" s="24" t="s">
        <v>8740</v>
      </c>
      <c r="N52" s="24"/>
      <c r="O52" s="26" t="n">
        <f aca="false">_xlfn.MAXIFS(A타입_제작표!$U$2:$U$799,A타입_제작표!$G$2:$G$799,B52)</f>
        <v>46872</v>
      </c>
      <c r="P52" s="23" t="s">
        <v>174</v>
      </c>
      <c r="Q52" s="23" t="s">
        <v>174</v>
      </c>
      <c r="R52" s="23" t="s">
        <v>174</v>
      </c>
      <c r="S52" s="23" t="s">
        <v>174</v>
      </c>
      <c r="T52" s="24"/>
    </row>
    <row r="53" customFormat="false" ht="26.85" hidden="false" customHeight="false" outlineLevel="0" collapsed="false">
      <c r="A53" s="23" t="n">
        <v>52</v>
      </c>
      <c r="B53" s="31" t="s">
        <v>4971</v>
      </c>
      <c r="C53" s="24" t="s">
        <v>8741</v>
      </c>
      <c r="D53" s="24" t="s">
        <v>4973</v>
      </c>
      <c r="E53" s="24" t="s">
        <v>8742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8743</v>
      </c>
      <c r="M53" s="24" t="s">
        <v>8744</v>
      </c>
      <c r="N53" s="24"/>
      <c r="O53" s="26" t="n">
        <f aca="false">_xlfn.MAXIFS(A타입_제작표!$U$2:$U$799,A타입_제작표!$G$2:$G$799,B53)</f>
        <v>46885</v>
      </c>
      <c r="P53" s="23" t="s">
        <v>174</v>
      </c>
      <c r="Q53" s="23" t="s">
        <v>174</v>
      </c>
      <c r="R53" s="23" t="s">
        <v>174</v>
      </c>
      <c r="S53" s="23" t="s">
        <v>174</v>
      </c>
      <c r="T53" s="24"/>
    </row>
    <row r="54" customFormat="false" ht="26.85" hidden="false" customHeight="false" outlineLevel="0" collapsed="false">
      <c r="A54" s="23" t="n">
        <v>53</v>
      </c>
      <c r="B54" s="31" t="s">
        <v>5101</v>
      </c>
      <c r="C54" s="24" t="s">
        <v>9015</v>
      </c>
      <c r="D54" s="24" t="s">
        <v>5102</v>
      </c>
      <c r="E54" s="24" t="s">
        <v>9016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9017</v>
      </c>
      <c r="M54" s="24" t="s">
        <v>9018</v>
      </c>
      <c r="N54" s="24"/>
      <c r="O54" s="26" t="n">
        <f aca="false">_xlfn.MAXIFS(A타입_제작표!$U$2:$U$799,A타입_제작표!$G$2:$G$799,B54)</f>
        <v>46891</v>
      </c>
      <c r="P54" s="23" t="s">
        <v>174</v>
      </c>
      <c r="Q54" s="23" t="s">
        <v>174</v>
      </c>
      <c r="R54" s="23" t="s">
        <v>174</v>
      </c>
      <c r="S54" s="23" t="s">
        <v>174</v>
      </c>
      <c r="T54" s="24"/>
    </row>
    <row r="55" customFormat="false" ht="26.85" hidden="false" customHeight="false" outlineLevel="0" collapsed="false">
      <c r="A55" s="23" t="n">
        <v>54</v>
      </c>
      <c r="B55" s="31" t="s">
        <v>5240</v>
      </c>
      <c r="C55" s="24" t="s">
        <v>8750</v>
      </c>
      <c r="D55" s="24" t="s">
        <v>9019</v>
      </c>
      <c r="E55" s="24" t="s">
        <v>9020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8752</v>
      </c>
      <c r="M55" s="24" t="s">
        <v>8753</v>
      </c>
      <c r="N55" s="24"/>
      <c r="O55" s="26" t="n">
        <f aca="false">_xlfn.MAXIFS(A타입_제작표!$U$2:$U$799,A타입_제작표!$G$2:$G$799,B55)</f>
        <v>46902</v>
      </c>
      <c r="P55" s="23" t="s">
        <v>174</v>
      </c>
      <c r="Q55" s="23" t="s">
        <v>174</v>
      </c>
      <c r="R55" s="23" t="s">
        <v>174</v>
      </c>
      <c r="S55" s="23" t="s">
        <v>174</v>
      </c>
      <c r="T55" s="24"/>
    </row>
    <row r="56" customFormat="false" ht="26.85" hidden="false" customHeight="false" outlineLevel="0" collapsed="false">
      <c r="A56" s="23" t="n">
        <v>55</v>
      </c>
      <c r="B56" s="31" t="s">
        <v>5337</v>
      </c>
      <c r="C56" s="24" t="s">
        <v>9021</v>
      </c>
      <c r="D56" s="24" t="s">
        <v>9022</v>
      </c>
      <c r="E56" s="24" t="s">
        <v>9023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9024</v>
      </c>
      <c r="M56" s="24" t="s">
        <v>9025</v>
      </c>
      <c r="N56" s="24"/>
      <c r="O56" s="26" t="n">
        <f aca="false">_xlfn.MAXIFS(A타입_제작표!$U$2:$U$799,A타입_제작표!$G$2:$G$799,B56)</f>
        <v>46906</v>
      </c>
      <c r="P56" s="23" t="s">
        <v>174</v>
      </c>
      <c r="Q56" s="23" t="s">
        <v>174</v>
      </c>
      <c r="R56" s="23" t="s">
        <v>174</v>
      </c>
      <c r="S56" s="23" t="s">
        <v>174</v>
      </c>
      <c r="T56" s="24"/>
    </row>
    <row r="57" customFormat="false" ht="26.85" hidden="false" customHeight="false" outlineLevel="0" collapsed="false">
      <c r="A57" s="23" t="n">
        <v>56</v>
      </c>
      <c r="B57" s="31" t="s">
        <v>5445</v>
      </c>
      <c r="C57" s="24" t="s">
        <v>8755</v>
      </c>
      <c r="D57" s="24" t="s">
        <v>9026</v>
      </c>
      <c r="E57" s="24" t="s">
        <v>9027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8757</v>
      </c>
      <c r="M57" s="24" t="s">
        <v>8758</v>
      </c>
      <c r="N57" s="24"/>
      <c r="O57" s="26" t="n">
        <f aca="false">_xlfn.MAXIFS(A타입_제작표!$U$2:$U$799,A타입_제작표!$G$2:$G$799,B57)</f>
        <v>46918</v>
      </c>
      <c r="P57" s="23" t="s">
        <v>174</v>
      </c>
      <c r="Q57" s="23" t="s">
        <v>174</v>
      </c>
      <c r="R57" s="23" t="s">
        <v>174</v>
      </c>
      <c r="S57" s="23" t="s">
        <v>174</v>
      </c>
      <c r="T57" s="24"/>
    </row>
    <row r="58" customFormat="false" ht="26.85" hidden="false" customHeight="false" outlineLevel="0" collapsed="false">
      <c r="A58" s="23" t="n">
        <v>57</v>
      </c>
      <c r="B58" s="31" t="s">
        <v>5582</v>
      </c>
      <c r="C58" s="24" t="s">
        <v>9028</v>
      </c>
      <c r="D58" s="24" t="s">
        <v>5584</v>
      </c>
      <c r="E58" s="24" t="s">
        <v>9029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9030</v>
      </c>
      <c r="M58" s="24" t="s">
        <v>9031</v>
      </c>
      <c r="N58" s="24"/>
      <c r="O58" s="26" t="n">
        <f aca="false">_xlfn.MAXIFS(A타입_제작표!$U$2:$U$799,A타입_제작표!$G$2:$G$799,B58)</f>
        <v>46582</v>
      </c>
      <c r="P58" s="23" t="s">
        <v>174</v>
      </c>
      <c r="Q58" s="23" t="s">
        <v>174</v>
      </c>
      <c r="R58" s="23" t="s">
        <v>174</v>
      </c>
      <c r="S58" s="23" t="s">
        <v>174</v>
      </c>
      <c r="T58" s="24"/>
    </row>
    <row r="59" customFormat="false" ht="15" hidden="false" customHeight="false" outlineLevel="0" collapsed="false">
      <c r="A59" s="23" t="n">
        <v>58</v>
      </c>
      <c r="B59" s="31" t="s">
        <v>5678</v>
      </c>
      <c r="C59" s="24" t="s">
        <v>9032</v>
      </c>
      <c r="D59" s="24" t="s">
        <v>5584</v>
      </c>
      <c r="E59" s="24" t="s">
        <v>9033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9034</v>
      </c>
      <c r="M59" s="24" t="s">
        <v>9035</v>
      </c>
      <c r="N59" s="24"/>
      <c r="O59" s="26" t="n">
        <f aca="false">_xlfn.MAXIFS(A타입_제작표!$U$2:$U$799,A타입_제작표!$G$2:$G$799,B59)</f>
        <v>46587</v>
      </c>
      <c r="P59" s="23" t="s">
        <v>174</v>
      </c>
      <c r="Q59" s="23" t="s">
        <v>174</v>
      </c>
      <c r="R59" s="23" t="s">
        <v>174</v>
      </c>
      <c r="S59" s="23" t="s">
        <v>174</v>
      </c>
      <c r="T59" s="24"/>
    </row>
    <row r="60" customFormat="false" ht="26.85" hidden="false" customHeight="false" outlineLevel="0" collapsed="false">
      <c r="A60" s="23" t="n">
        <v>59</v>
      </c>
      <c r="B60" s="31" t="s">
        <v>5753</v>
      </c>
      <c r="C60" s="24" t="s">
        <v>9036</v>
      </c>
      <c r="D60" s="24" t="s">
        <v>5584</v>
      </c>
      <c r="E60" s="24" t="s">
        <v>9037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9038</v>
      </c>
      <c r="M60" s="24" t="s">
        <v>9039</v>
      </c>
      <c r="N60" s="24"/>
      <c r="O60" s="26" t="n">
        <f aca="false">_xlfn.MAXIFS(A타입_제작표!$U$2:$U$799,A타입_제작표!$G$2:$G$799,B60)</f>
        <v>46598</v>
      </c>
      <c r="P60" s="23" t="s">
        <v>174</v>
      </c>
      <c r="Q60" s="23" t="s">
        <v>174</v>
      </c>
      <c r="R60" s="23" t="s">
        <v>174</v>
      </c>
      <c r="S60" s="23" t="s">
        <v>174</v>
      </c>
      <c r="T60" s="24"/>
    </row>
    <row r="61" customFormat="false" ht="26.85" hidden="false" customHeight="false" outlineLevel="0" collapsed="false">
      <c r="A61" s="23" t="n">
        <v>60</v>
      </c>
      <c r="B61" s="31" t="s">
        <v>5862</v>
      </c>
      <c r="C61" s="24" t="s">
        <v>9040</v>
      </c>
      <c r="D61" s="24" t="s">
        <v>5584</v>
      </c>
      <c r="E61" s="24" t="s">
        <v>9041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30" t="s">
        <v>9042</v>
      </c>
      <c r="M61" s="24" t="s">
        <v>9043</v>
      </c>
      <c r="N61" s="24"/>
      <c r="O61" s="26" t="n">
        <f aca="false">_xlfn.MAXIFS(A타입_제작표!$U$2:$U$799,A타입_제작표!$G$2:$G$799,B61)</f>
        <v>46606</v>
      </c>
      <c r="P61" s="23" t="s">
        <v>174</v>
      </c>
      <c r="Q61" s="23" t="s">
        <v>174</v>
      </c>
      <c r="R61" s="23" t="s">
        <v>174</v>
      </c>
      <c r="S61" s="23" t="s">
        <v>174</v>
      </c>
      <c r="T61" s="24"/>
    </row>
    <row r="62" customFormat="false" ht="26.85" hidden="false" customHeight="false" outlineLevel="0" collapsed="false">
      <c r="A62" s="23" t="n">
        <v>61</v>
      </c>
      <c r="B62" s="31" t="s">
        <v>5983</v>
      </c>
      <c r="C62" s="24" t="s">
        <v>9044</v>
      </c>
      <c r="D62" s="24" t="s">
        <v>5584</v>
      </c>
      <c r="E62" s="24" t="s">
        <v>9045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9046</v>
      </c>
      <c r="M62" s="24" t="s">
        <v>9047</v>
      </c>
      <c r="N62" s="24"/>
      <c r="O62" s="26" t="n">
        <f aca="false">_xlfn.MAXIFS(A타입_제작표!$U$2:$U$799,A타입_제작표!$G$2:$G$799,B62)</f>
        <v>46617</v>
      </c>
      <c r="P62" s="23" t="s">
        <v>174</v>
      </c>
      <c r="Q62" s="23" t="s">
        <v>174</v>
      </c>
      <c r="R62" s="23" t="s">
        <v>174</v>
      </c>
      <c r="S62" s="23" t="s">
        <v>174</v>
      </c>
      <c r="T62" s="24"/>
    </row>
    <row r="63" customFormat="false" ht="15" hidden="false" customHeight="false" outlineLevel="0" collapsed="false">
      <c r="A63" s="23" t="n">
        <v>62</v>
      </c>
      <c r="B63" s="31" t="s">
        <v>6076</v>
      </c>
      <c r="C63" s="24" t="s">
        <v>9048</v>
      </c>
      <c r="D63" s="24" t="s">
        <v>5584</v>
      </c>
      <c r="E63" s="24" t="s">
        <v>9049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9050</v>
      </c>
      <c r="M63" s="24" t="s">
        <v>9051</v>
      </c>
      <c r="N63" s="24"/>
      <c r="O63" s="26" t="n">
        <f aca="false">_xlfn.MAXIFS(A타입_제작표!$U$2:$U$799,A타입_제작표!$G$2:$G$799,B63)</f>
        <v>46619</v>
      </c>
      <c r="P63" s="23" t="s">
        <v>174</v>
      </c>
      <c r="Q63" s="23" t="s">
        <v>174</v>
      </c>
      <c r="R63" s="23" t="s">
        <v>174</v>
      </c>
      <c r="S63" s="23" t="s">
        <v>174</v>
      </c>
      <c r="T63" s="24"/>
    </row>
    <row r="64" customFormat="false" ht="15" hidden="false" customHeight="false" outlineLevel="0" collapsed="false">
      <c r="A64" s="23" t="n">
        <v>63</v>
      </c>
      <c r="B64" s="31" t="s">
        <v>6175</v>
      </c>
      <c r="C64" s="24" t="s">
        <v>9052</v>
      </c>
      <c r="D64" s="24" t="s">
        <v>6176</v>
      </c>
      <c r="E64" s="24" t="s">
        <v>9053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9054</v>
      </c>
      <c r="M64" s="24" t="s">
        <v>9055</v>
      </c>
      <c r="N64" s="24"/>
      <c r="O64" s="26" t="n">
        <f aca="false">_xlfn.MAXIFS(A타입_제작표!$U$2:$U$799,A타입_제작표!$G$2:$G$799,B64)</f>
        <v>46631</v>
      </c>
      <c r="P64" s="23" t="s">
        <v>174</v>
      </c>
      <c r="Q64" s="23" t="s">
        <v>174</v>
      </c>
      <c r="R64" s="23" t="s">
        <v>174</v>
      </c>
      <c r="S64" s="23" t="s">
        <v>174</v>
      </c>
      <c r="T64" s="24"/>
    </row>
    <row r="65" customFormat="false" ht="15" hidden="false" customHeight="false" outlineLevel="0" collapsed="false">
      <c r="A65" s="23" t="n">
        <v>64</v>
      </c>
      <c r="B65" s="31" t="s">
        <v>6311</v>
      </c>
      <c r="C65" s="24" t="s">
        <v>9056</v>
      </c>
      <c r="D65" s="24" t="s">
        <v>6312</v>
      </c>
      <c r="E65" s="24" t="s">
        <v>9057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9058</v>
      </c>
      <c r="M65" s="24" t="s">
        <v>9059</v>
      </c>
      <c r="N65" s="24"/>
      <c r="O65" s="26" t="n">
        <f aca="false">_xlfn.MAXIFS(A타입_제작표!$U$2:$U$799,A타입_제작표!$G$2:$G$799,B65)</f>
        <v>46636</v>
      </c>
      <c r="P65" s="23" t="s">
        <v>174</v>
      </c>
      <c r="Q65" s="23" t="s">
        <v>174</v>
      </c>
      <c r="R65" s="23" t="s">
        <v>174</v>
      </c>
      <c r="S65" s="23" t="s">
        <v>174</v>
      </c>
      <c r="T65" s="24"/>
    </row>
    <row r="66" customFormat="false" ht="26.85" hidden="false" customHeight="false" outlineLevel="0" collapsed="false">
      <c r="A66" s="23" t="n">
        <v>65</v>
      </c>
      <c r="B66" s="31" t="s">
        <v>6398</v>
      </c>
      <c r="C66" s="24" t="s">
        <v>9060</v>
      </c>
      <c r="D66" s="24" t="s">
        <v>6312</v>
      </c>
      <c r="E66" s="24" t="s">
        <v>9061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9062</v>
      </c>
      <c r="M66" s="24" t="s">
        <v>9063</v>
      </c>
      <c r="N66" s="24"/>
      <c r="O66" s="26" t="n">
        <f aca="false">_xlfn.MAXIFS(A타입_제작표!$U$2:$U$799,A타입_제작표!$G$2:$G$799,B66)</f>
        <v>46647</v>
      </c>
      <c r="P66" s="23" t="s">
        <v>174</v>
      </c>
      <c r="Q66" s="23" t="s">
        <v>174</v>
      </c>
      <c r="R66" s="23" t="s">
        <v>174</v>
      </c>
      <c r="S66" s="23" t="s">
        <v>174</v>
      </c>
      <c r="T66" s="24"/>
    </row>
    <row r="67" customFormat="false" ht="26.85" hidden="false" customHeight="false" outlineLevel="0" collapsed="false">
      <c r="A67" s="23" t="n">
        <v>66</v>
      </c>
      <c r="B67" s="31" t="s">
        <v>6503</v>
      </c>
      <c r="C67" s="24" t="s">
        <v>9064</v>
      </c>
      <c r="D67" s="24" t="s">
        <v>6312</v>
      </c>
      <c r="E67" s="24" t="s">
        <v>9065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9066</v>
      </c>
      <c r="M67" s="24" t="s">
        <v>9067</v>
      </c>
      <c r="N67" s="24"/>
      <c r="O67" s="26" t="n">
        <f aca="false">_xlfn.MAXIFS(A타입_제작표!$U$2:$U$799,A타입_제작표!$G$2:$G$799,B67)</f>
        <v>46650</v>
      </c>
      <c r="P67" s="23" t="s">
        <v>174</v>
      </c>
      <c r="Q67" s="23" t="s">
        <v>174</v>
      </c>
      <c r="R67" s="23" t="s">
        <v>174</v>
      </c>
      <c r="S67" s="23" t="s">
        <v>174</v>
      </c>
      <c r="T67" s="24"/>
    </row>
    <row r="68" customFormat="false" ht="25.35" hidden="false" customHeight="false" outlineLevel="0" collapsed="false">
      <c r="A68" s="23" t="n">
        <v>67</v>
      </c>
      <c r="B68" s="31" t="s">
        <v>6610</v>
      </c>
      <c r="C68" s="24" t="s">
        <v>9068</v>
      </c>
      <c r="D68" s="24" t="s">
        <v>6612</v>
      </c>
      <c r="E68" s="24" t="s">
        <v>9069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9070</v>
      </c>
      <c r="M68" s="24" t="s">
        <v>9071</v>
      </c>
      <c r="N68" s="24"/>
      <c r="O68" s="26" t="n">
        <f aca="false">_xlfn.MAXIFS(A타입_제작표!$U$2:$U$799,A타입_제작표!$G$2:$G$799,B68)</f>
        <v>46655</v>
      </c>
      <c r="P68" s="23" t="s">
        <v>174</v>
      </c>
      <c r="Q68" s="23" t="s">
        <v>174</v>
      </c>
      <c r="R68" s="23" t="s">
        <v>174</v>
      </c>
      <c r="S68" s="23" t="s">
        <v>174</v>
      </c>
      <c r="T68" s="24"/>
    </row>
    <row r="69" customFormat="false" ht="26.85" hidden="false" customHeight="false" outlineLevel="0" collapsed="false">
      <c r="A69" s="23" t="n">
        <v>68</v>
      </c>
      <c r="B69" s="31" t="s">
        <v>6726</v>
      </c>
      <c r="C69" s="24" t="s">
        <v>9072</v>
      </c>
      <c r="D69" s="24" t="s">
        <v>6612</v>
      </c>
      <c r="E69" s="24" t="s">
        <v>9073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30" t="s">
        <v>9074</v>
      </c>
      <c r="M69" s="24" t="s">
        <v>9075</v>
      </c>
      <c r="N69" s="24"/>
      <c r="O69" s="26" t="n">
        <f aca="false">_xlfn.MAXIFS(A타입_제작표!$U$2:$U$799,A타입_제작표!$G$2:$G$799,B69)</f>
        <v>46662</v>
      </c>
      <c r="P69" s="23" t="s">
        <v>174</v>
      </c>
      <c r="Q69" s="23" t="s">
        <v>174</v>
      </c>
      <c r="R69" s="23" t="s">
        <v>174</v>
      </c>
      <c r="S69" s="23" t="s">
        <v>174</v>
      </c>
      <c r="T69" s="24"/>
    </row>
    <row r="70" customFormat="false" ht="15" hidden="false" customHeight="false" outlineLevel="0" collapsed="false">
      <c r="A70" s="23" t="n">
        <v>69</v>
      </c>
      <c r="B70" s="31" t="s">
        <v>6812</v>
      </c>
      <c r="C70" s="24" t="s">
        <v>9076</v>
      </c>
      <c r="D70" s="24" t="s">
        <v>6612</v>
      </c>
      <c r="E70" s="24" t="s">
        <v>9077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9078</v>
      </c>
      <c r="M70" s="24" t="s">
        <v>9079</v>
      </c>
      <c r="N70" s="24"/>
      <c r="O70" s="26" t="n">
        <f aca="false">_xlfn.MAXIFS(A타입_제작표!$U$2:$U$799,A타입_제작표!$G$2:$G$799,B70)</f>
        <v>46671</v>
      </c>
      <c r="P70" s="23" t="s">
        <v>174</v>
      </c>
      <c r="Q70" s="23" t="s">
        <v>174</v>
      </c>
      <c r="R70" s="23" t="s">
        <v>174</v>
      </c>
      <c r="S70" s="23" t="s">
        <v>174</v>
      </c>
      <c r="T70" s="24"/>
    </row>
    <row r="71" customFormat="false" ht="26.85" hidden="false" customHeight="false" outlineLevel="0" collapsed="false">
      <c r="A71" s="23" t="n">
        <v>70</v>
      </c>
      <c r="B71" s="31" t="s">
        <v>6939</v>
      </c>
      <c r="C71" s="24" t="s">
        <v>9080</v>
      </c>
      <c r="D71" s="24" t="s">
        <v>6940</v>
      </c>
      <c r="E71" s="24" t="s">
        <v>9081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9082</v>
      </c>
      <c r="M71" s="24" t="s">
        <v>9083</v>
      </c>
      <c r="N71" s="24"/>
      <c r="O71" s="26" t="n">
        <f aca="false">_xlfn.MAXIFS(A타입_제작표!$U$2:$U$799,A타입_제작표!$G$2:$G$799,B71)</f>
        <v>46678</v>
      </c>
      <c r="P71" s="23" t="s">
        <v>174</v>
      </c>
      <c r="Q71" s="23" t="s">
        <v>174</v>
      </c>
      <c r="R71" s="23" t="s">
        <v>174</v>
      </c>
      <c r="S71" s="23" t="s">
        <v>174</v>
      </c>
      <c r="T71" s="24"/>
    </row>
    <row r="72" customFormat="false" ht="26.85" hidden="false" customHeight="false" outlineLevel="0" collapsed="false">
      <c r="A72" s="23" t="n">
        <v>71</v>
      </c>
      <c r="B72" s="31" t="s">
        <v>7050</v>
      </c>
      <c r="C72" s="24" t="s">
        <v>9084</v>
      </c>
      <c r="D72" s="24" t="s">
        <v>6940</v>
      </c>
      <c r="E72" s="24" t="s">
        <v>9085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9086</v>
      </c>
      <c r="M72" s="24" t="s">
        <v>9087</v>
      </c>
      <c r="N72" s="24"/>
      <c r="O72" s="26" t="n">
        <f aca="false">_xlfn.MAXIFS(A타입_제작표!$U$2:$U$799,A타입_제작표!$G$2:$G$799,B72)</f>
        <v>46685</v>
      </c>
      <c r="P72" s="23" t="s">
        <v>174</v>
      </c>
      <c r="Q72" s="23" t="s">
        <v>174</v>
      </c>
      <c r="R72" s="23" t="s">
        <v>174</v>
      </c>
      <c r="S72" s="23" t="s">
        <v>174</v>
      </c>
      <c r="T72" s="24"/>
    </row>
    <row r="73" customFormat="false" ht="15" hidden="false" customHeight="false" outlineLevel="0" collapsed="false">
      <c r="A73" s="23" t="n">
        <v>72</v>
      </c>
      <c r="B73" s="31" t="s">
        <v>7137</v>
      </c>
      <c r="C73" s="24" t="s">
        <v>9088</v>
      </c>
      <c r="D73" s="24" t="s">
        <v>6940</v>
      </c>
      <c r="E73" s="24" t="s">
        <v>9089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9090</v>
      </c>
      <c r="M73" s="24" t="s">
        <v>9091</v>
      </c>
      <c r="N73" s="24"/>
      <c r="O73" s="26" t="n">
        <f aca="false">_xlfn.MAXIFS(A타입_제작표!$U$2:$U$799,A타입_제작표!$G$2:$G$799,B73)</f>
        <v>46696</v>
      </c>
      <c r="P73" s="23" t="s">
        <v>174</v>
      </c>
      <c r="Q73" s="23" t="s">
        <v>174</v>
      </c>
      <c r="R73" s="23" t="s">
        <v>174</v>
      </c>
      <c r="S73" s="23" t="s">
        <v>174</v>
      </c>
      <c r="T73" s="24"/>
    </row>
    <row r="74" customFormat="false" ht="26.85" hidden="false" customHeight="false" outlineLevel="0" collapsed="false">
      <c r="A74" s="23" t="n">
        <v>73</v>
      </c>
      <c r="B74" s="31" t="s">
        <v>7261</v>
      </c>
      <c r="C74" s="24" t="s">
        <v>9092</v>
      </c>
      <c r="D74" s="24" t="s">
        <v>6940</v>
      </c>
      <c r="E74" s="24" t="s">
        <v>9093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9094</v>
      </c>
      <c r="M74" s="24" t="s">
        <v>9095</v>
      </c>
      <c r="N74" s="24"/>
      <c r="O74" s="26" t="n">
        <f aca="false">_xlfn.MAXIFS(A타입_제작표!$U$2:$U$799,A타입_제작표!$G$2:$G$799,B74)</f>
        <v>46706</v>
      </c>
      <c r="P74" s="23" t="s">
        <v>174</v>
      </c>
      <c r="Q74" s="23" t="s">
        <v>174</v>
      </c>
      <c r="R74" s="23" t="s">
        <v>174</v>
      </c>
      <c r="S74" s="23" t="s">
        <v>174</v>
      </c>
      <c r="T74" s="24"/>
    </row>
    <row r="75" customFormat="false" ht="26.85" hidden="false" customHeight="false" outlineLevel="0" collapsed="false">
      <c r="A75" s="23" t="n">
        <v>74</v>
      </c>
      <c r="B75" s="31" t="s">
        <v>7360</v>
      </c>
      <c r="C75" s="24" t="s">
        <v>8789</v>
      </c>
      <c r="D75" s="24" t="s">
        <v>7361</v>
      </c>
      <c r="E75" s="24" t="s">
        <v>9096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8791</v>
      </c>
      <c r="M75" s="24" t="s">
        <v>8792</v>
      </c>
      <c r="N75" s="24"/>
      <c r="O75" s="26" t="n">
        <f aca="false">_xlfn.MAXIFS(A타입_제작표!$U$2:$U$799,A타입_제작표!$G$2:$G$799,B75)</f>
        <v>46725</v>
      </c>
      <c r="P75" s="23" t="s">
        <v>174</v>
      </c>
      <c r="Q75" s="23" t="s">
        <v>174</v>
      </c>
      <c r="R75" s="23" t="s">
        <v>174</v>
      </c>
      <c r="S75" s="23" t="s">
        <v>174</v>
      </c>
      <c r="T75" s="24"/>
    </row>
    <row r="76" customFormat="false" ht="26.85" hidden="false" customHeight="false" outlineLevel="0" collapsed="false">
      <c r="A76" s="23" t="n">
        <v>75</v>
      </c>
      <c r="B76" s="31" t="s">
        <v>7481</v>
      </c>
      <c r="C76" s="24" t="s">
        <v>8793</v>
      </c>
      <c r="D76" s="24" t="s">
        <v>7483</v>
      </c>
      <c r="E76" s="24" t="s">
        <v>9097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8795</v>
      </c>
      <c r="M76" s="24" t="s">
        <v>8796</v>
      </c>
      <c r="N76" s="24"/>
      <c r="O76" s="26" t="n">
        <f aca="false">_xlfn.MAXIFS(A타입_제작표!$U$2:$U$799,A타입_제작표!$G$2:$G$799,B76)</f>
        <v>46739</v>
      </c>
      <c r="P76" s="23" t="s">
        <v>174</v>
      </c>
      <c r="Q76" s="23" t="s">
        <v>174</v>
      </c>
      <c r="R76" s="23" t="s">
        <v>174</v>
      </c>
      <c r="S76" s="23" t="s">
        <v>174</v>
      </c>
      <c r="T76" s="24"/>
    </row>
    <row r="77" customFormat="false" ht="26.85" hidden="false" customHeight="false" outlineLevel="0" collapsed="false">
      <c r="A77" s="23" t="n">
        <v>76</v>
      </c>
      <c r="B77" s="31" t="s">
        <v>7578</v>
      </c>
      <c r="C77" s="24" t="s">
        <v>8797</v>
      </c>
      <c r="D77" s="24" t="s">
        <v>9098</v>
      </c>
      <c r="E77" s="24" t="s">
        <v>8798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8799</v>
      </c>
      <c r="M77" s="24" t="s">
        <v>8800</v>
      </c>
      <c r="N77" s="24"/>
      <c r="O77" s="26" t="n">
        <f aca="false">_xlfn.MAXIFS(A타입_제작표!$U$2:$U$799,A타입_제작표!$G$2:$G$799,B77)</f>
        <v>46757</v>
      </c>
      <c r="P77" s="23" t="s">
        <v>174</v>
      </c>
      <c r="Q77" s="23" t="s">
        <v>174</v>
      </c>
      <c r="R77" s="23" t="s">
        <v>174</v>
      </c>
      <c r="S77" s="23" t="s">
        <v>174</v>
      </c>
      <c r="T77" s="24"/>
    </row>
    <row r="78" customFormat="false" ht="26.85" hidden="false" customHeight="false" outlineLevel="0" collapsed="false">
      <c r="A78" s="23" t="n">
        <v>77</v>
      </c>
      <c r="B78" s="31" t="s">
        <v>7679</v>
      </c>
      <c r="C78" s="24" t="s">
        <v>8801</v>
      </c>
      <c r="D78" s="24" t="s">
        <v>9099</v>
      </c>
      <c r="E78" s="24" t="s">
        <v>8802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8803</v>
      </c>
      <c r="M78" s="24" t="s">
        <v>8804</v>
      </c>
      <c r="N78" s="24"/>
      <c r="O78" s="26" t="n">
        <f aca="false">_xlfn.MAXIFS(A타입_제작표!$U$2:$U$799,A타입_제작표!$G$2:$G$799,B78)</f>
        <v>46771</v>
      </c>
      <c r="P78" s="23" t="s">
        <v>174</v>
      </c>
      <c r="Q78" s="23" t="s">
        <v>174</v>
      </c>
      <c r="R78" s="23" t="s">
        <v>174</v>
      </c>
      <c r="S78" s="23" t="s">
        <v>174</v>
      </c>
      <c r="T78" s="24"/>
    </row>
    <row r="79" customFormat="false" ht="39.55" hidden="false" customHeight="false" outlineLevel="0" collapsed="false">
      <c r="A79" s="23" t="n">
        <v>78</v>
      </c>
      <c r="B79" s="31" t="s">
        <v>7776</v>
      </c>
      <c r="C79" s="24" t="s">
        <v>8805</v>
      </c>
      <c r="D79" s="24" t="s">
        <v>9100</v>
      </c>
      <c r="E79" s="24" t="s">
        <v>8806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8807</v>
      </c>
      <c r="M79" s="24" t="s">
        <v>8808</v>
      </c>
      <c r="N79" s="24"/>
      <c r="O79" s="26" t="n">
        <f aca="false">_xlfn.MAXIFS(A타입_제작표!$U$2:$U$799,A타입_제작표!$G$2:$G$799,B79)</f>
        <v>46787</v>
      </c>
      <c r="P79" s="23" t="s">
        <v>174</v>
      </c>
      <c r="Q79" s="23" t="s">
        <v>174</v>
      </c>
      <c r="R79" s="23" t="s">
        <v>174</v>
      </c>
      <c r="S79" s="23" t="s">
        <v>174</v>
      </c>
      <c r="T79" s="24"/>
    </row>
    <row r="80" customFormat="false" ht="39.55" hidden="false" customHeight="false" outlineLevel="0" collapsed="false">
      <c r="A80" s="23" t="n">
        <v>79</v>
      </c>
      <c r="B80" s="31" t="s">
        <v>7856</v>
      </c>
      <c r="C80" s="24" t="s">
        <v>8809</v>
      </c>
      <c r="D80" s="24" t="s">
        <v>9101</v>
      </c>
      <c r="E80" s="24" t="s">
        <v>8810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8811</v>
      </c>
      <c r="M80" s="24" t="s">
        <v>8812</v>
      </c>
      <c r="N80" s="24"/>
      <c r="O80" s="26" t="n">
        <f aca="false">_xlfn.MAXIFS(A타입_제작표!$U$2:$U$799,A타입_제작표!$G$2:$G$799,B80)</f>
        <v>46804</v>
      </c>
      <c r="P80" s="23" t="s">
        <v>174</v>
      </c>
      <c r="Q80" s="23" t="s">
        <v>174</v>
      </c>
      <c r="R80" s="23" t="s">
        <v>174</v>
      </c>
      <c r="S80" s="23" t="s">
        <v>174</v>
      </c>
      <c r="T80" s="24"/>
    </row>
    <row r="81" customFormat="false" ht="26.85" hidden="false" customHeight="false" outlineLevel="0" collapsed="false">
      <c r="A81" s="23" t="n">
        <v>80</v>
      </c>
      <c r="B81" s="31" t="s">
        <v>7950</v>
      </c>
      <c r="C81" s="24" t="s">
        <v>8813</v>
      </c>
      <c r="D81" s="24" t="s">
        <v>7952</v>
      </c>
      <c r="E81" s="24" t="s">
        <v>8814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8815</v>
      </c>
      <c r="M81" s="24" t="s">
        <v>8816</v>
      </c>
      <c r="N81" s="24"/>
      <c r="O81" s="26" t="n">
        <f aca="false">_xlfn.MAXIFS(A타입_제작표!$U$2:$U$799,A타입_제작표!$G$2:$G$799,B81)</f>
        <v>46820</v>
      </c>
      <c r="P81" s="23" t="s">
        <v>174</v>
      </c>
      <c r="Q81" s="23" t="s">
        <v>174</v>
      </c>
      <c r="R81" s="23" t="s">
        <v>174</v>
      </c>
      <c r="S81" s="23" t="s">
        <v>174</v>
      </c>
      <c r="T81" s="24"/>
    </row>
    <row r="82" customFormat="false" ht="39.55" hidden="false" customHeight="false" outlineLevel="0" collapsed="false">
      <c r="A82" s="23" t="n">
        <v>81</v>
      </c>
      <c r="B82" s="31" t="s">
        <v>8047</v>
      </c>
      <c r="C82" s="24" t="s">
        <v>8817</v>
      </c>
      <c r="D82" s="24" t="s">
        <v>9102</v>
      </c>
      <c r="E82" s="24" t="s">
        <v>8818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8819</v>
      </c>
      <c r="M82" s="24" t="s">
        <v>8820</v>
      </c>
      <c r="N82" s="24"/>
      <c r="O82" s="26" t="n">
        <f aca="false">_xlfn.MAXIFS(A타입_제작표!$U$2:$U$799,A타입_제작표!$G$2:$G$799,B82)</f>
        <v>46841</v>
      </c>
      <c r="P82" s="23" t="s">
        <v>174</v>
      </c>
      <c r="Q82" s="23" t="s">
        <v>174</v>
      </c>
      <c r="R82" s="23" t="s">
        <v>174</v>
      </c>
      <c r="S82" s="23" t="s">
        <v>174</v>
      </c>
      <c r="T82" s="24"/>
    </row>
    <row r="83" customFormat="false" ht="26.85" hidden="false" customHeight="false" outlineLevel="0" collapsed="false">
      <c r="A83" s="23" t="n">
        <v>82</v>
      </c>
      <c r="B83" s="31" t="s">
        <v>8158</v>
      </c>
      <c r="C83" s="24" t="s">
        <v>9103</v>
      </c>
      <c r="D83" s="24" t="s">
        <v>9104</v>
      </c>
      <c r="E83" s="24" t="s">
        <v>9105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9106</v>
      </c>
      <c r="M83" s="24" t="s">
        <v>9107</v>
      </c>
      <c r="N83" s="24"/>
      <c r="O83" s="26" t="n">
        <f aca="false">_xlfn.MAXIFS(A타입_제작표!$U$2:$U$799,A타입_제작표!$G$2:$G$799,B83)</f>
        <v>46853</v>
      </c>
      <c r="P83" s="23" t="s">
        <v>174</v>
      </c>
      <c r="Q83" s="23" t="s">
        <v>174</v>
      </c>
      <c r="R83" s="23" t="s">
        <v>174</v>
      </c>
      <c r="S83" s="23" t="s">
        <v>174</v>
      </c>
      <c r="T83" s="24"/>
    </row>
    <row r="84" customFormat="false" ht="52.2" hidden="false" customHeight="false" outlineLevel="0" collapsed="false">
      <c r="A84" s="23" t="n">
        <v>83</v>
      </c>
      <c r="B84" s="31" t="s">
        <v>8229</v>
      </c>
      <c r="C84" s="24" t="s">
        <v>8826</v>
      </c>
      <c r="D84" s="24" t="s">
        <v>8230</v>
      </c>
      <c r="E84" s="24" t="s">
        <v>9108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8828</v>
      </c>
      <c r="M84" s="24" t="s">
        <v>8829</v>
      </c>
      <c r="N84" s="24" t="s">
        <v>9109</v>
      </c>
      <c r="O84" s="26" t="n">
        <f aca="false">_xlfn.MAXIFS(A타입_제작표!$U$2:$U$799,A타입_제작표!$G$2:$G$799,B84)</f>
        <v>46869</v>
      </c>
      <c r="P84" s="23" t="s">
        <v>174</v>
      </c>
      <c r="Q84" s="23" t="s">
        <v>174</v>
      </c>
      <c r="R84" s="23" t="s">
        <v>174</v>
      </c>
      <c r="S84" s="23" t="s">
        <v>174</v>
      </c>
      <c r="T84" s="24"/>
    </row>
    <row r="85" customFormat="false" ht="26.85" hidden="false" customHeight="false" outlineLevel="0" collapsed="false">
      <c r="A85" s="23" t="n">
        <v>84</v>
      </c>
      <c r="B85" s="31" t="s">
        <v>8344</v>
      </c>
      <c r="C85" s="24" t="s">
        <v>8830</v>
      </c>
      <c r="D85" s="24" t="s">
        <v>8230</v>
      </c>
      <c r="E85" s="24" t="s">
        <v>9110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8832</v>
      </c>
      <c r="M85" s="24" t="s">
        <v>8833</v>
      </c>
      <c r="N85" s="24"/>
      <c r="O85" s="26" t="n">
        <f aca="false">_xlfn.MAXIFS(A타입_제작표!$U$2:$U$799,A타입_제작표!$G$2:$G$799,B85)</f>
        <v>46881</v>
      </c>
      <c r="P85" s="23" t="s">
        <v>174</v>
      </c>
      <c r="Q85" s="23" t="s">
        <v>174</v>
      </c>
      <c r="R85" s="23" t="s">
        <v>174</v>
      </c>
      <c r="S85" s="23" t="s">
        <v>174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9111</v>
      </c>
    </row>
    <row r="2" customFormat="false" ht="15" hidden="false" customHeight="false" outlineLevel="0" collapsed="false">
      <c r="A2" s="2" t="s">
        <v>9112</v>
      </c>
    </row>
    <row r="4" customFormat="false" ht="16.4" hidden="false" customHeight="false" outlineLevel="0" collapsed="false">
      <c r="A4" s="32" t="s">
        <v>9113</v>
      </c>
      <c r="B4" s="4"/>
      <c r="C4" s="4"/>
      <c r="D4" s="4"/>
      <c r="E4" s="4"/>
    </row>
    <row r="5" customFormat="false" ht="15" hidden="false" customHeight="false" outlineLevel="0" collapsed="false">
      <c r="A5" s="33" t="s">
        <v>9114</v>
      </c>
      <c r="B5" s="33" t="s">
        <v>9115</v>
      </c>
      <c r="C5" s="33" t="s">
        <v>9116</v>
      </c>
      <c r="D5" s="33" t="s">
        <v>9117</v>
      </c>
    </row>
    <row r="6" customFormat="false" ht="15" hidden="false" customHeight="false" outlineLevel="0" collapsed="false">
      <c r="A6" s="34" t="s">
        <v>46</v>
      </c>
      <c r="B6" s="34" t="n">
        <f aca="false">COUNTA(A타입_제작표!$B$2:$B$799)</f>
        <v>798</v>
      </c>
      <c r="C6" s="34" t="n">
        <v>798</v>
      </c>
      <c r="D6" s="35" t="str">
        <f aca="false">IF(B6=C6,"정상","확인 필요")</f>
        <v>정상</v>
      </c>
    </row>
    <row r="7" customFormat="false" ht="15" hidden="false" customHeight="false" outlineLevel="0" collapsed="false">
      <c r="A7" s="34" t="s">
        <v>9118</v>
      </c>
      <c r="B7" s="34" t="n">
        <f aca="false">COUNTIF(A타입_제작표!$C$2:$C$799,1)</f>
        <v>286</v>
      </c>
      <c r="C7" s="34" t="n">
        <v>286</v>
      </c>
      <c r="D7" s="35" t="str">
        <f aca="false">IF(B7=C7,"정상","확인 필요")</f>
        <v>정상</v>
      </c>
    </row>
    <row r="8" customFormat="false" ht="15" hidden="false" customHeight="false" outlineLevel="0" collapsed="false">
      <c r="A8" s="34" t="s">
        <v>9119</v>
      </c>
      <c r="B8" s="34" t="n">
        <f aca="false">COUNTIF(A타입_제작표!$C$2:$C$799,2)</f>
        <v>512</v>
      </c>
      <c r="C8" s="34" t="n">
        <v>512</v>
      </c>
      <c r="D8" s="35" t="str">
        <f aca="false">IF(B8=C8,"정상","확인 필요")</f>
        <v>정상</v>
      </c>
    </row>
    <row r="9" customFormat="false" ht="15" hidden="false" customHeight="false" outlineLevel="0" collapsed="false">
      <c r="A9" s="34" t="s">
        <v>9120</v>
      </c>
      <c r="B9" s="34" t="n">
        <f aca="false">COUNTIF(A타입_제작표!$C$2:$C$799,1)+COUNTIF(A타입_제작표!$C$2:$C$799,2)</f>
        <v>798</v>
      </c>
      <c r="C9" s="34" t="n">
        <f aca="false">COUNTA(A타입_제작표!$B$2:$B$799)</f>
        <v>798</v>
      </c>
      <c r="D9" s="35" t="str">
        <f aca="false">IF(B9=C9,"정상","확인 필요")</f>
        <v>정상</v>
      </c>
    </row>
    <row r="10" customFormat="false" ht="15" hidden="false" customHeight="false" outlineLevel="0" collapsed="false">
      <c r="A10" s="34" t="s">
        <v>9121</v>
      </c>
      <c r="B10" s="34" t="n">
        <f aca="false">COUNTA(A타입_제작표!$B$2:$B$799)-COUNTIF(A타입_제작표!$C$2:$C$799,1)-COUNTIF(A타입_제작표!$C$2:$C$799,2)</f>
        <v>0</v>
      </c>
      <c r="C10" s="34" t="n">
        <v>0</v>
      </c>
      <c r="D10" s="35" t="str">
        <f aca="false">IF(B10=C10,"정상","확인 필요")</f>
        <v>정상</v>
      </c>
    </row>
    <row r="11" customFormat="false" ht="15" hidden="false" customHeight="false" outlineLevel="0" collapsed="false">
      <c r="A11" s="11" t="s">
        <v>9122</v>
      </c>
      <c r="B11" s="34" t="n">
        <f aca="false">SUMPRODUCT((COUNTIF(A타입_제작표!$B$2:$B$799,A타입_제작표!$B$2:$B$799)&gt;1)*1)</f>
        <v>0</v>
      </c>
      <c r="C11" s="34" t="n">
        <v>0</v>
      </c>
      <c r="D11" s="35" t="str">
        <f aca="false">IF(B11=C11,"정상","확인 필요")</f>
        <v>정상</v>
      </c>
    </row>
    <row r="12" customFormat="false" ht="15" hidden="false" customHeight="false" outlineLevel="0" collapsed="false">
      <c r="A12" s="34" t="s">
        <v>9123</v>
      </c>
      <c r="B12" s="34" t="n">
        <f aca="false">SUMPRODUCT((COUNTIF(A타입_제작표!$AC$2:$AC$799,A타입_제작표!$AC$2:$AC$799)&gt;1)*1)</f>
        <v>0</v>
      </c>
      <c r="C12" s="34" t="n">
        <v>0</v>
      </c>
      <c r="D12" s="35" t="str">
        <f aca="false">IF(B12=C12,"정상","확인 필요")</f>
        <v>정상</v>
      </c>
    </row>
    <row r="13" customFormat="false" ht="15" hidden="false" customHeight="false" outlineLevel="0" collapsed="false">
      <c r="A13" s="34" t="s">
        <v>9124</v>
      </c>
      <c r="B13" s="34" t="n">
        <f aca="false">_xlfn.MAXIFS(A타입_제작표!$E$2:$E$799,A타입_제작표!$D$2:$D$799,"구약")</f>
        <v>521</v>
      </c>
      <c r="C13" s="34" t="n">
        <f aca="false">COUNTIF(A타입_제작표!$D$2:$D$799,"구약")</f>
        <v>521</v>
      </c>
      <c r="D13" s="35" t="str">
        <f aca="false">IF(B13=C13,"정상","확인 필요")</f>
        <v>정상</v>
      </c>
    </row>
    <row r="14" customFormat="false" ht="15" hidden="false" customHeight="false" outlineLevel="0" collapsed="false">
      <c r="A14" s="34" t="s">
        <v>9125</v>
      </c>
      <c r="B14" s="34" t="n">
        <f aca="false">_xlfn.MAXIFS(A타입_제작표!$E$2:$E$799,A타입_제작표!$D$2:$D$799,"신약")</f>
        <v>277</v>
      </c>
      <c r="C14" s="34" t="n">
        <f aca="false">COUNTIF(A타입_제작표!$D$2:$D$799,"신약")</f>
        <v>277</v>
      </c>
      <c r="D14" s="35" t="str">
        <f aca="false">IF(B14=C14,"정상","확인 필요")</f>
        <v>정상</v>
      </c>
    </row>
    <row r="15" customFormat="false" ht="15" hidden="false" customHeight="false" outlineLevel="0" collapsed="false">
      <c r="A15" s="34" t="s">
        <v>9126</v>
      </c>
      <c r="B15" s="34" t="n">
        <f aca="false">COUNTIFS(A타입_제작표!$C$2:$C$799,1,A타입_제작표!$D$2:$D$799,"구약")</f>
        <v>182</v>
      </c>
      <c r="C15" s="34" t="n">
        <f aca="false">안내!$C$13</f>
        <v>182</v>
      </c>
      <c r="D15" s="35" t="str">
        <f aca="false">IF(B15=C15,"정상","확인 필요")</f>
        <v>정상</v>
      </c>
    </row>
    <row r="16" customFormat="false" ht="15" hidden="false" customHeight="false" outlineLevel="0" collapsed="false">
      <c r="A16" s="34" t="s">
        <v>9127</v>
      </c>
      <c r="B16" s="34" t="n">
        <f aca="false">COUNTIFS(A타입_제작표!$C$2:$C$799,1,A타입_제작표!$D$2:$D$799,"신약")</f>
        <v>104</v>
      </c>
      <c r="C16" s="34" t="n">
        <f aca="false">안내!$C$14</f>
        <v>104</v>
      </c>
      <c r="D16" s="35" t="str">
        <f aca="false">IF(B16=C16,"정상","확인 필요")</f>
        <v>정상</v>
      </c>
    </row>
    <row r="17" customFormat="false" ht="15" hidden="false" customHeight="false" outlineLevel="0" collapsed="false">
      <c r="A17" s="34" t="s">
        <v>9128</v>
      </c>
      <c r="B17" s="34" t="n">
        <f aca="false">SUMPRODUCT((COUNTIFS(A타입_제작표!$D$2:$D$799,A타입_제작표!$D$2:$D$799,A타입_제작표!$U$2:$U$799,A타입_제작표!$U$2:$U$799)&gt;1)*1)</f>
        <v>0</v>
      </c>
      <c r="C17" s="34" t="n">
        <v>0</v>
      </c>
      <c r="D17" s="35" t="str">
        <f aca="false">IF(B17=C17,"정상","확인 필요")</f>
        <v>정상</v>
      </c>
    </row>
    <row r="18" customFormat="false" ht="15" hidden="false" customHeight="false" outlineLevel="0" collapsed="false">
      <c r="A18" s="34" t="s">
        <v>9129</v>
      </c>
      <c r="B18" s="34" t="n">
        <f aca="false">COUNTA(A타입_제작표!$B$2:$B$799)-SUMPRODUCT(COUNTIF(A타입_제작표!$H$2:$H$799,롱폼_시즌별!$B$2:$B$84))</f>
        <v>0</v>
      </c>
      <c r="C18" s="34" t="n">
        <v>0</v>
      </c>
      <c r="D18" s="35" t="str">
        <f aca="false">IF(B18=C18,"정상","확인 필요")</f>
        <v>정상</v>
      </c>
    </row>
    <row r="19" customFormat="false" ht="15" hidden="false" customHeight="false" outlineLevel="0" collapsed="false">
      <c r="A19" s="34" t="s">
        <v>9130</v>
      </c>
      <c r="B19" s="34" t="n">
        <f aca="false">COUNTA(A타입_제작표!$B$2:$B$799)-SUMPRODUCT(COUNTIF(A타입_제작표!$G$2:$G$799,롱폼_통합본!$B$2:$B$85))</f>
        <v>0</v>
      </c>
      <c r="C19" s="34" t="n">
        <v>0</v>
      </c>
      <c r="D19" s="35" t="str">
        <f aca="false">IF(B19=C19,"정상","확인 필요")</f>
        <v>정상</v>
      </c>
    </row>
    <row r="20" customFormat="false" ht="15" hidden="false" customHeight="false" outlineLevel="0" collapsed="false">
      <c r="A20" s="34" t="s">
        <v>9131</v>
      </c>
      <c r="B20" s="34" t="n">
        <f aca="false">IF(안내!$C$10&gt;_xlfn.MAXIFS(A타입_제작표!$U$2:$U$799,A타입_제작표!$C$2:$C$799,1),1,0)</f>
        <v>1</v>
      </c>
      <c r="C20" s="34" t="n">
        <v>1</v>
      </c>
      <c r="D20" s="35" t="str">
        <f aca="false">IF(B20=C20,"정상","확인 필요")</f>
        <v>정상</v>
      </c>
    </row>
    <row r="21" customFormat="false" ht="15" hidden="false" customHeight="false" outlineLevel="0" collapsed="false">
      <c r="A21" s="34" t="s">
        <v>9132</v>
      </c>
      <c r="B21" s="34" t="n">
        <f aca="false">(WEEKDAY(안내!$C$9,2)=1)+(WEEKDAY(안내!$C$10,2)=1)</f>
        <v>2</v>
      </c>
      <c r="C21" s="34" t="n">
        <v>2</v>
      </c>
      <c r="D21" s="35" t="str">
        <f aca="false">IF(B21=C21,"정상","확인 필요")</f>
        <v>정상</v>
      </c>
    </row>
    <row r="22" customFormat="false" ht="15" hidden="false" customHeight="false" outlineLevel="0" collapsed="false">
      <c r="A22" s="34" t="s">
        <v>9133</v>
      </c>
      <c r="B22" s="34" t="n">
        <f aca="false">COUNT(시편_시리즈!$A$2:$A$151)</f>
        <v>150</v>
      </c>
      <c r="C22" s="34" t="n">
        <v>150</v>
      </c>
      <c r="D22" s="35" t="str">
        <f aca="false">IF(B22=C22,"정상","확인 필요")</f>
        <v>정상</v>
      </c>
    </row>
    <row r="23" customFormat="false" ht="15" hidden="false" customHeight="false" outlineLevel="0" collapsed="false">
      <c r="A23" s="34" t="s">
        <v>9134</v>
      </c>
      <c r="B23" s="34" t="n">
        <f aca="false">SUM(시편_시리즈!$A$2:$A$151)</f>
        <v>11325</v>
      </c>
      <c r="C23" s="34" t="n">
        <v>11325</v>
      </c>
      <c r="D23" s="35" t="str">
        <f aca="false">IF(B23=C23,"정상","확인 필요")</f>
        <v>정상</v>
      </c>
    </row>
    <row r="24" customFormat="false" ht="15" hidden="false" customHeight="false" outlineLevel="0" collapsed="false">
      <c r="A24" s="34" t="s">
        <v>9135</v>
      </c>
      <c r="B24" s="34" t="n">
        <f aca="false">SUMPRODUCT((COUNTIF(시편_시리즈!$A$2:$A$151,시편_시리즈!$A$2:$A$151)&gt;1)*1)</f>
        <v>0</v>
      </c>
      <c r="C24" s="34" t="n">
        <v>0</v>
      </c>
      <c r="D24" s="35" t="str">
        <f aca="false">IF(B24=C24,"정상","확인 필요")</f>
        <v>정상</v>
      </c>
    </row>
    <row r="25" customFormat="false" ht="15" hidden="false" customHeight="false" outlineLevel="0" collapsed="false">
      <c r="A25" s="34" t="s">
        <v>9136</v>
      </c>
      <c r="B25" s="34" t="n">
        <f aca="false">COUNTIF(시편_시리즈!$E$2:$E$151,"신규 제작*")</f>
        <v>150</v>
      </c>
      <c r="C25" s="34" t="n">
        <v>150</v>
      </c>
      <c r="D25" s="35" t="str">
        <f aca="false">IF(B25=C25,"정상","확인 필요")</f>
        <v>정상</v>
      </c>
    </row>
    <row r="26" customFormat="false" ht="15" hidden="false" customHeight="false" outlineLevel="0" collapsed="false">
      <c r="A26" s="34" t="s">
        <v>9137</v>
      </c>
      <c r="B26" s="34" t="n">
        <f aca="false">COUNTIF(시편_시리즈!$F$2:$F$151,"A*")</f>
        <v>31</v>
      </c>
      <c r="C26" s="34" t="n">
        <f aca="false">COUNTIF(A타입_제작표!$I$2:$I$799,"시편")</f>
        <v>31</v>
      </c>
      <c r="D26" s="35" t="str">
        <f aca="false">IF(B26=C26,"정상","확인 필요")</f>
        <v>정상</v>
      </c>
    </row>
    <row r="27" customFormat="false" ht="15" hidden="false" customHeight="false" outlineLevel="0" collapsed="false">
      <c r="A27" s="34" t="s">
        <v>9138</v>
      </c>
      <c r="B27" s="34" t="n">
        <f aca="false">COUNT(시편_시리즈!$A$2:$A$151)-SUMPRODUCT(COUNTIF(시편_시리즈!$O$2:$O$151,시편_롱폼!$B$2:$B$16))</f>
        <v>0</v>
      </c>
      <c r="C27" s="34" t="n">
        <v>0</v>
      </c>
      <c r="D27" s="35" t="str">
        <f aca="false">IF(B27=C27,"정상","확인 필요")</f>
        <v>정상</v>
      </c>
    </row>
    <row r="28" customFormat="false" ht="15" hidden="false" customHeight="false" outlineLevel="0" collapsed="false">
      <c r="A28" s="34" t="s">
        <v>9139</v>
      </c>
      <c r="B28" s="34" t="n">
        <f aca="false">COUNTIF(통독챌린지!$D$2:$D$600,"?*")</f>
        <v>521</v>
      </c>
      <c r="C28" s="34" t="n">
        <f aca="false">COUNTIF(A타입_제작표!$D$2:$D$799,"구약")</f>
        <v>521</v>
      </c>
      <c r="D28" s="35" t="str">
        <f aca="false">IF(B28=C28,"정상","확인 필요")</f>
        <v>정상</v>
      </c>
    </row>
    <row r="29" customFormat="false" ht="15" hidden="false" customHeight="false" outlineLevel="0" collapsed="false">
      <c r="A29" s="34" t="s">
        <v>9140</v>
      </c>
      <c r="B29" s="34" t="n">
        <f aca="false">COUNTIF(통독챌린지!$E$2:$E$600,"?*")</f>
        <v>277</v>
      </c>
      <c r="C29" s="34" t="n">
        <f aca="false">COUNTIF(A타입_제작표!$D$2:$D$799,"신약")</f>
        <v>277</v>
      </c>
      <c r="D29" s="35" t="str">
        <f aca="false">IF(B29=C29,"정상","확인 필요")</f>
        <v>정상</v>
      </c>
    </row>
    <row r="30" customFormat="false" ht="15" hidden="false" customHeight="false" outlineLevel="0" collapsed="false">
      <c r="A30" s="34" t="s">
        <v>9141</v>
      </c>
      <c r="B30" s="34" t="n">
        <f aca="false">COUNTIF(통독챌린지!$F$2:$F$600,"?*")</f>
        <v>150</v>
      </c>
      <c r="C30" s="34" t="n">
        <v>150</v>
      </c>
      <c r="D30" s="35" t="str">
        <f aca="false">IF(B30=C30,"정상","확인 필요")</f>
        <v>정상</v>
      </c>
    </row>
    <row r="31" customFormat="false" ht="15" hidden="false" customHeight="false" outlineLevel="0" collapsed="false">
      <c r="A31" s="34" t="s">
        <v>9142</v>
      </c>
      <c r="B31" s="34" t="n">
        <f aca="false">COUNTIFS(A타입_제작표!$C$2:$C$799,1,A타입_제작표!$AF$2:$AF$799,"대본 작성 시*")</f>
        <v>0</v>
      </c>
      <c r="C31" s="34" t="n">
        <v>0</v>
      </c>
      <c r="D31" s="35" t="str">
        <f aca="false">IF(B31=C31,"정상","확인 필요")</f>
        <v>정상</v>
      </c>
    </row>
    <row r="32" customFormat="false" ht="15" hidden="false" customHeight="false" outlineLevel="0" collapsed="false">
      <c r="A32" s="34" t="s">
        <v>9143</v>
      </c>
      <c r="B32" s="34" t="n">
        <v>0</v>
      </c>
      <c r="C32" s="34" t="n">
        <v>0</v>
      </c>
      <c r="D32" s="35" t="str">
        <f aca="false">IF(B32=C32,"정상","확인 필요")</f>
        <v>정상</v>
      </c>
    </row>
    <row r="33" customFormat="false" ht="15" hidden="false" customHeight="false" outlineLevel="0" collapsed="false">
      <c r="A33" s="5" t="s">
        <v>9144</v>
      </c>
      <c r="D33" s="36" t="str">
        <f aca="false">IF(COUNTIF(D6:D32,"정상")=27,"모두 정상","확인 필요 있음")</f>
        <v>모두 정상</v>
      </c>
    </row>
    <row r="36" customFormat="false" ht="16.4" hidden="false" customHeight="false" outlineLevel="0" collapsed="false">
      <c r="A36" s="32" t="s">
        <v>9145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37" t="s">
        <v>122</v>
      </c>
      <c r="B37" s="37" t="s">
        <v>9146</v>
      </c>
      <c r="C37" s="37" t="s">
        <v>9147</v>
      </c>
      <c r="D37" s="38" t="s">
        <v>9148</v>
      </c>
      <c r="E37" s="37" t="s">
        <v>9149</v>
      </c>
      <c r="F37" s="37" t="s">
        <v>9150</v>
      </c>
      <c r="G37" s="37" t="s">
        <v>9151</v>
      </c>
      <c r="H37" s="37" t="s">
        <v>9117</v>
      </c>
      <c r="I37" s="37" t="s">
        <v>9152</v>
      </c>
    </row>
    <row r="38" customFormat="false" ht="15" hidden="false" customHeight="false" outlineLevel="0" collapsed="false">
      <c r="A38" s="39" t="s">
        <v>163</v>
      </c>
      <c r="B38" s="39" t="n">
        <v>50</v>
      </c>
      <c r="C38" s="39" t="n">
        <v>50</v>
      </c>
      <c r="D38" s="39" t="n">
        <f aca="false">COUNTIF(A타입_제작표!$I$2:$I$799,A38)</f>
        <v>78</v>
      </c>
      <c r="E38" s="39" t="n">
        <f aca="false">COUNTIFS(A타입_제작표!$I$2:$I$799,A38,A타입_제작표!$C$2:$C$799,1)</f>
        <v>42</v>
      </c>
      <c r="F38" s="39" t="n">
        <f aca="false">COUNTIFS(A타입_제작표!$I$2:$I$799,A38,A타입_제작표!$C$2:$C$799,2)</f>
        <v>36</v>
      </c>
      <c r="G38" s="39" t="n">
        <f aca="false">E38+F38</f>
        <v>78</v>
      </c>
      <c r="H38" s="40" t="str">
        <f aca="false">IF(G38=D38,"정상","확인 필요")</f>
        <v>정상</v>
      </c>
      <c r="I38" s="24" t="s">
        <v>9153</v>
      </c>
    </row>
    <row r="39" customFormat="false" ht="15" hidden="false" customHeight="false" outlineLevel="0" collapsed="false">
      <c r="A39" s="39" t="s">
        <v>1031</v>
      </c>
      <c r="B39" s="39" t="n">
        <v>40</v>
      </c>
      <c r="C39" s="39" t="n">
        <v>40</v>
      </c>
      <c r="D39" s="39" t="n">
        <f aca="false">COUNTIF(A타입_제작표!$I$2:$I$799,A39)</f>
        <v>42</v>
      </c>
      <c r="E39" s="39" t="n">
        <f aca="false">COUNTIFS(A타입_제작표!$I$2:$I$799,A39,A타입_제작표!$C$2:$C$799,1)</f>
        <v>23</v>
      </c>
      <c r="F39" s="39" t="n">
        <f aca="false">COUNTIFS(A타입_제작표!$I$2:$I$799,A39,A타입_제작표!$C$2:$C$799,2)</f>
        <v>19</v>
      </c>
      <c r="G39" s="39" t="n">
        <f aca="false">E39+F39</f>
        <v>42</v>
      </c>
      <c r="H39" s="40" t="str">
        <f aca="false">IF(G39=D39,"정상","확인 필요")</f>
        <v>정상</v>
      </c>
      <c r="I39" s="24" t="s">
        <v>9153</v>
      </c>
    </row>
    <row r="40" customFormat="false" ht="15" hidden="false" customHeight="false" outlineLevel="0" collapsed="false">
      <c r="A40" s="39" t="s">
        <v>1496</v>
      </c>
      <c r="B40" s="39" t="n">
        <v>27</v>
      </c>
      <c r="C40" s="39" t="n">
        <v>27</v>
      </c>
      <c r="D40" s="39" t="n">
        <f aca="false">COUNTIF(A타입_제작표!$I$2:$I$799,A40)</f>
        <v>12</v>
      </c>
      <c r="E40" s="39" t="n">
        <f aca="false">COUNTIFS(A타입_제작표!$I$2:$I$799,A40,A타입_제작표!$C$2:$C$799,1)</f>
        <v>1</v>
      </c>
      <c r="F40" s="39" t="n">
        <f aca="false">COUNTIFS(A타입_제작표!$I$2:$I$799,A40,A타입_제작표!$C$2:$C$799,2)</f>
        <v>11</v>
      </c>
      <c r="G40" s="39" t="n">
        <f aca="false">E40+F40</f>
        <v>12</v>
      </c>
      <c r="H40" s="40" t="str">
        <f aca="false">IF(G40=D40,"정상","확인 필요")</f>
        <v>정상</v>
      </c>
      <c r="I40" s="24" t="s">
        <v>9153</v>
      </c>
    </row>
    <row r="41" customFormat="false" ht="15" hidden="false" customHeight="false" outlineLevel="0" collapsed="false">
      <c r="A41" s="39" t="s">
        <v>1610</v>
      </c>
      <c r="B41" s="39" t="n">
        <v>36</v>
      </c>
      <c r="C41" s="39" t="n">
        <v>36</v>
      </c>
      <c r="D41" s="39" t="n">
        <f aca="false">COUNTIF(A타입_제작표!$I$2:$I$799,A41)</f>
        <v>22</v>
      </c>
      <c r="E41" s="39" t="n">
        <f aca="false">COUNTIFS(A타입_제작표!$I$2:$I$799,A41,A타입_제작표!$C$2:$C$799,1)</f>
        <v>4</v>
      </c>
      <c r="F41" s="39" t="n">
        <f aca="false">COUNTIFS(A타입_제작표!$I$2:$I$799,A41,A타입_제작표!$C$2:$C$799,2)</f>
        <v>18</v>
      </c>
      <c r="G41" s="39" t="n">
        <f aca="false">E41+F41</f>
        <v>22</v>
      </c>
      <c r="H41" s="40" t="str">
        <f aca="false">IF(G41=D41,"정상","확인 필요")</f>
        <v>정상</v>
      </c>
      <c r="I41" s="24" t="s">
        <v>9153</v>
      </c>
    </row>
    <row r="42" customFormat="false" ht="15" hidden="false" customHeight="false" outlineLevel="0" collapsed="false">
      <c r="A42" s="39" t="s">
        <v>1832</v>
      </c>
      <c r="B42" s="39" t="n">
        <v>34</v>
      </c>
      <c r="C42" s="39" t="n">
        <v>34</v>
      </c>
      <c r="D42" s="39" t="n">
        <f aca="false">COUNTIF(A타입_제작표!$I$2:$I$799,A42)</f>
        <v>14</v>
      </c>
      <c r="E42" s="39" t="n">
        <f aca="false">COUNTIFS(A타입_제작표!$I$2:$I$799,A42,A타입_제작표!$C$2:$C$799,1)</f>
        <v>2</v>
      </c>
      <c r="F42" s="39" t="n">
        <f aca="false">COUNTIFS(A타입_제작표!$I$2:$I$799,A42,A타입_제작표!$C$2:$C$799,2)</f>
        <v>12</v>
      </c>
      <c r="G42" s="39" t="n">
        <f aca="false">E42+F42</f>
        <v>14</v>
      </c>
      <c r="H42" s="40" t="str">
        <f aca="false">IF(G42=D42,"정상","확인 필요")</f>
        <v>정상</v>
      </c>
      <c r="I42" s="24" t="s">
        <v>9153</v>
      </c>
    </row>
    <row r="43" customFormat="false" ht="15" hidden="false" customHeight="false" outlineLevel="0" collapsed="false">
      <c r="A43" s="39" t="s">
        <v>1678</v>
      </c>
      <c r="B43" s="39" t="n">
        <v>24</v>
      </c>
      <c r="C43" s="39" t="n">
        <v>24</v>
      </c>
      <c r="D43" s="39" t="n">
        <f aca="false">COUNTIF(A타입_제작표!$I$2:$I$799,A43)</f>
        <v>16</v>
      </c>
      <c r="E43" s="39" t="n">
        <f aca="false">COUNTIFS(A타입_제작표!$I$2:$I$799,A43,A타입_제작표!$C$2:$C$799,1)</f>
        <v>7</v>
      </c>
      <c r="F43" s="39" t="n">
        <f aca="false">COUNTIFS(A타입_제작표!$I$2:$I$799,A43,A타입_제작표!$C$2:$C$799,2)</f>
        <v>9</v>
      </c>
      <c r="G43" s="39" t="n">
        <f aca="false">E43+F43</f>
        <v>16</v>
      </c>
      <c r="H43" s="40" t="str">
        <f aca="false">IF(G43=D43,"정상","확인 필요")</f>
        <v>정상</v>
      </c>
      <c r="I43" s="24" t="s">
        <v>9153</v>
      </c>
    </row>
    <row r="44" customFormat="false" ht="15" hidden="false" customHeight="false" outlineLevel="0" collapsed="false">
      <c r="A44" s="39" t="s">
        <v>2122</v>
      </c>
      <c r="B44" s="39" t="n">
        <v>21</v>
      </c>
      <c r="C44" s="39" t="n">
        <v>21</v>
      </c>
      <c r="D44" s="39" t="n">
        <f aca="false">COUNTIF(A타입_제작표!$I$2:$I$799,A44)</f>
        <v>20</v>
      </c>
      <c r="E44" s="39" t="n">
        <f aca="false">COUNTIFS(A타입_제작표!$I$2:$I$799,A44,A타입_제작표!$C$2:$C$799,1)</f>
        <v>6</v>
      </c>
      <c r="F44" s="39" t="n">
        <f aca="false">COUNTIFS(A타입_제작표!$I$2:$I$799,A44,A타입_제작표!$C$2:$C$799,2)</f>
        <v>14</v>
      </c>
      <c r="G44" s="39" t="n">
        <f aca="false">E44+F44</f>
        <v>20</v>
      </c>
      <c r="H44" s="40" t="str">
        <f aca="false">IF(G44=D44,"정상","확인 필요")</f>
        <v>정상</v>
      </c>
      <c r="I44" s="24" t="s">
        <v>9153</v>
      </c>
    </row>
    <row r="45" customFormat="false" ht="15" hidden="false" customHeight="false" outlineLevel="0" collapsed="false">
      <c r="A45" s="39" t="s">
        <v>2339</v>
      </c>
      <c r="B45" s="39" t="n">
        <v>4</v>
      </c>
      <c r="C45" s="39" t="n">
        <v>4</v>
      </c>
      <c r="D45" s="39" t="n">
        <f aca="false">COUNTIF(A타입_제작표!$I$2:$I$799,A45)</f>
        <v>5</v>
      </c>
      <c r="E45" s="39" t="n">
        <f aca="false">COUNTIFS(A타입_제작표!$I$2:$I$799,A45,A타입_제작표!$C$2:$C$799,1)</f>
        <v>4</v>
      </c>
      <c r="F45" s="39" t="n">
        <f aca="false">COUNTIFS(A타입_제작표!$I$2:$I$799,A45,A타입_제작표!$C$2:$C$799,2)</f>
        <v>1</v>
      </c>
      <c r="G45" s="39" t="n">
        <f aca="false">E45+F45</f>
        <v>5</v>
      </c>
      <c r="H45" s="40" t="str">
        <f aca="false">IF(G45=D45,"정상","확인 필요")</f>
        <v>정상</v>
      </c>
      <c r="I45" s="24" t="s">
        <v>9153</v>
      </c>
    </row>
    <row r="46" customFormat="false" ht="15" hidden="false" customHeight="false" outlineLevel="0" collapsed="false">
      <c r="A46" s="39" t="s">
        <v>2399</v>
      </c>
      <c r="B46" s="39" t="n">
        <v>31</v>
      </c>
      <c r="C46" s="39" t="n">
        <v>31</v>
      </c>
      <c r="D46" s="39" t="n">
        <f aca="false">COUNTIF(A타입_제작표!$I$2:$I$799,A46)</f>
        <v>28</v>
      </c>
      <c r="E46" s="39" t="n">
        <f aca="false">COUNTIFS(A타입_제작표!$I$2:$I$799,A46,A타입_제작표!$C$2:$C$799,1)</f>
        <v>12</v>
      </c>
      <c r="F46" s="39" t="n">
        <f aca="false">COUNTIFS(A타입_제작표!$I$2:$I$799,A46,A타입_제작표!$C$2:$C$799,2)</f>
        <v>16</v>
      </c>
      <c r="G46" s="39" t="n">
        <f aca="false">E46+F46</f>
        <v>28</v>
      </c>
      <c r="H46" s="40" t="str">
        <f aca="false">IF(G46=D46,"정상","확인 필요")</f>
        <v>정상</v>
      </c>
      <c r="I46" s="24" t="s">
        <v>9153</v>
      </c>
    </row>
    <row r="47" customFormat="false" ht="15" hidden="false" customHeight="false" outlineLevel="0" collapsed="false">
      <c r="A47" s="39" t="s">
        <v>2704</v>
      </c>
      <c r="B47" s="39" t="n">
        <v>24</v>
      </c>
      <c r="C47" s="39" t="n">
        <v>24</v>
      </c>
      <c r="D47" s="39" t="n">
        <f aca="false">COUNTIF(A타입_제작표!$I$2:$I$799,A47)</f>
        <v>21</v>
      </c>
      <c r="E47" s="39" t="n">
        <f aca="false">COUNTIFS(A타입_제작표!$I$2:$I$799,A47,A타입_제작표!$C$2:$C$799,1)</f>
        <v>7</v>
      </c>
      <c r="F47" s="39" t="n">
        <f aca="false">COUNTIFS(A타입_제작표!$I$2:$I$799,A47,A타입_제작표!$C$2:$C$799,2)</f>
        <v>14</v>
      </c>
      <c r="G47" s="39" t="n">
        <f aca="false">E47+F47</f>
        <v>21</v>
      </c>
      <c r="H47" s="40" t="str">
        <f aca="false">IF(G47=D47,"정상","확인 필요")</f>
        <v>정상</v>
      </c>
      <c r="I47" s="24" t="s">
        <v>9153</v>
      </c>
    </row>
    <row r="48" customFormat="false" ht="15" hidden="false" customHeight="false" outlineLevel="0" collapsed="false">
      <c r="A48" s="39" t="s">
        <v>2936</v>
      </c>
      <c r="B48" s="39" t="n">
        <v>22</v>
      </c>
      <c r="C48" s="39" t="n">
        <v>22</v>
      </c>
      <c r="D48" s="39" t="n">
        <f aca="false">COUNTIF(A타입_제작표!$I$2:$I$799,A48)</f>
        <v>23</v>
      </c>
      <c r="E48" s="39" t="n">
        <f aca="false">COUNTIFS(A타입_제작표!$I$2:$I$799,A48,A타입_제작표!$C$2:$C$799,1)</f>
        <v>12</v>
      </c>
      <c r="F48" s="39" t="n">
        <f aca="false">COUNTIFS(A타입_제작표!$I$2:$I$799,A48,A타입_제작표!$C$2:$C$799,2)</f>
        <v>11</v>
      </c>
      <c r="G48" s="39" t="n">
        <f aca="false">E48+F48</f>
        <v>23</v>
      </c>
      <c r="H48" s="40" t="str">
        <f aca="false">IF(G48=D48,"정상","확인 필요")</f>
        <v>정상</v>
      </c>
      <c r="I48" s="24" t="s">
        <v>9153</v>
      </c>
    </row>
    <row r="49" customFormat="false" ht="15" hidden="false" customHeight="false" outlineLevel="0" collapsed="false">
      <c r="A49" s="39" t="s">
        <v>3185</v>
      </c>
      <c r="B49" s="39" t="n">
        <v>25</v>
      </c>
      <c r="C49" s="39" t="n">
        <v>25</v>
      </c>
      <c r="D49" s="39" t="n">
        <f aca="false">COUNTIF(A타입_제작표!$I$2:$I$799,A49)</f>
        <v>28</v>
      </c>
      <c r="E49" s="39" t="n">
        <f aca="false">COUNTIFS(A타입_제작표!$I$2:$I$799,A49,A타입_제작표!$C$2:$C$799,1)</f>
        <v>10</v>
      </c>
      <c r="F49" s="39" t="n">
        <f aca="false">COUNTIFS(A타입_제작표!$I$2:$I$799,A49,A타입_제작표!$C$2:$C$799,2)</f>
        <v>18</v>
      </c>
      <c r="G49" s="39" t="n">
        <f aca="false">E49+F49</f>
        <v>28</v>
      </c>
      <c r="H49" s="40" t="str">
        <f aca="false">IF(G49=D49,"정상","확인 필요")</f>
        <v>정상</v>
      </c>
      <c r="I49" s="24" t="s">
        <v>9153</v>
      </c>
    </row>
    <row r="50" customFormat="false" ht="15" hidden="false" customHeight="false" outlineLevel="0" collapsed="false">
      <c r="A50" s="39" t="s">
        <v>3489</v>
      </c>
      <c r="B50" s="39" t="n">
        <v>29</v>
      </c>
      <c r="C50" s="39" t="n">
        <v>29</v>
      </c>
      <c r="D50" s="39" t="n">
        <f aca="false">COUNTIF(A타입_제작표!$I$2:$I$799,A50)</f>
        <v>7</v>
      </c>
      <c r="E50" s="39" t="n">
        <f aca="false">COUNTIFS(A타입_제작표!$I$2:$I$799,A50,A타입_제작표!$C$2:$C$799,1)</f>
        <v>0</v>
      </c>
      <c r="F50" s="39" t="n">
        <f aca="false">COUNTIFS(A타입_제작표!$I$2:$I$799,A50,A타입_제작표!$C$2:$C$799,2)</f>
        <v>7</v>
      </c>
      <c r="G50" s="39" t="n">
        <f aca="false">E50+F50</f>
        <v>7</v>
      </c>
      <c r="H50" s="40" t="str">
        <f aca="false">IF(G50=D50,"정상","확인 필요")</f>
        <v>정상</v>
      </c>
      <c r="I50" s="24" t="s">
        <v>9153</v>
      </c>
    </row>
    <row r="51" customFormat="false" ht="15" hidden="false" customHeight="false" outlineLevel="0" collapsed="false">
      <c r="A51" s="39" t="s">
        <v>3554</v>
      </c>
      <c r="B51" s="39" t="n">
        <v>36</v>
      </c>
      <c r="C51" s="39" t="n">
        <v>36</v>
      </c>
      <c r="D51" s="39" t="n">
        <f aca="false">COUNTIF(A타입_제작표!$I$2:$I$799,A51)</f>
        <v>8</v>
      </c>
      <c r="E51" s="39" t="n">
        <f aca="false">COUNTIFS(A타입_제작표!$I$2:$I$799,A51,A타입_제작표!$C$2:$C$799,1)</f>
        <v>2</v>
      </c>
      <c r="F51" s="39" t="n">
        <f aca="false">COUNTIFS(A타입_제작표!$I$2:$I$799,A51,A타입_제작표!$C$2:$C$799,2)</f>
        <v>6</v>
      </c>
      <c r="G51" s="39" t="n">
        <f aca="false">E51+F51</f>
        <v>8</v>
      </c>
      <c r="H51" s="40" t="str">
        <f aca="false">IF(G51=D51,"정상","확인 필요")</f>
        <v>정상</v>
      </c>
      <c r="I51" s="24" t="s">
        <v>9153</v>
      </c>
    </row>
    <row r="52" customFormat="false" ht="15" hidden="false" customHeight="false" outlineLevel="0" collapsed="false">
      <c r="A52" s="39" t="s">
        <v>3632</v>
      </c>
      <c r="B52" s="39" t="n">
        <v>10</v>
      </c>
      <c r="C52" s="39" t="n">
        <v>10</v>
      </c>
      <c r="D52" s="39" t="n">
        <f aca="false">COUNTIF(A타입_제작표!$I$2:$I$799,A52)</f>
        <v>8</v>
      </c>
      <c r="E52" s="39" t="n">
        <f aca="false">COUNTIFS(A타입_제작표!$I$2:$I$799,A52,A타입_제작표!$C$2:$C$799,1)</f>
        <v>2</v>
      </c>
      <c r="F52" s="39" t="n">
        <f aca="false">COUNTIFS(A타입_제작표!$I$2:$I$799,A52,A타입_제작표!$C$2:$C$799,2)</f>
        <v>6</v>
      </c>
      <c r="G52" s="39" t="n">
        <f aca="false">E52+F52</f>
        <v>8</v>
      </c>
      <c r="H52" s="40" t="str">
        <f aca="false">IF(G52=D52,"정상","확인 필요")</f>
        <v>정상</v>
      </c>
      <c r="I52" s="24" t="s">
        <v>9153</v>
      </c>
    </row>
    <row r="53" customFormat="false" ht="15" hidden="false" customHeight="false" outlineLevel="0" collapsed="false">
      <c r="A53" s="39" t="s">
        <v>3715</v>
      </c>
      <c r="B53" s="39" t="n">
        <v>13</v>
      </c>
      <c r="C53" s="39" t="n">
        <v>13</v>
      </c>
      <c r="D53" s="39" t="n">
        <f aca="false">COUNTIF(A타입_제작표!$I$2:$I$799,A53)</f>
        <v>9</v>
      </c>
      <c r="E53" s="39" t="n">
        <f aca="false">COUNTIFS(A타입_제작표!$I$2:$I$799,A53,A타입_제작표!$C$2:$C$799,1)</f>
        <v>4</v>
      </c>
      <c r="F53" s="39" t="n">
        <f aca="false">COUNTIFS(A타입_제작표!$I$2:$I$799,A53,A타입_제작표!$C$2:$C$799,2)</f>
        <v>5</v>
      </c>
      <c r="G53" s="39" t="n">
        <f aca="false">E53+F53</f>
        <v>9</v>
      </c>
      <c r="H53" s="40" t="str">
        <f aca="false">IF(G53=D53,"정상","확인 필요")</f>
        <v>정상</v>
      </c>
      <c r="I53" s="24" t="s">
        <v>9153</v>
      </c>
    </row>
    <row r="54" customFormat="false" ht="15" hidden="false" customHeight="false" outlineLevel="0" collapsed="false">
      <c r="A54" s="39" t="s">
        <v>3812</v>
      </c>
      <c r="B54" s="39" t="n">
        <v>10</v>
      </c>
      <c r="C54" s="39" t="n">
        <v>10</v>
      </c>
      <c r="D54" s="39" t="n">
        <f aca="false">COUNTIF(A타입_제작표!$I$2:$I$799,A54)</f>
        <v>10</v>
      </c>
      <c r="E54" s="39" t="n">
        <f aca="false">COUNTIFS(A타입_제작표!$I$2:$I$799,A54,A타입_제작표!$C$2:$C$799,1)</f>
        <v>5</v>
      </c>
      <c r="F54" s="39" t="n">
        <f aca="false">COUNTIFS(A타입_제작표!$I$2:$I$799,A54,A타입_제작표!$C$2:$C$799,2)</f>
        <v>5</v>
      </c>
      <c r="G54" s="39" t="n">
        <f aca="false">E54+F54</f>
        <v>10</v>
      </c>
      <c r="H54" s="40" t="str">
        <f aca="false">IF(G54=D54,"정상","확인 필요")</f>
        <v>정상</v>
      </c>
      <c r="I54" s="24" t="s">
        <v>9153</v>
      </c>
    </row>
    <row r="55" customFormat="false" ht="15" hidden="false" customHeight="false" outlineLevel="0" collapsed="false">
      <c r="A55" s="39" t="s">
        <v>3923</v>
      </c>
      <c r="B55" s="39" t="n">
        <v>42</v>
      </c>
      <c r="C55" s="39" t="n">
        <v>42</v>
      </c>
      <c r="D55" s="39" t="n">
        <f aca="false">COUNTIF(A타입_제작표!$I$2:$I$799,A55)</f>
        <v>11</v>
      </c>
      <c r="E55" s="39" t="n">
        <f aca="false">COUNTIFS(A타입_제작표!$I$2:$I$799,A55,A타입_제작표!$C$2:$C$799,1)</f>
        <v>5</v>
      </c>
      <c r="F55" s="39" t="n">
        <f aca="false">COUNTIFS(A타입_제작표!$I$2:$I$799,A55,A타입_제작표!$C$2:$C$799,2)</f>
        <v>6</v>
      </c>
      <c r="G55" s="39" t="n">
        <f aca="false">E55+F55</f>
        <v>11</v>
      </c>
      <c r="H55" s="40" t="str">
        <f aca="false">IF(G55=D55,"정상","확인 필요")</f>
        <v>정상</v>
      </c>
      <c r="I55" s="24" t="s">
        <v>9153</v>
      </c>
    </row>
    <row r="56" customFormat="false" ht="39.55" hidden="false" customHeight="false" outlineLevel="0" collapsed="false">
      <c r="A56" s="39" t="s">
        <v>4043</v>
      </c>
      <c r="B56" s="39" t="n">
        <v>150</v>
      </c>
      <c r="C56" s="39" t="n">
        <v>31</v>
      </c>
      <c r="D56" s="39" t="n">
        <f aca="false">COUNTIF(A타입_제작표!$I$2:$I$799,A56)</f>
        <v>31</v>
      </c>
      <c r="E56" s="39" t="n">
        <f aca="false">COUNTIFS(A타입_제작표!$I$2:$I$799,A56,A타입_제작표!$C$2:$C$799,1)</f>
        <v>6</v>
      </c>
      <c r="F56" s="39" t="n">
        <f aca="false">COUNTIFS(A타입_제작표!$I$2:$I$799,A56,A타입_제작표!$C$2:$C$799,2)</f>
        <v>25</v>
      </c>
      <c r="G56" s="39" t="n">
        <f aca="false">E56+F56</f>
        <v>31</v>
      </c>
      <c r="H56" s="40" t="str">
        <f aca="false">IF(G56=D56,"정상","확인 필요")</f>
        <v>정상</v>
      </c>
      <c r="I56" s="25" t="s">
        <v>9154</v>
      </c>
    </row>
    <row r="57" customFormat="false" ht="15" hidden="false" customHeight="false" outlineLevel="0" collapsed="false">
      <c r="A57" s="39" t="s">
        <v>4332</v>
      </c>
      <c r="B57" s="39" t="n">
        <v>31</v>
      </c>
      <c r="C57" s="39" t="n">
        <v>31</v>
      </c>
      <c r="D57" s="39" t="n">
        <f aca="false">COUNTIF(A타입_제작표!$I$2:$I$799,A57)</f>
        <v>9</v>
      </c>
      <c r="E57" s="39" t="n">
        <f aca="false">COUNTIFS(A타입_제작표!$I$2:$I$799,A57,A타입_제작표!$C$2:$C$799,1)</f>
        <v>1</v>
      </c>
      <c r="F57" s="39" t="n">
        <f aca="false">COUNTIFS(A타입_제작표!$I$2:$I$799,A57,A타입_제작표!$C$2:$C$799,2)</f>
        <v>8</v>
      </c>
      <c r="G57" s="39" t="n">
        <f aca="false">E57+F57</f>
        <v>9</v>
      </c>
      <c r="H57" s="40" t="str">
        <f aca="false">IF(G57=D57,"정상","확인 필요")</f>
        <v>정상</v>
      </c>
      <c r="I57" s="24" t="s">
        <v>9153</v>
      </c>
    </row>
    <row r="58" customFormat="false" ht="15" hidden="false" customHeight="false" outlineLevel="0" collapsed="false">
      <c r="A58" s="39" t="s">
        <v>4420</v>
      </c>
      <c r="B58" s="39" t="n">
        <v>12</v>
      </c>
      <c r="C58" s="39" t="n">
        <v>12</v>
      </c>
      <c r="D58" s="39" t="n">
        <f aca="false">COUNTIF(A타입_제작표!$I$2:$I$799,A58)</f>
        <v>5</v>
      </c>
      <c r="E58" s="39" t="n">
        <f aca="false">COUNTIFS(A타입_제작표!$I$2:$I$799,A58,A타입_제작표!$C$2:$C$799,1)</f>
        <v>1</v>
      </c>
      <c r="F58" s="39" t="n">
        <f aca="false">COUNTIFS(A타입_제작표!$I$2:$I$799,A58,A타입_제작표!$C$2:$C$799,2)</f>
        <v>4</v>
      </c>
      <c r="G58" s="39" t="n">
        <f aca="false">E58+F58</f>
        <v>5</v>
      </c>
      <c r="H58" s="40" t="str">
        <f aca="false">IF(G58=D58,"정상","확인 필요")</f>
        <v>정상</v>
      </c>
      <c r="I58" s="24" t="s">
        <v>9153</v>
      </c>
    </row>
    <row r="59" customFormat="false" ht="15" hidden="false" customHeight="false" outlineLevel="0" collapsed="false">
      <c r="A59" s="39" t="s">
        <v>4467</v>
      </c>
      <c r="B59" s="39" t="n">
        <v>8</v>
      </c>
      <c r="C59" s="39" t="n">
        <v>8</v>
      </c>
      <c r="D59" s="39" t="n">
        <f aca="false">COUNTIF(A타입_제작표!$I$2:$I$799,A59)</f>
        <v>3</v>
      </c>
      <c r="E59" s="39" t="n">
        <f aca="false">COUNTIFS(A타입_제작표!$I$2:$I$799,A59,A타입_제작표!$C$2:$C$799,1)</f>
        <v>0</v>
      </c>
      <c r="F59" s="39" t="n">
        <f aca="false">COUNTIFS(A타입_제작표!$I$2:$I$799,A59,A타입_제작표!$C$2:$C$799,2)</f>
        <v>3</v>
      </c>
      <c r="G59" s="39" t="n">
        <f aca="false">E59+F59</f>
        <v>3</v>
      </c>
      <c r="H59" s="40" t="str">
        <f aca="false">IF(G59=D59,"정상","확인 필요")</f>
        <v>정상</v>
      </c>
      <c r="I59" s="24" t="s">
        <v>9153</v>
      </c>
    </row>
    <row r="60" customFormat="false" ht="15" hidden="false" customHeight="false" outlineLevel="0" collapsed="false">
      <c r="A60" s="39" t="s">
        <v>4497</v>
      </c>
      <c r="B60" s="39" t="n">
        <v>66</v>
      </c>
      <c r="C60" s="39" t="n">
        <v>66</v>
      </c>
      <c r="D60" s="39" t="n">
        <f aca="false">COUNTIF(A타입_제작표!$I$2:$I$799,A60)</f>
        <v>26</v>
      </c>
      <c r="E60" s="39" t="n">
        <f aca="false">COUNTIFS(A타입_제작표!$I$2:$I$799,A60,A타입_제작표!$C$2:$C$799,1)</f>
        <v>5</v>
      </c>
      <c r="F60" s="39" t="n">
        <f aca="false">COUNTIFS(A타입_제작표!$I$2:$I$799,A60,A타입_제작표!$C$2:$C$799,2)</f>
        <v>21</v>
      </c>
      <c r="G60" s="39" t="n">
        <f aca="false">E60+F60</f>
        <v>26</v>
      </c>
      <c r="H60" s="40" t="str">
        <f aca="false">IF(G60=D60,"정상","확인 필요")</f>
        <v>정상</v>
      </c>
      <c r="I60" s="24" t="s">
        <v>9153</v>
      </c>
    </row>
    <row r="61" customFormat="false" ht="15" hidden="false" customHeight="false" outlineLevel="0" collapsed="false">
      <c r="A61" s="39" t="s">
        <v>4750</v>
      </c>
      <c r="B61" s="39" t="n">
        <v>52</v>
      </c>
      <c r="C61" s="39" t="n">
        <v>52</v>
      </c>
      <c r="D61" s="39" t="n">
        <f aca="false">COUNTIF(A타입_제작표!$I$2:$I$799,A61)</f>
        <v>20</v>
      </c>
      <c r="E61" s="39" t="n">
        <f aca="false">COUNTIFS(A타입_제작표!$I$2:$I$799,A61,A타입_제작표!$C$2:$C$799,1)</f>
        <v>4</v>
      </c>
      <c r="F61" s="39" t="n">
        <f aca="false">COUNTIFS(A타입_제작표!$I$2:$I$799,A61,A타입_제작표!$C$2:$C$799,2)</f>
        <v>16</v>
      </c>
      <c r="G61" s="39" t="n">
        <f aca="false">E61+F61</f>
        <v>20</v>
      </c>
      <c r="H61" s="40" t="str">
        <f aca="false">IF(G61=D61,"정상","확인 필요")</f>
        <v>정상</v>
      </c>
      <c r="I61" s="24" t="s">
        <v>9153</v>
      </c>
    </row>
    <row r="62" customFormat="false" ht="15" hidden="false" customHeight="false" outlineLevel="0" collapsed="false">
      <c r="A62" s="39" t="s">
        <v>4942</v>
      </c>
      <c r="B62" s="39" t="n">
        <v>5</v>
      </c>
      <c r="C62" s="39" t="n">
        <v>5</v>
      </c>
      <c r="D62" s="39" t="n">
        <f aca="false">COUNTIF(A타입_제작표!$I$2:$I$799,A62)</f>
        <v>3</v>
      </c>
      <c r="E62" s="39" t="n">
        <f aca="false">COUNTIFS(A타입_제작표!$I$2:$I$799,A62,A타입_제작표!$C$2:$C$799,1)</f>
        <v>1</v>
      </c>
      <c r="F62" s="39" t="n">
        <f aca="false">COUNTIFS(A타입_제작표!$I$2:$I$799,A62,A타입_제작표!$C$2:$C$799,2)</f>
        <v>2</v>
      </c>
      <c r="G62" s="39" t="n">
        <f aca="false">E62+F62</f>
        <v>3</v>
      </c>
      <c r="H62" s="40" t="str">
        <f aca="false">IF(G62=D62,"정상","확인 필요")</f>
        <v>정상</v>
      </c>
      <c r="I62" s="24" t="s">
        <v>9153</v>
      </c>
    </row>
    <row r="63" customFormat="false" ht="15" hidden="false" customHeight="false" outlineLevel="0" collapsed="false">
      <c r="A63" s="39" t="s">
        <v>4973</v>
      </c>
      <c r="B63" s="39" t="n">
        <v>48</v>
      </c>
      <c r="C63" s="39" t="n">
        <v>48</v>
      </c>
      <c r="D63" s="39" t="n">
        <f aca="false">COUNTIF(A타입_제작표!$I$2:$I$799,A63)</f>
        <v>14</v>
      </c>
      <c r="E63" s="39" t="n">
        <f aca="false">COUNTIFS(A타입_제작표!$I$2:$I$799,A63,A타입_제작표!$C$2:$C$799,1)</f>
        <v>1</v>
      </c>
      <c r="F63" s="39" t="n">
        <f aca="false">COUNTIFS(A타입_제작표!$I$2:$I$799,A63,A타입_제작표!$C$2:$C$799,2)</f>
        <v>13</v>
      </c>
      <c r="G63" s="39" t="n">
        <f aca="false">E63+F63</f>
        <v>14</v>
      </c>
      <c r="H63" s="40" t="str">
        <f aca="false">IF(G63=D63,"정상","확인 필요")</f>
        <v>정상</v>
      </c>
      <c r="I63" s="24" t="s">
        <v>9153</v>
      </c>
    </row>
    <row r="64" customFormat="false" ht="15" hidden="false" customHeight="false" outlineLevel="0" collapsed="false">
      <c r="A64" s="39" t="s">
        <v>5102</v>
      </c>
      <c r="B64" s="39" t="n">
        <v>12</v>
      </c>
      <c r="C64" s="39" t="n">
        <v>12</v>
      </c>
      <c r="D64" s="39" t="n">
        <f aca="false">COUNTIF(A타입_제작표!$I$2:$I$799,A64)</f>
        <v>13</v>
      </c>
      <c r="E64" s="39" t="n">
        <f aca="false">COUNTIFS(A타입_제작표!$I$2:$I$799,A64,A타입_제작표!$C$2:$C$799,1)</f>
        <v>7</v>
      </c>
      <c r="F64" s="39" t="n">
        <f aca="false">COUNTIFS(A타입_제작표!$I$2:$I$799,A64,A타입_제작표!$C$2:$C$799,2)</f>
        <v>6</v>
      </c>
      <c r="G64" s="39" t="n">
        <f aca="false">E64+F64</f>
        <v>13</v>
      </c>
      <c r="H64" s="40" t="str">
        <f aca="false">IF(G64=D64,"정상","확인 필요")</f>
        <v>정상</v>
      </c>
      <c r="I64" s="24" t="s">
        <v>9153</v>
      </c>
    </row>
    <row r="65" customFormat="false" ht="15" hidden="false" customHeight="false" outlineLevel="0" collapsed="false">
      <c r="A65" s="39" t="s">
        <v>5241</v>
      </c>
      <c r="B65" s="39" t="n">
        <v>14</v>
      </c>
      <c r="C65" s="39" t="n">
        <v>14</v>
      </c>
      <c r="D65" s="39" t="n">
        <f aca="false">COUNTIF(A타입_제작표!$I$2:$I$799,A65)</f>
        <v>4</v>
      </c>
      <c r="E65" s="39" t="n">
        <f aca="false">COUNTIFS(A타입_제작표!$I$2:$I$799,A65,A타입_제작표!$C$2:$C$799,1)</f>
        <v>0</v>
      </c>
      <c r="F65" s="39" t="n">
        <f aca="false">COUNTIFS(A타입_제작표!$I$2:$I$799,A65,A타입_제작표!$C$2:$C$799,2)</f>
        <v>4</v>
      </c>
      <c r="G65" s="39" t="n">
        <f aca="false">E65+F65</f>
        <v>4</v>
      </c>
      <c r="H65" s="40" t="str">
        <f aca="false">IF(G65=D65,"정상","확인 필요")</f>
        <v>정상</v>
      </c>
      <c r="I65" s="24" t="s">
        <v>9153</v>
      </c>
    </row>
    <row r="66" customFormat="false" ht="15" hidden="false" customHeight="false" outlineLevel="0" collapsed="false">
      <c r="A66" s="39" t="s">
        <v>5277</v>
      </c>
      <c r="B66" s="39" t="n">
        <v>3</v>
      </c>
      <c r="C66" s="39" t="n">
        <v>3</v>
      </c>
      <c r="D66" s="39" t="n">
        <f aca="false">COUNTIF(A타입_제작표!$I$2:$I$799,A66)</f>
        <v>3</v>
      </c>
      <c r="E66" s="39" t="n">
        <f aca="false">COUNTIFS(A타입_제작표!$I$2:$I$799,A66,A타입_제작표!$C$2:$C$799,1)</f>
        <v>0</v>
      </c>
      <c r="F66" s="39" t="n">
        <f aca="false">COUNTIFS(A타입_제작표!$I$2:$I$799,A66,A타입_제작표!$C$2:$C$799,2)</f>
        <v>3</v>
      </c>
      <c r="G66" s="39" t="n">
        <f aca="false">E66+F66</f>
        <v>3</v>
      </c>
      <c r="H66" s="40" t="str">
        <f aca="false">IF(G66=D66,"정상","확인 필요")</f>
        <v>정상</v>
      </c>
      <c r="I66" s="24" t="s">
        <v>9153</v>
      </c>
    </row>
    <row r="67" customFormat="false" ht="15" hidden="false" customHeight="false" outlineLevel="0" collapsed="false">
      <c r="A67" s="39" t="s">
        <v>5303</v>
      </c>
      <c r="B67" s="39" t="n">
        <v>9</v>
      </c>
      <c r="C67" s="39" t="n">
        <v>9</v>
      </c>
      <c r="D67" s="39" t="n">
        <f aca="false">COUNTIF(A타입_제작표!$I$2:$I$799,A67)</f>
        <v>4</v>
      </c>
      <c r="E67" s="39" t="n">
        <f aca="false">COUNTIFS(A타입_제작표!$I$2:$I$799,A67,A타입_제작표!$C$2:$C$799,1)</f>
        <v>0</v>
      </c>
      <c r="F67" s="39" t="n">
        <f aca="false">COUNTIFS(A타입_제작표!$I$2:$I$799,A67,A타입_제작표!$C$2:$C$799,2)</f>
        <v>4</v>
      </c>
      <c r="G67" s="39" t="n">
        <f aca="false">E67+F67</f>
        <v>4</v>
      </c>
      <c r="H67" s="40" t="str">
        <f aca="false">IF(G67=D67,"정상","확인 필요")</f>
        <v>정상</v>
      </c>
      <c r="I67" s="24" t="s">
        <v>9153</v>
      </c>
    </row>
    <row r="68" customFormat="false" ht="15" hidden="false" customHeight="false" outlineLevel="0" collapsed="false">
      <c r="A68" s="39" t="s">
        <v>5339</v>
      </c>
      <c r="B68" s="39" t="n">
        <v>1</v>
      </c>
      <c r="C68" s="39" t="n">
        <v>1</v>
      </c>
      <c r="D68" s="39" t="n">
        <f aca="false">COUNTIF(A타입_제작표!$I$2:$I$799,A68)</f>
        <v>1</v>
      </c>
      <c r="E68" s="39" t="n">
        <f aca="false">COUNTIFS(A타입_제작표!$I$2:$I$799,A68,A타입_제작표!$C$2:$C$799,1)</f>
        <v>0</v>
      </c>
      <c r="F68" s="39" t="n">
        <f aca="false">COUNTIFS(A타입_제작표!$I$2:$I$799,A68,A타입_제작표!$C$2:$C$799,2)</f>
        <v>1</v>
      </c>
      <c r="G68" s="39" t="n">
        <f aca="false">E68+F68</f>
        <v>1</v>
      </c>
      <c r="H68" s="40" t="str">
        <f aca="false">IF(G68=D68,"정상","확인 필요")</f>
        <v>정상</v>
      </c>
      <c r="I68" s="24" t="s">
        <v>9153</v>
      </c>
    </row>
    <row r="69" customFormat="false" ht="15" hidden="false" customHeight="false" outlineLevel="0" collapsed="false">
      <c r="A69" s="39" t="s">
        <v>5349</v>
      </c>
      <c r="B69" s="39" t="n">
        <v>4</v>
      </c>
      <c r="C69" s="39" t="n">
        <v>4</v>
      </c>
      <c r="D69" s="39" t="n">
        <f aca="false">COUNTIF(A타입_제작표!$I$2:$I$799,A69)</f>
        <v>5</v>
      </c>
      <c r="E69" s="39" t="n">
        <f aca="false">COUNTIFS(A타입_제작표!$I$2:$I$799,A69,A타입_제작표!$C$2:$C$799,1)</f>
        <v>5</v>
      </c>
      <c r="F69" s="39" t="n">
        <f aca="false">COUNTIFS(A타입_제작표!$I$2:$I$799,A69,A타입_제작표!$C$2:$C$799,2)</f>
        <v>0</v>
      </c>
      <c r="G69" s="39" t="n">
        <f aca="false">E69+F69</f>
        <v>5</v>
      </c>
      <c r="H69" s="40" t="str">
        <f aca="false">IF(G69=D69,"정상","확인 필요")</f>
        <v>정상</v>
      </c>
      <c r="I69" s="24" t="s">
        <v>9153</v>
      </c>
    </row>
    <row r="70" customFormat="false" ht="15" hidden="false" customHeight="false" outlineLevel="0" collapsed="false">
      <c r="A70" s="39" t="s">
        <v>5405</v>
      </c>
      <c r="B70" s="39" t="n">
        <v>7</v>
      </c>
      <c r="C70" s="39" t="n">
        <v>7</v>
      </c>
      <c r="D70" s="39" t="n">
        <f aca="false">COUNTIF(A타입_제작표!$I$2:$I$799,A70)</f>
        <v>3</v>
      </c>
      <c r="E70" s="39" t="n">
        <f aca="false">COUNTIFS(A타입_제작표!$I$2:$I$799,A70,A타입_제작표!$C$2:$C$799,1)</f>
        <v>1</v>
      </c>
      <c r="F70" s="39" t="n">
        <f aca="false">COUNTIFS(A타입_제작표!$I$2:$I$799,A70,A타입_제작표!$C$2:$C$799,2)</f>
        <v>2</v>
      </c>
      <c r="G70" s="39" t="n">
        <f aca="false">E70+F70</f>
        <v>3</v>
      </c>
      <c r="H70" s="40" t="str">
        <f aca="false">IF(G70=D70,"정상","확인 필요")</f>
        <v>정상</v>
      </c>
      <c r="I70" s="24" t="s">
        <v>9153</v>
      </c>
    </row>
    <row r="71" customFormat="false" ht="15" hidden="false" customHeight="false" outlineLevel="0" collapsed="false">
      <c r="A71" s="39" t="s">
        <v>5435</v>
      </c>
      <c r="B71" s="39" t="n">
        <v>3</v>
      </c>
      <c r="C71" s="39" t="n">
        <v>3</v>
      </c>
      <c r="D71" s="39" t="n">
        <f aca="false">COUNTIF(A타입_제작표!$I$2:$I$799,A71)</f>
        <v>1</v>
      </c>
      <c r="E71" s="39" t="n">
        <f aca="false">COUNTIFS(A타입_제작표!$I$2:$I$799,A71,A타입_제작표!$C$2:$C$799,1)</f>
        <v>0</v>
      </c>
      <c r="F71" s="39" t="n">
        <f aca="false">COUNTIFS(A타입_제작표!$I$2:$I$799,A71,A타입_제작표!$C$2:$C$799,2)</f>
        <v>1</v>
      </c>
      <c r="G71" s="39" t="n">
        <f aca="false">E71+F71</f>
        <v>1</v>
      </c>
      <c r="H71" s="40" t="str">
        <f aca="false">IF(G71=D71,"정상","확인 필요")</f>
        <v>정상</v>
      </c>
      <c r="I71" s="24" t="s">
        <v>9153</v>
      </c>
    </row>
    <row r="72" customFormat="false" ht="15" hidden="false" customHeight="false" outlineLevel="0" collapsed="false">
      <c r="A72" s="39" t="s">
        <v>5446</v>
      </c>
      <c r="B72" s="39" t="n">
        <v>3</v>
      </c>
      <c r="C72" s="39" t="n">
        <v>3</v>
      </c>
      <c r="D72" s="39" t="n">
        <f aca="false">COUNTIF(A타입_제작표!$I$2:$I$799,A72)</f>
        <v>3</v>
      </c>
      <c r="E72" s="39" t="n">
        <f aca="false">COUNTIFS(A타입_제작표!$I$2:$I$799,A72,A타입_제작표!$C$2:$C$799,1)</f>
        <v>1</v>
      </c>
      <c r="F72" s="39" t="n">
        <f aca="false">COUNTIFS(A타입_제작표!$I$2:$I$799,A72,A타입_제작표!$C$2:$C$799,2)</f>
        <v>2</v>
      </c>
      <c r="G72" s="39" t="n">
        <f aca="false">E72+F72</f>
        <v>3</v>
      </c>
      <c r="H72" s="40" t="str">
        <f aca="false">IF(G72=D72,"정상","확인 필요")</f>
        <v>정상</v>
      </c>
      <c r="I72" s="24" t="s">
        <v>9153</v>
      </c>
    </row>
    <row r="73" customFormat="false" ht="15" hidden="false" customHeight="false" outlineLevel="0" collapsed="false">
      <c r="A73" s="39" t="s">
        <v>5475</v>
      </c>
      <c r="B73" s="39" t="n">
        <v>3</v>
      </c>
      <c r="C73" s="39" t="n">
        <v>3</v>
      </c>
      <c r="D73" s="39" t="n">
        <f aca="false">COUNTIF(A타입_제작표!$I$2:$I$799,A73)</f>
        <v>2</v>
      </c>
      <c r="E73" s="39" t="n">
        <f aca="false">COUNTIFS(A타입_제작표!$I$2:$I$799,A73,A타입_제작표!$C$2:$C$799,1)</f>
        <v>0</v>
      </c>
      <c r="F73" s="39" t="n">
        <f aca="false">COUNTIFS(A타입_제작표!$I$2:$I$799,A73,A타입_제작표!$C$2:$C$799,2)</f>
        <v>2</v>
      </c>
      <c r="G73" s="39" t="n">
        <f aca="false">E73+F73</f>
        <v>2</v>
      </c>
      <c r="H73" s="40" t="str">
        <f aca="false">IF(G73=D73,"정상","확인 필요")</f>
        <v>정상</v>
      </c>
      <c r="I73" s="24" t="s">
        <v>9153</v>
      </c>
    </row>
    <row r="74" customFormat="false" ht="15" hidden="false" customHeight="false" outlineLevel="0" collapsed="false">
      <c r="A74" s="39" t="s">
        <v>5493</v>
      </c>
      <c r="B74" s="39" t="n">
        <v>2</v>
      </c>
      <c r="C74" s="39" t="n">
        <v>2</v>
      </c>
      <c r="D74" s="39" t="n">
        <f aca="false">COUNTIF(A타입_제작표!$I$2:$I$799,A74)</f>
        <v>2</v>
      </c>
      <c r="E74" s="39" t="n">
        <f aca="false">COUNTIFS(A타입_제작표!$I$2:$I$799,A74,A타입_제작표!$C$2:$C$799,1)</f>
        <v>0</v>
      </c>
      <c r="F74" s="39" t="n">
        <f aca="false">COUNTIFS(A타입_제작표!$I$2:$I$799,A74,A타입_제작표!$C$2:$C$799,2)</f>
        <v>2</v>
      </c>
      <c r="G74" s="39" t="n">
        <f aca="false">E74+F74</f>
        <v>2</v>
      </c>
      <c r="H74" s="40" t="str">
        <f aca="false">IF(G74=D74,"정상","확인 필요")</f>
        <v>정상</v>
      </c>
      <c r="I74" s="24" t="s">
        <v>9153</v>
      </c>
    </row>
    <row r="75" customFormat="false" ht="15" hidden="false" customHeight="false" outlineLevel="0" collapsed="false">
      <c r="A75" s="39" t="s">
        <v>5512</v>
      </c>
      <c r="B75" s="39" t="n">
        <v>14</v>
      </c>
      <c r="C75" s="39" t="n">
        <v>14</v>
      </c>
      <c r="D75" s="39" t="n">
        <f aca="false">COUNTIF(A타입_제작표!$I$2:$I$799,A75)</f>
        <v>4</v>
      </c>
      <c r="E75" s="39" t="n">
        <f aca="false">COUNTIFS(A타입_제작표!$I$2:$I$799,A75,A타입_제작표!$C$2:$C$799,1)</f>
        <v>0</v>
      </c>
      <c r="F75" s="39" t="n">
        <f aca="false">COUNTIFS(A타입_제작표!$I$2:$I$799,A75,A타입_제작표!$C$2:$C$799,2)</f>
        <v>4</v>
      </c>
      <c r="G75" s="39" t="n">
        <f aca="false">E75+F75</f>
        <v>4</v>
      </c>
      <c r="H75" s="40" t="str">
        <f aca="false">IF(G75=D75,"정상","확인 필요")</f>
        <v>정상</v>
      </c>
      <c r="I75" s="24" t="s">
        <v>9153</v>
      </c>
    </row>
    <row r="76" customFormat="false" ht="15" hidden="false" customHeight="false" outlineLevel="0" collapsed="false">
      <c r="A76" s="39" t="s">
        <v>5550</v>
      </c>
      <c r="B76" s="39" t="n">
        <v>4</v>
      </c>
      <c r="C76" s="39" t="n">
        <v>4</v>
      </c>
      <c r="D76" s="39" t="n">
        <f aca="false">COUNTIF(A타입_제작표!$I$2:$I$799,A76)</f>
        <v>3</v>
      </c>
      <c r="E76" s="39" t="n">
        <f aca="false">COUNTIFS(A타입_제작표!$I$2:$I$799,A76,A타입_제작표!$C$2:$C$799,1)</f>
        <v>1</v>
      </c>
      <c r="F76" s="39" t="n">
        <f aca="false">COUNTIFS(A타입_제작표!$I$2:$I$799,A76,A타입_제작표!$C$2:$C$799,2)</f>
        <v>2</v>
      </c>
      <c r="G76" s="39" t="n">
        <f aca="false">E76+F76</f>
        <v>3</v>
      </c>
      <c r="H76" s="40" t="str">
        <f aca="false">IF(G76=D76,"정상","확인 필요")</f>
        <v>정상</v>
      </c>
      <c r="I76" s="24" t="s">
        <v>9153</v>
      </c>
    </row>
    <row r="77" customFormat="false" ht="15" hidden="false" customHeight="false" outlineLevel="0" collapsed="false">
      <c r="A77" s="39" t="s">
        <v>5584</v>
      </c>
      <c r="B77" s="39" t="n">
        <v>28</v>
      </c>
      <c r="C77" s="39" t="n">
        <v>28</v>
      </c>
      <c r="D77" s="39" t="n">
        <f aca="false">COUNTIF(A타입_제작표!$I$2:$I$799,A77)</f>
        <v>55</v>
      </c>
      <c r="E77" s="39" t="n">
        <f aca="false">COUNTIFS(A타입_제작표!$I$2:$I$799,A77,A타입_제작표!$C$2:$C$799,1)</f>
        <v>32</v>
      </c>
      <c r="F77" s="39" t="n">
        <f aca="false">COUNTIFS(A타입_제작표!$I$2:$I$799,A77,A타입_제작표!$C$2:$C$799,2)</f>
        <v>23</v>
      </c>
      <c r="G77" s="39" t="n">
        <f aca="false">E77+F77</f>
        <v>55</v>
      </c>
      <c r="H77" s="40" t="str">
        <f aca="false">IF(G77=D77,"정상","확인 필요")</f>
        <v>정상</v>
      </c>
      <c r="I77" s="24" t="s">
        <v>9153</v>
      </c>
    </row>
    <row r="78" customFormat="false" ht="26.85" hidden="false" customHeight="false" outlineLevel="0" collapsed="false">
      <c r="A78" s="39" t="s">
        <v>6176</v>
      </c>
      <c r="B78" s="39" t="n">
        <v>16</v>
      </c>
      <c r="C78" s="39" t="n">
        <v>10</v>
      </c>
      <c r="D78" s="39" t="n">
        <f aca="false">COUNTIF(A타입_제작표!$I$2:$I$799,A78)</f>
        <v>12</v>
      </c>
      <c r="E78" s="39" t="n">
        <f aca="false">COUNTIFS(A타입_제작표!$I$2:$I$799,A78,A타입_제작표!$C$2:$C$799,1)</f>
        <v>5</v>
      </c>
      <c r="F78" s="39" t="n">
        <f aca="false">COUNTIFS(A타입_제작표!$I$2:$I$799,A78,A타입_제작표!$C$2:$C$799,2)</f>
        <v>7</v>
      </c>
      <c r="G78" s="39" t="n">
        <f aca="false">E78+F78</f>
        <v>12</v>
      </c>
      <c r="H78" s="40" t="str">
        <f aca="false">IF(G78=D78,"정상","확인 필요")</f>
        <v>정상</v>
      </c>
      <c r="I78" s="28" t="s">
        <v>9155</v>
      </c>
    </row>
    <row r="79" customFormat="false" ht="26.85" hidden="false" customHeight="false" outlineLevel="0" collapsed="false">
      <c r="A79" s="39" t="s">
        <v>6312</v>
      </c>
      <c r="B79" s="39" t="n">
        <v>24</v>
      </c>
      <c r="C79" s="39" t="n">
        <v>18</v>
      </c>
      <c r="D79" s="39" t="n">
        <f aca="false">COUNTIF(A타입_제작표!$I$2:$I$799,A79)</f>
        <v>28</v>
      </c>
      <c r="E79" s="39" t="n">
        <f aca="false">COUNTIFS(A타입_제작표!$I$2:$I$799,A79,A타입_제작표!$C$2:$C$799,1)</f>
        <v>17</v>
      </c>
      <c r="F79" s="39" t="n">
        <f aca="false">COUNTIFS(A타입_제작표!$I$2:$I$799,A79,A타입_제작표!$C$2:$C$799,2)</f>
        <v>11</v>
      </c>
      <c r="G79" s="39" t="n">
        <f aca="false">E79+F79</f>
        <v>28</v>
      </c>
      <c r="H79" s="40" t="str">
        <f aca="false">IF(G79=D79,"정상","확인 필요")</f>
        <v>정상</v>
      </c>
      <c r="I79" s="28" t="s">
        <v>9156</v>
      </c>
    </row>
    <row r="80" customFormat="false" ht="15" hidden="false" customHeight="false" outlineLevel="0" collapsed="false">
      <c r="A80" s="39" t="s">
        <v>6612</v>
      </c>
      <c r="B80" s="39" t="n">
        <v>21</v>
      </c>
      <c r="C80" s="39" t="n">
        <v>21</v>
      </c>
      <c r="D80" s="39" t="n">
        <f aca="false">COUNTIF(A타입_제작표!$I$2:$I$799,A80)</f>
        <v>30</v>
      </c>
      <c r="E80" s="39" t="n">
        <f aca="false">COUNTIFS(A타입_제작표!$I$2:$I$799,A80,A타입_제작표!$C$2:$C$799,1)</f>
        <v>18</v>
      </c>
      <c r="F80" s="39" t="n">
        <f aca="false">COUNTIFS(A타입_제작표!$I$2:$I$799,A80,A타입_제작표!$C$2:$C$799,2)</f>
        <v>12</v>
      </c>
      <c r="G80" s="39" t="n">
        <f aca="false">E80+F80</f>
        <v>30</v>
      </c>
      <c r="H80" s="40" t="str">
        <f aca="false">IF(G80=D80,"정상","확인 필요")</f>
        <v>정상</v>
      </c>
      <c r="I80" s="24" t="s">
        <v>9153</v>
      </c>
    </row>
    <row r="81" customFormat="false" ht="15" hidden="false" customHeight="false" outlineLevel="0" collapsed="false">
      <c r="A81" s="39" t="s">
        <v>6940</v>
      </c>
      <c r="B81" s="39" t="n">
        <v>28</v>
      </c>
      <c r="C81" s="39" t="n">
        <v>28</v>
      </c>
      <c r="D81" s="39" t="n">
        <f aca="false">COUNTIF(A타입_제작표!$I$2:$I$799,A81)</f>
        <v>38</v>
      </c>
      <c r="E81" s="39" t="n">
        <f aca="false">COUNTIFS(A타입_제작표!$I$2:$I$799,A81,A타입_제작표!$C$2:$C$799,1)</f>
        <v>18</v>
      </c>
      <c r="F81" s="39" t="n">
        <f aca="false">COUNTIFS(A타입_제작표!$I$2:$I$799,A81,A타입_제작표!$C$2:$C$799,2)</f>
        <v>20</v>
      </c>
      <c r="G81" s="39" t="n">
        <f aca="false">E81+F81</f>
        <v>38</v>
      </c>
      <c r="H81" s="40" t="str">
        <f aca="false">IF(G81=D81,"정상","확인 필요")</f>
        <v>정상</v>
      </c>
      <c r="I81" s="24" t="s">
        <v>9153</v>
      </c>
    </row>
    <row r="82" customFormat="false" ht="15" hidden="false" customHeight="false" outlineLevel="0" collapsed="false">
      <c r="A82" s="39" t="s">
        <v>7361</v>
      </c>
      <c r="B82" s="39" t="n">
        <v>16</v>
      </c>
      <c r="C82" s="39" t="n">
        <v>16</v>
      </c>
      <c r="D82" s="39" t="n">
        <f aca="false">COUNTIF(A타입_제작표!$I$2:$I$799,A82)</f>
        <v>13</v>
      </c>
      <c r="E82" s="39" t="n">
        <f aca="false">COUNTIFS(A타입_제작표!$I$2:$I$799,A82,A타입_제작표!$C$2:$C$799,1)</f>
        <v>2</v>
      </c>
      <c r="F82" s="39" t="n">
        <f aca="false">COUNTIFS(A타입_제작표!$I$2:$I$799,A82,A타입_제작표!$C$2:$C$799,2)</f>
        <v>11</v>
      </c>
      <c r="G82" s="39" t="n">
        <f aca="false">E82+F82</f>
        <v>13</v>
      </c>
      <c r="H82" s="40" t="str">
        <f aca="false">IF(G82=D82,"정상","확인 필요")</f>
        <v>정상</v>
      </c>
      <c r="I82" s="24" t="s">
        <v>9153</v>
      </c>
    </row>
    <row r="83" customFormat="false" ht="15" hidden="false" customHeight="false" outlineLevel="0" collapsed="false">
      <c r="A83" s="39" t="s">
        <v>7483</v>
      </c>
      <c r="B83" s="39" t="n">
        <v>16</v>
      </c>
      <c r="C83" s="39" t="n">
        <v>16</v>
      </c>
      <c r="D83" s="39" t="n">
        <f aca="false">COUNTIF(A타입_제작표!$I$2:$I$799,A83)</f>
        <v>10</v>
      </c>
      <c r="E83" s="39" t="n">
        <f aca="false">COUNTIFS(A타입_제작표!$I$2:$I$799,A83,A타입_제작표!$C$2:$C$799,1)</f>
        <v>2</v>
      </c>
      <c r="F83" s="39" t="n">
        <f aca="false">COUNTIFS(A타입_제작표!$I$2:$I$799,A83,A타입_제작표!$C$2:$C$799,2)</f>
        <v>8</v>
      </c>
      <c r="G83" s="39" t="n">
        <f aca="false">E83+F83</f>
        <v>10</v>
      </c>
      <c r="H83" s="40" t="str">
        <f aca="false">IF(G83=D83,"정상","확인 필요")</f>
        <v>정상</v>
      </c>
      <c r="I83" s="24" t="s">
        <v>9153</v>
      </c>
    </row>
    <row r="84" customFormat="false" ht="15" hidden="false" customHeight="false" outlineLevel="0" collapsed="false">
      <c r="A84" s="39" t="s">
        <v>7580</v>
      </c>
      <c r="B84" s="39" t="n">
        <v>13</v>
      </c>
      <c r="C84" s="39" t="n">
        <v>13</v>
      </c>
      <c r="D84" s="39" t="n">
        <f aca="false">COUNTIF(A타입_제작표!$I$2:$I$799,A84)</f>
        <v>6</v>
      </c>
      <c r="E84" s="39" t="n">
        <f aca="false">COUNTIFS(A타입_제작표!$I$2:$I$799,A84,A타입_제작표!$C$2:$C$799,1)</f>
        <v>0</v>
      </c>
      <c r="F84" s="39" t="n">
        <f aca="false">COUNTIFS(A타입_제작표!$I$2:$I$799,A84,A타입_제작표!$C$2:$C$799,2)</f>
        <v>6</v>
      </c>
      <c r="G84" s="39" t="n">
        <f aca="false">E84+F84</f>
        <v>6</v>
      </c>
      <c r="H84" s="40" t="str">
        <f aca="false">IF(G84=D84,"정상","확인 필요")</f>
        <v>정상</v>
      </c>
      <c r="I84" s="24" t="s">
        <v>9153</v>
      </c>
    </row>
    <row r="85" customFormat="false" ht="15" hidden="false" customHeight="false" outlineLevel="0" collapsed="false">
      <c r="A85" s="39" t="s">
        <v>7632</v>
      </c>
      <c r="B85" s="39" t="n">
        <v>6</v>
      </c>
      <c r="C85" s="39" t="n">
        <v>6</v>
      </c>
      <c r="D85" s="39" t="n">
        <f aca="false">COUNTIF(A타입_제작표!$I$2:$I$799,A85)</f>
        <v>5</v>
      </c>
      <c r="E85" s="39" t="n">
        <f aca="false">COUNTIFS(A타입_제작표!$I$2:$I$799,A85,A타입_제작표!$C$2:$C$799,1)</f>
        <v>1</v>
      </c>
      <c r="F85" s="39" t="n">
        <f aca="false">COUNTIFS(A타입_제작표!$I$2:$I$799,A85,A타입_제작표!$C$2:$C$799,2)</f>
        <v>4</v>
      </c>
      <c r="G85" s="39" t="n">
        <f aca="false">E85+F85</f>
        <v>5</v>
      </c>
      <c r="H85" s="40" t="str">
        <f aca="false">IF(G85=D85,"정상","확인 필요")</f>
        <v>정상</v>
      </c>
      <c r="I85" s="24" t="s">
        <v>9153</v>
      </c>
    </row>
    <row r="86" customFormat="false" ht="15" hidden="false" customHeight="false" outlineLevel="0" collapsed="false">
      <c r="A86" s="39" t="s">
        <v>7681</v>
      </c>
      <c r="B86" s="39" t="n">
        <v>6</v>
      </c>
      <c r="C86" s="39" t="n">
        <v>6</v>
      </c>
      <c r="D86" s="39" t="n">
        <f aca="false">COUNTIF(A타입_제작표!$I$2:$I$799,A86)</f>
        <v>6</v>
      </c>
      <c r="E86" s="39" t="n">
        <f aca="false">COUNTIFS(A타입_제작표!$I$2:$I$799,A86,A타입_제작표!$C$2:$C$799,1)</f>
        <v>2</v>
      </c>
      <c r="F86" s="39" t="n">
        <f aca="false">COUNTIFS(A타입_제작표!$I$2:$I$799,A86,A타입_제작표!$C$2:$C$799,2)</f>
        <v>4</v>
      </c>
      <c r="G86" s="39" t="n">
        <f aca="false">E86+F86</f>
        <v>6</v>
      </c>
      <c r="H86" s="40" t="str">
        <f aca="false">IF(G86=D86,"정상","확인 필요")</f>
        <v>정상</v>
      </c>
      <c r="I86" s="24" t="s">
        <v>9153</v>
      </c>
    </row>
    <row r="87" customFormat="false" ht="15" hidden="false" customHeight="false" outlineLevel="0" collapsed="false">
      <c r="A87" s="39" t="s">
        <v>7741</v>
      </c>
      <c r="B87" s="39" t="n">
        <v>4</v>
      </c>
      <c r="C87" s="39" t="n">
        <v>4</v>
      </c>
      <c r="D87" s="39" t="n">
        <f aca="false">COUNTIF(A타입_제작표!$I$2:$I$799,A87)</f>
        <v>4</v>
      </c>
      <c r="E87" s="39" t="n">
        <f aca="false">COUNTIFS(A타입_제작표!$I$2:$I$799,A87,A타입_제작표!$C$2:$C$799,1)</f>
        <v>0</v>
      </c>
      <c r="F87" s="39" t="n">
        <f aca="false">COUNTIFS(A타입_제작표!$I$2:$I$799,A87,A타입_제작표!$C$2:$C$799,2)</f>
        <v>4</v>
      </c>
      <c r="G87" s="39" t="n">
        <f aca="false">E87+F87</f>
        <v>4</v>
      </c>
      <c r="H87" s="40" t="str">
        <f aca="false">IF(G87=D87,"정상","확인 필요")</f>
        <v>정상</v>
      </c>
      <c r="I87" s="24" t="s">
        <v>9153</v>
      </c>
    </row>
    <row r="88" customFormat="false" ht="15" hidden="false" customHeight="false" outlineLevel="0" collapsed="false">
      <c r="A88" s="39" t="s">
        <v>7778</v>
      </c>
      <c r="B88" s="39" t="n">
        <v>4</v>
      </c>
      <c r="C88" s="39" t="n">
        <v>4</v>
      </c>
      <c r="D88" s="39" t="n">
        <f aca="false">COUNTIF(A타입_제작표!$I$2:$I$799,A88)</f>
        <v>4</v>
      </c>
      <c r="E88" s="39" t="n">
        <f aca="false">COUNTIFS(A타입_제작표!$I$2:$I$799,A88,A타입_제작표!$C$2:$C$799,1)</f>
        <v>0</v>
      </c>
      <c r="F88" s="39" t="n">
        <f aca="false">COUNTIFS(A타입_제작표!$I$2:$I$799,A88,A타입_제작표!$C$2:$C$799,2)</f>
        <v>4</v>
      </c>
      <c r="G88" s="39" t="n">
        <f aca="false">E88+F88</f>
        <v>4</v>
      </c>
      <c r="H88" s="40" t="str">
        <f aca="false">IF(G88=D88,"정상","확인 필요")</f>
        <v>정상</v>
      </c>
      <c r="I88" s="24" t="s">
        <v>9153</v>
      </c>
    </row>
    <row r="89" customFormat="false" ht="15" hidden="false" customHeight="false" outlineLevel="0" collapsed="false">
      <c r="A89" s="39" t="s">
        <v>7812</v>
      </c>
      <c r="B89" s="39" t="n">
        <v>5</v>
      </c>
      <c r="C89" s="39" t="n">
        <v>5</v>
      </c>
      <c r="D89" s="39" t="n">
        <f aca="false">COUNTIF(A타입_제작표!$I$2:$I$799,A89)</f>
        <v>3</v>
      </c>
      <c r="E89" s="39" t="n">
        <f aca="false">COUNTIFS(A타입_제작표!$I$2:$I$799,A89,A타입_제작표!$C$2:$C$799,1)</f>
        <v>0</v>
      </c>
      <c r="F89" s="39" t="n">
        <f aca="false">COUNTIFS(A타입_제작표!$I$2:$I$799,A89,A타입_제작표!$C$2:$C$799,2)</f>
        <v>3</v>
      </c>
      <c r="G89" s="39" t="n">
        <f aca="false">E89+F89</f>
        <v>3</v>
      </c>
      <c r="H89" s="40" t="str">
        <f aca="false">IF(G89=D89,"정상","확인 필요")</f>
        <v>정상</v>
      </c>
      <c r="I89" s="24" t="s">
        <v>9153</v>
      </c>
    </row>
    <row r="90" customFormat="false" ht="15" hidden="false" customHeight="false" outlineLevel="0" collapsed="false">
      <c r="A90" s="39" t="s">
        <v>7838</v>
      </c>
      <c r="B90" s="39" t="n">
        <v>3</v>
      </c>
      <c r="C90" s="39" t="n">
        <v>3</v>
      </c>
      <c r="D90" s="39" t="n">
        <f aca="false">COUNTIF(A타입_제작표!$I$2:$I$799,A90)</f>
        <v>2</v>
      </c>
      <c r="E90" s="39" t="n">
        <f aca="false">COUNTIFS(A타입_제작표!$I$2:$I$799,A90,A타입_제작표!$C$2:$C$799,1)</f>
        <v>0</v>
      </c>
      <c r="F90" s="39" t="n">
        <f aca="false">COUNTIFS(A타입_제작표!$I$2:$I$799,A90,A타입_제작표!$C$2:$C$799,2)</f>
        <v>2</v>
      </c>
      <c r="G90" s="39" t="n">
        <f aca="false">E90+F90</f>
        <v>2</v>
      </c>
      <c r="H90" s="40" t="str">
        <f aca="false">IF(G90=D90,"정상","확인 필요")</f>
        <v>정상</v>
      </c>
      <c r="I90" s="24" t="s">
        <v>9153</v>
      </c>
    </row>
    <row r="91" customFormat="false" ht="15" hidden="false" customHeight="false" outlineLevel="0" collapsed="false">
      <c r="A91" s="39" t="s">
        <v>7858</v>
      </c>
      <c r="B91" s="39" t="n">
        <v>6</v>
      </c>
      <c r="C91" s="39" t="n">
        <v>6</v>
      </c>
      <c r="D91" s="39" t="n">
        <f aca="false">COUNTIF(A타입_제작표!$I$2:$I$799,A91)</f>
        <v>4</v>
      </c>
      <c r="E91" s="39" t="n">
        <f aca="false">COUNTIFS(A타입_제작표!$I$2:$I$799,A91,A타입_제작표!$C$2:$C$799,1)</f>
        <v>0</v>
      </c>
      <c r="F91" s="39" t="n">
        <f aca="false">COUNTIFS(A타입_제작표!$I$2:$I$799,A91,A타입_제작표!$C$2:$C$799,2)</f>
        <v>4</v>
      </c>
      <c r="G91" s="39" t="n">
        <f aca="false">E91+F91</f>
        <v>4</v>
      </c>
      <c r="H91" s="40" t="str">
        <f aca="false">IF(G91=D91,"정상","확인 필요")</f>
        <v>정상</v>
      </c>
      <c r="I91" s="24" t="s">
        <v>9153</v>
      </c>
    </row>
    <row r="92" customFormat="false" ht="15" hidden="false" customHeight="false" outlineLevel="0" collapsed="false">
      <c r="A92" s="39" t="s">
        <v>7895</v>
      </c>
      <c r="B92" s="39" t="n">
        <v>4</v>
      </c>
      <c r="C92" s="39" t="n">
        <v>4</v>
      </c>
      <c r="D92" s="39" t="n">
        <f aca="false">COUNTIF(A타입_제작표!$I$2:$I$799,A92)</f>
        <v>3</v>
      </c>
      <c r="E92" s="39" t="n">
        <f aca="false">COUNTIFS(A타입_제작표!$I$2:$I$799,A92,A타입_제작표!$C$2:$C$799,1)</f>
        <v>0</v>
      </c>
      <c r="F92" s="39" t="n">
        <f aca="false">COUNTIFS(A타입_제작표!$I$2:$I$799,A92,A타입_제작표!$C$2:$C$799,2)</f>
        <v>3</v>
      </c>
      <c r="G92" s="39" t="n">
        <f aca="false">E92+F92</f>
        <v>3</v>
      </c>
      <c r="H92" s="40" t="str">
        <f aca="false">IF(G92=D92,"정상","확인 필요")</f>
        <v>정상</v>
      </c>
      <c r="I92" s="24" t="s">
        <v>9153</v>
      </c>
    </row>
    <row r="93" customFormat="false" ht="15" hidden="false" customHeight="false" outlineLevel="0" collapsed="false">
      <c r="A93" s="39" t="s">
        <v>7921</v>
      </c>
      <c r="B93" s="39" t="n">
        <v>3</v>
      </c>
      <c r="C93" s="39" t="n">
        <v>3</v>
      </c>
      <c r="D93" s="39" t="n">
        <f aca="false">COUNTIF(A타입_제작표!$I$2:$I$799,A93)</f>
        <v>2</v>
      </c>
      <c r="E93" s="39" t="n">
        <f aca="false">COUNTIFS(A타입_제작표!$I$2:$I$799,A93,A타입_제작표!$C$2:$C$799,1)</f>
        <v>0</v>
      </c>
      <c r="F93" s="39" t="n">
        <f aca="false">COUNTIFS(A타입_제작표!$I$2:$I$799,A93,A타입_제작표!$C$2:$C$799,2)</f>
        <v>2</v>
      </c>
      <c r="G93" s="39" t="n">
        <f aca="false">E93+F93</f>
        <v>2</v>
      </c>
      <c r="H93" s="40" t="str">
        <f aca="false">IF(G93=D93,"정상","확인 필요")</f>
        <v>정상</v>
      </c>
      <c r="I93" s="24" t="s">
        <v>9153</v>
      </c>
    </row>
    <row r="94" customFormat="false" ht="15" hidden="false" customHeight="false" outlineLevel="0" collapsed="false">
      <c r="A94" s="39" t="s">
        <v>7939</v>
      </c>
      <c r="B94" s="39" t="n">
        <v>1</v>
      </c>
      <c r="C94" s="39" t="n">
        <v>1</v>
      </c>
      <c r="D94" s="39" t="n">
        <f aca="false">COUNTIF(A타입_제작표!$I$2:$I$799,A94)</f>
        <v>1</v>
      </c>
      <c r="E94" s="39" t="n">
        <f aca="false">COUNTIFS(A타입_제작표!$I$2:$I$799,A94,A타입_제작표!$C$2:$C$799,1)</f>
        <v>0</v>
      </c>
      <c r="F94" s="39" t="n">
        <f aca="false">COUNTIFS(A타입_제작표!$I$2:$I$799,A94,A타입_제작표!$C$2:$C$799,2)</f>
        <v>1</v>
      </c>
      <c r="G94" s="39" t="n">
        <f aca="false">E94+F94</f>
        <v>1</v>
      </c>
      <c r="H94" s="40" t="str">
        <f aca="false">IF(G94=D94,"정상","확인 필요")</f>
        <v>정상</v>
      </c>
      <c r="I94" s="24" t="s">
        <v>9153</v>
      </c>
    </row>
    <row r="95" customFormat="false" ht="15" hidden="false" customHeight="false" outlineLevel="0" collapsed="false">
      <c r="A95" s="39" t="s">
        <v>7952</v>
      </c>
      <c r="B95" s="39" t="n">
        <v>13</v>
      </c>
      <c r="C95" s="39" t="n">
        <v>13</v>
      </c>
      <c r="D95" s="39" t="n">
        <f aca="false">COUNTIF(A타입_제작표!$I$2:$I$799,A95)</f>
        <v>10</v>
      </c>
      <c r="E95" s="39" t="n">
        <f aca="false">COUNTIFS(A타입_제작표!$I$2:$I$799,A95,A타입_제작표!$C$2:$C$799,1)</f>
        <v>1</v>
      </c>
      <c r="F95" s="39" t="n">
        <f aca="false">COUNTIFS(A타입_제작표!$I$2:$I$799,A95,A타입_제작표!$C$2:$C$799,2)</f>
        <v>9</v>
      </c>
      <c r="G95" s="39" t="n">
        <f aca="false">E95+F95</f>
        <v>10</v>
      </c>
      <c r="H95" s="40" t="str">
        <f aca="false">IF(G95=D95,"정상","확인 필요")</f>
        <v>정상</v>
      </c>
      <c r="I95" s="24" t="s">
        <v>9153</v>
      </c>
    </row>
    <row r="96" customFormat="false" ht="15" hidden="false" customHeight="false" outlineLevel="0" collapsed="false">
      <c r="A96" s="39" t="s">
        <v>8049</v>
      </c>
      <c r="B96" s="39" t="n">
        <v>5</v>
      </c>
      <c r="C96" s="39" t="n">
        <v>5</v>
      </c>
      <c r="D96" s="39" t="n">
        <f aca="false">COUNTIF(A타입_제작표!$I$2:$I$799,A96)</f>
        <v>5</v>
      </c>
      <c r="E96" s="39" t="n">
        <f aca="false">COUNTIFS(A타입_제작표!$I$2:$I$799,A96,A타입_제작표!$C$2:$C$799,1)</f>
        <v>0</v>
      </c>
      <c r="F96" s="39" t="n">
        <f aca="false">COUNTIFS(A타입_제작표!$I$2:$I$799,A96,A타입_제작표!$C$2:$C$799,2)</f>
        <v>5</v>
      </c>
      <c r="G96" s="39" t="n">
        <f aca="false">E96+F96</f>
        <v>5</v>
      </c>
      <c r="H96" s="40" t="str">
        <f aca="false">IF(G96=D96,"정상","확인 필요")</f>
        <v>정상</v>
      </c>
      <c r="I96" s="24" t="s">
        <v>9153</v>
      </c>
    </row>
    <row r="97" customFormat="false" ht="15" hidden="false" customHeight="false" outlineLevel="0" collapsed="false">
      <c r="A97" s="39" t="s">
        <v>8095</v>
      </c>
      <c r="B97" s="39" t="n">
        <v>5</v>
      </c>
      <c r="C97" s="39" t="n">
        <v>5</v>
      </c>
      <c r="D97" s="39" t="n">
        <f aca="false">COUNTIF(A타입_제작표!$I$2:$I$799,A97)</f>
        <v>4</v>
      </c>
      <c r="E97" s="39" t="n">
        <f aca="false">COUNTIFS(A타입_제작표!$I$2:$I$799,A97,A타입_제작표!$C$2:$C$799,1)</f>
        <v>0</v>
      </c>
      <c r="F97" s="39" t="n">
        <f aca="false">COUNTIFS(A타입_제작표!$I$2:$I$799,A97,A타입_제작표!$C$2:$C$799,2)</f>
        <v>4</v>
      </c>
      <c r="G97" s="39" t="n">
        <f aca="false">E97+F97</f>
        <v>4</v>
      </c>
      <c r="H97" s="40" t="str">
        <f aca="false">IF(G97=D97,"정상","확인 필요")</f>
        <v>정상</v>
      </c>
      <c r="I97" s="24" t="s">
        <v>9153</v>
      </c>
    </row>
    <row r="98" customFormat="false" ht="15" hidden="false" customHeight="false" outlineLevel="0" collapsed="false">
      <c r="A98" s="39" t="s">
        <v>8130</v>
      </c>
      <c r="B98" s="39" t="n">
        <v>3</v>
      </c>
      <c r="C98" s="39" t="n">
        <v>3</v>
      </c>
      <c r="D98" s="39" t="n">
        <f aca="false">COUNTIF(A타입_제작표!$I$2:$I$799,A98)</f>
        <v>3</v>
      </c>
      <c r="E98" s="39" t="n">
        <f aca="false">COUNTIFS(A타입_제작표!$I$2:$I$799,A98,A타입_제작표!$C$2:$C$799,1)</f>
        <v>0</v>
      </c>
      <c r="F98" s="39" t="n">
        <f aca="false">COUNTIFS(A타입_제작표!$I$2:$I$799,A98,A타입_제작표!$C$2:$C$799,2)</f>
        <v>3</v>
      </c>
      <c r="G98" s="39" t="n">
        <f aca="false">E98+F98</f>
        <v>3</v>
      </c>
      <c r="H98" s="40" t="str">
        <f aca="false">IF(G98=D98,"정상","확인 필요")</f>
        <v>정상</v>
      </c>
      <c r="I98" s="24" t="s">
        <v>9153</v>
      </c>
    </row>
    <row r="99" customFormat="false" ht="15" hidden="false" customHeight="false" outlineLevel="0" collapsed="false">
      <c r="A99" s="39" t="s">
        <v>8160</v>
      </c>
      <c r="B99" s="39" t="n">
        <v>5</v>
      </c>
      <c r="C99" s="39" t="n">
        <v>5</v>
      </c>
      <c r="D99" s="39" t="n">
        <f aca="false">COUNTIF(A타입_제작표!$I$2:$I$799,A99)</f>
        <v>4</v>
      </c>
      <c r="E99" s="39" t="n">
        <f aca="false">COUNTIFS(A타입_제작표!$I$2:$I$799,A99,A타입_제작표!$C$2:$C$799,1)</f>
        <v>0</v>
      </c>
      <c r="F99" s="39" t="n">
        <f aca="false">COUNTIFS(A타입_제작표!$I$2:$I$799,A99,A타입_제작표!$C$2:$C$799,2)</f>
        <v>4</v>
      </c>
      <c r="G99" s="39" t="n">
        <f aca="false">E99+F99</f>
        <v>4</v>
      </c>
      <c r="H99" s="40" t="str">
        <f aca="false">IF(G99=D99,"정상","확인 필요")</f>
        <v>정상</v>
      </c>
      <c r="I99" s="24" t="s">
        <v>9153</v>
      </c>
    </row>
    <row r="100" customFormat="false" ht="15" hidden="false" customHeight="false" outlineLevel="0" collapsed="false">
      <c r="A100" s="39" t="s">
        <v>8196</v>
      </c>
      <c r="B100" s="39" t="n">
        <v>1</v>
      </c>
      <c r="C100" s="39" t="n">
        <v>1</v>
      </c>
      <c r="D100" s="39" t="n">
        <f aca="false">COUNTIF(A타입_제작표!$I$2:$I$799,A100)</f>
        <v>1</v>
      </c>
      <c r="E100" s="39" t="n">
        <f aca="false">COUNTIFS(A타입_제작표!$I$2:$I$799,A100,A타입_제작표!$C$2:$C$799,1)</f>
        <v>0</v>
      </c>
      <c r="F100" s="39" t="n">
        <f aca="false">COUNTIFS(A타입_제작표!$I$2:$I$799,A100,A타입_제작표!$C$2:$C$799,2)</f>
        <v>1</v>
      </c>
      <c r="G100" s="39" t="n">
        <f aca="false">E100+F100</f>
        <v>1</v>
      </c>
      <c r="H100" s="40" t="str">
        <f aca="false">IF(G100=D100,"정상","확인 필요")</f>
        <v>정상</v>
      </c>
      <c r="I100" s="24" t="s">
        <v>9153</v>
      </c>
    </row>
    <row r="101" customFormat="false" ht="15" hidden="false" customHeight="false" outlineLevel="0" collapsed="false">
      <c r="A101" s="39" t="s">
        <v>8207</v>
      </c>
      <c r="B101" s="39" t="n">
        <v>1</v>
      </c>
      <c r="C101" s="39" t="n">
        <v>1</v>
      </c>
      <c r="D101" s="39" t="n">
        <f aca="false">COUNTIF(A타입_제작표!$I$2:$I$799,A101)</f>
        <v>1</v>
      </c>
      <c r="E101" s="39" t="n">
        <f aca="false">COUNTIFS(A타입_제작표!$I$2:$I$799,A101,A타입_제작표!$C$2:$C$799,1)</f>
        <v>0</v>
      </c>
      <c r="F101" s="39" t="n">
        <f aca="false">COUNTIFS(A타입_제작표!$I$2:$I$799,A101,A타입_제작표!$C$2:$C$799,2)</f>
        <v>1</v>
      </c>
      <c r="G101" s="39" t="n">
        <f aca="false">E101+F101</f>
        <v>1</v>
      </c>
      <c r="H101" s="40" t="str">
        <f aca="false">IF(G101=D101,"정상","확인 필요")</f>
        <v>정상</v>
      </c>
      <c r="I101" s="24" t="s">
        <v>9153</v>
      </c>
    </row>
    <row r="102" customFormat="false" ht="15" hidden="false" customHeight="false" outlineLevel="0" collapsed="false">
      <c r="A102" s="39" t="s">
        <v>8218</v>
      </c>
      <c r="B102" s="39" t="n">
        <v>1</v>
      </c>
      <c r="C102" s="39" t="n">
        <v>1</v>
      </c>
      <c r="D102" s="39" t="n">
        <f aca="false">COUNTIF(A타입_제작표!$I$2:$I$799,A102)</f>
        <v>1</v>
      </c>
      <c r="E102" s="39" t="n">
        <f aca="false">COUNTIFS(A타입_제작표!$I$2:$I$799,A102,A타입_제작표!$C$2:$C$799,1)</f>
        <v>0</v>
      </c>
      <c r="F102" s="39" t="n">
        <f aca="false">COUNTIFS(A타입_제작표!$I$2:$I$799,A102,A타입_제작표!$C$2:$C$799,2)</f>
        <v>1</v>
      </c>
      <c r="G102" s="39" t="n">
        <f aca="false">E102+F102</f>
        <v>1</v>
      </c>
      <c r="H102" s="40" t="str">
        <f aca="false">IF(G102=D102,"정상","확인 필요")</f>
        <v>정상</v>
      </c>
      <c r="I102" s="24" t="s">
        <v>9153</v>
      </c>
    </row>
    <row r="103" customFormat="false" ht="15" hidden="false" customHeight="false" outlineLevel="0" collapsed="false">
      <c r="A103" s="39" t="s">
        <v>8230</v>
      </c>
      <c r="B103" s="39" t="n">
        <v>22</v>
      </c>
      <c r="C103" s="39" t="n">
        <v>22</v>
      </c>
      <c r="D103" s="39" t="n">
        <f aca="false">COUNTIF(A타입_제작표!$I$2:$I$799,A103)</f>
        <v>22</v>
      </c>
      <c r="E103" s="39" t="n">
        <f aca="false">COUNTIFS(A타입_제작표!$I$2:$I$799,A103,A타입_제작표!$C$2:$C$799,1)</f>
        <v>6</v>
      </c>
      <c r="F103" s="39" t="n">
        <f aca="false">COUNTIFS(A타입_제작표!$I$2:$I$799,A103,A타입_제작표!$C$2:$C$799,2)</f>
        <v>16</v>
      </c>
      <c r="G103" s="39" t="n">
        <f aca="false">E103+F103</f>
        <v>22</v>
      </c>
      <c r="H103" s="40" t="str">
        <f aca="false">IF(G103=D103,"정상","확인 필요")</f>
        <v>정상</v>
      </c>
      <c r="I103" s="24" t="s">
        <v>9153</v>
      </c>
    </row>
    <row r="106" customFormat="false" ht="16.4" hidden="false" customHeight="false" outlineLevel="0" collapsed="false">
      <c r="A106" s="32" t="s">
        <v>9157</v>
      </c>
      <c r="B106" s="4"/>
      <c r="C106" s="4"/>
      <c r="D106" s="4"/>
      <c r="E106" s="4"/>
      <c r="F106" s="4"/>
      <c r="G106" s="4"/>
      <c r="H106" s="4"/>
      <c r="I106" s="4"/>
    </row>
    <row r="107" customFormat="false" ht="15" hidden="false" customHeight="false" outlineLevel="0" collapsed="false">
      <c r="A107" s="33" t="s">
        <v>117</v>
      </c>
      <c r="B107" s="33" t="s">
        <v>9158</v>
      </c>
      <c r="C107" s="33" t="s">
        <v>9159</v>
      </c>
      <c r="D107" s="33" t="s">
        <v>9160</v>
      </c>
      <c r="E107" s="33" t="s">
        <v>9161</v>
      </c>
    </row>
    <row r="108" customFormat="false" ht="15" hidden="false" customHeight="false" outlineLevel="0" collapsed="false">
      <c r="A108" s="34" t="s">
        <v>160</v>
      </c>
      <c r="B108" s="34" t="n">
        <v>182</v>
      </c>
      <c r="C108" s="34" t="n">
        <v>83</v>
      </c>
      <c r="D108" s="34" t="n">
        <v>99</v>
      </c>
      <c r="E108" s="11" t="s">
        <v>9162</v>
      </c>
    </row>
    <row r="109" customFormat="false" ht="15" hidden="false" customHeight="false" outlineLevel="0" collapsed="false">
      <c r="A109" s="34" t="s">
        <v>5581</v>
      </c>
      <c r="B109" s="34" t="n">
        <v>104</v>
      </c>
      <c r="C109" s="34" t="n">
        <v>49</v>
      </c>
      <c r="D109" s="34" t="n">
        <v>55</v>
      </c>
      <c r="E109" s="11" t="s">
        <v>9163</v>
      </c>
    </row>
    <row r="111" customFormat="false" ht="15" hidden="false" customHeight="false" outlineLevel="0" collapsed="false">
      <c r="A111" s="7" t="s">
        <v>9164</v>
      </c>
    </row>
    <row r="112" customFormat="false" ht="15" hidden="false" customHeight="false" outlineLevel="0" collapsed="false">
      <c r="A112" s="7" t="s">
        <v>9165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9166</v>
      </c>
      <c r="B1" s="16" t="s">
        <v>122</v>
      </c>
      <c r="C1" s="16" t="s">
        <v>9167</v>
      </c>
      <c r="D1" s="16" t="s">
        <v>9168</v>
      </c>
      <c r="E1" s="16" t="s">
        <v>9169</v>
      </c>
      <c r="F1" s="16" t="s">
        <v>9146</v>
      </c>
      <c r="G1" s="17" t="s">
        <v>8460</v>
      </c>
      <c r="H1" s="16" t="s">
        <v>9170</v>
      </c>
      <c r="I1" s="16" t="s">
        <v>9171</v>
      </c>
      <c r="J1" s="16" t="s">
        <v>9172</v>
      </c>
      <c r="K1" s="16" t="s">
        <v>9173</v>
      </c>
      <c r="L1" s="16" t="s">
        <v>9174</v>
      </c>
      <c r="M1" s="16" t="s">
        <v>9175</v>
      </c>
      <c r="N1" s="16" t="s">
        <v>9176</v>
      </c>
    </row>
    <row r="2" customFormat="false" ht="15" hidden="false" customHeight="false" outlineLevel="0" collapsed="false">
      <c r="A2" s="23" t="n">
        <v>1</v>
      </c>
      <c r="B2" s="23" t="s">
        <v>163</v>
      </c>
      <c r="C2" s="23" t="s">
        <v>9177</v>
      </c>
      <c r="D2" s="23" t="s">
        <v>160</v>
      </c>
      <c r="E2" s="23" t="s">
        <v>9178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9179</v>
      </c>
    </row>
    <row r="3" customFormat="false" ht="15" hidden="false" customHeight="false" outlineLevel="0" collapsed="false">
      <c r="A3" s="23" t="n">
        <v>2</v>
      </c>
      <c r="B3" s="23" t="s">
        <v>1031</v>
      </c>
      <c r="C3" s="23" t="s">
        <v>9180</v>
      </c>
      <c r="D3" s="23" t="s">
        <v>160</v>
      </c>
      <c r="E3" s="23" t="s">
        <v>9178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9179</v>
      </c>
    </row>
    <row r="4" customFormat="false" ht="15" hidden="false" customHeight="false" outlineLevel="0" collapsed="false">
      <c r="A4" s="23" t="n">
        <v>3</v>
      </c>
      <c r="B4" s="23" t="s">
        <v>1496</v>
      </c>
      <c r="C4" s="23" t="s">
        <v>9181</v>
      </c>
      <c r="D4" s="23" t="s">
        <v>160</v>
      </c>
      <c r="E4" s="23" t="s">
        <v>9178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9179</v>
      </c>
    </row>
    <row r="5" customFormat="false" ht="15" hidden="false" customHeight="false" outlineLevel="0" collapsed="false">
      <c r="A5" s="23" t="n">
        <v>4</v>
      </c>
      <c r="B5" s="23" t="s">
        <v>1610</v>
      </c>
      <c r="C5" s="23" t="s">
        <v>9182</v>
      </c>
      <c r="D5" s="23" t="s">
        <v>160</v>
      </c>
      <c r="E5" s="23" t="s">
        <v>9178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9179</v>
      </c>
    </row>
    <row r="6" customFormat="false" ht="15" hidden="false" customHeight="false" outlineLevel="0" collapsed="false">
      <c r="A6" s="23" t="n">
        <v>5</v>
      </c>
      <c r="B6" s="23" t="s">
        <v>1832</v>
      </c>
      <c r="C6" s="23" t="s">
        <v>9183</v>
      </c>
      <c r="D6" s="23" t="s">
        <v>160</v>
      </c>
      <c r="E6" s="23" t="s">
        <v>9178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9179</v>
      </c>
    </row>
    <row r="7" customFormat="false" ht="15" hidden="false" customHeight="false" outlineLevel="0" collapsed="false">
      <c r="A7" s="23" t="n">
        <v>6</v>
      </c>
      <c r="B7" s="23" t="s">
        <v>1678</v>
      </c>
      <c r="C7" s="23" t="s">
        <v>9184</v>
      </c>
      <c r="D7" s="23" t="s">
        <v>160</v>
      </c>
      <c r="E7" s="23" t="s">
        <v>9185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9179</v>
      </c>
    </row>
    <row r="8" customFormat="false" ht="15" hidden="false" customHeight="false" outlineLevel="0" collapsed="false">
      <c r="A8" s="23" t="n">
        <v>7</v>
      </c>
      <c r="B8" s="23" t="s">
        <v>2122</v>
      </c>
      <c r="C8" s="23" t="s">
        <v>9186</v>
      </c>
      <c r="D8" s="23" t="s">
        <v>160</v>
      </c>
      <c r="E8" s="23" t="s">
        <v>9185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9179</v>
      </c>
    </row>
    <row r="9" customFormat="false" ht="15" hidden="false" customHeight="false" outlineLevel="0" collapsed="false">
      <c r="A9" s="23" t="n">
        <v>8</v>
      </c>
      <c r="B9" s="23" t="s">
        <v>2339</v>
      </c>
      <c r="C9" s="23" t="s">
        <v>2350</v>
      </c>
      <c r="D9" s="23" t="s">
        <v>160</v>
      </c>
      <c r="E9" s="23" t="s">
        <v>9185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9179</v>
      </c>
    </row>
    <row r="10" customFormat="false" ht="15" hidden="false" customHeight="false" outlineLevel="0" collapsed="false">
      <c r="A10" s="23" t="n">
        <v>9</v>
      </c>
      <c r="B10" s="23" t="s">
        <v>2399</v>
      </c>
      <c r="C10" s="23" t="s">
        <v>9187</v>
      </c>
      <c r="D10" s="23" t="s">
        <v>160</v>
      </c>
      <c r="E10" s="23" t="s">
        <v>9185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9179</v>
      </c>
    </row>
    <row r="11" customFormat="false" ht="15" hidden="false" customHeight="false" outlineLevel="0" collapsed="false">
      <c r="A11" s="23" t="n">
        <v>10</v>
      </c>
      <c r="B11" s="23" t="s">
        <v>2704</v>
      </c>
      <c r="C11" s="23" t="s">
        <v>9188</v>
      </c>
      <c r="D11" s="23" t="s">
        <v>160</v>
      </c>
      <c r="E11" s="23" t="s">
        <v>9185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9179</v>
      </c>
    </row>
    <row r="12" customFormat="false" ht="15" hidden="false" customHeight="false" outlineLevel="0" collapsed="false">
      <c r="A12" s="23" t="n">
        <v>11</v>
      </c>
      <c r="B12" s="23" t="s">
        <v>2936</v>
      </c>
      <c r="C12" s="23" t="s">
        <v>9189</v>
      </c>
      <c r="D12" s="23" t="s">
        <v>160</v>
      </c>
      <c r="E12" s="23" t="s">
        <v>9185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9179</v>
      </c>
    </row>
    <row r="13" customFormat="false" ht="15" hidden="false" customHeight="false" outlineLevel="0" collapsed="false">
      <c r="A13" s="23" t="n">
        <v>12</v>
      </c>
      <c r="B13" s="23" t="s">
        <v>3185</v>
      </c>
      <c r="C13" s="23" t="s">
        <v>9190</v>
      </c>
      <c r="D13" s="23" t="s">
        <v>160</v>
      </c>
      <c r="E13" s="23" t="s">
        <v>9185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9179</v>
      </c>
    </row>
    <row r="14" customFormat="false" ht="15" hidden="false" customHeight="false" outlineLevel="0" collapsed="false">
      <c r="A14" s="23" t="n">
        <v>13</v>
      </c>
      <c r="B14" s="23" t="s">
        <v>3489</v>
      </c>
      <c r="C14" s="23" t="s">
        <v>9191</v>
      </c>
      <c r="D14" s="23" t="s">
        <v>160</v>
      </c>
      <c r="E14" s="23" t="s">
        <v>9185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9192</v>
      </c>
    </row>
    <row r="15" customFormat="false" ht="15" hidden="false" customHeight="false" outlineLevel="0" collapsed="false">
      <c r="A15" s="23" t="n">
        <v>14</v>
      </c>
      <c r="B15" s="23" t="s">
        <v>3554</v>
      </c>
      <c r="C15" s="23" t="s">
        <v>9193</v>
      </c>
      <c r="D15" s="23" t="s">
        <v>160</v>
      </c>
      <c r="E15" s="23" t="s">
        <v>9185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9194</v>
      </c>
    </row>
    <row r="16" customFormat="false" ht="15" hidden="false" customHeight="false" outlineLevel="0" collapsed="false">
      <c r="A16" s="23" t="n">
        <v>15</v>
      </c>
      <c r="B16" s="23" t="s">
        <v>3632</v>
      </c>
      <c r="C16" s="23" t="s">
        <v>9195</v>
      </c>
      <c r="D16" s="23" t="s">
        <v>160</v>
      </c>
      <c r="E16" s="23" t="s">
        <v>9185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9179</v>
      </c>
    </row>
    <row r="17" customFormat="false" ht="15" hidden="false" customHeight="false" outlineLevel="0" collapsed="false">
      <c r="A17" s="23" t="n">
        <v>16</v>
      </c>
      <c r="B17" s="23" t="s">
        <v>3715</v>
      </c>
      <c r="C17" s="23" t="s">
        <v>9196</v>
      </c>
      <c r="D17" s="23" t="s">
        <v>160</v>
      </c>
      <c r="E17" s="23" t="s">
        <v>9185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9179</v>
      </c>
    </row>
    <row r="18" customFormat="false" ht="15" hidden="false" customHeight="false" outlineLevel="0" collapsed="false">
      <c r="A18" s="23" t="n">
        <v>17</v>
      </c>
      <c r="B18" s="23" t="s">
        <v>3812</v>
      </c>
      <c r="C18" s="23" t="s">
        <v>9197</v>
      </c>
      <c r="D18" s="23" t="s">
        <v>160</v>
      </c>
      <c r="E18" s="23" t="s">
        <v>9185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9179</v>
      </c>
    </row>
    <row r="19" customFormat="false" ht="15" hidden="false" customHeight="false" outlineLevel="0" collapsed="false">
      <c r="A19" s="23" t="n">
        <v>18</v>
      </c>
      <c r="B19" s="23" t="s">
        <v>3923</v>
      </c>
      <c r="C19" s="23" t="s">
        <v>3935</v>
      </c>
      <c r="D19" s="23" t="s">
        <v>160</v>
      </c>
      <c r="E19" s="23" t="s">
        <v>9198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9179</v>
      </c>
    </row>
    <row r="20" customFormat="false" ht="26.85" hidden="false" customHeight="false" outlineLevel="0" collapsed="false">
      <c r="A20" s="23" t="n">
        <v>19</v>
      </c>
      <c r="B20" s="23" t="s">
        <v>4043</v>
      </c>
      <c r="C20" s="23" t="s">
        <v>9199</v>
      </c>
      <c r="D20" s="23" t="s">
        <v>160</v>
      </c>
      <c r="E20" s="23" t="s">
        <v>9198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9200</v>
      </c>
    </row>
    <row r="21" customFormat="false" ht="15" hidden="false" customHeight="false" outlineLevel="0" collapsed="false">
      <c r="A21" s="23" t="n">
        <v>20</v>
      </c>
      <c r="B21" s="23" t="s">
        <v>4332</v>
      </c>
      <c r="C21" s="23" t="s">
        <v>9201</v>
      </c>
      <c r="D21" s="23" t="s">
        <v>160</v>
      </c>
      <c r="E21" s="23" t="s">
        <v>9198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9179</v>
      </c>
    </row>
    <row r="22" customFormat="false" ht="15" hidden="false" customHeight="false" outlineLevel="0" collapsed="false">
      <c r="A22" s="23" t="n">
        <v>21</v>
      </c>
      <c r="B22" s="23" t="s">
        <v>4420</v>
      </c>
      <c r="C22" s="23" t="s">
        <v>9202</v>
      </c>
      <c r="D22" s="23" t="s">
        <v>160</v>
      </c>
      <c r="E22" s="23" t="s">
        <v>9198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9179</v>
      </c>
    </row>
    <row r="23" customFormat="false" ht="15" hidden="false" customHeight="false" outlineLevel="0" collapsed="false">
      <c r="A23" s="23" t="n">
        <v>22</v>
      </c>
      <c r="B23" s="23" t="s">
        <v>4467</v>
      </c>
      <c r="C23" s="23" t="s">
        <v>9203</v>
      </c>
      <c r="D23" s="23" t="s">
        <v>160</v>
      </c>
      <c r="E23" s="23" t="s">
        <v>9198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9179</v>
      </c>
    </row>
    <row r="24" customFormat="false" ht="15" hidden="false" customHeight="false" outlineLevel="0" collapsed="false">
      <c r="A24" s="23" t="n">
        <v>23</v>
      </c>
      <c r="B24" s="23" t="s">
        <v>4497</v>
      </c>
      <c r="C24" s="23" t="s">
        <v>9204</v>
      </c>
      <c r="D24" s="23" t="s">
        <v>160</v>
      </c>
      <c r="E24" s="23" t="s">
        <v>9205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9179</v>
      </c>
    </row>
    <row r="25" customFormat="false" ht="15" hidden="false" customHeight="false" outlineLevel="0" collapsed="false">
      <c r="A25" s="23" t="n">
        <v>24</v>
      </c>
      <c r="B25" s="23" t="s">
        <v>4750</v>
      </c>
      <c r="C25" s="23" t="s">
        <v>9206</v>
      </c>
      <c r="D25" s="23" t="s">
        <v>160</v>
      </c>
      <c r="E25" s="23" t="s">
        <v>9205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9179</v>
      </c>
    </row>
    <row r="26" customFormat="false" ht="15" hidden="false" customHeight="false" outlineLevel="0" collapsed="false">
      <c r="A26" s="23" t="n">
        <v>25</v>
      </c>
      <c r="B26" s="23" t="s">
        <v>4942</v>
      </c>
      <c r="C26" s="23" t="s">
        <v>9207</v>
      </c>
      <c r="D26" s="23" t="s">
        <v>160</v>
      </c>
      <c r="E26" s="23" t="s">
        <v>9205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9179</v>
      </c>
    </row>
    <row r="27" customFormat="false" ht="15" hidden="false" customHeight="false" outlineLevel="0" collapsed="false">
      <c r="A27" s="23" t="n">
        <v>26</v>
      </c>
      <c r="B27" s="23" t="s">
        <v>4973</v>
      </c>
      <c r="C27" s="23" t="s">
        <v>9208</v>
      </c>
      <c r="D27" s="23" t="s">
        <v>160</v>
      </c>
      <c r="E27" s="23" t="s">
        <v>9205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9179</v>
      </c>
    </row>
    <row r="28" customFormat="false" ht="15" hidden="false" customHeight="false" outlineLevel="0" collapsed="false">
      <c r="A28" s="23" t="n">
        <v>27</v>
      </c>
      <c r="B28" s="23" t="s">
        <v>5102</v>
      </c>
      <c r="C28" s="23" t="s">
        <v>9209</v>
      </c>
      <c r="D28" s="23" t="s">
        <v>160</v>
      </c>
      <c r="E28" s="23" t="s">
        <v>9205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9179</v>
      </c>
    </row>
    <row r="29" customFormat="false" ht="15" hidden="false" customHeight="false" outlineLevel="0" collapsed="false">
      <c r="A29" s="23" t="n">
        <v>28</v>
      </c>
      <c r="B29" s="23" t="s">
        <v>5241</v>
      </c>
      <c r="C29" s="23" t="s">
        <v>9210</v>
      </c>
      <c r="D29" s="23" t="s">
        <v>160</v>
      </c>
      <c r="E29" s="23" t="s">
        <v>9205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9179</v>
      </c>
    </row>
    <row r="30" customFormat="false" ht="15" hidden="false" customHeight="false" outlineLevel="0" collapsed="false">
      <c r="A30" s="23" t="n">
        <v>29</v>
      </c>
      <c r="B30" s="23" t="s">
        <v>5277</v>
      </c>
      <c r="C30" s="23" t="s">
        <v>9211</v>
      </c>
      <c r="D30" s="23" t="s">
        <v>160</v>
      </c>
      <c r="E30" s="23" t="s">
        <v>9205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9179</v>
      </c>
    </row>
    <row r="31" customFormat="false" ht="15" hidden="false" customHeight="false" outlineLevel="0" collapsed="false">
      <c r="A31" s="23" t="n">
        <v>30</v>
      </c>
      <c r="B31" s="23" t="s">
        <v>5303</v>
      </c>
      <c r="C31" s="23" t="s">
        <v>9212</v>
      </c>
      <c r="D31" s="23" t="s">
        <v>160</v>
      </c>
      <c r="E31" s="23" t="s">
        <v>9205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9179</v>
      </c>
    </row>
    <row r="32" customFormat="false" ht="15" hidden="false" customHeight="false" outlineLevel="0" collapsed="false">
      <c r="A32" s="23" t="n">
        <v>31</v>
      </c>
      <c r="B32" s="23" t="s">
        <v>5339</v>
      </c>
      <c r="C32" s="23" t="s">
        <v>9213</v>
      </c>
      <c r="D32" s="23" t="s">
        <v>160</v>
      </c>
      <c r="E32" s="23" t="s">
        <v>9205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9179</v>
      </c>
    </row>
    <row r="33" customFormat="false" ht="15" hidden="false" customHeight="false" outlineLevel="0" collapsed="false">
      <c r="A33" s="23" t="n">
        <v>32</v>
      </c>
      <c r="B33" s="23" t="s">
        <v>5349</v>
      </c>
      <c r="C33" s="23" t="s">
        <v>9214</v>
      </c>
      <c r="D33" s="23" t="s">
        <v>160</v>
      </c>
      <c r="E33" s="23" t="s">
        <v>9205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9179</v>
      </c>
    </row>
    <row r="34" customFormat="false" ht="15" hidden="false" customHeight="false" outlineLevel="0" collapsed="false">
      <c r="A34" s="23" t="n">
        <v>33</v>
      </c>
      <c r="B34" s="23" t="s">
        <v>5405</v>
      </c>
      <c r="C34" s="23" t="s">
        <v>9215</v>
      </c>
      <c r="D34" s="23" t="s">
        <v>160</v>
      </c>
      <c r="E34" s="23" t="s">
        <v>9205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9179</v>
      </c>
    </row>
    <row r="35" customFormat="false" ht="15" hidden="false" customHeight="false" outlineLevel="0" collapsed="false">
      <c r="A35" s="23" t="n">
        <v>34</v>
      </c>
      <c r="B35" s="23" t="s">
        <v>5435</v>
      </c>
      <c r="C35" s="23" t="s">
        <v>9216</v>
      </c>
      <c r="D35" s="23" t="s">
        <v>160</v>
      </c>
      <c r="E35" s="23" t="s">
        <v>9205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9179</v>
      </c>
    </row>
    <row r="36" customFormat="false" ht="15" hidden="false" customHeight="false" outlineLevel="0" collapsed="false">
      <c r="A36" s="23" t="n">
        <v>35</v>
      </c>
      <c r="B36" s="23" t="s">
        <v>5446</v>
      </c>
      <c r="C36" s="23" t="s">
        <v>9217</v>
      </c>
      <c r="D36" s="23" t="s">
        <v>160</v>
      </c>
      <c r="E36" s="23" t="s">
        <v>9205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9179</v>
      </c>
    </row>
    <row r="37" customFormat="false" ht="15" hidden="false" customHeight="false" outlineLevel="0" collapsed="false">
      <c r="A37" s="23" t="n">
        <v>36</v>
      </c>
      <c r="B37" s="23" t="s">
        <v>5475</v>
      </c>
      <c r="C37" s="23" t="s">
        <v>9218</v>
      </c>
      <c r="D37" s="23" t="s">
        <v>160</v>
      </c>
      <c r="E37" s="23" t="s">
        <v>9205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9179</v>
      </c>
    </row>
    <row r="38" customFormat="false" ht="15" hidden="false" customHeight="false" outlineLevel="0" collapsed="false">
      <c r="A38" s="23" t="n">
        <v>37</v>
      </c>
      <c r="B38" s="23" t="s">
        <v>5493</v>
      </c>
      <c r="C38" s="23" t="s">
        <v>9219</v>
      </c>
      <c r="D38" s="23" t="s">
        <v>160</v>
      </c>
      <c r="E38" s="23" t="s">
        <v>9205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9179</v>
      </c>
    </row>
    <row r="39" customFormat="false" ht="15" hidden="false" customHeight="false" outlineLevel="0" collapsed="false">
      <c r="A39" s="23" t="n">
        <v>38</v>
      </c>
      <c r="B39" s="23" t="s">
        <v>5512</v>
      </c>
      <c r="C39" s="23" t="s">
        <v>9220</v>
      </c>
      <c r="D39" s="23" t="s">
        <v>160</v>
      </c>
      <c r="E39" s="23" t="s">
        <v>9205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9179</v>
      </c>
    </row>
    <row r="40" customFormat="false" ht="15" hidden="false" customHeight="false" outlineLevel="0" collapsed="false">
      <c r="A40" s="23" t="n">
        <v>39</v>
      </c>
      <c r="B40" s="23" t="s">
        <v>5550</v>
      </c>
      <c r="C40" s="23" t="s">
        <v>9221</v>
      </c>
      <c r="D40" s="23" t="s">
        <v>160</v>
      </c>
      <c r="E40" s="23" t="s">
        <v>9205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9179</v>
      </c>
    </row>
    <row r="41" customFormat="false" ht="15" hidden="false" customHeight="false" outlineLevel="0" collapsed="false">
      <c r="A41" s="23" t="n">
        <v>40</v>
      </c>
      <c r="B41" s="23" t="s">
        <v>5584</v>
      </c>
      <c r="C41" s="23" t="s">
        <v>9222</v>
      </c>
      <c r="D41" s="23" t="s">
        <v>5581</v>
      </c>
      <c r="E41" s="23" t="s">
        <v>9223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9179</v>
      </c>
    </row>
    <row r="42" customFormat="false" ht="15" hidden="false" customHeight="false" outlineLevel="0" collapsed="false">
      <c r="A42" s="23" t="n">
        <v>41</v>
      </c>
      <c r="B42" s="23" t="s">
        <v>6176</v>
      </c>
      <c r="C42" s="23" t="s">
        <v>9224</v>
      </c>
      <c r="D42" s="23" t="s">
        <v>5581</v>
      </c>
      <c r="E42" s="23" t="s">
        <v>9223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9225</v>
      </c>
    </row>
    <row r="43" customFormat="false" ht="15" hidden="false" customHeight="false" outlineLevel="0" collapsed="false">
      <c r="A43" s="23" t="n">
        <v>42</v>
      </c>
      <c r="B43" s="23" t="s">
        <v>6312</v>
      </c>
      <c r="C43" s="23" t="s">
        <v>9226</v>
      </c>
      <c r="D43" s="23" t="s">
        <v>5581</v>
      </c>
      <c r="E43" s="23" t="s">
        <v>9223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9227</v>
      </c>
    </row>
    <row r="44" customFormat="false" ht="15" hidden="false" customHeight="false" outlineLevel="0" collapsed="false">
      <c r="A44" s="23" t="n">
        <v>43</v>
      </c>
      <c r="B44" s="23" t="s">
        <v>6612</v>
      </c>
      <c r="C44" s="23" t="s">
        <v>9228</v>
      </c>
      <c r="D44" s="23" t="s">
        <v>5581</v>
      </c>
      <c r="E44" s="23" t="s">
        <v>9223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30" t="s">
        <v>9229</v>
      </c>
    </row>
    <row r="45" customFormat="false" ht="15" hidden="false" customHeight="false" outlineLevel="0" collapsed="false">
      <c r="A45" s="23" t="n">
        <v>44</v>
      </c>
      <c r="B45" s="23" t="s">
        <v>6940</v>
      </c>
      <c r="C45" s="23" t="s">
        <v>9230</v>
      </c>
      <c r="D45" s="23" t="s">
        <v>5581</v>
      </c>
      <c r="E45" s="23" t="s">
        <v>9185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9179</v>
      </c>
    </row>
    <row r="46" customFormat="false" ht="15" hidden="false" customHeight="false" outlineLevel="0" collapsed="false">
      <c r="A46" s="23" t="n">
        <v>45</v>
      </c>
      <c r="B46" s="23" t="s">
        <v>7361</v>
      </c>
      <c r="C46" s="23" t="s">
        <v>9231</v>
      </c>
      <c r="D46" s="23" t="s">
        <v>5581</v>
      </c>
      <c r="E46" s="23" t="s">
        <v>9232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9179</v>
      </c>
    </row>
    <row r="47" customFormat="false" ht="15" hidden="false" customHeight="false" outlineLevel="0" collapsed="false">
      <c r="A47" s="23" t="n">
        <v>46</v>
      </c>
      <c r="B47" s="23" t="s">
        <v>7483</v>
      </c>
      <c r="C47" s="23" t="s">
        <v>9233</v>
      </c>
      <c r="D47" s="23" t="s">
        <v>5581</v>
      </c>
      <c r="E47" s="23" t="s">
        <v>9232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9179</v>
      </c>
    </row>
    <row r="48" customFormat="false" ht="15" hidden="false" customHeight="false" outlineLevel="0" collapsed="false">
      <c r="A48" s="23" t="n">
        <v>47</v>
      </c>
      <c r="B48" s="23" t="s">
        <v>7580</v>
      </c>
      <c r="C48" s="23" t="s">
        <v>9234</v>
      </c>
      <c r="D48" s="23" t="s">
        <v>5581</v>
      </c>
      <c r="E48" s="23" t="s">
        <v>9232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9179</v>
      </c>
    </row>
    <row r="49" customFormat="false" ht="15" hidden="false" customHeight="false" outlineLevel="0" collapsed="false">
      <c r="A49" s="23" t="n">
        <v>48</v>
      </c>
      <c r="B49" s="23" t="s">
        <v>7632</v>
      </c>
      <c r="C49" s="23" t="s">
        <v>9235</v>
      </c>
      <c r="D49" s="23" t="s">
        <v>5581</v>
      </c>
      <c r="E49" s="23" t="s">
        <v>9232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9179</v>
      </c>
    </row>
    <row r="50" customFormat="false" ht="15" hidden="false" customHeight="false" outlineLevel="0" collapsed="false">
      <c r="A50" s="23" t="n">
        <v>49</v>
      </c>
      <c r="B50" s="23" t="s">
        <v>7681</v>
      </c>
      <c r="C50" s="23" t="s">
        <v>9236</v>
      </c>
      <c r="D50" s="23" t="s">
        <v>5581</v>
      </c>
      <c r="E50" s="23" t="s">
        <v>9232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9179</v>
      </c>
    </row>
    <row r="51" customFormat="false" ht="15" hidden="false" customHeight="false" outlineLevel="0" collapsed="false">
      <c r="A51" s="23" t="n">
        <v>50</v>
      </c>
      <c r="B51" s="23" t="s">
        <v>7741</v>
      </c>
      <c r="C51" s="23" t="s">
        <v>9237</v>
      </c>
      <c r="D51" s="23" t="s">
        <v>5581</v>
      </c>
      <c r="E51" s="23" t="s">
        <v>9232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9179</v>
      </c>
    </row>
    <row r="52" customFormat="false" ht="15" hidden="false" customHeight="false" outlineLevel="0" collapsed="false">
      <c r="A52" s="23" t="n">
        <v>51</v>
      </c>
      <c r="B52" s="23" t="s">
        <v>7778</v>
      </c>
      <c r="C52" s="23" t="s">
        <v>9238</v>
      </c>
      <c r="D52" s="23" t="s">
        <v>5581</v>
      </c>
      <c r="E52" s="23" t="s">
        <v>9232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9179</v>
      </c>
    </row>
    <row r="53" customFormat="false" ht="15" hidden="false" customHeight="false" outlineLevel="0" collapsed="false">
      <c r="A53" s="23" t="n">
        <v>52</v>
      </c>
      <c r="B53" s="23" t="s">
        <v>7812</v>
      </c>
      <c r="C53" s="23" t="s">
        <v>9239</v>
      </c>
      <c r="D53" s="23" t="s">
        <v>5581</v>
      </c>
      <c r="E53" s="23" t="s">
        <v>9232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9179</v>
      </c>
    </row>
    <row r="54" customFormat="false" ht="15" hidden="false" customHeight="false" outlineLevel="0" collapsed="false">
      <c r="A54" s="23" t="n">
        <v>53</v>
      </c>
      <c r="B54" s="23" t="s">
        <v>7838</v>
      </c>
      <c r="C54" s="23" t="s">
        <v>9240</v>
      </c>
      <c r="D54" s="23" t="s">
        <v>5581</v>
      </c>
      <c r="E54" s="23" t="s">
        <v>9232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9179</v>
      </c>
    </row>
    <row r="55" customFormat="false" ht="15" hidden="false" customHeight="false" outlineLevel="0" collapsed="false">
      <c r="A55" s="23" t="n">
        <v>54</v>
      </c>
      <c r="B55" s="23" t="s">
        <v>7858</v>
      </c>
      <c r="C55" s="23" t="s">
        <v>9241</v>
      </c>
      <c r="D55" s="23" t="s">
        <v>5581</v>
      </c>
      <c r="E55" s="23" t="s">
        <v>9242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9179</v>
      </c>
    </row>
    <row r="56" customFormat="false" ht="15" hidden="false" customHeight="false" outlineLevel="0" collapsed="false">
      <c r="A56" s="23" t="n">
        <v>55</v>
      </c>
      <c r="B56" s="23" t="s">
        <v>7895</v>
      </c>
      <c r="C56" s="23" t="s">
        <v>9243</v>
      </c>
      <c r="D56" s="23" t="s">
        <v>5581</v>
      </c>
      <c r="E56" s="23" t="s">
        <v>9242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9179</v>
      </c>
    </row>
    <row r="57" customFormat="false" ht="15" hidden="false" customHeight="false" outlineLevel="0" collapsed="false">
      <c r="A57" s="23" t="n">
        <v>56</v>
      </c>
      <c r="B57" s="23" t="s">
        <v>7921</v>
      </c>
      <c r="C57" s="23" t="s">
        <v>9244</v>
      </c>
      <c r="D57" s="23" t="s">
        <v>5581</v>
      </c>
      <c r="E57" s="23" t="s">
        <v>9242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9179</v>
      </c>
    </row>
    <row r="58" customFormat="false" ht="15" hidden="false" customHeight="false" outlineLevel="0" collapsed="false">
      <c r="A58" s="23" t="n">
        <v>57</v>
      </c>
      <c r="B58" s="23" t="s">
        <v>7939</v>
      </c>
      <c r="C58" s="23" t="s">
        <v>9245</v>
      </c>
      <c r="D58" s="23" t="s">
        <v>5581</v>
      </c>
      <c r="E58" s="23" t="s">
        <v>9246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9179</v>
      </c>
    </row>
    <row r="59" customFormat="false" ht="15" hidden="false" customHeight="false" outlineLevel="0" collapsed="false">
      <c r="A59" s="23" t="n">
        <v>58</v>
      </c>
      <c r="B59" s="23" t="s">
        <v>7952</v>
      </c>
      <c r="C59" s="23" t="s">
        <v>9247</v>
      </c>
      <c r="D59" s="23" t="s">
        <v>5581</v>
      </c>
      <c r="E59" s="23" t="s">
        <v>9248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9179</v>
      </c>
    </row>
    <row r="60" customFormat="false" ht="15" hidden="false" customHeight="false" outlineLevel="0" collapsed="false">
      <c r="A60" s="23" t="n">
        <v>59</v>
      </c>
      <c r="B60" s="23" t="s">
        <v>8049</v>
      </c>
      <c r="C60" s="23" t="s">
        <v>9249</v>
      </c>
      <c r="D60" s="23" t="s">
        <v>5581</v>
      </c>
      <c r="E60" s="23" t="s">
        <v>9248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9179</v>
      </c>
    </row>
    <row r="61" customFormat="false" ht="15" hidden="false" customHeight="false" outlineLevel="0" collapsed="false">
      <c r="A61" s="23" t="n">
        <v>60</v>
      </c>
      <c r="B61" s="23" t="s">
        <v>8095</v>
      </c>
      <c r="C61" s="23" t="s">
        <v>9250</v>
      </c>
      <c r="D61" s="23" t="s">
        <v>5581</v>
      </c>
      <c r="E61" s="23" t="s">
        <v>9248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9179</v>
      </c>
    </row>
    <row r="62" customFormat="false" ht="15" hidden="false" customHeight="false" outlineLevel="0" collapsed="false">
      <c r="A62" s="23" t="n">
        <v>61</v>
      </c>
      <c r="B62" s="23" t="s">
        <v>8130</v>
      </c>
      <c r="C62" s="23" t="s">
        <v>9251</v>
      </c>
      <c r="D62" s="23" t="s">
        <v>5581</v>
      </c>
      <c r="E62" s="23" t="s">
        <v>9248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9179</v>
      </c>
    </row>
    <row r="63" customFormat="false" ht="15" hidden="false" customHeight="false" outlineLevel="0" collapsed="false">
      <c r="A63" s="23" t="n">
        <v>62</v>
      </c>
      <c r="B63" s="23" t="s">
        <v>8160</v>
      </c>
      <c r="C63" s="23" t="s">
        <v>135</v>
      </c>
      <c r="D63" s="23" t="s">
        <v>5581</v>
      </c>
      <c r="E63" s="23" t="s">
        <v>9248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9179</v>
      </c>
    </row>
    <row r="64" customFormat="false" ht="15" hidden="false" customHeight="false" outlineLevel="0" collapsed="false">
      <c r="A64" s="23" t="n">
        <v>63</v>
      </c>
      <c r="B64" s="23" t="s">
        <v>8196</v>
      </c>
      <c r="C64" s="23" t="s">
        <v>9252</v>
      </c>
      <c r="D64" s="23" t="s">
        <v>5581</v>
      </c>
      <c r="E64" s="23" t="s">
        <v>9248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9179</v>
      </c>
    </row>
    <row r="65" customFormat="false" ht="15" hidden="false" customHeight="false" outlineLevel="0" collapsed="false">
      <c r="A65" s="23" t="n">
        <v>64</v>
      </c>
      <c r="B65" s="23" t="s">
        <v>8207</v>
      </c>
      <c r="C65" s="23" t="s">
        <v>9253</v>
      </c>
      <c r="D65" s="23" t="s">
        <v>5581</v>
      </c>
      <c r="E65" s="23" t="s">
        <v>9248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9179</v>
      </c>
    </row>
    <row r="66" customFormat="false" ht="15" hidden="false" customHeight="false" outlineLevel="0" collapsed="false">
      <c r="A66" s="23" t="n">
        <v>65</v>
      </c>
      <c r="B66" s="23" t="s">
        <v>8218</v>
      </c>
      <c r="C66" s="23" t="s">
        <v>9254</v>
      </c>
      <c r="D66" s="23" t="s">
        <v>5581</v>
      </c>
      <c r="E66" s="23" t="s">
        <v>9248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9179</v>
      </c>
    </row>
    <row r="67" customFormat="false" ht="15" hidden="false" customHeight="false" outlineLevel="0" collapsed="false">
      <c r="A67" s="23" t="n">
        <v>66</v>
      </c>
      <c r="B67" s="23" t="s">
        <v>8230</v>
      </c>
      <c r="C67" s="23" t="s">
        <v>9255</v>
      </c>
      <c r="D67" s="23" t="s">
        <v>5581</v>
      </c>
      <c r="E67" s="23" t="s">
        <v>9256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9179</v>
      </c>
    </row>
    <row r="68" customFormat="false" ht="15" hidden="false" customHeight="false" outlineLevel="0" collapsed="false">
      <c r="A68" s="41"/>
      <c r="B68" s="42" t="s">
        <v>9257</v>
      </c>
      <c r="C68" s="42"/>
      <c r="D68" s="42"/>
      <c r="E68" s="42"/>
      <c r="F68" s="42" t="n">
        <f aca="false">SUM(F2:F67)</f>
        <v>1189</v>
      </c>
      <c r="G68" s="42" t="n">
        <f aca="false">SUM(G2:G67)</f>
        <v>798</v>
      </c>
      <c r="H68" s="42" t="n">
        <f aca="false">SUM(H2:H67)</f>
        <v>286</v>
      </c>
      <c r="I68" s="42" t="n">
        <f aca="false">SUM(I2:I67)</f>
        <v>512</v>
      </c>
      <c r="J68" s="42"/>
      <c r="K68" s="42" t="n">
        <f aca="false">SUM(K2:K67)</f>
        <v>798</v>
      </c>
      <c r="L68" s="42"/>
      <c r="M68" s="42"/>
      <c r="N68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4"/>
    <col collapsed="false" customWidth="true" hidden="false" outlineLevel="0" max="28" min="28" style="0" width="60"/>
    <col collapsed="false" customWidth="true" hidden="false" outlineLevel="0" max="29" min="29" style="0" width="20"/>
  </cols>
  <sheetData>
    <row r="1" customFormat="false" ht="30" hidden="false" customHeight="true" outlineLevel="0" collapsed="false">
      <c r="A1" s="16" t="s">
        <v>47</v>
      </c>
      <c r="B1" s="16" t="s">
        <v>9258</v>
      </c>
      <c r="C1" s="16" t="s">
        <v>9259</v>
      </c>
      <c r="D1" s="16" t="s">
        <v>124</v>
      </c>
      <c r="E1" s="16" t="s">
        <v>9260</v>
      </c>
      <c r="F1" s="16" t="s">
        <v>9261</v>
      </c>
      <c r="G1" s="16" t="s">
        <v>125</v>
      </c>
      <c r="H1" s="16" t="s">
        <v>126</v>
      </c>
      <c r="I1" s="16" t="s">
        <v>127</v>
      </c>
      <c r="J1" s="16" t="s">
        <v>128</v>
      </c>
      <c r="K1" s="16" t="s">
        <v>9262</v>
      </c>
      <c r="L1" s="16" t="s">
        <v>130</v>
      </c>
      <c r="M1" s="16" t="s">
        <v>131</v>
      </c>
      <c r="N1" s="16" t="s">
        <v>119</v>
      </c>
      <c r="O1" s="16" t="s">
        <v>9263</v>
      </c>
      <c r="P1" s="16" t="s">
        <v>9264</v>
      </c>
      <c r="Q1" s="16" t="s">
        <v>134</v>
      </c>
      <c r="R1" s="16" t="s">
        <v>135</v>
      </c>
      <c r="S1" s="16" t="s">
        <v>136</v>
      </c>
      <c r="T1" s="16" t="s">
        <v>137</v>
      </c>
      <c r="U1" s="16" t="s">
        <v>138</v>
      </c>
      <c r="V1" s="16" t="s">
        <v>139</v>
      </c>
      <c r="W1" s="16" t="s">
        <v>140</v>
      </c>
      <c r="X1" s="16" t="s">
        <v>141</v>
      </c>
      <c r="Y1" s="16" t="s">
        <v>156</v>
      </c>
      <c r="Z1" s="16" t="s">
        <v>148</v>
      </c>
      <c r="AA1" s="16" t="s">
        <v>149</v>
      </c>
      <c r="AB1" s="16" t="s">
        <v>157</v>
      </c>
      <c r="AC1" s="16" t="s">
        <v>158</v>
      </c>
    </row>
    <row r="2" customFormat="false" ht="36.55" hidden="false" customHeight="false" outlineLevel="0" collapsed="false">
      <c r="A2" s="23" t="n">
        <v>1</v>
      </c>
      <c r="B2" s="31" t="s">
        <v>9265</v>
      </c>
      <c r="C2" s="23" t="s">
        <v>9266</v>
      </c>
      <c r="D2" s="23" t="s">
        <v>9267</v>
      </c>
      <c r="E2" s="20" t="s">
        <v>9268</v>
      </c>
      <c r="F2" s="19" t="s">
        <v>9269</v>
      </c>
      <c r="G2" s="24" t="s">
        <v>4045</v>
      </c>
      <c r="H2" s="24" t="s">
        <v>4046</v>
      </c>
      <c r="I2" s="23" t="s">
        <v>4047</v>
      </c>
      <c r="J2" s="24" t="s">
        <v>4048</v>
      </c>
      <c r="K2" s="24"/>
      <c r="L2" s="24" t="s">
        <v>4050</v>
      </c>
      <c r="M2" s="24"/>
      <c r="N2" s="23" t="str">
        <f aca="false">"시편 #"&amp;TEXT(A2,"000")</f>
        <v>시편 #001</v>
      </c>
      <c r="O2" s="31" t="s">
        <v>9270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174</v>
      </c>
      <c r="U2" s="23" t="s">
        <v>174</v>
      </c>
      <c r="V2" s="23" t="s">
        <v>174</v>
      </c>
      <c r="W2" s="23" t="s">
        <v>174</v>
      </c>
      <c r="X2" s="24"/>
      <c r="Y2" s="23" t="str">
        <f aca="false">"시편|"&amp;TEXT(Q2,"yyyy-mm-dd")</f>
        <v>시편|2027-01-05</v>
      </c>
      <c r="Z2" s="26" t="n">
        <f aca="false">Q2-안내!$C$12</f>
        <v>46364</v>
      </c>
      <c r="AA2" s="23" t="str">
        <f aca="false">IF(Q2&lt;안내!$C$11+안내!$C$12,"시작 전 제작","")</f>
        <v>시작 전 제작</v>
      </c>
      <c r="AB2" s="24" t="s">
        <v>4052</v>
      </c>
      <c r="AC2" s="24"/>
    </row>
    <row r="3" customFormat="false" ht="36.55" hidden="false" customHeight="false" outlineLevel="0" collapsed="false">
      <c r="A3" s="23" t="n">
        <v>2</v>
      </c>
      <c r="B3" s="31" t="s">
        <v>9271</v>
      </c>
      <c r="C3" s="23" t="s">
        <v>9266</v>
      </c>
      <c r="D3" s="23" t="s">
        <v>9272</v>
      </c>
      <c r="E3" s="20" t="s">
        <v>9268</v>
      </c>
      <c r="F3" s="19" t="s">
        <v>9273</v>
      </c>
      <c r="G3" s="24" t="s">
        <v>4056</v>
      </c>
      <c r="H3" s="24" t="s">
        <v>4057</v>
      </c>
      <c r="I3" s="23" t="s">
        <v>4058</v>
      </c>
      <c r="J3" s="24" t="s">
        <v>4059</v>
      </c>
      <c r="K3" s="24"/>
      <c r="L3" s="24" t="s">
        <v>4061</v>
      </c>
      <c r="M3" s="25" t="s">
        <v>4062</v>
      </c>
      <c r="N3" s="23" t="str">
        <f aca="false">"시편 #"&amp;TEXT(A3,"000")</f>
        <v>시편 #002</v>
      </c>
      <c r="O3" s="31" t="s">
        <v>9270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174</v>
      </c>
      <c r="U3" s="23" t="s">
        <v>174</v>
      </c>
      <c r="V3" s="23" t="s">
        <v>174</v>
      </c>
      <c r="W3" s="23" t="s">
        <v>174</v>
      </c>
      <c r="X3" s="24"/>
      <c r="Y3" s="23" t="str">
        <f aca="false">"시편|"&amp;TEXT(Q3,"yyyy-mm-dd")</f>
        <v>시편|2027-01-07</v>
      </c>
      <c r="Z3" s="26" t="n">
        <f aca="false">Q3-안내!$C$12</f>
        <v>46366</v>
      </c>
      <c r="AA3" s="23" t="str">
        <f aca="false">IF(Q3&lt;안내!$C$11+안내!$C$12,"시작 전 제작","")</f>
        <v>시작 전 제작</v>
      </c>
      <c r="AB3" s="24" t="s">
        <v>4064</v>
      </c>
      <c r="AC3" s="24"/>
    </row>
    <row r="4" customFormat="false" ht="26.85" hidden="false" customHeight="false" outlineLevel="0" collapsed="false">
      <c r="A4" s="23" t="n">
        <v>3</v>
      </c>
      <c r="B4" s="31" t="s">
        <v>9274</v>
      </c>
      <c r="C4" s="23" t="s">
        <v>9266</v>
      </c>
      <c r="D4" s="23" t="s">
        <v>9275</v>
      </c>
      <c r="E4" s="23" t="s">
        <v>9276</v>
      </c>
      <c r="F4" s="23"/>
      <c r="G4" s="24" t="s">
        <v>9277</v>
      </c>
      <c r="H4" s="24" t="s">
        <v>9278</v>
      </c>
      <c r="I4" s="23" t="s">
        <v>9279</v>
      </c>
      <c r="J4" s="24" t="s">
        <v>9280</v>
      </c>
      <c r="K4" s="24" t="s">
        <v>9281</v>
      </c>
      <c r="L4" s="24" t="s">
        <v>9282</v>
      </c>
      <c r="M4" s="24"/>
      <c r="N4" s="23" t="str">
        <f aca="false">"시편 #"&amp;TEXT(A4,"000")</f>
        <v>시편 #003</v>
      </c>
      <c r="O4" s="31" t="s">
        <v>9270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174</v>
      </c>
      <c r="U4" s="23" t="s">
        <v>174</v>
      </c>
      <c r="V4" s="23" t="s">
        <v>174</v>
      </c>
      <c r="W4" s="23" t="s">
        <v>174</v>
      </c>
      <c r="X4" s="24"/>
      <c r="Y4" s="23" t="str">
        <f aca="false">"시편|"&amp;TEXT(Q4,"yyyy-mm-dd")</f>
        <v>시편|2027-01-10</v>
      </c>
      <c r="Z4" s="26" t="n">
        <f aca="false">Q4-안내!$C$12</f>
        <v>46369</v>
      </c>
      <c r="AA4" s="23" t="str">
        <f aca="false">IF(Q4&lt;안내!$C$11+안내!$C$12,"시작 전 제작","")</f>
        <v>시작 전 제작</v>
      </c>
      <c r="AB4" s="24" t="s">
        <v>9283</v>
      </c>
      <c r="AC4" s="24"/>
    </row>
    <row r="5" customFormat="false" ht="26.85" hidden="false" customHeight="false" outlineLevel="0" collapsed="false">
      <c r="A5" s="23" t="n">
        <v>4</v>
      </c>
      <c r="B5" s="31" t="s">
        <v>9284</v>
      </c>
      <c r="C5" s="23" t="s">
        <v>9266</v>
      </c>
      <c r="D5" s="23" t="s">
        <v>9285</v>
      </c>
      <c r="E5" s="23" t="s">
        <v>9276</v>
      </c>
      <c r="F5" s="23"/>
      <c r="G5" s="24" t="s">
        <v>9286</v>
      </c>
      <c r="H5" s="24" t="s">
        <v>9287</v>
      </c>
      <c r="I5" s="23" t="s">
        <v>9288</v>
      </c>
      <c r="J5" s="24" t="s">
        <v>9289</v>
      </c>
      <c r="K5" s="24" t="s">
        <v>2608</v>
      </c>
      <c r="L5" s="24" t="s">
        <v>9290</v>
      </c>
      <c r="M5" s="24"/>
      <c r="N5" s="23" t="str">
        <f aca="false">"시편 #"&amp;TEXT(A5,"000")</f>
        <v>시편 #004</v>
      </c>
      <c r="O5" s="31" t="s">
        <v>9270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174</v>
      </c>
      <c r="U5" s="23" t="s">
        <v>174</v>
      </c>
      <c r="V5" s="23" t="s">
        <v>174</v>
      </c>
      <c r="W5" s="23" t="s">
        <v>174</v>
      </c>
      <c r="X5" s="24"/>
      <c r="Y5" s="23" t="str">
        <f aca="false">"시편|"&amp;TEXT(Q5,"yyyy-mm-dd")</f>
        <v>시편|2027-01-12</v>
      </c>
      <c r="Z5" s="26" t="n">
        <f aca="false">Q5-안내!$C$12</f>
        <v>46371</v>
      </c>
      <c r="AA5" s="23" t="str">
        <f aca="false">IF(Q5&lt;안내!$C$11+안내!$C$12,"시작 전 제작","")</f>
        <v>시작 전 제작</v>
      </c>
      <c r="AB5" s="24" t="s">
        <v>9291</v>
      </c>
      <c r="AC5" s="24"/>
    </row>
    <row r="6" customFormat="false" ht="26.85" hidden="false" customHeight="false" outlineLevel="0" collapsed="false">
      <c r="A6" s="23" t="n">
        <v>5</v>
      </c>
      <c r="B6" s="31" t="s">
        <v>9292</v>
      </c>
      <c r="C6" s="23" t="s">
        <v>9266</v>
      </c>
      <c r="D6" s="23" t="s">
        <v>9275</v>
      </c>
      <c r="E6" s="23" t="s">
        <v>9276</v>
      </c>
      <c r="F6" s="23"/>
      <c r="G6" s="24" t="s">
        <v>9293</v>
      </c>
      <c r="H6" s="24" t="s">
        <v>9294</v>
      </c>
      <c r="I6" s="23" t="s">
        <v>9295</v>
      </c>
      <c r="J6" s="24" t="s">
        <v>9296</v>
      </c>
      <c r="K6" s="24" t="s">
        <v>2608</v>
      </c>
      <c r="L6" s="24" t="s">
        <v>9297</v>
      </c>
      <c r="M6" s="24"/>
      <c r="N6" s="23" t="str">
        <f aca="false">"시편 #"&amp;TEXT(A6,"000")</f>
        <v>시편 #005</v>
      </c>
      <c r="O6" s="31" t="s">
        <v>9270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174</v>
      </c>
      <c r="U6" s="23" t="s">
        <v>174</v>
      </c>
      <c r="V6" s="23" t="s">
        <v>174</v>
      </c>
      <c r="W6" s="23" t="s">
        <v>174</v>
      </c>
      <c r="X6" s="24"/>
      <c r="Y6" s="23" t="str">
        <f aca="false">"시편|"&amp;TEXT(Q6,"yyyy-mm-dd")</f>
        <v>시편|2027-01-14</v>
      </c>
      <c r="Z6" s="26" t="n">
        <f aca="false">Q6-안내!$C$12</f>
        <v>46373</v>
      </c>
      <c r="AA6" s="23" t="str">
        <f aca="false">IF(Q6&lt;안내!$C$11+안내!$C$12,"시작 전 제작","")</f>
        <v>시작 전 제작</v>
      </c>
      <c r="AB6" s="24" t="s">
        <v>9298</v>
      </c>
      <c r="AC6" s="24"/>
    </row>
    <row r="7" customFormat="false" ht="26.85" hidden="false" customHeight="false" outlineLevel="0" collapsed="false">
      <c r="A7" s="23" t="n">
        <v>6</v>
      </c>
      <c r="B7" s="31" t="s">
        <v>9299</v>
      </c>
      <c r="C7" s="23" t="s">
        <v>9266</v>
      </c>
      <c r="D7" s="23" t="s">
        <v>9300</v>
      </c>
      <c r="E7" s="23" t="s">
        <v>9276</v>
      </c>
      <c r="F7" s="23"/>
      <c r="G7" s="24" t="s">
        <v>9301</v>
      </c>
      <c r="H7" s="24" t="s">
        <v>9302</v>
      </c>
      <c r="I7" s="23" t="s">
        <v>9303</v>
      </c>
      <c r="J7" s="24" t="s">
        <v>9304</v>
      </c>
      <c r="K7" s="24" t="s">
        <v>9305</v>
      </c>
      <c r="L7" s="24" t="s">
        <v>9306</v>
      </c>
      <c r="M7" s="24"/>
      <c r="N7" s="23" t="str">
        <f aca="false">"시편 #"&amp;TEXT(A7,"000")</f>
        <v>시편 #006</v>
      </c>
      <c r="O7" s="31" t="s">
        <v>9270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174</v>
      </c>
      <c r="U7" s="23" t="s">
        <v>174</v>
      </c>
      <c r="V7" s="23" t="s">
        <v>174</v>
      </c>
      <c r="W7" s="23" t="s">
        <v>174</v>
      </c>
      <c r="X7" s="24"/>
      <c r="Y7" s="23" t="str">
        <f aca="false">"시편|"&amp;TEXT(Q7,"yyyy-mm-dd")</f>
        <v>시편|2027-01-17</v>
      </c>
      <c r="Z7" s="26" t="n">
        <f aca="false">Q7-안내!$C$12</f>
        <v>46376</v>
      </c>
      <c r="AA7" s="23" t="str">
        <f aca="false">IF(Q7&lt;안내!$C$11+안내!$C$12,"시작 전 제작","")</f>
        <v>시작 전 제작</v>
      </c>
      <c r="AB7" s="24" t="s">
        <v>9307</v>
      </c>
      <c r="AC7" s="24"/>
    </row>
    <row r="8" customFormat="false" ht="26.85" hidden="false" customHeight="false" outlineLevel="0" collapsed="false">
      <c r="A8" s="23" t="n">
        <v>7</v>
      </c>
      <c r="B8" s="31" t="s">
        <v>9308</v>
      </c>
      <c r="C8" s="23" t="s">
        <v>9266</v>
      </c>
      <c r="D8" s="23" t="s">
        <v>9275</v>
      </c>
      <c r="E8" s="23" t="s">
        <v>9276</v>
      </c>
      <c r="F8" s="23"/>
      <c r="G8" s="24" t="s">
        <v>9309</v>
      </c>
      <c r="H8" s="24" t="s">
        <v>9310</v>
      </c>
      <c r="I8" s="23" t="s">
        <v>9311</v>
      </c>
      <c r="J8" s="24" t="s">
        <v>9312</v>
      </c>
      <c r="K8" s="24" t="s">
        <v>9313</v>
      </c>
      <c r="L8" s="24" t="s">
        <v>9314</v>
      </c>
      <c r="M8" s="25" t="s">
        <v>9315</v>
      </c>
      <c r="N8" s="23" t="str">
        <f aca="false">"시편 #"&amp;TEXT(A8,"000")</f>
        <v>시편 #007</v>
      </c>
      <c r="O8" s="31" t="s">
        <v>9270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174</v>
      </c>
      <c r="U8" s="23" t="s">
        <v>174</v>
      </c>
      <c r="V8" s="23" t="s">
        <v>174</v>
      </c>
      <c r="W8" s="23" t="s">
        <v>174</v>
      </c>
      <c r="X8" s="24"/>
      <c r="Y8" s="23" t="str">
        <f aca="false">"시편|"&amp;TEXT(Q8,"yyyy-mm-dd")</f>
        <v>시편|2027-01-19</v>
      </c>
      <c r="Z8" s="26" t="n">
        <f aca="false">Q8-안내!$C$12</f>
        <v>46378</v>
      </c>
      <c r="AA8" s="23" t="str">
        <f aca="false">IF(Q8&lt;안내!$C$11+안내!$C$12,"시작 전 제작","")</f>
        <v>시작 전 제작</v>
      </c>
      <c r="AB8" s="24" t="s">
        <v>9316</v>
      </c>
      <c r="AC8" s="24"/>
    </row>
    <row r="9" customFormat="false" ht="36.55" hidden="false" customHeight="false" outlineLevel="0" collapsed="false">
      <c r="A9" s="23" t="n">
        <v>8</v>
      </c>
      <c r="B9" s="31" t="s">
        <v>9317</v>
      </c>
      <c r="C9" s="23" t="s">
        <v>9266</v>
      </c>
      <c r="D9" s="23" t="s">
        <v>9318</v>
      </c>
      <c r="E9" s="20" t="s">
        <v>9268</v>
      </c>
      <c r="F9" s="19" t="s">
        <v>9319</v>
      </c>
      <c r="G9" s="24" t="s">
        <v>4067</v>
      </c>
      <c r="H9" s="24" t="s">
        <v>4068</v>
      </c>
      <c r="I9" s="23" t="s">
        <v>4069</v>
      </c>
      <c r="J9" s="24" t="s">
        <v>4070</v>
      </c>
      <c r="K9" s="24"/>
      <c r="L9" s="24" t="s">
        <v>4071</v>
      </c>
      <c r="M9" s="24"/>
      <c r="N9" s="23" t="str">
        <f aca="false">"시편 #"&amp;TEXT(A9,"000")</f>
        <v>시편 #008</v>
      </c>
      <c r="O9" s="31" t="s">
        <v>9270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174</v>
      </c>
      <c r="U9" s="23" t="s">
        <v>174</v>
      </c>
      <c r="V9" s="23" t="s">
        <v>174</v>
      </c>
      <c r="W9" s="23" t="s">
        <v>174</v>
      </c>
      <c r="X9" s="24"/>
      <c r="Y9" s="23" t="str">
        <f aca="false">"시편|"&amp;TEXT(Q9,"yyyy-mm-dd")</f>
        <v>시편|2027-01-21</v>
      </c>
      <c r="Z9" s="26" t="n">
        <f aca="false">Q9-안내!$C$12</f>
        <v>46380</v>
      </c>
      <c r="AA9" s="23" t="str">
        <f aca="false">IF(Q9&lt;안내!$C$11+안내!$C$12,"시작 전 제작","")</f>
        <v>시작 전 제작</v>
      </c>
      <c r="AB9" s="24" t="s">
        <v>4072</v>
      </c>
      <c r="AC9" s="24"/>
    </row>
    <row r="10" customFormat="false" ht="26.85" hidden="false" customHeight="false" outlineLevel="0" collapsed="false">
      <c r="A10" s="23" t="n">
        <v>9</v>
      </c>
      <c r="B10" s="31" t="s">
        <v>9320</v>
      </c>
      <c r="C10" s="23" t="s">
        <v>9266</v>
      </c>
      <c r="D10" s="23" t="s">
        <v>9321</v>
      </c>
      <c r="E10" s="23" t="s">
        <v>9276</v>
      </c>
      <c r="F10" s="23"/>
      <c r="G10" s="24" t="s">
        <v>9322</v>
      </c>
      <c r="H10" s="24" t="s">
        <v>9323</v>
      </c>
      <c r="I10" s="23" t="s">
        <v>9324</v>
      </c>
      <c r="J10" s="24" t="s">
        <v>9325</v>
      </c>
      <c r="K10" s="24" t="s">
        <v>2608</v>
      </c>
      <c r="L10" s="24" t="s">
        <v>9326</v>
      </c>
      <c r="M10" s="24"/>
      <c r="N10" s="23" t="str">
        <f aca="false">"시편 #"&amp;TEXT(A10,"000")</f>
        <v>시편 #009</v>
      </c>
      <c r="O10" s="31" t="s">
        <v>9270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174</v>
      </c>
      <c r="U10" s="23" t="s">
        <v>174</v>
      </c>
      <c r="V10" s="23" t="s">
        <v>174</v>
      </c>
      <c r="W10" s="23" t="s">
        <v>174</v>
      </c>
      <c r="X10" s="24"/>
      <c r="Y10" s="23" t="str">
        <f aca="false">"시편|"&amp;TEXT(Q10,"yyyy-mm-dd")</f>
        <v>시편|2027-01-24</v>
      </c>
      <c r="Z10" s="26" t="n">
        <f aca="false">Q10-안내!$C$12</f>
        <v>46383</v>
      </c>
      <c r="AA10" s="23" t="str">
        <f aca="false">IF(Q10&lt;안내!$C$11+안내!$C$12,"시작 전 제작","")</f>
        <v>시작 전 제작</v>
      </c>
      <c r="AB10" s="24" t="s">
        <v>9327</v>
      </c>
      <c r="AC10" s="24" t="s">
        <v>4081</v>
      </c>
    </row>
    <row r="11" customFormat="false" ht="26.85" hidden="false" customHeight="false" outlineLevel="0" collapsed="false">
      <c r="A11" s="23" t="n">
        <v>10</v>
      </c>
      <c r="B11" s="31" t="s">
        <v>9328</v>
      </c>
      <c r="C11" s="23" t="s">
        <v>9266</v>
      </c>
      <c r="D11" s="23" t="s">
        <v>9275</v>
      </c>
      <c r="E11" s="23" t="s">
        <v>9276</v>
      </c>
      <c r="F11" s="23"/>
      <c r="G11" s="24" t="s">
        <v>9329</v>
      </c>
      <c r="H11" s="24" t="s">
        <v>9330</v>
      </c>
      <c r="I11" s="23" t="s">
        <v>9331</v>
      </c>
      <c r="J11" s="24" t="s">
        <v>9332</v>
      </c>
      <c r="K11" s="24" t="s">
        <v>9333</v>
      </c>
      <c r="L11" s="24" t="s">
        <v>9334</v>
      </c>
      <c r="M11" s="24"/>
      <c r="N11" s="23" t="str">
        <f aca="false">"시편 #"&amp;TEXT(A11,"000")</f>
        <v>시편 #010</v>
      </c>
      <c r="O11" s="31" t="s">
        <v>9270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174</v>
      </c>
      <c r="U11" s="23" t="s">
        <v>174</v>
      </c>
      <c r="V11" s="23" t="s">
        <v>174</v>
      </c>
      <c r="W11" s="23" t="s">
        <v>174</v>
      </c>
      <c r="X11" s="24"/>
      <c r="Y11" s="23" t="str">
        <f aca="false">"시편|"&amp;TEXT(Q11,"yyyy-mm-dd")</f>
        <v>시편|2027-01-26</v>
      </c>
      <c r="Z11" s="26" t="n">
        <f aca="false">Q11-안내!$C$12</f>
        <v>46385</v>
      </c>
      <c r="AA11" s="23" t="str">
        <f aca="false">IF(Q11&lt;안내!$C$11+안내!$C$12,"시작 전 제작","")</f>
        <v>시작 전 제작</v>
      </c>
      <c r="AB11" s="24" t="s">
        <v>9335</v>
      </c>
      <c r="AC11" s="24"/>
    </row>
    <row r="12" customFormat="false" ht="26.85" hidden="false" customHeight="false" outlineLevel="0" collapsed="false">
      <c r="A12" s="23" t="n">
        <v>11</v>
      </c>
      <c r="B12" s="31" t="s">
        <v>9336</v>
      </c>
      <c r="C12" s="23" t="s">
        <v>9266</v>
      </c>
      <c r="D12" s="23" t="s">
        <v>9285</v>
      </c>
      <c r="E12" s="23" t="s">
        <v>9276</v>
      </c>
      <c r="F12" s="23"/>
      <c r="G12" s="24" t="s">
        <v>9337</v>
      </c>
      <c r="H12" s="24" t="s">
        <v>9338</v>
      </c>
      <c r="I12" s="23" t="s">
        <v>9339</v>
      </c>
      <c r="J12" s="24" t="s">
        <v>9340</v>
      </c>
      <c r="K12" s="24" t="s">
        <v>2608</v>
      </c>
      <c r="L12" s="24" t="s">
        <v>9341</v>
      </c>
      <c r="M12" s="24"/>
      <c r="N12" s="23" t="str">
        <f aca="false">"시편 #"&amp;TEXT(A12,"000")</f>
        <v>시편 #011</v>
      </c>
      <c r="O12" s="31" t="s">
        <v>9342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174</v>
      </c>
      <c r="U12" s="23" t="s">
        <v>174</v>
      </c>
      <c r="V12" s="23" t="s">
        <v>174</v>
      </c>
      <c r="W12" s="23" t="s">
        <v>174</v>
      </c>
      <c r="X12" s="24"/>
      <c r="Y12" s="23" t="str">
        <f aca="false">"시편|"&amp;TEXT(Q12,"yyyy-mm-dd")</f>
        <v>시편|2027-01-28</v>
      </c>
      <c r="Z12" s="26" t="n">
        <f aca="false">Q12-안내!$C$12</f>
        <v>46387</v>
      </c>
      <c r="AA12" s="23" t="str">
        <f aca="false">IF(Q12&lt;안내!$C$11+안내!$C$12,"시작 전 제작","")</f>
        <v>시작 전 제작</v>
      </c>
      <c r="AB12" s="24" t="s">
        <v>9343</v>
      </c>
      <c r="AC12" s="24"/>
    </row>
    <row r="13" customFormat="false" ht="26.85" hidden="false" customHeight="false" outlineLevel="0" collapsed="false">
      <c r="A13" s="23" t="n">
        <v>12</v>
      </c>
      <c r="B13" s="31" t="s">
        <v>9344</v>
      </c>
      <c r="C13" s="23" t="s">
        <v>9266</v>
      </c>
      <c r="D13" s="23" t="s">
        <v>9275</v>
      </c>
      <c r="E13" s="23" t="s">
        <v>9276</v>
      </c>
      <c r="F13" s="23"/>
      <c r="G13" s="24" t="s">
        <v>9345</v>
      </c>
      <c r="H13" s="24" t="s">
        <v>9346</v>
      </c>
      <c r="I13" s="23" t="s">
        <v>9347</v>
      </c>
      <c r="J13" s="24" t="s">
        <v>9348</v>
      </c>
      <c r="K13" s="24" t="s">
        <v>2608</v>
      </c>
      <c r="L13" s="24" t="s">
        <v>9349</v>
      </c>
      <c r="M13" s="24"/>
      <c r="N13" s="23" t="str">
        <f aca="false">"시편 #"&amp;TEXT(A13,"000")</f>
        <v>시편 #012</v>
      </c>
      <c r="O13" s="31" t="s">
        <v>9342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174</v>
      </c>
      <c r="U13" s="23" t="s">
        <v>174</v>
      </c>
      <c r="V13" s="23" t="s">
        <v>174</v>
      </c>
      <c r="W13" s="23" t="s">
        <v>174</v>
      </c>
      <c r="X13" s="24"/>
      <c r="Y13" s="23" t="str">
        <f aca="false">"시편|"&amp;TEXT(Q13,"yyyy-mm-dd")</f>
        <v>시편|2027-01-31</v>
      </c>
      <c r="Z13" s="26" t="n">
        <f aca="false">Q13-안내!$C$12</f>
        <v>46390</v>
      </c>
      <c r="AA13" s="23" t="str">
        <f aca="false">IF(Q13&lt;안내!$C$11+안내!$C$12,"시작 전 제작","")</f>
        <v>시작 전 제작</v>
      </c>
      <c r="AB13" s="24" t="s">
        <v>9350</v>
      </c>
      <c r="AC13" s="24"/>
    </row>
    <row r="14" customFormat="false" ht="26.85" hidden="false" customHeight="false" outlineLevel="0" collapsed="false">
      <c r="A14" s="23" t="n">
        <v>13</v>
      </c>
      <c r="B14" s="31" t="s">
        <v>9351</v>
      </c>
      <c r="C14" s="23" t="s">
        <v>9266</v>
      </c>
      <c r="D14" s="23" t="s">
        <v>9275</v>
      </c>
      <c r="E14" s="23" t="s">
        <v>9276</v>
      </c>
      <c r="F14" s="23"/>
      <c r="G14" s="24" t="s">
        <v>9352</v>
      </c>
      <c r="H14" s="24" t="s">
        <v>9353</v>
      </c>
      <c r="I14" s="23" t="s">
        <v>9354</v>
      </c>
      <c r="J14" s="24" t="s">
        <v>9355</v>
      </c>
      <c r="K14" s="24" t="s">
        <v>2608</v>
      </c>
      <c r="L14" s="24" t="s">
        <v>9356</v>
      </c>
      <c r="M14" s="24"/>
      <c r="N14" s="23" t="str">
        <f aca="false">"시편 #"&amp;TEXT(A14,"000")</f>
        <v>시편 #013</v>
      </c>
      <c r="O14" s="31" t="s">
        <v>9342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174</v>
      </c>
      <c r="U14" s="23" t="s">
        <v>174</v>
      </c>
      <c r="V14" s="23" t="s">
        <v>174</v>
      </c>
      <c r="W14" s="23" t="s">
        <v>174</v>
      </c>
      <c r="X14" s="24"/>
      <c r="Y14" s="23" t="str">
        <f aca="false">"시편|"&amp;TEXT(Q14,"yyyy-mm-dd")</f>
        <v>시편|2027-02-02</v>
      </c>
      <c r="Z14" s="26" t="n">
        <f aca="false">Q14-안내!$C$12</f>
        <v>46392</v>
      </c>
      <c r="AA14" s="23" t="str">
        <f aca="false">IF(Q14&lt;안내!$C$11+안내!$C$12,"시작 전 제작","")</f>
        <v/>
      </c>
      <c r="AB14" s="24" t="s">
        <v>9357</v>
      </c>
      <c r="AC14" s="24" t="s">
        <v>4265</v>
      </c>
    </row>
    <row r="15" customFormat="false" ht="26.85" hidden="false" customHeight="false" outlineLevel="0" collapsed="false">
      <c r="A15" s="23" t="n">
        <v>14</v>
      </c>
      <c r="B15" s="31" t="s">
        <v>9358</v>
      </c>
      <c r="C15" s="23" t="s">
        <v>9266</v>
      </c>
      <c r="D15" s="23" t="s">
        <v>9267</v>
      </c>
      <c r="E15" s="23" t="s">
        <v>9276</v>
      </c>
      <c r="F15" s="23"/>
      <c r="G15" s="24" t="s">
        <v>9359</v>
      </c>
      <c r="H15" s="24" t="s">
        <v>9360</v>
      </c>
      <c r="I15" s="23" t="s">
        <v>9361</v>
      </c>
      <c r="J15" s="24" t="s">
        <v>9362</v>
      </c>
      <c r="K15" s="24" t="s">
        <v>2608</v>
      </c>
      <c r="L15" s="24" t="s">
        <v>9363</v>
      </c>
      <c r="M15" s="25" t="s">
        <v>9364</v>
      </c>
      <c r="N15" s="23" t="str">
        <f aca="false">"시편 #"&amp;TEXT(A15,"000")</f>
        <v>시편 #014</v>
      </c>
      <c r="O15" s="31" t="s">
        <v>9342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174</v>
      </c>
      <c r="U15" s="23" t="s">
        <v>174</v>
      </c>
      <c r="V15" s="23" t="s">
        <v>174</v>
      </c>
      <c r="W15" s="23" t="s">
        <v>174</v>
      </c>
      <c r="X15" s="24"/>
      <c r="Y15" s="23" t="str">
        <f aca="false">"시편|"&amp;TEXT(Q15,"yyyy-mm-dd")</f>
        <v>시편|2027-02-04</v>
      </c>
      <c r="Z15" s="26" t="n">
        <f aca="false">Q15-안내!$C$12</f>
        <v>46394</v>
      </c>
      <c r="AA15" s="23" t="str">
        <f aca="false">IF(Q15&lt;안내!$C$11+안내!$C$12,"시작 전 제작","")</f>
        <v/>
      </c>
      <c r="AB15" s="24" t="s">
        <v>9365</v>
      </c>
      <c r="AC15" s="24" t="s">
        <v>4265</v>
      </c>
    </row>
    <row r="16" customFormat="false" ht="26.85" hidden="false" customHeight="false" outlineLevel="0" collapsed="false">
      <c r="A16" s="23" t="n">
        <v>15</v>
      </c>
      <c r="B16" s="31" t="s">
        <v>9366</v>
      </c>
      <c r="C16" s="23" t="s">
        <v>9266</v>
      </c>
      <c r="D16" s="23" t="s">
        <v>9267</v>
      </c>
      <c r="E16" s="23" t="s">
        <v>9276</v>
      </c>
      <c r="F16" s="23"/>
      <c r="G16" s="24" t="s">
        <v>9367</v>
      </c>
      <c r="H16" s="24" t="s">
        <v>9368</v>
      </c>
      <c r="I16" s="23" t="s">
        <v>9369</v>
      </c>
      <c r="J16" s="24" t="s">
        <v>9370</v>
      </c>
      <c r="K16" s="24" t="s">
        <v>2608</v>
      </c>
      <c r="L16" s="24" t="s">
        <v>1626</v>
      </c>
      <c r="M16" s="25" t="s">
        <v>9371</v>
      </c>
      <c r="N16" s="23" t="str">
        <f aca="false">"시편 #"&amp;TEXT(A16,"000")</f>
        <v>시편 #015</v>
      </c>
      <c r="O16" s="31" t="s">
        <v>9342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174</v>
      </c>
      <c r="U16" s="23" t="s">
        <v>174</v>
      </c>
      <c r="V16" s="23" t="s">
        <v>174</v>
      </c>
      <c r="W16" s="23" t="s">
        <v>174</v>
      </c>
      <c r="X16" s="24"/>
      <c r="Y16" s="23" t="str">
        <f aca="false">"시편|"&amp;TEXT(Q16,"yyyy-mm-dd")</f>
        <v>시편|2027-02-07</v>
      </c>
      <c r="Z16" s="26" t="n">
        <f aca="false">Q16-안내!$C$12</f>
        <v>46397</v>
      </c>
      <c r="AA16" s="23" t="str">
        <f aca="false">IF(Q16&lt;안내!$C$11+안내!$C$12,"시작 전 제작","")</f>
        <v/>
      </c>
      <c r="AB16" s="24" t="s">
        <v>9372</v>
      </c>
      <c r="AC16" s="24" t="s">
        <v>4081</v>
      </c>
    </row>
    <row r="17" customFormat="false" ht="26.85" hidden="false" customHeight="false" outlineLevel="0" collapsed="false">
      <c r="A17" s="23" t="n">
        <v>16</v>
      </c>
      <c r="B17" s="31" t="s">
        <v>9373</v>
      </c>
      <c r="C17" s="23" t="s">
        <v>9266</v>
      </c>
      <c r="D17" s="23" t="s">
        <v>9285</v>
      </c>
      <c r="E17" s="23" t="s">
        <v>9276</v>
      </c>
      <c r="F17" s="23"/>
      <c r="G17" s="24" t="s">
        <v>9374</v>
      </c>
      <c r="H17" s="24" t="s">
        <v>9375</v>
      </c>
      <c r="I17" s="23" t="s">
        <v>9376</v>
      </c>
      <c r="J17" s="24" t="s">
        <v>9377</v>
      </c>
      <c r="K17" s="24" t="s">
        <v>9378</v>
      </c>
      <c r="L17" s="24" t="s">
        <v>9379</v>
      </c>
      <c r="M17" s="28" t="s">
        <v>9380</v>
      </c>
      <c r="N17" s="23" t="str">
        <f aca="false">"시편 #"&amp;TEXT(A17,"000")</f>
        <v>시편 #016</v>
      </c>
      <c r="O17" s="31" t="s">
        <v>9342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174</v>
      </c>
      <c r="U17" s="23" t="s">
        <v>174</v>
      </c>
      <c r="V17" s="23" t="s">
        <v>174</v>
      </c>
      <c r="W17" s="23" t="s">
        <v>174</v>
      </c>
      <c r="X17" s="24"/>
      <c r="Y17" s="23" t="str">
        <f aca="false">"시편|"&amp;TEXT(Q17,"yyyy-mm-dd")</f>
        <v>시편|2027-02-09</v>
      </c>
      <c r="Z17" s="26" t="n">
        <f aca="false">Q17-안내!$C$12</f>
        <v>46399</v>
      </c>
      <c r="AA17" s="23" t="str">
        <f aca="false">IF(Q17&lt;안내!$C$11+안내!$C$12,"시작 전 제작","")</f>
        <v/>
      </c>
      <c r="AB17" s="24" t="s">
        <v>9381</v>
      </c>
      <c r="AC17" s="24"/>
    </row>
    <row r="18" customFormat="false" ht="26.85" hidden="false" customHeight="false" outlineLevel="0" collapsed="false">
      <c r="A18" s="23" t="n">
        <v>17</v>
      </c>
      <c r="B18" s="31" t="s">
        <v>9382</v>
      </c>
      <c r="C18" s="23" t="s">
        <v>9266</v>
      </c>
      <c r="D18" s="23" t="s">
        <v>9275</v>
      </c>
      <c r="E18" s="23" t="s">
        <v>9276</v>
      </c>
      <c r="F18" s="23"/>
      <c r="G18" s="24" t="s">
        <v>9383</v>
      </c>
      <c r="H18" s="24" t="s">
        <v>9384</v>
      </c>
      <c r="I18" s="23" t="s">
        <v>9385</v>
      </c>
      <c r="J18" s="24" t="s">
        <v>9386</v>
      </c>
      <c r="K18" s="24" t="s">
        <v>2608</v>
      </c>
      <c r="L18" s="24" t="s">
        <v>9387</v>
      </c>
      <c r="M18" s="24"/>
      <c r="N18" s="23" t="str">
        <f aca="false">"시편 #"&amp;TEXT(A18,"000")</f>
        <v>시편 #017</v>
      </c>
      <c r="O18" s="31" t="s">
        <v>9342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174</v>
      </c>
      <c r="U18" s="23" t="s">
        <v>174</v>
      </c>
      <c r="V18" s="23" t="s">
        <v>174</v>
      </c>
      <c r="W18" s="23" t="s">
        <v>174</v>
      </c>
      <c r="X18" s="24"/>
      <c r="Y18" s="23" t="str">
        <f aca="false">"시편|"&amp;TEXT(Q18,"yyyy-mm-dd")</f>
        <v>시편|2027-02-11</v>
      </c>
      <c r="Z18" s="26" t="n">
        <f aca="false">Q18-안내!$C$12</f>
        <v>46401</v>
      </c>
      <c r="AA18" s="23" t="str">
        <f aca="false">IF(Q18&lt;안내!$C$11+안내!$C$12,"시작 전 제작","")</f>
        <v/>
      </c>
      <c r="AB18" s="24" t="s">
        <v>9388</v>
      </c>
      <c r="AC18" s="24"/>
    </row>
    <row r="19" customFormat="false" ht="26.85" hidden="false" customHeight="false" outlineLevel="0" collapsed="false">
      <c r="A19" s="23" t="n">
        <v>18</v>
      </c>
      <c r="B19" s="31" t="s">
        <v>9389</v>
      </c>
      <c r="C19" s="23" t="s">
        <v>9266</v>
      </c>
      <c r="D19" s="23" t="s">
        <v>9321</v>
      </c>
      <c r="E19" s="23" t="s">
        <v>9276</v>
      </c>
      <c r="F19" s="23"/>
      <c r="G19" s="24" t="s">
        <v>9390</v>
      </c>
      <c r="H19" s="24" t="s">
        <v>9391</v>
      </c>
      <c r="I19" s="23" t="s">
        <v>9392</v>
      </c>
      <c r="J19" s="24" t="s">
        <v>9393</v>
      </c>
      <c r="K19" s="24" t="s">
        <v>9394</v>
      </c>
      <c r="L19" s="24" t="s">
        <v>9395</v>
      </c>
      <c r="M19" s="25" t="s">
        <v>9396</v>
      </c>
      <c r="N19" s="23" t="str">
        <f aca="false">"시편 #"&amp;TEXT(A19,"000")</f>
        <v>시편 #018</v>
      </c>
      <c r="O19" s="31" t="s">
        <v>9342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174</v>
      </c>
      <c r="U19" s="23" t="s">
        <v>174</v>
      </c>
      <c r="V19" s="23" t="s">
        <v>174</v>
      </c>
      <c r="W19" s="23" t="s">
        <v>174</v>
      </c>
      <c r="X19" s="24"/>
      <c r="Y19" s="23" t="str">
        <f aca="false">"시편|"&amp;TEXT(Q19,"yyyy-mm-dd")</f>
        <v>시편|2027-02-14</v>
      </c>
      <c r="Z19" s="26" t="n">
        <f aca="false">Q19-안내!$C$12</f>
        <v>46404</v>
      </c>
      <c r="AA19" s="23" t="str">
        <f aca="false">IF(Q19&lt;안내!$C$11+안내!$C$12,"시작 전 제작","")</f>
        <v/>
      </c>
      <c r="AB19" s="24" t="s">
        <v>9397</v>
      </c>
      <c r="AC19" s="24" t="s">
        <v>4081</v>
      </c>
    </row>
    <row r="20" customFormat="false" ht="36.55" hidden="false" customHeight="false" outlineLevel="0" collapsed="false">
      <c r="A20" s="23" t="n">
        <v>19</v>
      </c>
      <c r="B20" s="31" t="s">
        <v>9398</v>
      </c>
      <c r="C20" s="23" t="s">
        <v>9266</v>
      </c>
      <c r="D20" s="23" t="s">
        <v>9318</v>
      </c>
      <c r="E20" s="20" t="s">
        <v>9268</v>
      </c>
      <c r="F20" s="19" t="s">
        <v>9399</v>
      </c>
      <c r="G20" s="24" t="s">
        <v>4075</v>
      </c>
      <c r="H20" s="24" t="s">
        <v>4076</v>
      </c>
      <c r="I20" s="23" t="s">
        <v>4077</v>
      </c>
      <c r="J20" s="24" t="s">
        <v>4078</v>
      </c>
      <c r="K20" s="24"/>
      <c r="L20" s="24" t="s">
        <v>4079</v>
      </c>
      <c r="M20" s="24"/>
      <c r="N20" s="23" t="str">
        <f aca="false">"시편 #"&amp;TEXT(A20,"000")</f>
        <v>시편 #019</v>
      </c>
      <c r="O20" s="31" t="s">
        <v>9342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174</v>
      </c>
      <c r="U20" s="23" t="s">
        <v>174</v>
      </c>
      <c r="V20" s="23" t="s">
        <v>174</v>
      </c>
      <c r="W20" s="23" t="s">
        <v>174</v>
      </c>
      <c r="X20" s="24"/>
      <c r="Y20" s="23" t="str">
        <f aca="false">"시편|"&amp;TEXT(Q20,"yyyy-mm-dd")</f>
        <v>시편|2027-02-16</v>
      </c>
      <c r="Z20" s="26" t="n">
        <f aca="false">Q20-안내!$C$12</f>
        <v>46406</v>
      </c>
      <c r="AA20" s="23" t="str">
        <f aca="false">IF(Q20&lt;안내!$C$11+안내!$C$12,"시작 전 제작","")</f>
        <v/>
      </c>
      <c r="AB20" s="24" t="s">
        <v>4080</v>
      </c>
      <c r="AC20" s="24" t="s">
        <v>4081</v>
      </c>
    </row>
    <row r="21" customFormat="false" ht="26.85" hidden="false" customHeight="false" outlineLevel="0" collapsed="false">
      <c r="A21" s="23" t="n">
        <v>20</v>
      </c>
      <c r="B21" s="31" t="s">
        <v>9400</v>
      </c>
      <c r="C21" s="23" t="s">
        <v>9266</v>
      </c>
      <c r="D21" s="23" t="s">
        <v>9285</v>
      </c>
      <c r="E21" s="23" t="s">
        <v>9276</v>
      </c>
      <c r="F21" s="23"/>
      <c r="G21" s="24" t="s">
        <v>9401</v>
      </c>
      <c r="H21" s="24" t="s">
        <v>9402</v>
      </c>
      <c r="I21" s="23" t="s">
        <v>9403</v>
      </c>
      <c r="J21" s="24" t="s">
        <v>9404</v>
      </c>
      <c r="K21" s="24" t="s">
        <v>2608</v>
      </c>
      <c r="L21" s="24" t="s">
        <v>9405</v>
      </c>
      <c r="M21" s="24"/>
      <c r="N21" s="23" t="str">
        <f aca="false">"시편 #"&amp;TEXT(A21,"000")</f>
        <v>시편 #020</v>
      </c>
      <c r="O21" s="31" t="s">
        <v>9342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174</v>
      </c>
      <c r="U21" s="23" t="s">
        <v>174</v>
      </c>
      <c r="V21" s="23" t="s">
        <v>174</v>
      </c>
      <c r="W21" s="23" t="s">
        <v>174</v>
      </c>
      <c r="X21" s="24"/>
      <c r="Y21" s="23" t="str">
        <f aca="false">"시편|"&amp;TEXT(Q21,"yyyy-mm-dd")</f>
        <v>시편|2027-02-18</v>
      </c>
      <c r="Z21" s="26" t="n">
        <f aca="false">Q21-안내!$C$12</f>
        <v>46408</v>
      </c>
      <c r="AA21" s="23" t="str">
        <f aca="false">IF(Q21&lt;안내!$C$11+안내!$C$12,"시작 전 제작","")</f>
        <v/>
      </c>
      <c r="AB21" s="24" t="s">
        <v>9406</v>
      </c>
      <c r="AC21" s="24"/>
    </row>
    <row r="22" customFormat="false" ht="26.85" hidden="false" customHeight="false" outlineLevel="0" collapsed="false">
      <c r="A22" s="23" t="n">
        <v>21</v>
      </c>
      <c r="B22" s="31" t="s">
        <v>9407</v>
      </c>
      <c r="C22" s="23" t="s">
        <v>9266</v>
      </c>
      <c r="D22" s="23" t="s">
        <v>9272</v>
      </c>
      <c r="E22" s="23" t="s">
        <v>9276</v>
      </c>
      <c r="F22" s="23"/>
      <c r="G22" s="24" t="s">
        <v>9408</v>
      </c>
      <c r="H22" s="24" t="s">
        <v>9409</v>
      </c>
      <c r="I22" s="23" t="s">
        <v>9410</v>
      </c>
      <c r="J22" s="24" t="s">
        <v>9411</v>
      </c>
      <c r="K22" s="24" t="s">
        <v>2608</v>
      </c>
      <c r="L22" s="24" t="s">
        <v>9412</v>
      </c>
      <c r="M22" s="24"/>
      <c r="N22" s="23" t="str">
        <f aca="false">"시편 #"&amp;TEXT(A22,"000")</f>
        <v>시편 #021</v>
      </c>
      <c r="O22" s="31" t="s">
        <v>9413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174</v>
      </c>
      <c r="U22" s="23" t="s">
        <v>174</v>
      </c>
      <c r="V22" s="23" t="s">
        <v>174</v>
      </c>
      <c r="W22" s="23" t="s">
        <v>174</v>
      </c>
      <c r="X22" s="24"/>
      <c r="Y22" s="23" t="str">
        <f aca="false">"시편|"&amp;TEXT(Q22,"yyyy-mm-dd")</f>
        <v>시편|2027-02-21</v>
      </c>
      <c r="Z22" s="26" t="n">
        <f aca="false">Q22-안내!$C$12</f>
        <v>46411</v>
      </c>
      <c r="AA22" s="23" t="str">
        <f aca="false">IF(Q22&lt;안내!$C$11+안내!$C$12,"시작 전 제작","")</f>
        <v/>
      </c>
      <c r="AB22" s="24" t="s">
        <v>9414</v>
      </c>
      <c r="AC22" s="24" t="s">
        <v>4081</v>
      </c>
    </row>
    <row r="23" customFormat="false" ht="36.55" hidden="false" customHeight="false" outlineLevel="0" collapsed="false">
      <c r="A23" s="23" t="n">
        <v>22</v>
      </c>
      <c r="B23" s="31" t="s">
        <v>9415</v>
      </c>
      <c r="C23" s="23" t="s">
        <v>9266</v>
      </c>
      <c r="D23" s="23" t="s">
        <v>4261</v>
      </c>
      <c r="E23" s="20" t="s">
        <v>9268</v>
      </c>
      <c r="F23" s="19" t="s">
        <v>9416</v>
      </c>
      <c r="G23" s="24" t="s">
        <v>4084</v>
      </c>
      <c r="H23" s="24" t="s">
        <v>4085</v>
      </c>
      <c r="I23" s="23" t="s">
        <v>4086</v>
      </c>
      <c r="J23" s="24" t="s">
        <v>4087</v>
      </c>
      <c r="K23" s="24"/>
      <c r="L23" s="24" t="s">
        <v>4089</v>
      </c>
      <c r="M23" s="25" t="s">
        <v>4090</v>
      </c>
      <c r="N23" s="23" t="str">
        <f aca="false">"시편 #"&amp;TEXT(A23,"000")</f>
        <v>시편 #022</v>
      </c>
      <c r="O23" s="31" t="s">
        <v>9413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174</v>
      </c>
      <c r="U23" s="23" t="s">
        <v>174</v>
      </c>
      <c r="V23" s="23" t="s">
        <v>174</v>
      </c>
      <c r="W23" s="23" t="s">
        <v>174</v>
      </c>
      <c r="X23" s="24"/>
      <c r="Y23" s="23" t="str">
        <f aca="false">"시편|"&amp;TEXT(Q23,"yyyy-mm-dd")</f>
        <v>시편|2027-02-23</v>
      </c>
      <c r="Z23" s="26" t="n">
        <f aca="false">Q23-안내!$C$12</f>
        <v>46413</v>
      </c>
      <c r="AA23" s="23" t="str">
        <f aca="false">IF(Q23&lt;안내!$C$11+안내!$C$12,"시작 전 제작","")</f>
        <v/>
      </c>
      <c r="AB23" s="24" t="s">
        <v>4093</v>
      </c>
      <c r="AC23" s="24" t="s">
        <v>4081</v>
      </c>
    </row>
    <row r="24" customFormat="false" ht="36.55" hidden="false" customHeight="false" outlineLevel="0" collapsed="false">
      <c r="A24" s="23" t="n">
        <v>23</v>
      </c>
      <c r="B24" s="31" t="s">
        <v>9417</v>
      </c>
      <c r="C24" s="23" t="s">
        <v>9266</v>
      </c>
      <c r="D24" s="23" t="s">
        <v>9285</v>
      </c>
      <c r="E24" s="20" t="s">
        <v>9268</v>
      </c>
      <c r="F24" s="19" t="s">
        <v>9418</v>
      </c>
      <c r="G24" s="24" t="s">
        <v>4096</v>
      </c>
      <c r="H24" s="24" t="s">
        <v>4097</v>
      </c>
      <c r="I24" s="23" t="s">
        <v>4098</v>
      </c>
      <c r="J24" s="24" t="s">
        <v>4099</v>
      </c>
      <c r="K24" s="24"/>
      <c r="L24" s="24" t="s">
        <v>4101</v>
      </c>
      <c r="M24" s="25" t="s">
        <v>4102</v>
      </c>
      <c r="N24" s="23" t="str">
        <f aca="false">"시편 #"&amp;TEXT(A24,"000")</f>
        <v>시편 #023</v>
      </c>
      <c r="O24" s="31" t="s">
        <v>9413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174</v>
      </c>
      <c r="U24" s="23" t="s">
        <v>174</v>
      </c>
      <c r="V24" s="23" t="s">
        <v>174</v>
      </c>
      <c r="W24" s="23" t="s">
        <v>174</v>
      </c>
      <c r="X24" s="24"/>
      <c r="Y24" s="23" t="str">
        <f aca="false">"시편|"&amp;TEXT(Q24,"yyyy-mm-dd")</f>
        <v>시편|2027-02-25</v>
      </c>
      <c r="Z24" s="26" t="n">
        <f aca="false">Q24-안내!$C$12</f>
        <v>46415</v>
      </c>
      <c r="AA24" s="23" t="str">
        <f aca="false">IF(Q24&lt;안내!$C$11+안내!$C$12,"시작 전 제작","")</f>
        <v/>
      </c>
      <c r="AB24" s="24" t="s">
        <v>4104</v>
      </c>
      <c r="AC24" s="24" t="s">
        <v>4081</v>
      </c>
    </row>
    <row r="25" customFormat="false" ht="15" hidden="false" customHeight="false" outlineLevel="0" collapsed="false">
      <c r="A25" s="23" t="n">
        <v>24</v>
      </c>
      <c r="B25" s="31" t="s">
        <v>9419</v>
      </c>
      <c r="C25" s="23" t="s">
        <v>9266</v>
      </c>
      <c r="D25" s="23" t="s">
        <v>9318</v>
      </c>
      <c r="E25" s="23" t="s">
        <v>9276</v>
      </c>
      <c r="F25" s="23"/>
      <c r="G25" s="24" t="s">
        <v>9420</v>
      </c>
      <c r="H25" s="24" t="s">
        <v>9421</v>
      </c>
      <c r="I25" s="23" t="s">
        <v>9422</v>
      </c>
      <c r="J25" s="24" t="s">
        <v>9423</v>
      </c>
      <c r="K25" s="24" t="s">
        <v>2608</v>
      </c>
      <c r="L25" s="24" t="s">
        <v>9424</v>
      </c>
      <c r="M25" s="25" t="s">
        <v>9425</v>
      </c>
      <c r="N25" s="23" t="str">
        <f aca="false">"시편 #"&amp;TEXT(A25,"000")</f>
        <v>시편 #024</v>
      </c>
      <c r="O25" s="31" t="s">
        <v>9413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174</v>
      </c>
      <c r="U25" s="23" t="s">
        <v>174</v>
      </c>
      <c r="V25" s="23" t="s">
        <v>174</v>
      </c>
      <c r="W25" s="23" t="s">
        <v>174</v>
      </c>
      <c r="X25" s="24"/>
      <c r="Y25" s="23" t="str">
        <f aca="false">"시편|"&amp;TEXT(Q25,"yyyy-mm-dd")</f>
        <v>시편|2027-02-28</v>
      </c>
      <c r="Z25" s="26" t="n">
        <f aca="false">Q25-안내!$C$12</f>
        <v>46418</v>
      </c>
      <c r="AA25" s="23" t="str">
        <f aca="false">IF(Q25&lt;안내!$C$11+안내!$C$12,"시작 전 제작","")</f>
        <v/>
      </c>
      <c r="AB25" s="24" t="s">
        <v>9426</v>
      </c>
      <c r="AC25" s="24" t="s">
        <v>4081</v>
      </c>
    </row>
    <row r="26" customFormat="false" ht="26.85" hidden="false" customHeight="false" outlineLevel="0" collapsed="false">
      <c r="A26" s="23" t="n">
        <v>25</v>
      </c>
      <c r="B26" s="31" t="s">
        <v>9427</v>
      </c>
      <c r="C26" s="23" t="s">
        <v>9266</v>
      </c>
      <c r="D26" s="23" t="s">
        <v>9275</v>
      </c>
      <c r="E26" s="23" t="s">
        <v>9276</v>
      </c>
      <c r="F26" s="23"/>
      <c r="G26" s="24" t="s">
        <v>9428</v>
      </c>
      <c r="H26" s="24" t="s">
        <v>9429</v>
      </c>
      <c r="I26" s="23" t="s">
        <v>9430</v>
      </c>
      <c r="J26" s="24" t="s">
        <v>9431</v>
      </c>
      <c r="K26" s="24" t="s">
        <v>9432</v>
      </c>
      <c r="L26" s="24" t="s">
        <v>4350</v>
      </c>
      <c r="M26" s="24"/>
      <c r="N26" s="23" t="str">
        <f aca="false">"시편 #"&amp;TEXT(A26,"000")</f>
        <v>시편 #025</v>
      </c>
      <c r="O26" s="31" t="s">
        <v>9413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174</v>
      </c>
      <c r="U26" s="23" t="s">
        <v>174</v>
      </c>
      <c r="V26" s="23" t="s">
        <v>174</v>
      </c>
      <c r="W26" s="23" t="s">
        <v>174</v>
      </c>
      <c r="X26" s="24"/>
      <c r="Y26" s="23" t="str">
        <f aca="false">"시편|"&amp;TEXT(Q26,"yyyy-mm-dd")</f>
        <v>시편|2027-03-02</v>
      </c>
      <c r="Z26" s="26" t="n">
        <f aca="false">Q26-안내!$C$12</f>
        <v>46420</v>
      </c>
      <c r="AA26" s="23" t="str">
        <f aca="false">IF(Q26&lt;안내!$C$11+안내!$C$12,"시작 전 제작","")</f>
        <v/>
      </c>
      <c r="AB26" s="24" t="s">
        <v>9433</v>
      </c>
      <c r="AC26" s="24"/>
    </row>
    <row r="27" customFormat="false" ht="15" hidden="false" customHeight="false" outlineLevel="0" collapsed="false">
      <c r="A27" s="23" t="n">
        <v>26</v>
      </c>
      <c r="B27" s="31" t="s">
        <v>9434</v>
      </c>
      <c r="C27" s="23" t="s">
        <v>9266</v>
      </c>
      <c r="D27" s="23" t="s">
        <v>9275</v>
      </c>
      <c r="E27" s="23" t="s">
        <v>9276</v>
      </c>
      <c r="F27" s="23"/>
      <c r="G27" s="24" t="s">
        <v>9435</v>
      </c>
      <c r="H27" s="24" t="s">
        <v>9436</v>
      </c>
      <c r="I27" s="23" t="s">
        <v>9437</v>
      </c>
      <c r="J27" s="24" t="s">
        <v>9438</v>
      </c>
      <c r="K27" s="24" t="s">
        <v>2608</v>
      </c>
      <c r="L27" s="24" t="s">
        <v>9439</v>
      </c>
      <c r="M27" s="24"/>
      <c r="N27" s="23" t="str">
        <f aca="false">"시편 #"&amp;TEXT(A27,"000")</f>
        <v>시편 #026</v>
      </c>
      <c r="O27" s="31" t="s">
        <v>9413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174</v>
      </c>
      <c r="U27" s="23" t="s">
        <v>174</v>
      </c>
      <c r="V27" s="23" t="s">
        <v>174</v>
      </c>
      <c r="W27" s="23" t="s">
        <v>174</v>
      </c>
      <c r="X27" s="24"/>
      <c r="Y27" s="23" t="str">
        <f aca="false">"시편|"&amp;TEXT(Q27,"yyyy-mm-dd")</f>
        <v>시편|2027-03-04</v>
      </c>
      <c r="Z27" s="26" t="n">
        <f aca="false">Q27-안내!$C$12</f>
        <v>46422</v>
      </c>
      <c r="AA27" s="23" t="str">
        <f aca="false">IF(Q27&lt;안내!$C$11+안내!$C$12,"시작 전 제작","")</f>
        <v/>
      </c>
      <c r="AB27" s="24" t="s">
        <v>9440</v>
      </c>
      <c r="AC27" s="24"/>
    </row>
    <row r="28" customFormat="false" ht="36.55" hidden="false" customHeight="false" outlineLevel="0" collapsed="false">
      <c r="A28" s="23" t="n">
        <v>27</v>
      </c>
      <c r="B28" s="31" t="s">
        <v>9441</v>
      </c>
      <c r="C28" s="23" t="s">
        <v>9266</v>
      </c>
      <c r="D28" s="23" t="s">
        <v>9285</v>
      </c>
      <c r="E28" s="20" t="s">
        <v>9268</v>
      </c>
      <c r="F28" s="19" t="s">
        <v>9442</v>
      </c>
      <c r="G28" s="24" t="s">
        <v>4107</v>
      </c>
      <c r="H28" s="24" t="s">
        <v>4108</v>
      </c>
      <c r="I28" s="23" t="s">
        <v>4109</v>
      </c>
      <c r="J28" s="24" t="s">
        <v>4110</v>
      </c>
      <c r="K28" s="24"/>
      <c r="L28" s="24" t="s">
        <v>4111</v>
      </c>
      <c r="M28" s="24"/>
      <c r="N28" s="23" t="str">
        <f aca="false">"시편 #"&amp;TEXT(A28,"000")</f>
        <v>시편 #027</v>
      </c>
      <c r="O28" s="31" t="s">
        <v>9413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174</v>
      </c>
      <c r="U28" s="23" t="s">
        <v>174</v>
      </c>
      <c r="V28" s="23" t="s">
        <v>174</v>
      </c>
      <c r="W28" s="23" t="s">
        <v>174</v>
      </c>
      <c r="X28" s="24"/>
      <c r="Y28" s="23" t="str">
        <f aca="false">"시편|"&amp;TEXT(Q28,"yyyy-mm-dd")</f>
        <v>시편|2027-03-07</v>
      </c>
      <c r="Z28" s="26" t="n">
        <f aca="false">Q28-안내!$C$12</f>
        <v>46425</v>
      </c>
      <c r="AA28" s="23" t="str">
        <f aca="false">IF(Q28&lt;안내!$C$11+안내!$C$12,"시작 전 제작","")</f>
        <v/>
      </c>
      <c r="AB28" s="24" t="s">
        <v>4113</v>
      </c>
      <c r="AC28" s="24" t="s">
        <v>4081</v>
      </c>
    </row>
    <row r="29" customFormat="false" ht="26.85" hidden="false" customHeight="false" outlineLevel="0" collapsed="false">
      <c r="A29" s="23" t="n">
        <v>28</v>
      </c>
      <c r="B29" s="31" t="s">
        <v>9443</v>
      </c>
      <c r="C29" s="23" t="s">
        <v>9266</v>
      </c>
      <c r="D29" s="23" t="s">
        <v>9275</v>
      </c>
      <c r="E29" s="23" t="s">
        <v>9276</v>
      </c>
      <c r="F29" s="23"/>
      <c r="G29" s="24" t="s">
        <v>9444</v>
      </c>
      <c r="H29" s="24" t="s">
        <v>9445</v>
      </c>
      <c r="I29" s="23" t="s">
        <v>9446</v>
      </c>
      <c r="J29" s="24" t="s">
        <v>9447</v>
      </c>
      <c r="K29" s="24" t="s">
        <v>2608</v>
      </c>
      <c r="L29" s="24" t="s">
        <v>9448</v>
      </c>
      <c r="M29" s="24"/>
      <c r="N29" s="23" t="str">
        <f aca="false">"시편 #"&amp;TEXT(A29,"000")</f>
        <v>시편 #028</v>
      </c>
      <c r="O29" s="31" t="s">
        <v>9413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174</v>
      </c>
      <c r="U29" s="23" t="s">
        <v>174</v>
      </c>
      <c r="V29" s="23" t="s">
        <v>174</v>
      </c>
      <c r="W29" s="23" t="s">
        <v>174</v>
      </c>
      <c r="X29" s="24"/>
      <c r="Y29" s="23" t="str">
        <f aca="false">"시편|"&amp;TEXT(Q29,"yyyy-mm-dd")</f>
        <v>시편|2027-03-09</v>
      </c>
      <c r="Z29" s="26" t="n">
        <f aca="false">Q29-안내!$C$12</f>
        <v>46427</v>
      </c>
      <c r="AA29" s="23" t="str">
        <f aca="false">IF(Q29&lt;안내!$C$11+안내!$C$12,"시작 전 제작","")</f>
        <v/>
      </c>
      <c r="AB29" s="24" t="s">
        <v>9449</v>
      </c>
      <c r="AC29" s="24"/>
    </row>
    <row r="30" customFormat="false" ht="26.85" hidden="false" customHeight="false" outlineLevel="0" collapsed="false">
      <c r="A30" s="23" t="n">
        <v>29</v>
      </c>
      <c r="B30" s="31" t="s">
        <v>9450</v>
      </c>
      <c r="C30" s="23" t="s">
        <v>9266</v>
      </c>
      <c r="D30" s="23" t="s">
        <v>9318</v>
      </c>
      <c r="E30" s="23" t="s">
        <v>9276</v>
      </c>
      <c r="F30" s="23"/>
      <c r="G30" s="24" t="s">
        <v>4007</v>
      </c>
      <c r="H30" s="24" t="s">
        <v>9451</v>
      </c>
      <c r="I30" s="23" t="s">
        <v>9452</v>
      </c>
      <c r="J30" s="24" t="s">
        <v>9453</v>
      </c>
      <c r="K30" s="24" t="s">
        <v>2608</v>
      </c>
      <c r="L30" s="24" t="s">
        <v>9454</v>
      </c>
      <c r="M30" s="25" t="s">
        <v>9455</v>
      </c>
      <c r="N30" s="23" t="str">
        <f aca="false">"시편 #"&amp;TEXT(A30,"000")</f>
        <v>시편 #029</v>
      </c>
      <c r="O30" s="31" t="s">
        <v>9413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174</v>
      </c>
      <c r="U30" s="23" t="s">
        <v>174</v>
      </c>
      <c r="V30" s="23" t="s">
        <v>174</v>
      </c>
      <c r="W30" s="23" t="s">
        <v>174</v>
      </c>
      <c r="X30" s="24"/>
      <c r="Y30" s="23" t="str">
        <f aca="false">"시편|"&amp;TEXT(Q30,"yyyy-mm-dd")</f>
        <v>시편|2027-03-11</v>
      </c>
      <c r="Z30" s="26" t="n">
        <f aca="false">Q30-안내!$C$12</f>
        <v>46429</v>
      </c>
      <c r="AA30" s="23" t="str">
        <f aca="false">IF(Q30&lt;안내!$C$11+안내!$C$12,"시작 전 제작","")</f>
        <v/>
      </c>
      <c r="AB30" s="24" t="s">
        <v>9456</v>
      </c>
      <c r="AC30" s="24"/>
    </row>
    <row r="31" customFormat="false" ht="26.85" hidden="false" customHeight="false" outlineLevel="0" collapsed="false">
      <c r="A31" s="23" t="n">
        <v>30</v>
      </c>
      <c r="B31" s="31" t="s">
        <v>9457</v>
      </c>
      <c r="C31" s="23" t="s">
        <v>9266</v>
      </c>
      <c r="D31" s="23" t="s">
        <v>9321</v>
      </c>
      <c r="E31" s="23" t="s">
        <v>9276</v>
      </c>
      <c r="F31" s="23"/>
      <c r="G31" s="24" t="s">
        <v>9458</v>
      </c>
      <c r="H31" s="24" t="s">
        <v>9459</v>
      </c>
      <c r="I31" s="23" t="s">
        <v>9460</v>
      </c>
      <c r="J31" s="24" t="s">
        <v>9461</v>
      </c>
      <c r="K31" s="24" t="s">
        <v>9462</v>
      </c>
      <c r="L31" s="24" t="s">
        <v>9463</v>
      </c>
      <c r="M31" s="24"/>
      <c r="N31" s="23" t="str">
        <f aca="false">"시편 #"&amp;TEXT(A31,"000")</f>
        <v>시편 #030</v>
      </c>
      <c r="O31" s="31" t="s">
        <v>9413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174</v>
      </c>
      <c r="U31" s="23" t="s">
        <v>174</v>
      </c>
      <c r="V31" s="23" t="s">
        <v>174</v>
      </c>
      <c r="W31" s="23" t="s">
        <v>174</v>
      </c>
      <c r="X31" s="24"/>
      <c r="Y31" s="23" t="str">
        <f aca="false">"시편|"&amp;TEXT(Q31,"yyyy-mm-dd")</f>
        <v>시편|2027-03-14</v>
      </c>
      <c r="Z31" s="26" t="n">
        <f aca="false">Q31-안내!$C$12</f>
        <v>46432</v>
      </c>
      <c r="AA31" s="23" t="str">
        <f aca="false">IF(Q31&lt;안내!$C$11+안내!$C$12,"시작 전 제작","")</f>
        <v/>
      </c>
      <c r="AB31" s="24" t="s">
        <v>9464</v>
      </c>
      <c r="AC31" s="24"/>
    </row>
    <row r="32" customFormat="false" ht="26.85" hidden="false" customHeight="false" outlineLevel="0" collapsed="false">
      <c r="A32" s="23" t="n">
        <v>31</v>
      </c>
      <c r="B32" s="31" t="s">
        <v>9465</v>
      </c>
      <c r="C32" s="23" t="s">
        <v>9266</v>
      </c>
      <c r="D32" s="23" t="s">
        <v>9285</v>
      </c>
      <c r="E32" s="23" t="s">
        <v>9276</v>
      </c>
      <c r="F32" s="23"/>
      <c r="G32" s="24" t="s">
        <v>9466</v>
      </c>
      <c r="H32" s="24" t="s">
        <v>9467</v>
      </c>
      <c r="I32" s="23" t="s">
        <v>9468</v>
      </c>
      <c r="J32" s="24" t="s">
        <v>9469</v>
      </c>
      <c r="K32" s="24" t="s">
        <v>2608</v>
      </c>
      <c r="L32" s="24" t="s">
        <v>9470</v>
      </c>
      <c r="M32" s="24"/>
      <c r="N32" s="23" t="str">
        <f aca="false">"시편 #"&amp;TEXT(A32,"000")</f>
        <v>시편 #031</v>
      </c>
      <c r="O32" s="31" t="s">
        <v>9471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174</v>
      </c>
      <c r="U32" s="23" t="s">
        <v>174</v>
      </c>
      <c r="V32" s="23" t="s">
        <v>174</v>
      </c>
      <c r="W32" s="23" t="s">
        <v>174</v>
      </c>
      <c r="X32" s="24"/>
      <c r="Y32" s="23" t="str">
        <f aca="false">"시편|"&amp;TEXT(Q32,"yyyy-mm-dd")</f>
        <v>시편|2027-03-16</v>
      </c>
      <c r="Z32" s="26" t="n">
        <f aca="false">Q32-안내!$C$12</f>
        <v>46434</v>
      </c>
      <c r="AA32" s="23" t="str">
        <f aca="false">IF(Q32&lt;안내!$C$11+안내!$C$12,"시작 전 제작","")</f>
        <v/>
      </c>
      <c r="AB32" s="24" t="s">
        <v>9472</v>
      </c>
      <c r="AC32" s="24"/>
    </row>
    <row r="33" customFormat="false" ht="36.55" hidden="false" customHeight="false" outlineLevel="0" collapsed="false">
      <c r="A33" s="23" t="n">
        <v>32</v>
      </c>
      <c r="B33" s="31" t="s">
        <v>9473</v>
      </c>
      <c r="C33" s="23" t="s">
        <v>9266</v>
      </c>
      <c r="D33" s="23" t="s">
        <v>9300</v>
      </c>
      <c r="E33" s="20" t="s">
        <v>9268</v>
      </c>
      <c r="F33" s="19" t="s">
        <v>9474</v>
      </c>
      <c r="G33" s="24" t="s">
        <v>4116</v>
      </c>
      <c r="H33" s="24" t="s">
        <v>4117</v>
      </c>
      <c r="I33" s="23" t="s">
        <v>4118</v>
      </c>
      <c r="J33" s="24" t="s">
        <v>4119</v>
      </c>
      <c r="K33" s="24"/>
      <c r="L33" s="24"/>
      <c r="M33" s="25" t="s">
        <v>4120</v>
      </c>
      <c r="N33" s="23" t="str">
        <f aca="false">"시편 #"&amp;TEXT(A33,"000")</f>
        <v>시편 #032</v>
      </c>
      <c r="O33" s="31" t="s">
        <v>9471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174</v>
      </c>
      <c r="U33" s="23" t="s">
        <v>174</v>
      </c>
      <c r="V33" s="23" t="s">
        <v>174</v>
      </c>
      <c r="W33" s="23" t="s">
        <v>174</v>
      </c>
      <c r="X33" s="24"/>
      <c r="Y33" s="23" t="str">
        <f aca="false">"시편|"&amp;TEXT(Q33,"yyyy-mm-dd")</f>
        <v>시편|2027-03-18</v>
      </c>
      <c r="Z33" s="26" t="n">
        <f aca="false">Q33-안내!$C$12</f>
        <v>46436</v>
      </c>
      <c r="AA33" s="23" t="str">
        <f aca="false">IF(Q33&lt;안내!$C$11+안내!$C$12,"시작 전 제작","")</f>
        <v/>
      </c>
      <c r="AB33" s="24" t="s">
        <v>4121</v>
      </c>
      <c r="AC33" s="24" t="s">
        <v>4081</v>
      </c>
    </row>
    <row r="34" customFormat="false" ht="26.85" hidden="false" customHeight="false" outlineLevel="0" collapsed="false">
      <c r="A34" s="23" t="n">
        <v>33</v>
      </c>
      <c r="B34" s="31" t="s">
        <v>9475</v>
      </c>
      <c r="C34" s="23" t="s">
        <v>9266</v>
      </c>
      <c r="D34" s="23" t="s">
        <v>9318</v>
      </c>
      <c r="E34" s="23" t="s">
        <v>9276</v>
      </c>
      <c r="F34" s="23"/>
      <c r="G34" s="24" t="s">
        <v>9476</v>
      </c>
      <c r="H34" s="24" t="s">
        <v>9477</v>
      </c>
      <c r="I34" s="23" t="s">
        <v>9478</v>
      </c>
      <c r="J34" s="24" t="s">
        <v>9479</v>
      </c>
      <c r="K34" s="24" t="s">
        <v>9333</v>
      </c>
      <c r="L34" s="24" t="s">
        <v>9480</v>
      </c>
      <c r="M34" s="24"/>
      <c r="N34" s="23" t="str">
        <f aca="false">"시편 #"&amp;TEXT(A34,"000")</f>
        <v>시편 #033</v>
      </c>
      <c r="O34" s="31" t="s">
        <v>9471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174</v>
      </c>
      <c r="U34" s="23" t="s">
        <v>174</v>
      </c>
      <c r="V34" s="23" t="s">
        <v>174</v>
      </c>
      <c r="W34" s="23" t="s">
        <v>174</v>
      </c>
      <c r="X34" s="24"/>
      <c r="Y34" s="23" t="str">
        <f aca="false">"시편|"&amp;TEXT(Q34,"yyyy-mm-dd")</f>
        <v>시편|2027-03-21</v>
      </c>
      <c r="Z34" s="26" t="n">
        <f aca="false">Q34-안내!$C$12</f>
        <v>46439</v>
      </c>
      <c r="AA34" s="23" t="str">
        <f aca="false">IF(Q34&lt;안내!$C$11+안내!$C$12,"시작 전 제작","")</f>
        <v/>
      </c>
      <c r="AB34" s="24" t="s">
        <v>9481</v>
      </c>
      <c r="AC34" s="24"/>
    </row>
    <row r="35" customFormat="false" ht="26.85" hidden="false" customHeight="false" outlineLevel="0" collapsed="false">
      <c r="A35" s="23" t="n">
        <v>34</v>
      </c>
      <c r="B35" s="31" t="s">
        <v>9482</v>
      </c>
      <c r="C35" s="23" t="s">
        <v>9266</v>
      </c>
      <c r="D35" s="23" t="s">
        <v>9321</v>
      </c>
      <c r="E35" s="23" t="s">
        <v>9276</v>
      </c>
      <c r="F35" s="23"/>
      <c r="G35" s="24" t="s">
        <v>9483</v>
      </c>
      <c r="H35" s="24" t="s">
        <v>9484</v>
      </c>
      <c r="I35" s="23" t="s">
        <v>9485</v>
      </c>
      <c r="J35" s="24" t="s">
        <v>9486</v>
      </c>
      <c r="K35" s="24" t="s">
        <v>9487</v>
      </c>
      <c r="L35" s="24" t="s">
        <v>9488</v>
      </c>
      <c r="M35" s="24"/>
      <c r="N35" s="23" t="str">
        <f aca="false">"시편 #"&amp;TEXT(A35,"000")</f>
        <v>시편 #034</v>
      </c>
      <c r="O35" s="31" t="s">
        <v>9471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174</v>
      </c>
      <c r="U35" s="23" t="s">
        <v>174</v>
      </c>
      <c r="V35" s="23" t="s">
        <v>174</v>
      </c>
      <c r="W35" s="23" t="s">
        <v>174</v>
      </c>
      <c r="X35" s="24"/>
      <c r="Y35" s="23" t="str">
        <f aca="false">"시편|"&amp;TEXT(Q35,"yyyy-mm-dd")</f>
        <v>시편|2027-03-23</v>
      </c>
      <c r="Z35" s="26" t="n">
        <f aca="false">Q35-안내!$C$12</f>
        <v>46441</v>
      </c>
      <c r="AA35" s="23" t="str">
        <f aca="false">IF(Q35&lt;안내!$C$11+안내!$C$12,"시작 전 제작","")</f>
        <v/>
      </c>
      <c r="AB35" s="24" t="s">
        <v>9489</v>
      </c>
      <c r="AC35" s="24"/>
    </row>
    <row r="36" customFormat="false" ht="26.85" hidden="false" customHeight="false" outlineLevel="0" collapsed="false">
      <c r="A36" s="23" t="n">
        <v>35</v>
      </c>
      <c r="B36" s="31" t="s">
        <v>9490</v>
      </c>
      <c r="C36" s="23" t="s">
        <v>9266</v>
      </c>
      <c r="D36" s="23" t="s">
        <v>9275</v>
      </c>
      <c r="E36" s="23" t="s">
        <v>9276</v>
      </c>
      <c r="F36" s="23"/>
      <c r="G36" s="24" t="s">
        <v>9491</v>
      </c>
      <c r="H36" s="24" t="s">
        <v>9492</v>
      </c>
      <c r="I36" s="23" t="s">
        <v>9493</v>
      </c>
      <c r="J36" s="24" t="s">
        <v>9494</v>
      </c>
      <c r="K36" s="24" t="s">
        <v>2608</v>
      </c>
      <c r="L36" s="24" t="s">
        <v>9495</v>
      </c>
      <c r="M36" s="25" t="s">
        <v>9496</v>
      </c>
      <c r="N36" s="23" t="str">
        <f aca="false">"시편 #"&amp;TEXT(A36,"000")</f>
        <v>시편 #035</v>
      </c>
      <c r="O36" s="31" t="s">
        <v>9471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174</v>
      </c>
      <c r="U36" s="23" t="s">
        <v>174</v>
      </c>
      <c r="V36" s="23" t="s">
        <v>174</v>
      </c>
      <c r="W36" s="23" t="s">
        <v>174</v>
      </c>
      <c r="X36" s="24"/>
      <c r="Y36" s="23" t="str">
        <f aca="false">"시편|"&amp;TEXT(Q36,"yyyy-mm-dd")</f>
        <v>시편|2027-03-25</v>
      </c>
      <c r="Z36" s="26" t="n">
        <f aca="false">Q36-안내!$C$12</f>
        <v>46443</v>
      </c>
      <c r="AA36" s="23" t="str">
        <f aca="false">IF(Q36&lt;안내!$C$11+안내!$C$12,"시작 전 제작","")</f>
        <v/>
      </c>
      <c r="AB36" s="24" t="s">
        <v>9497</v>
      </c>
      <c r="AC36" s="24" t="s">
        <v>4081</v>
      </c>
    </row>
    <row r="37" customFormat="false" ht="26.85" hidden="false" customHeight="false" outlineLevel="0" collapsed="false">
      <c r="A37" s="23" t="n">
        <v>36</v>
      </c>
      <c r="B37" s="31" t="s">
        <v>9498</v>
      </c>
      <c r="C37" s="23" t="s">
        <v>9266</v>
      </c>
      <c r="D37" s="23" t="s">
        <v>9318</v>
      </c>
      <c r="E37" s="23" t="s">
        <v>9276</v>
      </c>
      <c r="F37" s="23"/>
      <c r="G37" s="24" t="s">
        <v>9499</v>
      </c>
      <c r="H37" s="24" t="s">
        <v>9500</v>
      </c>
      <c r="I37" s="23" t="s">
        <v>9501</v>
      </c>
      <c r="J37" s="24" t="s">
        <v>9502</v>
      </c>
      <c r="K37" s="24" t="s">
        <v>2608</v>
      </c>
      <c r="L37" s="24" t="s">
        <v>9503</v>
      </c>
      <c r="M37" s="24"/>
      <c r="N37" s="23" t="str">
        <f aca="false">"시편 #"&amp;TEXT(A37,"000")</f>
        <v>시편 #036</v>
      </c>
      <c r="O37" s="31" t="s">
        <v>9471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174</v>
      </c>
      <c r="U37" s="23" t="s">
        <v>174</v>
      </c>
      <c r="V37" s="23" t="s">
        <v>174</v>
      </c>
      <c r="W37" s="23" t="s">
        <v>174</v>
      </c>
      <c r="X37" s="24"/>
      <c r="Y37" s="23" t="str">
        <f aca="false">"시편|"&amp;TEXT(Q37,"yyyy-mm-dd")</f>
        <v>시편|2027-03-28</v>
      </c>
      <c r="Z37" s="26" t="n">
        <f aca="false">Q37-안내!$C$12</f>
        <v>46446</v>
      </c>
      <c r="AA37" s="23" t="str">
        <f aca="false">IF(Q37&lt;안내!$C$11+안내!$C$12,"시작 전 제작","")</f>
        <v/>
      </c>
      <c r="AB37" s="24" t="s">
        <v>9504</v>
      </c>
      <c r="AC37" s="24"/>
    </row>
    <row r="38" customFormat="false" ht="26.85" hidden="false" customHeight="false" outlineLevel="0" collapsed="false">
      <c r="A38" s="23" t="n">
        <v>37</v>
      </c>
      <c r="B38" s="31" t="s">
        <v>9505</v>
      </c>
      <c r="C38" s="23" t="s">
        <v>9266</v>
      </c>
      <c r="D38" s="23" t="s">
        <v>9267</v>
      </c>
      <c r="E38" s="23" t="s">
        <v>9276</v>
      </c>
      <c r="F38" s="23"/>
      <c r="G38" s="24" t="s">
        <v>9506</v>
      </c>
      <c r="H38" s="24" t="s">
        <v>9507</v>
      </c>
      <c r="I38" s="23" t="s">
        <v>9508</v>
      </c>
      <c r="J38" s="24" t="s">
        <v>9509</v>
      </c>
      <c r="K38" s="24" t="s">
        <v>9510</v>
      </c>
      <c r="L38" s="24" t="s">
        <v>9511</v>
      </c>
      <c r="M38" s="25" t="s">
        <v>1605</v>
      </c>
      <c r="N38" s="23" t="str">
        <f aca="false">"시편 #"&amp;TEXT(A38,"000")</f>
        <v>시편 #037</v>
      </c>
      <c r="O38" s="31" t="s">
        <v>9471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174</v>
      </c>
      <c r="U38" s="23" t="s">
        <v>174</v>
      </c>
      <c r="V38" s="23" t="s">
        <v>174</v>
      </c>
      <c r="W38" s="23" t="s">
        <v>174</v>
      </c>
      <c r="X38" s="24"/>
      <c r="Y38" s="23" t="str">
        <f aca="false">"시편|"&amp;TEXT(Q38,"yyyy-mm-dd")</f>
        <v>시편|2027-03-30</v>
      </c>
      <c r="Z38" s="26" t="n">
        <f aca="false">Q38-안내!$C$12</f>
        <v>46448</v>
      </c>
      <c r="AA38" s="23" t="str">
        <f aca="false">IF(Q38&lt;안내!$C$11+안내!$C$12,"시작 전 제작","")</f>
        <v/>
      </c>
      <c r="AB38" s="24" t="s">
        <v>9512</v>
      </c>
      <c r="AC38" s="24"/>
    </row>
    <row r="39" customFormat="false" ht="26.85" hidden="false" customHeight="false" outlineLevel="0" collapsed="false">
      <c r="A39" s="23" t="n">
        <v>38</v>
      </c>
      <c r="B39" s="31" t="s">
        <v>9513</v>
      </c>
      <c r="C39" s="23" t="s">
        <v>9266</v>
      </c>
      <c r="D39" s="23" t="s">
        <v>9300</v>
      </c>
      <c r="E39" s="23" t="s">
        <v>9276</v>
      </c>
      <c r="F39" s="23"/>
      <c r="G39" s="24" t="s">
        <v>9514</v>
      </c>
      <c r="H39" s="24" t="s">
        <v>9515</v>
      </c>
      <c r="I39" s="23" t="s">
        <v>9516</v>
      </c>
      <c r="J39" s="24" t="s">
        <v>9517</v>
      </c>
      <c r="K39" s="24" t="s">
        <v>9518</v>
      </c>
      <c r="L39" s="24" t="s">
        <v>9519</v>
      </c>
      <c r="M39" s="25" t="s">
        <v>9520</v>
      </c>
      <c r="N39" s="23" t="str">
        <f aca="false">"시편 #"&amp;TEXT(A39,"000")</f>
        <v>시편 #038</v>
      </c>
      <c r="O39" s="31" t="s">
        <v>9471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174</v>
      </c>
      <c r="U39" s="23" t="s">
        <v>174</v>
      </c>
      <c r="V39" s="23" t="s">
        <v>174</v>
      </c>
      <c r="W39" s="23" t="s">
        <v>174</v>
      </c>
      <c r="X39" s="24"/>
      <c r="Y39" s="23" t="str">
        <f aca="false">"시편|"&amp;TEXT(Q39,"yyyy-mm-dd")</f>
        <v>시편|2027-04-01</v>
      </c>
      <c r="Z39" s="26" t="n">
        <f aca="false">Q39-안내!$C$12</f>
        <v>46450</v>
      </c>
      <c r="AA39" s="23" t="str">
        <f aca="false">IF(Q39&lt;안내!$C$11+안내!$C$12,"시작 전 제작","")</f>
        <v/>
      </c>
      <c r="AB39" s="24" t="s">
        <v>9521</v>
      </c>
      <c r="AC39" s="24"/>
    </row>
    <row r="40" customFormat="false" ht="26.85" hidden="false" customHeight="false" outlineLevel="0" collapsed="false">
      <c r="A40" s="23" t="n">
        <v>39</v>
      </c>
      <c r="B40" s="31" t="s">
        <v>9522</v>
      </c>
      <c r="C40" s="23" t="s">
        <v>9266</v>
      </c>
      <c r="D40" s="23" t="s">
        <v>9267</v>
      </c>
      <c r="E40" s="23" t="s">
        <v>9276</v>
      </c>
      <c r="F40" s="23"/>
      <c r="G40" s="24" t="s">
        <v>9523</v>
      </c>
      <c r="H40" s="24" t="s">
        <v>9524</v>
      </c>
      <c r="I40" s="23" t="s">
        <v>9525</v>
      </c>
      <c r="J40" s="24" t="s">
        <v>9526</v>
      </c>
      <c r="K40" s="24" t="s">
        <v>2608</v>
      </c>
      <c r="L40" s="24" t="s">
        <v>9527</v>
      </c>
      <c r="M40" s="24"/>
      <c r="N40" s="23" t="str">
        <f aca="false">"시편 #"&amp;TEXT(A40,"000")</f>
        <v>시편 #039</v>
      </c>
      <c r="O40" s="31" t="s">
        <v>9471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174</v>
      </c>
      <c r="U40" s="23" t="s">
        <v>174</v>
      </c>
      <c r="V40" s="23" t="s">
        <v>174</v>
      </c>
      <c r="W40" s="23" t="s">
        <v>174</v>
      </c>
      <c r="X40" s="24"/>
      <c r="Y40" s="23" t="str">
        <f aca="false">"시편|"&amp;TEXT(Q40,"yyyy-mm-dd")</f>
        <v>시편|2027-04-04</v>
      </c>
      <c r="Z40" s="26" t="n">
        <f aca="false">Q40-안내!$C$12</f>
        <v>46453</v>
      </c>
      <c r="AA40" s="23" t="str">
        <f aca="false">IF(Q40&lt;안내!$C$11+안내!$C$12,"시작 전 제작","")</f>
        <v/>
      </c>
      <c r="AB40" s="24" t="s">
        <v>9528</v>
      </c>
      <c r="AC40" s="24"/>
    </row>
    <row r="41" customFormat="false" ht="26.85" hidden="false" customHeight="false" outlineLevel="0" collapsed="false">
      <c r="A41" s="23" t="n">
        <v>40</v>
      </c>
      <c r="B41" s="31" t="s">
        <v>9529</v>
      </c>
      <c r="C41" s="23" t="s">
        <v>9266</v>
      </c>
      <c r="D41" s="23" t="s">
        <v>9321</v>
      </c>
      <c r="E41" s="23" t="s">
        <v>9276</v>
      </c>
      <c r="F41" s="23"/>
      <c r="G41" s="24" t="s">
        <v>9530</v>
      </c>
      <c r="H41" s="24" t="s">
        <v>9531</v>
      </c>
      <c r="I41" s="23" t="s">
        <v>9532</v>
      </c>
      <c r="J41" s="24" t="s">
        <v>9533</v>
      </c>
      <c r="K41" s="24" t="s">
        <v>2608</v>
      </c>
      <c r="L41" s="24" t="s">
        <v>9534</v>
      </c>
      <c r="M41" s="25" t="s">
        <v>9535</v>
      </c>
      <c r="N41" s="23" t="str">
        <f aca="false">"시편 #"&amp;TEXT(A41,"000")</f>
        <v>시편 #040</v>
      </c>
      <c r="O41" s="31" t="s">
        <v>9471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174</v>
      </c>
      <c r="U41" s="23" t="s">
        <v>174</v>
      </c>
      <c r="V41" s="23" t="s">
        <v>174</v>
      </c>
      <c r="W41" s="23" t="s">
        <v>174</v>
      </c>
      <c r="X41" s="24"/>
      <c r="Y41" s="23" t="str">
        <f aca="false">"시편|"&amp;TEXT(Q41,"yyyy-mm-dd")</f>
        <v>시편|2027-04-06</v>
      </c>
      <c r="Z41" s="26" t="n">
        <f aca="false">Q41-안내!$C$12</f>
        <v>46455</v>
      </c>
      <c r="AA41" s="23" t="str">
        <f aca="false">IF(Q41&lt;안내!$C$11+안내!$C$12,"시작 전 제작","")</f>
        <v/>
      </c>
      <c r="AB41" s="24" t="s">
        <v>9536</v>
      </c>
      <c r="AC41" s="24" t="s">
        <v>4081</v>
      </c>
    </row>
    <row r="42" customFormat="false" ht="26.85" hidden="false" customHeight="false" outlineLevel="0" collapsed="false">
      <c r="A42" s="23" t="n">
        <v>41</v>
      </c>
      <c r="B42" s="31" t="s">
        <v>9537</v>
      </c>
      <c r="C42" s="23" t="s">
        <v>9266</v>
      </c>
      <c r="D42" s="23" t="s">
        <v>9267</v>
      </c>
      <c r="E42" s="23" t="s">
        <v>9276</v>
      </c>
      <c r="F42" s="23"/>
      <c r="G42" s="24" t="s">
        <v>9538</v>
      </c>
      <c r="H42" s="24" t="s">
        <v>9539</v>
      </c>
      <c r="I42" s="23" t="s">
        <v>9540</v>
      </c>
      <c r="J42" s="24" t="s">
        <v>9541</v>
      </c>
      <c r="K42" s="24" t="s">
        <v>2608</v>
      </c>
      <c r="L42" s="24" t="s">
        <v>9542</v>
      </c>
      <c r="M42" s="28" t="s">
        <v>9543</v>
      </c>
      <c r="N42" s="23" t="str">
        <f aca="false">"시편 #"&amp;TEXT(A42,"000")</f>
        <v>시편 #041</v>
      </c>
      <c r="O42" s="31" t="s">
        <v>9471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174</v>
      </c>
      <c r="U42" s="23" t="s">
        <v>174</v>
      </c>
      <c r="V42" s="23" t="s">
        <v>174</v>
      </c>
      <c r="W42" s="23" t="s">
        <v>174</v>
      </c>
      <c r="X42" s="24"/>
      <c r="Y42" s="23" t="str">
        <f aca="false">"시편|"&amp;TEXT(Q42,"yyyy-mm-dd")</f>
        <v>시편|2027-04-08</v>
      </c>
      <c r="Z42" s="26" t="n">
        <f aca="false">Q42-안내!$C$12</f>
        <v>46457</v>
      </c>
      <c r="AA42" s="23" t="str">
        <f aca="false">IF(Q42&lt;안내!$C$11+안내!$C$12,"시작 전 제작","")</f>
        <v/>
      </c>
      <c r="AB42" s="24" t="s">
        <v>9544</v>
      </c>
      <c r="AC42" s="24" t="s">
        <v>4081</v>
      </c>
    </row>
    <row r="43" customFormat="false" ht="36.55" hidden="false" customHeight="false" outlineLevel="0" collapsed="false">
      <c r="A43" s="23" t="n">
        <v>42</v>
      </c>
      <c r="B43" s="31" t="s">
        <v>9545</v>
      </c>
      <c r="C43" s="23" t="s">
        <v>9546</v>
      </c>
      <c r="D43" s="23" t="s">
        <v>9275</v>
      </c>
      <c r="E43" s="20" t="s">
        <v>9268</v>
      </c>
      <c r="F43" s="19" t="s">
        <v>9547</v>
      </c>
      <c r="G43" s="24" t="s">
        <v>4125</v>
      </c>
      <c r="H43" s="24" t="s">
        <v>4126</v>
      </c>
      <c r="I43" s="23" t="s">
        <v>4127</v>
      </c>
      <c r="J43" s="24" t="s">
        <v>4128</v>
      </c>
      <c r="K43" s="24"/>
      <c r="L43" s="24" t="s">
        <v>4130</v>
      </c>
      <c r="M43" s="24"/>
      <c r="N43" s="23" t="str">
        <f aca="false">"시편 #"&amp;TEXT(A43,"000")</f>
        <v>시편 #042</v>
      </c>
      <c r="O43" s="31" t="s">
        <v>9548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174</v>
      </c>
      <c r="U43" s="23" t="s">
        <v>174</v>
      </c>
      <c r="V43" s="23" t="s">
        <v>174</v>
      </c>
      <c r="W43" s="23" t="s">
        <v>174</v>
      </c>
      <c r="X43" s="24"/>
      <c r="Y43" s="23" t="str">
        <f aca="false">"시편|"&amp;TEXT(Q43,"yyyy-mm-dd")</f>
        <v>시편|2027-04-11</v>
      </c>
      <c r="Z43" s="26" t="n">
        <f aca="false">Q43-안내!$C$12</f>
        <v>46460</v>
      </c>
      <c r="AA43" s="23" t="str">
        <f aca="false">IF(Q43&lt;안내!$C$11+안내!$C$12,"시작 전 제작","")</f>
        <v/>
      </c>
      <c r="AB43" s="24" t="s">
        <v>4131</v>
      </c>
      <c r="AC43" s="24" t="s">
        <v>4081</v>
      </c>
    </row>
    <row r="44" customFormat="false" ht="39.55" hidden="false" customHeight="false" outlineLevel="0" collapsed="false">
      <c r="A44" s="23" t="n">
        <v>43</v>
      </c>
      <c r="B44" s="31" t="s">
        <v>9549</v>
      </c>
      <c r="C44" s="23" t="s">
        <v>9546</v>
      </c>
      <c r="D44" s="23" t="s">
        <v>9275</v>
      </c>
      <c r="E44" s="23" t="s">
        <v>9276</v>
      </c>
      <c r="F44" s="23"/>
      <c r="G44" s="24" t="s">
        <v>9550</v>
      </c>
      <c r="H44" s="24" t="s">
        <v>9551</v>
      </c>
      <c r="I44" s="23" t="s">
        <v>9552</v>
      </c>
      <c r="J44" s="24" t="s">
        <v>9553</v>
      </c>
      <c r="K44" s="24" t="s">
        <v>9554</v>
      </c>
      <c r="L44" s="24" t="s">
        <v>9555</v>
      </c>
      <c r="M44" s="24"/>
      <c r="N44" s="23" t="str">
        <f aca="false">"시편 #"&amp;TEXT(A44,"000")</f>
        <v>시편 #043</v>
      </c>
      <c r="O44" s="31" t="s">
        <v>9548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174</v>
      </c>
      <c r="U44" s="23" t="s">
        <v>174</v>
      </c>
      <c r="V44" s="23" t="s">
        <v>174</v>
      </c>
      <c r="W44" s="23" t="s">
        <v>174</v>
      </c>
      <c r="X44" s="24"/>
      <c r="Y44" s="23" t="str">
        <f aca="false">"시편|"&amp;TEXT(Q44,"yyyy-mm-dd")</f>
        <v>시편|2027-04-13</v>
      </c>
      <c r="Z44" s="26" t="n">
        <f aca="false">Q44-안내!$C$12</f>
        <v>46462</v>
      </c>
      <c r="AA44" s="23" t="str">
        <f aca="false">IF(Q44&lt;안내!$C$11+안내!$C$12,"시작 전 제작","")</f>
        <v/>
      </c>
      <c r="AB44" s="24" t="s">
        <v>9556</v>
      </c>
      <c r="AC44" s="24"/>
    </row>
    <row r="45" customFormat="false" ht="26.85" hidden="false" customHeight="false" outlineLevel="0" collapsed="false">
      <c r="A45" s="23" t="n">
        <v>44</v>
      </c>
      <c r="B45" s="31" t="s">
        <v>9557</v>
      </c>
      <c r="C45" s="23" t="s">
        <v>9546</v>
      </c>
      <c r="D45" s="23" t="s">
        <v>9275</v>
      </c>
      <c r="E45" s="23" t="s">
        <v>9276</v>
      </c>
      <c r="F45" s="23"/>
      <c r="G45" s="24" t="s">
        <v>9558</v>
      </c>
      <c r="H45" s="24" t="s">
        <v>9559</v>
      </c>
      <c r="I45" s="23" t="s">
        <v>9560</v>
      </c>
      <c r="J45" s="24" t="s">
        <v>9561</v>
      </c>
      <c r="K45" s="24" t="s">
        <v>4129</v>
      </c>
      <c r="L45" s="24" t="s">
        <v>9562</v>
      </c>
      <c r="M45" s="25" t="s">
        <v>9563</v>
      </c>
      <c r="N45" s="23" t="str">
        <f aca="false">"시편 #"&amp;TEXT(A45,"000")</f>
        <v>시편 #044</v>
      </c>
      <c r="O45" s="31" t="s">
        <v>9548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174</v>
      </c>
      <c r="U45" s="23" t="s">
        <v>174</v>
      </c>
      <c r="V45" s="23" t="s">
        <v>174</v>
      </c>
      <c r="W45" s="23" t="s">
        <v>174</v>
      </c>
      <c r="X45" s="24"/>
      <c r="Y45" s="23" t="str">
        <f aca="false">"시편|"&amp;TEXT(Q45,"yyyy-mm-dd")</f>
        <v>시편|2027-04-15</v>
      </c>
      <c r="Z45" s="26" t="n">
        <f aca="false">Q45-안내!$C$12</f>
        <v>46464</v>
      </c>
      <c r="AA45" s="23" t="str">
        <f aca="false">IF(Q45&lt;안내!$C$11+안내!$C$12,"시작 전 제작","")</f>
        <v/>
      </c>
      <c r="AB45" s="24" t="s">
        <v>9564</v>
      </c>
      <c r="AC45" s="24"/>
    </row>
    <row r="46" customFormat="false" ht="26.85" hidden="false" customHeight="false" outlineLevel="0" collapsed="false">
      <c r="A46" s="23" t="n">
        <v>45</v>
      </c>
      <c r="B46" s="31" t="s">
        <v>9565</v>
      </c>
      <c r="C46" s="23" t="s">
        <v>9546</v>
      </c>
      <c r="D46" s="23" t="s">
        <v>9272</v>
      </c>
      <c r="E46" s="23" t="s">
        <v>9276</v>
      </c>
      <c r="F46" s="23"/>
      <c r="G46" s="24" t="s">
        <v>9566</v>
      </c>
      <c r="H46" s="24" t="s">
        <v>9567</v>
      </c>
      <c r="I46" s="23" t="s">
        <v>9568</v>
      </c>
      <c r="J46" s="24" t="s">
        <v>9569</v>
      </c>
      <c r="K46" s="24" t="s">
        <v>9570</v>
      </c>
      <c r="L46" s="24" t="s">
        <v>9571</v>
      </c>
      <c r="M46" s="25" t="s">
        <v>9572</v>
      </c>
      <c r="N46" s="23" t="str">
        <f aca="false">"시편 #"&amp;TEXT(A46,"000")</f>
        <v>시편 #045</v>
      </c>
      <c r="O46" s="31" t="s">
        <v>9548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174</v>
      </c>
      <c r="U46" s="23" t="s">
        <v>174</v>
      </c>
      <c r="V46" s="23" t="s">
        <v>174</v>
      </c>
      <c r="W46" s="23" t="s">
        <v>174</v>
      </c>
      <c r="X46" s="24"/>
      <c r="Y46" s="23" t="str">
        <f aca="false">"시편|"&amp;TEXT(Q46,"yyyy-mm-dd")</f>
        <v>시편|2027-04-18</v>
      </c>
      <c r="Z46" s="26" t="n">
        <f aca="false">Q46-안내!$C$12</f>
        <v>46467</v>
      </c>
      <c r="AA46" s="23" t="str">
        <f aca="false">IF(Q46&lt;안내!$C$11+안내!$C$12,"시작 전 제작","")</f>
        <v/>
      </c>
      <c r="AB46" s="24" t="s">
        <v>9573</v>
      </c>
      <c r="AC46" s="24"/>
    </row>
    <row r="47" customFormat="false" ht="36.55" hidden="false" customHeight="false" outlineLevel="0" collapsed="false">
      <c r="A47" s="23" t="n">
        <v>46</v>
      </c>
      <c r="B47" s="31" t="s">
        <v>9574</v>
      </c>
      <c r="C47" s="23" t="s">
        <v>9546</v>
      </c>
      <c r="D47" s="23" t="s">
        <v>9285</v>
      </c>
      <c r="E47" s="20" t="s">
        <v>9268</v>
      </c>
      <c r="F47" s="19" t="s">
        <v>9575</v>
      </c>
      <c r="G47" s="24" t="s">
        <v>4134</v>
      </c>
      <c r="H47" s="24" t="s">
        <v>4135</v>
      </c>
      <c r="I47" s="23" t="s">
        <v>4136</v>
      </c>
      <c r="J47" s="24" t="s">
        <v>4137</v>
      </c>
      <c r="K47" s="24"/>
      <c r="L47" s="24" t="s">
        <v>4138</v>
      </c>
      <c r="M47" s="24"/>
      <c r="N47" s="23" t="str">
        <f aca="false">"시편 #"&amp;TEXT(A47,"000")</f>
        <v>시편 #046</v>
      </c>
      <c r="O47" s="31" t="s">
        <v>9548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174</v>
      </c>
      <c r="U47" s="23" t="s">
        <v>174</v>
      </c>
      <c r="V47" s="23" t="s">
        <v>174</v>
      </c>
      <c r="W47" s="23" t="s">
        <v>174</v>
      </c>
      <c r="X47" s="24"/>
      <c r="Y47" s="23" t="str">
        <f aca="false">"시편|"&amp;TEXT(Q47,"yyyy-mm-dd")</f>
        <v>시편|2027-04-20</v>
      </c>
      <c r="Z47" s="26" t="n">
        <f aca="false">Q47-안내!$C$12</f>
        <v>46469</v>
      </c>
      <c r="AA47" s="23" t="str">
        <f aca="false">IF(Q47&lt;안내!$C$11+안내!$C$12,"시작 전 제작","")</f>
        <v/>
      </c>
      <c r="AB47" s="24" t="s">
        <v>4139</v>
      </c>
      <c r="AC47" s="24" t="s">
        <v>4081</v>
      </c>
    </row>
    <row r="48" customFormat="false" ht="15" hidden="false" customHeight="false" outlineLevel="0" collapsed="false">
      <c r="A48" s="23" t="n">
        <v>47</v>
      </c>
      <c r="B48" s="31" t="s">
        <v>9576</v>
      </c>
      <c r="C48" s="23" t="s">
        <v>9546</v>
      </c>
      <c r="D48" s="23" t="s">
        <v>9318</v>
      </c>
      <c r="E48" s="23" t="s">
        <v>9276</v>
      </c>
      <c r="F48" s="23"/>
      <c r="G48" s="24" t="s">
        <v>9577</v>
      </c>
      <c r="H48" s="24" t="s">
        <v>9578</v>
      </c>
      <c r="I48" s="23" t="s">
        <v>9579</v>
      </c>
      <c r="J48" s="24" t="s">
        <v>9580</v>
      </c>
      <c r="K48" s="24" t="s">
        <v>4129</v>
      </c>
      <c r="L48" s="24" t="s">
        <v>9581</v>
      </c>
      <c r="M48" s="24"/>
      <c r="N48" s="23" t="str">
        <f aca="false">"시편 #"&amp;TEXT(A48,"000")</f>
        <v>시편 #047</v>
      </c>
      <c r="O48" s="31" t="s">
        <v>9548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174</v>
      </c>
      <c r="U48" s="23" t="s">
        <v>174</v>
      </c>
      <c r="V48" s="23" t="s">
        <v>174</v>
      </c>
      <c r="W48" s="23" t="s">
        <v>174</v>
      </c>
      <c r="X48" s="24"/>
      <c r="Y48" s="23" t="str">
        <f aca="false">"시편|"&amp;TEXT(Q48,"yyyy-mm-dd")</f>
        <v>시편|2027-04-22</v>
      </c>
      <c r="Z48" s="26" t="n">
        <f aca="false">Q48-안내!$C$12</f>
        <v>46471</v>
      </c>
      <c r="AA48" s="23" t="str">
        <f aca="false">IF(Q48&lt;안내!$C$11+안내!$C$12,"시작 전 제작","")</f>
        <v/>
      </c>
      <c r="AB48" s="24" t="s">
        <v>9582</v>
      </c>
      <c r="AC48" s="24" t="s">
        <v>4081</v>
      </c>
    </row>
    <row r="49" customFormat="false" ht="26.85" hidden="false" customHeight="false" outlineLevel="0" collapsed="false">
      <c r="A49" s="23" t="n">
        <v>48</v>
      </c>
      <c r="B49" s="31" t="s">
        <v>9583</v>
      </c>
      <c r="C49" s="23" t="s">
        <v>9546</v>
      </c>
      <c r="D49" s="23" t="s">
        <v>9318</v>
      </c>
      <c r="E49" s="23" t="s">
        <v>9276</v>
      </c>
      <c r="F49" s="23"/>
      <c r="G49" s="24" t="s">
        <v>9584</v>
      </c>
      <c r="H49" s="24" t="s">
        <v>9585</v>
      </c>
      <c r="I49" s="23" t="s">
        <v>9586</v>
      </c>
      <c r="J49" s="24" t="s">
        <v>9587</v>
      </c>
      <c r="K49" s="24" t="s">
        <v>4129</v>
      </c>
      <c r="L49" s="24" t="s">
        <v>9588</v>
      </c>
      <c r="M49" s="24"/>
      <c r="N49" s="23" t="str">
        <f aca="false">"시편 #"&amp;TEXT(A49,"000")</f>
        <v>시편 #048</v>
      </c>
      <c r="O49" s="31" t="s">
        <v>9548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174</v>
      </c>
      <c r="U49" s="23" t="s">
        <v>174</v>
      </c>
      <c r="V49" s="23" t="s">
        <v>174</v>
      </c>
      <c r="W49" s="23" t="s">
        <v>174</v>
      </c>
      <c r="X49" s="24"/>
      <c r="Y49" s="23" t="str">
        <f aca="false">"시편|"&amp;TEXT(Q49,"yyyy-mm-dd")</f>
        <v>시편|2027-04-25</v>
      </c>
      <c r="Z49" s="26" t="n">
        <f aca="false">Q49-안내!$C$12</f>
        <v>46474</v>
      </c>
      <c r="AA49" s="23" t="str">
        <f aca="false">IF(Q49&lt;안내!$C$11+안내!$C$12,"시작 전 제작","")</f>
        <v/>
      </c>
      <c r="AB49" s="24" t="s">
        <v>9589</v>
      </c>
      <c r="AC49" s="24"/>
    </row>
    <row r="50" customFormat="false" ht="26.85" hidden="false" customHeight="false" outlineLevel="0" collapsed="false">
      <c r="A50" s="23" t="n">
        <v>49</v>
      </c>
      <c r="B50" s="31" t="s">
        <v>9590</v>
      </c>
      <c r="C50" s="23" t="s">
        <v>9546</v>
      </c>
      <c r="D50" s="23" t="s">
        <v>9267</v>
      </c>
      <c r="E50" s="23" t="s">
        <v>9276</v>
      </c>
      <c r="F50" s="23"/>
      <c r="G50" s="24" t="s">
        <v>9591</v>
      </c>
      <c r="H50" s="24" t="s">
        <v>9592</v>
      </c>
      <c r="I50" s="23" t="s">
        <v>9593</v>
      </c>
      <c r="J50" s="24" t="s">
        <v>9594</v>
      </c>
      <c r="K50" s="24" t="s">
        <v>4129</v>
      </c>
      <c r="L50" s="24" t="s">
        <v>9595</v>
      </c>
      <c r="M50" s="24"/>
      <c r="N50" s="23" t="str">
        <f aca="false">"시편 #"&amp;TEXT(A50,"000")</f>
        <v>시편 #049</v>
      </c>
      <c r="O50" s="31" t="s">
        <v>9548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174</v>
      </c>
      <c r="U50" s="23" t="s">
        <v>174</v>
      </c>
      <c r="V50" s="23" t="s">
        <v>174</v>
      </c>
      <c r="W50" s="23" t="s">
        <v>174</v>
      </c>
      <c r="X50" s="24"/>
      <c r="Y50" s="23" t="str">
        <f aca="false">"시편|"&amp;TEXT(Q50,"yyyy-mm-dd")</f>
        <v>시편|2027-04-27</v>
      </c>
      <c r="Z50" s="26" t="n">
        <f aca="false">Q50-안내!$C$12</f>
        <v>46476</v>
      </c>
      <c r="AA50" s="23" t="str">
        <f aca="false">IF(Q50&lt;안내!$C$11+안내!$C$12,"시작 전 제작","")</f>
        <v/>
      </c>
      <c r="AB50" s="24" t="s">
        <v>9596</v>
      </c>
      <c r="AC50" s="24"/>
    </row>
    <row r="51" customFormat="false" ht="26.85" hidden="false" customHeight="false" outlineLevel="0" collapsed="false">
      <c r="A51" s="23" t="n">
        <v>50</v>
      </c>
      <c r="B51" s="31" t="s">
        <v>9597</v>
      </c>
      <c r="C51" s="23" t="s">
        <v>9546</v>
      </c>
      <c r="D51" s="23" t="s">
        <v>9267</v>
      </c>
      <c r="E51" s="23" t="s">
        <v>9276</v>
      </c>
      <c r="F51" s="23"/>
      <c r="G51" s="24" t="s">
        <v>9598</v>
      </c>
      <c r="H51" s="24" t="s">
        <v>9599</v>
      </c>
      <c r="I51" s="23" t="s">
        <v>9600</v>
      </c>
      <c r="J51" s="24" t="s">
        <v>9601</v>
      </c>
      <c r="K51" s="24" t="s">
        <v>4173</v>
      </c>
      <c r="L51" s="24" t="s">
        <v>9602</v>
      </c>
      <c r="M51" s="24"/>
      <c r="N51" s="23" t="str">
        <f aca="false">"시편 #"&amp;TEXT(A51,"000")</f>
        <v>시편 #050</v>
      </c>
      <c r="O51" s="31" t="s">
        <v>9548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174</v>
      </c>
      <c r="U51" s="23" t="s">
        <v>174</v>
      </c>
      <c r="V51" s="23" t="s">
        <v>174</v>
      </c>
      <c r="W51" s="23" t="s">
        <v>174</v>
      </c>
      <c r="X51" s="24"/>
      <c r="Y51" s="23" t="str">
        <f aca="false">"시편|"&amp;TEXT(Q51,"yyyy-mm-dd")</f>
        <v>시편|2027-04-29</v>
      </c>
      <c r="Z51" s="26" t="n">
        <f aca="false">Q51-안내!$C$12</f>
        <v>46478</v>
      </c>
      <c r="AA51" s="23" t="str">
        <f aca="false">IF(Q51&lt;안내!$C$11+안내!$C$12,"시작 전 제작","")</f>
        <v/>
      </c>
      <c r="AB51" s="24" t="s">
        <v>9603</v>
      </c>
      <c r="AC51" s="24"/>
    </row>
    <row r="52" customFormat="false" ht="36.55" hidden="false" customHeight="false" outlineLevel="0" collapsed="false">
      <c r="A52" s="23" t="n">
        <v>51</v>
      </c>
      <c r="B52" s="31" t="s">
        <v>9604</v>
      </c>
      <c r="C52" s="23" t="s">
        <v>9546</v>
      </c>
      <c r="D52" s="23" t="s">
        <v>9300</v>
      </c>
      <c r="E52" s="20" t="s">
        <v>9268</v>
      </c>
      <c r="F52" s="19" t="s">
        <v>9605</v>
      </c>
      <c r="G52" s="24" t="s">
        <v>4142</v>
      </c>
      <c r="H52" s="24" t="s">
        <v>4143</v>
      </c>
      <c r="I52" s="23" t="s">
        <v>4144</v>
      </c>
      <c r="J52" s="24" t="s">
        <v>4145</v>
      </c>
      <c r="K52" s="24"/>
      <c r="L52" s="24" t="s">
        <v>4146</v>
      </c>
      <c r="M52" s="24"/>
      <c r="N52" s="23" t="str">
        <f aca="false">"시편 #"&amp;TEXT(A52,"000")</f>
        <v>시편 #051</v>
      </c>
      <c r="O52" s="31" t="s">
        <v>9606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174</v>
      </c>
      <c r="U52" s="23" t="s">
        <v>174</v>
      </c>
      <c r="V52" s="23" t="s">
        <v>174</v>
      </c>
      <c r="W52" s="23" t="s">
        <v>174</v>
      </c>
      <c r="X52" s="24"/>
      <c r="Y52" s="23" t="str">
        <f aca="false">"시편|"&amp;TEXT(Q52,"yyyy-mm-dd")</f>
        <v>시편|2027-05-02</v>
      </c>
      <c r="Z52" s="26" t="n">
        <f aca="false">Q52-안내!$C$12</f>
        <v>46481</v>
      </c>
      <c r="AA52" s="23" t="str">
        <f aca="false">IF(Q52&lt;안내!$C$11+안내!$C$12,"시작 전 제작","")</f>
        <v/>
      </c>
      <c r="AB52" s="24" t="s">
        <v>4149</v>
      </c>
      <c r="AC52" s="24"/>
    </row>
    <row r="53" customFormat="false" ht="26.85" hidden="false" customHeight="false" outlineLevel="0" collapsed="false">
      <c r="A53" s="23" t="n">
        <v>52</v>
      </c>
      <c r="B53" s="31" t="s">
        <v>9607</v>
      </c>
      <c r="C53" s="23" t="s">
        <v>9546</v>
      </c>
      <c r="D53" s="23" t="s">
        <v>9285</v>
      </c>
      <c r="E53" s="23" t="s">
        <v>9276</v>
      </c>
      <c r="F53" s="23"/>
      <c r="G53" s="24" t="s">
        <v>9608</v>
      </c>
      <c r="H53" s="24" t="s">
        <v>9609</v>
      </c>
      <c r="I53" s="23" t="s">
        <v>9610</v>
      </c>
      <c r="J53" s="24" t="s">
        <v>9611</v>
      </c>
      <c r="K53" s="24" t="s">
        <v>9612</v>
      </c>
      <c r="L53" s="24" t="s">
        <v>9613</v>
      </c>
      <c r="M53" s="24"/>
      <c r="N53" s="23" t="str">
        <f aca="false">"시편 #"&amp;TEXT(A53,"000")</f>
        <v>시편 #052</v>
      </c>
      <c r="O53" s="31" t="s">
        <v>9606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174</v>
      </c>
      <c r="U53" s="23" t="s">
        <v>174</v>
      </c>
      <c r="V53" s="23" t="s">
        <v>174</v>
      </c>
      <c r="W53" s="23" t="s">
        <v>174</v>
      </c>
      <c r="X53" s="24"/>
      <c r="Y53" s="23" t="str">
        <f aca="false">"시편|"&amp;TEXT(Q53,"yyyy-mm-dd")</f>
        <v>시편|2027-05-04</v>
      </c>
      <c r="Z53" s="26" t="n">
        <f aca="false">Q53-안내!$C$12</f>
        <v>46483</v>
      </c>
      <c r="AA53" s="23" t="str">
        <f aca="false">IF(Q53&lt;안내!$C$11+안내!$C$12,"시작 전 제작","")</f>
        <v/>
      </c>
      <c r="AB53" s="24" t="s">
        <v>9614</v>
      </c>
      <c r="AC53" s="24"/>
    </row>
    <row r="54" customFormat="false" ht="26.85" hidden="false" customHeight="false" outlineLevel="0" collapsed="false">
      <c r="A54" s="23" t="n">
        <v>53</v>
      </c>
      <c r="B54" s="31" t="s">
        <v>9615</v>
      </c>
      <c r="C54" s="23" t="s">
        <v>9546</v>
      </c>
      <c r="D54" s="23" t="s">
        <v>9267</v>
      </c>
      <c r="E54" s="23" t="s">
        <v>9276</v>
      </c>
      <c r="F54" s="23"/>
      <c r="G54" s="24" t="s">
        <v>9616</v>
      </c>
      <c r="H54" s="24" t="s">
        <v>9617</v>
      </c>
      <c r="I54" s="23" t="s">
        <v>9618</v>
      </c>
      <c r="J54" s="24" t="s">
        <v>9619</v>
      </c>
      <c r="K54" s="24" t="s">
        <v>2608</v>
      </c>
      <c r="L54" s="24" t="s">
        <v>9363</v>
      </c>
      <c r="M54" s="28" t="s">
        <v>9620</v>
      </c>
      <c r="N54" s="23" t="str">
        <f aca="false">"시편 #"&amp;TEXT(A54,"000")</f>
        <v>시편 #053</v>
      </c>
      <c r="O54" s="31" t="s">
        <v>9606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174</v>
      </c>
      <c r="U54" s="23" t="s">
        <v>174</v>
      </c>
      <c r="V54" s="23" t="s">
        <v>174</v>
      </c>
      <c r="W54" s="23" t="s">
        <v>174</v>
      </c>
      <c r="X54" s="24"/>
      <c r="Y54" s="23" t="str">
        <f aca="false">"시편|"&amp;TEXT(Q54,"yyyy-mm-dd")</f>
        <v>시편|2027-05-06</v>
      </c>
      <c r="Z54" s="26" t="n">
        <f aca="false">Q54-안내!$C$12</f>
        <v>46485</v>
      </c>
      <c r="AA54" s="23" t="str">
        <f aca="false">IF(Q54&lt;안내!$C$11+안내!$C$12,"시작 전 제작","")</f>
        <v/>
      </c>
      <c r="AB54" s="24" t="s">
        <v>9621</v>
      </c>
      <c r="AC54" s="24" t="s">
        <v>4081</v>
      </c>
    </row>
    <row r="55" customFormat="false" ht="26.85" hidden="false" customHeight="false" outlineLevel="0" collapsed="false">
      <c r="A55" s="23" t="n">
        <v>54</v>
      </c>
      <c r="B55" s="31" t="s">
        <v>9622</v>
      </c>
      <c r="C55" s="23" t="s">
        <v>9546</v>
      </c>
      <c r="D55" s="23" t="s">
        <v>9285</v>
      </c>
      <c r="E55" s="23" t="s">
        <v>9276</v>
      </c>
      <c r="F55" s="23"/>
      <c r="G55" s="24" t="s">
        <v>9623</v>
      </c>
      <c r="H55" s="24" t="s">
        <v>9624</v>
      </c>
      <c r="I55" s="23" t="s">
        <v>9625</v>
      </c>
      <c r="J55" s="24" t="s">
        <v>9626</v>
      </c>
      <c r="K55" s="24" t="s">
        <v>9627</v>
      </c>
      <c r="L55" s="24" t="s">
        <v>9628</v>
      </c>
      <c r="M55" s="24"/>
      <c r="N55" s="23" t="str">
        <f aca="false">"시편 #"&amp;TEXT(A55,"000")</f>
        <v>시편 #054</v>
      </c>
      <c r="O55" s="31" t="s">
        <v>9606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174</v>
      </c>
      <c r="U55" s="23" t="s">
        <v>174</v>
      </c>
      <c r="V55" s="23" t="s">
        <v>174</v>
      </c>
      <c r="W55" s="23" t="s">
        <v>174</v>
      </c>
      <c r="X55" s="24"/>
      <c r="Y55" s="23" t="str">
        <f aca="false">"시편|"&amp;TEXT(Q55,"yyyy-mm-dd")</f>
        <v>시편|2027-05-09</v>
      </c>
      <c r="Z55" s="26" t="n">
        <f aca="false">Q55-안내!$C$12</f>
        <v>46488</v>
      </c>
      <c r="AA55" s="23" t="str">
        <f aca="false">IF(Q55&lt;안내!$C$11+안내!$C$12,"시작 전 제작","")</f>
        <v/>
      </c>
      <c r="AB55" s="24" t="s">
        <v>9629</v>
      </c>
      <c r="AC55" s="24"/>
    </row>
    <row r="56" customFormat="false" ht="26.85" hidden="false" customHeight="false" outlineLevel="0" collapsed="false">
      <c r="A56" s="23" t="n">
        <v>55</v>
      </c>
      <c r="B56" s="31" t="s">
        <v>9630</v>
      </c>
      <c r="C56" s="23" t="s">
        <v>9546</v>
      </c>
      <c r="D56" s="23" t="s">
        <v>9275</v>
      </c>
      <c r="E56" s="23" t="s">
        <v>9276</v>
      </c>
      <c r="F56" s="23"/>
      <c r="G56" s="24" t="s">
        <v>9631</v>
      </c>
      <c r="H56" s="24" t="s">
        <v>9632</v>
      </c>
      <c r="I56" s="23" t="s">
        <v>9633</v>
      </c>
      <c r="J56" s="24" t="s">
        <v>9634</v>
      </c>
      <c r="K56" s="24" t="s">
        <v>2608</v>
      </c>
      <c r="L56" s="24" t="s">
        <v>9635</v>
      </c>
      <c r="M56" s="24"/>
      <c r="N56" s="23" t="str">
        <f aca="false">"시편 #"&amp;TEXT(A56,"000")</f>
        <v>시편 #055</v>
      </c>
      <c r="O56" s="31" t="s">
        <v>9606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174</v>
      </c>
      <c r="U56" s="23" t="s">
        <v>174</v>
      </c>
      <c r="V56" s="23" t="s">
        <v>174</v>
      </c>
      <c r="W56" s="23" t="s">
        <v>174</v>
      </c>
      <c r="X56" s="24"/>
      <c r="Y56" s="23" t="str">
        <f aca="false">"시편|"&amp;TEXT(Q56,"yyyy-mm-dd")</f>
        <v>시편|2027-05-11</v>
      </c>
      <c r="Z56" s="26" t="n">
        <f aca="false">Q56-안내!$C$12</f>
        <v>46490</v>
      </c>
      <c r="AA56" s="23" t="str">
        <f aca="false">IF(Q56&lt;안내!$C$11+안내!$C$12,"시작 전 제작","")</f>
        <v/>
      </c>
      <c r="AB56" s="24" t="s">
        <v>9636</v>
      </c>
      <c r="AC56" s="24"/>
    </row>
    <row r="57" customFormat="false" ht="26.85" hidden="false" customHeight="false" outlineLevel="0" collapsed="false">
      <c r="A57" s="23" t="n">
        <v>56</v>
      </c>
      <c r="B57" s="31" t="s">
        <v>9637</v>
      </c>
      <c r="C57" s="23" t="s">
        <v>9546</v>
      </c>
      <c r="D57" s="23" t="s">
        <v>9285</v>
      </c>
      <c r="E57" s="23" t="s">
        <v>9276</v>
      </c>
      <c r="F57" s="23"/>
      <c r="G57" s="24" t="s">
        <v>9638</v>
      </c>
      <c r="H57" s="24" t="s">
        <v>9639</v>
      </c>
      <c r="I57" s="23" t="s">
        <v>9640</v>
      </c>
      <c r="J57" s="24" t="s">
        <v>9641</v>
      </c>
      <c r="K57" s="24" t="s">
        <v>9642</v>
      </c>
      <c r="L57" s="24" t="s">
        <v>9643</v>
      </c>
      <c r="M57" s="28" t="s">
        <v>9644</v>
      </c>
      <c r="N57" s="23" t="str">
        <f aca="false">"시편 #"&amp;TEXT(A57,"000")</f>
        <v>시편 #056</v>
      </c>
      <c r="O57" s="31" t="s">
        <v>9606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174</v>
      </c>
      <c r="U57" s="23" t="s">
        <v>174</v>
      </c>
      <c r="V57" s="23" t="s">
        <v>174</v>
      </c>
      <c r="W57" s="23" t="s">
        <v>174</v>
      </c>
      <c r="X57" s="24"/>
      <c r="Y57" s="23" t="str">
        <f aca="false">"시편|"&amp;TEXT(Q57,"yyyy-mm-dd")</f>
        <v>시편|2027-05-13</v>
      </c>
      <c r="Z57" s="26" t="n">
        <f aca="false">Q57-안내!$C$12</f>
        <v>46492</v>
      </c>
      <c r="AA57" s="23" t="str">
        <f aca="false">IF(Q57&lt;안내!$C$11+안내!$C$12,"시작 전 제작","")</f>
        <v/>
      </c>
      <c r="AB57" s="24" t="s">
        <v>9645</v>
      </c>
      <c r="AC57" s="24"/>
    </row>
    <row r="58" customFormat="false" ht="26.85" hidden="false" customHeight="false" outlineLevel="0" collapsed="false">
      <c r="A58" s="23" t="n">
        <v>57</v>
      </c>
      <c r="B58" s="31" t="s">
        <v>9646</v>
      </c>
      <c r="C58" s="23" t="s">
        <v>9546</v>
      </c>
      <c r="D58" s="23" t="s">
        <v>9285</v>
      </c>
      <c r="E58" s="23" t="s">
        <v>9276</v>
      </c>
      <c r="F58" s="23"/>
      <c r="G58" s="24" t="s">
        <v>9647</v>
      </c>
      <c r="H58" s="24" t="s">
        <v>9648</v>
      </c>
      <c r="I58" s="23" t="s">
        <v>9649</v>
      </c>
      <c r="J58" s="24" t="s">
        <v>9650</v>
      </c>
      <c r="K58" s="24" t="s">
        <v>9651</v>
      </c>
      <c r="L58" s="24" t="s">
        <v>9652</v>
      </c>
      <c r="M58" s="24"/>
      <c r="N58" s="23" t="str">
        <f aca="false">"시편 #"&amp;TEXT(A58,"000")</f>
        <v>시편 #057</v>
      </c>
      <c r="O58" s="31" t="s">
        <v>9606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174</v>
      </c>
      <c r="U58" s="23" t="s">
        <v>174</v>
      </c>
      <c r="V58" s="23" t="s">
        <v>174</v>
      </c>
      <c r="W58" s="23" t="s">
        <v>174</v>
      </c>
      <c r="X58" s="24"/>
      <c r="Y58" s="23" t="str">
        <f aca="false">"시편|"&amp;TEXT(Q58,"yyyy-mm-dd")</f>
        <v>시편|2027-05-16</v>
      </c>
      <c r="Z58" s="26" t="n">
        <f aca="false">Q58-안내!$C$12</f>
        <v>46495</v>
      </c>
      <c r="AA58" s="23" t="str">
        <f aca="false">IF(Q58&lt;안내!$C$11+안내!$C$12,"시작 전 제작","")</f>
        <v/>
      </c>
      <c r="AB58" s="24" t="s">
        <v>9653</v>
      </c>
      <c r="AC58" s="24" t="s">
        <v>4081</v>
      </c>
    </row>
    <row r="59" customFormat="false" ht="26.85" hidden="false" customHeight="false" outlineLevel="0" collapsed="false">
      <c r="A59" s="23" t="n">
        <v>58</v>
      </c>
      <c r="B59" s="31" t="s">
        <v>9654</v>
      </c>
      <c r="C59" s="23" t="s">
        <v>9546</v>
      </c>
      <c r="D59" s="23" t="s">
        <v>9275</v>
      </c>
      <c r="E59" s="23" t="s">
        <v>9276</v>
      </c>
      <c r="F59" s="23"/>
      <c r="G59" s="24" t="s">
        <v>9655</v>
      </c>
      <c r="H59" s="24" t="s">
        <v>9656</v>
      </c>
      <c r="I59" s="23" t="s">
        <v>9657</v>
      </c>
      <c r="J59" s="24" t="s">
        <v>9658</v>
      </c>
      <c r="K59" s="24" t="s">
        <v>2608</v>
      </c>
      <c r="L59" s="24" t="s">
        <v>9659</v>
      </c>
      <c r="M59" s="25" t="s">
        <v>9660</v>
      </c>
      <c r="N59" s="23" t="str">
        <f aca="false">"시편 #"&amp;TEXT(A59,"000")</f>
        <v>시편 #058</v>
      </c>
      <c r="O59" s="31" t="s">
        <v>9606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174</v>
      </c>
      <c r="U59" s="23" t="s">
        <v>174</v>
      </c>
      <c r="V59" s="23" t="s">
        <v>174</v>
      </c>
      <c r="W59" s="23" t="s">
        <v>174</v>
      </c>
      <c r="X59" s="24"/>
      <c r="Y59" s="23" t="str">
        <f aca="false">"시편|"&amp;TEXT(Q59,"yyyy-mm-dd")</f>
        <v>시편|2027-05-18</v>
      </c>
      <c r="Z59" s="26" t="n">
        <f aca="false">Q59-안내!$C$12</f>
        <v>46497</v>
      </c>
      <c r="AA59" s="23" t="str">
        <f aca="false">IF(Q59&lt;안내!$C$11+안내!$C$12,"시작 전 제작","")</f>
        <v/>
      </c>
      <c r="AB59" s="24" t="s">
        <v>9661</v>
      </c>
      <c r="AC59" s="24"/>
    </row>
    <row r="60" customFormat="false" ht="26.85" hidden="false" customHeight="false" outlineLevel="0" collapsed="false">
      <c r="A60" s="23" t="n">
        <v>59</v>
      </c>
      <c r="B60" s="31" t="s">
        <v>9662</v>
      </c>
      <c r="C60" s="23" t="s">
        <v>9546</v>
      </c>
      <c r="D60" s="23" t="s">
        <v>9285</v>
      </c>
      <c r="E60" s="23" t="s">
        <v>9276</v>
      </c>
      <c r="F60" s="23"/>
      <c r="G60" s="24" t="s">
        <v>9663</v>
      </c>
      <c r="H60" s="24" t="s">
        <v>9664</v>
      </c>
      <c r="I60" s="23" t="s">
        <v>9665</v>
      </c>
      <c r="J60" s="24" t="s">
        <v>9666</v>
      </c>
      <c r="K60" s="24" t="s">
        <v>9667</v>
      </c>
      <c r="L60" s="24" t="s">
        <v>9668</v>
      </c>
      <c r="M60" s="24"/>
      <c r="N60" s="23" t="str">
        <f aca="false">"시편 #"&amp;TEXT(A60,"000")</f>
        <v>시편 #059</v>
      </c>
      <c r="O60" s="31" t="s">
        <v>9606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174</v>
      </c>
      <c r="U60" s="23" t="s">
        <v>174</v>
      </c>
      <c r="V60" s="23" t="s">
        <v>174</v>
      </c>
      <c r="W60" s="23" t="s">
        <v>174</v>
      </c>
      <c r="X60" s="24"/>
      <c r="Y60" s="23" t="str">
        <f aca="false">"시편|"&amp;TEXT(Q60,"yyyy-mm-dd")</f>
        <v>시편|2027-05-20</v>
      </c>
      <c r="Z60" s="26" t="n">
        <f aca="false">Q60-안내!$C$12</f>
        <v>46499</v>
      </c>
      <c r="AA60" s="23" t="str">
        <f aca="false">IF(Q60&lt;안내!$C$11+안내!$C$12,"시작 전 제작","")</f>
        <v/>
      </c>
      <c r="AB60" s="24" t="s">
        <v>9669</v>
      </c>
      <c r="AC60" s="24"/>
    </row>
    <row r="61" customFormat="false" ht="26.85" hidden="false" customHeight="false" outlineLevel="0" collapsed="false">
      <c r="A61" s="23" t="n">
        <v>60</v>
      </c>
      <c r="B61" s="31" t="s">
        <v>9670</v>
      </c>
      <c r="C61" s="23" t="s">
        <v>9546</v>
      </c>
      <c r="D61" s="23" t="s">
        <v>9275</v>
      </c>
      <c r="E61" s="23" t="s">
        <v>9276</v>
      </c>
      <c r="F61" s="23"/>
      <c r="G61" s="24" t="s">
        <v>9671</v>
      </c>
      <c r="H61" s="24" t="s">
        <v>9672</v>
      </c>
      <c r="I61" s="23" t="s">
        <v>9673</v>
      </c>
      <c r="J61" s="24" t="s">
        <v>9674</v>
      </c>
      <c r="K61" s="24" t="s">
        <v>9675</v>
      </c>
      <c r="L61" s="24" t="s">
        <v>9676</v>
      </c>
      <c r="M61" s="24"/>
      <c r="N61" s="23" t="str">
        <f aca="false">"시편 #"&amp;TEXT(A61,"000")</f>
        <v>시편 #060</v>
      </c>
      <c r="O61" s="31" t="s">
        <v>9606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174</v>
      </c>
      <c r="U61" s="23" t="s">
        <v>174</v>
      </c>
      <c r="V61" s="23" t="s">
        <v>174</v>
      </c>
      <c r="W61" s="23" t="s">
        <v>174</v>
      </c>
      <c r="X61" s="24"/>
      <c r="Y61" s="23" t="str">
        <f aca="false">"시편|"&amp;TEXT(Q61,"yyyy-mm-dd")</f>
        <v>시편|2027-05-23</v>
      </c>
      <c r="Z61" s="26" t="n">
        <f aca="false">Q61-안내!$C$12</f>
        <v>46502</v>
      </c>
      <c r="AA61" s="23" t="str">
        <f aca="false">IF(Q61&lt;안내!$C$11+안내!$C$12,"시작 전 제작","")</f>
        <v/>
      </c>
      <c r="AB61" s="24" t="s">
        <v>9677</v>
      </c>
      <c r="AC61" s="24"/>
    </row>
    <row r="62" customFormat="false" ht="26.85" hidden="false" customHeight="false" outlineLevel="0" collapsed="false">
      <c r="A62" s="23" t="n">
        <v>61</v>
      </c>
      <c r="B62" s="31" t="s">
        <v>9678</v>
      </c>
      <c r="C62" s="23" t="s">
        <v>9546</v>
      </c>
      <c r="D62" s="23" t="s">
        <v>9285</v>
      </c>
      <c r="E62" s="23" t="s">
        <v>9276</v>
      </c>
      <c r="F62" s="23"/>
      <c r="G62" s="24" t="s">
        <v>9679</v>
      </c>
      <c r="H62" s="24" t="s">
        <v>9680</v>
      </c>
      <c r="I62" s="23" t="s">
        <v>9681</v>
      </c>
      <c r="J62" s="24" t="s">
        <v>9682</v>
      </c>
      <c r="K62" s="24" t="s">
        <v>2608</v>
      </c>
      <c r="L62" s="24" t="s">
        <v>9683</v>
      </c>
      <c r="M62" s="24"/>
      <c r="N62" s="23" t="str">
        <f aca="false">"시편 #"&amp;TEXT(A62,"000")</f>
        <v>시편 #061</v>
      </c>
      <c r="O62" s="31" t="s">
        <v>9684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174</v>
      </c>
      <c r="U62" s="23" t="s">
        <v>174</v>
      </c>
      <c r="V62" s="23" t="s">
        <v>174</v>
      </c>
      <c r="W62" s="23" t="s">
        <v>174</v>
      </c>
      <c r="X62" s="24"/>
      <c r="Y62" s="23" t="str">
        <f aca="false">"시편|"&amp;TEXT(Q62,"yyyy-mm-dd")</f>
        <v>시편|2027-05-25</v>
      </c>
      <c r="Z62" s="26" t="n">
        <f aca="false">Q62-안내!$C$12</f>
        <v>46504</v>
      </c>
      <c r="AA62" s="23" t="str">
        <f aca="false">IF(Q62&lt;안내!$C$11+안내!$C$12,"시작 전 제작","")</f>
        <v/>
      </c>
      <c r="AB62" s="24" t="s">
        <v>9685</v>
      </c>
      <c r="AC62" s="24"/>
    </row>
    <row r="63" customFormat="false" ht="36.55" hidden="false" customHeight="false" outlineLevel="0" collapsed="false">
      <c r="A63" s="23" t="n">
        <v>62</v>
      </c>
      <c r="B63" s="31" t="s">
        <v>9686</v>
      </c>
      <c r="C63" s="23" t="s">
        <v>9546</v>
      </c>
      <c r="D63" s="23" t="s">
        <v>9285</v>
      </c>
      <c r="E63" s="20" t="s">
        <v>9268</v>
      </c>
      <c r="F63" s="19" t="s">
        <v>9687</v>
      </c>
      <c r="G63" s="24" t="s">
        <v>4152</v>
      </c>
      <c r="H63" s="24" t="s">
        <v>4153</v>
      </c>
      <c r="I63" s="23" t="s">
        <v>4154</v>
      </c>
      <c r="J63" s="24" t="s">
        <v>4155</v>
      </c>
      <c r="K63" s="24"/>
      <c r="L63" s="24" t="s">
        <v>4156</v>
      </c>
      <c r="M63" s="24"/>
      <c r="N63" s="23" t="str">
        <f aca="false">"시편 #"&amp;TEXT(A63,"000")</f>
        <v>시편 #062</v>
      </c>
      <c r="O63" s="31" t="s">
        <v>9684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174</v>
      </c>
      <c r="U63" s="23" t="s">
        <v>174</v>
      </c>
      <c r="V63" s="23" t="s">
        <v>174</v>
      </c>
      <c r="W63" s="23" t="s">
        <v>174</v>
      </c>
      <c r="X63" s="24"/>
      <c r="Y63" s="23" t="str">
        <f aca="false">"시편|"&amp;TEXT(Q63,"yyyy-mm-dd")</f>
        <v>시편|2027-05-27</v>
      </c>
      <c r="Z63" s="26" t="n">
        <f aca="false">Q63-안내!$C$12</f>
        <v>46506</v>
      </c>
      <c r="AA63" s="23" t="str">
        <f aca="false">IF(Q63&lt;안내!$C$11+안내!$C$12,"시작 전 제작","")</f>
        <v/>
      </c>
      <c r="AB63" s="24" t="s">
        <v>4158</v>
      </c>
      <c r="AC63" s="24"/>
    </row>
    <row r="64" customFormat="false" ht="39.55" hidden="false" customHeight="false" outlineLevel="0" collapsed="false">
      <c r="A64" s="23" t="n">
        <v>63</v>
      </c>
      <c r="B64" s="31" t="s">
        <v>9688</v>
      </c>
      <c r="C64" s="23" t="s">
        <v>9546</v>
      </c>
      <c r="D64" s="23" t="s">
        <v>9285</v>
      </c>
      <c r="E64" s="20" t="s">
        <v>9268</v>
      </c>
      <c r="F64" s="19" t="s">
        <v>9689</v>
      </c>
      <c r="G64" s="24" t="s">
        <v>4161</v>
      </c>
      <c r="H64" s="24" t="s">
        <v>4162</v>
      </c>
      <c r="I64" s="23" t="s">
        <v>4163</v>
      </c>
      <c r="J64" s="24" t="s">
        <v>4164</v>
      </c>
      <c r="K64" s="24"/>
      <c r="L64" s="24" t="s">
        <v>4165</v>
      </c>
      <c r="M64" s="24"/>
      <c r="N64" s="23" t="str">
        <f aca="false">"시편 #"&amp;TEXT(A64,"000")</f>
        <v>시편 #063</v>
      </c>
      <c r="O64" s="31" t="s">
        <v>9684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174</v>
      </c>
      <c r="U64" s="23" t="s">
        <v>174</v>
      </c>
      <c r="V64" s="23" t="s">
        <v>174</v>
      </c>
      <c r="W64" s="23" t="s">
        <v>174</v>
      </c>
      <c r="X64" s="24"/>
      <c r="Y64" s="23" t="str">
        <f aca="false">"시편|"&amp;TEXT(Q64,"yyyy-mm-dd")</f>
        <v>시편|2027-05-30</v>
      </c>
      <c r="Z64" s="26" t="n">
        <f aca="false">Q64-안내!$C$12</f>
        <v>46509</v>
      </c>
      <c r="AA64" s="23" t="str">
        <f aca="false">IF(Q64&lt;안내!$C$11+안내!$C$12,"시작 전 제작","")</f>
        <v/>
      </c>
      <c r="AB64" s="24" t="s">
        <v>4166</v>
      </c>
      <c r="AC64" s="24" t="s">
        <v>4081</v>
      </c>
    </row>
    <row r="65" customFormat="false" ht="26.85" hidden="false" customHeight="false" outlineLevel="0" collapsed="false">
      <c r="A65" s="23" t="n">
        <v>64</v>
      </c>
      <c r="B65" s="31" t="s">
        <v>9690</v>
      </c>
      <c r="C65" s="23" t="s">
        <v>9546</v>
      </c>
      <c r="D65" s="23" t="s">
        <v>9275</v>
      </c>
      <c r="E65" s="23" t="s">
        <v>9276</v>
      </c>
      <c r="F65" s="23"/>
      <c r="G65" s="24" t="s">
        <v>9691</v>
      </c>
      <c r="H65" s="24" t="s">
        <v>9692</v>
      </c>
      <c r="I65" s="23" t="s">
        <v>9693</v>
      </c>
      <c r="J65" s="24" t="s">
        <v>9694</v>
      </c>
      <c r="K65" s="24" t="s">
        <v>2608</v>
      </c>
      <c r="L65" s="24" t="s">
        <v>9695</v>
      </c>
      <c r="M65" s="24"/>
      <c r="N65" s="23" t="str">
        <f aca="false">"시편 #"&amp;TEXT(A65,"000")</f>
        <v>시편 #064</v>
      </c>
      <c r="O65" s="31" t="s">
        <v>9684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174</v>
      </c>
      <c r="U65" s="23" t="s">
        <v>174</v>
      </c>
      <c r="V65" s="23" t="s">
        <v>174</v>
      </c>
      <c r="W65" s="23" t="s">
        <v>174</v>
      </c>
      <c r="X65" s="24"/>
      <c r="Y65" s="23" t="str">
        <f aca="false">"시편|"&amp;TEXT(Q65,"yyyy-mm-dd")</f>
        <v>시편|2027-06-01</v>
      </c>
      <c r="Z65" s="26" t="n">
        <f aca="false">Q65-안내!$C$12</f>
        <v>46511</v>
      </c>
      <c r="AA65" s="23" t="str">
        <f aca="false">IF(Q65&lt;안내!$C$11+안내!$C$12,"시작 전 제작","")</f>
        <v/>
      </c>
      <c r="AB65" s="24" t="s">
        <v>9696</v>
      </c>
      <c r="AC65" s="24"/>
    </row>
    <row r="66" customFormat="false" ht="26.85" hidden="false" customHeight="false" outlineLevel="0" collapsed="false">
      <c r="A66" s="23" t="n">
        <v>65</v>
      </c>
      <c r="B66" s="31" t="s">
        <v>9697</v>
      </c>
      <c r="C66" s="23" t="s">
        <v>9546</v>
      </c>
      <c r="D66" s="23" t="s">
        <v>9321</v>
      </c>
      <c r="E66" s="23" t="s">
        <v>9276</v>
      </c>
      <c r="F66" s="23"/>
      <c r="G66" s="24" t="s">
        <v>9698</v>
      </c>
      <c r="H66" s="24" t="s">
        <v>9699</v>
      </c>
      <c r="I66" s="23" t="s">
        <v>9700</v>
      </c>
      <c r="J66" s="24" t="s">
        <v>9701</v>
      </c>
      <c r="K66" s="24" t="s">
        <v>2608</v>
      </c>
      <c r="L66" s="24" t="s">
        <v>9702</v>
      </c>
      <c r="M66" s="25" t="s">
        <v>9703</v>
      </c>
      <c r="N66" s="23" t="str">
        <f aca="false">"시편 #"&amp;TEXT(A66,"000")</f>
        <v>시편 #065</v>
      </c>
      <c r="O66" s="31" t="s">
        <v>9684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174</v>
      </c>
      <c r="U66" s="23" t="s">
        <v>174</v>
      </c>
      <c r="V66" s="23" t="s">
        <v>174</v>
      </c>
      <c r="W66" s="23" t="s">
        <v>174</v>
      </c>
      <c r="X66" s="24"/>
      <c r="Y66" s="23" t="str">
        <f aca="false">"시편|"&amp;TEXT(Q66,"yyyy-mm-dd")</f>
        <v>시편|2027-06-03</v>
      </c>
      <c r="Z66" s="26" t="n">
        <f aca="false">Q66-안내!$C$12</f>
        <v>46513</v>
      </c>
      <c r="AA66" s="23" t="str">
        <f aca="false">IF(Q66&lt;안내!$C$11+안내!$C$12,"시작 전 제작","")</f>
        <v/>
      </c>
      <c r="AB66" s="24" t="s">
        <v>9704</v>
      </c>
      <c r="AC66" s="24"/>
    </row>
    <row r="67" customFormat="false" ht="26.85" hidden="false" customHeight="false" outlineLevel="0" collapsed="false">
      <c r="A67" s="23" t="n">
        <v>66</v>
      </c>
      <c r="B67" s="31" t="s">
        <v>9705</v>
      </c>
      <c r="C67" s="23" t="s">
        <v>9546</v>
      </c>
      <c r="D67" s="23" t="s">
        <v>9321</v>
      </c>
      <c r="E67" s="23" t="s">
        <v>9276</v>
      </c>
      <c r="F67" s="23"/>
      <c r="G67" s="24" t="s">
        <v>9706</v>
      </c>
      <c r="H67" s="24" t="s">
        <v>9707</v>
      </c>
      <c r="I67" s="23" t="s">
        <v>9708</v>
      </c>
      <c r="J67" s="24" t="s">
        <v>9709</v>
      </c>
      <c r="K67" s="24" t="s">
        <v>9333</v>
      </c>
      <c r="L67" s="24" t="s">
        <v>9710</v>
      </c>
      <c r="M67" s="24"/>
      <c r="N67" s="23" t="str">
        <f aca="false">"시편 #"&amp;TEXT(A67,"000")</f>
        <v>시편 #066</v>
      </c>
      <c r="O67" s="31" t="s">
        <v>9684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174</v>
      </c>
      <c r="U67" s="23" t="s">
        <v>174</v>
      </c>
      <c r="V67" s="23" t="s">
        <v>174</v>
      </c>
      <c r="W67" s="23" t="s">
        <v>174</v>
      </c>
      <c r="X67" s="24"/>
      <c r="Y67" s="23" t="str">
        <f aca="false">"시편|"&amp;TEXT(Q67,"yyyy-mm-dd")</f>
        <v>시편|2027-06-06</v>
      </c>
      <c r="Z67" s="26" t="n">
        <f aca="false">Q67-안내!$C$12</f>
        <v>46516</v>
      </c>
      <c r="AA67" s="23" t="str">
        <f aca="false">IF(Q67&lt;안내!$C$11+안내!$C$12,"시작 전 제작","")</f>
        <v/>
      </c>
      <c r="AB67" s="24" t="s">
        <v>9711</v>
      </c>
      <c r="AC67" s="24"/>
    </row>
    <row r="68" customFormat="false" ht="26.85" hidden="false" customHeight="false" outlineLevel="0" collapsed="false">
      <c r="A68" s="23" t="n">
        <v>67</v>
      </c>
      <c r="B68" s="31" t="s">
        <v>9712</v>
      </c>
      <c r="C68" s="23" t="s">
        <v>9546</v>
      </c>
      <c r="D68" s="23" t="s">
        <v>9318</v>
      </c>
      <c r="E68" s="23" t="s">
        <v>9276</v>
      </c>
      <c r="F68" s="23"/>
      <c r="G68" s="24" t="s">
        <v>9713</v>
      </c>
      <c r="H68" s="24" t="s">
        <v>9714</v>
      </c>
      <c r="I68" s="23" t="s">
        <v>9715</v>
      </c>
      <c r="J68" s="24" t="s">
        <v>9716</v>
      </c>
      <c r="K68" s="24" t="s">
        <v>9333</v>
      </c>
      <c r="L68" s="24" t="s">
        <v>9717</v>
      </c>
      <c r="M68" s="24"/>
      <c r="N68" s="23" t="str">
        <f aca="false">"시편 #"&amp;TEXT(A68,"000")</f>
        <v>시편 #067</v>
      </c>
      <c r="O68" s="31" t="s">
        <v>9684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174</v>
      </c>
      <c r="U68" s="23" t="s">
        <v>174</v>
      </c>
      <c r="V68" s="23" t="s">
        <v>174</v>
      </c>
      <c r="W68" s="23" t="s">
        <v>174</v>
      </c>
      <c r="X68" s="24"/>
      <c r="Y68" s="23" t="str">
        <f aca="false">"시편|"&amp;TEXT(Q68,"yyyy-mm-dd")</f>
        <v>시편|2027-06-08</v>
      </c>
      <c r="Z68" s="26" t="n">
        <f aca="false">Q68-안내!$C$12</f>
        <v>46518</v>
      </c>
      <c r="AA68" s="23" t="str">
        <f aca="false">IF(Q68&lt;안내!$C$11+안내!$C$12,"시작 전 제작","")</f>
        <v/>
      </c>
      <c r="AB68" s="24" t="s">
        <v>9718</v>
      </c>
      <c r="AC68" s="24" t="s">
        <v>4081</v>
      </c>
    </row>
    <row r="69" customFormat="false" ht="26.85" hidden="false" customHeight="false" outlineLevel="0" collapsed="false">
      <c r="A69" s="23" t="n">
        <v>68</v>
      </c>
      <c r="B69" s="31" t="s">
        <v>9719</v>
      </c>
      <c r="C69" s="23" t="s">
        <v>9546</v>
      </c>
      <c r="D69" s="23" t="s">
        <v>9318</v>
      </c>
      <c r="E69" s="23" t="s">
        <v>9276</v>
      </c>
      <c r="F69" s="23"/>
      <c r="G69" s="24" t="s">
        <v>9720</v>
      </c>
      <c r="H69" s="24" t="s">
        <v>9721</v>
      </c>
      <c r="I69" s="23" t="s">
        <v>9722</v>
      </c>
      <c r="J69" s="24" t="s">
        <v>9723</v>
      </c>
      <c r="K69" s="24" t="s">
        <v>2608</v>
      </c>
      <c r="L69" s="24" t="s">
        <v>9724</v>
      </c>
      <c r="M69" s="24"/>
      <c r="N69" s="23" t="str">
        <f aca="false">"시편 #"&amp;TEXT(A69,"000")</f>
        <v>시편 #068</v>
      </c>
      <c r="O69" s="31" t="s">
        <v>9684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174</v>
      </c>
      <c r="U69" s="23" t="s">
        <v>174</v>
      </c>
      <c r="V69" s="23" t="s">
        <v>174</v>
      </c>
      <c r="W69" s="23" t="s">
        <v>174</v>
      </c>
      <c r="X69" s="24"/>
      <c r="Y69" s="23" t="str">
        <f aca="false">"시편|"&amp;TEXT(Q69,"yyyy-mm-dd")</f>
        <v>시편|2027-06-10</v>
      </c>
      <c r="Z69" s="26" t="n">
        <f aca="false">Q69-안내!$C$12</f>
        <v>46520</v>
      </c>
      <c r="AA69" s="23" t="str">
        <f aca="false">IF(Q69&lt;안내!$C$11+안내!$C$12,"시작 전 제작","")</f>
        <v/>
      </c>
      <c r="AB69" s="24" t="s">
        <v>9725</v>
      </c>
      <c r="AC69" s="24"/>
    </row>
    <row r="70" customFormat="false" ht="26.85" hidden="false" customHeight="false" outlineLevel="0" collapsed="false">
      <c r="A70" s="23" t="n">
        <v>69</v>
      </c>
      <c r="B70" s="31" t="s">
        <v>9726</v>
      </c>
      <c r="C70" s="23" t="s">
        <v>9546</v>
      </c>
      <c r="D70" s="23" t="s">
        <v>9275</v>
      </c>
      <c r="E70" s="23" t="s">
        <v>9276</v>
      </c>
      <c r="F70" s="23"/>
      <c r="G70" s="24" t="s">
        <v>9727</v>
      </c>
      <c r="H70" s="24" t="s">
        <v>9728</v>
      </c>
      <c r="I70" s="23" t="s">
        <v>9729</v>
      </c>
      <c r="J70" s="24" t="s">
        <v>9730</v>
      </c>
      <c r="K70" s="24" t="s">
        <v>2608</v>
      </c>
      <c r="L70" s="24" t="s">
        <v>9731</v>
      </c>
      <c r="M70" s="25" t="s">
        <v>9732</v>
      </c>
      <c r="N70" s="23" t="str">
        <f aca="false">"시편 #"&amp;TEXT(A70,"000")</f>
        <v>시편 #069</v>
      </c>
      <c r="O70" s="31" t="s">
        <v>9684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174</v>
      </c>
      <c r="U70" s="23" t="s">
        <v>174</v>
      </c>
      <c r="V70" s="23" t="s">
        <v>174</v>
      </c>
      <c r="W70" s="23" t="s">
        <v>174</v>
      </c>
      <c r="X70" s="24"/>
      <c r="Y70" s="23" t="str">
        <f aca="false">"시편|"&amp;TEXT(Q70,"yyyy-mm-dd")</f>
        <v>시편|2027-06-13</v>
      </c>
      <c r="Z70" s="26" t="n">
        <f aca="false">Q70-안내!$C$12</f>
        <v>46523</v>
      </c>
      <c r="AA70" s="23" t="str">
        <f aca="false">IF(Q70&lt;안내!$C$11+안내!$C$12,"시작 전 제작","")</f>
        <v/>
      </c>
      <c r="AB70" s="24" t="s">
        <v>9733</v>
      </c>
      <c r="AC70" s="24"/>
    </row>
    <row r="71" customFormat="false" ht="26.85" hidden="false" customHeight="false" outlineLevel="0" collapsed="false">
      <c r="A71" s="23" t="n">
        <v>70</v>
      </c>
      <c r="B71" s="31" t="s">
        <v>9734</v>
      </c>
      <c r="C71" s="23" t="s">
        <v>9546</v>
      </c>
      <c r="D71" s="23" t="s">
        <v>9275</v>
      </c>
      <c r="E71" s="23" t="s">
        <v>9276</v>
      </c>
      <c r="F71" s="23"/>
      <c r="G71" s="24" t="s">
        <v>9735</v>
      </c>
      <c r="H71" s="24" t="s">
        <v>9736</v>
      </c>
      <c r="I71" s="23" t="s">
        <v>9737</v>
      </c>
      <c r="J71" s="24" t="s">
        <v>9738</v>
      </c>
      <c r="K71" s="24" t="s">
        <v>9518</v>
      </c>
      <c r="L71" s="24" t="s">
        <v>9739</v>
      </c>
      <c r="M71" s="24"/>
      <c r="N71" s="23" t="str">
        <f aca="false">"시편 #"&amp;TEXT(A71,"000")</f>
        <v>시편 #070</v>
      </c>
      <c r="O71" s="31" t="s">
        <v>9684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174</v>
      </c>
      <c r="U71" s="23" t="s">
        <v>174</v>
      </c>
      <c r="V71" s="23" t="s">
        <v>174</v>
      </c>
      <c r="W71" s="23" t="s">
        <v>174</v>
      </c>
      <c r="X71" s="24"/>
      <c r="Y71" s="23" t="str">
        <f aca="false">"시편|"&amp;TEXT(Q71,"yyyy-mm-dd")</f>
        <v>시편|2027-06-15</v>
      </c>
      <c r="Z71" s="26" t="n">
        <f aca="false">Q71-안내!$C$12</f>
        <v>46525</v>
      </c>
      <c r="AA71" s="23" t="str">
        <f aca="false">IF(Q71&lt;안내!$C$11+안내!$C$12,"시작 전 제작","")</f>
        <v/>
      </c>
      <c r="AB71" s="24" t="s">
        <v>9740</v>
      </c>
      <c r="AC71" s="24" t="s">
        <v>4081</v>
      </c>
    </row>
    <row r="72" customFormat="false" ht="39.55" hidden="false" customHeight="false" outlineLevel="0" collapsed="false">
      <c r="A72" s="23" t="n">
        <v>71</v>
      </c>
      <c r="B72" s="31" t="s">
        <v>9741</v>
      </c>
      <c r="C72" s="23" t="s">
        <v>9546</v>
      </c>
      <c r="D72" s="23" t="s">
        <v>9285</v>
      </c>
      <c r="E72" s="23" t="s">
        <v>9276</v>
      </c>
      <c r="F72" s="23"/>
      <c r="G72" s="24" t="s">
        <v>9742</v>
      </c>
      <c r="H72" s="24" t="s">
        <v>9743</v>
      </c>
      <c r="I72" s="23" t="s">
        <v>9744</v>
      </c>
      <c r="J72" s="24" t="s">
        <v>9745</v>
      </c>
      <c r="K72" s="24" t="s">
        <v>9333</v>
      </c>
      <c r="L72" s="24" t="s">
        <v>9746</v>
      </c>
      <c r="M72" s="25" t="s">
        <v>9747</v>
      </c>
      <c r="N72" s="23" t="str">
        <f aca="false">"시편 #"&amp;TEXT(A72,"000")</f>
        <v>시편 #071</v>
      </c>
      <c r="O72" s="31" t="s">
        <v>9684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174</v>
      </c>
      <c r="U72" s="23" t="s">
        <v>174</v>
      </c>
      <c r="V72" s="23" t="s">
        <v>174</v>
      </c>
      <c r="W72" s="23" t="s">
        <v>174</v>
      </c>
      <c r="X72" s="24"/>
      <c r="Y72" s="23" t="str">
        <f aca="false">"시편|"&amp;TEXT(Q72,"yyyy-mm-dd")</f>
        <v>시편|2027-06-17</v>
      </c>
      <c r="Z72" s="26" t="n">
        <f aca="false">Q72-안내!$C$12</f>
        <v>46527</v>
      </c>
      <c r="AA72" s="23" t="str">
        <f aca="false">IF(Q72&lt;안내!$C$11+안내!$C$12,"시작 전 제작","")</f>
        <v/>
      </c>
      <c r="AB72" s="24" t="s">
        <v>9748</v>
      </c>
      <c r="AC72" s="24"/>
    </row>
    <row r="73" customFormat="false" ht="26.85" hidden="false" customHeight="false" outlineLevel="0" collapsed="false">
      <c r="A73" s="23" t="n">
        <v>72</v>
      </c>
      <c r="B73" s="31" t="s">
        <v>9749</v>
      </c>
      <c r="C73" s="23" t="s">
        <v>9546</v>
      </c>
      <c r="D73" s="23" t="s">
        <v>9272</v>
      </c>
      <c r="E73" s="23" t="s">
        <v>9276</v>
      </c>
      <c r="F73" s="23"/>
      <c r="G73" s="24" t="s">
        <v>9750</v>
      </c>
      <c r="H73" s="24" t="s">
        <v>9751</v>
      </c>
      <c r="I73" s="23" t="s">
        <v>9752</v>
      </c>
      <c r="J73" s="24" t="s">
        <v>9753</v>
      </c>
      <c r="K73" s="24" t="s">
        <v>9754</v>
      </c>
      <c r="L73" s="24" t="s">
        <v>9755</v>
      </c>
      <c r="M73" s="25" t="s">
        <v>9756</v>
      </c>
      <c r="N73" s="23" t="str">
        <f aca="false">"시편 #"&amp;TEXT(A73,"000")</f>
        <v>시편 #072</v>
      </c>
      <c r="O73" s="31" t="s">
        <v>9684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174</v>
      </c>
      <c r="U73" s="23" t="s">
        <v>174</v>
      </c>
      <c r="V73" s="23" t="s">
        <v>174</v>
      </c>
      <c r="W73" s="23" t="s">
        <v>174</v>
      </c>
      <c r="X73" s="24"/>
      <c r="Y73" s="23" t="str">
        <f aca="false">"시편|"&amp;TEXT(Q73,"yyyy-mm-dd")</f>
        <v>시편|2027-06-20</v>
      </c>
      <c r="Z73" s="26" t="n">
        <f aca="false">Q73-안내!$C$12</f>
        <v>46530</v>
      </c>
      <c r="AA73" s="23" t="str">
        <f aca="false">IF(Q73&lt;안내!$C$11+안내!$C$12,"시작 전 제작","")</f>
        <v/>
      </c>
      <c r="AB73" s="24" t="s">
        <v>9757</v>
      </c>
      <c r="AC73" s="24"/>
    </row>
    <row r="74" customFormat="false" ht="36.55" hidden="false" customHeight="false" outlineLevel="0" collapsed="false">
      <c r="A74" s="23" t="n">
        <v>73</v>
      </c>
      <c r="B74" s="31" t="s">
        <v>9758</v>
      </c>
      <c r="C74" s="23" t="s">
        <v>9759</v>
      </c>
      <c r="D74" s="23" t="s">
        <v>9267</v>
      </c>
      <c r="E74" s="20" t="s">
        <v>9268</v>
      </c>
      <c r="F74" s="19" t="s">
        <v>9760</v>
      </c>
      <c r="G74" s="24" t="s">
        <v>4169</v>
      </c>
      <c r="H74" s="24" t="s">
        <v>4170</v>
      </c>
      <c r="I74" s="23" t="s">
        <v>4171</v>
      </c>
      <c r="J74" s="24" t="s">
        <v>4172</v>
      </c>
      <c r="K74" s="24"/>
      <c r="L74" s="24" t="s">
        <v>1588</v>
      </c>
      <c r="M74" s="24"/>
      <c r="N74" s="23" t="str">
        <f aca="false">"시편 #"&amp;TEXT(A74,"000")</f>
        <v>시편 #073</v>
      </c>
      <c r="O74" s="31" t="s">
        <v>9761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174</v>
      </c>
      <c r="U74" s="23" t="s">
        <v>174</v>
      </c>
      <c r="V74" s="23" t="s">
        <v>174</v>
      </c>
      <c r="W74" s="23" t="s">
        <v>174</v>
      </c>
      <c r="X74" s="24"/>
      <c r="Y74" s="23" t="str">
        <f aca="false">"시편|"&amp;TEXT(Q74,"yyyy-mm-dd")</f>
        <v>시편|2027-06-22</v>
      </c>
      <c r="Z74" s="26" t="n">
        <f aca="false">Q74-안내!$C$12</f>
        <v>46532</v>
      </c>
      <c r="AA74" s="23" t="str">
        <f aca="false">IF(Q74&lt;안내!$C$11+안내!$C$12,"시작 전 제작","")</f>
        <v/>
      </c>
      <c r="AB74" s="24" t="s">
        <v>4174</v>
      </c>
      <c r="AC74" s="24"/>
    </row>
    <row r="75" customFormat="false" ht="26.85" hidden="false" customHeight="false" outlineLevel="0" collapsed="false">
      <c r="A75" s="23" t="n">
        <v>74</v>
      </c>
      <c r="B75" s="31" t="s">
        <v>9762</v>
      </c>
      <c r="C75" s="23" t="s">
        <v>9759</v>
      </c>
      <c r="D75" s="23" t="s">
        <v>9275</v>
      </c>
      <c r="E75" s="23" t="s">
        <v>9276</v>
      </c>
      <c r="F75" s="23"/>
      <c r="G75" s="24" t="s">
        <v>9763</v>
      </c>
      <c r="H75" s="24" t="s">
        <v>9764</v>
      </c>
      <c r="I75" s="23" t="s">
        <v>9765</v>
      </c>
      <c r="J75" s="24" t="s">
        <v>9766</v>
      </c>
      <c r="K75" s="24" t="s">
        <v>9767</v>
      </c>
      <c r="L75" s="24" t="s">
        <v>9768</v>
      </c>
      <c r="M75" s="24"/>
      <c r="N75" s="23" t="str">
        <f aca="false">"시편 #"&amp;TEXT(A75,"000")</f>
        <v>시편 #074</v>
      </c>
      <c r="O75" s="31" t="s">
        <v>9761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174</v>
      </c>
      <c r="U75" s="23" t="s">
        <v>174</v>
      </c>
      <c r="V75" s="23" t="s">
        <v>174</v>
      </c>
      <c r="W75" s="23" t="s">
        <v>174</v>
      </c>
      <c r="X75" s="24"/>
      <c r="Y75" s="23" t="str">
        <f aca="false">"시편|"&amp;TEXT(Q75,"yyyy-mm-dd")</f>
        <v>시편|2027-06-24</v>
      </c>
      <c r="Z75" s="26" t="n">
        <f aca="false">Q75-안내!$C$12</f>
        <v>46534</v>
      </c>
      <c r="AA75" s="23" t="str">
        <f aca="false">IF(Q75&lt;안내!$C$11+안내!$C$12,"시작 전 제작","")</f>
        <v/>
      </c>
      <c r="AB75" s="24" t="s">
        <v>9769</v>
      </c>
      <c r="AC75" s="24"/>
    </row>
    <row r="76" customFormat="false" ht="26.85" hidden="false" customHeight="false" outlineLevel="0" collapsed="false">
      <c r="A76" s="23" t="n">
        <v>75</v>
      </c>
      <c r="B76" s="31" t="s">
        <v>9770</v>
      </c>
      <c r="C76" s="23" t="s">
        <v>9759</v>
      </c>
      <c r="D76" s="23" t="s">
        <v>9321</v>
      </c>
      <c r="E76" s="23" t="s">
        <v>9276</v>
      </c>
      <c r="F76" s="23"/>
      <c r="G76" s="24" t="s">
        <v>9771</v>
      </c>
      <c r="H76" s="24" t="s">
        <v>9772</v>
      </c>
      <c r="I76" s="23" t="s">
        <v>9773</v>
      </c>
      <c r="J76" s="24" t="s">
        <v>9774</v>
      </c>
      <c r="K76" s="24" t="s">
        <v>4173</v>
      </c>
      <c r="L76" s="24" t="s">
        <v>9775</v>
      </c>
      <c r="M76" s="24"/>
      <c r="N76" s="23" t="str">
        <f aca="false">"시편 #"&amp;TEXT(A76,"000")</f>
        <v>시편 #075</v>
      </c>
      <c r="O76" s="31" t="s">
        <v>9761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174</v>
      </c>
      <c r="U76" s="23" t="s">
        <v>174</v>
      </c>
      <c r="V76" s="23" t="s">
        <v>174</v>
      </c>
      <c r="W76" s="23" t="s">
        <v>174</v>
      </c>
      <c r="X76" s="24"/>
      <c r="Y76" s="23" t="str">
        <f aca="false">"시편|"&amp;TEXT(Q76,"yyyy-mm-dd")</f>
        <v>시편|2027-06-27</v>
      </c>
      <c r="Z76" s="26" t="n">
        <f aca="false">Q76-안내!$C$12</f>
        <v>46537</v>
      </c>
      <c r="AA76" s="23" t="str">
        <f aca="false">IF(Q76&lt;안내!$C$11+안내!$C$12,"시작 전 제작","")</f>
        <v/>
      </c>
      <c r="AB76" s="24" t="s">
        <v>9776</v>
      </c>
      <c r="AC76" s="24"/>
    </row>
    <row r="77" customFormat="false" ht="26.85" hidden="false" customHeight="false" outlineLevel="0" collapsed="false">
      <c r="A77" s="23" t="n">
        <v>76</v>
      </c>
      <c r="B77" s="31" t="s">
        <v>9777</v>
      </c>
      <c r="C77" s="23" t="s">
        <v>9759</v>
      </c>
      <c r="D77" s="23" t="s">
        <v>9318</v>
      </c>
      <c r="E77" s="23" t="s">
        <v>9276</v>
      </c>
      <c r="F77" s="23"/>
      <c r="G77" s="24" t="s">
        <v>9778</v>
      </c>
      <c r="H77" s="24" t="s">
        <v>9779</v>
      </c>
      <c r="I77" s="23" t="s">
        <v>9780</v>
      </c>
      <c r="J77" s="24" t="s">
        <v>9781</v>
      </c>
      <c r="K77" s="24" t="s">
        <v>4173</v>
      </c>
      <c r="L77" s="24" t="s">
        <v>9782</v>
      </c>
      <c r="M77" s="24"/>
      <c r="N77" s="23" t="str">
        <f aca="false">"시편 #"&amp;TEXT(A77,"000")</f>
        <v>시편 #076</v>
      </c>
      <c r="O77" s="31" t="s">
        <v>9761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174</v>
      </c>
      <c r="U77" s="23" t="s">
        <v>174</v>
      </c>
      <c r="V77" s="23" t="s">
        <v>174</v>
      </c>
      <c r="W77" s="23" t="s">
        <v>174</v>
      </c>
      <c r="X77" s="24"/>
      <c r="Y77" s="23" t="str">
        <f aca="false">"시편|"&amp;TEXT(Q77,"yyyy-mm-dd")</f>
        <v>시편|2027-06-29</v>
      </c>
      <c r="Z77" s="26" t="n">
        <f aca="false">Q77-안내!$C$12</f>
        <v>46539</v>
      </c>
      <c r="AA77" s="23" t="str">
        <f aca="false">IF(Q77&lt;안내!$C$11+안내!$C$12,"시작 전 제작","")</f>
        <v/>
      </c>
      <c r="AB77" s="24" t="s">
        <v>9783</v>
      </c>
      <c r="AC77" s="24" t="s">
        <v>4081</v>
      </c>
    </row>
    <row r="78" customFormat="false" ht="15" hidden="false" customHeight="false" outlineLevel="0" collapsed="false">
      <c r="A78" s="23" t="n">
        <v>77</v>
      </c>
      <c r="B78" s="31" t="s">
        <v>9784</v>
      </c>
      <c r="C78" s="23" t="s">
        <v>9759</v>
      </c>
      <c r="D78" s="23" t="s">
        <v>9275</v>
      </c>
      <c r="E78" s="23" t="s">
        <v>9276</v>
      </c>
      <c r="F78" s="23"/>
      <c r="G78" s="24" t="s">
        <v>9785</v>
      </c>
      <c r="H78" s="24" t="s">
        <v>9786</v>
      </c>
      <c r="I78" s="23" t="s">
        <v>9787</v>
      </c>
      <c r="J78" s="24" t="s">
        <v>9788</v>
      </c>
      <c r="K78" s="24" t="s">
        <v>4173</v>
      </c>
      <c r="L78" s="24" t="s">
        <v>9789</v>
      </c>
      <c r="M78" s="24"/>
      <c r="N78" s="23" t="str">
        <f aca="false">"시편 #"&amp;TEXT(A78,"000")</f>
        <v>시편 #077</v>
      </c>
      <c r="O78" s="31" t="s">
        <v>9761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174</v>
      </c>
      <c r="U78" s="23" t="s">
        <v>174</v>
      </c>
      <c r="V78" s="23" t="s">
        <v>174</v>
      </c>
      <c r="W78" s="23" t="s">
        <v>174</v>
      </c>
      <c r="X78" s="24"/>
      <c r="Y78" s="23" t="str">
        <f aca="false">"시편|"&amp;TEXT(Q78,"yyyy-mm-dd")</f>
        <v>시편|2027-07-01</v>
      </c>
      <c r="Z78" s="26" t="n">
        <f aca="false">Q78-안내!$C$12</f>
        <v>46541</v>
      </c>
      <c r="AA78" s="23" t="str">
        <f aca="false">IF(Q78&lt;안내!$C$11+안내!$C$12,"시작 전 제작","")</f>
        <v/>
      </c>
      <c r="AB78" s="24" t="s">
        <v>9790</v>
      </c>
      <c r="AC78" s="24"/>
    </row>
    <row r="79" customFormat="false" ht="26.85" hidden="false" customHeight="false" outlineLevel="0" collapsed="false">
      <c r="A79" s="23" t="n">
        <v>78</v>
      </c>
      <c r="B79" s="31" t="s">
        <v>9791</v>
      </c>
      <c r="C79" s="23" t="s">
        <v>9759</v>
      </c>
      <c r="D79" s="23" t="s">
        <v>9792</v>
      </c>
      <c r="E79" s="23" t="s">
        <v>9276</v>
      </c>
      <c r="F79" s="23"/>
      <c r="G79" s="24" t="s">
        <v>9793</v>
      </c>
      <c r="H79" s="24" t="s">
        <v>9794</v>
      </c>
      <c r="I79" s="23" t="s">
        <v>9795</v>
      </c>
      <c r="J79" s="24" t="s">
        <v>9796</v>
      </c>
      <c r="K79" s="24" t="s">
        <v>9767</v>
      </c>
      <c r="L79" s="24" t="s">
        <v>9797</v>
      </c>
      <c r="M79" s="25" t="s">
        <v>9798</v>
      </c>
      <c r="N79" s="23" t="str">
        <f aca="false">"시편 #"&amp;TEXT(A79,"000")</f>
        <v>시편 #078</v>
      </c>
      <c r="O79" s="31" t="s">
        <v>9761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174</v>
      </c>
      <c r="U79" s="23" t="s">
        <v>174</v>
      </c>
      <c r="V79" s="23" t="s">
        <v>174</v>
      </c>
      <c r="W79" s="23" t="s">
        <v>174</v>
      </c>
      <c r="X79" s="24"/>
      <c r="Y79" s="23" t="str">
        <f aca="false">"시편|"&amp;TEXT(Q79,"yyyy-mm-dd")</f>
        <v>시편|2027-07-04</v>
      </c>
      <c r="Z79" s="26" t="n">
        <f aca="false">Q79-안내!$C$12</f>
        <v>46544</v>
      </c>
      <c r="AA79" s="23" t="str">
        <f aca="false">IF(Q79&lt;안내!$C$11+안내!$C$12,"시작 전 제작","")</f>
        <v/>
      </c>
      <c r="AB79" s="24" t="s">
        <v>9799</v>
      </c>
      <c r="AC79" s="24"/>
    </row>
    <row r="80" customFormat="false" ht="26.85" hidden="false" customHeight="false" outlineLevel="0" collapsed="false">
      <c r="A80" s="23" t="n">
        <v>79</v>
      </c>
      <c r="B80" s="31" t="s">
        <v>9800</v>
      </c>
      <c r="C80" s="23" t="s">
        <v>9759</v>
      </c>
      <c r="D80" s="23" t="s">
        <v>9275</v>
      </c>
      <c r="E80" s="23" t="s">
        <v>9276</v>
      </c>
      <c r="F80" s="23"/>
      <c r="G80" s="24" t="s">
        <v>9801</v>
      </c>
      <c r="H80" s="24" t="s">
        <v>9802</v>
      </c>
      <c r="I80" s="23" t="s">
        <v>9803</v>
      </c>
      <c r="J80" s="24" t="s">
        <v>9804</v>
      </c>
      <c r="K80" s="24" t="s">
        <v>4173</v>
      </c>
      <c r="L80" s="24" t="s">
        <v>9805</v>
      </c>
      <c r="M80" s="25" t="s">
        <v>9806</v>
      </c>
      <c r="N80" s="23" t="str">
        <f aca="false">"시편 #"&amp;TEXT(A80,"000")</f>
        <v>시편 #079</v>
      </c>
      <c r="O80" s="31" t="s">
        <v>9761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174</v>
      </c>
      <c r="U80" s="23" t="s">
        <v>174</v>
      </c>
      <c r="V80" s="23" t="s">
        <v>174</v>
      </c>
      <c r="W80" s="23" t="s">
        <v>174</v>
      </c>
      <c r="X80" s="24"/>
      <c r="Y80" s="23" t="str">
        <f aca="false">"시편|"&amp;TEXT(Q80,"yyyy-mm-dd")</f>
        <v>시편|2027-07-06</v>
      </c>
      <c r="Z80" s="26" t="n">
        <f aca="false">Q80-안내!$C$12</f>
        <v>46546</v>
      </c>
      <c r="AA80" s="23" t="str">
        <f aca="false">IF(Q80&lt;안내!$C$11+안내!$C$12,"시작 전 제작","")</f>
        <v/>
      </c>
      <c r="AB80" s="24" t="s">
        <v>9807</v>
      </c>
      <c r="AC80" s="24"/>
    </row>
    <row r="81" customFormat="false" ht="26.85" hidden="false" customHeight="false" outlineLevel="0" collapsed="false">
      <c r="A81" s="23" t="n">
        <v>80</v>
      </c>
      <c r="B81" s="31" t="s">
        <v>9808</v>
      </c>
      <c r="C81" s="23" t="s">
        <v>9759</v>
      </c>
      <c r="D81" s="23" t="s">
        <v>9275</v>
      </c>
      <c r="E81" s="23" t="s">
        <v>9276</v>
      </c>
      <c r="F81" s="23"/>
      <c r="G81" s="24" t="s">
        <v>4962</v>
      </c>
      <c r="H81" s="24" t="s">
        <v>9809</v>
      </c>
      <c r="I81" s="23" t="s">
        <v>9810</v>
      </c>
      <c r="J81" s="24" t="s">
        <v>9811</v>
      </c>
      <c r="K81" s="24" t="s">
        <v>4173</v>
      </c>
      <c r="L81" s="24" t="s">
        <v>9812</v>
      </c>
      <c r="M81" s="24"/>
      <c r="N81" s="23" t="str">
        <f aca="false">"시편 #"&amp;TEXT(A81,"000")</f>
        <v>시편 #080</v>
      </c>
      <c r="O81" s="31" t="s">
        <v>9761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174</v>
      </c>
      <c r="U81" s="23" t="s">
        <v>174</v>
      </c>
      <c r="V81" s="23" t="s">
        <v>174</v>
      </c>
      <c r="W81" s="23" t="s">
        <v>174</v>
      </c>
      <c r="X81" s="24"/>
      <c r="Y81" s="23" t="str">
        <f aca="false">"시편|"&amp;TEXT(Q81,"yyyy-mm-dd")</f>
        <v>시편|2027-07-08</v>
      </c>
      <c r="Z81" s="26" t="n">
        <f aca="false">Q81-안내!$C$12</f>
        <v>46548</v>
      </c>
      <c r="AA81" s="23" t="str">
        <f aca="false">IF(Q81&lt;안내!$C$11+안내!$C$12,"시작 전 제작","")</f>
        <v/>
      </c>
      <c r="AB81" s="24" t="s">
        <v>9813</v>
      </c>
      <c r="AC81" s="24"/>
    </row>
    <row r="82" customFormat="false" ht="26.85" hidden="false" customHeight="false" outlineLevel="0" collapsed="false">
      <c r="A82" s="23" t="n">
        <v>81</v>
      </c>
      <c r="B82" s="31" t="s">
        <v>9814</v>
      </c>
      <c r="C82" s="23" t="s">
        <v>9759</v>
      </c>
      <c r="D82" s="23" t="s">
        <v>9318</v>
      </c>
      <c r="E82" s="23" t="s">
        <v>9276</v>
      </c>
      <c r="F82" s="23"/>
      <c r="G82" s="24" t="s">
        <v>9815</v>
      </c>
      <c r="H82" s="24" t="s">
        <v>9816</v>
      </c>
      <c r="I82" s="23" t="s">
        <v>9817</v>
      </c>
      <c r="J82" s="24" t="s">
        <v>9818</v>
      </c>
      <c r="K82" s="24" t="s">
        <v>4173</v>
      </c>
      <c r="L82" s="24" t="s">
        <v>9819</v>
      </c>
      <c r="M82" s="25" t="s">
        <v>9820</v>
      </c>
      <c r="N82" s="23" t="str">
        <f aca="false">"시편 #"&amp;TEXT(A82,"000")</f>
        <v>시편 #081</v>
      </c>
      <c r="O82" s="31" t="s">
        <v>9821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174</v>
      </c>
      <c r="U82" s="23" t="s">
        <v>174</v>
      </c>
      <c r="V82" s="23" t="s">
        <v>174</v>
      </c>
      <c r="W82" s="23" t="s">
        <v>174</v>
      </c>
      <c r="X82" s="24"/>
      <c r="Y82" s="23" t="str">
        <f aca="false">"시편|"&amp;TEXT(Q82,"yyyy-mm-dd")</f>
        <v>시편|2027-07-11</v>
      </c>
      <c r="Z82" s="26" t="n">
        <f aca="false">Q82-안내!$C$12</f>
        <v>46551</v>
      </c>
      <c r="AA82" s="23" t="str">
        <f aca="false">IF(Q82&lt;안내!$C$11+안내!$C$12,"시작 전 제작","")</f>
        <v/>
      </c>
      <c r="AB82" s="24" t="s">
        <v>9822</v>
      </c>
      <c r="AC82" s="24"/>
    </row>
    <row r="83" customFormat="false" ht="26.85" hidden="false" customHeight="false" outlineLevel="0" collapsed="false">
      <c r="A83" s="23" t="n">
        <v>82</v>
      </c>
      <c r="B83" s="31" t="s">
        <v>9823</v>
      </c>
      <c r="C83" s="23" t="s">
        <v>9759</v>
      </c>
      <c r="D83" s="23" t="s">
        <v>9267</v>
      </c>
      <c r="E83" s="23" t="s">
        <v>9276</v>
      </c>
      <c r="F83" s="23"/>
      <c r="G83" s="24" t="s">
        <v>9824</v>
      </c>
      <c r="H83" s="24" t="s">
        <v>9825</v>
      </c>
      <c r="I83" s="23" t="s">
        <v>9826</v>
      </c>
      <c r="J83" s="24" t="s">
        <v>9827</v>
      </c>
      <c r="K83" s="24" t="s">
        <v>4173</v>
      </c>
      <c r="L83" s="24" t="s">
        <v>9602</v>
      </c>
      <c r="M83" s="28" t="s">
        <v>9828</v>
      </c>
      <c r="N83" s="23" t="str">
        <f aca="false">"시편 #"&amp;TEXT(A83,"000")</f>
        <v>시편 #082</v>
      </c>
      <c r="O83" s="31" t="s">
        <v>9821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174</v>
      </c>
      <c r="U83" s="23" t="s">
        <v>174</v>
      </c>
      <c r="V83" s="23" t="s">
        <v>174</v>
      </c>
      <c r="W83" s="23" t="s">
        <v>174</v>
      </c>
      <c r="X83" s="24"/>
      <c r="Y83" s="23" t="str">
        <f aca="false">"시편|"&amp;TEXT(Q83,"yyyy-mm-dd")</f>
        <v>시편|2027-07-13</v>
      </c>
      <c r="Z83" s="26" t="n">
        <f aca="false">Q83-안내!$C$12</f>
        <v>46553</v>
      </c>
      <c r="AA83" s="23" t="str">
        <f aca="false">IF(Q83&lt;안내!$C$11+안내!$C$12,"시작 전 제작","")</f>
        <v/>
      </c>
      <c r="AB83" s="24" t="s">
        <v>9829</v>
      </c>
      <c r="AC83" s="24"/>
    </row>
    <row r="84" customFormat="false" ht="26.85" hidden="false" customHeight="false" outlineLevel="0" collapsed="false">
      <c r="A84" s="23" t="n">
        <v>83</v>
      </c>
      <c r="B84" s="31" t="s">
        <v>9830</v>
      </c>
      <c r="C84" s="23" t="s">
        <v>9759</v>
      </c>
      <c r="D84" s="23" t="s">
        <v>9275</v>
      </c>
      <c r="E84" s="23" t="s">
        <v>9276</v>
      </c>
      <c r="F84" s="23"/>
      <c r="G84" s="24" t="s">
        <v>9831</v>
      </c>
      <c r="H84" s="24" t="s">
        <v>9832</v>
      </c>
      <c r="I84" s="23" t="s">
        <v>9833</v>
      </c>
      <c r="J84" s="24" t="s">
        <v>9834</v>
      </c>
      <c r="K84" s="24" t="s">
        <v>4173</v>
      </c>
      <c r="L84" s="24" t="s">
        <v>9835</v>
      </c>
      <c r="M84" s="24"/>
      <c r="N84" s="23" t="str">
        <f aca="false">"시편 #"&amp;TEXT(A84,"000")</f>
        <v>시편 #083</v>
      </c>
      <c r="O84" s="31" t="s">
        <v>9821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174</v>
      </c>
      <c r="U84" s="23" t="s">
        <v>174</v>
      </c>
      <c r="V84" s="23" t="s">
        <v>174</v>
      </c>
      <c r="W84" s="23" t="s">
        <v>174</v>
      </c>
      <c r="X84" s="24"/>
      <c r="Y84" s="23" t="str">
        <f aca="false">"시편|"&amp;TEXT(Q84,"yyyy-mm-dd")</f>
        <v>시편|2027-07-15</v>
      </c>
      <c r="Z84" s="26" t="n">
        <f aca="false">Q84-안내!$C$12</f>
        <v>46555</v>
      </c>
      <c r="AA84" s="23" t="str">
        <f aca="false">IF(Q84&lt;안내!$C$11+안내!$C$12,"시작 전 제작","")</f>
        <v/>
      </c>
      <c r="AB84" s="24" t="s">
        <v>9836</v>
      </c>
      <c r="AC84" s="24"/>
    </row>
    <row r="85" customFormat="false" ht="36.55" hidden="false" customHeight="false" outlineLevel="0" collapsed="false">
      <c r="A85" s="23" t="n">
        <v>84</v>
      </c>
      <c r="B85" s="31" t="s">
        <v>9837</v>
      </c>
      <c r="C85" s="23" t="s">
        <v>9759</v>
      </c>
      <c r="D85" s="23" t="s">
        <v>9318</v>
      </c>
      <c r="E85" s="20" t="s">
        <v>9268</v>
      </c>
      <c r="F85" s="19" t="s">
        <v>9838</v>
      </c>
      <c r="G85" s="24" t="s">
        <v>4177</v>
      </c>
      <c r="H85" s="24" t="s">
        <v>4178</v>
      </c>
      <c r="I85" s="23" t="s">
        <v>4179</v>
      </c>
      <c r="J85" s="24" t="s">
        <v>4180</v>
      </c>
      <c r="K85" s="24"/>
      <c r="L85" s="24" t="s">
        <v>4181</v>
      </c>
      <c r="M85" s="24"/>
      <c r="N85" s="23" t="str">
        <f aca="false">"시편 #"&amp;TEXT(A85,"000")</f>
        <v>시편 #084</v>
      </c>
      <c r="O85" s="31" t="s">
        <v>9821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174</v>
      </c>
      <c r="U85" s="23" t="s">
        <v>174</v>
      </c>
      <c r="V85" s="23" t="s">
        <v>174</v>
      </c>
      <c r="W85" s="23" t="s">
        <v>174</v>
      </c>
      <c r="X85" s="24"/>
      <c r="Y85" s="23" t="str">
        <f aca="false">"시편|"&amp;TEXT(Q85,"yyyy-mm-dd")</f>
        <v>시편|2027-07-18</v>
      </c>
      <c r="Z85" s="26" t="n">
        <f aca="false">Q85-안내!$C$12</f>
        <v>46558</v>
      </c>
      <c r="AA85" s="23" t="str">
        <f aca="false">IF(Q85&lt;안내!$C$11+안내!$C$12,"시작 전 제작","")</f>
        <v/>
      </c>
      <c r="AB85" s="24" t="s">
        <v>4182</v>
      </c>
      <c r="AC85" s="24"/>
    </row>
    <row r="86" customFormat="false" ht="26.85" hidden="false" customHeight="false" outlineLevel="0" collapsed="false">
      <c r="A86" s="23" t="n">
        <v>85</v>
      </c>
      <c r="B86" s="31" t="s">
        <v>9839</v>
      </c>
      <c r="C86" s="23" t="s">
        <v>9759</v>
      </c>
      <c r="D86" s="23" t="s">
        <v>9275</v>
      </c>
      <c r="E86" s="23" t="s">
        <v>9276</v>
      </c>
      <c r="F86" s="23"/>
      <c r="G86" s="24" t="s">
        <v>9840</v>
      </c>
      <c r="H86" s="24" t="s">
        <v>9841</v>
      </c>
      <c r="I86" s="23" t="s">
        <v>9842</v>
      </c>
      <c r="J86" s="24" t="s">
        <v>9843</v>
      </c>
      <c r="K86" s="24" t="s">
        <v>4129</v>
      </c>
      <c r="L86" s="24" t="s">
        <v>9844</v>
      </c>
      <c r="M86" s="25" t="s">
        <v>9845</v>
      </c>
      <c r="N86" s="23" t="str">
        <f aca="false">"시편 #"&amp;TEXT(A86,"000")</f>
        <v>시편 #085</v>
      </c>
      <c r="O86" s="31" t="s">
        <v>9821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174</v>
      </c>
      <c r="U86" s="23" t="s">
        <v>174</v>
      </c>
      <c r="V86" s="23" t="s">
        <v>174</v>
      </c>
      <c r="W86" s="23" t="s">
        <v>174</v>
      </c>
      <c r="X86" s="24"/>
      <c r="Y86" s="23" t="str">
        <f aca="false">"시편|"&amp;TEXT(Q86,"yyyy-mm-dd")</f>
        <v>시편|2027-07-20</v>
      </c>
      <c r="Z86" s="26" t="n">
        <f aca="false">Q86-안내!$C$12</f>
        <v>46560</v>
      </c>
      <c r="AA86" s="23" t="str">
        <f aca="false">IF(Q86&lt;안내!$C$11+안내!$C$12,"시작 전 제작","")</f>
        <v/>
      </c>
      <c r="AB86" s="24" t="s">
        <v>9846</v>
      </c>
      <c r="AC86" s="24"/>
    </row>
    <row r="87" customFormat="false" ht="26.85" hidden="false" customHeight="false" outlineLevel="0" collapsed="false">
      <c r="A87" s="23" t="n">
        <v>86</v>
      </c>
      <c r="B87" s="31" t="s">
        <v>9847</v>
      </c>
      <c r="C87" s="23" t="s">
        <v>9759</v>
      </c>
      <c r="D87" s="23" t="s">
        <v>9275</v>
      </c>
      <c r="E87" s="23" t="s">
        <v>9276</v>
      </c>
      <c r="F87" s="23"/>
      <c r="G87" s="24" t="s">
        <v>9848</v>
      </c>
      <c r="H87" s="24" t="s">
        <v>9849</v>
      </c>
      <c r="I87" s="23" t="s">
        <v>9850</v>
      </c>
      <c r="J87" s="24" t="s">
        <v>9851</v>
      </c>
      <c r="K87" s="24" t="s">
        <v>2608</v>
      </c>
      <c r="L87" s="24" t="s">
        <v>9852</v>
      </c>
      <c r="M87" s="24"/>
      <c r="N87" s="23" t="str">
        <f aca="false">"시편 #"&amp;TEXT(A87,"000")</f>
        <v>시편 #086</v>
      </c>
      <c r="O87" s="31" t="s">
        <v>9821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174</v>
      </c>
      <c r="U87" s="23" t="s">
        <v>174</v>
      </c>
      <c r="V87" s="23" t="s">
        <v>174</v>
      </c>
      <c r="W87" s="23" t="s">
        <v>174</v>
      </c>
      <c r="X87" s="24"/>
      <c r="Y87" s="23" t="str">
        <f aca="false">"시편|"&amp;TEXT(Q87,"yyyy-mm-dd")</f>
        <v>시편|2027-07-22</v>
      </c>
      <c r="Z87" s="26" t="n">
        <f aca="false">Q87-안내!$C$12</f>
        <v>46562</v>
      </c>
      <c r="AA87" s="23" t="str">
        <f aca="false">IF(Q87&lt;안내!$C$11+안내!$C$12,"시작 전 제작","")</f>
        <v/>
      </c>
      <c r="AB87" s="24" t="s">
        <v>9853</v>
      </c>
      <c r="AC87" s="24"/>
    </row>
    <row r="88" customFormat="false" ht="26.85" hidden="false" customHeight="false" outlineLevel="0" collapsed="false">
      <c r="A88" s="23" t="n">
        <v>87</v>
      </c>
      <c r="B88" s="31" t="s">
        <v>9854</v>
      </c>
      <c r="C88" s="23" t="s">
        <v>9759</v>
      </c>
      <c r="D88" s="23" t="s">
        <v>9318</v>
      </c>
      <c r="E88" s="23" t="s">
        <v>9276</v>
      </c>
      <c r="F88" s="23"/>
      <c r="G88" s="24" t="s">
        <v>9855</v>
      </c>
      <c r="H88" s="24" t="s">
        <v>9856</v>
      </c>
      <c r="I88" s="23" t="s">
        <v>9857</v>
      </c>
      <c r="J88" s="24" t="s">
        <v>9858</v>
      </c>
      <c r="K88" s="24" t="s">
        <v>4129</v>
      </c>
      <c r="L88" s="24" t="s">
        <v>9859</v>
      </c>
      <c r="M88" s="24"/>
      <c r="N88" s="23" t="str">
        <f aca="false">"시편 #"&amp;TEXT(A88,"000")</f>
        <v>시편 #087</v>
      </c>
      <c r="O88" s="31" t="s">
        <v>9821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174</v>
      </c>
      <c r="U88" s="23" t="s">
        <v>174</v>
      </c>
      <c r="V88" s="23" t="s">
        <v>174</v>
      </c>
      <c r="W88" s="23" t="s">
        <v>174</v>
      </c>
      <c r="X88" s="24"/>
      <c r="Y88" s="23" t="str">
        <f aca="false">"시편|"&amp;TEXT(Q88,"yyyy-mm-dd")</f>
        <v>시편|2027-07-25</v>
      </c>
      <c r="Z88" s="26" t="n">
        <f aca="false">Q88-안내!$C$12</f>
        <v>46565</v>
      </c>
      <c r="AA88" s="23" t="str">
        <f aca="false">IF(Q88&lt;안내!$C$11+안내!$C$12,"시작 전 제작","")</f>
        <v/>
      </c>
      <c r="AB88" s="24" t="s">
        <v>9860</v>
      </c>
      <c r="AC88" s="24"/>
    </row>
    <row r="89" customFormat="false" ht="26.85" hidden="false" customHeight="false" outlineLevel="0" collapsed="false">
      <c r="A89" s="23" t="n">
        <v>88</v>
      </c>
      <c r="B89" s="31" t="s">
        <v>9861</v>
      </c>
      <c r="C89" s="23" t="s">
        <v>9759</v>
      </c>
      <c r="D89" s="23" t="s">
        <v>9275</v>
      </c>
      <c r="E89" s="23" t="s">
        <v>9276</v>
      </c>
      <c r="F89" s="23"/>
      <c r="G89" s="24" t="s">
        <v>9862</v>
      </c>
      <c r="H89" s="24" t="s">
        <v>9863</v>
      </c>
      <c r="I89" s="23" t="s">
        <v>9864</v>
      </c>
      <c r="J89" s="24" t="s">
        <v>9865</v>
      </c>
      <c r="K89" s="24" t="s">
        <v>9866</v>
      </c>
      <c r="L89" s="24" t="s">
        <v>9867</v>
      </c>
      <c r="M89" s="25" t="s">
        <v>9868</v>
      </c>
      <c r="N89" s="23" t="str">
        <f aca="false">"시편 #"&amp;TEXT(A89,"000")</f>
        <v>시편 #088</v>
      </c>
      <c r="O89" s="31" t="s">
        <v>9821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174</v>
      </c>
      <c r="U89" s="23" t="s">
        <v>174</v>
      </c>
      <c r="V89" s="23" t="s">
        <v>174</v>
      </c>
      <c r="W89" s="23" t="s">
        <v>174</v>
      </c>
      <c r="X89" s="24"/>
      <c r="Y89" s="23" t="str">
        <f aca="false">"시편|"&amp;TEXT(Q89,"yyyy-mm-dd")</f>
        <v>시편|2027-07-27</v>
      </c>
      <c r="Z89" s="26" t="n">
        <f aca="false">Q89-안내!$C$12</f>
        <v>46567</v>
      </c>
      <c r="AA89" s="23" t="str">
        <f aca="false">IF(Q89&lt;안내!$C$11+안내!$C$12,"시작 전 제작","")</f>
        <v/>
      </c>
      <c r="AB89" s="24" t="s">
        <v>9869</v>
      </c>
      <c r="AC89" s="24" t="s">
        <v>4081</v>
      </c>
    </row>
    <row r="90" customFormat="false" ht="36.55" hidden="false" customHeight="false" outlineLevel="0" collapsed="false">
      <c r="A90" s="23" t="n">
        <v>89</v>
      </c>
      <c r="B90" s="31" t="s">
        <v>9870</v>
      </c>
      <c r="C90" s="23" t="s">
        <v>9759</v>
      </c>
      <c r="D90" s="23" t="s">
        <v>9272</v>
      </c>
      <c r="E90" s="20" t="s">
        <v>9268</v>
      </c>
      <c r="F90" s="19" t="s">
        <v>9871</v>
      </c>
      <c r="G90" s="24" t="s">
        <v>4185</v>
      </c>
      <c r="H90" s="24" t="s">
        <v>4186</v>
      </c>
      <c r="I90" s="23" t="s">
        <v>4187</v>
      </c>
      <c r="J90" s="24" t="s">
        <v>4188</v>
      </c>
      <c r="K90" s="24"/>
      <c r="L90" s="24" t="s">
        <v>4190</v>
      </c>
      <c r="M90" s="25" t="s">
        <v>4191</v>
      </c>
      <c r="N90" s="23" t="str">
        <f aca="false">"시편 #"&amp;TEXT(A90,"000")</f>
        <v>시편 #089</v>
      </c>
      <c r="O90" s="31" t="s">
        <v>9821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174</v>
      </c>
      <c r="U90" s="23" t="s">
        <v>174</v>
      </c>
      <c r="V90" s="23" t="s">
        <v>174</v>
      </c>
      <c r="W90" s="23" t="s">
        <v>174</v>
      </c>
      <c r="X90" s="24"/>
      <c r="Y90" s="23" t="str">
        <f aca="false">"시편|"&amp;TEXT(Q90,"yyyy-mm-dd")</f>
        <v>시편|2027-07-29</v>
      </c>
      <c r="Z90" s="26" t="n">
        <f aca="false">Q90-안내!$C$12</f>
        <v>46569</v>
      </c>
      <c r="AA90" s="23" t="str">
        <f aca="false">IF(Q90&lt;안내!$C$11+안내!$C$12,"시작 전 제작","")</f>
        <v/>
      </c>
      <c r="AB90" s="24" t="s">
        <v>4192</v>
      </c>
      <c r="AC90" s="24" t="s">
        <v>4081</v>
      </c>
    </row>
    <row r="91" customFormat="false" ht="36.55" hidden="false" customHeight="false" outlineLevel="0" collapsed="false">
      <c r="A91" s="23" t="n">
        <v>90</v>
      </c>
      <c r="B91" s="31" t="s">
        <v>9872</v>
      </c>
      <c r="C91" s="23" t="s">
        <v>9873</v>
      </c>
      <c r="D91" s="23" t="s">
        <v>9267</v>
      </c>
      <c r="E91" s="20" t="s">
        <v>9268</v>
      </c>
      <c r="F91" s="19" t="s">
        <v>9874</v>
      </c>
      <c r="G91" s="24" t="s">
        <v>4197</v>
      </c>
      <c r="H91" s="24" t="s">
        <v>4198</v>
      </c>
      <c r="I91" s="23" t="s">
        <v>4199</v>
      </c>
      <c r="J91" s="24" t="s">
        <v>4200</v>
      </c>
      <c r="K91" s="24"/>
      <c r="L91" s="24" t="s">
        <v>4201</v>
      </c>
      <c r="M91" s="24"/>
      <c r="N91" s="23" t="str">
        <f aca="false">"시편 #"&amp;TEXT(A91,"000")</f>
        <v>시편 #090</v>
      </c>
      <c r="O91" s="31" t="s">
        <v>9875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174</v>
      </c>
      <c r="U91" s="23" t="s">
        <v>174</v>
      </c>
      <c r="V91" s="23" t="s">
        <v>174</v>
      </c>
      <c r="W91" s="23" t="s">
        <v>174</v>
      </c>
      <c r="X91" s="24"/>
      <c r="Y91" s="23" t="str">
        <f aca="false">"시편|"&amp;TEXT(Q91,"yyyy-mm-dd")</f>
        <v>시편|2027-08-01</v>
      </c>
      <c r="Z91" s="26" t="n">
        <f aca="false">Q91-안내!$C$12</f>
        <v>46572</v>
      </c>
      <c r="AA91" s="23" t="str">
        <f aca="false">IF(Q91&lt;안내!$C$11+안내!$C$12,"시작 전 제작","")</f>
        <v/>
      </c>
      <c r="AB91" s="24" t="s">
        <v>4202</v>
      </c>
      <c r="AC91" s="24"/>
    </row>
    <row r="92" customFormat="false" ht="36.55" hidden="false" customHeight="false" outlineLevel="0" collapsed="false">
      <c r="A92" s="23" t="n">
        <v>91</v>
      </c>
      <c r="B92" s="31" t="s">
        <v>9876</v>
      </c>
      <c r="C92" s="23" t="s">
        <v>9873</v>
      </c>
      <c r="D92" s="23" t="s">
        <v>9285</v>
      </c>
      <c r="E92" s="20" t="s">
        <v>9268</v>
      </c>
      <c r="F92" s="19" t="s">
        <v>9877</v>
      </c>
      <c r="G92" s="24" t="s">
        <v>4205</v>
      </c>
      <c r="H92" s="24" t="s">
        <v>4206</v>
      </c>
      <c r="I92" s="23" t="s">
        <v>4207</v>
      </c>
      <c r="J92" s="24" t="s">
        <v>4208</v>
      </c>
      <c r="K92" s="24"/>
      <c r="L92" s="24" t="s">
        <v>4210</v>
      </c>
      <c r="M92" s="25" t="s">
        <v>4211</v>
      </c>
      <c r="N92" s="23" t="str">
        <f aca="false">"시편 #"&amp;TEXT(A92,"000")</f>
        <v>시편 #091</v>
      </c>
      <c r="O92" s="31" t="s">
        <v>9875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174</v>
      </c>
      <c r="U92" s="23" t="s">
        <v>174</v>
      </c>
      <c r="V92" s="23" t="s">
        <v>174</v>
      </c>
      <c r="W92" s="23" t="s">
        <v>174</v>
      </c>
      <c r="X92" s="24"/>
      <c r="Y92" s="23" t="str">
        <f aca="false">"시편|"&amp;TEXT(Q92,"yyyy-mm-dd")</f>
        <v>시편|2027-08-03</v>
      </c>
      <c r="Z92" s="26" t="n">
        <f aca="false">Q92-안내!$C$12</f>
        <v>46574</v>
      </c>
      <c r="AA92" s="23" t="str">
        <f aca="false">IF(Q92&lt;안내!$C$11+안내!$C$12,"시작 전 제작","")</f>
        <v/>
      </c>
      <c r="AB92" s="24" t="s">
        <v>4212</v>
      </c>
      <c r="AC92" s="24"/>
    </row>
    <row r="93" customFormat="false" ht="26.85" hidden="false" customHeight="false" outlineLevel="0" collapsed="false">
      <c r="A93" s="23" t="n">
        <v>92</v>
      </c>
      <c r="B93" s="31" t="s">
        <v>9878</v>
      </c>
      <c r="C93" s="23" t="s">
        <v>9873</v>
      </c>
      <c r="D93" s="23" t="s">
        <v>9321</v>
      </c>
      <c r="E93" s="23" t="s">
        <v>9276</v>
      </c>
      <c r="F93" s="23"/>
      <c r="G93" s="24" t="s">
        <v>9879</v>
      </c>
      <c r="H93" s="24" t="s">
        <v>9880</v>
      </c>
      <c r="I93" s="23" t="s">
        <v>9881</v>
      </c>
      <c r="J93" s="24" t="s">
        <v>9882</v>
      </c>
      <c r="K93" s="24" t="s">
        <v>9883</v>
      </c>
      <c r="L93" s="24" t="s">
        <v>9884</v>
      </c>
      <c r="M93" s="24"/>
      <c r="N93" s="23" t="str">
        <f aca="false">"시편 #"&amp;TEXT(A93,"000")</f>
        <v>시편 #092</v>
      </c>
      <c r="O93" s="31" t="s">
        <v>9875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174</v>
      </c>
      <c r="U93" s="23" t="s">
        <v>174</v>
      </c>
      <c r="V93" s="23" t="s">
        <v>174</v>
      </c>
      <c r="W93" s="23" t="s">
        <v>174</v>
      </c>
      <c r="X93" s="24"/>
      <c r="Y93" s="23" t="str">
        <f aca="false">"시편|"&amp;TEXT(Q93,"yyyy-mm-dd")</f>
        <v>시편|2027-08-05</v>
      </c>
      <c r="Z93" s="26" t="n">
        <f aca="false">Q93-안내!$C$12</f>
        <v>46576</v>
      </c>
      <c r="AA93" s="23" t="str">
        <f aca="false">IF(Q93&lt;안내!$C$11+안내!$C$12,"시작 전 제작","")</f>
        <v/>
      </c>
      <c r="AB93" s="24" t="s">
        <v>9885</v>
      </c>
      <c r="AC93" s="24"/>
    </row>
    <row r="94" customFormat="false" ht="26.85" hidden="false" customHeight="false" outlineLevel="0" collapsed="false">
      <c r="A94" s="23" t="n">
        <v>93</v>
      </c>
      <c r="B94" s="31" t="s">
        <v>9886</v>
      </c>
      <c r="C94" s="23" t="s">
        <v>9873</v>
      </c>
      <c r="D94" s="23" t="s">
        <v>9318</v>
      </c>
      <c r="E94" s="23" t="s">
        <v>9276</v>
      </c>
      <c r="F94" s="23"/>
      <c r="G94" s="24" t="s">
        <v>9887</v>
      </c>
      <c r="H94" s="24" t="s">
        <v>9888</v>
      </c>
      <c r="I94" s="23" t="s">
        <v>9889</v>
      </c>
      <c r="J94" s="24" t="s">
        <v>9890</v>
      </c>
      <c r="K94" s="24" t="s">
        <v>9333</v>
      </c>
      <c r="L94" s="24" t="s">
        <v>9891</v>
      </c>
      <c r="M94" s="24"/>
      <c r="N94" s="23" t="str">
        <f aca="false">"시편 #"&amp;TEXT(A94,"000")</f>
        <v>시편 #093</v>
      </c>
      <c r="O94" s="31" t="s">
        <v>9875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174</v>
      </c>
      <c r="U94" s="23" t="s">
        <v>174</v>
      </c>
      <c r="V94" s="23" t="s">
        <v>174</v>
      </c>
      <c r="W94" s="23" t="s">
        <v>174</v>
      </c>
      <c r="X94" s="24"/>
      <c r="Y94" s="23" t="str">
        <f aca="false">"시편|"&amp;TEXT(Q94,"yyyy-mm-dd")</f>
        <v>시편|2027-08-08</v>
      </c>
      <c r="Z94" s="26" t="n">
        <f aca="false">Q94-안내!$C$12</f>
        <v>46579</v>
      </c>
      <c r="AA94" s="23" t="str">
        <f aca="false">IF(Q94&lt;안내!$C$11+안내!$C$12,"시작 전 제작","")</f>
        <v/>
      </c>
      <c r="AB94" s="24" t="s">
        <v>9892</v>
      </c>
      <c r="AC94" s="24"/>
    </row>
    <row r="95" customFormat="false" ht="26.85" hidden="false" customHeight="false" outlineLevel="0" collapsed="false">
      <c r="A95" s="23" t="n">
        <v>94</v>
      </c>
      <c r="B95" s="31" t="s">
        <v>9893</v>
      </c>
      <c r="C95" s="23" t="s">
        <v>9873</v>
      </c>
      <c r="D95" s="23" t="s">
        <v>9275</v>
      </c>
      <c r="E95" s="23" t="s">
        <v>9276</v>
      </c>
      <c r="F95" s="23"/>
      <c r="G95" s="24" t="s">
        <v>9894</v>
      </c>
      <c r="H95" s="24" t="s">
        <v>9895</v>
      </c>
      <c r="I95" s="23" t="s">
        <v>9896</v>
      </c>
      <c r="J95" s="24" t="s">
        <v>9897</v>
      </c>
      <c r="K95" s="24" t="s">
        <v>9333</v>
      </c>
      <c r="L95" s="24" t="s">
        <v>9898</v>
      </c>
      <c r="M95" s="24"/>
      <c r="N95" s="23" t="str">
        <f aca="false">"시편 #"&amp;TEXT(A95,"000")</f>
        <v>시편 #094</v>
      </c>
      <c r="O95" s="31" t="s">
        <v>9875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174</v>
      </c>
      <c r="U95" s="23" t="s">
        <v>174</v>
      </c>
      <c r="V95" s="23" t="s">
        <v>174</v>
      </c>
      <c r="W95" s="23" t="s">
        <v>174</v>
      </c>
      <c r="X95" s="24"/>
      <c r="Y95" s="23" t="str">
        <f aca="false">"시편|"&amp;TEXT(Q95,"yyyy-mm-dd")</f>
        <v>시편|2027-08-10</v>
      </c>
      <c r="Z95" s="26" t="n">
        <f aca="false">Q95-안내!$C$12</f>
        <v>46581</v>
      </c>
      <c r="AA95" s="23" t="str">
        <f aca="false">IF(Q95&lt;안내!$C$11+안내!$C$12,"시작 전 제작","")</f>
        <v/>
      </c>
      <c r="AB95" s="24" t="s">
        <v>9899</v>
      </c>
      <c r="AC95" s="24"/>
    </row>
    <row r="96" customFormat="false" ht="36.55" hidden="false" customHeight="false" outlineLevel="0" collapsed="false">
      <c r="A96" s="23" t="n">
        <v>95</v>
      </c>
      <c r="B96" s="31" t="s">
        <v>9900</v>
      </c>
      <c r="C96" s="23" t="s">
        <v>9873</v>
      </c>
      <c r="D96" s="23" t="s">
        <v>9318</v>
      </c>
      <c r="E96" s="20" t="s">
        <v>9268</v>
      </c>
      <c r="F96" s="19" t="s">
        <v>9901</v>
      </c>
      <c r="G96" s="24" t="s">
        <v>4215</v>
      </c>
      <c r="H96" s="24" t="s">
        <v>4216</v>
      </c>
      <c r="I96" s="23" t="s">
        <v>4217</v>
      </c>
      <c r="J96" s="24" t="s">
        <v>4218</v>
      </c>
      <c r="K96" s="24"/>
      <c r="L96" s="24" t="s">
        <v>4220</v>
      </c>
      <c r="M96" s="24"/>
      <c r="N96" s="23" t="str">
        <f aca="false">"시편 #"&amp;TEXT(A96,"000")</f>
        <v>시편 #095</v>
      </c>
      <c r="O96" s="31" t="s">
        <v>9875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174</v>
      </c>
      <c r="U96" s="23" t="s">
        <v>174</v>
      </c>
      <c r="V96" s="23" t="s">
        <v>174</v>
      </c>
      <c r="W96" s="23" t="s">
        <v>174</v>
      </c>
      <c r="X96" s="24"/>
      <c r="Y96" s="23" t="str">
        <f aca="false">"시편|"&amp;TEXT(Q96,"yyyy-mm-dd")</f>
        <v>시편|2027-08-12</v>
      </c>
      <c r="Z96" s="26" t="n">
        <f aca="false">Q96-안내!$C$12</f>
        <v>46583</v>
      </c>
      <c r="AA96" s="23" t="str">
        <f aca="false">IF(Q96&lt;안내!$C$11+안내!$C$12,"시작 전 제작","")</f>
        <v/>
      </c>
      <c r="AB96" s="24" t="s">
        <v>4221</v>
      </c>
      <c r="AC96" s="24"/>
    </row>
    <row r="97" customFormat="false" ht="26.85" hidden="false" customHeight="false" outlineLevel="0" collapsed="false">
      <c r="A97" s="23" t="n">
        <v>96</v>
      </c>
      <c r="B97" s="31" t="s">
        <v>9902</v>
      </c>
      <c r="C97" s="23" t="s">
        <v>9873</v>
      </c>
      <c r="D97" s="23" t="s">
        <v>9318</v>
      </c>
      <c r="E97" s="23" t="s">
        <v>9276</v>
      </c>
      <c r="F97" s="23"/>
      <c r="G97" s="24" t="s">
        <v>9476</v>
      </c>
      <c r="H97" s="24" t="s">
        <v>9903</v>
      </c>
      <c r="I97" s="23" t="s">
        <v>9904</v>
      </c>
      <c r="J97" s="24" t="s">
        <v>9905</v>
      </c>
      <c r="K97" s="24" t="s">
        <v>9333</v>
      </c>
      <c r="L97" s="24" t="s">
        <v>9906</v>
      </c>
      <c r="M97" s="24"/>
      <c r="N97" s="23" t="str">
        <f aca="false">"시편 #"&amp;TEXT(A97,"000")</f>
        <v>시편 #096</v>
      </c>
      <c r="O97" s="31" t="s">
        <v>9875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174</v>
      </c>
      <c r="U97" s="23" t="s">
        <v>174</v>
      </c>
      <c r="V97" s="23" t="s">
        <v>174</v>
      </c>
      <c r="W97" s="23" t="s">
        <v>174</v>
      </c>
      <c r="X97" s="24"/>
      <c r="Y97" s="23" t="str">
        <f aca="false">"시편|"&amp;TEXT(Q97,"yyyy-mm-dd")</f>
        <v>시편|2027-08-15</v>
      </c>
      <c r="Z97" s="26" t="n">
        <f aca="false">Q97-안내!$C$12</f>
        <v>46586</v>
      </c>
      <c r="AA97" s="23" t="str">
        <f aca="false">IF(Q97&lt;안내!$C$11+안내!$C$12,"시작 전 제작","")</f>
        <v/>
      </c>
      <c r="AB97" s="24" t="s">
        <v>9907</v>
      </c>
      <c r="AC97" s="24"/>
    </row>
    <row r="98" customFormat="false" ht="26.85" hidden="false" customHeight="false" outlineLevel="0" collapsed="false">
      <c r="A98" s="23" t="n">
        <v>97</v>
      </c>
      <c r="B98" s="31" t="s">
        <v>9908</v>
      </c>
      <c r="C98" s="23" t="s">
        <v>9873</v>
      </c>
      <c r="D98" s="23" t="s">
        <v>9318</v>
      </c>
      <c r="E98" s="23" t="s">
        <v>9276</v>
      </c>
      <c r="F98" s="23"/>
      <c r="G98" s="24" t="s">
        <v>9909</v>
      </c>
      <c r="H98" s="24" t="s">
        <v>9910</v>
      </c>
      <c r="I98" s="23" t="s">
        <v>9911</v>
      </c>
      <c r="J98" s="24" t="s">
        <v>9912</v>
      </c>
      <c r="K98" s="24" t="s">
        <v>9333</v>
      </c>
      <c r="L98" s="24" t="s">
        <v>9913</v>
      </c>
      <c r="M98" s="24"/>
      <c r="N98" s="23" t="str">
        <f aca="false">"시편 #"&amp;TEXT(A98,"000")</f>
        <v>시편 #097</v>
      </c>
      <c r="O98" s="31" t="s">
        <v>9875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174</v>
      </c>
      <c r="U98" s="23" t="s">
        <v>174</v>
      </c>
      <c r="V98" s="23" t="s">
        <v>174</v>
      </c>
      <c r="W98" s="23" t="s">
        <v>174</v>
      </c>
      <c r="X98" s="24"/>
      <c r="Y98" s="23" t="str">
        <f aca="false">"시편|"&amp;TEXT(Q98,"yyyy-mm-dd")</f>
        <v>시편|2027-08-17</v>
      </c>
      <c r="Z98" s="26" t="n">
        <f aca="false">Q98-안내!$C$12</f>
        <v>46588</v>
      </c>
      <c r="AA98" s="23" t="str">
        <f aca="false">IF(Q98&lt;안내!$C$11+안내!$C$12,"시작 전 제작","")</f>
        <v/>
      </c>
      <c r="AB98" s="24" t="s">
        <v>9914</v>
      </c>
      <c r="AC98" s="24"/>
    </row>
    <row r="99" customFormat="false" ht="26.85" hidden="false" customHeight="false" outlineLevel="0" collapsed="false">
      <c r="A99" s="23" t="n">
        <v>98</v>
      </c>
      <c r="B99" s="31" t="s">
        <v>9915</v>
      </c>
      <c r="C99" s="23" t="s">
        <v>9873</v>
      </c>
      <c r="D99" s="23" t="s">
        <v>9318</v>
      </c>
      <c r="E99" s="23" t="s">
        <v>9276</v>
      </c>
      <c r="F99" s="23"/>
      <c r="G99" s="24" t="s">
        <v>9916</v>
      </c>
      <c r="H99" s="24" t="s">
        <v>9917</v>
      </c>
      <c r="I99" s="23" t="s">
        <v>9918</v>
      </c>
      <c r="J99" s="24" t="s">
        <v>9919</v>
      </c>
      <c r="K99" s="24" t="s">
        <v>9333</v>
      </c>
      <c r="L99" s="24" t="s">
        <v>9920</v>
      </c>
      <c r="M99" s="25" t="s">
        <v>9921</v>
      </c>
      <c r="N99" s="23" t="str">
        <f aca="false">"시편 #"&amp;TEXT(A99,"000")</f>
        <v>시편 #098</v>
      </c>
      <c r="O99" s="31" t="s">
        <v>9875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174</v>
      </c>
      <c r="U99" s="23" t="s">
        <v>174</v>
      </c>
      <c r="V99" s="23" t="s">
        <v>174</v>
      </c>
      <c r="W99" s="23" t="s">
        <v>174</v>
      </c>
      <c r="X99" s="24"/>
      <c r="Y99" s="23" t="str">
        <f aca="false">"시편|"&amp;TEXT(Q99,"yyyy-mm-dd")</f>
        <v>시편|2027-08-19</v>
      </c>
      <c r="Z99" s="26" t="n">
        <f aca="false">Q99-안내!$C$12</f>
        <v>46590</v>
      </c>
      <c r="AA99" s="23" t="str">
        <f aca="false">IF(Q99&lt;안내!$C$11+안내!$C$12,"시작 전 제작","")</f>
        <v/>
      </c>
      <c r="AB99" s="24" t="s">
        <v>9922</v>
      </c>
      <c r="AC99" s="24"/>
    </row>
    <row r="100" customFormat="false" ht="26.85" hidden="false" customHeight="false" outlineLevel="0" collapsed="false">
      <c r="A100" s="23" t="n">
        <v>99</v>
      </c>
      <c r="B100" s="31" t="s">
        <v>9923</v>
      </c>
      <c r="C100" s="23" t="s">
        <v>9873</v>
      </c>
      <c r="D100" s="23" t="s">
        <v>9318</v>
      </c>
      <c r="E100" s="23" t="s">
        <v>9276</v>
      </c>
      <c r="F100" s="23"/>
      <c r="G100" s="24" t="s">
        <v>9924</v>
      </c>
      <c r="H100" s="24" t="s">
        <v>9925</v>
      </c>
      <c r="I100" s="23" t="s">
        <v>9926</v>
      </c>
      <c r="J100" s="24" t="s">
        <v>9927</v>
      </c>
      <c r="K100" s="24" t="s">
        <v>9333</v>
      </c>
      <c r="L100" s="24" t="s">
        <v>4262</v>
      </c>
      <c r="M100" s="24"/>
      <c r="N100" s="23" t="str">
        <f aca="false">"시편 #"&amp;TEXT(A100,"000")</f>
        <v>시편 #099</v>
      </c>
      <c r="O100" s="31" t="s">
        <v>9928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174</v>
      </c>
      <c r="U100" s="23" t="s">
        <v>174</v>
      </c>
      <c r="V100" s="23" t="s">
        <v>174</v>
      </c>
      <c r="W100" s="23" t="s">
        <v>174</v>
      </c>
      <c r="X100" s="24"/>
      <c r="Y100" s="23" t="str">
        <f aca="false">"시편|"&amp;TEXT(Q100,"yyyy-mm-dd")</f>
        <v>시편|2027-08-22</v>
      </c>
      <c r="Z100" s="26" t="n">
        <f aca="false">Q100-안내!$C$12</f>
        <v>46593</v>
      </c>
      <c r="AA100" s="23" t="str">
        <f aca="false">IF(Q100&lt;안내!$C$11+안내!$C$12,"시작 전 제작","")</f>
        <v/>
      </c>
      <c r="AB100" s="24" t="s">
        <v>9929</v>
      </c>
      <c r="AC100" s="24"/>
    </row>
    <row r="101" customFormat="false" ht="36.55" hidden="false" customHeight="false" outlineLevel="0" collapsed="false">
      <c r="A101" s="23" t="n">
        <v>100</v>
      </c>
      <c r="B101" s="31" t="s">
        <v>9930</v>
      </c>
      <c r="C101" s="23" t="s">
        <v>9873</v>
      </c>
      <c r="D101" s="23" t="s">
        <v>9321</v>
      </c>
      <c r="E101" s="20" t="s">
        <v>9268</v>
      </c>
      <c r="F101" s="19" t="s">
        <v>9931</v>
      </c>
      <c r="G101" s="24" t="s">
        <v>4224</v>
      </c>
      <c r="H101" s="24" t="s">
        <v>4225</v>
      </c>
      <c r="I101" s="23" t="s">
        <v>4226</v>
      </c>
      <c r="J101" s="24" t="s">
        <v>4227</v>
      </c>
      <c r="K101" s="24"/>
      <c r="L101" s="24" t="s">
        <v>4228</v>
      </c>
      <c r="M101" s="24"/>
      <c r="N101" s="23" t="str">
        <f aca="false">"시편 #"&amp;TEXT(A101,"000")</f>
        <v>시편 #100</v>
      </c>
      <c r="O101" s="31" t="s">
        <v>9928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174</v>
      </c>
      <c r="U101" s="23" t="s">
        <v>174</v>
      </c>
      <c r="V101" s="23" t="s">
        <v>174</v>
      </c>
      <c r="W101" s="23" t="s">
        <v>174</v>
      </c>
      <c r="X101" s="24"/>
      <c r="Y101" s="23" t="str">
        <f aca="false">"시편|"&amp;TEXT(Q101,"yyyy-mm-dd")</f>
        <v>시편|2027-08-24</v>
      </c>
      <c r="Z101" s="26" t="n">
        <f aca="false">Q101-안내!$C$12</f>
        <v>46595</v>
      </c>
      <c r="AA101" s="23" t="str">
        <f aca="false">IF(Q101&lt;안내!$C$11+안내!$C$12,"시작 전 제작","")</f>
        <v/>
      </c>
      <c r="AB101" s="24" t="s">
        <v>4229</v>
      </c>
      <c r="AC101" s="24"/>
    </row>
    <row r="102" customFormat="false" ht="26.85" hidden="false" customHeight="false" outlineLevel="0" collapsed="false">
      <c r="A102" s="23" t="n">
        <v>101</v>
      </c>
      <c r="B102" s="31" t="s">
        <v>9932</v>
      </c>
      <c r="C102" s="23" t="s">
        <v>9873</v>
      </c>
      <c r="D102" s="23" t="s">
        <v>9267</v>
      </c>
      <c r="E102" s="23" t="s">
        <v>9276</v>
      </c>
      <c r="F102" s="23"/>
      <c r="G102" s="24" t="s">
        <v>9933</v>
      </c>
      <c r="H102" s="24" t="s">
        <v>9934</v>
      </c>
      <c r="I102" s="23" t="s">
        <v>9935</v>
      </c>
      <c r="J102" s="24" t="s">
        <v>9936</v>
      </c>
      <c r="K102" s="24" t="s">
        <v>2608</v>
      </c>
      <c r="L102" s="24" t="s">
        <v>9937</v>
      </c>
      <c r="M102" s="24"/>
      <c r="N102" s="23" t="str">
        <f aca="false">"시편 #"&amp;TEXT(A102,"000")</f>
        <v>시편 #101</v>
      </c>
      <c r="O102" s="31" t="s">
        <v>9928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174</v>
      </c>
      <c r="U102" s="23" t="s">
        <v>174</v>
      </c>
      <c r="V102" s="23" t="s">
        <v>174</v>
      </c>
      <c r="W102" s="23" t="s">
        <v>174</v>
      </c>
      <c r="X102" s="24"/>
      <c r="Y102" s="23" t="str">
        <f aca="false">"시편|"&amp;TEXT(Q102,"yyyy-mm-dd")</f>
        <v>시편|2027-08-26</v>
      </c>
      <c r="Z102" s="26" t="n">
        <f aca="false">Q102-안내!$C$12</f>
        <v>46597</v>
      </c>
      <c r="AA102" s="23" t="str">
        <f aca="false">IF(Q102&lt;안내!$C$11+안내!$C$12,"시작 전 제작","")</f>
        <v/>
      </c>
      <c r="AB102" s="24" t="s">
        <v>9938</v>
      </c>
      <c r="AC102" s="24"/>
    </row>
    <row r="103" customFormat="false" ht="26.85" hidden="false" customHeight="false" outlineLevel="0" collapsed="false">
      <c r="A103" s="23" t="n">
        <v>102</v>
      </c>
      <c r="B103" s="31" t="s">
        <v>9939</v>
      </c>
      <c r="C103" s="23" t="s">
        <v>9873</v>
      </c>
      <c r="D103" s="23" t="s">
        <v>9275</v>
      </c>
      <c r="E103" s="23" t="s">
        <v>9276</v>
      </c>
      <c r="F103" s="23"/>
      <c r="G103" s="24" t="s">
        <v>9940</v>
      </c>
      <c r="H103" s="24" t="s">
        <v>9941</v>
      </c>
      <c r="I103" s="23" t="s">
        <v>9942</v>
      </c>
      <c r="J103" s="24" t="s">
        <v>9943</v>
      </c>
      <c r="K103" s="24" t="s">
        <v>9944</v>
      </c>
      <c r="L103" s="24" t="s">
        <v>9945</v>
      </c>
      <c r="M103" s="25" t="s">
        <v>9946</v>
      </c>
      <c r="N103" s="23" t="str">
        <f aca="false">"시편 #"&amp;TEXT(A103,"000")</f>
        <v>시편 #102</v>
      </c>
      <c r="O103" s="31" t="s">
        <v>9928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174</v>
      </c>
      <c r="U103" s="23" t="s">
        <v>174</v>
      </c>
      <c r="V103" s="23" t="s">
        <v>174</v>
      </c>
      <c r="W103" s="23" t="s">
        <v>174</v>
      </c>
      <c r="X103" s="24"/>
      <c r="Y103" s="23" t="str">
        <f aca="false">"시편|"&amp;TEXT(Q103,"yyyy-mm-dd")</f>
        <v>시편|2027-08-29</v>
      </c>
      <c r="Z103" s="26" t="n">
        <f aca="false">Q103-안내!$C$12</f>
        <v>46600</v>
      </c>
      <c r="AA103" s="23" t="str">
        <f aca="false">IF(Q103&lt;안내!$C$11+안내!$C$12,"시작 전 제작","")</f>
        <v/>
      </c>
      <c r="AB103" s="24" t="s">
        <v>9947</v>
      </c>
      <c r="AC103" s="24"/>
    </row>
    <row r="104" customFormat="false" ht="36.55" hidden="false" customHeight="false" outlineLevel="0" collapsed="false">
      <c r="A104" s="23" t="n">
        <v>103</v>
      </c>
      <c r="B104" s="31" t="s">
        <v>9948</v>
      </c>
      <c r="C104" s="23" t="s">
        <v>9873</v>
      </c>
      <c r="D104" s="23" t="s">
        <v>9318</v>
      </c>
      <c r="E104" s="20" t="s">
        <v>9268</v>
      </c>
      <c r="F104" s="19" t="s">
        <v>9949</v>
      </c>
      <c r="G104" s="24" t="s">
        <v>4232</v>
      </c>
      <c r="H104" s="24" t="s">
        <v>4233</v>
      </c>
      <c r="I104" s="23" t="s">
        <v>4234</v>
      </c>
      <c r="J104" s="24" t="s">
        <v>4235</v>
      </c>
      <c r="K104" s="24"/>
      <c r="L104" s="24"/>
      <c r="M104" s="24"/>
      <c r="N104" s="23" t="str">
        <f aca="false">"시편 #"&amp;TEXT(A104,"000")</f>
        <v>시편 #103</v>
      </c>
      <c r="O104" s="31" t="s">
        <v>9928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174</v>
      </c>
      <c r="U104" s="23" t="s">
        <v>174</v>
      </c>
      <c r="V104" s="23" t="s">
        <v>174</v>
      </c>
      <c r="W104" s="23" t="s">
        <v>174</v>
      </c>
      <c r="X104" s="24"/>
      <c r="Y104" s="23" t="str">
        <f aca="false">"시편|"&amp;TEXT(Q104,"yyyy-mm-dd")</f>
        <v>시편|2027-08-31</v>
      </c>
      <c r="Z104" s="26" t="n">
        <f aca="false">Q104-안내!$C$12</f>
        <v>46602</v>
      </c>
      <c r="AA104" s="23" t="str">
        <f aca="false">IF(Q104&lt;안내!$C$11+안내!$C$12,"시작 전 제작","")</f>
        <v/>
      </c>
      <c r="AB104" s="24" t="s">
        <v>4236</v>
      </c>
      <c r="AC104" s="24"/>
    </row>
    <row r="105" customFormat="false" ht="36.55" hidden="false" customHeight="false" outlineLevel="0" collapsed="false">
      <c r="A105" s="23" t="n">
        <v>104</v>
      </c>
      <c r="B105" s="31" t="s">
        <v>9950</v>
      </c>
      <c r="C105" s="23" t="s">
        <v>9873</v>
      </c>
      <c r="D105" s="23" t="s">
        <v>9318</v>
      </c>
      <c r="E105" s="20" t="s">
        <v>9268</v>
      </c>
      <c r="F105" s="19" t="s">
        <v>9951</v>
      </c>
      <c r="G105" s="24" t="s">
        <v>4239</v>
      </c>
      <c r="H105" s="24" t="s">
        <v>4240</v>
      </c>
      <c r="I105" s="23" t="s">
        <v>4241</v>
      </c>
      <c r="J105" s="24" t="s">
        <v>4242</v>
      </c>
      <c r="K105" s="24"/>
      <c r="L105" s="24" t="s">
        <v>4244</v>
      </c>
      <c r="M105" s="24"/>
      <c r="N105" s="23" t="str">
        <f aca="false">"시편 #"&amp;TEXT(A105,"000")</f>
        <v>시편 #104</v>
      </c>
      <c r="O105" s="31" t="s">
        <v>9928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174</v>
      </c>
      <c r="U105" s="23" t="s">
        <v>174</v>
      </c>
      <c r="V105" s="23" t="s">
        <v>174</v>
      </c>
      <c r="W105" s="23" t="s">
        <v>174</v>
      </c>
      <c r="X105" s="24"/>
      <c r="Y105" s="23" t="str">
        <f aca="false">"시편|"&amp;TEXT(Q105,"yyyy-mm-dd")</f>
        <v>시편|2027-09-02</v>
      </c>
      <c r="Z105" s="26" t="n">
        <f aca="false">Q105-안내!$C$12</f>
        <v>46604</v>
      </c>
      <c r="AA105" s="23" t="str">
        <f aca="false">IF(Q105&lt;안내!$C$11+안내!$C$12,"시작 전 제작","")</f>
        <v/>
      </c>
      <c r="AB105" s="24" t="s">
        <v>4245</v>
      </c>
      <c r="AC105" s="24"/>
    </row>
    <row r="106" customFormat="false" ht="26.85" hidden="false" customHeight="false" outlineLevel="0" collapsed="false">
      <c r="A106" s="23" t="n">
        <v>105</v>
      </c>
      <c r="B106" s="31" t="s">
        <v>9952</v>
      </c>
      <c r="C106" s="23" t="s">
        <v>9873</v>
      </c>
      <c r="D106" s="23" t="s">
        <v>9792</v>
      </c>
      <c r="E106" s="23" t="s">
        <v>9276</v>
      </c>
      <c r="F106" s="23"/>
      <c r="G106" s="24" t="s">
        <v>9953</v>
      </c>
      <c r="H106" s="24" t="s">
        <v>9954</v>
      </c>
      <c r="I106" s="23" t="s">
        <v>9955</v>
      </c>
      <c r="J106" s="24" t="s">
        <v>9956</v>
      </c>
      <c r="K106" s="24" t="s">
        <v>9333</v>
      </c>
      <c r="L106" s="24" t="s">
        <v>9957</v>
      </c>
      <c r="M106" s="24"/>
      <c r="N106" s="23" t="str">
        <f aca="false">"시편 #"&amp;TEXT(A106,"000")</f>
        <v>시편 #105</v>
      </c>
      <c r="O106" s="31" t="s">
        <v>9928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174</v>
      </c>
      <c r="U106" s="23" t="s">
        <v>174</v>
      </c>
      <c r="V106" s="23" t="s">
        <v>174</v>
      </c>
      <c r="W106" s="23" t="s">
        <v>174</v>
      </c>
      <c r="X106" s="24"/>
      <c r="Y106" s="23" t="str">
        <f aca="false">"시편|"&amp;TEXT(Q106,"yyyy-mm-dd")</f>
        <v>시편|2027-09-05</v>
      </c>
      <c r="Z106" s="26" t="n">
        <f aca="false">Q106-안내!$C$12</f>
        <v>46607</v>
      </c>
      <c r="AA106" s="23" t="str">
        <f aca="false">IF(Q106&lt;안내!$C$11+안내!$C$12,"시작 전 제작","")</f>
        <v/>
      </c>
      <c r="AB106" s="24" t="s">
        <v>9958</v>
      </c>
      <c r="AC106" s="24"/>
    </row>
    <row r="107" customFormat="false" ht="36.55" hidden="false" customHeight="false" outlineLevel="0" collapsed="false">
      <c r="A107" s="23" t="n">
        <v>106</v>
      </c>
      <c r="B107" s="31" t="s">
        <v>9959</v>
      </c>
      <c r="C107" s="23" t="s">
        <v>9873</v>
      </c>
      <c r="D107" s="23" t="s">
        <v>9792</v>
      </c>
      <c r="E107" s="20" t="s">
        <v>9268</v>
      </c>
      <c r="F107" s="19" t="s">
        <v>9960</v>
      </c>
      <c r="G107" s="24" t="s">
        <v>4248</v>
      </c>
      <c r="H107" s="24" t="s">
        <v>4249</v>
      </c>
      <c r="I107" s="23" t="s">
        <v>4250</v>
      </c>
      <c r="J107" s="24" t="s">
        <v>4251</v>
      </c>
      <c r="K107" s="24"/>
      <c r="L107" s="24" t="s">
        <v>4252</v>
      </c>
      <c r="M107" s="24"/>
      <c r="N107" s="23" t="str">
        <f aca="false">"시편 #"&amp;TEXT(A107,"000")</f>
        <v>시편 #106</v>
      </c>
      <c r="O107" s="31" t="s">
        <v>9928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174</v>
      </c>
      <c r="U107" s="23" t="s">
        <v>174</v>
      </c>
      <c r="V107" s="23" t="s">
        <v>174</v>
      </c>
      <c r="W107" s="23" t="s">
        <v>174</v>
      </c>
      <c r="X107" s="24"/>
      <c r="Y107" s="23" t="str">
        <f aca="false">"시편|"&amp;TEXT(Q107,"yyyy-mm-dd")</f>
        <v>시편|2027-09-07</v>
      </c>
      <c r="Z107" s="26" t="n">
        <f aca="false">Q107-안내!$C$12</f>
        <v>46609</v>
      </c>
      <c r="AA107" s="23" t="str">
        <f aca="false">IF(Q107&lt;안내!$C$11+안내!$C$12,"시작 전 제작","")</f>
        <v/>
      </c>
      <c r="AB107" s="24" t="s">
        <v>4253</v>
      </c>
      <c r="AC107" s="24"/>
    </row>
    <row r="108" customFormat="false" ht="26.85" hidden="false" customHeight="false" outlineLevel="0" collapsed="false">
      <c r="A108" s="23" t="n">
        <v>107</v>
      </c>
      <c r="B108" s="31" t="s">
        <v>9961</v>
      </c>
      <c r="C108" s="23" t="s">
        <v>9962</v>
      </c>
      <c r="D108" s="23" t="s">
        <v>9321</v>
      </c>
      <c r="E108" s="23" t="s">
        <v>9276</v>
      </c>
      <c r="F108" s="23"/>
      <c r="G108" s="24" t="s">
        <v>9963</v>
      </c>
      <c r="H108" s="24" t="s">
        <v>9964</v>
      </c>
      <c r="I108" s="23" t="s">
        <v>9965</v>
      </c>
      <c r="J108" s="24" t="s">
        <v>9966</v>
      </c>
      <c r="K108" s="24" t="s">
        <v>9333</v>
      </c>
      <c r="L108" s="24" t="s">
        <v>9967</v>
      </c>
      <c r="M108" s="24"/>
      <c r="N108" s="23" t="str">
        <f aca="false">"시편 #"&amp;TEXT(A108,"000")</f>
        <v>시편 #107</v>
      </c>
      <c r="O108" s="31" t="s">
        <v>9968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174</v>
      </c>
      <c r="U108" s="23" t="s">
        <v>174</v>
      </c>
      <c r="V108" s="23" t="s">
        <v>174</v>
      </c>
      <c r="W108" s="23" t="s">
        <v>174</v>
      </c>
      <c r="X108" s="24"/>
      <c r="Y108" s="23" t="str">
        <f aca="false">"시편|"&amp;TEXT(Q108,"yyyy-mm-dd")</f>
        <v>시편|2027-09-09</v>
      </c>
      <c r="Z108" s="26" t="n">
        <f aca="false">Q108-안내!$C$12</f>
        <v>46611</v>
      </c>
      <c r="AA108" s="23" t="str">
        <f aca="false">IF(Q108&lt;안내!$C$11+안내!$C$12,"시작 전 제작","")</f>
        <v/>
      </c>
      <c r="AB108" s="24" t="s">
        <v>3522</v>
      </c>
      <c r="AC108" s="24"/>
    </row>
    <row r="109" customFormat="false" ht="26.85" hidden="false" customHeight="false" outlineLevel="0" collapsed="false">
      <c r="A109" s="23" t="n">
        <v>108</v>
      </c>
      <c r="B109" s="31" t="s">
        <v>9969</v>
      </c>
      <c r="C109" s="23" t="s">
        <v>9962</v>
      </c>
      <c r="D109" s="23" t="s">
        <v>9318</v>
      </c>
      <c r="E109" s="23" t="s">
        <v>9276</v>
      </c>
      <c r="F109" s="23"/>
      <c r="G109" s="24" t="s">
        <v>9970</v>
      </c>
      <c r="H109" s="24" t="s">
        <v>9971</v>
      </c>
      <c r="I109" s="23" t="s">
        <v>9972</v>
      </c>
      <c r="J109" s="24" t="s">
        <v>9973</v>
      </c>
      <c r="K109" s="24" t="s">
        <v>2608</v>
      </c>
      <c r="L109" s="24" t="s">
        <v>9974</v>
      </c>
      <c r="M109" s="24"/>
      <c r="N109" s="23" t="str">
        <f aca="false">"시편 #"&amp;TEXT(A109,"000")</f>
        <v>시편 #108</v>
      </c>
      <c r="O109" s="31" t="s">
        <v>9968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174</v>
      </c>
      <c r="U109" s="23" t="s">
        <v>174</v>
      </c>
      <c r="V109" s="23" t="s">
        <v>174</v>
      </c>
      <c r="W109" s="23" t="s">
        <v>174</v>
      </c>
      <c r="X109" s="24"/>
      <c r="Y109" s="23" t="str">
        <f aca="false">"시편|"&amp;TEXT(Q109,"yyyy-mm-dd")</f>
        <v>시편|2027-09-12</v>
      </c>
      <c r="Z109" s="26" t="n">
        <f aca="false">Q109-안내!$C$12</f>
        <v>46614</v>
      </c>
      <c r="AA109" s="23" t="str">
        <f aca="false">IF(Q109&lt;안내!$C$11+안내!$C$12,"시작 전 제작","")</f>
        <v/>
      </c>
      <c r="AB109" s="24" t="s">
        <v>9975</v>
      </c>
      <c r="AC109" s="24"/>
    </row>
    <row r="110" customFormat="false" ht="26.85" hidden="false" customHeight="false" outlineLevel="0" collapsed="false">
      <c r="A110" s="23" t="n">
        <v>109</v>
      </c>
      <c r="B110" s="31" t="s">
        <v>9976</v>
      </c>
      <c r="C110" s="23" t="s">
        <v>9962</v>
      </c>
      <c r="D110" s="23" t="s">
        <v>9275</v>
      </c>
      <c r="E110" s="23" t="s">
        <v>9276</v>
      </c>
      <c r="F110" s="23"/>
      <c r="G110" s="24" t="s">
        <v>9977</v>
      </c>
      <c r="H110" s="24" t="s">
        <v>9978</v>
      </c>
      <c r="I110" s="23" t="s">
        <v>9979</v>
      </c>
      <c r="J110" s="24" t="s">
        <v>9980</v>
      </c>
      <c r="K110" s="24" t="s">
        <v>2608</v>
      </c>
      <c r="L110" s="24" t="s">
        <v>9981</v>
      </c>
      <c r="M110" s="25" t="s">
        <v>9982</v>
      </c>
      <c r="N110" s="23" t="str">
        <f aca="false">"시편 #"&amp;TEXT(A110,"000")</f>
        <v>시편 #109</v>
      </c>
      <c r="O110" s="31" t="s">
        <v>9968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174</v>
      </c>
      <c r="U110" s="23" t="s">
        <v>174</v>
      </c>
      <c r="V110" s="23" t="s">
        <v>174</v>
      </c>
      <c r="W110" s="23" t="s">
        <v>174</v>
      </c>
      <c r="X110" s="24"/>
      <c r="Y110" s="23" t="str">
        <f aca="false">"시편|"&amp;TEXT(Q110,"yyyy-mm-dd")</f>
        <v>시편|2027-09-14</v>
      </c>
      <c r="Z110" s="26" t="n">
        <f aca="false">Q110-안내!$C$12</f>
        <v>46616</v>
      </c>
      <c r="AA110" s="23" t="str">
        <f aca="false">IF(Q110&lt;안내!$C$11+안내!$C$12,"시작 전 제작","")</f>
        <v/>
      </c>
      <c r="AB110" s="24" t="s">
        <v>9983</v>
      </c>
      <c r="AC110" s="24"/>
    </row>
    <row r="111" customFormat="false" ht="36.55" hidden="false" customHeight="false" outlineLevel="0" collapsed="false">
      <c r="A111" s="23" t="n">
        <v>110</v>
      </c>
      <c r="B111" s="31" t="s">
        <v>9984</v>
      </c>
      <c r="C111" s="23" t="s">
        <v>9962</v>
      </c>
      <c r="D111" s="23" t="s">
        <v>9272</v>
      </c>
      <c r="E111" s="20" t="s">
        <v>9268</v>
      </c>
      <c r="F111" s="19" t="s">
        <v>9985</v>
      </c>
      <c r="G111" s="24" t="s">
        <v>4257</v>
      </c>
      <c r="H111" s="24" t="s">
        <v>4258</v>
      </c>
      <c r="I111" s="23" t="s">
        <v>4259</v>
      </c>
      <c r="J111" s="24" t="s">
        <v>4260</v>
      </c>
      <c r="K111" s="24"/>
      <c r="L111" s="24" t="s">
        <v>4262</v>
      </c>
      <c r="M111" s="25" t="s">
        <v>4263</v>
      </c>
      <c r="N111" s="23" t="str">
        <f aca="false">"시편 #"&amp;TEXT(A111,"000")</f>
        <v>시편 #110</v>
      </c>
      <c r="O111" s="31" t="s">
        <v>9968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174</v>
      </c>
      <c r="U111" s="23" t="s">
        <v>174</v>
      </c>
      <c r="V111" s="23" t="s">
        <v>174</v>
      </c>
      <c r="W111" s="23" t="s">
        <v>174</v>
      </c>
      <c r="X111" s="24"/>
      <c r="Y111" s="23" t="str">
        <f aca="false">"시편|"&amp;TEXT(Q111,"yyyy-mm-dd")</f>
        <v>시편|2027-09-16</v>
      </c>
      <c r="Z111" s="26" t="n">
        <f aca="false">Q111-안내!$C$12</f>
        <v>46618</v>
      </c>
      <c r="AA111" s="23" t="str">
        <f aca="false">IF(Q111&lt;안내!$C$11+안내!$C$12,"시작 전 제작","")</f>
        <v/>
      </c>
      <c r="AB111" s="24" t="s">
        <v>4264</v>
      </c>
      <c r="AC111" s="24" t="s">
        <v>4265</v>
      </c>
    </row>
    <row r="112" customFormat="false" ht="26.85" hidden="false" customHeight="false" outlineLevel="0" collapsed="false">
      <c r="A112" s="23" t="n">
        <v>111</v>
      </c>
      <c r="B112" s="31" t="s">
        <v>9986</v>
      </c>
      <c r="C112" s="23" t="s">
        <v>9962</v>
      </c>
      <c r="D112" s="23" t="s">
        <v>9318</v>
      </c>
      <c r="E112" s="23" t="s">
        <v>9276</v>
      </c>
      <c r="F112" s="23"/>
      <c r="G112" s="24" t="s">
        <v>9987</v>
      </c>
      <c r="H112" s="24" t="s">
        <v>9988</v>
      </c>
      <c r="I112" s="23" t="s">
        <v>9989</v>
      </c>
      <c r="J112" s="24" t="s">
        <v>9990</v>
      </c>
      <c r="K112" s="24" t="s">
        <v>9991</v>
      </c>
      <c r="L112" s="24" t="s">
        <v>9992</v>
      </c>
      <c r="M112" s="24"/>
      <c r="N112" s="23" t="str">
        <f aca="false">"시편 #"&amp;TEXT(A112,"000")</f>
        <v>시편 #111</v>
      </c>
      <c r="O112" s="31" t="s">
        <v>9968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174</v>
      </c>
      <c r="U112" s="23" t="s">
        <v>174</v>
      </c>
      <c r="V112" s="23" t="s">
        <v>174</v>
      </c>
      <c r="W112" s="23" t="s">
        <v>174</v>
      </c>
      <c r="X112" s="24"/>
      <c r="Y112" s="23" t="str">
        <f aca="false">"시편|"&amp;TEXT(Q112,"yyyy-mm-dd")</f>
        <v>시편|2027-09-19</v>
      </c>
      <c r="Z112" s="26" t="n">
        <f aca="false">Q112-안내!$C$12</f>
        <v>46621</v>
      </c>
      <c r="AA112" s="23" t="str">
        <f aca="false">IF(Q112&lt;안내!$C$11+안내!$C$12,"시작 전 제작","")</f>
        <v/>
      </c>
      <c r="AB112" s="24" t="s">
        <v>9993</v>
      </c>
      <c r="AC112" s="24" t="s">
        <v>292</v>
      </c>
    </row>
    <row r="113" customFormat="false" ht="26.85" hidden="false" customHeight="false" outlineLevel="0" collapsed="false">
      <c r="A113" s="23" t="n">
        <v>112</v>
      </c>
      <c r="B113" s="31" t="s">
        <v>9994</v>
      </c>
      <c r="C113" s="23" t="s">
        <v>9962</v>
      </c>
      <c r="D113" s="23" t="s">
        <v>9267</v>
      </c>
      <c r="E113" s="23" t="s">
        <v>9276</v>
      </c>
      <c r="F113" s="23"/>
      <c r="G113" s="24" t="s">
        <v>9995</v>
      </c>
      <c r="H113" s="24" t="s">
        <v>9996</v>
      </c>
      <c r="I113" s="23" t="s">
        <v>9997</v>
      </c>
      <c r="J113" s="24" t="s">
        <v>9998</v>
      </c>
      <c r="K113" s="24" t="s">
        <v>9991</v>
      </c>
      <c r="L113" s="24" t="s">
        <v>9999</v>
      </c>
      <c r="M113" s="25" t="s">
        <v>1605</v>
      </c>
      <c r="N113" s="23" t="str">
        <f aca="false">"시편 #"&amp;TEXT(A113,"000")</f>
        <v>시편 #112</v>
      </c>
      <c r="O113" s="31" t="s">
        <v>9968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174</v>
      </c>
      <c r="U113" s="23" t="s">
        <v>174</v>
      </c>
      <c r="V113" s="23" t="s">
        <v>174</v>
      </c>
      <c r="W113" s="23" t="s">
        <v>174</v>
      </c>
      <c r="X113" s="24"/>
      <c r="Y113" s="23" t="str">
        <f aca="false">"시편|"&amp;TEXT(Q113,"yyyy-mm-dd")</f>
        <v>시편|2027-09-21</v>
      </c>
      <c r="Z113" s="26" t="n">
        <f aca="false">Q113-안내!$C$12</f>
        <v>46623</v>
      </c>
      <c r="AA113" s="23" t="str">
        <f aca="false">IF(Q113&lt;안내!$C$11+안내!$C$12,"시작 전 제작","")</f>
        <v/>
      </c>
      <c r="AB113" s="24" t="s">
        <v>10000</v>
      </c>
      <c r="AC113" s="24"/>
    </row>
    <row r="114" customFormat="false" ht="26.85" hidden="false" customHeight="false" outlineLevel="0" collapsed="false">
      <c r="A114" s="23" t="n">
        <v>113</v>
      </c>
      <c r="B114" s="31" t="s">
        <v>10001</v>
      </c>
      <c r="C114" s="23" t="s">
        <v>9962</v>
      </c>
      <c r="D114" s="23" t="s">
        <v>9318</v>
      </c>
      <c r="E114" s="23" t="s">
        <v>9276</v>
      </c>
      <c r="F114" s="23"/>
      <c r="G114" s="24" t="s">
        <v>10002</v>
      </c>
      <c r="H114" s="24" t="s">
        <v>10003</v>
      </c>
      <c r="I114" s="23" t="s">
        <v>10004</v>
      </c>
      <c r="J114" s="24" t="s">
        <v>10005</v>
      </c>
      <c r="K114" s="24" t="s">
        <v>10006</v>
      </c>
      <c r="L114" s="24" t="s">
        <v>10007</v>
      </c>
      <c r="M114" s="24"/>
      <c r="N114" s="23" t="str">
        <f aca="false">"시편 #"&amp;TEXT(A114,"000")</f>
        <v>시편 #113</v>
      </c>
      <c r="O114" s="31" t="s">
        <v>9968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174</v>
      </c>
      <c r="U114" s="23" t="s">
        <v>174</v>
      </c>
      <c r="V114" s="23" t="s">
        <v>174</v>
      </c>
      <c r="W114" s="23" t="s">
        <v>174</v>
      </c>
      <c r="X114" s="24"/>
      <c r="Y114" s="23" t="str">
        <f aca="false">"시편|"&amp;TEXT(Q114,"yyyy-mm-dd")</f>
        <v>시편|2027-09-23</v>
      </c>
      <c r="Z114" s="26" t="n">
        <f aca="false">Q114-안내!$C$12</f>
        <v>46625</v>
      </c>
      <c r="AA114" s="23" t="str">
        <f aca="false">IF(Q114&lt;안내!$C$11+안내!$C$12,"시작 전 제작","")</f>
        <v/>
      </c>
      <c r="AB114" s="24" t="s">
        <v>10008</v>
      </c>
      <c r="AC114" s="24"/>
    </row>
    <row r="115" customFormat="false" ht="26.85" hidden="false" customHeight="false" outlineLevel="0" collapsed="false">
      <c r="A115" s="23" t="n">
        <v>114</v>
      </c>
      <c r="B115" s="31" t="s">
        <v>10009</v>
      </c>
      <c r="C115" s="23" t="s">
        <v>9962</v>
      </c>
      <c r="D115" s="23" t="s">
        <v>9318</v>
      </c>
      <c r="E115" s="23" t="s">
        <v>9276</v>
      </c>
      <c r="F115" s="23"/>
      <c r="G115" s="24" t="s">
        <v>10010</v>
      </c>
      <c r="H115" s="24" t="s">
        <v>10011</v>
      </c>
      <c r="I115" s="23" t="s">
        <v>10012</v>
      </c>
      <c r="J115" s="24" t="s">
        <v>10013</v>
      </c>
      <c r="K115" s="24" t="s">
        <v>10014</v>
      </c>
      <c r="L115" s="24" t="s">
        <v>10015</v>
      </c>
      <c r="M115" s="24"/>
      <c r="N115" s="23" t="str">
        <f aca="false">"시편 #"&amp;TEXT(A115,"000")</f>
        <v>시편 #114</v>
      </c>
      <c r="O115" s="31" t="s">
        <v>9968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174</v>
      </c>
      <c r="U115" s="23" t="s">
        <v>174</v>
      </c>
      <c r="V115" s="23" t="s">
        <v>174</v>
      </c>
      <c r="W115" s="23" t="s">
        <v>174</v>
      </c>
      <c r="X115" s="24"/>
      <c r="Y115" s="23" t="str">
        <f aca="false">"시편|"&amp;TEXT(Q115,"yyyy-mm-dd")</f>
        <v>시편|2027-09-26</v>
      </c>
      <c r="Z115" s="26" t="n">
        <f aca="false">Q115-안내!$C$12</f>
        <v>46628</v>
      </c>
      <c r="AA115" s="23" t="str">
        <f aca="false">IF(Q115&lt;안내!$C$11+안내!$C$12,"시작 전 제작","")</f>
        <v/>
      </c>
      <c r="AB115" s="24" t="s">
        <v>10016</v>
      </c>
      <c r="AC115" s="24"/>
    </row>
    <row r="116" customFormat="false" ht="26.85" hidden="false" customHeight="false" outlineLevel="0" collapsed="false">
      <c r="A116" s="23" t="n">
        <v>115</v>
      </c>
      <c r="B116" s="31" t="s">
        <v>10017</v>
      </c>
      <c r="C116" s="23" t="s">
        <v>9962</v>
      </c>
      <c r="D116" s="23" t="s">
        <v>9318</v>
      </c>
      <c r="E116" s="23" t="s">
        <v>9276</v>
      </c>
      <c r="F116" s="23"/>
      <c r="G116" s="24" t="s">
        <v>10018</v>
      </c>
      <c r="H116" s="24" t="s">
        <v>10019</v>
      </c>
      <c r="I116" s="23" t="s">
        <v>10020</v>
      </c>
      <c r="J116" s="24" t="s">
        <v>10021</v>
      </c>
      <c r="K116" s="24" t="s">
        <v>10014</v>
      </c>
      <c r="L116" s="24" t="s">
        <v>10022</v>
      </c>
      <c r="M116" s="24"/>
      <c r="N116" s="23" t="str">
        <f aca="false">"시편 #"&amp;TEXT(A116,"000")</f>
        <v>시편 #115</v>
      </c>
      <c r="O116" s="31" t="s">
        <v>9968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174</v>
      </c>
      <c r="U116" s="23" t="s">
        <v>174</v>
      </c>
      <c r="V116" s="23" t="s">
        <v>174</v>
      </c>
      <c r="W116" s="23" t="s">
        <v>174</v>
      </c>
      <c r="X116" s="24"/>
      <c r="Y116" s="23" t="str">
        <f aca="false">"시편|"&amp;TEXT(Q116,"yyyy-mm-dd")</f>
        <v>시편|2027-09-28</v>
      </c>
      <c r="Z116" s="26" t="n">
        <f aca="false">Q116-안내!$C$12</f>
        <v>46630</v>
      </c>
      <c r="AA116" s="23" t="str">
        <f aca="false">IF(Q116&lt;안내!$C$11+안내!$C$12,"시작 전 제작","")</f>
        <v/>
      </c>
      <c r="AB116" s="24" t="s">
        <v>10023</v>
      </c>
      <c r="AC116" s="24" t="s">
        <v>292</v>
      </c>
    </row>
    <row r="117" customFormat="false" ht="26.85" hidden="false" customHeight="false" outlineLevel="0" collapsed="false">
      <c r="A117" s="23" t="n">
        <v>116</v>
      </c>
      <c r="B117" s="31" t="s">
        <v>10024</v>
      </c>
      <c r="C117" s="23" t="s">
        <v>9962</v>
      </c>
      <c r="D117" s="23" t="s">
        <v>9321</v>
      </c>
      <c r="E117" s="23" t="s">
        <v>9276</v>
      </c>
      <c r="F117" s="23"/>
      <c r="G117" s="24" t="s">
        <v>10025</v>
      </c>
      <c r="H117" s="24" t="s">
        <v>10026</v>
      </c>
      <c r="I117" s="23" t="s">
        <v>10027</v>
      </c>
      <c r="J117" s="24" t="s">
        <v>10028</v>
      </c>
      <c r="K117" s="24" t="s">
        <v>10014</v>
      </c>
      <c r="L117" s="24" t="s">
        <v>10029</v>
      </c>
      <c r="M117" s="24"/>
      <c r="N117" s="23" t="str">
        <f aca="false">"시편 #"&amp;TEXT(A117,"000")</f>
        <v>시편 #116</v>
      </c>
      <c r="O117" s="31" t="s">
        <v>9968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174</v>
      </c>
      <c r="U117" s="23" t="s">
        <v>174</v>
      </c>
      <c r="V117" s="23" t="s">
        <v>174</v>
      </c>
      <c r="W117" s="23" t="s">
        <v>174</v>
      </c>
      <c r="X117" s="24"/>
      <c r="Y117" s="23" t="str">
        <f aca="false">"시편|"&amp;TEXT(Q117,"yyyy-mm-dd")</f>
        <v>시편|2027-09-30</v>
      </c>
      <c r="Z117" s="26" t="n">
        <f aca="false">Q117-안내!$C$12</f>
        <v>46632</v>
      </c>
      <c r="AA117" s="23" t="str">
        <f aca="false">IF(Q117&lt;안내!$C$11+안내!$C$12,"시작 전 제작","")</f>
        <v/>
      </c>
      <c r="AB117" s="24" t="s">
        <v>10030</v>
      </c>
      <c r="AC117" s="24"/>
    </row>
    <row r="118" customFormat="false" ht="26.85" hidden="false" customHeight="false" outlineLevel="0" collapsed="false">
      <c r="A118" s="23" t="n">
        <v>117</v>
      </c>
      <c r="B118" s="31" t="s">
        <v>10031</v>
      </c>
      <c r="C118" s="23" t="s">
        <v>9962</v>
      </c>
      <c r="D118" s="23" t="s">
        <v>9318</v>
      </c>
      <c r="E118" s="23" t="s">
        <v>9276</v>
      </c>
      <c r="F118" s="23"/>
      <c r="G118" s="24" t="s">
        <v>10032</v>
      </c>
      <c r="H118" s="24" t="s">
        <v>10033</v>
      </c>
      <c r="I118" s="23" t="s">
        <v>10034</v>
      </c>
      <c r="J118" s="24" t="s">
        <v>10035</v>
      </c>
      <c r="K118" s="24" t="s">
        <v>10014</v>
      </c>
      <c r="L118" s="24" t="s">
        <v>10036</v>
      </c>
      <c r="M118" s="24"/>
      <c r="N118" s="23" t="str">
        <f aca="false">"시편 #"&amp;TEXT(A118,"000")</f>
        <v>시편 #117</v>
      </c>
      <c r="O118" s="31" t="s">
        <v>9968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174</v>
      </c>
      <c r="U118" s="23" t="s">
        <v>174</v>
      </c>
      <c r="V118" s="23" t="s">
        <v>174</v>
      </c>
      <c r="W118" s="23" t="s">
        <v>174</v>
      </c>
      <c r="X118" s="24"/>
      <c r="Y118" s="23" t="str">
        <f aca="false">"시편|"&amp;TEXT(Q118,"yyyy-mm-dd")</f>
        <v>시편|2027-10-03</v>
      </c>
      <c r="Z118" s="26" t="n">
        <f aca="false">Q118-안내!$C$12</f>
        <v>46635</v>
      </c>
      <c r="AA118" s="23" t="str">
        <f aca="false">IF(Q118&lt;안내!$C$11+안내!$C$12,"시작 전 제작","")</f>
        <v/>
      </c>
      <c r="AB118" s="24" t="s">
        <v>10037</v>
      </c>
      <c r="AC118" s="24"/>
    </row>
    <row r="119" customFormat="false" ht="26.85" hidden="false" customHeight="false" outlineLevel="0" collapsed="false">
      <c r="A119" s="23" t="n">
        <v>118</v>
      </c>
      <c r="B119" s="31" t="s">
        <v>10038</v>
      </c>
      <c r="C119" s="23" t="s">
        <v>9962</v>
      </c>
      <c r="D119" s="23" t="s">
        <v>9321</v>
      </c>
      <c r="E119" s="23" t="s">
        <v>9276</v>
      </c>
      <c r="F119" s="23"/>
      <c r="G119" s="24" t="s">
        <v>5996</v>
      </c>
      <c r="H119" s="24" t="s">
        <v>10039</v>
      </c>
      <c r="I119" s="23" t="s">
        <v>10040</v>
      </c>
      <c r="J119" s="24" t="s">
        <v>10041</v>
      </c>
      <c r="K119" s="24" t="s">
        <v>10014</v>
      </c>
      <c r="L119" s="24" t="s">
        <v>10042</v>
      </c>
      <c r="M119" s="25" t="s">
        <v>10043</v>
      </c>
      <c r="N119" s="23" t="str">
        <f aca="false">"시편 #"&amp;TEXT(A119,"000")</f>
        <v>시편 #118</v>
      </c>
      <c r="O119" s="31" t="s">
        <v>9968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174</v>
      </c>
      <c r="U119" s="23" t="s">
        <v>174</v>
      </c>
      <c r="V119" s="23" t="s">
        <v>174</v>
      </c>
      <c r="W119" s="23" t="s">
        <v>174</v>
      </c>
      <c r="X119" s="24"/>
      <c r="Y119" s="23" t="str">
        <f aca="false">"시편|"&amp;TEXT(Q119,"yyyy-mm-dd")</f>
        <v>시편|2027-10-05</v>
      </c>
      <c r="Z119" s="26" t="n">
        <f aca="false">Q119-안내!$C$12</f>
        <v>46637</v>
      </c>
      <c r="AA119" s="23" t="str">
        <f aca="false">IF(Q119&lt;안내!$C$11+안내!$C$12,"시작 전 제작","")</f>
        <v/>
      </c>
      <c r="AB119" s="24" t="s">
        <v>10044</v>
      </c>
      <c r="AC119" s="24"/>
    </row>
    <row r="120" customFormat="false" ht="36.55" hidden="false" customHeight="false" outlineLevel="0" collapsed="false">
      <c r="A120" s="23" t="n">
        <v>119</v>
      </c>
      <c r="B120" s="31" t="s">
        <v>10045</v>
      </c>
      <c r="C120" s="23" t="s">
        <v>9962</v>
      </c>
      <c r="D120" s="23" t="s">
        <v>9267</v>
      </c>
      <c r="E120" s="20" t="s">
        <v>9268</v>
      </c>
      <c r="F120" s="19" t="s">
        <v>10046</v>
      </c>
      <c r="G120" s="24" t="s">
        <v>4268</v>
      </c>
      <c r="H120" s="24" t="s">
        <v>4269</v>
      </c>
      <c r="I120" s="23" t="s">
        <v>4270</v>
      </c>
      <c r="J120" s="24" t="s">
        <v>4271</v>
      </c>
      <c r="K120" s="24"/>
      <c r="L120" s="24" t="s">
        <v>4272</v>
      </c>
      <c r="M120" s="24"/>
      <c r="N120" s="23" t="str">
        <f aca="false">"시편 #"&amp;TEXT(A120,"000")</f>
        <v>시편 #119</v>
      </c>
      <c r="O120" s="31" t="s">
        <v>10047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174</v>
      </c>
      <c r="U120" s="23" t="s">
        <v>174</v>
      </c>
      <c r="V120" s="23" t="s">
        <v>174</v>
      </c>
      <c r="W120" s="23" t="s">
        <v>174</v>
      </c>
      <c r="X120" s="24"/>
      <c r="Y120" s="23" t="str">
        <f aca="false">"시편|"&amp;TEXT(Q120,"yyyy-mm-dd")</f>
        <v>시편|2027-10-07</v>
      </c>
      <c r="Z120" s="26" t="n">
        <f aca="false">Q120-안내!$C$12</f>
        <v>46639</v>
      </c>
      <c r="AA120" s="23" t="str">
        <f aca="false">IF(Q120&lt;안내!$C$11+안내!$C$12,"시작 전 제작","")</f>
        <v/>
      </c>
      <c r="AB120" s="24" t="s">
        <v>4275</v>
      </c>
      <c r="AC120" s="24"/>
    </row>
    <row r="121" customFormat="false" ht="26.85" hidden="false" customHeight="false" outlineLevel="0" collapsed="false">
      <c r="A121" s="23" t="n">
        <v>120</v>
      </c>
      <c r="B121" s="31" t="s">
        <v>10048</v>
      </c>
      <c r="C121" s="23" t="s">
        <v>9962</v>
      </c>
      <c r="D121" s="23" t="s">
        <v>10049</v>
      </c>
      <c r="E121" s="23" t="s">
        <v>9276</v>
      </c>
      <c r="F121" s="23"/>
      <c r="G121" s="24" t="s">
        <v>10050</v>
      </c>
      <c r="H121" s="24" t="s">
        <v>10051</v>
      </c>
      <c r="I121" s="23" t="s">
        <v>10052</v>
      </c>
      <c r="J121" s="24" t="s">
        <v>10053</v>
      </c>
      <c r="K121" s="24" t="s">
        <v>10054</v>
      </c>
      <c r="L121" s="24" t="s">
        <v>10055</v>
      </c>
      <c r="M121" s="24"/>
      <c r="N121" s="23" t="str">
        <f aca="false">"시편 #"&amp;TEXT(A121,"000")</f>
        <v>시편 #120</v>
      </c>
      <c r="O121" s="31" t="s">
        <v>10047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174</v>
      </c>
      <c r="U121" s="23" t="s">
        <v>174</v>
      </c>
      <c r="V121" s="23" t="s">
        <v>174</v>
      </c>
      <c r="W121" s="23" t="s">
        <v>174</v>
      </c>
      <c r="X121" s="24"/>
      <c r="Y121" s="23" t="str">
        <f aca="false">"시편|"&amp;TEXT(Q121,"yyyy-mm-dd")</f>
        <v>시편|2027-10-10</v>
      </c>
      <c r="Z121" s="26" t="n">
        <f aca="false">Q121-안내!$C$12</f>
        <v>46642</v>
      </c>
      <c r="AA121" s="23" t="str">
        <f aca="false">IF(Q121&lt;안내!$C$11+안내!$C$12,"시작 전 제작","")</f>
        <v/>
      </c>
      <c r="AB121" s="24" t="s">
        <v>10056</v>
      </c>
      <c r="AC121" s="24" t="s">
        <v>4081</v>
      </c>
    </row>
    <row r="122" customFormat="false" ht="36.55" hidden="false" customHeight="false" outlineLevel="0" collapsed="false">
      <c r="A122" s="23" t="n">
        <v>121</v>
      </c>
      <c r="B122" s="31" t="s">
        <v>10057</v>
      </c>
      <c r="C122" s="23" t="s">
        <v>9962</v>
      </c>
      <c r="D122" s="23" t="s">
        <v>10049</v>
      </c>
      <c r="E122" s="20" t="s">
        <v>9268</v>
      </c>
      <c r="F122" s="19" t="s">
        <v>10058</v>
      </c>
      <c r="G122" s="24" t="s">
        <v>4278</v>
      </c>
      <c r="H122" s="24" t="s">
        <v>4279</v>
      </c>
      <c r="I122" s="23" t="s">
        <v>4280</v>
      </c>
      <c r="J122" s="24" t="s">
        <v>4281</v>
      </c>
      <c r="K122" s="24"/>
      <c r="L122" s="24" t="s">
        <v>4283</v>
      </c>
      <c r="M122" s="24"/>
      <c r="N122" s="23" t="str">
        <f aca="false">"시편 #"&amp;TEXT(A122,"000")</f>
        <v>시편 #121</v>
      </c>
      <c r="O122" s="31" t="s">
        <v>10047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174</v>
      </c>
      <c r="U122" s="23" t="s">
        <v>174</v>
      </c>
      <c r="V122" s="23" t="s">
        <v>174</v>
      </c>
      <c r="W122" s="23" t="s">
        <v>174</v>
      </c>
      <c r="X122" s="24"/>
      <c r="Y122" s="23" t="str">
        <f aca="false">"시편|"&amp;TEXT(Q122,"yyyy-mm-dd")</f>
        <v>시편|2027-10-12</v>
      </c>
      <c r="Z122" s="26" t="n">
        <f aca="false">Q122-안내!$C$12</f>
        <v>46644</v>
      </c>
      <c r="AA122" s="23" t="str">
        <f aca="false">IF(Q122&lt;안내!$C$11+안내!$C$12,"시작 전 제작","")</f>
        <v/>
      </c>
      <c r="AB122" s="24" t="s">
        <v>4285</v>
      </c>
      <c r="AC122" s="24"/>
    </row>
    <row r="123" customFormat="false" ht="26.85" hidden="false" customHeight="false" outlineLevel="0" collapsed="false">
      <c r="A123" s="23" t="n">
        <v>122</v>
      </c>
      <c r="B123" s="31" t="s">
        <v>10059</v>
      </c>
      <c r="C123" s="23" t="s">
        <v>9962</v>
      </c>
      <c r="D123" s="23" t="s">
        <v>10049</v>
      </c>
      <c r="E123" s="23" t="s">
        <v>9276</v>
      </c>
      <c r="F123" s="23"/>
      <c r="G123" s="24" t="s">
        <v>10060</v>
      </c>
      <c r="H123" s="24" t="s">
        <v>10061</v>
      </c>
      <c r="I123" s="23" t="s">
        <v>10062</v>
      </c>
      <c r="J123" s="24" t="s">
        <v>10063</v>
      </c>
      <c r="K123" s="24" t="s">
        <v>10064</v>
      </c>
      <c r="L123" s="24" t="s">
        <v>5537</v>
      </c>
      <c r="M123" s="24"/>
      <c r="N123" s="23" t="str">
        <f aca="false">"시편 #"&amp;TEXT(A123,"000")</f>
        <v>시편 #122</v>
      </c>
      <c r="O123" s="31" t="s">
        <v>10047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174</v>
      </c>
      <c r="U123" s="23" t="s">
        <v>174</v>
      </c>
      <c r="V123" s="23" t="s">
        <v>174</v>
      </c>
      <c r="W123" s="23" t="s">
        <v>174</v>
      </c>
      <c r="X123" s="24"/>
      <c r="Y123" s="23" t="str">
        <f aca="false">"시편|"&amp;TEXT(Q123,"yyyy-mm-dd")</f>
        <v>시편|2027-10-14</v>
      </c>
      <c r="Z123" s="26" t="n">
        <f aca="false">Q123-안내!$C$12</f>
        <v>46646</v>
      </c>
      <c r="AA123" s="23" t="str">
        <f aca="false">IF(Q123&lt;안내!$C$11+안내!$C$12,"시작 전 제작","")</f>
        <v/>
      </c>
      <c r="AB123" s="24" t="s">
        <v>10065</v>
      </c>
      <c r="AC123" s="24" t="s">
        <v>4081</v>
      </c>
    </row>
    <row r="124" customFormat="false" ht="26.85" hidden="false" customHeight="false" outlineLevel="0" collapsed="false">
      <c r="A124" s="23" t="n">
        <v>123</v>
      </c>
      <c r="B124" s="31" t="s">
        <v>10066</v>
      </c>
      <c r="C124" s="23" t="s">
        <v>9962</v>
      </c>
      <c r="D124" s="23" t="s">
        <v>10049</v>
      </c>
      <c r="E124" s="23" t="s">
        <v>9276</v>
      </c>
      <c r="F124" s="23"/>
      <c r="G124" s="24" t="s">
        <v>10067</v>
      </c>
      <c r="H124" s="24" t="s">
        <v>10068</v>
      </c>
      <c r="I124" s="23" t="s">
        <v>10069</v>
      </c>
      <c r="J124" s="24" t="s">
        <v>10070</v>
      </c>
      <c r="K124" s="24" t="s">
        <v>10054</v>
      </c>
      <c r="L124" s="24" t="s">
        <v>10071</v>
      </c>
      <c r="M124" s="24"/>
      <c r="N124" s="23" t="str">
        <f aca="false">"시편 #"&amp;TEXT(A124,"000")</f>
        <v>시편 #123</v>
      </c>
      <c r="O124" s="31" t="s">
        <v>10047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174</v>
      </c>
      <c r="U124" s="23" t="s">
        <v>174</v>
      </c>
      <c r="V124" s="23" t="s">
        <v>174</v>
      </c>
      <c r="W124" s="23" t="s">
        <v>174</v>
      </c>
      <c r="X124" s="24"/>
      <c r="Y124" s="23" t="str">
        <f aca="false">"시편|"&amp;TEXT(Q124,"yyyy-mm-dd")</f>
        <v>시편|2027-10-17</v>
      </c>
      <c r="Z124" s="26" t="n">
        <f aca="false">Q124-안내!$C$12</f>
        <v>46649</v>
      </c>
      <c r="AA124" s="23" t="str">
        <f aca="false">IF(Q124&lt;안내!$C$11+안내!$C$12,"시작 전 제작","")</f>
        <v/>
      </c>
      <c r="AB124" s="24" t="s">
        <v>10072</v>
      </c>
      <c r="AC124" s="24" t="s">
        <v>4081</v>
      </c>
    </row>
    <row r="125" customFormat="false" ht="26.85" hidden="false" customHeight="false" outlineLevel="0" collapsed="false">
      <c r="A125" s="23" t="n">
        <v>124</v>
      </c>
      <c r="B125" s="31" t="s">
        <v>10073</v>
      </c>
      <c r="C125" s="23" t="s">
        <v>9962</v>
      </c>
      <c r="D125" s="23" t="s">
        <v>10049</v>
      </c>
      <c r="E125" s="23" t="s">
        <v>9276</v>
      </c>
      <c r="F125" s="23"/>
      <c r="G125" s="24" t="s">
        <v>10074</v>
      </c>
      <c r="H125" s="24" t="s">
        <v>10075</v>
      </c>
      <c r="I125" s="23" t="s">
        <v>10076</v>
      </c>
      <c r="J125" s="24" t="s">
        <v>10077</v>
      </c>
      <c r="K125" s="24" t="s">
        <v>10064</v>
      </c>
      <c r="L125" s="24" t="s">
        <v>10078</v>
      </c>
      <c r="M125" s="24"/>
      <c r="N125" s="23" t="str">
        <f aca="false">"시편 #"&amp;TEXT(A125,"000")</f>
        <v>시편 #124</v>
      </c>
      <c r="O125" s="31" t="s">
        <v>10047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174</v>
      </c>
      <c r="U125" s="23" t="s">
        <v>174</v>
      </c>
      <c r="V125" s="23" t="s">
        <v>174</v>
      </c>
      <c r="W125" s="23" t="s">
        <v>174</v>
      </c>
      <c r="X125" s="24"/>
      <c r="Y125" s="23" t="str">
        <f aca="false">"시편|"&amp;TEXT(Q125,"yyyy-mm-dd")</f>
        <v>시편|2027-10-19</v>
      </c>
      <c r="Z125" s="26" t="n">
        <f aca="false">Q125-안내!$C$12</f>
        <v>46651</v>
      </c>
      <c r="AA125" s="23" t="str">
        <f aca="false">IF(Q125&lt;안내!$C$11+안내!$C$12,"시작 전 제작","")</f>
        <v/>
      </c>
      <c r="AB125" s="24" t="s">
        <v>10079</v>
      </c>
      <c r="AC125" s="24"/>
    </row>
    <row r="126" customFormat="false" ht="26.85" hidden="false" customHeight="false" outlineLevel="0" collapsed="false">
      <c r="A126" s="23" t="n">
        <v>125</v>
      </c>
      <c r="B126" s="31" t="s">
        <v>10080</v>
      </c>
      <c r="C126" s="23" t="s">
        <v>9962</v>
      </c>
      <c r="D126" s="23" t="s">
        <v>10049</v>
      </c>
      <c r="E126" s="23" t="s">
        <v>9276</v>
      </c>
      <c r="F126" s="23"/>
      <c r="G126" s="24" t="s">
        <v>10081</v>
      </c>
      <c r="H126" s="24" t="s">
        <v>10082</v>
      </c>
      <c r="I126" s="23" t="s">
        <v>10083</v>
      </c>
      <c r="J126" s="24" t="s">
        <v>10084</v>
      </c>
      <c r="K126" s="24" t="s">
        <v>10054</v>
      </c>
      <c r="L126" s="24" t="s">
        <v>10085</v>
      </c>
      <c r="M126" s="24"/>
      <c r="N126" s="23" t="str">
        <f aca="false">"시편 #"&amp;TEXT(A126,"000")</f>
        <v>시편 #125</v>
      </c>
      <c r="O126" s="31" t="s">
        <v>10047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174</v>
      </c>
      <c r="U126" s="23" t="s">
        <v>174</v>
      </c>
      <c r="V126" s="23" t="s">
        <v>174</v>
      </c>
      <c r="W126" s="23" t="s">
        <v>174</v>
      </c>
      <c r="X126" s="24"/>
      <c r="Y126" s="23" t="str">
        <f aca="false">"시편|"&amp;TEXT(Q126,"yyyy-mm-dd")</f>
        <v>시편|2027-10-21</v>
      </c>
      <c r="Z126" s="26" t="n">
        <f aca="false">Q126-안내!$C$12</f>
        <v>46653</v>
      </c>
      <c r="AA126" s="23" t="str">
        <f aca="false">IF(Q126&lt;안내!$C$11+안내!$C$12,"시작 전 제작","")</f>
        <v/>
      </c>
      <c r="AB126" s="24" t="s">
        <v>10086</v>
      </c>
      <c r="AC126" s="24" t="s">
        <v>4081</v>
      </c>
    </row>
    <row r="127" customFormat="false" ht="36.55" hidden="false" customHeight="false" outlineLevel="0" collapsed="false">
      <c r="A127" s="23" t="n">
        <v>126</v>
      </c>
      <c r="B127" s="31" t="s">
        <v>10087</v>
      </c>
      <c r="C127" s="23" t="s">
        <v>9962</v>
      </c>
      <c r="D127" s="23" t="s">
        <v>10049</v>
      </c>
      <c r="E127" s="20" t="s">
        <v>9268</v>
      </c>
      <c r="F127" s="19" t="s">
        <v>10088</v>
      </c>
      <c r="G127" s="24" t="s">
        <v>4288</v>
      </c>
      <c r="H127" s="24" t="s">
        <v>4289</v>
      </c>
      <c r="I127" s="23" t="s">
        <v>4290</v>
      </c>
      <c r="J127" s="24" t="s">
        <v>4291</v>
      </c>
      <c r="K127" s="24"/>
      <c r="L127" s="24" t="s">
        <v>4293</v>
      </c>
      <c r="M127" s="24"/>
      <c r="N127" s="23" t="str">
        <f aca="false">"시편 #"&amp;TEXT(A127,"000")</f>
        <v>시편 #126</v>
      </c>
      <c r="O127" s="31" t="s">
        <v>10047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174</v>
      </c>
      <c r="U127" s="23" t="s">
        <v>174</v>
      </c>
      <c r="V127" s="23" t="s">
        <v>174</v>
      </c>
      <c r="W127" s="23" t="s">
        <v>174</v>
      </c>
      <c r="X127" s="24"/>
      <c r="Y127" s="23" t="str">
        <f aca="false">"시편|"&amp;TEXT(Q127,"yyyy-mm-dd")</f>
        <v>시편|2027-10-24</v>
      </c>
      <c r="Z127" s="26" t="n">
        <f aca="false">Q127-안내!$C$12</f>
        <v>46656</v>
      </c>
      <c r="AA127" s="23" t="str">
        <f aca="false">IF(Q127&lt;안내!$C$11+안내!$C$12,"시작 전 제작","")</f>
        <v/>
      </c>
      <c r="AB127" s="24" t="s">
        <v>4294</v>
      </c>
      <c r="AC127" s="24"/>
    </row>
    <row r="128" customFormat="false" ht="26.85" hidden="false" customHeight="false" outlineLevel="0" collapsed="false">
      <c r="A128" s="23" t="n">
        <v>127</v>
      </c>
      <c r="B128" s="31" t="s">
        <v>10089</v>
      </c>
      <c r="C128" s="23" t="s">
        <v>9962</v>
      </c>
      <c r="D128" s="23" t="s">
        <v>10049</v>
      </c>
      <c r="E128" s="23" t="s">
        <v>9276</v>
      </c>
      <c r="F128" s="23"/>
      <c r="G128" s="24" t="s">
        <v>10090</v>
      </c>
      <c r="H128" s="24" t="s">
        <v>10091</v>
      </c>
      <c r="I128" s="23" t="s">
        <v>10092</v>
      </c>
      <c r="J128" s="24" t="s">
        <v>10093</v>
      </c>
      <c r="K128" s="24" t="s">
        <v>10094</v>
      </c>
      <c r="L128" s="24" t="s">
        <v>10095</v>
      </c>
      <c r="M128" s="24"/>
      <c r="N128" s="23" t="str">
        <f aca="false">"시편 #"&amp;TEXT(A128,"000")</f>
        <v>시편 #127</v>
      </c>
      <c r="O128" s="31" t="s">
        <v>10047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174</v>
      </c>
      <c r="U128" s="23" t="s">
        <v>174</v>
      </c>
      <c r="V128" s="23" t="s">
        <v>174</v>
      </c>
      <c r="W128" s="23" t="s">
        <v>174</v>
      </c>
      <c r="X128" s="24"/>
      <c r="Y128" s="23" t="str">
        <f aca="false">"시편|"&amp;TEXT(Q128,"yyyy-mm-dd")</f>
        <v>시편|2027-10-26</v>
      </c>
      <c r="Z128" s="26" t="n">
        <f aca="false">Q128-안내!$C$12</f>
        <v>46658</v>
      </c>
      <c r="AA128" s="23" t="str">
        <f aca="false">IF(Q128&lt;안내!$C$11+안내!$C$12,"시작 전 제작","")</f>
        <v/>
      </c>
      <c r="AB128" s="24" t="s">
        <v>10096</v>
      </c>
      <c r="AC128" s="24" t="s">
        <v>4081</v>
      </c>
    </row>
    <row r="129" customFormat="false" ht="15" hidden="false" customHeight="false" outlineLevel="0" collapsed="false">
      <c r="A129" s="23" t="n">
        <v>128</v>
      </c>
      <c r="B129" s="31" t="s">
        <v>10097</v>
      </c>
      <c r="C129" s="23" t="s">
        <v>9962</v>
      </c>
      <c r="D129" s="23" t="s">
        <v>10049</v>
      </c>
      <c r="E129" s="23" t="s">
        <v>9276</v>
      </c>
      <c r="F129" s="23"/>
      <c r="G129" s="24" t="s">
        <v>10098</v>
      </c>
      <c r="H129" s="24" t="s">
        <v>10099</v>
      </c>
      <c r="I129" s="23" t="s">
        <v>10100</v>
      </c>
      <c r="J129" s="24" t="s">
        <v>10101</v>
      </c>
      <c r="K129" s="24" t="s">
        <v>10054</v>
      </c>
      <c r="L129" s="24" t="s">
        <v>10102</v>
      </c>
      <c r="M129" s="24"/>
      <c r="N129" s="23" t="str">
        <f aca="false">"시편 #"&amp;TEXT(A129,"000")</f>
        <v>시편 #128</v>
      </c>
      <c r="O129" s="31" t="s">
        <v>10103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174</v>
      </c>
      <c r="U129" s="23" t="s">
        <v>174</v>
      </c>
      <c r="V129" s="23" t="s">
        <v>174</v>
      </c>
      <c r="W129" s="23" t="s">
        <v>174</v>
      </c>
      <c r="X129" s="24"/>
      <c r="Y129" s="23" t="str">
        <f aca="false">"시편|"&amp;TEXT(Q129,"yyyy-mm-dd")</f>
        <v>시편|2027-10-28</v>
      </c>
      <c r="Z129" s="26" t="n">
        <f aca="false">Q129-안내!$C$12</f>
        <v>46660</v>
      </c>
      <c r="AA129" s="23" t="str">
        <f aca="false">IF(Q129&lt;안내!$C$11+안내!$C$12,"시작 전 제작","")</f>
        <v/>
      </c>
      <c r="AB129" s="24" t="s">
        <v>10104</v>
      </c>
      <c r="AC129" s="24" t="s">
        <v>4081</v>
      </c>
    </row>
    <row r="130" customFormat="false" ht="26.85" hidden="false" customHeight="false" outlineLevel="0" collapsed="false">
      <c r="A130" s="23" t="n">
        <v>129</v>
      </c>
      <c r="B130" s="31" t="s">
        <v>10105</v>
      </c>
      <c r="C130" s="23" t="s">
        <v>9962</v>
      </c>
      <c r="D130" s="23" t="s">
        <v>10049</v>
      </c>
      <c r="E130" s="23" t="s">
        <v>9276</v>
      </c>
      <c r="F130" s="23"/>
      <c r="G130" s="24" t="s">
        <v>10106</v>
      </c>
      <c r="H130" s="24" t="s">
        <v>10107</v>
      </c>
      <c r="I130" s="23" t="s">
        <v>10108</v>
      </c>
      <c r="J130" s="24" t="s">
        <v>10109</v>
      </c>
      <c r="K130" s="24" t="s">
        <v>10054</v>
      </c>
      <c r="L130" s="24" t="s">
        <v>10110</v>
      </c>
      <c r="M130" s="24"/>
      <c r="N130" s="23" t="str">
        <f aca="false">"시편 #"&amp;TEXT(A130,"000")</f>
        <v>시편 #129</v>
      </c>
      <c r="O130" s="31" t="s">
        <v>10103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174</v>
      </c>
      <c r="U130" s="23" t="s">
        <v>174</v>
      </c>
      <c r="V130" s="23" t="s">
        <v>174</v>
      </c>
      <c r="W130" s="23" t="s">
        <v>174</v>
      </c>
      <c r="X130" s="24"/>
      <c r="Y130" s="23" t="str">
        <f aca="false">"시편|"&amp;TEXT(Q130,"yyyy-mm-dd")</f>
        <v>시편|2027-10-31</v>
      </c>
      <c r="Z130" s="26" t="n">
        <f aca="false">Q130-안내!$C$12</f>
        <v>46663</v>
      </c>
      <c r="AA130" s="23" t="str">
        <f aca="false">IF(Q130&lt;안내!$C$11+안내!$C$12,"시작 전 제작","")</f>
        <v/>
      </c>
      <c r="AB130" s="24" t="s">
        <v>10111</v>
      </c>
      <c r="AC130" s="24"/>
    </row>
    <row r="131" customFormat="false" ht="26.85" hidden="false" customHeight="false" outlineLevel="0" collapsed="false">
      <c r="A131" s="23" t="n">
        <v>130</v>
      </c>
      <c r="B131" s="31" t="s">
        <v>10112</v>
      </c>
      <c r="C131" s="23" t="s">
        <v>9962</v>
      </c>
      <c r="D131" s="23" t="s">
        <v>9300</v>
      </c>
      <c r="E131" s="23" t="s">
        <v>9276</v>
      </c>
      <c r="F131" s="23"/>
      <c r="G131" s="24" t="s">
        <v>10113</v>
      </c>
      <c r="H131" s="24" t="s">
        <v>5374</v>
      </c>
      <c r="I131" s="23" t="s">
        <v>10114</v>
      </c>
      <c r="J131" s="24" t="s">
        <v>10115</v>
      </c>
      <c r="K131" s="24" t="s">
        <v>10116</v>
      </c>
      <c r="L131" s="24" t="s">
        <v>10117</v>
      </c>
      <c r="M131" s="24"/>
      <c r="N131" s="23" t="str">
        <f aca="false">"시편 #"&amp;TEXT(A131,"000")</f>
        <v>시편 #130</v>
      </c>
      <c r="O131" s="31" t="s">
        <v>10103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174</v>
      </c>
      <c r="U131" s="23" t="s">
        <v>174</v>
      </c>
      <c r="V131" s="23" t="s">
        <v>174</v>
      </c>
      <c r="W131" s="23" t="s">
        <v>174</v>
      </c>
      <c r="X131" s="24"/>
      <c r="Y131" s="23" t="str">
        <f aca="false">"시편|"&amp;TEXT(Q131,"yyyy-mm-dd")</f>
        <v>시편|2027-11-02</v>
      </c>
      <c r="Z131" s="26" t="n">
        <f aca="false">Q131-안내!$C$12</f>
        <v>46665</v>
      </c>
      <c r="AA131" s="23" t="str">
        <f aca="false">IF(Q131&lt;안내!$C$11+안내!$C$12,"시작 전 제작","")</f>
        <v/>
      </c>
      <c r="AB131" s="24" t="s">
        <v>10118</v>
      </c>
      <c r="AC131" s="24" t="s">
        <v>4081</v>
      </c>
    </row>
    <row r="132" customFormat="false" ht="26.85" hidden="false" customHeight="false" outlineLevel="0" collapsed="false">
      <c r="A132" s="23" t="n">
        <v>131</v>
      </c>
      <c r="B132" s="31" t="s">
        <v>10119</v>
      </c>
      <c r="C132" s="23" t="s">
        <v>9962</v>
      </c>
      <c r="D132" s="23" t="s">
        <v>10049</v>
      </c>
      <c r="E132" s="23" t="s">
        <v>9276</v>
      </c>
      <c r="F132" s="23"/>
      <c r="G132" s="24" t="s">
        <v>10120</v>
      </c>
      <c r="H132" s="24" t="s">
        <v>10121</v>
      </c>
      <c r="I132" s="23" t="s">
        <v>10122</v>
      </c>
      <c r="J132" s="24" t="s">
        <v>10123</v>
      </c>
      <c r="K132" s="24" t="s">
        <v>10064</v>
      </c>
      <c r="L132" s="24" t="s">
        <v>10124</v>
      </c>
      <c r="M132" s="24"/>
      <c r="N132" s="23" t="str">
        <f aca="false">"시편 #"&amp;TEXT(A132,"000")</f>
        <v>시편 #131</v>
      </c>
      <c r="O132" s="31" t="s">
        <v>10103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174</v>
      </c>
      <c r="U132" s="23" t="s">
        <v>174</v>
      </c>
      <c r="V132" s="23" t="s">
        <v>174</v>
      </c>
      <c r="W132" s="23" t="s">
        <v>174</v>
      </c>
      <c r="X132" s="24"/>
      <c r="Y132" s="23" t="str">
        <f aca="false">"시편|"&amp;TEXT(Q132,"yyyy-mm-dd")</f>
        <v>시편|2027-11-04</v>
      </c>
      <c r="Z132" s="26" t="n">
        <f aca="false">Q132-안내!$C$12</f>
        <v>46667</v>
      </c>
      <c r="AA132" s="23" t="str">
        <f aca="false">IF(Q132&lt;안내!$C$11+안내!$C$12,"시작 전 제작","")</f>
        <v/>
      </c>
      <c r="AB132" s="24" t="s">
        <v>10125</v>
      </c>
      <c r="AC132" s="24" t="s">
        <v>292</v>
      </c>
    </row>
    <row r="133" customFormat="false" ht="26.85" hidden="false" customHeight="false" outlineLevel="0" collapsed="false">
      <c r="A133" s="23" t="n">
        <v>132</v>
      </c>
      <c r="B133" s="31" t="s">
        <v>10126</v>
      </c>
      <c r="C133" s="23" t="s">
        <v>9962</v>
      </c>
      <c r="D133" s="23" t="s">
        <v>10049</v>
      </c>
      <c r="E133" s="23" t="s">
        <v>9276</v>
      </c>
      <c r="F133" s="23"/>
      <c r="G133" s="24" t="s">
        <v>10127</v>
      </c>
      <c r="H133" s="24" t="s">
        <v>10128</v>
      </c>
      <c r="I133" s="23" t="s">
        <v>10129</v>
      </c>
      <c r="J133" s="24" t="s">
        <v>10130</v>
      </c>
      <c r="K133" s="24" t="s">
        <v>10054</v>
      </c>
      <c r="L133" s="24" t="s">
        <v>9724</v>
      </c>
      <c r="M133" s="25" t="s">
        <v>10131</v>
      </c>
      <c r="N133" s="23" t="str">
        <f aca="false">"시편 #"&amp;TEXT(A133,"000")</f>
        <v>시편 #132</v>
      </c>
      <c r="O133" s="31" t="s">
        <v>10103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174</v>
      </c>
      <c r="U133" s="23" t="s">
        <v>174</v>
      </c>
      <c r="V133" s="23" t="s">
        <v>174</v>
      </c>
      <c r="W133" s="23" t="s">
        <v>174</v>
      </c>
      <c r="X133" s="24"/>
      <c r="Y133" s="23" t="str">
        <f aca="false">"시편|"&amp;TEXT(Q133,"yyyy-mm-dd")</f>
        <v>시편|2027-11-07</v>
      </c>
      <c r="Z133" s="26" t="n">
        <f aca="false">Q133-안내!$C$12</f>
        <v>46670</v>
      </c>
      <c r="AA133" s="23" t="str">
        <f aca="false">IF(Q133&lt;안내!$C$11+안내!$C$12,"시작 전 제작","")</f>
        <v/>
      </c>
      <c r="AB133" s="24" t="s">
        <v>10132</v>
      </c>
      <c r="AC133" s="24"/>
    </row>
    <row r="134" customFormat="false" ht="36.55" hidden="false" customHeight="false" outlineLevel="0" collapsed="false">
      <c r="A134" s="23" t="n">
        <v>133</v>
      </c>
      <c r="B134" s="31" t="s">
        <v>10133</v>
      </c>
      <c r="C134" s="23" t="s">
        <v>9962</v>
      </c>
      <c r="D134" s="23" t="s">
        <v>10049</v>
      </c>
      <c r="E134" s="20" t="s">
        <v>9268</v>
      </c>
      <c r="F134" s="19" t="s">
        <v>10134</v>
      </c>
      <c r="G134" s="24" t="s">
        <v>4297</v>
      </c>
      <c r="H134" s="24" t="s">
        <v>4298</v>
      </c>
      <c r="I134" s="23" t="s">
        <v>4299</v>
      </c>
      <c r="J134" s="24" t="s">
        <v>4300</v>
      </c>
      <c r="K134" s="24"/>
      <c r="L134" s="24" t="s">
        <v>4302</v>
      </c>
      <c r="M134" s="24"/>
      <c r="N134" s="23" t="str">
        <f aca="false">"시편 #"&amp;TEXT(A134,"000")</f>
        <v>시편 #133</v>
      </c>
      <c r="O134" s="31" t="s">
        <v>10103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174</v>
      </c>
      <c r="U134" s="23" t="s">
        <v>174</v>
      </c>
      <c r="V134" s="23" t="s">
        <v>174</v>
      </c>
      <c r="W134" s="23" t="s">
        <v>174</v>
      </c>
      <c r="X134" s="24"/>
      <c r="Y134" s="23" t="str">
        <f aca="false">"시편|"&amp;TEXT(Q134,"yyyy-mm-dd")</f>
        <v>시편|2027-11-09</v>
      </c>
      <c r="Z134" s="26" t="n">
        <f aca="false">Q134-안내!$C$12</f>
        <v>46672</v>
      </c>
      <c r="AA134" s="23" t="str">
        <f aca="false">IF(Q134&lt;안내!$C$11+안내!$C$12,"시작 전 제작","")</f>
        <v/>
      </c>
      <c r="AB134" s="24" t="s">
        <v>4300</v>
      </c>
      <c r="AC134" s="24" t="s">
        <v>4081</v>
      </c>
    </row>
    <row r="135" customFormat="false" ht="26.85" hidden="false" customHeight="false" outlineLevel="0" collapsed="false">
      <c r="A135" s="23" t="n">
        <v>134</v>
      </c>
      <c r="B135" s="31" t="s">
        <v>10135</v>
      </c>
      <c r="C135" s="23" t="s">
        <v>9962</v>
      </c>
      <c r="D135" s="23" t="s">
        <v>10049</v>
      </c>
      <c r="E135" s="23" t="s">
        <v>9276</v>
      </c>
      <c r="F135" s="23"/>
      <c r="G135" s="24" t="s">
        <v>10136</v>
      </c>
      <c r="H135" s="24" t="s">
        <v>10137</v>
      </c>
      <c r="I135" s="23" t="s">
        <v>10138</v>
      </c>
      <c r="J135" s="24" t="s">
        <v>10139</v>
      </c>
      <c r="K135" s="24" t="s">
        <v>10054</v>
      </c>
      <c r="L135" s="24" t="s">
        <v>10140</v>
      </c>
      <c r="M135" s="24"/>
      <c r="N135" s="23" t="str">
        <f aca="false">"시편 #"&amp;TEXT(A135,"000")</f>
        <v>시편 #134</v>
      </c>
      <c r="O135" s="31" t="s">
        <v>10103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174</v>
      </c>
      <c r="U135" s="23" t="s">
        <v>174</v>
      </c>
      <c r="V135" s="23" t="s">
        <v>174</v>
      </c>
      <c r="W135" s="23" t="s">
        <v>174</v>
      </c>
      <c r="X135" s="24"/>
      <c r="Y135" s="23" t="str">
        <f aca="false">"시편|"&amp;TEXT(Q135,"yyyy-mm-dd")</f>
        <v>시편|2027-11-11</v>
      </c>
      <c r="Z135" s="26" t="n">
        <f aca="false">Q135-안내!$C$12</f>
        <v>46674</v>
      </c>
      <c r="AA135" s="23" t="str">
        <f aca="false">IF(Q135&lt;안내!$C$11+안내!$C$12,"시작 전 제작","")</f>
        <v/>
      </c>
      <c r="AB135" s="24" t="s">
        <v>10141</v>
      </c>
      <c r="AC135" s="24"/>
    </row>
    <row r="136" customFormat="false" ht="26.85" hidden="false" customHeight="false" outlineLevel="0" collapsed="false">
      <c r="A136" s="23" t="n">
        <v>135</v>
      </c>
      <c r="B136" s="31" t="s">
        <v>10142</v>
      </c>
      <c r="C136" s="23" t="s">
        <v>9962</v>
      </c>
      <c r="D136" s="23" t="s">
        <v>9318</v>
      </c>
      <c r="E136" s="23" t="s">
        <v>9276</v>
      </c>
      <c r="F136" s="23"/>
      <c r="G136" s="24" t="s">
        <v>10143</v>
      </c>
      <c r="H136" s="24" t="s">
        <v>10144</v>
      </c>
      <c r="I136" s="23" t="s">
        <v>10145</v>
      </c>
      <c r="J136" s="24" t="s">
        <v>10146</v>
      </c>
      <c r="K136" s="24" t="s">
        <v>9333</v>
      </c>
      <c r="L136" s="24" t="s">
        <v>3006</v>
      </c>
      <c r="M136" s="24"/>
      <c r="N136" s="23" t="str">
        <f aca="false">"시편 #"&amp;TEXT(A136,"000")</f>
        <v>시편 #135</v>
      </c>
      <c r="O136" s="31" t="s">
        <v>10103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174</v>
      </c>
      <c r="U136" s="23" t="s">
        <v>174</v>
      </c>
      <c r="V136" s="23" t="s">
        <v>174</v>
      </c>
      <c r="W136" s="23" t="s">
        <v>174</v>
      </c>
      <c r="X136" s="24"/>
      <c r="Y136" s="23" t="str">
        <f aca="false">"시편|"&amp;TEXT(Q136,"yyyy-mm-dd")</f>
        <v>시편|2027-11-14</v>
      </c>
      <c r="Z136" s="26" t="n">
        <f aca="false">Q136-안내!$C$12</f>
        <v>46677</v>
      </c>
      <c r="AA136" s="23" t="str">
        <f aca="false">IF(Q136&lt;안내!$C$11+안내!$C$12,"시작 전 제작","")</f>
        <v/>
      </c>
      <c r="AB136" s="24" t="s">
        <v>10147</v>
      </c>
      <c r="AC136" s="24"/>
    </row>
    <row r="137" customFormat="false" ht="26.85" hidden="false" customHeight="false" outlineLevel="0" collapsed="false">
      <c r="A137" s="23" t="n">
        <v>136</v>
      </c>
      <c r="B137" s="31" t="s">
        <v>10148</v>
      </c>
      <c r="C137" s="23" t="s">
        <v>9962</v>
      </c>
      <c r="D137" s="23" t="s">
        <v>9321</v>
      </c>
      <c r="E137" s="23" t="s">
        <v>9276</v>
      </c>
      <c r="F137" s="23"/>
      <c r="G137" s="24" t="s">
        <v>10149</v>
      </c>
      <c r="H137" s="30" t="s">
        <v>10150</v>
      </c>
      <c r="I137" s="23" t="s">
        <v>10151</v>
      </c>
      <c r="J137" s="24" t="s">
        <v>10152</v>
      </c>
      <c r="K137" s="24" t="s">
        <v>9333</v>
      </c>
      <c r="L137" s="24" t="s">
        <v>10153</v>
      </c>
      <c r="M137" s="24"/>
      <c r="N137" s="23" t="str">
        <f aca="false">"시편 #"&amp;TEXT(A137,"000")</f>
        <v>시편 #136</v>
      </c>
      <c r="O137" s="31" t="s">
        <v>10103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174</v>
      </c>
      <c r="U137" s="23" t="s">
        <v>174</v>
      </c>
      <c r="V137" s="23" t="s">
        <v>174</v>
      </c>
      <c r="W137" s="23" t="s">
        <v>174</v>
      </c>
      <c r="X137" s="24"/>
      <c r="Y137" s="23" t="str">
        <f aca="false">"시편|"&amp;TEXT(Q137,"yyyy-mm-dd")</f>
        <v>시편|2027-11-16</v>
      </c>
      <c r="Z137" s="26" t="n">
        <f aca="false">Q137-안내!$C$12</f>
        <v>46679</v>
      </c>
      <c r="AA137" s="23" t="str">
        <f aca="false">IF(Q137&lt;안내!$C$11+안내!$C$12,"시작 전 제작","")</f>
        <v/>
      </c>
      <c r="AB137" s="24" t="s">
        <v>3522</v>
      </c>
      <c r="AC137" s="24"/>
    </row>
    <row r="138" customFormat="false" ht="26.85" hidden="false" customHeight="false" outlineLevel="0" collapsed="false">
      <c r="A138" s="23" t="n">
        <v>137</v>
      </c>
      <c r="B138" s="31" t="s">
        <v>10154</v>
      </c>
      <c r="C138" s="23" t="s">
        <v>9962</v>
      </c>
      <c r="D138" s="23" t="s">
        <v>9275</v>
      </c>
      <c r="E138" s="23" t="s">
        <v>9276</v>
      </c>
      <c r="F138" s="23"/>
      <c r="G138" s="24" t="s">
        <v>10155</v>
      </c>
      <c r="H138" s="24" t="s">
        <v>10156</v>
      </c>
      <c r="I138" s="23" t="s">
        <v>10157</v>
      </c>
      <c r="J138" s="24" t="s">
        <v>10158</v>
      </c>
      <c r="K138" s="24" t="s">
        <v>9333</v>
      </c>
      <c r="L138" s="24" t="s">
        <v>10159</v>
      </c>
      <c r="M138" s="28" t="s">
        <v>10160</v>
      </c>
      <c r="N138" s="23" t="str">
        <f aca="false">"시편 #"&amp;TEXT(A138,"000")</f>
        <v>시편 #137</v>
      </c>
      <c r="O138" s="31" t="s">
        <v>10103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174</v>
      </c>
      <c r="U138" s="23" t="s">
        <v>174</v>
      </c>
      <c r="V138" s="23" t="s">
        <v>174</v>
      </c>
      <c r="W138" s="23" t="s">
        <v>174</v>
      </c>
      <c r="X138" s="24"/>
      <c r="Y138" s="23" t="str">
        <f aca="false">"시편|"&amp;TEXT(Q138,"yyyy-mm-dd")</f>
        <v>시편|2027-11-18</v>
      </c>
      <c r="Z138" s="26" t="n">
        <f aca="false">Q138-안내!$C$12</f>
        <v>46681</v>
      </c>
      <c r="AA138" s="23" t="str">
        <f aca="false">IF(Q138&lt;안내!$C$11+안내!$C$12,"시작 전 제작","")</f>
        <v/>
      </c>
      <c r="AB138" s="24" t="s">
        <v>10161</v>
      </c>
      <c r="AC138" s="24"/>
    </row>
    <row r="139" customFormat="false" ht="26.85" hidden="false" customHeight="false" outlineLevel="0" collapsed="false">
      <c r="A139" s="23" t="n">
        <v>138</v>
      </c>
      <c r="B139" s="31" t="s">
        <v>10162</v>
      </c>
      <c r="C139" s="23" t="s">
        <v>9962</v>
      </c>
      <c r="D139" s="23" t="s">
        <v>9321</v>
      </c>
      <c r="E139" s="23" t="s">
        <v>9276</v>
      </c>
      <c r="F139" s="23"/>
      <c r="G139" s="24" t="s">
        <v>10163</v>
      </c>
      <c r="H139" s="24" t="s">
        <v>10164</v>
      </c>
      <c r="I139" s="23" t="s">
        <v>10165</v>
      </c>
      <c r="J139" s="24" t="s">
        <v>10166</v>
      </c>
      <c r="K139" s="24" t="s">
        <v>2608</v>
      </c>
      <c r="L139" s="24" t="s">
        <v>10167</v>
      </c>
      <c r="M139" s="24"/>
      <c r="N139" s="23" t="str">
        <f aca="false">"시편 #"&amp;TEXT(A139,"000")</f>
        <v>시편 #138</v>
      </c>
      <c r="O139" s="31" t="s">
        <v>10168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174</v>
      </c>
      <c r="U139" s="23" t="s">
        <v>174</v>
      </c>
      <c r="V139" s="23" t="s">
        <v>174</v>
      </c>
      <c r="W139" s="23" t="s">
        <v>174</v>
      </c>
      <c r="X139" s="24"/>
      <c r="Y139" s="23" t="str">
        <f aca="false">"시편|"&amp;TEXT(Q139,"yyyy-mm-dd")</f>
        <v>시편|2027-11-21</v>
      </c>
      <c r="Z139" s="26" t="n">
        <f aca="false">Q139-안내!$C$12</f>
        <v>46684</v>
      </c>
      <c r="AA139" s="23" t="str">
        <f aca="false">IF(Q139&lt;안내!$C$11+안내!$C$12,"시작 전 제작","")</f>
        <v/>
      </c>
      <c r="AB139" s="24" t="s">
        <v>10169</v>
      </c>
      <c r="AC139" s="24"/>
    </row>
    <row r="140" customFormat="false" ht="36.55" hidden="false" customHeight="false" outlineLevel="0" collapsed="false">
      <c r="A140" s="23" t="n">
        <v>139</v>
      </c>
      <c r="B140" s="31" t="s">
        <v>10170</v>
      </c>
      <c r="C140" s="23" t="s">
        <v>9962</v>
      </c>
      <c r="D140" s="23" t="s">
        <v>9267</v>
      </c>
      <c r="E140" s="20" t="s">
        <v>9268</v>
      </c>
      <c r="F140" s="19" t="s">
        <v>10171</v>
      </c>
      <c r="G140" s="24" t="s">
        <v>4305</v>
      </c>
      <c r="H140" s="24" t="s">
        <v>4306</v>
      </c>
      <c r="I140" s="23" t="s">
        <v>4307</v>
      </c>
      <c r="J140" s="24" t="s">
        <v>4308</v>
      </c>
      <c r="K140" s="24"/>
      <c r="L140" s="24" t="s">
        <v>4309</v>
      </c>
      <c r="M140" s="24"/>
      <c r="N140" s="23" t="str">
        <f aca="false">"시편 #"&amp;TEXT(A140,"000")</f>
        <v>시편 #139</v>
      </c>
      <c r="O140" s="31" t="s">
        <v>10168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174</v>
      </c>
      <c r="U140" s="23" t="s">
        <v>174</v>
      </c>
      <c r="V140" s="23" t="s">
        <v>174</v>
      </c>
      <c r="W140" s="23" t="s">
        <v>174</v>
      </c>
      <c r="X140" s="24"/>
      <c r="Y140" s="23" t="str">
        <f aca="false">"시편|"&amp;TEXT(Q140,"yyyy-mm-dd")</f>
        <v>시편|2027-11-23</v>
      </c>
      <c r="Z140" s="26" t="n">
        <f aca="false">Q140-안내!$C$12</f>
        <v>46686</v>
      </c>
      <c r="AA140" s="23" t="str">
        <f aca="false">IF(Q140&lt;안내!$C$11+안내!$C$12,"시작 전 제작","")</f>
        <v/>
      </c>
      <c r="AB140" s="24" t="s">
        <v>4312</v>
      </c>
      <c r="AC140" s="24"/>
    </row>
    <row r="141" customFormat="false" ht="26.85" hidden="false" customHeight="false" outlineLevel="0" collapsed="false">
      <c r="A141" s="23" t="n">
        <v>140</v>
      </c>
      <c r="B141" s="31" t="s">
        <v>10172</v>
      </c>
      <c r="C141" s="23" t="s">
        <v>9962</v>
      </c>
      <c r="D141" s="23" t="s">
        <v>9275</v>
      </c>
      <c r="E141" s="23" t="s">
        <v>9276</v>
      </c>
      <c r="F141" s="23"/>
      <c r="G141" s="24" t="s">
        <v>10173</v>
      </c>
      <c r="H141" s="24" t="s">
        <v>10174</v>
      </c>
      <c r="I141" s="23" t="s">
        <v>10175</v>
      </c>
      <c r="J141" s="24" t="s">
        <v>10176</v>
      </c>
      <c r="K141" s="24" t="s">
        <v>2608</v>
      </c>
      <c r="L141" s="24" t="s">
        <v>10177</v>
      </c>
      <c r="M141" s="24"/>
      <c r="N141" s="23" t="str">
        <f aca="false">"시편 #"&amp;TEXT(A141,"000")</f>
        <v>시편 #140</v>
      </c>
      <c r="O141" s="31" t="s">
        <v>10168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174</v>
      </c>
      <c r="U141" s="23" t="s">
        <v>174</v>
      </c>
      <c r="V141" s="23" t="s">
        <v>174</v>
      </c>
      <c r="W141" s="23" t="s">
        <v>174</v>
      </c>
      <c r="X141" s="24"/>
      <c r="Y141" s="23" t="str">
        <f aca="false">"시편|"&amp;TEXT(Q141,"yyyy-mm-dd")</f>
        <v>시편|2027-11-25</v>
      </c>
      <c r="Z141" s="26" t="n">
        <f aca="false">Q141-안내!$C$12</f>
        <v>46688</v>
      </c>
      <c r="AA141" s="23" t="str">
        <f aca="false">IF(Q141&lt;안내!$C$11+안내!$C$12,"시작 전 제작","")</f>
        <v/>
      </c>
      <c r="AB141" s="24" t="s">
        <v>10178</v>
      </c>
      <c r="AC141" s="24"/>
    </row>
    <row r="142" customFormat="false" ht="26.85" hidden="false" customHeight="false" outlineLevel="0" collapsed="false">
      <c r="A142" s="23" t="n">
        <v>141</v>
      </c>
      <c r="B142" s="31" t="s">
        <v>10179</v>
      </c>
      <c r="C142" s="23" t="s">
        <v>9962</v>
      </c>
      <c r="D142" s="23" t="s">
        <v>9275</v>
      </c>
      <c r="E142" s="23" t="s">
        <v>9276</v>
      </c>
      <c r="F142" s="23"/>
      <c r="G142" s="24" t="s">
        <v>10180</v>
      </c>
      <c r="H142" s="24" t="s">
        <v>10181</v>
      </c>
      <c r="I142" s="23" t="s">
        <v>10182</v>
      </c>
      <c r="J142" s="24" t="s">
        <v>10183</v>
      </c>
      <c r="K142" s="24" t="s">
        <v>2608</v>
      </c>
      <c r="L142" s="24" t="s">
        <v>10184</v>
      </c>
      <c r="M142" s="24"/>
      <c r="N142" s="23" t="str">
        <f aca="false">"시편 #"&amp;TEXT(A142,"000")</f>
        <v>시편 #141</v>
      </c>
      <c r="O142" s="31" t="s">
        <v>10168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174</v>
      </c>
      <c r="U142" s="23" t="s">
        <v>174</v>
      </c>
      <c r="V142" s="23" t="s">
        <v>174</v>
      </c>
      <c r="W142" s="23" t="s">
        <v>174</v>
      </c>
      <c r="X142" s="24"/>
      <c r="Y142" s="23" t="str">
        <f aca="false">"시편|"&amp;TEXT(Q142,"yyyy-mm-dd")</f>
        <v>시편|2027-11-28</v>
      </c>
      <c r="Z142" s="26" t="n">
        <f aca="false">Q142-안내!$C$12</f>
        <v>46691</v>
      </c>
      <c r="AA142" s="23" t="str">
        <f aca="false">IF(Q142&lt;안내!$C$11+안내!$C$12,"시작 전 제작","")</f>
        <v/>
      </c>
      <c r="AB142" s="24" t="s">
        <v>10185</v>
      </c>
      <c r="AC142" s="24"/>
    </row>
    <row r="143" customFormat="false" ht="26.85" hidden="false" customHeight="false" outlineLevel="0" collapsed="false">
      <c r="A143" s="23" t="n">
        <v>142</v>
      </c>
      <c r="B143" s="31" t="s">
        <v>10186</v>
      </c>
      <c r="C143" s="23" t="s">
        <v>9962</v>
      </c>
      <c r="D143" s="23" t="s">
        <v>9275</v>
      </c>
      <c r="E143" s="23" t="s">
        <v>9276</v>
      </c>
      <c r="F143" s="23"/>
      <c r="G143" s="24" t="s">
        <v>10187</v>
      </c>
      <c r="H143" s="24" t="s">
        <v>10188</v>
      </c>
      <c r="I143" s="23" t="s">
        <v>10189</v>
      </c>
      <c r="J143" s="24" t="s">
        <v>10190</v>
      </c>
      <c r="K143" s="24" t="s">
        <v>10191</v>
      </c>
      <c r="L143" s="24" t="s">
        <v>10192</v>
      </c>
      <c r="M143" s="24"/>
      <c r="N143" s="23" t="str">
        <f aca="false">"시편 #"&amp;TEXT(A143,"000")</f>
        <v>시편 #142</v>
      </c>
      <c r="O143" s="31" t="s">
        <v>10168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174</v>
      </c>
      <c r="U143" s="23" t="s">
        <v>174</v>
      </c>
      <c r="V143" s="23" t="s">
        <v>174</v>
      </c>
      <c r="W143" s="23" t="s">
        <v>174</v>
      </c>
      <c r="X143" s="24"/>
      <c r="Y143" s="23" t="str">
        <f aca="false">"시편|"&amp;TEXT(Q143,"yyyy-mm-dd")</f>
        <v>시편|2027-11-30</v>
      </c>
      <c r="Z143" s="26" t="n">
        <f aca="false">Q143-안내!$C$12</f>
        <v>46693</v>
      </c>
      <c r="AA143" s="23" t="str">
        <f aca="false">IF(Q143&lt;안내!$C$11+안내!$C$12,"시작 전 제작","")</f>
        <v/>
      </c>
      <c r="AB143" s="24" t="s">
        <v>10193</v>
      </c>
      <c r="AC143" s="24"/>
    </row>
    <row r="144" customFormat="false" ht="26.85" hidden="false" customHeight="false" outlineLevel="0" collapsed="false">
      <c r="A144" s="23" t="n">
        <v>143</v>
      </c>
      <c r="B144" s="31" t="s">
        <v>10194</v>
      </c>
      <c r="C144" s="23" t="s">
        <v>9962</v>
      </c>
      <c r="D144" s="23" t="s">
        <v>9300</v>
      </c>
      <c r="E144" s="23" t="s">
        <v>9276</v>
      </c>
      <c r="F144" s="23"/>
      <c r="G144" s="24" t="s">
        <v>10195</v>
      </c>
      <c r="H144" s="24" t="s">
        <v>10196</v>
      </c>
      <c r="I144" s="23" t="s">
        <v>10197</v>
      </c>
      <c r="J144" s="24" t="s">
        <v>10198</v>
      </c>
      <c r="K144" s="24" t="s">
        <v>10199</v>
      </c>
      <c r="L144" s="24" t="s">
        <v>10200</v>
      </c>
      <c r="M144" s="24"/>
      <c r="N144" s="23" t="str">
        <f aca="false">"시편 #"&amp;TEXT(A144,"000")</f>
        <v>시편 #143</v>
      </c>
      <c r="O144" s="31" t="s">
        <v>10168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174</v>
      </c>
      <c r="U144" s="23" t="s">
        <v>174</v>
      </c>
      <c r="V144" s="23" t="s">
        <v>174</v>
      </c>
      <c r="W144" s="23" t="s">
        <v>174</v>
      </c>
      <c r="X144" s="24"/>
      <c r="Y144" s="23" t="str">
        <f aca="false">"시편|"&amp;TEXT(Q144,"yyyy-mm-dd")</f>
        <v>시편|2027-12-02</v>
      </c>
      <c r="Z144" s="26" t="n">
        <f aca="false">Q144-안내!$C$12</f>
        <v>46695</v>
      </c>
      <c r="AA144" s="23" t="str">
        <f aca="false">IF(Q144&lt;안내!$C$11+안내!$C$12,"시작 전 제작","")</f>
        <v/>
      </c>
      <c r="AB144" s="24" t="s">
        <v>10201</v>
      </c>
      <c r="AC144" s="24"/>
    </row>
    <row r="145" customFormat="false" ht="26.85" hidden="false" customHeight="false" outlineLevel="0" collapsed="false">
      <c r="A145" s="23" t="n">
        <v>144</v>
      </c>
      <c r="B145" s="31" t="s">
        <v>10202</v>
      </c>
      <c r="C145" s="23" t="s">
        <v>9962</v>
      </c>
      <c r="D145" s="23" t="s">
        <v>9318</v>
      </c>
      <c r="E145" s="23" t="s">
        <v>9276</v>
      </c>
      <c r="F145" s="23"/>
      <c r="G145" s="24" t="s">
        <v>10203</v>
      </c>
      <c r="H145" s="24" t="s">
        <v>10204</v>
      </c>
      <c r="I145" s="23" t="s">
        <v>10205</v>
      </c>
      <c r="J145" s="24" t="s">
        <v>10206</v>
      </c>
      <c r="K145" s="24" t="s">
        <v>2608</v>
      </c>
      <c r="L145" s="24" t="s">
        <v>10207</v>
      </c>
      <c r="M145" s="25" t="s">
        <v>10208</v>
      </c>
      <c r="N145" s="23" t="str">
        <f aca="false">"시편 #"&amp;TEXT(A145,"000")</f>
        <v>시편 #144</v>
      </c>
      <c r="O145" s="31" t="s">
        <v>10168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174</v>
      </c>
      <c r="U145" s="23" t="s">
        <v>174</v>
      </c>
      <c r="V145" s="23" t="s">
        <v>174</v>
      </c>
      <c r="W145" s="23" t="s">
        <v>174</v>
      </c>
      <c r="X145" s="24"/>
      <c r="Y145" s="23" t="str">
        <f aca="false">"시편|"&amp;TEXT(Q145,"yyyy-mm-dd")</f>
        <v>시편|2027-12-05</v>
      </c>
      <c r="Z145" s="26" t="n">
        <f aca="false">Q145-안내!$C$12</f>
        <v>46698</v>
      </c>
      <c r="AA145" s="23" t="str">
        <f aca="false">IF(Q145&lt;안내!$C$11+안내!$C$12,"시작 전 제작","")</f>
        <v/>
      </c>
      <c r="AB145" s="24" t="s">
        <v>10209</v>
      </c>
      <c r="AC145" s="24" t="s">
        <v>4265</v>
      </c>
    </row>
    <row r="146" customFormat="false" ht="36.55" hidden="false" customHeight="false" outlineLevel="0" collapsed="false">
      <c r="A146" s="23" t="n">
        <v>145</v>
      </c>
      <c r="B146" s="31" t="s">
        <v>10210</v>
      </c>
      <c r="C146" s="23" t="s">
        <v>9962</v>
      </c>
      <c r="D146" s="23" t="s">
        <v>9318</v>
      </c>
      <c r="E146" s="20" t="s">
        <v>9268</v>
      </c>
      <c r="F146" s="19" t="s">
        <v>10211</v>
      </c>
      <c r="G146" s="24" t="s">
        <v>4315</v>
      </c>
      <c r="H146" s="24" t="s">
        <v>4316</v>
      </c>
      <c r="I146" s="23" t="s">
        <v>4317</v>
      </c>
      <c r="J146" s="24" t="s">
        <v>4318</v>
      </c>
      <c r="K146" s="24"/>
      <c r="L146" s="24"/>
      <c r="M146" s="24"/>
      <c r="N146" s="23" t="str">
        <f aca="false">"시편 #"&amp;TEXT(A146,"000")</f>
        <v>시편 #145</v>
      </c>
      <c r="O146" s="31" t="s">
        <v>10168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174</v>
      </c>
      <c r="U146" s="23" t="s">
        <v>174</v>
      </c>
      <c r="V146" s="23" t="s">
        <v>174</v>
      </c>
      <c r="W146" s="23" t="s">
        <v>174</v>
      </c>
      <c r="X146" s="24"/>
      <c r="Y146" s="23" t="str">
        <f aca="false">"시편|"&amp;TEXT(Q146,"yyyy-mm-dd")</f>
        <v>시편|2027-12-07</v>
      </c>
      <c r="Z146" s="26" t="n">
        <f aca="false">Q146-안내!$C$12</f>
        <v>46700</v>
      </c>
      <c r="AA146" s="23" t="str">
        <f aca="false">IF(Q146&lt;안내!$C$11+안내!$C$12,"시작 전 제작","")</f>
        <v/>
      </c>
      <c r="AB146" s="24" t="s">
        <v>4320</v>
      </c>
      <c r="AC146" s="24"/>
    </row>
    <row r="147" customFormat="false" ht="26.85" hidden="false" customHeight="false" outlineLevel="0" collapsed="false">
      <c r="A147" s="23" t="n">
        <v>146</v>
      </c>
      <c r="B147" s="31" t="s">
        <v>10212</v>
      </c>
      <c r="C147" s="23" t="s">
        <v>9962</v>
      </c>
      <c r="D147" s="23" t="s">
        <v>9318</v>
      </c>
      <c r="E147" s="23" t="s">
        <v>9276</v>
      </c>
      <c r="F147" s="23"/>
      <c r="G147" s="24" t="s">
        <v>10213</v>
      </c>
      <c r="H147" s="24" t="s">
        <v>10214</v>
      </c>
      <c r="I147" s="23" t="s">
        <v>10215</v>
      </c>
      <c r="J147" s="24" t="s">
        <v>10216</v>
      </c>
      <c r="K147" s="24" t="s">
        <v>10217</v>
      </c>
      <c r="L147" s="24" t="s">
        <v>10218</v>
      </c>
      <c r="M147" s="24"/>
      <c r="N147" s="23" t="str">
        <f aca="false">"시편 #"&amp;TEXT(A147,"000")</f>
        <v>시편 #146</v>
      </c>
      <c r="O147" s="31" t="s">
        <v>10168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174</v>
      </c>
      <c r="U147" s="23" t="s">
        <v>174</v>
      </c>
      <c r="V147" s="23" t="s">
        <v>174</v>
      </c>
      <c r="W147" s="23" t="s">
        <v>174</v>
      </c>
      <c r="X147" s="24"/>
      <c r="Y147" s="23" t="str">
        <f aca="false">"시편|"&amp;TEXT(Q147,"yyyy-mm-dd")</f>
        <v>시편|2027-12-09</v>
      </c>
      <c r="Z147" s="26" t="n">
        <f aca="false">Q147-안내!$C$12</f>
        <v>46702</v>
      </c>
      <c r="AA147" s="23" t="str">
        <f aca="false">IF(Q147&lt;안내!$C$11+안내!$C$12,"시작 전 제작","")</f>
        <v/>
      </c>
      <c r="AB147" s="24" t="s">
        <v>10219</v>
      </c>
      <c r="AC147" s="24"/>
    </row>
    <row r="148" customFormat="false" ht="26.85" hidden="false" customHeight="false" outlineLevel="0" collapsed="false">
      <c r="A148" s="23" t="n">
        <v>147</v>
      </c>
      <c r="B148" s="31" t="s">
        <v>10220</v>
      </c>
      <c r="C148" s="23" t="s">
        <v>9962</v>
      </c>
      <c r="D148" s="23" t="s">
        <v>9318</v>
      </c>
      <c r="E148" s="23" t="s">
        <v>9276</v>
      </c>
      <c r="F148" s="23"/>
      <c r="G148" s="24" t="s">
        <v>10221</v>
      </c>
      <c r="H148" s="24" t="s">
        <v>10222</v>
      </c>
      <c r="I148" s="23" t="s">
        <v>10223</v>
      </c>
      <c r="J148" s="24" t="s">
        <v>10224</v>
      </c>
      <c r="K148" s="24" t="s">
        <v>10217</v>
      </c>
      <c r="L148" s="24" t="s">
        <v>10225</v>
      </c>
      <c r="M148" s="24"/>
      <c r="N148" s="23" t="str">
        <f aca="false">"시편 #"&amp;TEXT(A148,"000")</f>
        <v>시편 #147</v>
      </c>
      <c r="O148" s="31" t="s">
        <v>10168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174</v>
      </c>
      <c r="U148" s="23" t="s">
        <v>174</v>
      </c>
      <c r="V148" s="23" t="s">
        <v>174</v>
      </c>
      <c r="W148" s="23" t="s">
        <v>174</v>
      </c>
      <c r="X148" s="24"/>
      <c r="Y148" s="23" t="str">
        <f aca="false">"시편|"&amp;TEXT(Q148,"yyyy-mm-dd")</f>
        <v>시편|2027-12-12</v>
      </c>
      <c r="Z148" s="26" t="n">
        <f aca="false">Q148-안내!$C$12</f>
        <v>46705</v>
      </c>
      <c r="AA148" s="23" t="str">
        <f aca="false">IF(Q148&lt;안내!$C$11+안내!$C$12,"시작 전 제작","")</f>
        <v/>
      </c>
      <c r="AB148" s="24" t="s">
        <v>10226</v>
      </c>
      <c r="AC148" s="24"/>
    </row>
    <row r="149" customFormat="false" ht="26.85" hidden="false" customHeight="false" outlineLevel="0" collapsed="false">
      <c r="A149" s="23" t="n">
        <v>148</v>
      </c>
      <c r="B149" s="31" t="s">
        <v>10227</v>
      </c>
      <c r="C149" s="23" t="s">
        <v>9962</v>
      </c>
      <c r="D149" s="23" t="s">
        <v>9318</v>
      </c>
      <c r="E149" s="23" t="s">
        <v>9276</v>
      </c>
      <c r="F149" s="23"/>
      <c r="G149" s="24" t="s">
        <v>10228</v>
      </c>
      <c r="H149" s="24" t="s">
        <v>10229</v>
      </c>
      <c r="I149" s="23" t="s">
        <v>10230</v>
      </c>
      <c r="J149" s="24" t="s">
        <v>10231</v>
      </c>
      <c r="K149" s="24" t="s">
        <v>10217</v>
      </c>
      <c r="L149" s="24" t="s">
        <v>10232</v>
      </c>
      <c r="M149" s="24"/>
      <c r="N149" s="23" t="str">
        <f aca="false">"시편 #"&amp;TEXT(A149,"000")</f>
        <v>시편 #148</v>
      </c>
      <c r="O149" s="31" t="s">
        <v>10168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174</v>
      </c>
      <c r="U149" s="23" t="s">
        <v>174</v>
      </c>
      <c r="V149" s="23" t="s">
        <v>174</v>
      </c>
      <c r="W149" s="23" t="s">
        <v>174</v>
      </c>
      <c r="X149" s="24"/>
      <c r="Y149" s="23" t="str">
        <f aca="false">"시편|"&amp;TEXT(Q149,"yyyy-mm-dd")</f>
        <v>시편|2027-12-14</v>
      </c>
      <c r="Z149" s="26" t="n">
        <f aca="false">Q149-안내!$C$12</f>
        <v>46707</v>
      </c>
      <c r="AA149" s="23" t="str">
        <f aca="false">IF(Q149&lt;안내!$C$11+안내!$C$12,"시작 전 제작","")</f>
        <v/>
      </c>
      <c r="AB149" s="24" t="s">
        <v>10233</v>
      </c>
      <c r="AC149" s="24"/>
    </row>
    <row r="150" customFormat="false" ht="26.85" hidden="false" customHeight="false" outlineLevel="0" collapsed="false">
      <c r="A150" s="23" t="n">
        <v>149</v>
      </c>
      <c r="B150" s="31" t="s">
        <v>10234</v>
      </c>
      <c r="C150" s="23" t="s">
        <v>9962</v>
      </c>
      <c r="D150" s="23" t="s">
        <v>9318</v>
      </c>
      <c r="E150" s="23" t="s">
        <v>9276</v>
      </c>
      <c r="F150" s="23"/>
      <c r="G150" s="24" t="s">
        <v>10235</v>
      </c>
      <c r="H150" s="24" t="s">
        <v>10236</v>
      </c>
      <c r="I150" s="23" t="s">
        <v>10237</v>
      </c>
      <c r="J150" s="24" t="s">
        <v>10238</v>
      </c>
      <c r="K150" s="24" t="s">
        <v>10217</v>
      </c>
      <c r="L150" s="24" t="s">
        <v>10239</v>
      </c>
      <c r="M150" s="24"/>
      <c r="N150" s="23" t="str">
        <f aca="false">"시편 #"&amp;TEXT(A150,"000")</f>
        <v>시편 #149</v>
      </c>
      <c r="O150" s="31" t="s">
        <v>10168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174</v>
      </c>
      <c r="U150" s="23" t="s">
        <v>174</v>
      </c>
      <c r="V150" s="23" t="s">
        <v>174</v>
      </c>
      <c r="W150" s="23" t="s">
        <v>174</v>
      </c>
      <c r="X150" s="24"/>
      <c r="Y150" s="23" t="str">
        <f aca="false">"시편|"&amp;TEXT(Q150,"yyyy-mm-dd")</f>
        <v>시편|2027-12-16</v>
      </c>
      <c r="Z150" s="26" t="n">
        <f aca="false">Q150-안내!$C$12</f>
        <v>46709</v>
      </c>
      <c r="AA150" s="23" t="str">
        <f aca="false">IF(Q150&lt;안내!$C$11+안내!$C$12,"시작 전 제작","")</f>
        <v/>
      </c>
      <c r="AB150" s="24" t="s">
        <v>10240</v>
      </c>
      <c r="AC150" s="24"/>
    </row>
    <row r="151" customFormat="false" ht="36.55" hidden="false" customHeight="false" outlineLevel="0" collapsed="false">
      <c r="A151" s="23" t="n">
        <v>150</v>
      </c>
      <c r="B151" s="31" t="s">
        <v>10241</v>
      </c>
      <c r="C151" s="23" t="s">
        <v>9962</v>
      </c>
      <c r="D151" s="23" t="s">
        <v>9318</v>
      </c>
      <c r="E151" s="20" t="s">
        <v>9268</v>
      </c>
      <c r="F151" s="19" t="s">
        <v>10242</v>
      </c>
      <c r="G151" s="24" t="s">
        <v>4323</v>
      </c>
      <c r="H151" s="24" t="s">
        <v>4324</v>
      </c>
      <c r="I151" s="23" t="s">
        <v>4325</v>
      </c>
      <c r="J151" s="24" t="s">
        <v>4326</v>
      </c>
      <c r="K151" s="24"/>
      <c r="L151" s="24" t="s">
        <v>4328</v>
      </c>
      <c r="M151" s="24"/>
      <c r="N151" s="23" t="str">
        <f aca="false">"시편 #"&amp;TEXT(A151,"000")</f>
        <v>시편 #150</v>
      </c>
      <c r="O151" s="31" t="s">
        <v>10168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10243</v>
      </c>
      <c r="T151" s="23" t="s">
        <v>174</v>
      </c>
      <c r="U151" s="23" t="s">
        <v>174</v>
      </c>
      <c r="V151" s="23" t="s">
        <v>174</v>
      </c>
      <c r="W151" s="23" t="s">
        <v>174</v>
      </c>
      <c r="X151" s="24"/>
      <c r="Y151" s="23" t="str">
        <f aca="false">"시편|"&amp;TEXT(Q151,"yyyy-mm-dd")</f>
        <v>시편|2027-12-19</v>
      </c>
      <c r="Z151" s="26" t="n">
        <f aca="false">Q151-안내!$C$12</f>
        <v>46712</v>
      </c>
      <c r="AA151" s="23" t="str">
        <f aca="false">IF(Q151&lt;안내!$C$11+안내!$C$12,"시작 전 제작","")</f>
        <v/>
      </c>
      <c r="AB151" s="24" t="s">
        <v>4329</v>
      </c>
      <c r="AC151" s="24"/>
    </row>
  </sheetData>
  <autoFilter ref="A1:AC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8457</v>
      </c>
      <c r="D1" s="16" t="s">
        <v>9259</v>
      </c>
      <c r="E1" s="16" t="s">
        <v>8459</v>
      </c>
      <c r="F1" s="16" t="s">
        <v>10244</v>
      </c>
      <c r="G1" s="16" t="s">
        <v>10245</v>
      </c>
      <c r="H1" s="16" t="s">
        <v>8461</v>
      </c>
      <c r="I1" s="16" t="s">
        <v>8462</v>
      </c>
      <c r="J1" s="16" t="s">
        <v>8467</v>
      </c>
      <c r="K1" s="16" t="s">
        <v>135</v>
      </c>
      <c r="L1" s="16" t="s">
        <v>137</v>
      </c>
      <c r="M1" s="16" t="s">
        <v>138</v>
      </c>
      <c r="N1" s="16" t="s">
        <v>139</v>
      </c>
      <c r="O1" s="16" t="s">
        <v>140</v>
      </c>
      <c r="P1" s="16" t="s">
        <v>141</v>
      </c>
    </row>
    <row r="2" customFormat="false" ht="15" hidden="false" customHeight="false" outlineLevel="0" collapsed="false">
      <c r="A2" s="23" t="n">
        <v>1</v>
      </c>
      <c r="B2" s="31" t="s">
        <v>9270</v>
      </c>
      <c r="C2" s="24" t="s">
        <v>10246</v>
      </c>
      <c r="D2" s="23" t="s">
        <v>9266</v>
      </c>
      <c r="E2" s="23" t="s">
        <v>10247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174</v>
      </c>
      <c r="M2" s="23" t="s">
        <v>174</v>
      </c>
      <c r="N2" s="23" t="s">
        <v>174</v>
      </c>
      <c r="O2" s="23" t="s">
        <v>174</v>
      </c>
      <c r="P2" s="24"/>
    </row>
    <row r="3" customFormat="false" ht="15" hidden="false" customHeight="false" outlineLevel="0" collapsed="false">
      <c r="A3" s="23" t="n">
        <v>2</v>
      </c>
      <c r="B3" s="31" t="s">
        <v>9342</v>
      </c>
      <c r="C3" s="24" t="s">
        <v>10248</v>
      </c>
      <c r="D3" s="23" t="s">
        <v>9266</v>
      </c>
      <c r="E3" s="23" t="s">
        <v>10249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174</v>
      </c>
      <c r="M3" s="23" t="s">
        <v>174</v>
      </c>
      <c r="N3" s="23" t="s">
        <v>174</v>
      </c>
      <c r="O3" s="23" t="s">
        <v>174</v>
      </c>
      <c r="P3" s="24"/>
    </row>
    <row r="4" customFormat="false" ht="15" hidden="false" customHeight="false" outlineLevel="0" collapsed="false">
      <c r="A4" s="23" t="n">
        <v>3</v>
      </c>
      <c r="B4" s="31" t="s">
        <v>9413</v>
      </c>
      <c r="C4" s="24" t="s">
        <v>10250</v>
      </c>
      <c r="D4" s="23" t="s">
        <v>9266</v>
      </c>
      <c r="E4" s="23" t="s">
        <v>10251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174</v>
      </c>
      <c r="M4" s="23" t="s">
        <v>174</v>
      </c>
      <c r="N4" s="23" t="s">
        <v>174</v>
      </c>
      <c r="O4" s="23" t="s">
        <v>174</v>
      </c>
      <c r="P4" s="24"/>
    </row>
    <row r="5" customFormat="false" ht="15" hidden="false" customHeight="false" outlineLevel="0" collapsed="false">
      <c r="A5" s="23" t="n">
        <v>4</v>
      </c>
      <c r="B5" s="31" t="s">
        <v>9471</v>
      </c>
      <c r="C5" s="24" t="s">
        <v>10252</v>
      </c>
      <c r="D5" s="23" t="s">
        <v>9266</v>
      </c>
      <c r="E5" s="23" t="s">
        <v>10253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174</v>
      </c>
      <c r="M5" s="23" t="s">
        <v>174</v>
      </c>
      <c r="N5" s="23" t="s">
        <v>174</v>
      </c>
      <c r="O5" s="23" t="s">
        <v>174</v>
      </c>
      <c r="P5" s="24"/>
    </row>
    <row r="6" customFormat="false" ht="15" hidden="false" customHeight="false" outlineLevel="0" collapsed="false">
      <c r="A6" s="23" t="n">
        <v>5</v>
      </c>
      <c r="B6" s="31" t="s">
        <v>9548</v>
      </c>
      <c r="C6" s="24" t="s">
        <v>10254</v>
      </c>
      <c r="D6" s="23" t="s">
        <v>9546</v>
      </c>
      <c r="E6" s="23" t="s">
        <v>10255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174</v>
      </c>
      <c r="M6" s="23" t="s">
        <v>174</v>
      </c>
      <c r="N6" s="23" t="s">
        <v>174</v>
      </c>
      <c r="O6" s="23" t="s">
        <v>174</v>
      </c>
      <c r="P6" s="24"/>
    </row>
    <row r="7" customFormat="false" ht="15" hidden="false" customHeight="false" outlineLevel="0" collapsed="false">
      <c r="A7" s="23" t="n">
        <v>6</v>
      </c>
      <c r="B7" s="31" t="s">
        <v>9606</v>
      </c>
      <c r="C7" s="24" t="s">
        <v>10256</v>
      </c>
      <c r="D7" s="23" t="s">
        <v>9546</v>
      </c>
      <c r="E7" s="23" t="s">
        <v>10257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174</v>
      </c>
      <c r="M7" s="23" t="s">
        <v>174</v>
      </c>
      <c r="N7" s="23" t="s">
        <v>174</v>
      </c>
      <c r="O7" s="23" t="s">
        <v>174</v>
      </c>
      <c r="P7" s="24"/>
    </row>
    <row r="8" customFormat="false" ht="15" hidden="false" customHeight="false" outlineLevel="0" collapsed="false">
      <c r="A8" s="23" t="n">
        <v>7</v>
      </c>
      <c r="B8" s="31" t="s">
        <v>9684</v>
      </c>
      <c r="C8" s="24" t="s">
        <v>10258</v>
      </c>
      <c r="D8" s="23" t="s">
        <v>9546</v>
      </c>
      <c r="E8" s="23" t="s">
        <v>10259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174</v>
      </c>
      <c r="M8" s="23" t="s">
        <v>174</v>
      </c>
      <c r="N8" s="23" t="s">
        <v>174</v>
      </c>
      <c r="O8" s="23" t="s">
        <v>174</v>
      </c>
      <c r="P8" s="24"/>
    </row>
    <row r="9" customFormat="false" ht="15" hidden="false" customHeight="false" outlineLevel="0" collapsed="false">
      <c r="A9" s="23" t="n">
        <v>8</v>
      </c>
      <c r="B9" s="31" t="s">
        <v>9761</v>
      </c>
      <c r="C9" s="24" t="s">
        <v>10260</v>
      </c>
      <c r="D9" s="23" t="s">
        <v>9759</v>
      </c>
      <c r="E9" s="23" t="s">
        <v>10261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174</v>
      </c>
      <c r="M9" s="23" t="s">
        <v>174</v>
      </c>
      <c r="N9" s="23" t="s">
        <v>174</v>
      </c>
      <c r="O9" s="23" t="s">
        <v>174</v>
      </c>
      <c r="P9" s="24"/>
    </row>
    <row r="10" customFormat="false" ht="15" hidden="false" customHeight="false" outlineLevel="0" collapsed="false">
      <c r="A10" s="23" t="n">
        <v>9</v>
      </c>
      <c r="B10" s="31" t="s">
        <v>9821</v>
      </c>
      <c r="C10" s="24" t="s">
        <v>10262</v>
      </c>
      <c r="D10" s="23" t="s">
        <v>9759</v>
      </c>
      <c r="E10" s="23" t="s">
        <v>10263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174</v>
      </c>
      <c r="M10" s="23" t="s">
        <v>174</v>
      </c>
      <c r="N10" s="23" t="s">
        <v>174</v>
      </c>
      <c r="O10" s="23" t="s">
        <v>174</v>
      </c>
      <c r="P10" s="24"/>
    </row>
    <row r="11" customFormat="false" ht="15" hidden="false" customHeight="false" outlineLevel="0" collapsed="false">
      <c r="A11" s="23" t="n">
        <v>10</v>
      </c>
      <c r="B11" s="31" t="s">
        <v>9875</v>
      </c>
      <c r="C11" s="24" t="s">
        <v>10264</v>
      </c>
      <c r="D11" s="23" t="s">
        <v>9873</v>
      </c>
      <c r="E11" s="23" t="s">
        <v>10265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174</v>
      </c>
      <c r="M11" s="23" t="s">
        <v>174</v>
      </c>
      <c r="N11" s="23" t="s">
        <v>174</v>
      </c>
      <c r="O11" s="23" t="s">
        <v>174</v>
      </c>
      <c r="P11" s="24"/>
    </row>
    <row r="12" customFormat="false" ht="15" hidden="false" customHeight="false" outlineLevel="0" collapsed="false">
      <c r="A12" s="23" t="n">
        <v>11</v>
      </c>
      <c r="B12" s="31" t="s">
        <v>9928</v>
      </c>
      <c r="C12" s="24" t="s">
        <v>10266</v>
      </c>
      <c r="D12" s="23" t="s">
        <v>9873</v>
      </c>
      <c r="E12" s="23" t="s">
        <v>10267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174</v>
      </c>
      <c r="M12" s="23" t="s">
        <v>174</v>
      </c>
      <c r="N12" s="23" t="s">
        <v>174</v>
      </c>
      <c r="O12" s="23" t="s">
        <v>174</v>
      </c>
      <c r="P12" s="24"/>
    </row>
    <row r="13" customFormat="false" ht="15" hidden="false" customHeight="false" outlineLevel="0" collapsed="false">
      <c r="A13" s="23" t="n">
        <v>12</v>
      </c>
      <c r="B13" s="31" t="s">
        <v>9968</v>
      </c>
      <c r="C13" s="24" t="s">
        <v>10268</v>
      </c>
      <c r="D13" s="23" t="s">
        <v>9962</v>
      </c>
      <c r="E13" s="23" t="s">
        <v>10269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174</v>
      </c>
      <c r="M13" s="23" t="s">
        <v>174</v>
      </c>
      <c r="N13" s="23" t="s">
        <v>174</v>
      </c>
      <c r="O13" s="23" t="s">
        <v>174</v>
      </c>
      <c r="P13" s="24"/>
    </row>
    <row r="14" customFormat="false" ht="15" hidden="false" customHeight="false" outlineLevel="0" collapsed="false">
      <c r="A14" s="23" t="n">
        <v>13</v>
      </c>
      <c r="B14" s="31" t="s">
        <v>10047</v>
      </c>
      <c r="C14" s="24" t="s">
        <v>10270</v>
      </c>
      <c r="D14" s="23" t="s">
        <v>9962</v>
      </c>
      <c r="E14" s="23" t="s">
        <v>10271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174</v>
      </c>
      <c r="M14" s="23" t="s">
        <v>174</v>
      </c>
      <c r="N14" s="23" t="s">
        <v>174</v>
      </c>
      <c r="O14" s="23" t="s">
        <v>174</v>
      </c>
      <c r="P14" s="24"/>
    </row>
    <row r="15" customFormat="false" ht="15" hidden="false" customHeight="false" outlineLevel="0" collapsed="false">
      <c r="A15" s="23" t="n">
        <v>14</v>
      </c>
      <c r="B15" s="31" t="s">
        <v>10103</v>
      </c>
      <c r="C15" s="24" t="s">
        <v>10272</v>
      </c>
      <c r="D15" s="23" t="s">
        <v>9962</v>
      </c>
      <c r="E15" s="23" t="s">
        <v>10273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174</v>
      </c>
      <c r="M15" s="23" t="s">
        <v>174</v>
      </c>
      <c r="N15" s="23" t="s">
        <v>174</v>
      </c>
      <c r="O15" s="23" t="s">
        <v>174</v>
      </c>
      <c r="P15" s="24"/>
    </row>
    <row r="16" customFormat="false" ht="15" hidden="false" customHeight="false" outlineLevel="0" collapsed="false">
      <c r="A16" s="23" t="n">
        <v>15</v>
      </c>
      <c r="B16" s="31" t="s">
        <v>10168</v>
      </c>
      <c r="C16" s="24" t="s">
        <v>10274</v>
      </c>
      <c r="D16" s="23" t="s">
        <v>9962</v>
      </c>
      <c r="E16" s="23" t="s">
        <v>10275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174</v>
      </c>
      <c r="M16" s="23" t="s">
        <v>174</v>
      </c>
      <c r="N16" s="23" t="s">
        <v>174</v>
      </c>
      <c r="O16" s="23" t="s">
        <v>174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5" min="4" style="0" width="40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6"/>
  </cols>
  <sheetData>
    <row r="1" customFormat="false" ht="30" hidden="false" customHeight="true" outlineLevel="0" collapsed="false">
      <c r="A1" s="16" t="s">
        <v>10276</v>
      </c>
      <c r="B1" s="16" t="s">
        <v>10277</v>
      </c>
      <c r="C1" s="16" t="s">
        <v>135</v>
      </c>
      <c r="D1" s="16" t="s">
        <v>10278</v>
      </c>
      <c r="E1" s="16" t="s">
        <v>10279</v>
      </c>
      <c r="F1" s="16" t="s">
        <v>33</v>
      </c>
      <c r="G1" s="16" t="s">
        <v>10280</v>
      </c>
      <c r="H1" s="16" t="s">
        <v>10281</v>
      </c>
    </row>
    <row r="2" customFormat="false" ht="15" hidden="false" customHeight="false" outlineLevel="0" collapsed="false">
      <c r="A2" s="23" t="n">
        <f aca="false">IF(B2="","",1)</f>
        <v>1</v>
      </c>
      <c r="B2" s="26" t="n">
        <f aca="false">IF(안내!$C$9+0&gt;MAX(MAX(A타입_제작표!$U$2:$U$799),MAX(시편_시리즈!$Q$2:$Q$151)),"",안내!$C$9+0)</f>
        <v>46391</v>
      </c>
      <c r="C2" s="23" t="str">
        <f aca="false">IF(B2="","",CHOOSE(WEEKDAY(B2,2),"월","화","수","목","금","토","일"))</f>
        <v>월</v>
      </c>
      <c r="D2" s="24" t="str">
        <f aca="false">IF(B2="","",IFERROR(INDEX(A타입_제작표!$J$2:$J$799,MATCH("구약|"&amp;TEXT(B2,"yyyy-mm-dd"),A타입_제작표!$AQ$2:$AQ$799,0))&amp;"  "&amp;INDEX(A타입_제작표!$L$2:$L$799,MATCH("구약|"&amp;TEXT(B2,"yyyy-mm-dd"),A타입_제작표!$AQ$2:$AQ$799,0)),""))</f>
        <v>창 1:1-5  태초에</v>
      </c>
      <c r="E2" s="24" t="str">
        <f aca="false">IF(B2="","",IFERROR(INDEX(A타입_제작표!$J$2:$J$799,MATCH("신약|"&amp;TEXT(B2,"yyyy-mm-dd"),A타입_제작표!$AQ$2:$AQ$799,0))&amp;"  "&amp;INDEX(A타입_제작표!$L$2:$L$799,MATCH("신약|"&amp;TEXT(B2,"yyyy-mm-dd"),A타입_제작표!$AQ$2:$AQ$799,0)),""))</f>
        <v>마 1:18-25  요셉의 꿈</v>
      </c>
      <c r="F2" s="24" t="str">
        <f aca="false">IF(B2="","",IFERROR("시편 "&amp;INDEX(시편_시리즈!$A$2:$A$151,MATCH("시편|"&amp;TEXT(B2,"yyyy-mm-dd"),시편_시리즈!$Y$2:$Y$151,0))&amp;"편  "&amp;INDEX(시편_시리즈!$G$2:$G$151,MATCH("시편|"&amp;TEXT(B2,"yyyy-mm-dd"),시편_시리즈!$Y$2:$Y$151,0)),""))</f>
        <v/>
      </c>
      <c r="G2" s="23" t="n">
        <f aca="false">IF(B2="","",(D2&lt;&gt;"")+(E2&lt;&gt;"")+(F2&lt;&gt;""))</f>
        <v>2</v>
      </c>
      <c r="H2" s="31" t="s">
        <v>10282</v>
      </c>
    </row>
    <row r="3" customFormat="false" ht="15" hidden="false" customHeight="false" outlineLevel="0" collapsed="false">
      <c r="A3" s="23" t="n">
        <f aca="false">IF(B3="","",2)</f>
        <v>2</v>
      </c>
      <c r="B3" s="26" t="n">
        <f aca="false">IF(안내!$C$9+1&gt;MAX(MAX(A타입_제작표!$U$2:$U$799),MAX(시편_시리즈!$Q$2:$Q$151)),"",안내!$C$9+1)</f>
        <v>46392</v>
      </c>
      <c r="C3" s="23" t="str">
        <f aca="false">IF(B3="","",CHOOSE(WEEKDAY(B3,2),"월","화","수","목","금","토","일"))</f>
        <v>화</v>
      </c>
      <c r="D3" s="24" t="str">
        <f aca="false">IF(B3="","",IFERROR(INDEX(A타입_제작표!$J$2:$J$799,MATCH("구약|"&amp;TEXT(B3,"yyyy-mm-dd"),A타입_제작표!$AQ$2:$AQ$799,0))&amp;"  "&amp;INDEX(A타입_제작표!$L$2:$L$799,MATCH("구약|"&amp;TEXT(B3,"yyyy-mm-dd"),A타입_제작표!$AQ$2:$AQ$799,0)),""))</f>
        <v>창 1:6-13  하늘과 바다와 땅</v>
      </c>
      <c r="E3" s="24" t="str">
        <f aca="false">IF(B3="","",IFERROR(INDEX(A타입_제작표!$J$2:$J$799,MATCH("신약|"&amp;TEXT(B3,"yyyy-mm-dd"),A타입_제작표!$AQ$2:$AQ$799,0))&amp;"  "&amp;INDEX(A타입_제작표!$L$2:$L$799,MATCH("신약|"&amp;TEXT(B3,"yyyy-mm-dd"),A타입_제작표!$AQ$2:$AQ$799,0)),""))</f>
        <v/>
      </c>
      <c r="F3" s="24" t="str">
        <f aca="false">IF(B3="","",IFERROR("시편 "&amp;INDEX(시편_시리즈!$A$2:$A$151,MATCH("시편|"&amp;TEXT(B3,"yyyy-mm-dd"),시편_시리즈!$Y$2:$Y$151,0))&amp;"편  "&amp;INDEX(시편_시리즈!$G$2:$G$151,MATCH("시편|"&amp;TEXT(B3,"yyyy-mm-dd"),시편_시리즈!$Y$2:$Y$151,0)),""))</f>
        <v>시편 1편  복 있는 사람</v>
      </c>
      <c r="G3" s="23" t="n">
        <f aca="false">IF(B3="","",(D3&lt;&gt;"")+(E3&lt;&gt;"")+(F3&lt;&gt;""))</f>
        <v>2</v>
      </c>
      <c r="H3" s="31" t="s">
        <v>10282</v>
      </c>
    </row>
    <row r="4" customFormat="false" ht="15" hidden="false" customHeight="false" outlineLevel="0" collapsed="false">
      <c r="A4" s="23" t="n">
        <f aca="false">IF(B4="","",3)</f>
        <v>3</v>
      </c>
      <c r="B4" s="26" t="n">
        <f aca="false">IF(안내!$C$9+2&gt;MAX(MAX(A타입_제작표!$U$2:$U$799),MAX(시편_시리즈!$Q$2:$Q$151)),"",안내!$C$9+2)</f>
        <v>46393</v>
      </c>
      <c r="C4" s="23" t="str">
        <f aca="false">IF(B4="","",CHOOSE(WEEKDAY(B4,2),"월","화","수","목","금","토","일"))</f>
        <v>수</v>
      </c>
      <c r="D4" s="24" t="str">
        <f aca="false">IF(B4="","",IFERROR(INDEX(A타입_제작표!$J$2:$J$799,MATCH("구약|"&amp;TEXT(B4,"yyyy-mm-dd"),A타입_제작표!$AQ$2:$AQ$799,0))&amp;"  "&amp;INDEX(A타입_제작표!$L$2:$L$799,MATCH("구약|"&amp;TEXT(B4,"yyyy-mm-dd"),A타입_제작표!$AQ$2:$AQ$799,0)),""))</f>
        <v>창 1:14-25  해·달·별, 그리고 생명들</v>
      </c>
      <c r="E4" s="24" t="str">
        <f aca="false">IF(B4="","",IFERROR(INDEX(A타입_제작표!$J$2:$J$799,MATCH("신약|"&amp;TEXT(B4,"yyyy-mm-dd"),A타입_제작표!$AQ$2:$AQ$799,0))&amp;"  "&amp;INDEX(A타입_제작표!$L$2:$L$799,MATCH("신약|"&amp;TEXT(B4,"yyyy-mm-dd"),A타입_제작표!$AQ$2:$AQ$799,0)),""))</f>
        <v>마 2:1-12  별을 따라온 사람들</v>
      </c>
      <c r="F4" s="24" t="str">
        <f aca="false">IF(B4="","",IFERROR("시편 "&amp;INDEX(시편_시리즈!$A$2:$A$151,MATCH("시편|"&amp;TEXT(B4,"yyyy-mm-dd"),시편_시리즈!$Y$2:$Y$151,0))&amp;"편  "&amp;INDEX(시편_시리즈!$G$2:$G$151,MATCH("시편|"&amp;TEXT(B4,"yyyy-mm-dd"),시편_시리즈!$Y$2:$Y$151,0)),""))</f>
        <v/>
      </c>
      <c r="G4" s="23" t="n">
        <f aca="false">IF(B4="","",(D4&lt;&gt;"")+(E4&lt;&gt;"")+(F4&lt;&gt;""))</f>
        <v>2</v>
      </c>
      <c r="H4" s="31" t="s">
        <v>10282</v>
      </c>
    </row>
    <row r="5" customFormat="false" ht="15" hidden="false" customHeight="false" outlineLevel="0" collapsed="false">
      <c r="A5" s="23" t="n">
        <f aca="false">IF(B5="","",4)</f>
        <v>4</v>
      </c>
      <c r="B5" s="26" t="n">
        <f aca="false">IF(안내!$C$9+3&gt;MAX(MAX(A타입_제작표!$U$2:$U$799),MAX(시편_시리즈!$Q$2:$Q$151)),"",안내!$C$9+3)</f>
        <v>46394</v>
      </c>
      <c r="C5" s="23" t="str">
        <f aca="false">IF(B5="","",CHOOSE(WEEKDAY(B5,2),"월","화","수","목","금","토","일"))</f>
        <v>목</v>
      </c>
      <c r="D5" s="24" t="str">
        <f aca="false">IF(B5="","",IFERROR(INDEX(A타입_제작표!$J$2:$J$799,MATCH("구약|"&amp;TEXT(B5,"yyyy-mm-dd"),A타입_제작표!$AQ$2:$AQ$799,0))&amp;"  "&amp;INDEX(A타입_제작표!$L$2:$L$799,MATCH("구약|"&amp;TEXT(B5,"yyyy-mm-dd"),A타입_제작표!$AQ$2:$AQ$799,0)),""))</f>
        <v>창 1:26-2:3  하나님의 형상, 사람</v>
      </c>
      <c r="E5" s="24" t="str">
        <f aca="false">IF(B5="","",IFERROR(INDEX(A타입_제작표!$J$2:$J$799,MATCH("신약|"&amp;TEXT(B5,"yyyy-mm-dd"),A타입_제작표!$AQ$2:$AQ$799,0))&amp;"  "&amp;INDEX(A타입_제작표!$L$2:$L$799,MATCH("신약|"&amp;TEXT(B5,"yyyy-mm-dd"),A타입_제작표!$AQ$2:$AQ$799,0)),""))</f>
        <v/>
      </c>
      <c r="F5" s="24" t="str">
        <f aca="false">IF(B5="","",IFERROR("시편 "&amp;INDEX(시편_시리즈!$A$2:$A$151,MATCH("시편|"&amp;TEXT(B5,"yyyy-mm-dd"),시편_시리즈!$Y$2:$Y$151,0))&amp;"편  "&amp;INDEX(시편_시리즈!$G$2:$G$151,MATCH("시편|"&amp;TEXT(B5,"yyyy-mm-dd"),시편_시리즈!$Y$2:$Y$151,0)),""))</f>
        <v>시편 2편  하나님의 아들</v>
      </c>
      <c r="G5" s="23" t="n">
        <f aca="false">IF(B5="","",(D5&lt;&gt;"")+(E5&lt;&gt;"")+(F5&lt;&gt;""))</f>
        <v>2</v>
      </c>
      <c r="H5" s="31" t="s">
        <v>10282</v>
      </c>
    </row>
    <row r="6" customFormat="false" ht="15" hidden="false" customHeight="false" outlineLevel="0" collapsed="false">
      <c r="A6" s="23" t="n">
        <f aca="false">IF(B6="","",5)</f>
        <v>5</v>
      </c>
      <c r="B6" s="26" t="n">
        <f aca="false">IF(안내!$C$9+4&gt;MAX(MAX(A타입_제작표!$U$2:$U$799),MAX(시편_시리즈!$Q$2:$Q$151)),"",안내!$C$9+4)</f>
        <v>46395</v>
      </c>
      <c r="C6" s="23" t="str">
        <f aca="false">IF(B6="","",CHOOSE(WEEKDAY(B6,2),"월","화","수","목","금","토","일"))</f>
        <v>금</v>
      </c>
      <c r="D6" s="24" t="str">
        <f aca="false">IF(B6="","",IFERROR(INDEX(A타입_제작표!$J$2:$J$799,MATCH("구약|"&amp;TEXT(B6,"yyyy-mm-dd"),A타입_제작표!$AQ$2:$AQ$799,0))&amp;"  "&amp;INDEX(A타입_제작표!$L$2:$L$799,MATCH("구약|"&amp;TEXT(B6,"yyyy-mm-dd"),A타입_제작표!$AQ$2:$AQ$799,0)),""))</f>
        <v>창 2:4-17  에덴동산과 한 가지 명령</v>
      </c>
      <c r="E6" s="24" t="str">
        <f aca="false">IF(B6="","",IFERROR(INDEX(A타입_제작표!$J$2:$J$799,MATCH("신약|"&amp;TEXT(B6,"yyyy-mm-dd"),A타입_제작표!$AQ$2:$AQ$799,0))&amp;"  "&amp;INDEX(A타입_제작표!$L$2:$L$799,MATCH("신약|"&amp;TEXT(B6,"yyyy-mm-dd"),A타입_제작표!$AQ$2:$AQ$799,0)),""))</f>
        <v>마 3:1-12  광야의 외침</v>
      </c>
      <c r="F6" s="24" t="str">
        <f aca="false">IF(B6="","",IFERROR("시편 "&amp;INDEX(시편_시리즈!$A$2:$A$151,MATCH("시편|"&amp;TEXT(B6,"yyyy-mm-dd"),시편_시리즈!$Y$2:$Y$151,0))&amp;"편  "&amp;INDEX(시편_시리즈!$G$2:$G$151,MATCH("시편|"&amp;TEXT(B6,"yyyy-mm-dd"),시편_시리즈!$Y$2:$Y$151,0)),""))</f>
        <v/>
      </c>
      <c r="G6" s="23" t="n">
        <f aca="false">IF(B6="","",(D6&lt;&gt;"")+(E6&lt;&gt;"")+(F6&lt;&gt;""))</f>
        <v>2</v>
      </c>
      <c r="H6" s="31" t="s">
        <v>10282</v>
      </c>
    </row>
    <row r="7" customFormat="false" ht="15" hidden="false" customHeight="false" outlineLevel="0" collapsed="false">
      <c r="A7" s="23" t="n">
        <f aca="false">IF(B7="","",6)</f>
        <v>6</v>
      </c>
      <c r="B7" s="26" t="n">
        <f aca="false">IF(안내!$C$9+5&gt;MAX(MAX(A타입_제작표!$U$2:$U$799),MAX(시편_시리즈!$Q$2:$Q$151)),"",안내!$C$9+5)</f>
        <v>46396</v>
      </c>
      <c r="C7" s="23" t="str">
        <f aca="false">IF(B7="","",CHOOSE(WEEKDAY(B7,2),"월","화","수","목","금","토","일"))</f>
        <v>토</v>
      </c>
      <c r="D7" s="24" t="str">
        <f aca="false">IF(B7="","",IFERROR(INDEX(A타입_제작표!$J$2:$J$799,MATCH("구약|"&amp;TEXT(B7,"yyyy-mm-dd"),A타입_제작표!$AQ$2:$AQ$799,0))&amp;"  "&amp;INDEX(A타입_제작표!$L$2:$L$799,MATCH("구약|"&amp;TEXT(B7,"yyyy-mm-dd"),A타입_제작표!$AQ$2:$AQ$799,0)),""))</f>
        <v>창 2:18-25  첫 번째 가정</v>
      </c>
      <c r="E7" s="24" t="str">
        <f aca="false">IF(B7="","",IFERROR(INDEX(A타입_제작표!$J$2:$J$799,MATCH("신약|"&amp;TEXT(B7,"yyyy-mm-dd"),A타입_제작표!$AQ$2:$AQ$799,0))&amp;"  "&amp;INDEX(A타입_제작표!$L$2:$L$799,MATCH("신약|"&amp;TEXT(B7,"yyyy-mm-dd"),A타입_제작표!$AQ$2:$AQ$799,0)),""))</f>
        <v>마 3:13-17  하늘이 열리다</v>
      </c>
      <c r="F7" s="24" t="str">
        <f aca="false">IF(B7="","",IFERROR("시편 "&amp;INDEX(시편_시리즈!$A$2:$A$151,MATCH("시편|"&amp;TEXT(B7,"yyyy-mm-dd"),시편_시리즈!$Y$2:$Y$151,0))&amp;"편  "&amp;INDEX(시편_시리즈!$G$2:$G$151,MATCH("시편|"&amp;TEXT(B7,"yyyy-mm-dd"),시편_시리즈!$Y$2:$Y$151,0)),""))</f>
        <v/>
      </c>
      <c r="G7" s="23" t="n">
        <f aca="false">IF(B7="","",(D7&lt;&gt;"")+(E7&lt;&gt;"")+(F7&lt;&gt;""))</f>
        <v>2</v>
      </c>
      <c r="H7" s="31" t="s">
        <v>10282</v>
      </c>
    </row>
    <row r="8" customFormat="false" ht="15" hidden="false" customHeight="false" outlineLevel="0" collapsed="false">
      <c r="A8" s="23" t="n">
        <f aca="false">IF(B8="","",7)</f>
        <v>7</v>
      </c>
      <c r="B8" s="26" t="n">
        <f aca="false">IF(안내!$C$9+6&gt;MAX(MAX(A타입_제작표!$U$2:$U$799),MAX(시편_시리즈!$Q$2:$Q$151)),"",안내!$C$9+6)</f>
        <v>46397</v>
      </c>
      <c r="C8" s="23" t="str">
        <f aca="false">IF(B8="","",CHOOSE(WEEKDAY(B8,2),"월","화","수","목","금","토","일"))</f>
        <v>일</v>
      </c>
      <c r="D8" s="24" t="str">
        <f aca="false">IF(B8="","",IFERROR(INDEX(A타입_제작표!$J$2:$J$799,MATCH("구약|"&amp;TEXT(B8,"yyyy-mm-dd"),A타입_제작표!$AQ$2:$AQ$799,0))&amp;"  "&amp;INDEX(A타입_제작표!$L$2:$L$799,MATCH("구약|"&amp;TEXT(B8,"yyyy-mm-dd"),A타입_제작표!$AQ$2:$AQ$799,0)),""))</f>
        <v>창 3:1-7  뱀의 유혹</v>
      </c>
      <c r="E8" s="24" t="str">
        <f aca="false">IF(B8="","",IFERROR(INDEX(A타입_제작표!$J$2:$J$799,MATCH("신약|"&amp;TEXT(B8,"yyyy-mm-dd"),A타입_제작표!$AQ$2:$AQ$799,0))&amp;"  "&amp;INDEX(A타입_제작표!$L$2:$L$799,MATCH("신약|"&amp;TEXT(B8,"yyyy-mm-dd"),A타입_제작표!$AQ$2:$AQ$799,0)),""))</f>
        <v/>
      </c>
      <c r="F8" s="24" t="str">
        <f aca="false">IF(B8="","",IFERROR("시편 "&amp;INDEX(시편_시리즈!$A$2:$A$151,MATCH("시편|"&amp;TEXT(B8,"yyyy-mm-dd"),시편_시리즈!$Y$2:$Y$151,0))&amp;"편  "&amp;INDEX(시편_시리즈!$G$2:$G$151,MATCH("시편|"&amp;TEXT(B8,"yyyy-mm-dd"),시편_시리즈!$Y$2:$Y$151,0)),""))</f>
        <v>시편 3편  아침에 다시 일어나다</v>
      </c>
      <c r="G8" s="23" t="n">
        <f aca="false">IF(B8="","",(D8&lt;&gt;"")+(E8&lt;&gt;"")+(F8&lt;&gt;""))</f>
        <v>2</v>
      </c>
      <c r="H8" s="31" t="s">
        <v>10282</v>
      </c>
    </row>
    <row r="9" customFormat="false" ht="15" hidden="false" customHeight="false" outlineLevel="0" collapsed="false">
      <c r="A9" s="23" t="n">
        <f aca="false">IF(B9="","",8)</f>
        <v>8</v>
      </c>
      <c r="B9" s="26" t="n">
        <f aca="false">IF(안내!$C$9+7&gt;MAX(MAX(A타입_제작표!$U$2:$U$799),MAX(시편_시리즈!$Q$2:$Q$151)),"",안내!$C$9+7)</f>
        <v>46398</v>
      </c>
      <c r="C9" s="23" t="str">
        <f aca="false">IF(B9="","",CHOOSE(WEEKDAY(B9,2),"월","화","수","목","금","토","일"))</f>
        <v>월</v>
      </c>
      <c r="D9" s="24" t="str">
        <f aca="false">IF(B9="","",IFERROR(INDEX(A타입_제작표!$J$2:$J$799,MATCH("구약|"&amp;TEXT(B9,"yyyy-mm-dd"),A타입_제작표!$AQ$2:$AQ$799,0))&amp;"  "&amp;INDEX(A타입_제작표!$L$2:$L$799,MATCH("구약|"&amp;TEXT(B9,"yyyy-mm-dd"),A타입_제작표!$AQ$2:$AQ$799,0)),""))</f>
        <v>창 3:8-13  네가 어디 있느냐</v>
      </c>
      <c r="E9" s="24" t="str">
        <f aca="false">IF(B9="","",IFERROR(INDEX(A타입_제작표!$J$2:$J$799,MATCH("신약|"&amp;TEXT(B9,"yyyy-mm-dd"),A타입_제작표!$AQ$2:$AQ$799,0))&amp;"  "&amp;INDEX(A타입_제작표!$L$2:$L$799,MATCH("신약|"&amp;TEXT(B9,"yyyy-mm-dd"),A타입_제작표!$AQ$2:$AQ$799,0)),""))</f>
        <v>마 4:1-11  광야의 시험</v>
      </c>
      <c r="F9" s="24" t="str">
        <f aca="false">IF(B9="","",IFERROR("시편 "&amp;INDEX(시편_시리즈!$A$2:$A$151,MATCH("시편|"&amp;TEXT(B9,"yyyy-mm-dd"),시편_시리즈!$Y$2:$Y$151,0))&amp;"편  "&amp;INDEX(시편_시리즈!$G$2:$G$151,MATCH("시편|"&amp;TEXT(B9,"yyyy-mm-dd"),시편_시리즈!$Y$2:$Y$151,0)),""))</f>
        <v/>
      </c>
      <c r="G9" s="23" t="n">
        <f aca="false">IF(B9="","",(D9&lt;&gt;"")+(E9&lt;&gt;"")+(F9&lt;&gt;""))</f>
        <v>2</v>
      </c>
      <c r="H9" s="31" t="s">
        <v>10282</v>
      </c>
    </row>
    <row r="10" customFormat="false" ht="15" hidden="false" customHeight="false" outlineLevel="0" collapsed="false">
      <c r="A10" s="23" t="n">
        <f aca="false">IF(B10="","",9)</f>
        <v>9</v>
      </c>
      <c r="B10" s="26" t="n">
        <f aca="false">IF(안내!$C$9+8&gt;MAX(MAX(A타입_제작표!$U$2:$U$799),MAX(시편_시리즈!$Q$2:$Q$151)),"",안내!$C$9+8)</f>
        <v>46399</v>
      </c>
      <c r="C10" s="23" t="str">
        <f aca="false">IF(B10="","",CHOOSE(WEEKDAY(B10,2),"월","화","수","목","금","토","일"))</f>
        <v>화</v>
      </c>
      <c r="D10" s="24" t="str">
        <f aca="false">IF(B10="","",IFERROR(INDEX(A타입_제작표!$J$2:$J$799,MATCH("구약|"&amp;TEXT(B10,"yyyy-mm-dd"),A타입_제작표!$AQ$2:$AQ$799,0))&amp;"  "&amp;INDEX(A타입_제작표!$L$2:$L$799,MATCH("구약|"&amp;TEXT(B10,"yyyy-mm-dd"),A타입_제작표!$AQ$2:$AQ$799,0)),""))</f>
        <v>창 3:14-19  첫 번째 복음</v>
      </c>
      <c r="E10" s="24" t="str">
        <f aca="false">IF(B10="","",IFERROR(INDEX(A타입_제작표!$J$2:$J$799,MATCH("신약|"&amp;TEXT(B10,"yyyy-mm-dd"),A타입_제작표!$AQ$2:$AQ$799,0))&amp;"  "&amp;INDEX(A타입_제작표!$L$2:$L$799,MATCH("신약|"&amp;TEXT(B10,"yyyy-mm-dd"),A타입_제작표!$AQ$2:$AQ$799,0)),""))</f>
        <v/>
      </c>
      <c r="F10" s="24" t="str">
        <f aca="false">IF(B10="","",IFERROR("시편 "&amp;INDEX(시편_시리즈!$A$2:$A$151,MATCH("시편|"&amp;TEXT(B10,"yyyy-mm-dd"),시편_시리즈!$Y$2:$Y$151,0))&amp;"편  "&amp;INDEX(시편_시리즈!$G$2:$G$151,MATCH("시편|"&amp;TEXT(B10,"yyyy-mm-dd"),시편_시리즈!$Y$2:$Y$151,0)),""))</f>
        <v>시편 4편  평안히 눕고 자다</v>
      </c>
      <c r="G10" s="23" t="n">
        <f aca="false">IF(B10="","",(D10&lt;&gt;"")+(E10&lt;&gt;"")+(F10&lt;&gt;""))</f>
        <v>2</v>
      </c>
      <c r="H10" s="31" t="s">
        <v>10282</v>
      </c>
    </row>
    <row r="11" customFormat="false" ht="15" hidden="false" customHeight="false" outlineLevel="0" collapsed="false">
      <c r="A11" s="23" t="n">
        <f aca="false">IF(B11="","",10)</f>
        <v>10</v>
      </c>
      <c r="B11" s="26" t="n">
        <f aca="false">IF(안내!$C$9+9&gt;MAX(MAX(A타입_제작표!$U$2:$U$799),MAX(시편_시리즈!$Q$2:$Q$151)),"",안내!$C$9+9)</f>
        <v>46400</v>
      </c>
      <c r="C11" s="23" t="str">
        <f aca="false">IF(B11="","",CHOOSE(WEEKDAY(B11,2),"월","화","수","목","금","토","일"))</f>
        <v>수</v>
      </c>
      <c r="D11" s="24" t="str">
        <f aca="false">IF(B11="","",IFERROR(INDEX(A타입_제작표!$J$2:$J$799,MATCH("구약|"&amp;TEXT(B11,"yyyy-mm-dd"),A타입_제작표!$AQ$2:$AQ$799,0))&amp;"  "&amp;INDEX(A타입_제작표!$L$2:$L$799,MATCH("구약|"&amp;TEXT(B11,"yyyy-mm-dd"),A타입_제작표!$AQ$2:$AQ$799,0)),""))</f>
        <v>창 3:20-24  가죽옷과 에덴 밖으로</v>
      </c>
      <c r="E11" s="24" t="str">
        <f aca="false">IF(B11="","",IFERROR(INDEX(A타입_제작표!$J$2:$J$799,MATCH("신약|"&amp;TEXT(B11,"yyyy-mm-dd"),A타입_제작표!$AQ$2:$AQ$799,0))&amp;"  "&amp;INDEX(A타입_제작표!$L$2:$L$799,MATCH("신약|"&amp;TEXT(B11,"yyyy-mm-dd"),A타입_제작표!$AQ$2:$AQ$799,0)),""))</f>
        <v>마 4:12-25  사람을 낚는 어부</v>
      </c>
      <c r="F11" s="24" t="str">
        <f aca="false">IF(B11="","",IFERROR("시편 "&amp;INDEX(시편_시리즈!$A$2:$A$151,MATCH("시편|"&amp;TEXT(B11,"yyyy-mm-dd"),시편_시리즈!$Y$2:$Y$151,0))&amp;"편  "&amp;INDEX(시편_시리즈!$G$2:$G$151,MATCH("시편|"&amp;TEXT(B11,"yyyy-mm-dd"),시편_시리즈!$Y$2:$Y$151,0)),""))</f>
        <v/>
      </c>
      <c r="G11" s="23" t="n">
        <f aca="false">IF(B11="","",(D11&lt;&gt;"")+(E11&lt;&gt;"")+(F11&lt;&gt;""))</f>
        <v>2</v>
      </c>
      <c r="H11" s="31" t="s">
        <v>10282</v>
      </c>
    </row>
    <row r="12" customFormat="false" ht="15" hidden="false" customHeight="false" outlineLevel="0" collapsed="false">
      <c r="A12" s="23" t="n">
        <f aca="false">IF(B12="","",11)</f>
        <v>11</v>
      </c>
      <c r="B12" s="26" t="n">
        <f aca="false">IF(안내!$C$9+10&gt;MAX(MAX(A타입_제작표!$U$2:$U$799),MAX(시편_시리즈!$Q$2:$Q$151)),"",안내!$C$9+10)</f>
        <v>46401</v>
      </c>
      <c r="C12" s="23" t="str">
        <f aca="false">IF(B12="","",CHOOSE(WEEKDAY(B12,2),"월","화","수","목","금","토","일"))</f>
        <v>목</v>
      </c>
      <c r="D12" s="24" t="str">
        <f aca="false">IF(B12="","",IFERROR(INDEX(A타입_제작표!$J$2:$J$799,MATCH("구약|"&amp;TEXT(B12,"yyyy-mm-dd"),A타입_제작표!$AQ$2:$AQ$799,0))&amp;"  "&amp;INDEX(A타입_제작표!$L$2:$L$799,MATCH("구약|"&amp;TEXT(B12,"yyyy-mm-dd"),A타입_제작표!$AQ$2:$AQ$799,0)),""))</f>
        <v>창 4:1-8  가인과 아벨</v>
      </c>
      <c r="E12" s="24" t="str">
        <f aca="false">IF(B12="","",IFERROR(INDEX(A타입_제작표!$J$2:$J$799,MATCH("신약|"&amp;TEXT(B12,"yyyy-mm-dd"),A타입_제작표!$AQ$2:$AQ$799,0))&amp;"  "&amp;INDEX(A타입_제작표!$L$2:$L$799,MATCH("신약|"&amp;TEXT(B12,"yyyy-mm-dd"),A타입_제작표!$AQ$2:$AQ$799,0)),""))</f>
        <v/>
      </c>
      <c r="F12" s="24" t="str">
        <f aca="false">IF(B12="","",IFERROR("시편 "&amp;INDEX(시편_시리즈!$A$2:$A$151,MATCH("시편|"&amp;TEXT(B12,"yyyy-mm-dd"),시편_시리즈!$Y$2:$Y$151,0))&amp;"편  "&amp;INDEX(시편_시리즈!$G$2:$G$151,MATCH("시편|"&amp;TEXT(B12,"yyyy-mm-dd"),시편_시리즈!$Y$2:$Y$151,0)),""))</f>
        <v>시편 5편  아침 기도</v>
      </c>
      <c r="G12" s="23" t="n">
        <f aca="false">IF(B12="","",(D12&lt;&gt;"")+(E12&lt;&gt;"")+(F12&lt;&gt;""))</f>
        <v>2</v>
      </c>
      <c r="H12" s="31" t="s">
        <v>10282</v>
      </c>
    </row>
    <row r="13" customFormat="false" ht="15" hidden="false" customHeight="false" outlineLevel="0" collapsed="false">
      <c r="A13" s="23" t="n">
        <f aca="false">IF(B13="","",12)</f>
        <v>12</v>
      </c>
      <c r="B13" s="26" t="n">
        <f aca="false">IF(안내!$C$9+11&gt;MAX(MAX(A타입_제작표!$U$2:$U$799),MAX(시편_시리즈!$Q$2:$Q$151)),"",안내!$C$9+11)</f>
        <v>46402</v>
      </c>
      <c r="C13" s="23" t="str">
        <f aca="false">IF(B13="","",CHOOSE(WEEKDAY(B13,2),"월","화","수","목","금","토","일"))</f>
        <v>금</v>
      </c>
      <c r="D13" s="24" t="str">
        <f aca="false">IF(B13="","",IFERROR(INDEX(A타입_제작표!$J$2:$J$799,MATCH("구약|"&amp;TEXT(B13,"yyyy-mm-dd"),A타입_제작표!$AQ$2:$AQ$799,0))&amp;"  "&amp;INDEX(A타입_제작표!$L$2:$L$799,MATCH("구약|"&amp;TEXT(B13,"yyyy-mm-dd"),A타입_제작표!$AQ$2:$AQ$799,0)),""))</f>
        <v>창 5:1-32  하나님과 동행한 에녹</v>
      </c>
      <c r="E13" s="24" t="str">
        <f aca="false">IF(B13="","",IFERROR(INDEX(A타입_제작표!$J$2:$J$799,MATCH("신약|"&amp;TEXT(B13,"yyyy-mm-dd"),A타입_제작표!$AQ$2:$AQ$799,0))&amp;"  "&amp;INDEX(A타입_제작표!$L$2:$L$799,MATCH("신약|"&amp;TEXT(B13,"yyyy-mm-dd"),A타입_제작표!$AQ$2:$AQ$799,0)),""))</f>
        <v>마 5:1-12  팔복</v>
      </c>
      <c r="F13" s="24" t="str">
        <f aca="false">IF(B13="","",IFERROR("시편 "&amp;INDEX(시편_시리즈!$A$2:$A$151,MATCH("시편|"&amp;TEXT(B13,"yyyy-mm-dd"),시편_시리즈!$Y$2:$Y$151,0))&amp;"편  "&amp;INDEX(시편_시리즈!$G$2:$G$151,MATCH("시편|"&amp;TEXT(B13,"yyyy-mm-dd"),시편_시리즈!$Y$2:$Y$151,0)),""))</f>
        <v/>
      </c>
      <c r="G13" s="23" t="n">
        <f aca="false">IF(B13="","",(D13&lt;&gt;"")+(E13&lt;&gt;"")+(F13&lt;&gt;""))</f>
        <v>2</v>
      </c>
      <c r="H13" s="31" t="s">
        <v>10282</v>
      </c>
    </row>
    <row r="14" customFormat="false" ht="15" hidden="false" customHeight="false" outlineLevel="0" collapsed="false">
      <c r="A14" s="23" t="n">
        <f aca="false">IF(B14="","",13)</f>
        <v>13</v>
      </c>
      <c r="B14" s="26" t="n">
        <f aca="false">IF(안내!$C$9+12&gt;MAX(MAX(A타입_제작표!$U$2:$U$799),MAX(시편_시리즈!$Q$2:$Q$151)),"",안내!$C$9+12)</f>
        <v>46403</v>
      </c>
      <c r="C14" s="23" t="str">
        <f aca="false">IF(B14="","",CHOOSE(WEEKDAY(B14,2),"월","화","수","목","금","토","일"))</f>
        <v>토</v>
      </c>
      <c r="D14" s="24" t="str">
        <f aca="false">IF(B14="","",IFERROR(INDEX(A타입_제작표!$J$2:$J$799,MATCH("구약|"&amp;TEXT(B14,"yyyy-mm-dd"),A타입_제작표!$AQ$2:$AQ$799,0))&amp;"  "&amp;INDEX(A타입_제작표!$L$2:$L$799,MATCH("구약|"&amp;TEXT(B14,"yyyy-mm-dd"),A타입_제작표!$AQ$2:$AQ$799,0)),""))</f>
        <v>창 6:1-8  은혜를 입은 노아</v>
      </c>
      <c r="E14" s="24" t="str">
        <f aca="false">IF(B14="","",IFERROR(INDEX(A타입_제작표!$J$2:$J$799,MATCH("신약|"&amp;TEXT(B14,"yyyy-mm-dd"),A타입_제작표!$AQ$2:$AQ$799,0))&amp;"  "&amp;INDEX(A타입_제작표!$L$2:$L$799,MATCH("신약|"&amp;TEXT(B14,"yyyy-mm-dd"),A타입_제작표!$AQ$2:$AQ$799,0)),""))</f>
        <v>마 5:13-16  소금과 빛</v>
      </c>
      <c r="F14" s="24" t="str">
        <f aca="false">IF(B14="","",IFERROR("시편 "&amp;INDEX(시편_시리즈!$A$2:$A$151,MATCH("시편|"&amp;TEXT(B14,"yyyy-mm-dd"),시편_시리즈!$Y$2:$Y$151,0))&amp;"편  "&amp;INDEX(시편_시리즈!$G$2:$G$151,MATCH("시편|"&amp;TEXT(B14,"yyyy-mm-dd"),시편_시리즈!$Y$2:$Y$151,0)),""))</f>
        <v/>
      </c>
      <c r="G14" s="23" t="n">
        <f aca="false">IF(B14="","",(D14&lt;&gt;"")+(E14&lt;&gt;"")+(F14&lt;&gt;""))</f>
        <v>2</v>
      </c>
      <c r="H14" s="31" t="s">
        <v>10282</v>
      </c>
    </row>
    <row r="15" customFormat="false" ht="15" hidden="false" customHeight="false" outlineLevel="0" collapsed="false">
      <c r="A15" s="23" t="n">
        <f aca="false">IF(B15="","",14)</f>
        <v>14</v>
      </c>
      <c r="B15" s="26" t="n">
        <f aca="false">IF(안내!$C$9+13&gt;MAX(MAX(A타입_제작표!$U$2:$U$799),MAX(시편_시리즈!$Q$2:$Q$151)),"",안내!$C$9+13)</f>
        <v>46404</v>
      </c>
      <c r="C15" s="23" t="str">
        <f aca="false">IF(B15="","",CHOOSE(WEEKDAY(B15,2),"월","화","수","목","금","토","일"))</f>
        <v>일</v>
      </c>
      <c r="D15" s="24" t="str">
        <f aca="false">IF(B15="","",IFERROR(INDEX(A타입_제작표!$J$2:$J$799,MATCH("구약|"&amp;TEXT(B15,"yyyy-mm-dd"),A타입_제작표!$AQ$2:$AQ$799,0))&amp;"  "&amp;INDEX(A타입_제작표!$L$2:$L$799,MATCH("구약|"&amp;TEXT(B15,"yyyy-mm-dd"),A타입_제작표!$AQ$2:$AQ$799,0)),""))</f>
        <v>창 6:9-22  방주를 지어라</v>
      </c>
      <c r="E15" s="24" t="str">
        <f aca="false">IF(B15="","",IFERROR(INDEX(A타입_제작표!$J$2:$J$799,MATCH("신약|"&amp;TEXT(B15,"yyyy-mm-dd"),A타입_제작표!$AQ$2:$AQ$799,0))&amp;"  "&amp;INDEX(A타입_제작표!$L$2:$L$799,MATCH("신약|"&amp;TEXT(B15,"yyyy-mm-dd"),A타입_제작표!$AQ$2:$AQ$799,0)),""))</f>
        <v/>
      </c>
      <c r="F15" s="24" t="str">
        <f aca="false">IF(B15="","",IFERROR("시편 "&amp;INDEX(시편_시리즈!$A$2:$A$151,MATCH("시편|"&amp;TEXT(B15,"yyyy-mm-dd"),시편_시리즈!$Y$2:$Y$151,0))&amp;"편  "&amp;INDEX(시편_시리즈!$G$2:$G$151,MATCH("시편|"&amp;TEXT(B15,"yyyy-mm-dd"),시편_시리즈!$Y$2:$Y$151,0)),""))</f>
        <v>시편 6편  눈물의 침상</v>
      </c>
      <c r="G15" s="23" t="n">
        <f aca="false">IF(B15="","",(D15&lt;&gt;"")+(E15&lt;&gt;"")+(F15&lt;&gt;""))</f>
        <v>2</v>
      </c>
      <c r="H15" s="31" t="s">
        <v>10282</v>
      </c>
    </row>
    <row r="16" customFormat="false" ht="15" hidden="false" customHeight="false" outlineLevel="0" collapsed="false">
      <c r="A16" s="23" t="n">
        <f aca="false">IF(B16="","",15)</f>
        <v>15</v>
      </c>
      <c r="B16" s="26" t="n">
        <f aca="false">IF(안내!$C$9+14&gt;MAX(MAX(A타입_제작표!$U$2:$U$799),MAX(시편_시리즈!$Q$2:$Q$151)),"",안내!$C$9+14)</f>
        <v>46405</v>
      </c>
      <c r="C16" s="23" t="str">
        <f aca="false">IF(B16="","",CHOOSE(WEEKDAY(B16,2),"월","화","수","목","금","토","일"))</f>
        <v>월</v>
      </c>
      <c r="D16" s="24" t="str">
        <f aca="false">IF(B16="","",IFERROR(INDEX(A타입_제작표!$J$2:$J$799,MATCH("구약|"&amp;TEXT(B16,"yyyy-mm-dd"),A타입_제작표!$AQ$2:$AQ$799,0))&amp;"  "&amp;INDEX(A타입_제작표!$L$2:$L$799,MATCH("구약|"&amp;TEXT(B16,"yyyy-mm-dd"),A타입_제작표!$AQ$2:$AQ$799,0)),""))</f>
        <v>창 7:1-24  홍수</v>
      </c>
      <c r="E16" s="24" t="str">
        <f aca="false">IF(B16="","",IFERROR(INDEX(A타입_제작표!$J$2:$J$799,MATCH("신약|"&amp;TEXT(B16,"yyyy-mm-dd"),A타입_제작표!$AQ$2:$AQ$799,0))&amp;"  "&amp;INDEX(A타입_제작표!$L$2:$L$799,MATCH("신약|"&amp;TEXT(B16,"yyyy-mm-dd"),A타입_제작표!$AQ$2:$AQ$799,0)),""))</f>
        <v>마 6:1-15  주기도문</v>
      </c>
      <c r="F16" s="24" t="str">
        <f aca="false">IF(B16="","",IFERROR("시편 "&amp;INDEX(시편_시리즈!$A$2:$A$151,MATCH("시편|"&amp;TEXT(B16,"yyyy-mm-dd"),시편_시리즈!$Y$2:$Y$151,0))&amp;"편  "&amp;INDEX(시편_시리즈!$G$2:$G$151,MATCH("시편|"&amp;TEXT(B16,"yyyy-mm-dd"),시편_시리즈!$Y$2:$Y$151,0)),""))</f>
        <v/>
      </c>
      <c r="G16" s="23" t="n">
        <f aca="false">IF(B16="","",(D16&lt;&gt;"")+(E16&lt;&gt;"")+(F16&lt;&gt;""))</f>
        <v>2</v>
      </c>
      <c r="H16" s="31" t="s">
        <v>10282</v>
      </c>
    </row>
    <row r="17" customFormat="false" ht="15" hidden="false" customHeight="false" outlineLevel="0" collapsed="false">
      <c r="A17" s="23" t="n">
        <f aca="false">IF(B17="","",16)</f>
        <v>16</v>
      </c>
      <c r="B17" s="26" t="n">
        <f aca="false">IF(안내!$C$9+15&gt;MAX(MAX(A타입_제작표!$U$2:$U$799),MAX(시편_시리즈!$Q$2:$Q$151)),"",안내!$C$9+15)</f>
        <v>46406</v>
      </c>
      <c r="C17" s="23" t="str">
        <f aca="false">IF(B17="","",CHOOSE(WEEKDAY(B17,2),"월","화","수","목","금","토","일"))</f>
        <v>화</v>
      </c>
      <c r="D17" s="24" t="str">
        <f aca="false">IF(B17="","",IFERROR(INDEX(A타입_제작표!$J$2:$J$799,MATCH("구약|"&amp;TEXT(B17,"yyyy-mm-dd"),A타입_제작표!$AQ$2:$AQ$799,0))&amp;"  "&amp;INDEX(A타입_제작표!$L$2:$L$799,MATCH("구약|"&amp;TEXT(B17,"yyyy-mm-dd"),A타입_제작표!$AQ$2:$AQ$799,0)),""))</f>
        <v>창 8:1-19  비둘기와 감람나무 잎</v>
      </c>
      <c r="E17" s="24" t="str">
        <f aca="false">IF(B17="","",IFERROR(INDEX(A타입_제작표!$J$2:$J$799,MATCH("신약|"&amp;TEXT(B17,"yyyy-mm-dd"),A타입_제작표!$AQ$2:$AQ$799,0))&amp;"  "&amp;INDEX(A타입_제작표!$L$2:$L$799,MATCH("신약|"&amp;TEXT(B17,"yyyy-mm-dd"),A타입_제작표!$AQ$2:$AQ$799,0)),""))</f>
        <v/>
      </c>
      <c r="F17" s="24" t="str">
        <f aca="false">IF(B17="","",IFERROR("시편 "&amp;INDEX(시편_시리즈!$A$2:$A$151,MATCH("시편|"&amp;TEXT(B17,"yyyy-mm-dd"),시편_시리즈!$Y$2:$Y$151,0))&amp;"편  "&amp;INDEX(시편_시리즈!$G$2:$G$151,MATCH("시편|"&amp;TEXT(B17,"yyyy-mm-dd"),시편_시리즈!$Y$2:$Y$151,0)),""))</f>
        <v>시편 7편  억울할 때</v>
      </c>
      <c r="G17" s="23" t="n">
        <f aca="false">IF(B17="","",(D17&lt;&gt;"")+(E17&lt;&gt;"")+(F17&lt;&gt;""))</f>
        <v>2</v>
      </c>
      <c r="H17" s="31" t="s">
        <v>10282</v>
      </c>
    </row>
    <row r="18" customFormat="false" ht="15" hidden="false" customHeight="false" outlineLevel="0" collapsed="false">
      <c r="A18" s="23" t="n">
        <f aca="false">IF(B18="","",17)</f>
        <v>17</v>
      </c>
      <c r="B18" s="26" t="n">
        <f aca="false">IF(안내!$C$9+16&gt;MAX(MAX(A타입_제작표!$U$2:$U$799),MAX(시편_시리즈!$Q$2:$Q$151)),"",안내!$C$9+16)</f>
        <v>46407</v>
      </c>
      <c r="C18" s="23" t="str">
        <f aca="false">IF(B18="","",CHOOSE(WEEKDAY(B18,2),"월","화","수","목","금","토","일"))</f>
        <v>수</v>
      </c>
      <c r="D18" s="24" t="str">
        <f aca="false">IF(B18="","",IFERROR(INDEX(A타입_제작표!$J$2:$J$799,MATCH("구약|"&amp;TEXT(B18,"yyyy-mm-dd"),A타입_제작표!$AQ$2:$AQ$799,0))&amp;"  "&amp;INDEX(A타입_제작표!$L$2:$L$799,MATCH("구약|"&amp;TEXT(B18,"yyyy-mm-dd"),A타입_제작표!$AQ$2:$AQ$799,0)),""))</f>
        <v>창 8:20-9:17  무지개 언약</v>
      </c>
      <c r="E18" s="24" t="str">
        <f aca="false">IF(B18="","",IFERROR(INDEX(A타입_제작표!$J$2:$J$799,MATCH("신약|"&amp;TEXT(B18,"yyyy-mm-dd"),A타입_제작표!$AQ$2:$AQ$799,0))&amp;"  "&amp;INDEX(A타입_제작표!$L$2:$L$799,MATCH("신약|"&amp;TEXT(B18,"yyyy-mm-dd"),A타입_제작표!$AQ$2:$AQ$799,0)),""))</f>
        <v>마 6:16-34  먼저 그의 나라를</v>
      </c>
      <c r="F18" s="24" t="str">
        <f aca="false">IF(B18="","",IFERROR("시편 "&amp;INDEX(시편_시리즈!$A$2:$A$151,MATCH("시편|"&amp;TEXT(B18,"yyyy-mm-dd"),시편_시리즈!$Y$2:$Y$151,0))&amp;"편  "&amp;INDEX(시편_시리즈!$G$2:$G$151,MATCH("시편|"&amp;TEXT(B18,"yyyy-mm-dd"),시편_시리즈!$Y$2:$Y$151,0)),""))</f>
        <v/>
      </c>
      <c r="G18" s="23" t="n">
        <f aca="false">IF(B18="","",(D18&lt;&gt;"")+(E18&lt;&gt;"")+(F18&lt;&gt;""))</f>
        <v>2</v>
      </c>
      <c r="H18" s="31" t="s">
        <v>10282</v>
      </c>
    </row>
    <row r="19" customFormat="false" ht="15" hidden="false" customHeight="false" outlineLevel="0" collapsed="false">
      <c r="A19" s="23" t="n">
        <f aca="false">IF(B19="","",18)</f>
        <v>18</v>
      </c>
      <c r="B19" s="26" t="n">
        <f aca="false">IF(안내!$C$9+17&gt;MAX(MAX(A타입_제작표!$U$2:$U$799),MAX(시편_시리즈!$Q$2:$Q$151)),"",안내!$C$9+17)</f>
        <v>46408</v>
      </c>
      <c r="C19" s="23" t="str">
        <f aca="false">IF(B19="","",CHOOSE(WEEKDAY(B19,2),"월","화","수","목","금","토","일"))</f>
        <v>목</v>
      </c>
      <c r="D19" s="24" t="str">
        <f aca="false">IF(B19="","",IFERROR(INDEX(A타입_제작표!$J$2:$J$799,MATCH("구약|"&amp;TEXT(B19,"yyyy-mm-dd"),A타입_제작표!$AQ$2:$AQ$799,0))&amp;"  "&amp;INDEX(A타입_제작표!$L$2:$L$799,MATCH("구약|"&amp;TEXT(B19,"yyyy-mm-dd"),A타입_제작표!$AQ$2:$AQ$799,0)),""))</f>
        <v>창 11:1-9  바벨탑</v>
      </c>
      <c r="E19" s="24" t="str">
        <f aca="false">IF(B19="","",IFERROR(INDEX(A타입_제작표!$J$2:$J$799,MATCH("신약|"&amp;TEXT(B19,"yyyy-mm-dd"),A타입_제작표!$AQ$2:$AQ$799,0))&amp;"  "&amp;INDEX(A타입_제작표!$L$2:$L$799,MATCH("신약|"&amp;TEXT(B19,"yyyy-mm-dd"),A타입_제작표!$AQ$2:$AQ$799,0)),""))</f>
        <v/>
      </c>
      <c r="F19" s="24" t="str">
        <f aca="false">IF(B19="","",IFERROR("시편 "&amp;INDEX(시편_시리즈!$A$2:$A$151,MATCH("시편|"&amp;TEXT(B19,"yyyy-mm-dd"),시편_시리즈!$Y$2:$Y$151,0))&amp;"편  "&amp;INDEX(시편_시리즈!$G$2:$G$151,MATCH("시편|"&amp;TEXT(B19,"yyyy-mm-dd"),시편_시리즈!$Y$2:$Y$151,0)),""))</f>
        <v>시편 8편  사람이 무엇이기에</v>
      </c>
      <c r="G19" s="23" t="n">
        <f aca="false">IF(B19="","",(D19&lt;&gt;"")+(E19&lt;&gt;"")+(F19&lt;&gt;""))</f>
        <v>2</v>
      </c>
      <c r="H19" s="31" t="s">
        <v>10282</v>
      </c>
    </row>
    <row r="20" customFormat="false" ht="15" hidden="false" customHeight="false" outlineLevel="0" collapsed="false">
      <c r="A20" s="23" t="n">
        <f aca="false">IF(B20="","",19)</f>
        <v>19</v>
      </c>
      <c r="B20" s="26" t="n">
        <f aca="false">IF(안내!$C$9+18&gt;MAX(MAX(A타입_제작표!$U$2:$U$799),MAX(시편_시리즈!$Q$2:$Q$151)),"",안내!$C$9+18)</f>
        <v>46409</v>
      </c>
      <c r="C20" s="23" t="str">
        <f aca="false">IF(B20="","",CHOOSE(WEEKDAY(B20,2),"월","화","수","목","금","토","일"))</f>
        <v>금</v>
      </c>
      <c r="D20" s="24" t="str">
        <f aca="false">IF(B20="","",IFERROR(INDEX(A타입_제작표!$J$2:$J$799,MATCH("구약|"&amp;TEXT(B20,"yyyy-mm-dd"),A타입_제작표!$AQ$2:$AQ$799,0))&amp;"  "&amp;INDEX(A타입_제작표!$L$2:$L$799,MATCH("구약|"&amp;TEXT(B20,"yyyy-mm-dd"),A타입_제작표!$AQ$2:$AQ$799,0)),""))</f>
        <v>창 12:1-9  떠나라</v>
      </c>
      <c r="E20" s="24" t="str">
        <f aca="false">IF(B20="","",IFERROR(INDEX(A타입_제작표!$J$2:$J$799,MATCH("신약|"&amp;TEXT(B20,"yyyy-mm-dd"),A타입_제작표!$AQ$2:$AQ$799,0))&amp;"  "&amp;INDEX(A타입_제작표!$L$2:$L$799,MATCH("신약|"&amp;TEXT(B20,"yyyy-mm-dd"),A타입_제작표!$AQ$2:$AQ$799,0)),""))</f>
        <v>마 7:13-29  반석 위의 집</v>
      </c>
      <c r="F20" s="24" t="str">
        <f aca="false">IF(B20="","",IFERROR("시편 "&amp;INDEX(시편_시리즈!$A$2:$A$151,MATCH("시편|"&amp;TEXT(B20,"yyyy-mm-dd"),시편_시리즈!$Y$2:$Y$151,0))&amp;"편  "&amp;INDEX(시편_시리즈!$G$2:$G$151,MATCH("시편|"&amp;TEXT(B20,"yyyy-mm-dd"),시편_시리즈!$Y$2:$Y$151,0)),""))</f>
        <v/>
      </c>
      <c r="G20" s="23" t="n">
        <f aca="false">IF(B20="","",(D20&lt;&gt;"")+(E20&lt;&gt;"")+(F20&lt;&gt;""))</f>
        <v>2</v>
      </c>
      <c r="H20" s="31" t="s">
        <v>10282</v>
      </c>
    </row>
    <row r="21" customFormat="false" ht="15" hidden="false" customHeight="false" outlineLevel="0" collapsed="false">
      <c r="A21" s="23" t="n">
        <f aca="false">IF(B21="","",20)</f>
        <v>20</v>
      </c>
      <c r="B21" s="26" t="n">
        <f aca="false">IF(안내!$C$9+19&gt;MAX(MAX(A타입_제작표!$U$2:$U$799),MAX(시편_시리즈!$Q$2:$Q$151)),"",안내!$C$9+19)</f>
        <v>46410</v>
      </c>
      <c r="C21" s="23" t="str">
        <f aca="false">IF(B21="","",CHOOSE(WEEKDAY(B21,2),"월","화","수","목","금","토","일"))</f>
        <v>토</v>
      </c>
      <c r="D21" s="24" t="str">
        <f aca="false">IF(B21="","",IFERROR(INDEX(A타입_제작표!$J$2:$J$799,MATCH("구약|"&amp;TEXT(B21,"yyyy-mm-dd"),A타입_제작표!$AQ$2:$AQ$799,0))&amp;"  "&amp;INDEX(A타입_제작표!$L$2:$L$799,MATCH("구약|"&amp;TEXT(B21,"yyyy-mm-dd"),A타입_제작표!$AQ$2:$AQ$799,0)),""))</f>
        <v>창 15:1-21  하늘의 별을 세어 보라</v>
      </c>
      <c r="E21" s="24" t="str">
        <f aca="false">IF(B21="","",IFERROR(INDEX(A타입_제작표!$J$2:$J$799,MATCH("신약|"&amp;TEXT(B21,"yyyy-mm-dd"),A타입_제작표!$AQ$2:$AQ$799,0))&amp;"  "&amp;INDEX(A타입_제작표!$L$2:$L$799,MATCH("신약|"&amp;TEXT(B21,"yyyy-mm-dd"),A타입_제작표!$AQ$2:$AQ$799,0)),""))</f>
        <v>마 8:1-17  원하시면 깨끗하게</v>
      </c>
      <c r="F21" s="24" t="str">
        <f aca="false">IF(B21="","",IFERROR("시편 "&amp;INDEX(시편_시리즈!$A$2:$A$151,MATCH("시편|"&amp;TEXT(B21,"yyyy-mm-dd"),시편_시리즈!$Y$2:$Y$151,0))&amp;"편  "&amp;INDEX(시편_시리즈!$G$2:$G$151,MATCH("시편|"&amp;TEXT(B21,"yyyy-mm-dd"),시편_시리즈!$Y$2:$Y$151,0)),""))</f>
        <v/>
      </c>
      <c r="G21" s="23" t="n">
        <f aca="false">IF(B21="","",(D21&lt;&gt;"")+(E21&lt;&gt;"")+(F21&lt;&gt;""))</f>
        <v>2</v>
      </c>
      <c r="H21" s="31" t="s">
        <v>10282</v>
      </c>
    </row>
    <row r="22" customFormat="false" ht="15" hidden="false" customHeight="false" outlineLevel="0" collapsed="false">
      <c r="A22" s="23" t="n">
        <f aca="false">IF(B22="","",21)</f>
        <v>21</v>
      </c>
      <c r="B22" s="26" t="n">
        <f aca="false">IF(안내!$C$9+20&gt;MAX(MAX(A타입_제작표!$U$2:$U$799),MAX(시편_시리즈!$Q$2:$Q$151)),"",안내!$C$9+20)</f>
        <v>46411</v>
      </c>
      <c r="C22" s="23" t="str">
        <f aca="false">IF(B22="","",CHOOSE(WEEKDAY(B22,2),"월","화","수","목","금","토","일"))</f>
        <v>일</v>
      </c>
      <c r="D22" s="24" t="str">
        <f aca="false">IF(B22="","",IFERROR(INDEX(A타입_제작표!$J$2:$J$799,MATCH("구약|"&amp;TEXT(B22,"yyyy-mm-dd"),A타입_제작표!$AQ$2:$AQ$799,0))&amp;"  "&amp;INDEX(A타입_제작표!$L$2:$L$799,MATCH("구약|"&amp;TEXT(B22,"yyyy-mm-dd"),A타입_제작표!$AQ$2:$AQ$799,0)),""))</f>
        <v>창 18:1-15  세 나그네</v>
      </c>
      <c r="E22" s="24" t="str">
        <f aca="false">IF(B22="","",IFERROR(INDEX(A타입_제작표!$J$2:$J$799,MATCH("신약|"&amp;TEXT(B22,"yyyy-mm-dd"),A타입_제작표!$AQ$2:$AQ$799,0))&amp;"  "&amp;INDEX(A타입_제작표!$L$2:$L$799,MATCH("신약|"&amp;TEXT(B22,"yyyy-mm-dd"),A타입_제작표!$AQ$2:$AQ$799,0)),""))</f>
        <v/>
      </c>
      <c r="F22" s="24" t="str">
        <f aca="false">IF(B22="","",IFERROR("시편 "&amp;INDEX(시편_시리즈!$A$2:$A$151,MATCH("시편|"&amp;TEXT(B22,"yyyy-mm-dd"),시편_시리즈!$Y$2:$Y$151,0))&amp;"편  "&amp;INDEX(시편_시리즈!$G$2:$G$151,MATCH("시편|"&amp;TEXT(B22,"yyyy-mm-dd"),시편_시리즈!$Y$2:$Y$151,0)),""))</f>
        <v>시편 9편  전심으로 감사하리라</v>
      </c>
      <c r="G22" s="23" t="n">
        <f aca="false">IF(B22="","",(D22&lt;&gt;"")+(E22&lt;&gt;"")+(F22&lt;&gt;""))</f>
        <v>2</v>
      </c>
      <c r="H22" s="31" t="s">
        <v>10282</v>
      </c>
    </row>
    <row r="23" customFormat="false" ht="15" hidden="false" customHeight="false" outlineLevel="0" collapsed="false">
      <c r="A23" s="23" t="n">
        <f aca="false">IF(B23="","",22)</f>
        <v>22</v>
      </c>
      <c r="B23" s="26" t="n">
        <f aca="false">IF(안내!$C$9+21&gt;MAX(MAX(A타입_제작표!$U$2:$U$799),MAX(시편_시리즈!$Q$2:$Q$151)),"",안내!$C$9+21)</f>
        <v>46412</v>
      </c>
      <c r="C23" s="23" t="str">
        <f aca="false">IF(B23="","",CHOOSE(WEEKDAY(B23,2),"월","화","수","목","금","토","일"))</f>
        <v>월</v>
      </c>
      <c r="D23" s="24" t="str">
        <f aca="false">IF(B23="","",IFERROR(INDEX(A타입_제작표!$J$2:$J$799,MATCH("구약|"&amp;TEXT(B23,"yyyy-mm-dd"),A타입_제작표!$AQ$2:$AQ$799,0))&amp;"  "&amp;INDEX(A타입_제작표!$L$2:$L$799,MATCH("구약|"&amp;TEXT(B23,"yyyy-mm-dd"),A타입_제작표!$AQ$2:$AQ$799,0)),""))</f>
        <v>창 21:1-7  웃음이라는 이름의 아이</v>
      </c>
      <c r="E23" s="24" t="str">
        <f aca="false">IF(B23="","",IFERROR(INDEX(A타입_제작표!$J$2:$J$799,MATCH("신약|"&amp;TEXT(B23,"yyyy-mm-dd"),A타입_제작표!$AQ$2:$AQ$799,0))&amp;"  "&amp;INDEX(A타입_제작표!$L$2:$L$799,MATCH("신약|"&amp;TEXT(B23,"yyyy-mm-dd"),A타입_제작표!$AQ$2:$AQ$799,0)),""))</f>
        <v>마 8:18-27  바람과 바다도 순종하다</v>
      </c>
      <c r="F23" s="24" t="str">
        <f aca="false">IF(B23="","",IFERROR("시편 "&amp;INDEX(시편_시리즈!$A$2:$A$151,MATCH("시편|"&amp;TEXT(B23,"yyyy-mm-dd"),시편_시리즈!$Y$2:$Y$151,0))&amp;"편  "&amp;INDEX(시편_시리즈!$G$2:$G$151,MATCH("시편|"&amp;TEXT(B23,"yyyy-mm-dd"),시편_시리즈!$Y$2:$Y$151,0)),""))</f>
        <v/>
      </c>
      <c r="G23" s="23" t="n">
        <f aca="false">IF(B23="","",(D23&lt;&gt;"")+(E23&lt;&gt;"")+(F23&lt;&gt;""))</f>
        <v>2</v>
      </c>
      <c r="H23" s="31" t="s">
        <v>10282</v>
      </c>
    </row>
    <row r="24" customFormat="false" ht="15" hidden="false" customHeight="false" outlineLevel="0" collapsed="false">
      <c r="A24" s="23" t="n">
        <f aca="false">IF(B24="","",23)</f>
        <v>23</v>
      </c>
      <c r="B24" s="26" t="n">
        <f aca="false">IF(안내!$C$9+22&gt;MAX(MAX(A타입_제작표!$U$2:$U$799),MAX(시편_시리즈!$Q$2:$Q$151)),"",안내!$C$9+22)</f>
        <v>46413</v>
      </c>
      <c r="C24" s="23" t="str">
        <f aca="false">IF(B24="","",CHOOSE(WEEKDAY(B24,2),"월","화","수","목","금","토","일"))</f>
        <v>화</v>
      </c>
      <c r="D24" s="24" t="str">
        <f aca="false">IF(B24="","",IFERROR(INDEX(A타입_제작표!$J$2:$J$799,MATCH("구약|"&amp;TEXT(B24,"yyyy-mm-dd"),A타입_제작표!$AQ$2:$AQ$799,0))&amp;"  "&amp;INDEX(A타입_제작표!$L$2:$L$799,MATCH("구약|"&amp;TEXT(B24,"yyyy-mm-dd"),A타입_제작표!$AQ$2:$AQ$799,0)),""))</f>
        <v>창 22:1-19  모리아 산</v>
      </c>
      <c r="E24" s="24" t="str">
        <f aca="false">IF(B24="","",IFERROR(INDEX(A타입_제작표!$J$2:$J$799,MATCH("신약|"&amp;TEXT(B24,"yyyy-mm-dd"),A타입_제작표!$AQ$2:$AQ$799,0))&amp;"  "&amp;INDEX(A타입_제작표!$L$2:$L$799,MATCH("신약|"&amp;TEXT(B24,"yyyy-mm-dd"),A타입_제작표!$AQ$2:$AQ$799,0)),""))</f>
        <v/>
      </c>
      <c r="F24" s="24" t="str">
        <f aca="false">IF(B24="","",IFERROR("시편 "&amp;INDEX(시편_시리즈!$A$2:$A$151,MATCH("시편|"&amp;TEXT(B24,"yyyy-mm-dd"),시편_시리즈!$Y$2:$Y$151,0))&amp;"편  "&amp;INDEX(시편_시리즈!$G$2:$G$151,MATCH("시편|"&amp;TEXT(B24,"yyyy-mm-dd"),시편_시리즈!$Y$2:$Y$151,0)),""))</f>
        <v>시편 10편  어찌하여 멀리 서시나요</v>
      </c>
      <c r="G24" s="23" t="n">
        <f aca="false">IF(B24="","",(D24&lt;&gt;"")+(E24&lt;&gt;"")+(F24&lt;&gt;""))</f>
        <v>2</v>
      </c>
      <c r="H24" s="31" t="s">
        <v>10282</v>
      </c>
    </row>
    <row r="25" customFormat="false" ht="15" hidden="false" customHeight="false" outlineLevel="0" collapsed="false">
      <c r="A25" s="23" t="n">
        <f aca="false">IF(B25="","",24)</f>
        <v>24</v>
      </c>
      <c r="B25" s="26" t="n">
        <f aca="false">IF(안내!$C$9+23&gt;MAX(MAX(A타입_제작표!$U$2:$U$799),MAX(시편_시리즈!$Q$2:$Q$151)),"",안내!$C$9+23)</f>
        <v>46414</v>
      </c>
      <c r="C25" s="23" t="str">
        <f aca="false">IF(B25="","",CHOOSE(WEEKDAY(B25,2),"월","화","수","목","금","토","일"))</f>
        <v>수</v>
      </c>
      <c r="D25" s="24" t="str">
        <f aca="false">IF(B25="","",IFERROR(INDEX(A타입_제작표!$J$2:$J$799,MATCH("구약|"&amp;TEXT(B25,"yyyy-mm-dd"),A타입_제작표!$AQ$2:$AQ$799,0))&amp;"  "&amp;INDEX(A타입_제작표!$L$2:$L$799,MATCH("구약|"&amp;TEXT(B25,"yyyy-mm-dd"),A타입_제작표!$AQ$2:$AQ$799,0)),""))</f>
        <v>창 24:1-27  낙타에게 물을 주는 여인</v>
      </c>
      <c r="E25" s="24" t="str">
        <f aca="false">IF(B25="","",IFERROR(INDEX(A타입_제작표!$J$2:$J$799,MATCH("신약|"&amp;TEXT(B25,"yyyy-mm-dd"),A타입_제작표!$AQ$2:$AQ$799,0))&amp;"  "&amp;INDEX(A타입_제작표!$L$2:$L$799,MATCH("신약|"&amp;TEXT(B25,"yyyy-mm-dd"),A타입_제작표!$AQ$2:$AQ$799,0)),""))</f>
        <v>마 9:18-34  옷자락만 만져도</v>
      </c>
      <c r="F25" s="24" t="str">
        <f aca="false">IF(B25="","",IFERROR("시편 "&amp;INDEX(시편_시리즈!$A$2:$A$151,MATCH("시편|"&amp;TEXT(B25,"yyyy-mm-dd"),시편_시리즈!$Y$2:$Y$151,0))&amp;"편  "&amp;INDEX(시편_시리즈!$G$2:$G$151,MATCH("시편|"&amp;TEXT(B25,"yyyy-mm-dd"),시편_시리즈!$Y$2:$Y$151,0)),""))</f>
        <v/>
      </c>
      <c r="G25" s="23" t="n">
        <f aca="false">IF(B25="","",(D25&lt;&gt;"")+(E25&lt;&gt;"")+(F25&lt;&gt;""))</f>
        <v>2</v>
      </c>
      <c r="H25" s="31" t="s">
        <v>10282</v>
      </c>
    </row>
    <row r="26" customFormat="false" ht="15" hidden="false" customHeight="false" outlineLevel="0" collapsed="false">
      <c r="A26" s="23" t="n">
        <f aca="false">IF(B26="","",25)</f>
        <v>25</v>
      </c>
      <c r="B26" s="26" t="n">
        <f aca="false">IF(안내!$C$9+24&gt;MAX(MAX(A타입_제작표!$U$2:$U$799),MAX(시편_시리즈!$Q$2:$Q$151)),"",안내!$C$9+24)</f>
        <v>46415</v>
      </c>
      <c r="C26" s="23" t="str">
        <f aca="false">IF(B26="","",CHOOSE(WEEKDAY(B26,2),"월","화","수","목","금","토","일"))</f>
        <v>목</v>
      </c>
      <c r="D26" s="24" t="str">
        <f aca="false">IF(B26="","",IFERROR(INDEX(A타입_제작표!$J$2:$J$799,MATCH("구약|"&amp;TEXT(B26,"yyyy-mm-dd"),A타입_제작표!$AQ$2:$AQ$799,0))&amp;"  "&amp;INDEX(A타입_제작표!$L$2:$L$799,MATCH("구약|"&amp;TEXT(B26,"yyyy-mm-dd"),A타입_제작표!$AQ$2:$AQ$799,0)),""))</f>
        <v>창 25:19-26  배 속에서부터 싸운 쌍둥이</v>
      </c>
      <c r="E26" s="24" t="str">
        <f aca="false">IF(B26="","",IFERROR(INDEX(A타입_제작표!$J$2:$J$799,MATCH("신약|"&amp;TEXT(B26,"yyyy-mm-dd"),A타입_제작표!$AQ$2:$AQ$799,0))&amp;"  "&amp;INDEX(A타입_제작표!$L$2:$L$799,MATCH("신약|"&amp;TEXT(B26,"yyyy-mm-dd"),A타입_제작표!$AQ$2:$AQ$799,0)),""))</f>
        <v/>
      </c>
      <c r="F26" s="24" t="str">
        <f aca="false">IF(B26="","",IFERROR("시편 "&amp;INDEX(시편_시리즈!$A$2:$A$151,MATCH("시편|"&amp;TEXT(B26,"yyyy-mm-dd"),시편_시리즈!$Y$2:$Y$151,0))&amp;"편  "&amp;INDEX(시편_시리즈!$G$2:$G$151,MATCH("시편|"&amp;TEXT(B26,"yyyy-mm-dd"),시편_시리즈!$Y$2:$Y$151,0)),""))</f>
        <v>시편 11편  터가 무너질 때</v>
      </c>
      <c r="G26" s="23" t="n">
        <f aca="false">IF(B26="","",(D26&lt;&gt;"")+(E26&lt;&gt;"")+(F26&lt;&gt;""))</f>
        <v>2</v>
      </c>
      <c r="H26" s="31" t="s">
        <v>10282</v>
      </c>
    </row>
    <row r="27" customFormat="false" ht="15" hidden="false" customHeight="false" outlineLevel="0" collapsed="false">
      <c r="A27" s="23" t="n">
        <f aca="false">IF(B27="","",26)</f>
        <v>26</v>
      </c>
      <c r="B27" s="26" t="n">
        <f aca="false">IF(안내!$C$9+25&gt;MAX(MAX(A타입_제작표!$U$2:$U$799),MAX(시편_시리즈!$Q$2:$Q$151)),"",안내!$C$9+25)</f>
        <v>46416</v>
      </c>
      <c r="C27" s="23" t="str">
        <f aca="false">IF(B27="","",CHOOSE(WEEKDAY(B27,2),"월","화","수","목","금","토","일"))</f>
        <v>금</v>
      </c>
      <c r="D27" s="24" t="str">
        <f aca="false">IF(B27="","",IFERROR(INDEX(A타입_제작표!$J$2:$J$799,MATCH("구약|"&amp;TEXT(B27,"yyyy-mm-dd"),A타입_제작표!$AQ$2:$AQ$799,0))&amp;"  "&amp;INDEX(A타입_제작표!$L$2:$L$799,MATCH("구약|"&amp;TEXT(B27,"yyyy-mm-dd"),A타입_제작표!$AQ$2:$AQ$799,0)),""))</f>
        <v>창 25:27-34  팥죽 한 그릇</v>
      </c>
      <c r="E27" s="24" t="str">
        <f aca="false">IF(B27="","",IFERROR(INDEX(A타입_제작표!$J$2:$J$799,MATCH("신약|"&amp;TEXT(B27,"yyyy-mm-dd"),A타입_제작표!$AQ$2:$AQ$799,0))&amp;"  "&amp;INDEX(A타입_제작표!$L$2:$L$799,MATCH("신약|"&amp;TEXT(B27,"yyyy-mm-dd"),A타입_제작표!$AQ$2:$AQ$799,0)),""))</f>
        <v>마 13:1-23  씨 뿌리는 비유</v>
      </c>
      <c r="F27" s="24" t="str">
        <f aca="false">IF(B27="","",IFERROR("시편 "&amp;INDEX(시편_시리즈!$A$2:$A$151,MATCH("시편|"&amp;TEXT(B27,"yyyy-mm-dd"),시편_시리즈!$Y$2:$Y$151,0))&amp;"편  "&amp;INDEX(시편_시리즈!$G$2:$G$151,MATCH("시편|"&amp;TEXT(B27,"yyyy-mm-dd"),시편_시리즈!$Y$2:$Y$151,0)),""))</f>
        <v/>
      </c>
      <c r="G27" s="23" t="n">
        <f aca="false">IF(B27="","",(D27&lt;&gt;"")+(E27&lt;&gt;"")+(F27&lt;&gt;""))</f>
        <v>2</v>
      </c>
      <c r="H27" s="31" t="s">
        <v>10282</v>
      </c>
    </row>
    <row r="28" customFormat="false" ht="15" hidden="false" customHeight="false" outlineLevel="0" collapsed="false">
      <c r="A28" s="23" t="n">
        <f aca="false">IF(B28="","",27)</f>
        <v>27</v>
      </c>
      <c r="B28" s="26" t="n">
        <f aca="false">IF(안내!$C$9+26&gt;MAX(MAX(A타입_제작표!$U$2:$U$799),MAX(시편_시리즈!$Q$2:$Q$151)),"",안내!$C$9+26)</f>
        <v>46417</v>
      </c>
      <c r="C28" s="23" t="str">
        <f aca="false">IF(B28="","",CHOOSE(WEEKDAY(B28,2),"월","화","수","목","금","토","일"))</f>
        <v>토</v>
      </c>
      <c r="D28" s="24" t="str">
        <f aca="false">IF(B28="","",IFERROR(INDEX(A타입_제작표!$J$2:$J$799,MATCH("구약|"&amp;TEXT(B28,"yyyy-mm-dd"),A타입_제작표!$AQ$2:$AQ$799,0))&amp;"  "&amp;INDEX(A타입_제작표!$L$2:$L$799,MATCH("구약|"&amp;TEXT(B28,"yyyy-mm-dd"),A타입_제작표!$AQ$2:$AQ$799,0)),""))</f>
        <v>창 27:1-29  눈먼 아버지를 속이다</v>
      </c>
      <c r="E28" s="24" t="str">
        <f aca="false">IF(B28="","",IFERROR(INDEX(A타입_제작표!$J$2:$J$799,MATCH("신약|"&amp;TEXT(B28,"yyyy-mm-dd"),A타입_제작표!$AQ$2:$AQ$799,0))&amp;"  "&amp;INDEX(A타입_제작표!$L$2:$L$799,MATCH("신약|"&amp;TEXT(B28,"yyyy-mm-dd"),A타입_제작표!$AQ$2:$AQ$799,0)),""))</f>
        <v>마 14:13-21  오병이어</v>
      </c>
      <c r="F28" s="24" t="str">
        <f aca="false">IF(B28="","",IFERROR("시편 "&amp;INDEX(시편_시리즈!$A$2:$A$151,MATCH("시편|"&amp;TEXT(B28,"yyyy-mm-dd"),시편_시리즈!$Y$2:$Y$151,0))&amp;"편  "&amp;INDEX(시편_시리즈!$G$2:$G$151,MATCH("시편|"&amp;TEXT(B28,"yyyy-mm-dd"),시편_시리즈!$Y$2:$Y$151,0)),""))</f>
        <v/>
      </c>
      <c r="G28" s="23" t="n">
        <f aca="false">IF(B28="","",(D28&lt;&gt;"")+(E28&lt;&gt;"")+(F28&lt;&gt;""))</f>
        <v>2</v>
      </c>
      <c r="H28" s="31" t="s">
        <v>10282</v>
      </c>
    </row>
    <row r="29" customFormat="false" ht="15" hidden="false" customHeight="false" outlineLevel="0" collapsed="false">
      <c r="A29" s="23" t="n">
        <f aca="false">IF(B29="","",28)</f>
        <v>28</v>
      </c>
      <c r="B29" s="26" t="n">
        <f aca="false">IF(안내!$C$9+27&gt;MAX(MAX(A타입_제작표!$U$2:$U$799),MAX(시편_시리즈!$Q$2:$Q$151)),"",안내!$C$9+27)</f>
        <v>46418</v>
      </c>
      <c r="C29" s="23" t="str">
        <f aca="false">IF(B29="","",CHOOSE(WEEKDAY(B29,2),"월","화","수","목","금","토","일"))</f>
        <v>일</v>
      </c>
      <c r="D29" s="24" t="str">
        <f aca="false">IF(B29="","",IFERROR(INDEX(A타입_제작표!$J$2:$J$799,MATCH("구약|"&amp;TEXT(B29,"yyyy-mm-dd"),A타입_제작표!$AQ$2:$AQ$799,0))&amp;"  "&amp;INDEX(A타입_제작표!$L$2:$L$799,MATCH("구약|"&amp;TEXT(B29,"yyyy-mm-dd"),A타입_제작표!$AQ$2:$AQ$799,0)),""))</f>
        <v>창 28:10-22  돌베개와 하늘 사다리</v>
      </c>
      <c r="E29" s="24" t="str">
        <f aca="false">IF(B29="","",IFERROR(INDEX(A타입_제작표!$J$2:$J$799,MATCH("신약|"&amp;TEXT(B29,"yyyy-mm-dd"),A타입_제작표!$AQ$2:$AQ$799,0))&amp;"  "&amp;INDEX(A타입_제작표!$L$2:$L$799,MATCH("신약|"&amp;TEXT(B29,"yyyy-mm-dd"),A타입_제작표!$AQ$2:$AQ$799,0)),""))</f>
        <v/>
      </c>
      <c r="F29" s="24" t="str">
        <f aca="false">IF(B29="","",IFERROR("시편 "&amp;INDEX(시편_시리즈!$A$2:$A$151,MATCH("시편|"&amp;TEXT(B29,"yyyy-mm-dd"),시편_시리즈!$Y$2:$Y$151,0))&amp;"편  "&amp;INDEX(시편_시리즈!$G$2:$G$151,MATCH("시편|"&amp;TEXT(B29,"yyyy-mm-dd"),시편_시리즈!$Y$2:$Y$151,0)),""))</f>
        <v>시편 12편  순결한 말씀</v>
      </c>
      <c r="G29" s="23" t="n">
        <f aca="false">IF(B29="","",(D29&lt;&gt;"")+(E29&lt;&gt;"")+(F29&lt;&gt;""))</f>
        <v>2</v>
      </c>
      <c r="H29" s="31" t="s">
        <v>10282</v>
      </c>
    </row>
    <row r="30" customFormat="false" ht="15" hidden="false" customHeight="false" outlineLevel="0" collapsed="false">
      <c r="A30" s="23" t="n">
        <f aca="false">IF(B30="","",29)</f>
        <v>29</v>
      </c>
      <c r="B30" s="26" t="n">
        <f aca="false">IF(안내!$C$9+28&gt;MAX(MAX(A타입_제작표!$U$2:$U$799),MAX(시편_시리즈!$Q$2:$Q$151)),"",안내!$C$9+28)</f>
        <v>46419</v>
      </c>
      <c r="C30" s="23" t="str">
        <f aca="false">IF(B30="","",CHOOSE(WEEKDAY(B30,2),"월","화","수","목","금","토","일"))</f>
        <v>월</v>
      </c>
      <c r="D30" s="24" t="str">
        <f aca="false">IF(B30="","",IFERROR(INDEX(A타입_제작표!$J$2:$J$799,MATCH("구약|"&amp;TEXT(B30,"yyyy-mm-dd"),A타입_제작표!$AQ$2:$AQ$799,0))&amp;"  "&amp;INDEX(A타입_제작표!$L$2:$L$799,MATCH("구약|"&amp;TEXT(B30,"yyyy-mm-dd"),A타입_제작표!$AQ$2:$AQ$799,0)),""))</f>
        <v>창 29:1-30  속이던 자가 속다</v>
      </c>
      <c r="E30" s="24" t="str">
        <f aca="false">IF(B30="","",IFERROR(INDEX(A타입_제작표!$J$2:$J$799,MATCH("신약|"&amp;TEXT(B30,"yyyy-mm-dd"),A타입_제작표!$AQ$2:$AQ$799,0))&amp;"  "&amp;INDEX(A타입_제작표!$L$2:$L$799,MATCH("신약|"&amp;TEXT(B30,"yyyy-mm-dd"),A타입_제작표!$AQ$2:$AQ$799,0)),""))</f>
        <v>마 14:22-36  물 위를 걷다</v>
      </c>
      <c r="F30" s="24" t="str">
        <f aca="false">IF(B30="","",IFERROR("시편 "&amp;INDEX(시편_시리즈!$A$2:$A$151,MATCH("시편|"&amp;TEXT(B30,"yyyy-mm-dd"),시편_시리즈!$Y$2:$Y$151,0))&amp;"편  "&amp;INDEX(시편_시리즈!$G$2:$G$151,MATCH("시편|"&amp;TEXT(B30,"yyyy-mm-dd"),시편_시리즈!$Y$2:$Y$151,0)),""))</f>
        <v/>
      </c>
      <c r="G30" s="23" t="n">
        <f aca="false">IF(B30="","",(D30&lt;&gt;"")+(E30&lt;&gt;"")+(F30&lt;&gt;""))</f>
        <v>2</v>
      </c>
      <c r="H30" s="31" t="s">
        <v>10282</v>
      </c>
    </row>
    <row r="31" customFormat="false" ht="15" hidden="false" customHeight="false" outlineLevel="0" collapsed="false">
      <c r="A31" s="23" t="n">
        <f aca="false">IF(B31="","",30)</f>
        <v>30</v>
      </c>
      <c r="B31" s="26" t="n">
        <f aca="false">IF(안내!$C$9+29&gt;MAX(MAX(A타입_제작표!$U$2:$U$799),MAX(시편_시리즈!$Q$2:$Q$151)),"",안내!$C$9+29)</f>
        <v>46420</v>
      </c>
      <c r="C31" s="23" t="str">
        <f aca="false">IF(B31="","",CHOOSE(WEEKDAY(B31,2),"월","화","수","목","금","토","일"))</f>
        <v>화</v>
      </c>
      <c r="D31" s="24" t="str">
        <f aca="false">IF(B31="","",IFERROR(INDEX(A타입_제작표!$J$2:$J$799,MATCH("구약|"&amp;TEXT(B31,"yyyy-mm-dd"),A타입_제작표!$AQ$2:$AQ$799,0))&amp;"  "&amp;INDEX(A타입_제작표!$L$2:$L$799,MATCH("구약|"&amp;TEXT(B31,"yyyy-mm-dd"),A타입_제작표!$AQ$2:$AQ$799,0)),""))</f>
        <v>창 32:22-32  얍복강의 씨름</v>
      </c>
      <c r="E31" s="24" t="str">
        <f aca="false">IF(B31="","",IFERROR(INDEX(A타입_제작표!$J$2:$J$799,MATCH("신약|"&amp;TEXT(B31,"yyyy-mm-dd"),A타입_제작표!$AQ$2:$AQ$799,0))&amp;"  "&amp;INDEX(A타입_제작표!$L$2:$L$799,MATCH("신약|"&amp;TEXT(B31,"yyyy-mm-dd"),A타입_제작표!$AQ$2:$AQ$799,0)),""))</f>
        <v/>
      </c>
      <c r="F31" s="24" t="str">
        <f aca="false">IF(B31="","",IFERROR("시편 "&amp;INDEX(시편_시리즈!$A$2:$A$151,MATCH("시편|"&amp;TEXT(B31,"yyyy-mm-dd"),시편_시리즈!$Y$2:$Y$151,0))&amp;"편  "&amp;INDEX(시편_시리즈!$G$2:$G$151,MATCH("시편|"&amp;TEXT(B31,"yyyy-mm-dd"),시편_시리즈!$Y$2:$Y$151,0)),""))</f>
        <v>시편 13편  어느 때까지니이까</v>
      </c>
      <c r="G31" s="23" t="n">
        <f aca="false">IF(B31="","",(D31&lt;&gt;"")+(E31&lt;&gt;"")+(F31&lt;&gt;""))</f>
        <v>2</v>
      </c>
      <c r="H31" s="31" t="s">
        <v>10282</v>
      </c>
    </row>
    <row r="32" customFormat="false" ht="15" hidden="false" customHeight="false" outlineLevel="0" collapsed="false">
      <c r="A32" s="23" t="n">
        <f aca="false">IF(B32="","",31)</f>
        <v>31</v>
      </c>
      <c r="B32" s="26" t="n">
        <f aca="false">IF(안내!$C$9+30&gt;MAX(MAX(A타입_제작표!$U$2:$U$799),MAX(시편_시리즈!$Q$2:$Q$151)),"",안내!$C$9+30)</f>
        <v>46421</v>
      </c>
      <c r="C32" s="23" t="str">
        <f aca="false">IF(B32="","",CHOOSE(WEEKDAY(B32,2),"월","화","수","목","금","토","일"))</f>
        <v>수</v>
      </c>
      <c r="D32" s="24" t="str">
        <f aca="false">IF(B32="","",IFERROR(INDEX(A타입_제작표!$J$2:$J$799,MATCH("구약|"&amp;TEXT(B32,"yyyy-mm-dd"),A타입_제작표!$AQ$2:$AQ$799,0))&amp;"  "&amp;INDEX(A타입_제작표!$L$2:$L$799,MATCH("구약|"&amp;TEXT(B32,"yyyy-mm-dd"),A타입_제작표!$AQ$2:$AQ$799,0)),""))</f>
        <v>창 33:1-20  형이 달려와 끌어안다</v>
      </c>
      <c r="E32" s="24" t="str">
        <f aca="false">IF(B32="","",IFERROR(INDEX(A타입_제작표!$J$2:$J$799,MATCH("신약|"&amp;TEXT(B32,"yyyy-mm-dd"),A타입_제작표!$AQ$2:$AQ$799,0))&amp;"  "&amp;INDEX(A타입_제작표!$L$2:$L$799,MATCH("신약|"&amp;TEXT(B32,"yyyy-mm-dd"),A타입_제작표!$AQ$2:$AQ$799,0)),""))</f>
        <v>마 16:13-28  너는 그리스도시요</v>
      </c>
      <c r="F32" s="24" t="str">
        <f aca="false">IF(B32="","",IFERROR("시편 "&amp;INDEX(시편_시리즈!$A$2:$A$151,MATCH("시편|"&amp;TEXT(B32,"yyyy-mm-dd"),시편_시리즈!$Y$2:$Y$151,0))&amp;"편  "&amp;INDEX(시편_시리즈!$G$2:$G$151,MATCH("시편|"&amp;TEXT(B32,"yyyy-mm-dd"),시편_시리즈!$Y$2:$Y$151,0)),""))</f>
        <v/>
      </c>
      <c r="G32" s="23" t="n">
        <f aca="false">IF(B32="","",(D32&lt;&gt;"")+(E32&lt;&gt;"")+(F32&lt;&gt;""))</f>
        <v>2</v>
      </c>
      <c r="H32" s="31" t="s">
        <v>10282</v>
      </c>
    </row>
    <row r="33" customFormat="false" ht="15" hidden="false" customHeight="false" outlineLevel="0" collapsed="false">
      <c r="A33" s="23" t="n">
        <f aca="false">IF(B33="","",32)</f>
        <v>32</v>
      </c>
      <c r="B33" s="26" t="n">
        <f aca="false">IF(안내!$C$9+31&gt;MAX(MAX(A타입_제작표!$U$2:$U$799),MAX(시편_시리즈!$Q$2:$Q$151)),"",안내!$C$9+31)</f>
        <v>46422</v>
      </c>
      <c r="C33" s="23" t="str">
        <f aca="false">IF(B33="","",CHOOSE(WEEKDAY(B33,2),"월","화","수","목","금","토","일"))</f>
        <v>목</v>
      </c>
      <c r="D33" s="24" t="str">
        <f aca="false">IF(B33="","",IFERROR(INDEX(A타입_제작표!$J$2:$J$799,MATCH("구약|"&amp;TEXT(B33,"yyyy-mm-dd"),A타입_제작표!$AQ$2:$AQ$799,0))&amp;"  "&amp;INDEX(A타입_제작표!$L$2:$L$799,MATCH("구약|"&amp;TEXT(B33,"yyyy-mm-dd"),A타입_제작표!$AQ$2:$AQ$799,0)),""))</f>
        <v>창 37:1-11  꿈꾸는 소년</v>
      </c>
      <c r="E33" s="24" t="str">
        <f aca="false">IF(B33="","",IFERROR(INDEX(A타입_제작표!$J$2:$J$799,MATCH("신약|"&amp;TEXT(B33,"yyyy-mm-dd"),A타입_제작표!$AQ$2:$AQ$799,0))&amp;"  "&amp;INDEX(A타입_제작표!$L$2:$L$799,MATCH("신약|"&amp;TEXT(B33,"yyyy-mm-dd"),A타입_제작표!$AQ$2:$AQ$799,0)),""))</f>
        <v/>
      </c>
      <c r="F33" s="24" t="str">
        <f aca="false">IF(B33="","",IFERROR("시편 "&amp;INDEX(시편_시리즈!$A$2:$A$151,MATCH("시편|"&amp;TEXT(B33,"yyyy-mm-dd"),시편_시리즈!$Y$2:$Y$151,0))&amp;"편  "&amp;INDEX(시편_시리즈!$G$2:$G$151,MATCH("시편|"&amp;TEXT(B33,"yyyy-mm-dd"),시편_시리즈!$Y$2:$Y$151,0)),""))</f>
        <v>시편 14편  하나님이 없다 하는 자</v>
      </c>
      <c r="G33" s="23" t="n">
        <f aca="false">IF(B33="","",(D33&lt;&gt;"")+(E33&lt;&gt;"")+(F33&lt;&gt;""))</f>
        <v>2</v>
      </c>
      <c r="H33" s="31" t="s">
        <v>10282</v>
      </c>
    </row>
    <row r="34" customFormat="false" ht="15" hidden="false" customHeight="false" outlineLevel="0" collapsed="false">
      <c r="A34" s="23" t="n">
        <f aca="false">IF(B34="","",33)</f>
        <v>33</v>
      </c>
      <c r="B34" s="26" t="n">
        <f aca="false">IF(안내!$C$9+32&gt;MAX(MAX(A타입_제작표!$U$2:$U$799),MAX(시편_시리즈!$Q$2:$Q$151)),"",안내!$C$9+32)</f>
        <v>46423</v>
      </c>
      <c r="C34" s="23" t="str">
        <f aca="false">IF(B34="","",CHOOSE(WEEKDAY(B34,2),"월","화","수","목","금","토","일"))</f>
        <v>금</v>
      </c>
      <c r="D34" s="24" t="str">
        <f aca="false">IF(B34="","",IFERROR(INDEX(A타입_제작표!$J$2:$J$799,MATCH("구약|"&amp;TEXT(B34,"yyyy-mm-dd"),A타입_제작표!$AQ$2:$AQ$799,0))&amp;"  "&amp;INDEX(A타입_제작표!$L$2:$L$799,MATCH("구약|"&amp;TEXT(B34,"yyyy-mm-dd"),A타입_제작표!$AQ$2:$AQ$799,0)),""))</f>
        <v>창 37:12-36  은 20개에 팔리다</v>
      </c>
      <c r="E34" s="24" t="str">
        <f aca="false">IF(B34="","",IFERROR(INDEX(A타입_제작표!$J$2:$J$799,MATCH("신약|"&amp;TEXT(B34,"yyyy-mm-dd"),A타입_제작표!$AQ$2:$AQ$799,0))&amp;"  "&amp;INDEX(A타입_제작표!$L$2:$L$799,MATCH("신약|"&amp;TEXT(B34,"yyyy-mm-dd"),A타입_제작표!$AQ$2:$AQ$799,0)),""))</f>
        <v>마 17:1-13  변화산</v>
      </c>
      <c r="F34" s="24" t="str">
        <f aca="false">IF(B34="","",IFERROR("시편 "&amp;INDEX(시편_시리즈!$A$2:$A$151,MATCH("시편|"&amp;TEXT(B34,"yyyy-mm-dd"),시편_시리즈!$Y$2:$Y$151,0))&amp;"편  "&amp;INDEX(시편_시리즈!$G$2:$G$151,MATCH("시편|"&amp;TEXT(B34,"yyyy-mm-dd"),시편_시리즈!$Y$2:$Y$151,0)),""))</f>
        <v/>
      </c>
      <c r="G34" s="23" t="n">
        <f aca="false">IF(B34="","",(D34&lt;&gt;"")+(E34&lt;&gt;"")+(F34&lt;&gt;""))</f>
        <v>2</v>
      </c>
      <c r="H34" s="31" t="s">
        <v>10282</v>
      </c>
    </row>
    <row r="35" customFormat="false" ht="15" hidden="false" customHeight="false" outlineLevel="0" collapsed="false">
      <c r="A35" s="23" t="n">
        <f aca="false">IF(B35="","",34)</f>
        <v>34</v>
      </c>
      <c r="B35" s="26" t="n">
        <f aca="false">IF(안내!$C$9+33&gt;MAX(MAX(A타입_제작표!$U$2:$U$799),MAX(시편_시리즈!$Q$2:$Q$151)),"",안내!$C$9+33)</f>
        <v>46424</v>
      </c>
      <c r="C35" s="23" t="str">
        <f aca="false">IF(B35="","",CHOOSE(WEEKDAY(B35,2),"월","화","수","목","금","토","일"))</f>
        <v>토</v>
      </c>
      <c r="D35" s="24" t="str">
        <f aca="false">IF(B35="","",IFERROR(INDEX(A타입_제작표!$J$2:$J$799,MATCH("구약|"&amp;TEXT(B35,"yyyy-mm-dd"),A타입_제작표!$AQ$2:$AQ$799,0))&amp;"  "&amp;INDEX(A타입_제작표!$L$2:$L$799,MATCH("구약|"&amp;TEXT(B35,"yyyy-mm-dd"),A타입_제작표!$AQ$2:$AQ$799,0)),""))</f>
        <v>창 39:1-23  아무도 없는 집에서</v>
      </c>
      <c r="E35" s="24" t="str">
        <f aca="false">IF(B35="","",IFERROR(INDEX(A타입_제작표!$J$2:$J$799,MATCH("신약|"&amp;TEXT(B35,"yyyy-mm-dd"),A타입_제작표!$AQ$2:$AQ$799,0))&amp;"  "&amp;INDEX(A타입_제작표!$L$2:$L$799,MATCH("신약|"&amp;TEXT(B35,"yyyy-mm-dd"),A타입_제작표!$AQ$2:$AQ$799,0)),""))</f>
        <v>마 18:1-35  일흔 번씩 일곱 번</v>
      </c>
      <c r="F35" s="24" t="str">
        <f aca="false">IF(B35="","",IFERROR("시편 "&amp;INDEX(시편_시리즈!$A$2:$A$151,MATCH("시편|"&amp;TEXT(B35,"yyyy-mm-dd"),시편_시리즈!$Y$2:$Y$151,0))&amp;"편  "&amp;INDEX(시편_시리즈!$G$2:$G$151,MATCH("시편|"&amp;TEXT(B35,"yyyy-mm-dd"),시편_시리즈!$Y$2:$Y$151,0)),""))</f>
        <v/>
      </c>
      <c r="G35" s="23" t="n">
        <f aca="false">IF(B35="","",(D35&lt;&gt;"")+(E35&lt;&gt;"")+(F35&lt;&gt;""))</f>
        <v>2</v>
      </c>
      <c r="H35" s="31" t="s">
        <v>10282</v>
      </c>
    </row>
    <row r="36" customFormat="false" ht="15" hidden="false" customHeight="false" outlineLevel="0" collapsed="false">
      <c r="A36" s="23" t="n">
        <f aca="false">IF(B36="","",35)</f>
        <v>35</v>
      </c>
      <c r="B36" s="26" t="n">
        <f aca="false">IF(안내!$C$9+34&gt;MAX(MAX(A타입_제작표!$U$2:$U$799),MAX(시편_시리즈!$Q$2:$Q$151)),"",안내!$C$9+34)</f>
        <v>46425</v>
      </c>
      <c r="C36" s="23" t="str">
        <f aca="false">IF(B36="","",CHOOSE(WEEKDAY(B36,2),"월","화","수","목","금","토","일"))</f>
        <v>일</v>
      </c>
      <c r="D36" s="24" t="str">
        <f aca="false">IF(B36="","",IFERROR(INDEX(A타입_제작표!$J$2:$J$799,MATCH("구약|"&amp;TEXT(B36,"yyyy-mm-dd"),A타입_제작표!$AQ$2:$AQ$799,0))&amp;"  "&amp;INDEX(A타입_제작표!$L$2:$L$799,MATCH("구약|"&amp;TEXT(B36,"yyyy-mm-dd"),A타입_제작표!$AQ$2:$AQ$799,0)),""))</f>
        <v>창 40:1-23  감옥의 두 꿈</v>
      </c>
      <c r="E36" s="24" t="str">
        <f aca="false">IF(B36="","",IFERROR(INDEX(A타입_제작표!$J$2:$J$799,MATCH("신약|"&amp;TEXT(B36,"yyyy-mm-dd"),A타입_제작표!$AQ$2:$AQ$799,0))&amp;"  "&amp;INDEX(A타입_제작표!$L$2:$L$799,MATCH("신약|"&amp;TEXT(B36,"yyyy-mm-dd"),A타입_제작표!$AQ$2:$AQ$799,0)),""))</f>
        <v/>
      </c>
      <c r="F36" s="24" t="str">
        <f aca="false">IF(B36="","",IFERROR("시편 "&amp;INDEX(시편_시리즈!$A$2:$A$151,MATCH("시편|"&amp;TEXT(B36,"yyyy-mm-dd"),시편_시리즈!$Y$2:$Y$151,0))&amp;"편  "&amp;INDEX(시편_시리즈!$G$2:$G$151,MATCH("시편|"&amp;TEXT(B36,"yyyy-mm-dd"),시편_시리즈!$Y$2:$Y$151,0)),""))</f>
        <v>시편 15편  주의 장막에 머무를 자</v>
      </c>
      <c r="G36" s="23" t="n">
        <f aca="false">IF(B36="","",(D36&lt;&gt;"")+(E36&lt;&gt;"")+(F36&lt;&gt;""))</f>
        <v>2</v>
      </c>
      <c r="H36" s="31" t="s">
        <v>10282</v>
      </c>
    </row>
    <row r="37" customFormat="false" ht="15" hidden="false" customHeight="false" outlineLevel="0" collapsed="false">
      <c r="A37" s="23" t="n">
        <f aca="false">IF(B37="","",36)</f>
        <v>36</v>
      </c>
      <c r="B37" s="26" t="n">
        <f aca="false">IF(안내!$C$9+35&gt;MAX(MAX(A타입_제작표!$U$2:$U$799),MAX(시편_시리즈!$Q$2:$Q$151)),"",안내!$C$9+35)</f>
        <v>46426</v>
      </c>
      <c r="C37" s="23" t="str">
        <f aca="false">IF(B37="","",CHOOSE(WEEKDAY(B37,2),"월","화","수","목","금","토","일"))</f>
        <v>월</v>
      </c>
      <c r="D37" s="24" t="str">
        <f aca="false">IF(B37="","",IFERROR(INDEX(A타입_제작표!$J$2:$J$799,MATCH("구약|"&amp;TEXT(B37,"yyyy-mm-dd"),A타입_제작표!$AQ$2:$AQ$799,0))&amp;"  "&amp;INDEX(A타입_제작표!$L$2:$L$799,MATCH("구약|"&amp;TEXT(B37,"yyyy-mm-dd"),A타입_제작표!$AQ$2:$AQ$799,0)),""))</f>
        <v>창 41:1-36  살진 소와 마른 소</v>
      </c>
      <c r="E37" s="24" t="str">
        <f aca="false">IF(B37="","",IFERROR(INDEX(A타입_제작표!$J$2:$J$799,MATCH("신약|"&amp;TEXT(B37,"yyyy-mm-dd"),A타입_제작표!$AQ$2:$AQ$799,0))&amp;"  "&amp;INDEX(A타입_제작표!$L$2:$L$799,MATCH("신약|"&amp;TEXT(B37,"yyyy-mm-dd"),A타입_제작표!$AQ$2:$AQ$799,0)),""))</f>
        <v>마 19:1-30  부자 청년</v>
      </c>
      <c r="F37" s="24" t="str">
        <f aca="false">IF(B37="","",IFERROR("시편 "&amp;INDEX(시편_시리즈!$A$2:$A$151,MATCH("시편|"&amp;TEXT(B37,"yyyy-mm-dd"),시편_시리즈!$Y$2:$Y$151,0))&amp;"편  "&amp;INDEX(시편_시리즈!$G$2:$G$151,MATCH("시편|"&amp;TEXT(B37,"yyyy-mm-dd"),시편_시리즈!$Y$2:$Y$151,0)),""))</f>
        <v/>
      </c>
      <c r="G37" s="23" t="n">
        <f aca="false">IF(B37="","",(D37&lt;&gt;"")+(E37&lt;&gt;"")+(F37&lt;&gt;""))</f>
        <v>2</v>
      </c>
      <c r="H37" s="31" t="s">
        <v>10282</v>
      </c>
    </row>
    <row r="38" customFormat="false" ht="15" hidden="false" customHeight="false" outlineLevel="0" collapsed="false">
      <c r="A38" s="23" t="n">
        <f aca="false">IF(B38="","",37)</f>
        <v>37</v>
      </c>
      <c r="B38" s="26" t="n">
        <f aca="false">IF(안내!$C$9+36&gt;MAX(MAX(A타입_제작표!$U$2:$U$799),MAX(시편_시리즈!$Q$2:$Q$151)),"",안내!$C$9+36)</f>
        <v>46427</v>
      </c>
      <c r="C38" s="23" t="str">
        <f aca="false">IF(B38="","",CHOOSE(WEEKDAY(B38,2),"월","화","수","목","금","토","일"))</f>
        <v>화</v>
      </c>
      <c r="D38" s="24" t="str">
        <f aca="false">IF(B38="","",IFERROR(INDEX(A타입_제작표!$J$2:$J$799,MATCH("구약|"&amp;TEXT(B38,"yyyy-mm-dd"),A타입_제작표!$AQ$2:$AQ$799,0))&amp;"  "&amp;INDEX(A타입_제작표!$L$2:$L$799,MATCH("구약|"&amp;TEXT(B38,"yyyy-mm-dd"),A타입_제작표!$AQ$2:$AQ$799,0)),""))</f>
        <v>창 41:37-57  하루 만에 총리로</v>
      </c>
      <c r="E38" s="24" t="str">
        <f aca="false">IF(B38="","",IFERROR(INDEX(A타입_제작표!$J$2:$J$799,MATCH("신약|"&amp;TEXT(B38,"yyyy-mm-dd"),A타입_제작표!$AQ$2:$AQ$799,0))&amp;"  "&amp;INDEX(A타입_제작표!$L$2:$L$799,MATCH("신약|"&amp;TEXT(B38,"yyyy-mm-dd"),A타입_제작표!$AQ$2:$AQ$799,0)),""))</f>
        <v/>
      </c>
      <c r="F38" s="24" t="str">
        <f aca="false">IF(B38="","",IFERROR("시편 "&amp;INDEX(시편_시리즈!$A$2:$A$151,MATCH("시편|"&amp;TEXT(B38,"yyyy-mm-dd"),시편_시리즈!$Y$2:$Y$151,0))&amp;"편  "&amp;INDEX(시편_시리즈!$G$2:$G$151,MATCH("시편|"&amp;TEXT(B38,"yyyy-mm-dd"),시편_시리즈!$Y$2:$Y$151,0)),""))</f>
        <v>시편 16편  내 앞에 모신 하나님</v>
      </c>
      <c r="G38" s="23" t="n">
        <f aca="false">IF(B38="","",(D38&lt;&gt;"")+(E38&lt;&gt;"")+(F38&lt;&gt;""))</f>
        <v>2</v>
      </c>
      <c r="H38" s="31" t="s">
        <v>10282</v>
      </c>
    </row>
    <row r="39" customFormat="false" ht="15" hidden="false" customHeight="false" outlineLevel="0" collapsed="false">
      <c r="A39" s="23" t="n">
        <f aca="false">IF(B39="","",38)</f>
        <v>38</v>
      </c>
      <c r="B39" s="26" t="n">
        <f aca="false">IF(안내!$C$9+37&gt;MAX(MAX(A타입_제작표!$U$2:$U$799),MAX(시편_시리즈!$Q$2:$Q$151)),"",안내!$C$9+37)</f>
        <v>46428</v>
      </c>
      <c r="C39" s="23" t="str">
        <f aca="false">IF(B39="","",CHOOSE(WEEKDAY(B39,2),"월","화","수","목","금","토","일"))</f>
        <v>수</v>
      </c>
      <c r="D39" s="24" t="str">
        <f aca="false">IF(B39="","",IFERROR(INDEX(A타입_제작표!$J$2:$J$799,MATCH("구약|"&amp;TEXT(B39,"yyyy-mm-dd"),A타입_제작표!$AQ$2:$AQ$799,0))&amp;"  "&amp;INDEX(A타입_제작표!$L$2:$L$799,MATCH("구약|"&amp;TEXT(B39,"yyyy-mm-dd"),A타입_제작표!$AQ$2:$AQ$799,0)),""))</f>
        <v>창 42:1-28  꿈이 이루어지던 날</v>
      </c>
      <c r="E39" s="24" t="str">
        <f aca="false">IF(B39="","",IFERROR(INDEX(A타입_제작표!$J$2:$J$799,MATCH("신약|"&amp;TEXT(B39,"yyyy-mm-dd"),A타입_제작표!$AQ$2:$AQ$799,0))&amp;"  "&amp;INDEX(A타입_제작표!$L$2:$L$799,MATCH("신약|"&amp;TEXT(B39,"yyyy-mm-dd"),A타입_제작표!$AQ$2:$AQ$799,0)),""))</f>
        <v>마 21:1-17  호산나</v>
      </c>
      <c r="F39" s="24" t="str">
        <f aca="false">IF(B39="","",IFERROR("시편 "&amp;INDEX(시편_시리즈!$A$2:$A$151,MATCH("시편|"&amp;TEXT(B39,"yyyy-mm-dd"),시편_시리즈!$Y$2:$Y$151,0))&amp;"편  "&amp;INDEX(시편_시리즈!$G$2:$G$151,MATCH("시편|"&amp;TEXT(B39,"yyyy-mm-dd"),시편_시리즈!$Y$2:$Y$151,0)),""))</f>
        <v/>
      </c>
      <c r="G39" s="23" t="n">
        <f aca="false">IF(B39="","",(D39&lt;&gt;"")+(E39&lt;&gt;"")+(F39&lt;&gt;""))</f>
        <v>2</v>
      </c>
      <c r="H39" s="31" t="s">
        <v>10282</v>
      </c>
    </row>
    <row r="40" customFormat="false" ht="15" hidden="false" customHeight="false" outlineLevel="0" collapsed="false">
      <c r="A40" s="23" t="n">
        <f aca="false">IF(B40="","",39)</f>
        <v>39</v>
      </c>
      <c r="B40" s="26" t="n">
        <f aca="false">IF(안내!$C$9+38&gt;MAX(MAX(A타입_제작표!$U$2:$U$799),MAX(시편_시리즈!$Q$2:$Q$151)),"",안내!$C$9+38)</f>
        <v>46429</v>
      </c>
      <c r="C40" s="23" t="str">
        <f aca="false">IF(B40="","",CHOOSE(WEEKDAY(B40,2),"월","화","수","목","금","토","일"))</f>
        <v>목</v>
      </c>
      <c r="D40" s="24" t="str">
        <f aca="false">IF(B40="","",IFERROR(INDEX(A타입_제작표!$J$2:$J$799,MATCH("구약|"&amp;TEXT(B40,"yyyy-mm-dd"),A타입_제작표!$AQ$2:$AQ$799,0))&amp;"  "&amp;INDEX(A타입_제작표!$L$2:$L$799,MATCH("구약|"&amp;TEXT(B40,"yyyy-mm-dd"),A타입_제작표!$AQ$2:$AQ$799,0)),""))</f>
        <v>창 44:1-34  은잔 사건</v>
      </c>
      <c r="E40" s="24" t="str">
        <f aca="false">IF(B40="","",IFERROR(INDEX(A타입_제작표!$J$2:$J$799,MATCH("신약|"&amp;TEXT(B40,"yyyy-mm-dd"),A타입_제작표!$AQ$2:$AQ$799,0))&amp;"  "&amp;INDEX(A타입_제작표!$L$2:$L$799,MATCH("신약|"&amp;TEXT(B40,"yyyy-mm-dd"),A타입_제작표!$AQ$2:$AQ$799,0)),""))</f>
        <v/>
      </c>
      <c r="F40" s="24" t="str">
        <f aca="false">IF(B40="","",IFERROR("시편 "&amp;INDEX(시편_시리즈!$A$2:$A$151,MATCH("시편|"&amp;TEXT(B40,"yyyy-mm-dd"),시편_시리즈!$Y$2:$Y$151,0))&amp;"편  "&amp;INDEX(시편_시리즈!$G$2:$G$151,MATCH("시편|"&amp;TEXT(B40,"yyyy-mm-dd"),시편_시리즈!$Y$2:$Y$151,0)),""))</f>
        <v>시편 17편  눈동자 같이</v>
      </c>
      <c r="G40" s="23" t="n">
        <f aca="false">IF(B40="","",(D40&lt;&gt;"")+(E40&lt;&gt;"")+(F40&lt;&gt;""))</f>
        <v>2</v>
      </c>
      <c r="H40" s="31" t="s">
        <v>10282</v>
      </c>
    </row>
    <row r="41" customFormat="false" ht="15" hidden="false" customHeight="false" outlineLevel="0" collapsed="false">
      <c r="A41" s="23" t="n">
        <f aca="false">IF(B41="","",40)</f>
        <v>40</v>
      </c>
      <c r="B41" s="26" t="n">
        <f aca="false">IF(안내!$C$9+39&gt;MAX(MAX(A타입_제작표!$U$2:$U$799),MAX(시편_시리즈!$Q$2:$Q$151)),"",안내!$C$9+39)</f>
        <v>46430</v>
      </c>
      <c r="C41" s="23" t="str">
        <f aca="false">IF(B41="","",CHOOSE(WEEKDAY(B41,2),"월","화","수","목","금","토","일"))</f>
        <v>금</v>
      </c>
      <c r="D41" s="24" t="str">
        <f aca="false">IF(B41="","",IFERROR(INDEX(A타입_제작표!$J$2:$J$799,MATCH("구약|"&amp;TEXT(B41,"yyyy-mm-dd"),A타입_제작표!$AQ$2:$AQ$799,0))&amp;"  "&amp;INDEX(A타입_제작표!$L$2:$L$799,MATCH("구약|"&amp;TEXT(B41,"yyyy-mm-dd"),A타입_제작표!$AQ$2:$AQ$799,0)),""))</f>
        <v>창 45:1-15  내가 요셉이라</v>
      </c>
      <c r="E41" s="24" t="str">
        <f aca="false">IF(B41="","",IFERROR(INDEX(A타입_제작표!$J$2:$J$799,MATCH("신약|"&amp;TEXT(B41,"yyyy-mm-dd"),A타입_제작표!$AQ$2:$AQ$799,0))&amp;"  "&amp;INDEX(A타입_제작표!$L$2:$L$799,MATCH("신약|"&amp;TEXT(B41,"yyyy-mm-dd"),A타입_제작표!$AQ$2:$AQ$799,0)),""))</f>
        <v>마 25:1-13  열 처녀</v>
      </c>
      <c r="F41" s="24" t="str">
        <f aca="false">IF(B41="","",IFERROR("시편 "&amp;INDEX(시편_시리즈!$A$2:$A$151,MATCH("시편|"&amp;TEXT(B41,"yyyy-mm-dd"),시편_시리즈!$Y$2:$Y$151,0))&amp;"편  "&amp;INDEX(시편_시리즈!$G$2:$G$151,MATCH("시편|"&amp;TEXT(B41,"yyyy-mm-dd"),시편_시리즈!$Y$2:$Y$151,0)),""))</f>
        <v/>
      </c>
      <c r="G41" s="23" t="n">
        <f aca="false">IF(B41="","",(D41&lt;&gt;"")+(E41&lt;&gt;"")+(F41&lt;&gt;""))</f>
        <v>2</v>
      </c>
      <c r="H41" s="31" t="s">
        <v>10282</v>
      </c>
    </row>
    <row r="42" customFormat="false" ht="15" hidden="false" customHeight="false" outlineLevel="0" collapsed="false">
      <c r="A42" s="23" t="n">
        <f aca="false">IF(B42="","",41)</f>
        <v>41</v>
      </c>
      <c r="B42" s="26" t="n">
        <f aca="false">IF(안내!$C$9+40&gt;MAX(MAX(A타입_제작표!$U$2:$U$799),MAX(시편_시리즈!$Q$2:$Q$151)),"",안내!$C$9+40)</f>
        <v>46431</v>
      </c>
      <c r="C42" s="23" t="str">
        <f aca="false">IF(B42="","",CHOOSE(WEEKDAY(B42,2),"월","화","수","목","금","토","일"))</f>
        <v>토</v>
      </c>
      <c r="D42" s="24" t="str">
        <f aca="false">IF(B42="","",IFERROR(INDEX(A타입_제작표!$J$2:$J$799,MATCH("구약|"&amp;TEXT(B42,"yyyy-mm-dd"),A타입_제작표!$AQ$2:$AQ$799,0))&amp;"  "&amp;INDEX(A타입_제작표!$L$2:$L$799,MATCH("구약|"&amp;TEXT(B42,"yyyy-mm-dd"),A타입_제작표!$AQ$2:$AQ$799,0)),""))</f>
        <v>창 49:1-28  열두 아들을 위한 예언</v>
      </c>
      <c r="E42" s="24" t="str">
        <f aca="false">IF(B42="","",IFERROR(INDEX(A타입_제작표!$J$2:$J$799,MATCH("신약|"&amp;TEXT(B42,"yyyy-mm-dd"),A타입_제작표!$AQ$2:$AQ$799,0))&amp;"  "&amp;INDEX(A타입_제작표!$L$2:$L$799,MATCH("신약|"&amp;TEXT(B42,"yyyy-mm-dd"),A타입_제작표!$AQ$2:$AQ$799,0)),""))</f>
        <v>마 25:14-30  달란트 비유</v>
      </c>
      <c r="F42" s="24" t="str">
        <f aca="false">IF(B42="","",IFERROR("시편 "&amp;INDEX(시편_시리즈!$A$2:$A$151,MATCH("시편|"&amp;TEXT(B42,"yyyy-mm-dd"),시편_시리즈!$Y$2:$Y$151,0))&amp;"편  "&amp;INDEX(시편_시리즈!$G$2:$G$151,MATCH("시편|"&amp;TEXT(B42,"yyyy-mm-dd"),시편_시리즈!$Y$2:$Y$151,0)),""))</f>
        <v/>
      </c>
      <c r="G42" s="23" t="n">
        <f aca="false">IF(B42="","",(D42&lt;&gt;"")+(E42&lt;&gt;"")+(F42&lt;&gt;""))</f>
        <v>2</v>
      </c>
      <c r="H42" s="31" t="s">
        <v>10282</v>
      </c>
    </row>
    <row r="43" customFormat="false" ht="15" hidden="false" customHeight="false" outlineLevel="0" collapsed="false">
      <c r="A43" s="23" t="n">
        <f aca="false">IF(B43="","",42)</f>
        <v>42</v>
      </c>
      <c r="B43" s="26" t="n">
        <f aca="false">IF(안내!$C$9+41&gt;MAX(MAX(A타입_제작표!$U$2:$U$799),MAX(시편_시리즈!$Q$2:$Q$151)),"",안내!$C$9+41)</f>
        <v>46432</v>
      </c>
      <c r="C43" s="23" t="str">
        <f aca="false">IF(B43="","",CHOOSE(WEEKDAY(B43,2),"월","화","수","목","금","토","일"))</f>
        <v>일</v>
      </c>
      <c r="D43" s="24" t="str">
        <f aca="false">IF(B43="","",IFERROR(INDEX(A타입_제작표!$J$2:$J$799,MATCH("구약|"&amp;TEXT(B43,"yyyy-mm-dd"),A타입_제작표!$AQ$2:$AQ$799,0))&amp;"  "&amp;INDEX(A타입_제작표!$L$2:$L$799,MATCH("구약|"&amp;TEXT(B43,"yyyy-mm-dd"),A타입_제작표!$AQ$2:$AQ$799,0)),""))</f>
        <v>창 50:15-26  악을 선으로</v>
      </c>
      <c r="E43" s="24" t="str">
        <f aca="false">IF(B43="","",IFERROR(INDEX(A타입_제작표!$J$2:$J$799,MATCH("신약|"&amp;TEXT(B43,"yyyy-mm-dd"),A타입_제작표!$AQ$2:$AQ$799,0))&amp;"  "&amp;INDEX(A타입_제작표!$L$2:$L$799,MATCH("신약|"&amp;TEXT(B43,"yyyy-mm-dd"),A타입_제작표!$AQ$2:$AQ$799,0)),""))</f>
        <v/>
      </c>
      <c r="F43" s="24" t="str">
        <f aca="false">IF(B43="","",IFERROR("시편 "&amp;INDEX(시편_시리즈!$A$2:$A$151,MATCH("시편|"&amp;TEXT(B43,"yyyy-mm-dd"),시편_시리즈!$Y$2:$Y$151,0))&amp;"편  "&amp;INDEX(시편_시리즈!$G$2:$G$151,MATCH("시편|"&amp;TEXT(B43,"yyyy-mm-dd"),시편_시리즈!$Y$2:$Y$151,0)),""))</f>
        <v>시편 18편  나의 반석, 나의 요새</v>
      </c>
      <c r="G43" s="23" t="n">
        <f aca="false">IF(B43="","",(D43&lt;&gt;"")+(E43&lt;&gt;"")+(F43&lt;&gt;""))</f>
        <v>2</v>
      </c>
      <c r="H43" s="31" t="s">
        <v>10282</v>
      </c>
    </row>
    <row r="44" customFormat="false" ht="15" hidden="false" customHeight="false" outlineLevel="0" collapsed="false">
      <c r="A44" s="23" t="n">
        <f aca="false">IF(B44="","",43)</f>
        <v>43</v>
      </c>
      <c r="B44" s="26" t="n">
        <f aca="false">IF(안내!$C$9+42&gt;MAX(MAX(A타입_제작표!$U$2:$U$799),MAX(시편_시리즈!$Q$2:$Q$151)),"",안내!$C$9+42)</f>
        <v>46433</v>
      </c>
      <c r="C44" s="23" t="str">
        <f aca="false">IF(B44="","",CHOOSE(WEEKDAY(B44,2),"월","화","수","목","금","토","일"))</f>
        <v>월</v>
      </c>
      <c r="D44" s="24" t="str">
        <f aca="false">IF(B44="","",IFERROR(INDEX(A타입_제작표!$J$2:$J$799,MATCH("구약|"&amp;TEXT(B44,"yyyy-mm-dd"),A타입_제작표!$AQ$2:$AQ$799,0))&amp;"  "&amp;INDEX(A타입_제작표!$L$2:$L$799,MATCH("구약|"&amp;TEXT(B44,"yyyy-mm-dd"),A타입_제작표!$AQ$2:$AQ$799,0)),""))</f>
        <v>출 1:1-22  나일강에 던져라</v>
      </c>
      <c r="E44" s="24" t="str">
        <f aca="false">IF(B44="","",IFERROR(INDEX(A타입_제작표!$J$2:$J$799,MATCH("신약|"&amp;TEXT(B44,"yyyy-mm-dd"),A타입_제작표!$AQ$2:$AQ$799,0))&amp;"  "&amp;INDEX(A타입_제작표!$L$2:$L$799,MATCH("신약|"&amp;TEXT(B44,"yyyy-mm-dd"),A타입_제작표!$AQ$2:$AQ$799,0)),""))</f>
        <v>마 26:17-30  최후의 만찬</v>
      </c>
      <c r="F44" s="24" t="str">
        <f aca="false">IF(B44="","",IFERROR("시편 "&amp;INDEX(시편_시리즈!$A$2:$A$151,MATCH("시편|"&amp;TEXT(B44,"yyyy-mm-dd"),시편_시리즈!$Y$2:$Y$151,0))&amp;"편  "&amp;INDEX(시편_시리즈!$G$2:$G$151,MATCH("시편|"&amp;TEXT(B44,"yyyy-mm-dd"),시편_시리즈!$Y$2:$Y$151,0)),""))</f>
        <v/>
      </c>
      <c r="G44" s="23" t="n">
        <f aca="false">IF(B44="","",(D44&lt;&gt;"")+(E44&lt;&gt;"")+(F44&lt;&gt;""))</f>
        <v>2</v>
      </c>
      <c r="H44" s="31" t="s">
        <v>10282</v>
      </c>
    </row>
    <row r="45" customFormat="false" ht="15" hidden="false" customHeight="false" outlineLevel="0" collapsed="false">
      <c r="A45" s="23" t="n">
        <f aca="false">IF(B45="","",44)</f>
        <v>44</v>
      </c>
      <c r="B45" s="26" t="n">
        <f aca="false">IF(안내!$C$9+43&gt;MAX(MAX(A타입_제작표!$U$2:$U$799),MAX(시편_시리즈!$Q$2:$Q$151)),"",안내!$C$9+43)</f>
        <v>46434</v>
      </c>
      <c r="C45" s="23" t="str">
        <f aca="false">IF(B45="","",CHOOSE(WEEKDAY(B45,2),"월","화","수","목","금","토","일"))</f>
        <v>화</v>
      </c>
      <c r="D45" s="24" t="str">
        <f aca="false">IF(B45="","",IFERROR(INDEX(A타입_제작표!$J$2:$J$799,MATCH("구약|"&amp;TEXT(B45,"yyyy-mm-dd"),A타입_제작표!$AQ$2:$AQ$799,0))&amp;"  "&amp;INDEX(A타입_제작표!$L$2:$L$799,MATCH("구약|"&amp;TEXT(B45,"yyyy-mm-dd"),A타입_제작표!$AQ$2:$AQ$799,0)),""))</f>
        <v>출 2:1-10  갈대 상자</v>
      </c>
      <c r="E45" s="24" t="str">
        <f aca="false">IF(B45="","",IFERROR(INDEX(A타입_제작표!$J$2:$J$799,MATCH("신약|"&amp;TEXT(B45,"yyyy-mm-dd"),A타입_제작표!$AQ$2:$AQ$799,0))&amp;"  "&amp;INDEX(A타입_제작표!$L$2:$L$799,MATCH("신약|"&amp;TEXT(B45,"yyyy-mm-dd"),A타입_제작표!$AQ$2:$AQ$799,0)),""))</f>
        <v/>
      </c>
      <c r="F45" s="24" t="str">
        <f aca="false">IF(B45="","",IFERROR("시편 "&amp;INDEX(시편_시리즈!$A$2:$A$151,MATCH("시편|"&amp;TEXT(B45,"yyyy-mm-dd"),시편_시리즈!$Y$2:$Y$151,0))&amp;"편  "&amp;INDEX(시편_시리즈!$G$2:$G$151,MATCH("시편|"&amp;TEXT(B45,"yyyy-mm-dd"),시편_시리즈!$Y$2:$Y$151,0)),""))</f>
        <v>시편 19편  하늘이 말하고 있다</v>
      </c>
      <c r="G45" s="23" t="n">
        <f aca="false">IF(B45="","",(D45&lt;&gt;"")+(E45&lt;&gt;"")+(F45&lt;&gt;""))</f>
        <v>2</v>
      </c>
      <c r="H45" s="31" t="s">
        <v>10282</v>
      </c>
    </row>
    <row r="46" customFormat="false" ht="15" hidden="false" customHeight="false" outlineLevel="0" collapsed="false">
      <c r="A46" s="23" t="n">
        <f aca="false">IF(B46="","",45)</f>
        <v>45</v>
      </c>
      <c r="B46" s="26" t="n">
        <f aca="false">IF(안내!$C$9+44&gt;MAX(MAX(A타입_제작표!$U$2:$U$799),MAX(시편_시리즈!$Q$2:$Q$151)),"",안내!$C$9+44)</f>
        <v>46435</v>
      </c>
      <c r="C46" s="23" t="str">
        <f aca="false">IF(B46="","",CHOOSE(WEEKDAY(B46,2),"월","화","수","목","금","토","일"))</f>
        <v>수</v>
      </c>
      <c r="D46" s="24" t="str">
        <f aca="false">IF(B46="","",IFERROR(INDEX(A타입_제작표!$J$2:$J$799,MATCH("구약|"&amp;TEXT(B46,"yyyy-mm-dd"),A타입_제작표!$AQ$2:$AQ$799,0))&amp;"  "&amp;INDEX(A타입_제작표!$L$2:$L$799,MATCH("구약|"&amp;TEXT(B46,"yyyy-mm-dd"),A타입_제작표!$AQ$2:$AQ$799,0)),""))</f>
        <v>출 2:11-25  왕자에서 도망자로</v>
      </c>
      <c r="E46" s="24" t="str">
        <f aca="false">IF(B46="","",IFERROR(INDEX(A타입_제작표!$J$2:$J$799,MATCH("신약|"&amp;TEXT(B46,"yyyy-mm-dd"),A타입_제작표!$AQ$2:$AQ$799,0))&amp;"  "&amp;INDEX(A타입_제작표!$L$2:$L$799,MATCH("신약|"&amp;TEXT(B46,"yyyy-mm-dd"),A타입_제작표!$AQ$2:$AQ$799,0)),""))</f>
        <v>마 26:31-56  겟세마네</v>
      </c>
      <c r="F46" s="24" t="str">
        <f aca="false">IF(B46="","",IFERROR("시편 "&amp;INDEX(시편_시리즈!$A$2:$A$151,MATCH("시편|"&amp;TEXT(B46,"yyyy-mm-dd"),시편_시리즈!$Y$2:$Y$151,0))&amp;"편  "&amp;INDEX(시편_시리즈!$G$2:$G$151,MATCH("시편|"&amp;TEXT(B46,"yyyy-mm-dd"),시편_시리즈!$Y$2:$Y$151,0)),""))</f>
        <v/>
      </c>
      <c r="G46" s="23" t="n">
        <f aca="false">IF(B46="","",(D46&lt;&gt;"")+(E46&lt;&gt;"")+(F46&lt;&gt;""))</f>
        <v>2</v>
      </c>
      <c r="H46" s="31" t="s">
        <v>10282</v>
      </c>
    </row>
    <row r="47" customFormat="false" ht="15" hidden="false" customHeight="false" outlineLevel="0" collapsed="false">
      <c r="A47" s="23" t="n">
        <f aca="false">IF(B47="","",46)</f>
        <v>46</v>
      </c>
      <c r="B47" s="26" t="n">
        <f aca="false">IF(안내!$C$9+45&gt;MAX(MAX(A타입_제작표!$U$2:$U$799),MAX(시편_시리즈!$Q$2:$Q$151)),"",안내!$C$9+45)</f>
        <v>46436</v>
      </c>
      <c r="C47" s="23" t="str">
        <f aca="false">IF(B47="","",CHOOSE(WEEKDAY(B47,2),"월","화","수","목","금","토","일"))</f>
        <v>목</v>
      </c>
      <c r="D47" s="24" t="str">
        <f aca="false">IF(B47="","",IFERROR(INDEX(A타입_제작표!$J$2:$J$799,MATCH("구약|"&amp;TEXT(B47,"yyyy-mm-dd"),A타입_제작표!$AQ$2:$AQ$799,0))&amp;"  "&amp;INDEX(A타입_제작표!$L$2:$L$799,MATCH("구약|"&amp;TEXT(B47,"yyyy-mm-dd"),A타입_제작표!$AQ$2:$AQ$799,0)),""))</f>
        <v>출 3:1-12  불붙은 떨기나무</v>
      </c>
      <c r="E47" s="24" t="str">
        <f aca="false">IF(B47="","",IFERROR(INDEX(A타입_제작표!$J$2:$J$799,MATCH("신약|"&amp;TEXT(B47,"yyyy-mm-dd"),A타입_제작표!$AQ$2:$AQ$799,0))&amp;"  "&amp;INDEX(A타입_제작표!$L$2:$L$799,MATCH("신약|"&amp;TEXT(B47,"yyyy-mm-dd"),A타입_제작표!$AQ$2:$AQ$799,0)),""))</f>
        <v/>
      </c>
      <c r="F47" s="24" t="str">
        <f aca="false">IF(B47="","",IFERROR("시편 "&amp;INDEX(시편_시리즈!$A$2:$A$151,MATCH("시편|"&amp;TEXT(B47,"yyyy-mm-dd"),시편_시리즈!$Y$2:$Y$151,0))&amp;"편  "&amp;INDEX(시편_시리즈!$G$2:$G$151,MATCH("시편|"&amp;TEXT(B47,"yyyy-mm-dd"),시편_시리즈!$Y$2:$Y$151,0)),""))</f>
        <v>시편 20편  병거와 말</v>
      </c>
      <c r="G47" s="23" t="n">
        <f aca="false">IF(B47="","",(D47&lt;&gt;"")+(E47&lt;&gt;"")+(F47&lt;&gt;""))</f>
        <v>2</v>
      </c>
      <c r="H47" s="31" t="s">
        <v>10282</v>
      </c>
    </row>
    <row r="48" customFormat="false" ht="15" hidden="false" customHeight="false" outlineLevel="0" collapsed="false">
      <c r="A48" s="23" t="n">
        <f aca="false">IF(B48="","",47)</f>
        <v>47</v>
      </c>
      <c r="B48" s="26" t="n">
        <f aca="false">IF(안내!$C$9+46&gt;MAX(MAX(A타입_제작표!$U$2:$U$799),MAX(시편_시리즈!$Q$2:$Q$151)),"",안내!$C$9+46)</f>
        <v>46437</v>
      </c>
      <c r="C48" s="23" t="str">
        <f aca="false">IF(B48="","",CHOOSE(WEEKDAY(B48,2),"월","화","수","목","금","토","일"))</f>
        <v>금</v>
      </c>
      <c r="D48" s="24" t="str">
        <f aca="false">IF(B48="","",IFERROR(INDEX(A타입_제작표!$J$2:$J$799,MATCH("구약|"&amp;TEXT(B48,"yyyy-mm-dd"),A타입_제작표!$AQ$2:$AQ$799,0))&amp;"  "&amp;INDEX(A타입_제작표!$L$2:$L$799,MATCH("구약|"&amp;TEXT(B48,"yyyy-mm-dd"),A타입_제작표!$AQ$2:$AQ$799,0)),""))</f>
        <v>출 3:13-4:17  나는 스스로 있는 자</v>
      </c>
      <c r="E48" s="24" t="str">
        <f aca="false">IF(B48="","",IFERROR(INDEX(A타입_제작표!$J$2:$J$799,MATCH("신약|"&amp;TEXT(B48,"yyyy-mm-dd"),A타입_제작표!$AQ$2:$AQ$799,0))&amp;"  "&amp;INDEX(A타입_제작표!$L$2:$L$799,MATCH("신약|"&amp;TEXT(B48,"yyyy-mm-dd"),A타입_제작표!$AQ$2:$AQ$799,0)),""))</f>
        <v>마 26:57-75  닭이 울기 전에</v>
      </c>
      <c r="F48" s="24" t="str">
        <f aca="false">IF(B48="","",IFERROR("시편 "&amp;INDEX(시편_시리즈!$A$2:$A$151,MATCH("시편|"&amp;TEXT(B48,"yyyy-mm-dd"),시편_시리즈!$Y$2:$Y$151,0))&amp;"편  "&amp;INDEX(시편_시리즈!$G$2:$G$151,MATCH("시편|"&amp;TEXT(B48,"yyyy-mm-dd"),시편_시리즈!$Y$2:$Y$151,0)),""))</f>
        <v/>
      </c>
      <c r="G48" s="23" t="n">
        <f aca="false">IF(B48="","",(D48&lt;&gt;"")+(E48&lt;&gt;"")+(F48&lt;&gt;""))</f>
        <v>2</v>
      </c>
      <c r="H48" s="31" t="s">
        <v>10282</v>
      </c>
    </row>
    <row r="49" customFormat="false" ht="15" hidden="false" customHeight="false" outlineLevel="0" collapsed="false">
      <c r="A49" s="23" t="n">
        <f aca="false">IF(B49="","",48)</f>
        <v>48</v>
      </c>
      <c r="B49" s="26" t="n">
        <f aca="false">IF(안내!$C$9+47&gt;MAX(MAX(A타입_제작표!$U$2:$U$799),MAX(시편_시리즈!$Q$2:$Q$151)),"",안내!$C$9+47)</f>
        <v>46438</v>
      </c>
      <c r="C49" s="23" t="str">
        <f aca="false">IF(B49="","",CHOOSE(WEEKDAY(B49,2),"월","화","수","목","금","토","일"))</f>
        <v>토</v>
      </c>
      <c r="D49" s="24" t="str">
        <f aca="false">IF(B49="","",IFERROR(INDEX(A타입_제작표!$J$2:$J$799,MATCH("구약|"&amp;TEXT(B49,"yyyy-mm-dd"),A타입_제작표!$AQ$2:$AQ$799,0))&amp;"  "&amp;INDEX(A타입_제작표!$L$2:$L$799,MATCH("구약|"&amp;TEXT(B49,"yyyy-mm-dd"),A타입_제작표!$AQ$2:$AQ$799,0)),""))</f>
        <v>출 5:1-23  벽돌은 그대로, 짚은 없다</v>
      </c>
      <c r="E49" s="24" t="str">
        <f aca="false">IF(B49="","",IFERROR(INDEX(A타입_제작표!$J$2:$J$799,MATCH("신약|"&amp;TEXT(B49,"yyyy-mm-dd"),A타입_제작표!$AQ$2:$AQ$799,0))&amp;"  "&amp;INDEX(A타입_제작표!$L$2:$L$799,MATCH("신약|"&amp;TEXT(B49,"yyyy-mm-dd"),A타입_제작표!$AQ$2:$AQ$799,0)),""))</f>
        <v>마 27:1-26  빌라도의 재판</v>
      </c>
      <c r="F49" s="24" t="str">
        <f aca="false">IF(B49="","",IFERROR("시편 "&amp;INDEX(시편_시리즈!$A$2:$A$151,MATCH("시편|"&amp;TEXT(B49,"yyyy-mm-dd"),시편_시리즈!$Y$2:$Y$151,0))&amp;"편  "&amp;INDEX(시편_시리즈!$G$2:$G$151,MATCH("시편|"&amp;TEXT(B49,"yyyy-mm-dd"),시편_시리즈!$Y$2:$Y$151,0)),""))</f>
        <v/>
      </c>
      <c r="G49" s="23" t="n">
        <f aca="false">IF(B49="","",(D49&lt;&gt;"")+(E49&lt;&gt;"")+(F49&lt;&gt;""))</f>
        <v>2</v>
      </c>
      <c r="H49" s="31" t="s">
        <v>10282</v>
      </c>
    </row>
    <row r="50" customFormat="false" ht="15" hidden="false" customHeight="false" outlineLevel="0" collapsed="false">
      <c r="A50" s="23" t="n">
        <f aca="false">IF(B50="","",49)</f>
        <v>49</v>
      </c>
      <c r="B50" s="26" t="n">
        <f aca="false">IF(안내!$C$9+48&gt;MAX(MAX(A타입_제작표!$U$2:$U$799),MAX(시편_시리즈!$Q$2:$Q$151)),"",안내!$C$9+48)</f>
        <v>46439</v>
      </c>
      <c r="C50" s="23" t="str">
        <f aca="false">IF(B50="","",CHOOSE(WEEKDAY(B50,2),"월","화","수","목","금","토","일"))</f>
        <v>일</v>
      </c>
      <c r="D50" s="24" t="str">
        <f aca="false">IF(B50="","",IFERROR(INDEX(A타입_제작표!$J$2:$J$799,MATCH("구약|"&amp;TEXT(B50,"yyyy-mm-dd"),A타입_제작표!$AQ$2:$AQ$799,0))&amp;"  "&amp;INDEX(A타입_제작표!$L$2:$L$799,MATCH("구약|"&amp;TEXT(B50,"yyyy-mm-dd"),A타입_제작표!$AQ$2:$AQ$799,0)),""))</f>
        <v>출 7:1-13  뱀을 삼킨 지팡이</v>
      </c>
      <c r="E50" s="24" t="str">
        <f aca="false">IF(B50="","",IFERROR(INDEX(A타입_제작표!$J$2:$J$799,MATCH("신약|"&amp;TEXT(B50,"yyyy-mm-dd"),A타입_제작표!$AQ$2:$AQ$799,0))&amp;"  "&amp;INDEX(A타입_제작표!$L$2:$L$799,MATCH("신약|"&amp;TEXT(B50,"yyyy-mm-dd"),A타입_제작표!$AQ$2:$AQ$799,0)),""))</f>
        <v/>
      </c>
      <c r="F50" s="24" t="str">
        <f aca="false">IF(B50="","",IFERROR("시편 "&amp;INDEX(시편_시리즈!$A$2:$A$151,MATCH("시편|"&amp;TEXT(B50,"yyyy-mm-dd"),시편_시리즈!$Y$2:$Y$151,0))&amp;"편  "&amp;INDEX(시편_시리즈!$G$2:$G$151,MATCH("시편|"&amp;TEXT(B50,"yyyy-mm-dd"),시편_시리즈!$Y$2:$Y$151,0)),""))</f>
        <v>시편 21편  왕의 기쁨</v>
      </c>
      <c r="G50" s="23" t="n">
        <f aca="false">IF(B50="","",(D50&lt;&gt;"")+(E50&lt;&gt;"")+(F50&lt;&gt;""))</f>
        <v>2</v>
      </c>
      <c r="H50" s="31" t="s">
        <v>10282</v>
      </c>
    </row>
    <row r="51" customFormat="false" ht="15" hidden="false" customHeight="false" outlineLevel="0" collapsed="false">
      <c r="A51" s="23" t="n">
        <f aca="false">IF(B51="","",50)</f>
        <v>50</v>
      </c>
      <c r="B51" s="26" t="n">
        <f aca="false">IF(안내!$C$9+49&gt;MAX(MAX(A타입_제작표!$U$2:$U$799),MAX(시편_시리즈!$Q$2:$Q$151)),"",안내!$C$9+49)</f>
        <v>46440</v>
      </c>
      <c r="C51" s="23" t="str">
        <f aca="false">IF(B51="","",CHOOSE(WEEKDAY(B51,2),"월","화","수","목","금","토","일"))</f>
        <v>월</v>
      </c>
      <c r="D51" s="24" t="str">
        <f aca="false">IF(B51="","",IFERROR(INDEX(A타입_제작표!$J$2:$J$799,MATCH("구약|"&amp;TEXT(B51,"yyyy-mm-dd"),A타입_제작표!$AQ$2:$AQ$799,0))&amp;"  "&amp;INDEX(A타입_제작표!$L$2:$L$799,MATCH("구약|"&amp;TEXT(B51,"yyyy-mm-dd"),A타입_제작표!$AQ$2:$AQ$799,0)),""))</f>
        <v>출 7:14-25  피로 변한 나일강</v>
      </c>
      <c r="E51" s="24" t="str">
        <f aca="false">IF(B51="","",IFERROR(INDEX(A타입_제작표!$J$2:$J$799,MATCH("신약|"&amp;TEXT(B51,"yyyy-mm-dd"),A타입_제작표!$AQ$2:$AQ$799,0))&amp;"  "&amp;INDEX(A타입_제작표!$L$2:$L$799,MATCH("신약|"&amp;TEXT(B51,"yyyy-mm-dd"),A타입_제작표!$AQ$2:$AQ$799,0)),""))</f>
        <v>마 27:27-56  십자가</v>
      </c>
      <c r="F51" s="24" t="str">
        <f aca="false">IF(B51="","",IFERROR("시편 "&amp;INDEX(시편_시리즈!$A$2:$A$151,MATCH("시편|"&amp;TEXT(B51,"yyyy-mm-dd"),시편_시리즈!$Y$2:$Y$151,0))&amp;"편  "&amp;INDEX(시편_시리즈!$G$2:$G$151,MATCH("시편|"&amp;TEXT(B51,"yyyy-mm-dd"),시편_시리즈!$Y$2:$Y$151,0)),""))</f>
        <v/>
      </c>
      <c r="G51" s="23" t="n">
        <f aca="false">IF(B51="","",(D51&lt;&gt;"")+(E51&lt;&gt;"")+(F51&lt;&gt;""))</f>
        <v>2</v>
      </c>
      <c r="H51" s="31" t="s">
        <v>10282</v>
      </c>
    </row>
    <row r="52" customFormat="false" ht="15" hidden="false" customHeight="false" outlineLevel="0" collapsed="false">
      <c r="A52" s="23" t="n">
        <f aca="false">IF(B52="","",51)</f>
        <v>51</v>
      </c>
      <c r="B52" s="26" t="n">
        <f aca="false">IF(안내!$C$9+50&gt;MAX(MAX(A타입_제작표!$U$2:$U$799),MAX(시편_시리즈!$Q$2:$Q$151)),"",안내!$C$9+50)</f>
        <v>46441</v>
      </c>
      <c r="C52" s="23" t="str">
        <f aca="false">IF(B52="","",CHOOSE(WEEKDAY(B52,2),"월","화","수","목","금","토","일"))</f>
        <v>화</v>
      </c>
      <c r="D52" s="24" t="str">
        <f aca="false">IF(B52="","",IFERROR(INDEX(A타입_제작표!$J$2:$J$799,MATCH("구약|"&amp;TEXT(B52,"yyyy-mm-dd"),A타입_제작표!$AQ$2:$AQ$799,0))&amp;"  "&amp;INDEX(A타입_제작표!$L$2:$L$799,MATCH("구약|"&amp;TEXT(B52,"yyyy-mm-dd"),A타입_제작표!$AQ$2:$AQ$799,0)),""))</f>
        <v>출 8:1-15  개구리 재앙</v>
      </c>
      <c r="E52" s="24" t="str">
        <f aca="false">IF(B52="","",IFERROR(INDEX(A타입_제작표!$J$2:$J$799,MATCH("신약|"&amp;TEXT(B52,"yyyy-mm-dd"),A타입_제작표!$AQ$2:$AQ$799,0))&amp;"  "&amp;INDEX(A타입_제작표!$L$2:$L$799,MATCH("신약|"&amp;TEXT(B52,"yyyy-mm-dd"),A타입_제작표!$AQ$2:$AQ$799,0)),""))</f>
        <v/>
      </c>
      <c r="F52" s="24" t="str">
        <f aca="false">IF(B52="","",IFERROR("시편 "&amp;INDEX(시편_시리즈!$A$2:$A$151,MATCH("시편|"&amp;TEXT(B52,"yyyy-mm-dd"),시편_시리즈!$Y$2:$Y$151,0))&amp;"편  "&amp;INDEX(시편_시리즈!$G$2:$G$151,MATCH("시편|"&amp;TEXT(B52,"yyyy-mm-dd"),시편_시리즈!$Y$2:$Y$151,0)),""))</f>
        <v>시편 22편  나의 하나님 어찌하여</v>
      </c>
      <c r="G52" s="23" t="n">
        <f aca="false">IF(B52="","",(D52&lt;&gt;"")+(E52&lt;&gt;"")+(F52&lt;&gt;""))</f>
        <v>2</v>
      </c>
      <c r="H52" s="31" t="s">
        <v>10282</v>
      </c>
    </row>
    <row r="53" customFormat="false" ht="15" hidden="false" customHeight="false" outlineLevel="0" collapsed="false">
      <c r="A53" s="23" t="n">
        <f aca="false">IF(B53="","",52)</f>
        <v>52</v>
      </c>
      <c r="B53" s="26" t="n">
        <f aca="false">IF(안내!$C$9+51&gt;MAX(MAX(A타입_제작표!$U$2:$U$799),MAX(시편_시리즈!$Q$2:$Q$151)),"",안내!$C$9+51)</f>
        <v>46442</v>
      </c>
      <c r="C53" s="23" t="str">
        <f aca="false">IF(B53="","",CHOOSE(WEEKDAY(B53,2),"월","화","수","목","금","토","일"))</f>
        <v>수</v>
      </c>
      <c r="D53" s="24" t="str">
        <f aca="false">IF(B53="","",IFERROR(INDEX(A타입_제작표!$J$2:$J$799,MATCH("구약|"&amp;TEXT(B53,"yyyy-mm-dd"),A타입_제작표!$AQ$2:$AQ$799,0))&amp;"  "&amp;INDEX(A타입_제작표!$L$2:$L$799,MATCH("구약|"&amp;TEXT(B53,"yyyy-mm-dd"),A타입_제작표!$AQ$2:$AQ$799,0)),""))</f>
        <v>출 11:1-12:28  문설주의 피</v>
      </c>
      <c r="E53" s="24" t="str">
        <f aca="false">IF(B53="","",IFERROR(INDEX(A타입_제작표!$J$2:$J$799,MATCH("신약|"&amp;TEXT(B53,"yyyy-mm-dd"),A타입_제작표!$AQ$2:$AQ$799,0))&amp;"  "&amp;INDEX(A타입_제작표!$L$2:$L$799,MATCH("신약|"&amp;TEXT(B53,"yyyy-mm-dd"),A타입_제작표!$AQ$2:$AQ$799,0)),""))</f>
        <v>마 27:57-66  무덤과 경비병</v>
      </c>
      <c r="F53" s="24" t="str">
        <f aca="false">IF(B53="","",IFERROR("시편 "&amp;INDEX(시편_시리즈!$A$2:$A$151,MATCH("시편|"&amp;TEXT(B53,"yyyy-mm-dd"),시편_시리즈!$Y$2:$Y$151,0))&amp;"편  "&amp;INDEX(시편_시리즈!$G$2:$G$151,MATCH("시편|"&amp;TEXT(B53,"yyyy-mm-dd"),시편_시리즈!$Y$2:$Y$151,0)),""))</f>
        <v/>
      </c>
      <c r="G53" s="23" t="n">
        <f aca="false">IF(B53="","",(D53&lt;&gt;"")+(E53&lt;&gt;"")+(F53&lt;&gt;""))</f>
        <v>2</v>
      </c>
      <c r="H53" s="31" t="s">
        <v>10282</v>
      </c>
    </row>
    <row r="54" customFormat="false" ht="15" hidden="false" customHeight="false" outlineLevel="0" collapsed="false">
      <c r="A54" s="23" t="n">
        <f aca="false">IF(B54="","",53)</f>
        <v>53</v>
      </c>
      <c r="B54" s="26" t="n">
        <f aca="false">IF(안내!$C$9+52&gt;MAX(MAX(A타입_제작표!$U$2:$U$799),MAX(시편_시리즈!$Q$2:$Q$151)),"",안내!$C$9+52)</f>
        <v>46443</v>
      </c>
      <c r="C54" s="23" t="str">
        <f aca="false">IF(B54="","",CHOOSE(WEEKDAY(B54,2),"월","화","수","목","금","토","일"))</f>
        <v>목</v>
      </c>
      <c r="D54" s="24" t="str">
        <f aca="false">IF(B54="","",IFERROR(INDEX(A타입_제작표!$J$2:$J$799,MATCH("구약|"&amp;TEXT(B54,"yyyy-mm-dd"),A타입_제작표!$AQ$2:$AQ$799,0))&amp;"  "&amp;INDEX(A타입_제작표!$L$2:$L$799,MATCH("구약|"&amp;TEXT(B54,"yyyy-mm-dd"),A타입_제작표!$AQ$2:$AQ$799,0)),""))</f>
        <v>출 12:29-51  430년 만의 해방</v>
      </c>
      <c r="E54" s="24" t="str">
        <f aca="false">IF(B54="","",IFERROR(INDEX(A타입_제작표!$J$2:$J$799,MATCH("신약|"&amp;TEXT(B54,"yyyy-mm-dd"),A타입_제작표!$AQ$2:$AQ$799,0))&amp;"  "&amp;INDEX(A타입_제작표!$L$2:$L$799,MATCH("신약|"&amp;TEXT(B54,"yyyy-mm-dd"),A타입_제작표!$AQ$2:$AQ$799,0)),""))</f>
        <v/>
      </c>
      <c r="F54" s="24" t="str">
        <f aca="false">IF(B54="","",IFERROR("시편 "&amp;INDEX(시편_시리즈!$A$2:$A$151,MATCH("시편|"&amp;TEXT(B54,"yyyy-mm-dd"),시편_시리즈!$Y$2:$Y$151,0))&amp;"편  "&amp;INDEX(시편_시리즈!$G$2:$G$151,MATCH("시편|"&amp;TEXT(B54,"yyyy-mm-dd"),시편_시리즈!$Y$2:$Y$151,0)),""))</f>
        <v>시편 23편  여호와는 나의 목자</v>
      </c>
      <c r="G54" s="23" t="n">
        <f aca="false">IF(B54="","",(D54&lt;&gt;"")+(E54&lt;&gt;"")+(F54&lt;&gt;""))</f>
        <v>2</v>
      </c>
      <c r="H54" s="31" t="s">
        <v>10282</v>
      </c>
    </row>
    <row r="55" customFormat="false" ht="15" hidden="false" customHeight="false" outlineLevel="0" collapsed="false">
      <c r="A55" s="23" t="n">
        <f aca="false">IF(B55="","",54)</f>
        <v>54</v>
      </c>
      <c r="B55" s="26" t="n">
        <f aca="false">IF(안내!$C$9+53&gt;MAX(MAX(A타입_제작표!$U$2:$U$799),MAX(시편_시리즈!$Q$2:$Q$151)),"",안내!$C$9+53)</f>
        <v>46444</v>
      </c>
      <c r="C55" s="23" t="str">
        <f aca="false">IF(B55="","",CHOOSE(WEEKDAY(B55,2),"월","화","수","목","금","토","일"))</f>
        <v>금</v>
      </c>
      <c r="D55" s="24" t="str">
        <f aca="false">IF(B55="","",IFERROR(INDEX(A타입_제작표!$J$2:$J$799,MATCH("구약|"&amp;TEXT(B55,"yyyy-mm-dd"),A타입_제작표!$AQ$2:$AQ$799,0))&amp;"  "&amp;INDEX(A타입_제작표!$L$2:$L$799,MATCH("구약|"&amp;TEXT(B55,"yyyy-mm-dd"),A타입_제작표!$AQ$2:$AQ$799,0)),""))</f>
        <v>출 14:1-14  앞은 바다, 뒤는 군대</v>
      </c>
      <c r="E55" s="24" t="str">
        <f aca="false">IF(B55="","",IFERROR(INDEX(A타입_제작표!$J$2:$J$799,MATCH("신약|"&amp;TEXT(B55,"yyyy-mm-dd"),A타입_제작표!$AQ$2:$AQ$799,0))&amp;"  "&amp;INDEX(A타입_제작표!$L$2:$L$799,MATCH("신약|"&amp;TEXT(B55,"yyyy-mm-dd"),A타입_제작표!$AQ$2:$AQ$799,0)),""))</f>
        <v>마 28:1-15  부활</v>
      </c>
      <c r="F55" s="24" t="str">
        <f aca="false">IF(B55="","",IFERROR("시편 "&amp;INDEX(시편_시리즈!$A$2:$A$151,MATCH("시편|"&amp;TEXT(B55,"yyyy-mm-dd"),시편_시리즈!$Y$2:$Y$151,0))&amp;"편  "&amp;INDEX(시편_시리즈!$G$2:$G$151,MATCH("시편|"&amp;TEXT(B55,"yyyy-mm-dd"),시편_시리즈!$Y$2:$Y$151,0)),""))</f>
        <v/>
      </c>
      <c r="G55" s="23" t="n">
        <f aca="false">IF(B55="","",(D55&lt;&gt;"")+(E55&lt;&gt;"")+(F55&lt;&gt;""))</f>
        <v>2</v>
      </c>
      <c r="H55" s="31" t="s">
        <v>10282</v>
      </c>
    </row>
    <row r="56" customFormat="false" ht="15" hidden="false" customHeight="false" outlineLevel="0" collapsed="false">
      <c r="A56" s="23" t="n">
        <f aca="false">IF(B56="","",55)</f>
        <v>55</v>
      </c>
      <c r="B56" s="26" t="n">
        <f aca="false">IF(안내!$C$9+54&gt;MAX(MAX(A타입_제작표!$U$2:$U$799),MAX(시편_시리즈!$Q$2:$Q$151)),"",안내!$C$9+54)</f>
        <v>46445</v>
      </c>
      <c r="C56" s="23" t="str">
        <f aca="false">IF(B56="","",CHOOSE(WEEKDAY(B56,2),"월","화","수","목","금","토","일"))</f>
        <v>토</v>
      </c>
      <c r="D56" s="24" t="str">
        <f aca="false">IF(B56="","",IFERROR(INDEX(A타입_제작표!$J$2:$J$799,MATCH("구약|"&amp;TEXT(B56,"yyyy-mm-dd"),A타입_제작표!$AQ$2:$AQ$799,0))&amp;"  "&amp;INDEX(A타입_제작표!$L$2:$L$799,MATCH("구약|"&amp;TEXT(B56,"yyyy-mm-dd"),A타입_제작표!$AQ$2:$AQ$799,0)),""))</f>
        <v>출 14:15-31  바다가 갈라지다</v>
      </c>
      <c r="E56" s="24" t="str">
        <f aca="false">IF(B56="","",IFERROR(INDEX(A타입_제작표!$J$2:$J$799,MATCH("신약|"&amp;TEXT(B56,"yyyy-mm-dd"),A타입_제작표!$AQ$2:$AQ$799,0))&amp;"  "&amp;INDEX(A타입_제작표!$L$2:$L$799,MATCH("신약|"&amp;TEXT(B56,"yyyy-mm-dd"),A타입_제작표!$AQ$2:$AQ$799,0)),""))</f>
        <v>마 28:16-20  가서 제자로 삼으라</v>
      </c>
      <c r="F56" s="24" t="str">
        <f aca="false">IF(B56="","",IFERROR("시편 "&amp;INDEX(시편_시리즈!$A$2:$A$151,MATCH("시편|"&amp;TEXT(B56,"yyyy-mm-dd"),시편_시리즈!$Y$2:$Y$151,0))&amp;"편  "&amp;INDEX(시편_시리즈!$G$2:$G$151,MATCH("시편|"&amp;TEXT(B56,"yyyy-mm-dd"),시편_시리즈!$Y$2:$Y$151,0)),""))</f>
        <v/>
      </c>
      <c r="G56" s="23" t="n">
        <f aca="false">IF(B56="","",(D56&lt;&gt;"")+(E56&lt;&gt;"")+(F56&lt;&gt;""))</f>
        <v>2</v>
      </c>
      <c r="H56" s="31" t="s">
        <v>10282</v>
      </c>
    </row>
    <row r="57" customFormat="false" ht="15" hidden="false" customHeight="false" outlineLevel="0" collapsed="false">
      <c r="A57" s="23" t="n">
        <f aca="false">IF(B57="","",56)</f>
        <v>56</v>
      </c>
      <c r="B57" s="26" t="n">
        <f aca="false">IF(안내!$C$9+55&gt;MAX(MAX(A타입_제작표!$U$2:$U$799),MAX(시편_시리즈!$Q$2:$Q$151)),"",안내!$C$9+55)</f>
        <v>46446</v>
      </c>
      <c r="C57" s="23" t="str">
        <f aca="false">IF(B57="","",CHOOSE(WEEKDAY(B57,2),"월","화","수","목","금","토","일"))</f>
        <v>일</v>
      </c>
      <c r="D57" s="24" t="str">
        <f aca="false">IF(B57="","",IFERROR(INDEX(A타입_제작표!$J$2:$J$799,MATCH("구약|"&amp;TEXT(B57,"yyyy-mm-dd"),A타입_제작표!$AQ$2:$AQ$799,0))&amp;"  "&amp;INDEX(A타입_제작표!$L$2:$L$799,MATCH("구약|"&amp;TEXT(B57,"yyyy-mm-dd"),A타입_제작표!$AQ$2:$AQ$799,0)),""))</f>
        <v>출 15:1-21  구원의 노래</v>
      </c>
      <c r="E57" s="24" t="str">
        <f aca="false">IF(B57="","",IFERROR(INDEX(A타입_제작표!$J$2:$J$799,MATCH("신약|"&amp;TEXT(B57,"yyyy-mm-dd"),A타입_제작표!$AQ$2:$AQ$799,0))&amp;"  "&amp;INDEX(A타입_제작표!$L$2:$L$799,MATCH("신약|"&amp;TEXT(B57,"yyyy-mm-dd"),A타입_제작표!$AQ$2:$AQ$799,0)),""))</f>
        <v/>
      </c>
      <c r="F57" s="24" t="str">
        <f aca="false">IF(B57="","",IFERROR("시편 "&amp;INDEX(시편_시리즈!$A$2:$A$151,MATCH("시편|"&amp;TEXT(B57,"yyyy-mm-dd"),시편_시리즈!$Y$2:$Y$151,0))&amp;"편  "&amp;INDEX(시편_시리즈!$G$2:$G$151,MATCH("시편|"&amp;TEXT(B57,"yyyy-mm-dd"),시편_시리즈!$Y$2:$Y$151,0)),""))</f>
        <v>시편 24편  영광의 왕</v>
      </c>
      <c r="G57" s="23" t="n">
        <f aca="false">IF(B57="","",(D57&lt;&gt;"")+(E57&lt;&gt;"")+(F57&lt;&gt;""))</f>
        <v>2</v>
      </c>
      <c r="H57" s="31" t="s">
        <v>10282</v>
      </c>
    </row>
    <row r="58" customFormat="false" ht="15" hidden="false" customHeight="false" outlineLevel="0" collapsed="false">
      <c r="A58" s="23" t="n">
        <f aca="false">IF(B58="","",57)</f>
        <v>57</v>
      </c>
      <c r="B58" s="26" t="n">
        <f aca="false">IF(안내!$C$9+56&gt;MAX(MAX(A타입_제작표!$U$2:$U$799),MAX(시편_시리즈!$Q$2:$Q$151)),"",안내!$C$9+56)</f>
        <v>46447</v>
      </c>
      <c r="C58" s="23" t="str">
        <f aca="false">IF(B58="","",CHOOSE(WEEKDAY(B58,2),"월","화","수","목","금","토","일"))</f>
        <v>월</v>
      </c>
      <c r="D58" s="24" t="str">
        <f aca="false">IF(B58="","",IFERROR(INDEX(A타입_제작표!$J$2:$J$799,MATCH("구약|"&amp;TEXT(B58,"yyyy-mm-dd"),A타입_제작표!$AQ$2:$AQ$799,0))&amp;"  "&amp;INDEX(A타입_제작표!$L$2:$L$799,MATCH("구약|"&amp;TEXT(B58,"yyyy-mm-dd"),A타입_제작표!$AQ$2:$AQ$799,0)),""))</f>
        <v>출 16:1-36  하늘에서 내린 빵</v>
      </c>
      <c r="E58" s="24" t="str">
        <f aca="false">IF(B58="","",IFERROR(INDEX(A타입_제작표!$J$2:$J$799,MATCH("신약|"&amp;TEXT(B58,"yyyy-mm-dd"),A타입_제작표!$AQ$2:$AQ$799,0))&amp;"  "&amp;INDEX(A타입_제작표!$L$2:$L$799,MATCH("신약|"&amp;TEXT(B58,"yyyy-mm-dd"),A타입_제작표!$AQ$2:$AQ$799,0)),""))</f>
        <v>막 2:1-12  지붕을 뚫은 친구들</v>
      </c>
      <c r="F58" s="24" t="str">
        <f aca="false">IF(B58="","",IFERROR("시편 "&amp;INDEX(시편_시리즈!$A$2:$A$151,MATCH("시편|"&amp;TEXT(B58,"yyyy-mm-dd"),시편_시리즈!$Y$2:$Y$151,0))&amp;"편  "&amp;INDEX(시편_시리즈!$G$2:$G$151,MATCH("시편|"&amp;TEXT(B58,"yyyy-mm-dd"),시편_시리즈!$Y$2:$Y$151,0)),""))</f>
        <v/>
      </c>
      <c r="G58" s="23" t="n">
        <f aca="false">IF(B58="","",(D58&lt;&gt;"")+(E58&lt;&gt;"")+(F58&lt;&gt;""))</f>
        <v>2</v>
      </c>
      <c r="H58" s="31" t="s">
        <v>10282</v>
      </c>
    </row>
    <row r="59" customFormat="false" ht="15" hidden="false" customHeight="false" outlineLevel="0" collapsed="false">
      <c r="A59" s="23" t="n">
        <f aca="false">IF(B59="","",58)</f>
        <v>58</v>
      </c>
      <c r="B59" s="26" t="n">
        <f aca="false">IF(안내!$C$9+57&gt;MAX(MAX(A타입_제작표!$U$2:$U$799),MAX(시편_시리즈!$Q$2:$Q$151)),"",안내!$C$9+57)</f>
        <v>46448</v>
      </c>
      <c r="C59" s="23" t="str">
        <f aca="false">IF(B59="","",CHOOSE(WEEKDAY(B59,2),"월","화","수","목","금","토","일"))</f>
        <v>화</v>
      </c>
      <c r="D59" s="24" t="str">
        <f aca="false">IF(B59="","",IFERROR(INDEX(A타입_제작표!$J$2:$J$799,MATCH("구약|"&amp;TEXT(B59,"yyyy-mm-dd"),A타입_제작표!$AQ$2:$AQ$799,0))&amp;"  "&amp;INDEX(A타입_제작표!$L$2:$L$799,MATCH("구약|"&amp;TEXT(B59,"yyyy-mm-dd"),A타입_제작표!$AQ$2:$AQ$799,0)),""))</f>
        <v>출 17:1-7  반석에서 물이</v>
      </c>
      <c r="E59" s="24" t="str">
        <f aca="false">IF(B59="","",IFERROR(INDEX(A타입_제작표!$J$2:$J$799,MATCH("신약|"&amp;TEXT(B59,"yyyy-mm-dd"),A타입_제작표!$AQ$2:$AQ$799,0))&amp;"  "&amp;INDEX(A타입_제작표!$L$2:$L$799,MATCH("신약|"&amp;TEXT(B59,"yyyy-mm-dd"),A타입_제작표!$AQ$2:$AQ$799,0)),""))</f>
        <v/>
      </c>
      <c r="F59" s="24" t="str">
        <f aca="false">IF(B59="","",IFERROR("시편 "&amp;INDEX(시편_시리즈!$A$2:$A$151,MATCH("시편|"&amp;TEXT(B59,"yyyy-mm-dd"),시편_시리즈!$Y$2:$Y$151,0))&amp;"편  "&amp;INDEX(시편_시리즈!$G$2:$G$151,MATCH("시편|"&amp;TEXT(B59,"yyyy-mm-dd"),시편_시리즈!$Y$2:$Y$151,0)),""))</f>
        <v>시편 25편  주의 길을 보이소서</v>
      </c>
      <c r="G59" s="23" t="n">
        <f aca="false">IF(B59="","",(D59&lt;&gt;"")+(E59&lt;&gt;"")+(F59&lt;&gt;""))</f>
        <v>2</v>
      </c>
      <c r="H59" s="31" t="s">
        <v>10282</v>
      </c>
    </row>
    <row r="60" customFormat="false" ht="15" hidden="false" customHeight="false" outlineLevel="0" collapsed="false">
      <c r="A60" s="23" t="n">
        <f aca="false">IF(B60="","",59)</f>
        <v>59</v>
      </c>
      <c r="B60" s="26" t="n">
        <f aca="false">IF(안내!$C$9+58&gt;MAX(MAX(A타입_제작표!$U$2:$U$799),MAX(시편_시리즈!$Q$2:$Q$151)),"",안내!$C$9+58)</f>
        <v>46449</v>
      </c>
      <c r="C60" s="23" t="str">
        <f aca="false">IF(B60="","",CHOOSE(WEEKDAY(B60,2),"월","화","수","목","금","토","일"))</f>
        <v>수</v>
      </c>
      <c r="D60" s="24" t="str">
        <f aca="false">IF(B60="","",IFERROR(INDEX(A타입_제작표!$J$2:$J$799,MATCH("구약|"&amp;TEXT(B60,"yyyy-mm-dd"),A타입_제작표!$AQ$2:$AQ$799,0))&amp;"  "&amp;INDEX(A타입_제작표!$L$2:$L$799,MATCH("구약|"&amp;TEXT(B60,"yyyy-mm-dd"),A타입_제작표!$AQ$2:$AQ$799,0)),""))</f>
        <v>출 17:8-16  모세의 손</v>
      </c>
      <c r="E60" s="24" t="str">
        <f aca="false">IF(B60="","",IFERROR(INDEX(A타입_제작표!$J$2:$J$799,MATCH("신약|"&amp;TEXT(B60,"yyyy-mm-dd"),A타입_제작표!$AQ$2:$AQ$799,0))&amp;"  "&amp;INDEX(A타입_제작표!$L$2:$L$799,MATCH("신약|"&amp;TEXT(B60,"yyyy-mm-dd"),A타입_제작표!$AQ$2:$AQ$799,0)),""))</f>
        <v>막 5:21-43  달리다굼</v>
      </c>
      <c r="F60" s="24" t="str">
        <f aca="false">IF(B60="","",IFERROR("시편 "&amp;INDEX(시편_시리즈!$A$2:$A$151,MATCH("시편|"&amp;TEXT(B60,"yyyy-mm-dd"),시편_시리즈!$Y$2:$Y$151,0))&amp;"편  "&amp;INDEX(시편_시리즈!$G$2:$G$151,MATCH("시편|"&amp;TEXT(B60,"yyyy-mm-dd"),시편_시리즈!$Y$2:$Y$151,0)),""))</f>
        <v/>
      </c>
      <c r="G60" s="23" t="n">
        <f aca="false">IF(B60="","",(D60&lt;&gt;"")+(E60&lt;&gt;"")+(F60&lt;&gt;""))</f>
        <v>2</v>
      </c>
      <c r="H60" s="31" t="s">
        <v>10282</v>
      </c>
    </row>
    <row r="61" customFormat="false" ht="15" hidden="false" customHeight="false" outlineLevel="0" collapsed="false">
      <c r="A61" s="23" t="n">
        <f aca="false">IF(B61="","",60)</f>
        <v>60</v>
      </c>
      <c r="B61" s="26" t="n">
        <f aca="false">IF(안내!$C$9+59&gt;MAX(MAX(A타입_제작표!$U$2:$U$799),MAX(시편_시리즈!$Q$2:$Q$151)),"",안내!$C$9+59)</f>
        <v>46450</v>
      </c>
      <c r="C61" s="23" t="str">
        <f aca="false">IF(B61="","",CHOOSE(WEEKDAY(B61,2),"월","화","수","목","금","토","일"))</f>
        <v>목</v>
      </c>
      <c r="D61" s="24" t="str">
        <f aca="false">IF(B61="","",IFERROR(INDEX(A타입_제작표!$J$2:$J$799,MATCH("구약|"&amp;TEXT(B61,"yyyy-mm-dd"),A타입_제작표!$AQ$2:$AQ$799,0))&amp;"  "&amp;INDEX(A타입_제작표!$L$2:$L$799,MATCH("구약|"&amp;TEXT(B61,"yyyy-mm-dd"),A타입_제작표!$AQ$2:$AQ$799,0)),""))</f>
        <v>출 19:1-25  불타는 시내산</v>
      </c>
      <c r="E61" s="24" t="str">
        <f aca="false">IF(B61="","",IFERROR(INDEX(A타입_제작표!$J$2:$J$799,MATCH("신약|"&amp;TEXT(B61,"yyyy-mm-dd"),A타입_제작표!$AQ$2:$AQ$799,0))&amp;"  "&amp;INDEX(A타입_제작표!$L$2:$L$799,MATCH("신약|"&amp;TEXT(B61,"yyyy-mm-dd"),A타입_제작표!$AQ$2:$AQ$799,0)),""))</f>
        <v/>
      </c>
      <c r="F61" s="24" t="str">
        <f aca="false">IF(B61="","",IFERROR("시편 "&amp;INDEX(시편_시리즈!$A$2:$A$151,MATCH("시편|"&amp;TEXT(B61,"yyyy-mm-dd"),시편_시리즈!$Y$2:$Y$151,0))&amp;"편  "&amp;INDEX(시편_시리즈!$G$2:$G$151,MATCH("시편|"&amp;TEXT(B61,"yyyy-mm-dd"),시편_시리즈!$Y$2:$Y$151,0)),""))</f>
        <v>시편 26편  나를 살피소서</v>
      </c>
      <c r="G61" s="23" t="n">
        <f aca="false">IF(B61="","",(D61&lt;&gt;"")+(E61&lt;&gt;"")+(F61&lt;&gt;""))</f>
        <v>2</v>
      </c>
      <c r="H61" s="31" t="s">
        <v>10282</v>
      </c>
    </row>
    <row r="62" customFormat="false" ht="15" hidden="false" customHeight="false" outlineLevel="0" collapsed="false">
      <c r="A62" s="23" t="n">
        <f aca="false">IF(B62="","",61)</f>
        <v>61</v>
      </c>
      <c r="B62" s="26" t="n">
        <f aca="false">IF(안내!$C$9+60&gt;MAX(MAX(A타입_제작표!$U$2:$U$799),MAX(시편_시리즈!$Q$2:$Q$151)),"",안내!$C$9+60)</f>
        <v>46451</v>
      </c>
      <c r="C62" s="23" t="str">
        <f aca="false">IF(B62="","",CHOOSE(WEEKDAY(B62,2),"월","화","수","목","금","토","일"))</f>
        <v>금</v>
      </c>
      <c r="D62" s="24" t="str">
        <f aca="false">IF(B62="","",IFERROR(INDEX(A타입_제작표!$J$2:$J$799,MATCH("구약|"&amp;TEXT(B62,"yyyy-mm-dd"),A타입_제작표!$AQ$2:$AQ$799,0))&amp;"  "&amp;INDEX(A타입_제작표!$L$2:$L$799,MATCH("구약|"&amp;TEXT(B62,"yyyy-mm-dd"),A타입_제작표!$AQ$2:$AQ$799,0)),""))</f>
        <v>출 20:1-11  십계명 ① 하나님 사랑</v>
      </c>
      <c r="E62" s="24" t="str">
        <f aca="false">IF(B62="","",IFERROR(INDEX(A타입_제작표!$J$2:$J$799,MATCH("신약|"&amp;TEXT(B62,"yyyy-mm-dd"),A타입_제작표!$AQ$2:$AQ$799,0))&amp;"  "&amp;INDEX(A타입_제작표!$L$2:$L$799,MATCH("신약|"&amp;TEXT(B62,"yyyy-mm-dd"),A타입_제작표!$AQ$2:$AQ$799,0)),""))</f>
        <v>막 10:13-16  어린아이를 안으시다</v>
      </c>
      <c r="F62" s="24" t="str">
        <f aca="false">IF(B62="","",IFERROR("시편 "&amp;INDEX(시편_시리즈!$A$2:$A$151,MATCH("시편|"&amp;TEXT(B62,"yyyy-mm-dd"),시편_시리즈!$Y$2:$Y$151,0))&amp;"편  "&amp;INDEX(시편_시리즈!$G$2:$G$151,MATCH("시편|"&amp;TEXT(B62,"yyyy-mm-dd"),시편_시리즈!$Y$2:$Y$151,0)),""))</f>
        <v/>
      </c>
      <c r="G62" s="23" t="n">
        <f aca="false">IF(B62="","",(D62&lt;&gt;"")+(E62&lt;&gt;"")+(F62&lt;&gt;""))</f>
        <v>2</v>
      </c>
      <c r="H62" s="31" t="s">
        <v>10282</v>
      </c>
    </row>
    <row r="63" customFormat="false" ht="15" hidden="false" customHeight="false" outlineLevel="0" collapsed="false">
      <c r="A63" s="23" t="n">
        <f aca="false">IF(B63="","",62)</f>
        <v>62</v>
      </c>
      <c r="B63" s="26" t="n">
        <f aca="false">IF(안내!$C$9+61&gt;MAX(MAX(A타입_제작표!$U$2:$U$799),MAX(시편_시리즈!$Q$2:$Q$151)),"",안내!$C$9+61)</f>
        <v>46452</v>
      </c>
      <c r="C63" s="23" t="str">
        <f aca="false">IF(B63="","",CHOOSE(WEEKDAY(B63,2),"월","화","수","목","금","토","일"))</f>
        <v>토</v>
      </c>
      <c r="D63" s="24" t="str">
        <f aca="false">IF(B63="","",IFERROR(INDEX(A타입_제작표!$J$2:$J$799,MATCH("구약|"&amp;TEXT(B63,"yyyy-mm-dd"),A타입_제작표!$AQ$2:$AQ$799,0))&amp;"  "&amp;INDEX(A타입_제작표!$L$2:$L$799,MATCH("구약|"&amp;TEXT(B63,"yyyy-mm-dd"),A타입_제작표!$AQ$2:$AQ$799,0)),""))</f>
        <v>출 20:12-17  십계명 ② 이웃 사랑</v>
      </c>
      <c r="E63" s="24" t="str">
        <f aca="false">IF(B63="","",IFERROR(INDEX(A타입_제작표!$J$2:$J$799,MATCH("신약|"&amp;TEXT(B63,"yyyy-mm-dd"),A타입_제작표!$AQ$2:$AQ$799,0))&amp;"  "&amp;INDEX(A타입_제작표!$L$2:$L$799,MATCH("신약|"&amp;TEXT(B63,"yyyy-mm-dd"),A타입_제작표!$AQ$2:$AQ$799,0)),""))</f>
        <v>막 10:46-52  바디매오</v>
      </c>
      <c r="F63" s="24" t="str">
        <f aca="false">IF(B63="","",IFERROR("시편 "&amp;INDEX(시편_시리즈!$A$2:$A$151,MATCH("시편|"&amp;TEXT(B63,"yyyy-mm-dd"),시편_시리즈!$Y$2:$Y$151,0))&amp;"편  "&amp;INDEX(시편_시리즈!$G$2:$G$151,MATCH("시편|"&amp;TEXT(B63,"yyyy-mm-dd"),시편_시리즈!$Y$2:$Y$151,0)),""))</f>
        <v/>
      </c>
      <c r="G63" s="23" t="n">
        <f aca="false">IF(B63="","",(D63&lt;&gt;"")+(E63&lt;&gt;"")+(F63&lt;&gt;""))</f>
        <v>2</v>
      </c>
      <c r="H63" s="31" t="s">
        <v>10282</v>
      </c>
    </row>
    <row r="64" customFormat="false" ht="15" hidden="false" customHeight="false" outlineLevel="0" collapsed="false">
      <c r="A64" s="23" t="n">
        <f aca="false">IF(B64="","",63)</f>
        <v>63</v>
      </c>
      <c r="B64" s="26" t="n">
        <f aca="false">IF(안내!$C$9+62&gt;MAX(MAX(A타입_제작표!$U$2:$U$799),MAX(시편_시리즈!$Q$2:$Q$151)),"",안내!$C$9+62)</f>
        <v>46453</v>
      </c>
      <c r="C64" s="23" t="str">
        <f aca="false">IF(B64="","",CHOOSE(WEEKDAY(B64,2),"월","화","수","목","금","토","일"))</f>
        <v>일</v>
      </c>
      <c r="D64" s="24" t="str">
        <f aca="false">IF(B64="","",IFERROR(INDEX(A타입_제작표!$J$2:$J$799,MATCH("구약|"&amp;TEXT(B64,"yyyy-mm-dd"),A타입_제작표!$AQ$2:$AQ$799,0))&amp;"  "&amp;INDEX(A타입_제작표!$L$2:$L$799,MATCH("구약|"&amp;TEXT(B64,"yyyy-mm-dd"),A타입_제작표!$AQ$2:$AQ$799,0)),""))</f>
        <v>출 25:1-27:21  하나님이 함께 사시는 텐트</v>
      </c>
      <c r="E64" s="24" t="str">
        <f aca="false">IF(B64="","",IFERROR(INDEX(A타입_제작표!$J$2:$J$799,MATCH("신약|"&amp;TEXT(B64,"yyyy-mm-dd"),A타입_제작표!$AQ$2:$AQ$799,0))&amp;"  "&amp;INDEX(A타입_제작표!$L$2:$L$799,MATCH("신약|"&amp;TEXT(B64,"yyyy-mm-dd"),A타입_제작표!$AQ$2:$AQ$799,0)),""))</f>
        <v/>
      </c>
      <c r="F64" s="24" t="str">
        <f aca="false">IF(B64="","",IFERROR("시편 "&amp;INDEX(시편_시리즈!$A$2:$A$151,MATCH("시편|"&amp;TEXT(B64,"yyyy-mm-dd"),시편_시리즈!$Y$2:$Y$151,0))&amp;"편  "&amp;INDEX(시편_시리즈!$G$2:$G$151,MATCH("시편|"&amp;TEXT(B64,"yyyy-mm-dd"),시편_시리즈!$Y$2:$Y$151,0)),""))</f>
        <v>시편 27편  여호와는 나의 빛</v>
      </c>
      <c r="G64" s="23" t="n">
        <f aca="false">IF(B64="","",(D64&lt;&gt;"")+(E64&lt;&gt;"")+(F64&lt;&gt;""))</f>
        <v>2</v>
      </c>
      <c r="H64" s="31" t="s">
        <v>10282</v>
      </c>
    </row>
    <row r="65" customFormat="false" ht="15" hidden="false" customHeight="false" outlineLevel="0" collapsed="false">
      <c r="A65" s="23" t="n">
        <f aca="false">IF(B65="","",64)</f>
        <v>64</v>
      </c>
      <c r="B65" s="26" t="n">
        <f aca="false">IF(안내!$C$9+63&gt;MAX(MAX(A타입_제작표!$U$2:$U$799),MAX(시편_시리즈!$Q$2:$Q$151)),"",안내!$C$9+63)</f>
        <v>46454</v>
      </c>
      <c r="C65" s="23" t="str">
        <f aca="false">IF(B65="","",CHOOSE(WEEKDAY(B65,2),"월","화","수","목","금","토","일"))</f>
        <v>월</v>
      </c>
      <c r="D65" s="24" t="str">
        <f aca="false">IF(B65="","",IFERROR(INDEX(A타입_제작표!$J$2:$J$799,MATCH("구약|"&amp;TEXT(B65,"yyyy-mm-dd"),A타입_제작표!$AQ$2:$AQ$799,0))&amp;"  "&amp;INDEX(A타입_제작표!$L$2:$L$799,MATCH("구약|"&amp;TEXT(B65,"yyyy-mm-dd"),A타입_제작표!$AQ$2:$AQ$799,0)),""))</f>
        <v>출 32:1-14  금송아지</v>
      </c>
      <c r="E65" s="24" t="str">
        <f aca="false">IF(B65="","",IFERROR(INDEX(A타입_제작표!$J$2:$J$799,MATCH("신약|"&amp;TEXT(B65,"yyyy-mm-dd"),A타입_제작표!$AQ$2:$AQ$799,0))&amp;"  "&amp;INDEX(A타입_제작표!$L$2:$L$799,MATCH("신약|"&amp;TEXT(B65,"yyyy-mm-dd"),A타입_제작표!$AQ$2:$AQ$799,0)),""))</f>
        <v>막 12:41-44  과부의 두 렙돈</v>
      </c>
      <c r="F65" s="24" t="str">
        <f aca="false">IF(B65="","",IFERROR("시편 "&amp;INDEX(시편_시리즈!$A$2:$A$151,MATCH("시편|"&amp;TEXT(B65,"yyyy-mm-dd"),시편_시리즈!$Y$2:$Y$151,0))&amp;"편  "&amp;INDEX(시편_시리즈!$G$2:$G$151,MATCH("시편|"&amp;TEXT(B65,"yyyy-mm-dd"),시편_시리즈!$Y$2:$Y$151,0)),""))</f>
        <v/>
      </c>
      <c r="G65" s="23" t="n">
        <f aca="false">IF(B65="","",(D65&lt;&gt;"")+(E65&lt;&gt;"")+(F65&lt;&gt;""))</f>
        <v>2</v>
      </c>
      <c r="H65" s="31" t="s">
        <v>10282</v>
      </c>
    </row>
    <row r="66" customFormat="false" ht="15" hidden="false" customHeight="false" outlineLevel="0" collapsed="false">
      <c r="A66" s="23" t="n">
        <f aca="false">IF(B66="","",65)</f>
        <v>65</v>
      </c>
      <c r="B66" s="26" t="n">
        <f aca="false">IF(안내!$C$9+64&gt;MAX(MAX(A타입_제작표!$U$2:$U$799),MAX(시편_시리즈!$Q$2:$Q$151)),"",안내!$C$9+64)</f>
        <v>46455</v>
      </c>
      <c r="C66" s="23" t="str">
        <f aca="false">IF(B66="","",CHOOSE(WEEKDAY(B66,2),"월","화","수","목","금","토","일"))</f>
        <v>화</v>
      </c>
      <c r="D66" s="24" t="str">
        <f aca="false">IF(B66="","",IFERROR(INDEX(A타입_제작표!$J$2:$J$799,MATCH("구약|"&amp;TEXT(B66,"yyyy-mm-dd"),A타입_제작표!$AQ$2:$AQ$799,0))&amp;"  "&amp;INDEX(A타입_제작표!$L$2:$L$799,MATCH("구약|"&amp;TEXT(B66,"yyyy-mm-dd"),A타입_제작표!$AQ$2:$AQ$799,0)),""))</f>
        <v>출 40:1-38  영광이 성막에 가득하다</v>
      </c>
      <c r="E66" s="24" t="str">
        <f aca="false">IF(B66="","",IFERROR(INDEX(A타입_제작표!$J$2:$J$799,MATCH("신약|"&amp;TEXT(B66,"yyyy-mm-dd"),A타입_제작표!$AQ$2:$AQ$799,0))&amp;"  "&amp;INDEX(A타입_제작표!$L$2:$L$799,MATCH("신약|"&amp;TEXT(B66,"yyyy-mm-dd"),A타입_제작표!$AQ$2:$AQ$799,0)),""))</f>
        <v/>
      </c>
      <c r="F66" s="24" t="str">
        <f aca="false">IF(B66="","",IFERROR("시편 "&amp;INDEX(시편_시리즈!$A$2:$A$151,MATCH("시편|"&amp;TEXT(B66,"yyyy-mm-dd"),시편_시리즈!$Y$2:$Y$151,0))&amp;"편  "&amp;INDEX(시편_시리즈!$G$2:$G$151,MATCH("시편|"&amp;TEXT(B66,"yyyy-mm-dd"),시편_시리즈!$Y$2:$Y$151,0)),""))</f>
        <v>시편 28편  나의 힘과 방패</v>
      </c>
      <c r="G66" s="23" t="n">
        <f aca="false">IF(B66="","",(D66&lt;&gt;"")+(E66&lt;&gt;"")+(F66&lt;&gt;""))</f>
        <v>2</v>
      </c>
      <c r="H66" s="31" t="s">
        <v>10282</v>
      </c>
    </row>
    <row r="67" customFormat="false" ht="15" hidden="false" customHeight="false" outlineLevel="0" collapsed="false">
      <c r="A67" s="23" t="n">
        <f aca="false">IF(B67="","",66)</f>
        <v>66</v>
      </c>
      <c r="B67" s="26" t="n">
        <f aca="false">IF(안내!$C$9+65&gt;MAX(MAX(A타입_제작표!$U$2:$U$799),MAX(시편_시리즈!$Q$2:$Q$151)),"",안내!$C$9+65)</f>
        <v>46456</v>
      </c>
      <c r="C67" s="23" t="str">
        <f aca="false">IF(B67="","",CHOOSE(WEEKDAY(B67,2),"월","화","수","목","금","토","일"))</f>
        <v>수</v>
      </c>
      <c r="D67" s="24" t="str">
        <f aca="false">IF(B67="","",IFERROR(INDEX(A타입_제작표!$J$2:$J$799,MATCH("구약|"&amp;TEXT(B67,"yyyy-mm-dd"),A타입_제작표!$AQ$2:$AQ$799,0))&amp;"  "&amp;INDEX(A타입_제작표!$L$2:$L$799,MATCH("구약|"&amp;TEXT(B67,"yyyy-mm-dd"),A타입_제작표!$AQ$2:$AQ$799,0)),""))</f>
        <v>레 16:1-34  1년에 단 하루</v>
      </c>
      <c r="E67" s="24" t="str">
        <f aca="false">IF(B67="","",IFERROR(INDEX(A타입_제작표!$J$2:$J$799,MATCH("신약|"&amp;TEXT(B67,"yyyy-mm-dd"),A타입_제작표!$AQ$2:$AQ$799,0))&amp;"  "&amp;INDEX(A타입_제작표!$L$2:$L$799,MATCH("신약|"&amp;TEXT(B67,"yyyy-mm-dd"),A타입_제작표!$AQ$2:$AQ$799,0)),""))</f>
        <v>눅 1:1-25  성전에 나타난 천사</v>
      </c>
      <c r="F67" s="24" t="str">
        <f aca="false">IF(B67="","",IFERROR("시편 "&amp;INDEX(시편_시리즈!$A$2:$A$151,MATCH("시편|"&amp;TEXT(B67,"yyyy-mm-dd"),시편_시리즈!$Y$2:$Y$151,0))&amp;"편  "&amp;INDEX(시편_시리즈!$G$2:$G$151,MATCH("시편|"&amp;TEXT(B67,"yyyy-mm-dd"),시편_시리즈!$Y$2:$Y$151,0)),""))</f>
        <v/>
      </c>
      <c r="G67" s="23" t="n">
        <f aca="false">IF(B67="","",(D67&lt;&gt;"")+(E67&lt;&gt;"")+(F67&lt;&gt;""))</f>
        <v>2</v>
      </c>
      <c r="H67" s="31" t="s">
        <v>10282</v>
      </c>
    </row>
    <row r="68" customFormat="false" ht="15" hidden="false" customHeight="false" outlineLevel="0" collapsed="false">
      <c r="A68" s="23" t="n">
        <f aca="false">IF(B68="","",67)</f>
        <v>67</v>
      </c>
      <c r="B68" s="26" t="n">
        <f aca="false">IF(안내!$C$9+66&gt;MAX(MAX(A타입_제작표!$U$2:$U$799),MAX(시편_시리즈!$Q$2:$Q$151)),"",안내!$C$9+66)</f>
        <v>46457</v>
      </c>
      <c r="C68" s="23" t="str">
        <f aca="false">IF(B68="","",CHOOSE(WEEKDAY(B68,2),"월","화","수","목","금","토","일"))</f>
        <v>목</v>
      </c>
      <c r="D68" s="24" t="str">
        <f aca="false">IF(B68="","",IFERROR(INDEX(A타입_제작표!$J$2:$J$799,MATCH("구약|"&amp;TEXT(B68,"yyyy-mm-dd"),A타입_제작표!$AQ$2:$AQ$799,0))&amp;"  "&amp;INDEX(A타입_제작표!$L$2:$L$799,MATCH("구약|"&amp;TEXT(B68,"yyyy-mm-dd"),A타입_제작표!$AQ$2:$AQ$799,0)),""))</f>
        <v>민 13:1-33  열두 정탐꾼</v>
      </c>
      <c r="E68" s="24" t="str">
        <f aca="false">IF(B68="","",IFERROR(INDEX(A타입_제작표!$J$2:$J$799,MATCH("신약|"&amp;TEXT(B68,"yyyy-mm-dd"),A타입_제작표!$AQ$2:$AQ$799,0))&amp;"  "&amp;INDEX(A타입_제작표!$L$2:$L$799,MATCH("신약|"&amp;TEXT(B68,"yyyy-mm-dd"),A타입_제작표!$AQ$2:$AQ$799,0)),""))</f>
        <v/>
      </c>
      <c r="F68" s="24" t="str">
        <f aca="false">IF(B68="","",IFERROR("시편 "&amp;INDEX(시편_시리즈!$A$2:$A$151,MATCH("시편|"&amp;TEXT(B68,"yyyy-mm-dd"),시편_시리즈!$Y$2:$Y$151,0))&amp;"편  "&amp;INDEX(시편_시리즈!$G$2:$G$151,MATCH("시편|"&amp;TEXT(B68,"yyyy-mm-dd"),시편_시리즈!$Y$2:$Y$151,0)),""))</f>
        <v>시편 29편  폭풍 속의 음성</v>
      </c>
      <c r="G68" s="23" t="n">
        <f aca="false">IF(B68="","",(D68&lt;&gt;"")+(E68&lt;&gt;"")+(F68&lt;&gt;""))</f>
        <v>2</v>
      </c>
      <c r="H68" s="31" t="s">
        <v>10282</v>
      </c>
    </row>
    <row r="69" customFormat="false" ht="15" hidden="false" customHeight="false" outlineLevel="0" collapsed="false">
      <c r="A69" s="23" t="n">
        <f aca="false">IF(B69="","",68)</f>
        <v>68</v>
      </c>
      <c r="B69" s="26" t="n">
        <f aca="false">IF(안내!$C$9+67&gt;MAX(MAX(A타입_제작표!$U$2:$U$799),MAX(시편_시리즈!$Q$2:$Q$151)),"",안내!$C$9+67)</f>
        <v>46458</v>
      </c>
      <c r="C69" s="23" t="str">
        <f aca="false">IF(B69="","",CHOOSE(WEEKDAY(B69,2),"월","화","수","목","금","토","일"))</f>
        <v>금</v>
      </c>
      <c r="D69" s="24" t="str">
        <f aca="false">IF(B69="","",IFERROR(INDEX(A타입_제작표!$J$2:$J$799,MATCH("구약|"&amp;TEXT(B69,"yyyy-mm-dd"),A타입_제작표!$AQ$2:$AQ$799,0))&amp;"  "&amp;INDEX(A타입_제작표!$L$2:$L$799,MATCH("구약|"&amp;TEXT(B69,"yyyy-mm-dd"),A타입_제작표!$AQ$2:$AQ$799,0)),""))</f>
        <v>민 14:1-45  40년의 광야</v>
      </c>
      <c r="E69" s="24" t="str">
        <f aca="false">IF(B69="","",IFERROR(INDEX(A타입_제작표!$J$2:$J$799,MATCH("신약|"&amp;TEXT(B69,"yyyy-mm-dd"),A타입_제작표!$AQ$2:$AQ$799,0))&amp;"  "&amp;INDEX(A타입_제작표!$L$2:$L$799,MATCH("신약|"&amp;TEXT(B69,"yyyy-mm-dd"),A타입_제작표!$AQ$2:$AQ$799,0)),""))</f>
        <v>눅 1:26-38  수태고지</v>
      </c>
      <c r="F69" s="24" t="str">
        <f aca="false">IF(B69="","",IFERROR("시편 "&amp;INDEX(시편_시리즈!$A$2:$A$151,MATCH("시편|"&amp;TEXT(B69,"yyyy-mm-dd"),시편_시리즈!$Y$2:$Y$151,0))&amp;"편  "&amp;INDEX(시편_시리즈!$G$2:$G$151,MATCH("시편|"&amp;TEXT(B69,"yyyy-mm-dd"),시편_시리즈!$Y$2:$Y$151,0)),""))</f>
        <v/>
      </c>
      <c r="G69" s="23" t="n">
        <f aca="false">IF(B69="","",(D69&lt;&gt;"")+(E69&lt;&gt;"")+(F69&lt;&gt;""))</f>
        <v>2</v>
      </c>
      <c r="H69" s="31" t="s">
        <v>10282</v>
      </c>
    </row>
    <row r="70" customFormat="false" ht="15" hidden="false" customHeight="false" outlineLevel="0" collapsed="false">
      <c r="A70" s="23" t="n">
        <f aca="false">IF(B70="","",69)</f>
        <v>69</v>
      </c>
      <c r="B70" s="26" t="n">
        <f aca="false">IF(안내!$C$9+68&gt;MAX(MAX(A타입_제작표!$U$2:$U$799),MAX(시편_시리즈!$Q$2:$Q$151)),"",안내!$C$9+68)</f>
        <v>46459</v>
      </c>
      <c r="C70" s="23" t="str">
        <f aca="false">IF(B70="","",CHOOSE(WEEKDAY(B70,2),"월","화","수","목","금","토","일"))</f>
        <v>토</v>
      </c>
      <c r="D70" s="24" t="str">
        <f aca="false">IF(B70="","",IFERROR(INDEX(A타입_제작표!$J$2:$J$799,MATCH("구약|"&amp;TEXT(B70,"yyyy-mm-dd"),A타입_제작표!$AQ$2:$AQ$799,0))&amp;"  "&amp;INDEX(A타입_제작표!$L$2:$L$799,MATCH("구약|"&amp;TEXT(B70,"yyyy-mm-dd"),A타입_제작표!$AQ$2:$AQ$799,0)),""))</f>
        <v>민 20:14-21:9  놋뱀</v>
      </c>
      <c r="E70" s="24" t="str">
        <f aca="false">IF(B70="","",IFERROR(INDEX(A타입_제작표!$J$2:$J$799,MATCH("신약|"&amp;TEXT(B70,"yyyy-mm-dd"),A타입_제작표!$AQ$2:$AQ$799,0))&amp;"  "&amp;INDEX(A타입_제작표!$L$2:$L$799,MATCH("신약|"&amp;TEXT(B70,"yyyy-mm-dd"),A타입_제작표!$AQ$2:$AQ$799,0)),""))</f>
        <v>눅 2:1-7  구유에 누이다</v>
      </c>
      <c r="F70" s="24" t="str">
        <f aca="false">IF(B70="","",IFERROR("시편 "&amp;INDEX(시편_시리즈!$A$2:$A$151,MATCH("시편|"&amp;TEXT(B70,"yyyy-mm-dd"),시편_시리즈!$Y$2:$Y$151,0))&amp;"편  "&amp;INDEX(시편_시리즈!$G$2:$G$151,MATCH("시편|"&amp;TEXT(B70,"yyyy-mm-dd"),시편_시리즈!$Y$2:$Y$151,0)),""))</f>
        <v/>
      </c>
      <c r="G70" s="23" t="n">
        <f aca="false">IF(B70="","",(D70&lt;&gt;"")+(E70&lt;&gt;"")+(F70&lt;&gt;""))</f>
        <v>2</v>
      </c>
      <c r="H70" s="31" t="s">
        <v>10282</v>
      </c>
    </row>
    <row r="71" customFormat="false" ht="15" hidden="false" customHeight="false" outlineLevel="0" collapsed="false">
      <c r="A71" s="23" t="n">
        <f aca="false">IF(B71="","",70)</f>
        <v>70</v>
      </c>
      <c r="B71" s="26" t="n">
        <f aca="false">IF(안내!$C$9+69&gt;MAX(MAX(A타입_제작표!$U$2:$U$799),MAX(시편_시리즈!$Q$2:$Q$151)),"",안내!$C$9+69)</f>
        <v>46460</v>
      </c>
      <c r="C71" s="23" t="str">
        <f aca="false">IF(B71="","",CHOOSE(WEEKDAY(B71,2),"월","화","수","목","금","토","일"))</f>
        <v>일</v>
      </c>
      <c r="D71" s="24" t="str">
        <f aca="false">IF(B71="","",IFERROR(INDEX(A타입_제작표!$J$2:$J$799,MATCH("구약|"&amp;TEXT(B71,"yyyy-mm-dd"),A타입_제작표!$AQ$2:$AQ$799,0))&amp;"  "&amp;INDEX(A타입_제작표!$L$2:$L$799,MATCH("구약|"&amp;TEXT(B71,"yyyy-mm-dd"),A타입_제작표!$AQ$2:$AQ$799,0)),""))</f>
        <v>민 22:1-41  말하는 나귀</v>
      </c>
      <c r="E71" s="24" t="str">
        <f aca="false">IF(B71="","",IFERROR(INDEX(A타입_제작표!$J$2:$J$799,MATCH("신약|"&amp;TEXT(B71,"yyyy-mm-dd"),A타입_제작표!$AQ$2:$AQ$799,0))&amp;"  "&amp;INDEX(A타입_제작표!$L$2:$L$799,MATCH("신약|"&amp;TEXT(B71,"yyyy-mm-dd"),A타입_제작표!$AQ$2:$AQ$799,0)),""))</f>
        <v/>
      </c>
      <c r="F71" s="24" t="str">
        <f aca="false">IF(B71="","",IFERROR("시편 "&amp;INDEX(시편_시리즈!$A$2:$A$151,MATCH("시편|"&amp;TEXT(B71,"yyyy-mm-dd"),시편_시리즈!$Y$2:$Y$151,0))&amp;"편  "&amp;INDEX(시편_시리즈!$G$2:$G$151,MATCH("시편|"&amp;TEXT(B71,"yyyy-mm-dd"),시편_시리즈!$Y$2:$Y$151,0)),""))</f>
        <v>시편 30편  아침에는 기쁨이</v>
      </c>
      <c r="G71" s="23" t="n">
        <f aca="false">IF(B71="","",(D71&lt;&gt;"")+(E71&lt;&gt;"")+(F71&lt;&gt;""))</f>
        <v>2</v>
      </c>
      <c r="H71" s="31" t="s">
        <v>10282</v>
      </c>
    </row>
    <row r="72" customFormat="false" ht="15" hidden="false" customHeight="false" outlineLevel="0" collapsed="false">
      <c r="A72" s="23" t="n">
        <f aca="false">IF(B72="","",71)</f>
        <v>71</v>
      </c>
      <c r="B72" s="26" t="n">
        <f aca="false">IF(안내!$C$9+70&gt;MAX(MAX(A타입_제작표!$U$2:$U$799),MAX(시편_시리즈!$Q$2:$Q$151)),"",안내!$C$9+70)</f>
        <v>46461</v>
      </c>
      <c r="C72" s="23" t="str">
        <f aca="false">IF(B72="","",CHOOSE(WEEKDAY(B72,2),"월","화","수","목","금","토","일"))</f>
        <v>월</v>
      </c>
      <c r="D72" s="24" t="str">
        <f aca="false">IF(B72="","",IFERROR(INDEX(A타입_제작표!$J$2:$J$799,MATCH("구약|"&amp;TEXT(B72,"yyyy-mm-dd"),A타입_제작표!$AQ$2:$AQ$799,0))&amp;"  "&amp;INDEX(A타입_제작표!$L$2:$L$799,MATCH("구약|"&amp;TEXT(B72,"yyyy-mm-dd"),A타입_제작표!$AQ$2:$AQ$799,0)),""))</f>
        <v>신 6:1-25  들으라 이스라엘아</v>
      </c>
      <c r="E72" s="24" t="str">
        <f aca="false">IF(B72="","",IFERROR(INDEX(A타입_제작표!$J$2:$J$799,MATCH("신약|"&amp;TEXT(B72,"yyyy-mm-dd"),A타입_제작표!$AQ$2:$AQ$799,0))&amp;"  "&amp;INDEX(A타입_제작표!$L$2:$L$799,MATCH("신약|"&amp;TEXT(B72,"yyyy-mm-dd"),A타입_제작표!$AQ$2:$AQ$799,0)),""))</f>
        <v>눅 2:8-20  목자들에게 들린 소식</v>
      </c>
      <c r="F72" s="24" t="str">
        <f aca="false">IF(B72="","",IFERROR("시편 "&amp;INDEX(시편_시리즈!$A$2:$A$151,MATCH("시편|"&amp;TEXT(B72,"yyyy-mm-dd"),시편_시리즈!$Y$2:$Y$151,0))&amp;"편  "&amp;INDEX(시편_시리즈!$G$2:$G$151,MATCH("시편|"&amp;TEXT(B72,"yyyy-mm-dd"),시편_시리즈!$Y$2:$Y$151,0)),""))</f>
        <v/>
      </c>
      <c r="G72" s="23" t="n">
        <f aca="false">IF(B72="","",(D72&lt;&gt;"")+(E72&lt;&gt;"")+(F72&lt;&gt;""))</f>
        <v>2</v>
      </c>
      <c r="H72" s="31" t="s">
        <v>10282</v>
      </c>
    </row>
    <row r="73" customFormat="false" ht="15" hidden="false" customHeight="false" outlineLevel="0" collapsed="false">
      <c r="A73" s="23" t="n">
        <f aca="false">IF(B73="","",72)</f>
        <v>72</v>
      </c>
      <c r="B73" s="26" t="n">
        <f aca="false">IF(안내!$C$9+71&gt;MAX(MAX(A타입_제작표!$U$2:$U$799),MAX(시편_시리즈!$Q$2:$Q$151)),"",안내!$C$9+71)</f>
        <v>46462</v>
      </c>
      <c r="C73" s="23" t="str">
        <f aca="false">IF(B73="","",CHOOSE(WEEKDAY(B73,2),"월","화","수","목","금","토","일"))</f>
        <v>화</v>
      </c>
      <c r="D73" s="24" t="str">
        <f aca="false">IF(B73="","",IFERROR(INDEX(A타입_제작표!$J$2:$J$799,MATCH("구약|"&amp;TEXT(B73,"yyyy-mm-dd"),A타입_제작표!$AQ$2:$AQ$799,0))&amp;"  "&amp;INDEX(A타입_제작표!$L$2:$L$799,MATCH("구약|"&amp;TEXT(B73,"yyyy-mm-dd"),A타입_제작표!$AQ$2:$AQ$799,0)),""))</f>
        <v>신 33:1-34:12  느보산에서 본 약속의 땅</v>
      </c>
      <c r="E73" s="24" t="str">
        <f aca="false">IF(B73="","",IFERROR(INDEX(A타입_제작표!$J$2:$J$799,MATCH("신약|"&amp;TEXT(B73,"yyyy-mm-dd"),A타입_제작표!$AQ$2:$AQ$799,0))&amp;"  "&amp;INDEX(A타입_제작표!$L$2:$L$799,MATCH("신약|"&amp;TEXT(B73,"yyyy-mm-dd"),A타입_제작표!$AQ$2:$AQ$799,0)),""))</f>
        <v/>
      </c>
      <c r="F73" s="24" t="str">
        <f aca="false">IF(B73="","",IFERROR("시편 "&amp;INDEX(시편_시리즈!$A$2:$A$151,MATCH("시편|"&amp;TEXT(B73,"yyyy-mm-dd"),시편_시리즈!$Y$2:$Y$151,0))&amp;"편  "&amp;INDEX(시편_시리즈!$G$2:$G$151,MATCH("시편|"&amp;TEXT(B73,"yyyy-mm-dd"),시편_시리즈!$Y$2:$Y$151,0)),""))</f>
        <v>시편 31편  주의 손에 부탁하나이다</v>
      </c>
      <c r="G73" s="23" t="n">
        <f aca="false">IF(B73="","",(D73&lt;&gt;"")+(E73&lt;&gt;"")+(F73&lt;&gt;""))</f>
        <v>2</v>
      </c>
      <c r="H73" s="31" t="s">
        <v>10282</v>
      </c>
    </row>
    <row r="74" customFormat="false" ht="15" hidden="false" customHeight="false" outlineLevel="0" collapsed="false">
      <c r="A74" s="23" t="n">
        <f aca="false">IF(B74="","",73)</f>
        <v>73</v>
      </c>
      <c r="B74" s="26" t="n">
        <f aca="false">IF(안내!$C$9+72&gt;MAX(MAX(A타입_제작표!$U$2:$U$799),MAX(시편_시리즈!$Q$2:$Q$151)),"",안내!$C$9+72)</f>
        <v>46463</v>
      </c>
      <c r="C74" s="23" t="str">
        <f aca="false">IF(B74="","",CHOOSE(WEEKDAY(B74,2),"월","화","수","목","금","토","일"))</f>
        <v>수</v>
      </c>
      <c r="D74" s="24" t="str">
        <f aca="false">IF(B74="","",IFERROR(INDEX(A타입_제작표!$J$2:$J$799,MATCH("구약|"&amp;TEXT(B74,"yyyy-mm-dd"),A타입_제작표!$AQ$2:$AQ$799,0))&amp;"  "&amp;INDEX(A타입_제작표!$L$2:$L$799,MATCH("구약|"&amp;TEXT(B74,"yyyy-mm-dd"),A타입_제작표!$AQ$2:$AQ$799,0)),""))</f>
        <v>수 1:1-18  강하고 담대하라</v>
      </c>
      <c r="E74" s="24" t="str">
        <f aca="false">IF(B74="","",IFERROR(INDEX(A타입_제작표!$J$2:$J$799,MATCH("신약|"&amp;TEXT(B74,"yyyy-mm-dd"),A타입_제작표!$AQ$2:$AQ$799,0))&amp;"  "&amp;INDEX(A타입_제작표!$L$2:$L$799,MATCH("신약|"&amp;TEXT(B74,"yyyy-mm-dd"),A타입_제작표!$AQ$2:$AQ$799,0)),""))</f>
        <v>눅 2:41-52  열두 살 예수님</v>
      </c>
      <c r="F74" s="24" t="str">
        <f aca="false">IF(B74="","",IFERROR("시편 "&amp;INDEX(시편_시리즈!$A$2:$A$151,MATCH("시편|"&amp;TEXT(B74,"yyyy-mm-dd"),시편_시리즈!$Y$2:$Y$151,0))&amp;"편  "&amp;INDEX(시편_시리즈!$G$2:$G$151,MATCH("시편|"&amp;TEXT(B74,"yyyy-mm-dd"),시편_시리즈!$Y$2:$Y$151,0)),""))</f>
        <v/>
      </c>
      <c r="G74" s="23" t="n">
        <f aca="false">IF(B74="","",(D74&lt;&gt;"")+(E74&lt;&gt;"")+(F74&lt;&gt;""))</f>
        <v>2</v>
      </c>
      <c r="H74" s="31" t="s">
        <v>10282</v>
      </c>
    </row>
    <row r="75" customFormat="false" ht="15" hidden="false" customHeight="false" outlineLevel="0" collapsed="false">
      <c r="A75" s="23" t="n">
        <f aca="false">IF(B75="","",74)</f>
        <v>74</v>
      </c>
      <c r="B75" s="26" t="n">
        <f aca="false">IF(안내!$C$9+73&gt;MAX(MAX(A타입_제작표!$U$2:$U$799),MAX(시편_시리즈!$Q$2:$Q$151)),"",안내!$C$9+73)</f>
        <v>46464</v>
      </c>
      <c r="C75" s="23" t="str">
        <f aca="false">IF(B75="","",CHOOSE(WEEKDAY(B75,2),"월","화","수","목","금","토","일"))</f>
        <v>목</v>
      </c>
      <c r="D75" s="24" t="str">
        <f aca="false">IF(B75="","",IFERROR(INDEX(A타입_제작표!$J$2:$J$799,MATCH("구약|"&amp;TEXT(B75,"yyyy-mm-dd"),A타입_제작표!$AQ$2:$AQ$799,0))&amp;"  "&amp;INDEX(A타입_제작표!$L$2:$L$799,MATCH("구약|"&amp;TEXT(B75,"yyyy-mm-dd"),A타입_제작표!$AQ$2:$AQ$799,0)),""))</f>
        <v>수 2:1-24  붉은 줄</v>
      </c>
      <c r="E75" s="24" t="str">
        <f aca="false">IF(B75="","",IFERROR(INDEX(A타입_제작표!$J$2:$J$799,MATCH("신약|"&amp;TEXT(B75,"yyyy-mm-dd"),A타입_제작표!$AQ$2:$AQ$799,0))&amp;"  "&amp;INDEX(A타입_제작표!$L$2:$L$799,MATCH("신약|"&amp;TEXT(B75,"yyyy-mm-dd"),A타입_제작표!$AQ$2:$AQ$799,0)),""))</f>
        <v/>
      </c>
      <c r="F75" s="24" t="str">
        <f aca="false">IF(B75="","",IFERROR("시편 "&amp;INDEX(시편_시리즈!$A$2:$A$151,MATCH("시편|"&amp;TEXT(B75,"yyyy-mm-dd"),시편_시리즈!$Y$2:$Y$151,0))&amp;"편  "&amp;INDEX(시편_시리즈!$G$2:$G$151,MATCH("시편|"&amp;TEXT(B75,"yyyy-mm-dd"),시편_시리즈!$Y$2:$Y$151,0)),""))</f>
        <v>시편 32편  용서받은 사람의 기쁨</v>
      </c>
      <c r="G75" s="23" t="n">
        <f aca="false">IF(B75="","",(D75&lt;&gt;"")+(E75&lt;&gt;"")+(F75&lt;&gt;""))</f>
        <v>2</v>
      </c>
      <c r="H75" s="31" t="s">
        <v>10282</v>
      </c>
    </row>
    <row r="76" customFormat="false" ht="15" hidden="false" customHeight="false" outlineLevel="0" collapsed="false">
      <c r="A76" s="23" t="n">
        <f aca="false">IF(B76="","",75)</f>
        <v>75</v>
      </c>
      <c r="B76" s="26" t="n">
        <f aca="false">IF(안내!$C$9+74&gt;MAX(MAX(A타입_제작표!$U$2:$U$799),MAX(시편_시리즈!$Q$2:$Q$151)),"",안내!$C$9+74)</f>
        <v>46465</v>
      </c>
      <c r="C76" s="23" t="str">
        <f aca="false">IF(B76="","",CHOOSE(WEEKDAY(B76,2),"월","화","수","목","금","토","일"))</f>
        <v>금</v>
      </c>
      <c r="D76" s="24" t="str">
        <f aca="false">IF(B76="","",IFERROR(INDEX(A타입_제작표!$J$2:$J$799,MATCH("구약|"&amp;TEXT(B76,"yyyy-mm-dd"),A타입_제작표!$AQ$2:$AQ$799,0))&amp;"  "&amp;INDEX(A타입_제작표!$L$2:$L$799,MATCH("구약|"&amp;TEXT(B76,"yyyy-mm-dd"),A타입_제작표!$AQ$2:$AQ$799,0)),""))</f>
        <v>수 3:1-4:24  멈춰 선 요단강</v>
      </c>
      <c r="E76" s="24" t="str">
        <f aca="false">IF(B76="","",IFERROR(INDEX(A타입_제작표!$J$2:$J$799,MATCH("신약|"&amp;TEXT(B76,"yyyy-mm-dd"),A타입_제작표!$AQ$2:$AQ$799,0))&amp;"  "&amp;INDEX(A타입_제작표!$L$2:$L$799,MATCH("신약|"&amp;TEXT(B76,"yyyy-mm-dd"),A타입_제작표!$AQ$2:$AQ$799,0)),""))</f>
        <v>눅 5:1-11  그물이 찢어지도록</v>
      </c>
      <c r="F76" s="24" t="str">
        <f aca="false">IF(B76="","",IFERROR("시편 "&amp;INDEX(시편_시리즈!$A$2:$A$151,MATCH("시편|"&amp;TEXT(B76,"yyyy-mm-dd"),시편_시리즈!$Y$2:$Y$151,0))&amp;"편  "&amp;INDEX(시편_시리즈!$G$2:$G$151,MATCH("시편|"&amp;TEXT(B76,"yyyy-mm-dd"),시편_시리즈!$Y$2:$Y$151,0)),""))</f>
        <v/>
      </c>
      <c r="G76" s="23" t="n">
        <f aca="false">IF(B76="","",(D76&lt;&gt;"")+(E76&lt;&gt;"")+(F76&lt;&gt;""))</f>
        <v>2</v>
      </c>
      <c r="H76" s="31" t="s">
        <v>10282</v>
      </c>
    </row>
    <row r="77" customFormat="false" ht="15" hidden="false" customHeight="false" outlineLevel="0" collapsed="false">
      <c r="A77" s="23" t="n">
        <f aca="false">IF(B77="","",76)</f>
        <v>76</v>
      </c>
      <c r="B77" s="26" t="n">
        <f aca="false">IF(안내!$C$9+75&gt;MAX(MAX(A타입_제작표!$U$2:$U$799),MAX(시편_시리즈!$Q$2:$Q$151)),"",안내!$C$9+75)</f>
        <v>46466</v>
      </c>
      <c r="C77" s="23" t="str">
        <f aca="false">IF(B77="","",CHOOSE(WEEKDAY(B77,2),"월","화","수","목","금","토","일"))</f>
        <v>토</v>
      </c>
      <c r="D77" s="24" t="str">
        <f aca="false">IF(B77="","",IFERROR(INDEX(A타입_제작표!$J$2:$J$799,MATCH("구약|"&amp;TEXT(B77,"yyyy-mm-dd"),A타입_제작표!$AQ$2:$AQ$799,0))&amp;"  "&amp;INDEX(A타입_제작표!$L$2:$L$799,MATCH("구약|"&amp;TEXT(B77,"yyyy-mm-dd"),A타입_제작표!$AQ$2:$AQ$799,0)),""))</f>
        <v>수 6:1-27  무너진 여리고 성</v>
      </c>
      <c r="E77" s="24" t="str">
        <f aca="false">IF(B77="","",IFERROR(INDEX(A타입_제작표!$J$2:$J$799,MATCH("신약|"&amp;TEXT(B77,"yyyy-mm-dd"),A타입_제작표!$AQ$2:$AQ$799,0))&amp;"  "&amp;INDEX(A타입_제작표!$L$2:$L$799,MATCH("신약|"&amp;TEXT(B77,"yyyy-mm-dd"),A타입_제작표!$AQ$2:$AQ$799,0)),""))</f>
        <v>눅 10:25-37  선한 사마리아인</v>
      </c>
      <c r="F77" s="24" t="str">
        <f aca="false">IF(B77="","",IFERROR("시편 "&amp;INDEX(시편_시리즈!$A$2:$A$151,MATCH("시편|"&amp;TEXT(B77,"yyyy-mm-dd"),시편_시리즈!$Y$2:$Y$151,0))&amp;"편  "&amp;INDEX(시편_시리즈!$G$2:$G$151,MATCH("시편|"&amp;TEXT(B77,"yyyy-mm-dd"),시편_시리즈!$Y$2:$Y$151,0)),""))</f>
        <v/>
      </c>
      <c r="G77" s="23" t="n">
        <f aca="false">IF(B77="","",(D77&lt;&gt;"")+(E77&lt;&gt;"")+(F77&lt;&gt;""))</f>
        <v>2</v>
      </c>
      <c r="H77" s="31" t="s">
        <v>10282</v>
      </c>
    </row>
    <row r="78" customFormat="false" ht="15" hidden="false" customHeight="false" outlineLevel="0" collapsed="false">
      <c r="A78" s="23" t="n">
        <f aca="false">IF(B78="","",77)</f>
        <v>77</v>
      </c>
      <c r="B78" s="26" t="n">
        <f aca="false">IF(안내!$C$9+76&gt;MAX(MAX(A타입_제작표!$U$2:$U$799),MAX(시편_시리즈!$Q$2:$Q$151)),"",안내!$C$9+76)</f>
        <v>46467</v>
      </c>
      <c r="C78" s="23" t="str">
        <f aca="false">IF(B78="","",CHOOSE(WEEKDAY(B78,2),"월","화","수","목","금","토","일"))</f>
        <v>일</v>
      </c>
      <c r="D78" s="24" t="str">
        <f aca="false">IF(B78="","",IFERROR(INDEX(A타입_제작표!$J$2:$J$799,MATCH("구약|"&amp;TEXT(B78,"yyyy-mm-dd"),A타입_제작표!$AQ$2:$AQ$799,0))&amp;"  "&amp;INDEX(A타입_제작표!$L$2:$L$799,MATCH("구약|"&amp;TEXT(B78,"yyyy-mm-dd"),A타입_제작표!$AQ$2:$AQ$799,0)),""))</f>
        <v>수 7:1-26  숨겨 둔 외투 한 벌</v>
      </c>
      <c r="E78" s="24" t="str">
        <f aca="false">IF(B78="","",IFERROR(INDEX(A타입_제작표!$J$2:$J$799,MATCH("신약|"&amp;TEXT(B78,"yyyy-mm-dd"),A타입_제작표!$AQ$2:$AQ$799,0))&amp;"  "&amp;INDEX(A타입_제작표!$L$2:$L$799,MATCH("신약|"&amp;TEXT(B78,"yyyy-mm-dd"),A타입_제작표!$AQ$2:$AQ$799,0)),""))</f>
        <v/>
      </c>
      <c r="F78" s="24" t="str">
        <f aca="false">IF(B78="","",IFERROR("시편 "&amp;INDEX(시편_시리즈!$A$2:$A$151,MATCH("시편|"&amp;TEXT(B78,"yyyy-mm-dd"),시편_시리즈!$Y$2:$Y$151,0))&amp;"편  "&amp;INDEX(시편_시리즈!$G$2:$G$151,MATCH("시편|"&amp;TEXT(B78,"yyyy-mm-dd"),시편_시리즈!$Y$2:$Y$151,0)),""))</f>
        <v>시편 33편  새 노래로 노래하라</v>
      </c>
      <c r="G78" s="23" t="n">
        <f aca="false">IF(B78="","",(D78&lt;&gt;"")+(E78&lt;&gt;"")+(F78&lt;&gt;""))</f>
        <v>2</v>
      </c>
      <c r="H78" s="31" t="s">
        <v>10282</v>
      </c>
    </row>
    <row r="79" customFormat="false" ht="15" hidden="false" customHeight="false" outlineLevel="0" collapsed="false">
      <c r="A79" s="23" t="n">
        <f aca="false">IF(B79="","",78)</f>
        <v>78</v>
      </c>
      <c r="B79" s="26" t="n">
        <f aca="false">IF(안내!$C$9+77&gt;MAX(MAX(A타입_제작표!$U$2:$U$799),MAX(시편_시리즈!$Q$2:$Q$151)),"",안내!$C$9+77)</f>
        <v>46468</v>
      </c>
      <c r="C79" s="23" t="str">
        <f aca="false">IF(B79="","",CHOOSE(WEEKDAY(B79,2),"월","화","수","목","금","토","일"))</f>
        <v>월</v>
      </c>
      <c r="D79" s="24" t="str">
        <f aca="false">IF(B79="","",IFERROR(INDEX(A타입_제작표!$J$2:$J$799,MATCH("구약|"&amp;TEXT(B79,"yyyy-mm-dd"),A타입_제작표!$AQ$2:$AQ$799,0))&amp;"  "&amp;INDEX(A타입_제작표!$L$2:$L$799,MATCH("구약|"&amp;TEXT(B79,"yyyy-mm-dd"),A타입_제작표!$AQ$2:$AQ$799,0)),""))</f>
        <v>수 10:1-15  태양아 멈추라</v>
      </c>
      <c r="E79" s="24" t="str">
        <f aca="false">IF(B79="","",IFERROR(INDEX(A타입_제작표!$J$2:$J$799,MATCH("신약|"&amp;TEXT(B79,"yyyy-mm-dd"),A타입_제작표!$AQ$2:$AQ$799,0))&amp;"  "&amp;INDEX(A타입_제작표!$L$2:$L$799,MATCH("신약|"&amp;TEXT(B79,"yyyy-mm-dd"),A타입_제작표!$AQ$2:$AQ$799,0)),""))</f>
        <v>눅 10:38-42  마르다와 마리아</v>
      </c>
      <c r="F79" s="24" t="str">
        <f aca="false">IF(B79="","",IFERROR("시편 "&amp;INDEX(시편_시리즈!$A$2:$A$151,MATCH("시편|"&amp;TEXT(B79,"yyyy-mm-dd"),시편_시리즈!$Y$2:$Y$151,0))&amp;"편  "&amp;INDEX(시편_시리즈!$G$2:$G$151,MATCH("시편|"&amp;TEXT(B79,"yyyy-mm-dd"),시편_시리즈!$Y$2:$Y$151,0)),""))</f>
        <v/>
      </c>
      <c r="G79" s="23" t="n">
        <f aca="false">IF(B79="","",(D79&lt;&gt;"")+(E79&lt;&gt;"")+(F79&lt;&gt;""))</f>
        <v>2</v>
      </c>
      <c r="H79" s="31" t="s">
        <v>10282</v>
      </c>
    </row>
    <row r="80" customFormat="false" ht="15" hidden="false" customHeight="false" outlineLevel="0" collapsed="false">
      <c r="A80" s="23" t="n">
        <f aca="false">IF(B80="","",79)</f>
        <v>79</v>
      </c>
      <c r="B80" s="26" t="n">
        <f aca="false">IF(안내!$C$9+78&gt;MAX(MAX(A타입_제작표!$U$2:$U$799),MAX(시편_시리즈!$Q$2:$Q$151)),"",안내!$C$9+78)</f>
        <v>46469</v>
      </c>
      <c r="C80" s="23" t="str">
        <f aca="false">IF(B80="","",CHOOSE(WEEKDAY(B80,2),"월","화","수","목","금","토","일"))</f>
        <v>화</v>
      </c>
      <c r="D80" s="24" t="str">
        <f aca="false">IF(B80="","",IFERROR(INDEX(A타입_제작표!$J$2:$J$799,MATCH("구약|"&amp;TEXT(B80,"yyyy-mm-dd"),A타입_제작표!$AQ$2:$AQ$799,0))&amp;"  "&amp;INDEX(A타입_제작표!$L$2:$L$799,MATCH("구약|"&amp;TEXT(B80,"yyyy-mm-dd"),A타입_제작표!$AQ$2:$AQ$799,0)),""))</f>
        <v>수 23:1-24:33  나와 내 집은</v>
      </c>
      <c r="E80" s="24" t="str">
        <f aca="false">IF(B80="","",IFERROR(INDEX(A타입_제작표!$J$2:$J$799,MATCH("신약|"&amp;TEXT(B80,"yyyy-mm-dd"),A타입_제작표!$AQ$2:$AQ$799,0))&amp;"  "&amp;INDEX(A타입_제작표!$L$2:$L$799,MATCH("신약|"&amp;TEXT(B80,"yyyy-mm-dd"),A타입_제작표!$AQ$2:$AQ$799,0)),""))</f>
        <v/>
      </c>
      <c r="F80" s="24" t="str">
        <f aca="false">IF(B80="","",IFERROR("시편 "&amp;INDEX(시편_시리즈!$A$2:$A$151,MATCH("시편|"&amp;TEXT(B80,"yyyy-mm-dd"),시편_시리즈!$Y$2:$Y$151,0))&amp;"편  "&amp;INDEX(시편_시리즈!$G$2:$G$151,MATCH("시편|"&amp;TEXT(B80,"yyyy-mm-dd"),시편_시리즈!$Y$2:$Y$151,0)),""))</f>
        <v>시편 34편  맛보아 알지어다</v>
      </c>
      <c r="G80" s="23" t="n">
        <f aca="false">IF(B80="","",(D80&lt;&gt;"")+(E80&lt;&gt;"")+(F80&lt;&gt;""))</f>
        <v>2</v>
      </c>
      <c r="H80" s="31" t="s">
        <v>10282</v>
      </c>
    </row>
    <row r="81" customFormat="false" ht="15" hidden="false" customHeight="false" outlineLevel="0" collapsed="false">
      <c r="A81" s="23" t="n">
        <f aca="false">IF(B81="","",80)</f>
        <v>80</v>
      </c>
      <c r="B81" s="26" t="n">
        <f aca="false">IF(안내!$C$9+79&gt;MAX(MAX(A타입_제작표!$U$2:$U$799),MAX(시편_시리즈!$Q$2:$Q$151)),"",안내!$C$9+79)</f>
        <v>46470</v>
      </c>
      <c r="C81" s="23" t="str">
        <f aca="false">IF(B81="","",CHOOSE(WEEKDAY(B81,2),"월","화","수","목","금","토","일"))</f>
        <v>수</v>
      </c>
      <c r="D81" s="24" t="str">
        <f aca="false">IF(B81="","",IFERROR(INDEX(A타입_제작표!$J$2:$J$799,MATCH("구약|"&amp;TEXT(B81,"yyyy-mm-dd"),A타입_제작표!$AQ$2:$AQ$799,0))&amp;"  "&amp;INDEX(A타입_제작표!$L$2:$L$799,MATCH("구약|"&amp;TEXT(B81,"yyyy-mm-dd"),A타입_제작표!$AQ$2:$AQ$799,0)),""))</f>
        <v>삿 4:1-24  드보라와 바락</v>
      </c>
      <c r="E81" s="24" t="str">
        <f aca="false">IF(B81="","",IFERROR(INDEX(A타입_제작표!$J$2:$J$799,MATCH("신약|"&amp;TEXT(B81,"yyyy-mm-dd"),A타입_제작표!$AQ$2:$AQ$799,0))&amp;"  "&amp;INDEX(A타입_제작표!$L$2:$L$799,MATCH("신약|"&amp;TEXT(B81,"yyyy-mm-dd"),A타입_제작표!$AQ$2:$AQ$799,0)),""))</f>
        <v>눅 12:13-34  어리석은 부자</v>
      </c>
      <c r="F81" s="24" t="str">
        <f aca="false">IF(B81="","",IFERROR("시편 "&amp;INDEX(시편_시리즈!$A$2:$A$151,MATCH("시편|"&amp;TEXT(B81,"yyyy-mm-dd"),시편_시리즈!$Y$2:$Y$151,0))&amp;"편  "&amp;INDEX(시편_시리즈!$G$2:$G$151,MATCH("시편|"&amp;TEXT(B81,"yyyy-mm-dd"),시편_시리즈!$Y$2:$Y$151,0)),""))</f>
        <v/>
      </c>
      <c r="G81" s="23" t="n">
        <f aca="false">IF(B81="","",(D81&lt;&gt;"")+(E81&lt;&gt;"")+(F81&lt;&gt;""))</f>
        <v>2</v>
      </c>
      <c r="H81" s="31" t="s">
        <v>10282</v>
      </c>
    </row>
    <row r="82" customFormat="false" ht="26.85" hidden="false" customHeight="false" outlineLevel="0" collapsed="false">
      <c r="A82" s="23" t="n">
        <f aca="false">IF(B82="","",81)</f>
        <v>81</v>
      </c>
      <c r="B82" s="26" t="n">
        <f aca="false">IF(안내!$C$9+80&gt;MAX(MAX(A타입_제작표!$U$2:$U$799),MAX(시편_시리즈!$Q$2:$Q$151)),"",안내!$C$9+80)</f>
        <v>46471</v>
      </c>
      <c r="C82" s="23" t="str">
        <f aca="false">IF(B82="","",CHOOSE(WEEKDAY(B82,2),"월","화","수","목","금","토","일"))</f>
        <v>목</v>
      </c>
      <c r="D82" s="24" t="str">
        <f aca="false">IF(B82="","",IFERROR(INDEX(A타입_제작표!$J$2:$J$799,MATCH("구약|"&amp;TEXT(B82,"yyyy-mm-dd"),A타입_제작표!$AQ$2:$AQ$799,0))&amp;"  "&amp;INDEX(A타입_제작표!$L$2:$L$799,MATCH("구약|"&amp;TEXT(B82,"yyyy-mm-dd"),A타입_제작표!$AQ$2:$AQ$799,0)),""))</f>
        <v>삿 6:1-24  큰 용사여</v>
      </c>
      <c r="E82" s="24" t="str">
        <f aca="false">IF(B82="","",IFERROR(INDEX(A타입_제작표!$J$2:$J$799,MATCH("신약|"&amp;TEXT(B82,"yyyy-mm-dd"),A타입_제작표!$AQ$2:$AQ$799,0))&amp;"  "&amp;INDEX(A타입_제작표!$L$2:$L$799,MATCH("신약|"&amp;TEXT(B82,"yyyy-mm-dd"),A타입_제작표!$AQ$2:$AQ$799,0)),""))</f>
        <v/>
      </c>
      <c r="F82" s="24" t="str">
        <f aca="false">IF(B82="","",IFERROR("시편 "&amp;INDEX(시편_시리즈!$A$2:$A$151,MATCH("시편|"&amp;TEXT(B82,"yyyy-mm-dd"),시편_시리즈!$Y$2:$Y$151,0))&amp;"편  "&amp;INDEX(시편_시리즈!$G$2:$G$151,MATCH("시편|"&amp;TEXT(B82,"yyyy-mm-dd"),시편_시리즈!$Y$2:$Y$151,0)),""))</f>
        <v>시편 35편  나와 다투는 자와 다투소서</v>
      </c>
      <c r="G82" s="23" t="n">
        <f aca="false">IF(B82="","",(D82&lt;&gt;"")+(E82&lt;&gt;"")+(F82&lt;&gt;""))</f>
        <v>2</v>
      </c>
      <c r="H82" s="31" t="s">
        <v>10282</v>
      </c>
    </row>
    <row r="83" customFormat="false" ht="15" hidden="false" customHeight="false" outlineLevel="0" collapsed="false">
      <c r="A83" s="23" t="n">
        <f aca="false">IF(B83="","",82)</f>
        <v>82</v>
      </c>
      <c r="B83" s="26" t="n">
        <f aca="false">IF(안내!$C$9+81&gt;MAX(MAX(A타입_제작표!$U$2:$U$799),MAX(시편_시리즈!$Q$2:$Q$151)),"",안내!$C$9+81)</f>
        <v>46472</v>
      </c>
      <c r="C83" s="23" t="str">
        <f aca="false">IF(B83="","",CHOOSE(WEEKDAY(B83,2),"월","화","수","목","금","토","일"))</f>
        <v>금</v>
      </c>
      <c r="D83" s="24" t="str">
        <f aca="false">IF(B83="","",IFERROR(INDEX(A타입_제작표!$J$2:$J$799,MATCH("구약|"&amp;TEXT(B83,"yyyy-mm-dd"),A타입_제작표!$AQ$2:$AQ$799,0))&amp;"  "&amp;INDEX(A타입_제작표!$L$2:$L$799,MATCH("구약|"&amp;TEXT(B83,"yyyy-mm-dd"),A타입_제작표!$AQ$2:$AQ$799,0)),""))</f>
        <v>삿 7:1-25  300명의 용사</v>
      </c>
      <c r="E83" s="24" t="str">
        <f aca="false">IF(B83="","",IFERROR(INDEX(A타입_제작표!$J$2:$J$799,MATCH("신약|"&amp;TEXT(B83,"yyyy-mm-dd"),A타입_제작표!$AQ$2:$AQ$799,0))&amp;"  "&amp;INDEX(A타입_제작표!$L$2:$L$799,MATCH("신약|"&amp;TEXT(B83,"yyyy-mm-dd"),A타입_제작표!$AQ$2:$AQ$799,0)),""))</f>
        <v>눅 15:1-10  잃은 양 한 마리</v>
      </c>
      <c r="F83" s="24" t="str">
        <f aca="false">IF(B83="","",IFERROR("시편 "&amp;INDEX(시편_시리즈!$A$2:$A$151,MATCH("시편|"&amp;TEXT(B83,"yyyy-mm-dd"),시편_시리즈!$Y$2:$Y$151,0))&amp;"편  "&amp;INDEX(시편_시리즈!$G$2:$G$151,MATCH("시편|"&amp;TEXT(B83,"yyyy-mm-dd"),시편_시리즈!$Y$2:$Y$151,0)),""))</f>
        <v/>
      </c>
      <c r="G83" s="23" t="n">
        <f aca="false">IF(B83="","",(D83&lt;&gt;"")+(E83&lt;&gt;"")+(F83&lt;&gt;""))</f>
        <v>2</v>
      </c>
      <c r="H83" s="31" t="s">
        <v>10282</v>
      </c>
    </row>
    <row r="84" customFormat="false" ht="15" hidden="false" customHeight="false" outlineLevel="0" collapsed="false">
      <c r="A84" s="23" t="n">
        <f aca="false">IF(B84="","",83)</f>
        <v>83</v>
      </c>
      <c r="B84" s="26" t="n">
        <f aca="false">IF(안내!$C$9+82&gt;MAX(MAX(A타입_제작표!$U$2:$U$799),MAX(시편_시리즈!$Q$2:$Q$151)),"",안내!$C$9+82)</f>
        <v>46473</v>
      </c>
      <c r="C84" s="23" t="str">
        <f aca="false">IF(B84="","",CHOOSE(WEEKDAY(B84,2),"월","화","수","목","금","토","일"))</f>
        <v>토</v>
      </c>
      <c r="D84" s="24" t="str">
        <f aca="false">IF(B84="","",IFERROR(INDEX(A타입_제작표!$J$2:$J$799,MATCH("구약|"&amp;TEXT(B84,"yyyy-mm-dd"),A타입_제작표!$AQ$2:$AQ$799,0))&amp;"  "&amp;INDEX(A타입_제작표!$L$2:$L$799,MATCH("구약|"&amp;TEXT(B84,"yyyy-mm-dd"),A타입_제작표!$AQ$2:$AQ$799,0)),""))</f>
        <v>삿 13:1-25  삼손의 탄생</v>
      </c>
      <c r="E84" s="24" t="str">
        <f aca="false">IF(B84="","",IFERROR(INDEX(A타입_제작표!$J$2:$J$799,MATCH("신약|"&amp;TEXT(B84,"yyyy-mm-dd"),A타입_제작표!$AQ$2:$AQ$799,0))&amp;"  "&amp;INDEX(A타입_제작표!$L$2:$L$799,MATCH("신약|"&amp;TEXT(B84,"yyyy-mm-dd"),A타입_제작표!$AQ$2:$AQ$799,0)),""))</f>
        <v>눅 15:11-32  돌아온 아들</v>
      </c>
      <c r="F84" s="24" t="str">
        <f aca="false">IF(B84="","",IFERROR("시편 "&amp;INDEX(시편_시리즈!$A$2:$A$151,MATCH("시편|"&amp;TEXT(B84,"yyyy-mm-dd"),시편_시리즈!$Y$2:$Y$151,0))&amp;"편  "&amp;INDEX(시편_시리즈!$G$2:$G$151,MATCH("시편|"&amp;TEXT(B84,"yyyy-mm-dd"),시편_시리즈!$Y$2:$Y$151,0)),""))</f>
        <v/>
      </c>
      <c r="G84" s="23" t="n">
        <f aca="false">IF(B84="","",(D84&lt;&gt;"")+(E84&lt;&gt;"")+(F84&lt;&gt;""))</f>
        <v>2</v>
      </c>
      <c r="H84" s="31" t="s">
        <v>10282</v>
      </c>
    </row>
    <row r="85" customFormat="false" ht="15" hidden="false" customHeight="false" outlineLevel="0" collapsed="false">
      <c r="A85" s="23" t="n">
        <f aca="false">IF(B85="","",84)</f>
        <v>84</v>
      </c>
      <c r="B85" s="26" t="n">
        <f aca="false">IF(안내!$C$9+83&gt;MAX(MAX(A타입_제작표!$U$2:$U$799),MAX(시편_시리즈!$Q$2:$Q$151)),"",안내!$C$9+83)</f>
        <v>46474</v>
      </c>
      <c r="C85" s="23" t="str">
        <f aca="false">IF(B85="","",CHOOSE(WEEKDAY(B85,2),"월","화","수","목","금","토","일"))</f>
        <v>일</v>
      </c>
      <c r="D85" s="24" t="str">
        <f aca="false">IF(B85="","",IFERROR(INDEX(A타입_제작표!$J$2:$J$799,MATCH("구약|"&amp;TEXT(B85,"yyyy-mm-dd"),A타입_제작표!$AQ$2:$AQ$799,0))&amp;"  "&amp;INDEX(A타입_제작표!$L$2:$L$799,MATCH("구약|"&amp;TEXT(B85,"yyyy-mm-dd"),A타입_제작표!$AQ$2:$AQ$799,0)),""))</f>
        <v>삿 16:1-22  머리카락의 비밀</v>
      </c>
      <c r="E85" s="24" t="str">
        <f aca="false">IF(B85="","",IFERROR(INDEX(A타입_제작표!$J$2:$J$799,MATCH("신약|"&amp;TEXT(B85,"yyyy-mm-dd"),A타입_제작표!$AQ$2:$AQ$799,0))&amp;"  "&amp;INDEX(A타입_제작표!$L$2:$L$799,MATCH("신약|"&amp;TEXT(B85,"yyyy-mm-dd"),A타입_제작표!$AQ$2:$AQ$799,0)),""))</f>
        <v/>
      </c>
      <c r="F85" s="24" t="str">
        <f aca="false">IF(B85="","",IFERROR("시편 "&amp;INDEX(시편_시리즈!$A$2:$A$151,MATCH("시편|"&amp;TEXT(B85,"yyyy-mm-dd"),시편_시리즈!$Y$2:$Y$151,0))&amp;"편  "&amp;INDEX(시편_시리즈!$G$2:$G$151,MATCH("시편|"&amp;TEXT(B85,"yyyy-mm-dd"),시편_시리즈!$Y$2:$Y$151,0)),""))</f>
        <v>시편 36편  생명의 원천</v>
      </c>
      <c r="G85" s="23" t="n">
        <f aca="false">IF(B85="","",(D85&lt;&gt;"")+(E85&lt;&gt;"")+(F85&lt;&gt;""))</f>
        <v>2</v>
      </c>
      <c r="H85" s="31" t="s">
        <v>10282</v>
      </c>
    </row>
    <row r="86" customFormat="false" ht="15" hidden="false" customHeight="false" outlineLevel="0" collapsed="false">
      <c r="A86" s="23" t="n">
        <f aca="false">IF(B86="","",85)</f>
        <v>85</v>
      </c>
      <c r="B86" s="26" t="n">
        <f aca="false">IF(안내!$C$9+84&gt;MAX(MAX(A타입_제작표!$U$2:$U$799),MAX(시편_시리즈!$Q$2:$Q$151)),"",안내!$C$9+84)</f>
        <v>46475</v>
      </c>
      <c r="C86" s="23" t="str">
        <f aca="false">IF(B86="","",CHOOSE(WEEKDAY(B86,2),"월","화","수","목","금","토","일"))</f>
        <v>월</v>
      </c>
      <c r="D86" s="24" t="str">
        <f aca="false">IF(B86="","",IFERROR(INDEX(A타입_제작표!$J$2:$J$799,MATCH("구약|"&amp;TEXT(B86,"yyyy-mm-dd"),A타입_제작표!$AQ$2:$AQ$799,0))&amp;"  "&amp;INDEX(A타입_제작표!$L$2:$L$799,MATCH("구약|"&amp;TEXT(B86,"yyyy-mm-dd"),A타입_제작표!$AQ$2:$AQ$799,0)),""))</f>
        <v>삿 16:23-31  삼손의 마지막 기도</v>
      </c>
      <c r="E86" s="24" t="str">
        <f aca="false">IF(B86="","",IFERROR(INDEX(A타입_제작표!$J$2:$J$799,MATCH("신약|"&amp;TEXT(B86,"yyyy-mm-dd"),A타입_제작표!$AQ$2:$AQ$799,0))&amp;"  "&amp;INDEX(A타입_제작표!$L$2:$L$799,MATCH("신약|"&amp;TEXT(B86,"yyyy-mm-dd"),A타입_제작표!$AQ$2:$AQ$799,0)),""))</f>
        <v>눅 17:11-19  돌아온 한 사람</v>
      </c>
      <c r="F86" s="24" t="str">
        <f aca="false">IF(B86="","",IFERROR("시편 "&amp;INDEX(시편_시리즈!$A$2:$A$151,MATCH("시편|"&amp;TEXT(B86,"yyyy-mm-dd"),시편_시리즈!$Y$2:$Y$151,0))&amp;"편  "&amp;INDEX(시편_시리즈!$G$2:$G$151,MATCH("시편|"&amp;TEXT(B86,"yyyy-mm-dd"),시편_시리즈!$Y$2:$Y$151,0)),""))</f>
        <v/>
      </c>
      <c r="G86" s="23" t="n">
        <f aca="false">IF(B86="","",(D86&lt;&gt;"")+(E86&lt;&gt;"")+(F86&lt;&gt;""))</f>
        <v>2</v>
      </c>
      <c r="H86" s="31" t="s">
        <v>10282</v>
      </c>
    </row>
    <row r="87" customFormat="false" ht="15" hidden="false" customHeight="false" outlineLevel="0" collapsed="false">
      <c r="A87" s="23" t="n">
        <f aca="false">IF(B87="","",86)</f>
        <v>86</v>
      </c>
      <c r="B87" s="26" t="n">
        <f aca="false">IF(안내!$C$9+85&gt;MAX(MAX(A타입_제작표!$U$2:$U$799),MAX(시편_시리즈!$Q$2:$Q$151)),"",안내!$C$9+85)</f>
        <v>46476</v>
      </c>
      <c r="C87" s="23" t="str">
        <f aca="false">IF(B87="","",CHOOSE(WEEKDAY(B87,2),"월","화","수","목","금","토","일"))</f>
        <v>화</v>
      </c>
      <c r="D87" s="24" t="str">
        <f aca="false">IF(B87="","",IFERROR(INDEX(A타입_제작표!$J$2:$J$799,MATCH("구약|"&amp;TEXT(B87,"yyyy-mm-dd"),A타입_제작표!$AQ$2:$AQ$799,0))&amp;"  "&amp;INDEX(A타입_제작표!$L$2:$L$799,MATCH("구약|"&amp;TEXT(B87,"yyyy-mm-dd"),A타입_제작표!$AQ$2:$AQ$799,0)),""))</f>
        <v>룻 1:1-22  어머니가 가시는 곳에 나도</v>
      </c>
      <c r="E87" s="24" t="str">
        <f aca="false">IF(B87="","",IFERROR(INDEX(A타입_제작표!$J$2:$J$799,MATCH("신약|"&amp;TEXT(B87,"yyyy-mm-dd"),A타입_제작표!$AQ$2:$AQ$799,0))&amp;"  "&amp;INDEX(A타입_제작표!$L$2:$L$799,MATCH("신약|"&amp;TEXT(B87,"yyyy-mm-dd"),A타입_제작표!$AQ$2:$AQ$799,0)),""))</f>
        <v/>
      </c>
      <c r="F87" s="24" t="str">
        <f aca="false">IF(B87="","",IFERROR("시편 "&amp;INDEX(시편_시리즈!$A$2:$A$151,MATCH("시편|"&amp;TEXT(B87,"yyyy-mm-dd"),시편_시리즈!$Y$2:$Y$151,0))&amp;"편  "&amp;INDEX(시편_시리즈!$G$2:$G$151,MATCH("시편|"&amp;TEXT(B87,"yyyy-mm-dd"),시편_시리즈!$Y$2:$Y$151,0)),""))</f>
        <v>시편 37편  네 길을 맡기라</v>
      </c>
      <c r="G87" s="23" t="n">
        <f aca="false">IF(B87="","",(D87&lt;&gt;"")+(E87&lt;&gt;"")+(F87&lt;&gt;""))</f>
        <v>2</v>
      </c>
      <c r="H87" s="31" t="s">
        <v>10282</v>
      </c>
    </row>
    <row r="88" customFormat="false" ht="15" hidden="false" customHeight="false" outlineLevel="0" collapsed="false">
      <c r="A88" s="23" t="n">
        <f aca="false">IF(B88="","",87)</f>
        <v>87</v>
      </c>
      <c r="B88" s="26" t="n">
        <f aca="false">IF(안내!$C$9+86&gt;MAX(MAX(A타입_제작표!$U$2:$U$799),MAX(시편_시리즈!$Q$2:$Q$151)),"",안내!$C$9+86)</f>
        <v>46477</v>
      </c>
      <c r="C88" s="23" t="str">
        <f aca="false">IF(B88="","",CHOOSE(WEEKDAY(B88,2),"월","화","수","목","금","토","일"))</f>
        <v>수</v>
      </c>
      <c r="D88" s="24" t="str">
        <f aca="false">IF(B88="","",IFERROR(INDEX(A타입_제작표!$J$2:$J$799,MATCH("구약|"&amp;TEXT(B88,"yyyy-mm-dd"),A타입_제작표!$AQ$2:$AQ$799,0))&amp;"  "&amp;INDEX(A타입_제작표!$L$2:$L$799,MATCH("구약|"&amp;TEXT(B88,"yyyy-mm-dd"),A타입_제작표!$AQ$2:$AQ$799,0)),""))</f>
        <v>룻 2:1-23  우연히 들어간 밭</v>
      </c>
      <c r="E88" s="24" t="str">
        <f aca="false">IF(B88="","",IFERROR(INDEX(A타입_제작표!$J$2:$J$799,MATCH("신약|"&amp;TEXT(B88,"yyyy-mm-dd"),A타입_제작표!$AQ$2:$AQ$799,0))&amp;"  "&amp;INDEX(A타입_제작표!$L$2:$L$799,MATCH("신약|"&amp;TEXT(B88,"yyyy-mm-dd"),A타입_제작표!$AQ$2:$AQ$799,0)),""))</f>
        <v>눅 18:1-14  바리새인과 세리</v>
      </c>
      <c r="F88" s="24" t="str">
        <f aca="false">IF(B88="","",IFERROR("시편 "&amp;INDEX(시편_시리즈!$A$2:$A$151,MATCH("시편|"&amp;TEXT(B88,"yyyy-mm-dd"),시편_시리즈!$Y$2:$Y$151,0))&amp;"편  "&amp;INDEX(시편_시리즈!$G$2:$G$151,MATCH("시편|"&amp;TEXT(B88,"yyyy-mm-dd"),시편_시리즈!$Y$2:$Y$151,0)),""))</f>
        <v/>
      </c>
      <c r="G88" s="23" t="n">
        <f aca="false">IF(B88="","",(D88&lt;&gt;"")+(E88&lt;&gt;"")+(F88&lt;&gt;""))</f>
        <v>2</v>
      </c>
      <c r="H88" s="31" t="s">
        <v>10282</v>
      </c>
    </row>
    <row r="89" customFormat="false" ht="15" hidden="false" customHeight="false" outlineLevel="0" collapsed="false">
      <c r="A89" s="23" t="n">
        <f aca="false">IF(B89="","",88)</f>
        <v>88</v>
      </c>
      <c r="B89" s="26" t="n">
        <f aca="false">IF(안내!$C$9+87&gt;MAX(MAX(A타입_제작표!$U$2:$U$799),MAX(시편_시리즈!$Q$2:$Q$151)),"",안내!$C$9+87)</f>
        <v>46478</v>
      </c>
      <c r="C89" s="23" t="str">
        <f aca="false">IF(B89="","",CHOOSE(WEEKDAY(B89,2),"월","화","수","목","금","토","일"))</f>
        <v>목</v>
      </c>
      <c r="D89" s="24" t="str">
        <f aca="false">IF(B89="","",IFERROR(INDEX(A타입_제작표!$J$2:$J$799,MATCH("구약|"&amp;TEXT(B89,"yyyy-mm-dd"),A타입_제작표!$AQ$2:$AQ$799,0))&amp;"  "&amp;INDEX(A타입_제작표!$L$2:$L$799,MATCH("구약|"&amp;TEXT(B89,"yyyy-mm-dd"),A타입_제작표!$AQ$2:$AQ$799,0)),""))</f>
        <v>룻 4:1-12  성문에서의 결정</v>
      </c>
      <c r="E89" s="24" t="str">
        <f aca="false">IF(B89="","",IFERROR(INDEX(A타입_제작표!$J$2:$J$799,MATCH("신약|"&amp;TEXT(B89,"yyyy-mm-dd"),A타입_제작표!$AQ$2:$AQ$799,0))&amp;"  "&amp;INDEX(A타입_제작표!$L$2:$L$799,MATCH("신약|"&amp;TEXT(B89,"yyyy-mm-dd"),A타입_제작표!$AQ$2:$AQ$799,0)),""))</f>
        <v/>
      </c>
      <c r="F89" s="24" t="str">
        <f aca="false">IF(B89="","",IFERROR("시편 "&amp;INDEX(시편_시리즈!$A$2:$A$151,MATCH("시편|"&amp;TEXT(B89,"yyyy-mm-dd"),시편_시리즈!$Y$2:$Y$151,0))&amp;"편  "&amp;INDEX(시편_시리즈!$G$2:$G$151,MATCH("시편|"&amp;TEXT(B89,"yyyy-mm-dd"),시편_시리즈!$Y$2:$Y$151,0)),""))</f>
        <v>시편 38편  나를 버리지 마소서</v>
      </c>
      <c r="G89" s="23" t="n">
        <f aca="false">IF(B89="","",(D89&lt;&gt;"")+(E89&lt;&gt;"")+(F89&lt;&gt;""))</f>
        <v>2</v>
      </c>
      <c r="H89" s="31" t="s">
        <v>10282</v>
      </c>
    </row>
    <row r="90" customFormat="false" ht="15" hidden="false" customHeight="false" outlineLevel="0" collapsed="false">
      <c r="A90" s="23" t="n">
        <f aca="false">IF(B90="","",89)</f>
        <v>89</v>
      </c>
      <c r="B90" s="26" t="n">
        <f aca="false">IF(안내!$C$9+88&gt;MAX(MAX(A타입_제작표!$U$2:$U$799),MAX(시편_시리즈!$Q$2:$Q$151)),"",안내!$C$9+88)</f>
        <v>46479</v>
      </c>
      <c r="C90" s="23" t="str">
        <f aca="false">IF(B90="","",CHOOSE(WEEKDAY(B90,2),"월","화","수","목","금","토","일"))</f>
        <v>금</v>
      </c>
      <c r="D90" s="24" t="str">
        <f aca="false">IF(B90="","",IFERROR(INDEX(A타입_제작표!$J$2:$J$799,MATCH("구약|"&amp;TEXT(B90,"yyyy-mm-dd"),A타입_제작표!$AQ$2:$AQ$799,0))&amp;"  "&amp;INDEX(A타입_제작표!$L$2:$L$799,MATCH("구약|"&amp;TEXT(B90,"yyyy-mm-dd"),A타입_제작표!$AQ$2:$AQ$799,0)),""))</f>
        <v>룻 4:13-22  다윗의 증조할머니</v>
      </c>
      <c r="E90" s="24" t="str">
        <f aca="false">IF(B90="","",IFERROR(INDEX(A타입_제작표!$J$2:$J$799,MATCH("신약|"&amp;TEXT(B90,"yyyy-mm-dd"),A타입_제작표!$AQ$2:$AQ$799,0))&amp;"  "&amp;INDEX(A타입_제작표!$L$2:$L$799,MATCH("신약|"&amp;TEXT(B90,"yyyy-mm-dd"),A타입_제작표!$AQ$2:$AQ$799,0)),""))</f>
        <v>눅 19:1-10  뽕나무에 올라간 삭개오</v>
      </c>
      <c r="F90" s="24" t="str">
        <f aca="false">IF(B90="","",IFERROR("시편 "&amp;INDEX(시편_시리즈!$A$2:$A$151,MATCH("시편|"&amp;TEXT(B90,"yyyy-mm-dd"),시편_시리즈!$Y$2:$Y$151,0))&amp;"편  "&amp;INDEX(시편_시리즈!$G$2:$G$151,MATCH("시편|"&amp;TEXT(B90,"yyyy-mm-dd"),시편_시리즈!$Y$2:$Y$151,0)),""))</f>
        <v/>
      </c>
      <c r="G90" s="23" t="n">
        <f aca="false">IF(B90="","",(D90&lt;&gt;"")+(E90&lt;&gt;"")+(F90&lt;&gt;""))</f>
        <v>2</v>
      </c>
      <c r="H90" s="31" t="s">
        <v>10282</v>
      </c>
    </row>
    <row r="91" customFormat="false" ht="15" hidden="false" customHeight="false" outlineLevel="0" collapsed="false">
      <c r="A91" s="23" t="n">
        <f aca="false">IF(B91="","",90)</f>
        <v>90</v>
      </c>
      <c r="B91" s="26" t="n">
        <f aca="false">IF(안내!$C$9+89&gt;MAX(MAX(A타입_제작표!$U$2:$U$799),MAX(시편_시리즈!$Q$2:$Q$151)),"",안내!$C$9+89)</f>
        <v>46480</v>
      </c>
      <c r="C91" s="23" t="str">
        <f aca="false">IF(B91="","",CHOOSE(WEEKDAY(B91,2),"월","화","수","목","금","토","일"))</f>
        <v>토</v>
      </c>
      <c r="D91" s="24" t="str">
        <f aca="false">IF(B91="","",IFERROR(INDEX(A타입_제작표!$J$2:$J$799,MATCH("구약|"&amp;TEXT(B91,"yyyy-mm-dd"),A타입_제작표!$AQ$2:$AQ$799,0))&amp;"  "&amp;INDEX(A타입_제작표!$L$2:$L$799,MATCH("구약|"&amp;TEXT(B91,"yyyy-mm-dd"),A타입_제작표!$AQ$2:$AQ$799,0)),""))</f>
        <v>삼상 1:1-28  한나의 기도</v>
      </c>
      <c r="E91" s="24" t="str">
        <f aca="false">IF(B91="","",IFERROR(INDEX(A타입_제작표!$J$2:$J$799,MATCH("신약|"&amp;TEXT(B91,"yyyy-mm-dd"),A타입_제작표!$AQ$2:$AQ$799,0))&amp;"  "&amp;INDEX(A타입_제작표!$L$2:$L$799,MATCH("신약|"&amp;TEXT(B91,"yyyy-mm-dd"),A타입_제작표!$AQ$2:$AQ$799,0)),""))</f>
        <v>눅 23:32-43  십자가 위의 강도</v>
      </c>
      <c r="F91" s="24" t="str">
        <f aca="false">IF(B91="","",IFERROR("시편 "&amp;INDEX(시편_시리즈!$A$2:$A$151,MATCH("시편|"&amp;TEXT(B91,"yyyy-mm-dd"),시편_시리즈!$Y$2:$Y$151,0))&amp;"편  "&amp;INDEX(시편_시리즈!$G$2:$G$151,MATCH("시편|"&amp;TEXT(B91,"yyyy-mm-dd"),시편_시리즈!$Y$2:$Y$151,0)),""))</f>
        <v/>
      </c>
      <c r="G91" s="23" t="n">
        <f aca="false">IF(B91="","",(D91&lt;&gt;"")+(E91&lt;&gt;"")+(F91&lt;&gt;""))</f>
        <v>2</v>
      </c>
      <c r="H91" s="31" t="s">
        <v>10282</v>
      </c>
    </row>
    <row r="92" customFormat="false" ht="15" hidden="false" customHeight="false" outlineLevel="0" collapsed="false">
      <c r="A92" s="23" t="n">
        <f aca="false">IF(B92="","",91)</f>
        <v>91</v>
      </c>
      <c r="B92" s="26" t="n">
        <f aca="false">IF(안내!$C$9+90&gt;MAX(MAX(A타입_제작표!$U$2:$U$799),MAX(시편_시리즈!$Q$2:$Q$151)),"",안내!$C$9+90)</f>
        <v>46481</v>
      </c>
      <c r="C92" s="23" t="str">
        <f aca="false">IF(B92="","",CHOOSE(WEEKDAY(B92,2),"월","화","수","목","금","토","일"))</f>
        <v>일</v>
      </c>
      <c r="D92" s="24" t="str">
        <f aca="false">IF(B92="","",IFERROR(INDEX(A타입_제작표!$J$2:$J$799,MATCH("구약|"&amp;TEXT(B92,"yyyy-mm-dd"),A타입_제작표!$AQ$2:$AQ$799,0))&amp;"  "&amp;INDEX(A타입_제작표!$L$2:$L$799,MATCH("구약|"&amp;TEXT(B92,"yyyy-mm-dd"),A타입_제작표!$AQ$2:$AQ$799,0)),""))</f>
        <v>삼상 3:1-21  말씀하옵소서</v>
      </c>
      <c r="E92" s="24" t="str">
        <f aca="false">IF(B92="","",IFERROR(INDEX(A타입_제작표!$J$2:$J$799,MATCH("신약|"&amp;TEXT(B92,"yyyy-mm-dd"),A타입_제작표!$AQ$2:$AQ$799,0))&amp;"  "&amp;INDEX(A타입_제작표!$L$2:$L$799,MATCH("신약|"&amp;TEXT(B92,"yyyy-mm-dd"),A타입_제작표!$AQ$2:$AQ$799,0)),""))</f>
        <v/>
      </c>
      <c r="F92" s="24" t="str">
        <f aca="false">IF(B92="","",IFERROR("시편 "&amp;INDEX(시편_시리즈!$A$2:$A$151,MATCH("시편|"&amp;TEXT(B92,"yyyy-mm-dd"),시편_시리즈!$Y$2:$Y$151,0))&amp;"편  "&amp;INDEX(시편_시리즈!$G$2:$G$151,MATCH("시편|"&amp;TEXT(B92,"yyyy-mm-dd"),시편_시리즈!$Y$2:$Y$151,0)),""))</f>
        <v>시편 39편  나의 날이 얼마나 되는지</v>
      </c>
      <c r="G92" s="23" t="n">
        <f aca="false">IF(B92="","",(D92&lt;&gt;"")+(E92&lt;&gt;"")+(F92&lt;&gt;""))</f>
        <v>2</v>
      </c>
      <c r="H92" s="31" t="s">
        <v>10282</v>
      </c>
    </row>
    <row r="93" customFormat="false" ht="15" hidden="false" customHeight="false" outlineLevel="0" collapsed="false">
      <c r="A93" s="23" t="n">
        <f aca="false">IF(B93="","",92)</f>
        <v>92</v>
      </c>
      <c r="B93" s="26" t="n">
        <f aca="false">IF(안내!$C$9+91&gt;MAX(MAX(A타입_제작표!$U$2:$U$799),MAX(시편_시리즈!$Q$2:$Q$151)),"",안내!$C$9+91)</f>
        <v>46482</v>
      </c>
      <c r="C93" s="23" t="str">
        <f aca="false">IF(B93="","",CHOOSE(WEEKDAY(B93,2),"월","화","수","목","금","토","일"))</f>
        <v>월</v>
      </c>
      <c r="D93" s="24" t="str">
        <f aca="false">IF(B93="","",IFERROR(INDEX(A타입_제작표!$J$2:$J$799,MATCH("구약|"&amp;TEXT(B93,"yyyy-mm-dd"),A타입_제작표!$AQ$2:$AQ$799,0))&amp;"  "&amp;INDEX(A타입_제작표!$L$2:$L$799,MATCH("구약|"&amp;TEXT(B93,"yyyy-mm-dd"),A타입_제작표!$AQ$2:$AQ$799,0)),""))</f>
        <v>삼상 4:1-22  빼앗긴 언약궤</v>
      </c>
      <c r="E93" s="24" t="str">
        <f aca="false">IF(B93="","",IFERROR(INDEX(A타입_제작표!$J$2:$J$799,MATCH("신약|"&amp;TEXT(B93,"yyyy-mm-dd"),A타입_제작표!$AQ$2:$AQ$799,0))&amp;"  "&amp;INDEX(A타입_제작표!$L$2:$L$799,MATCH("신약|"&amp;TEXT(B93,"yyyy-mm-dd"),A타입_제작표!$AQ$2:$AQ$799,0)),""))</f>
        <v>눅 24:13-35  엠마오로 가는 길</v>
      </c>
      <c r="F93" s="24" t="str">
        <f aca="false">IF(B93="","",IFERROR("시편 "&amp;INDEX(시편_시리즈!$A$2:$A$151,MATCH("시편|"&amp;TEXT(B93,"yyyy-mm-dd"),시편_시리즈!$Y$2:$Y$151,0))&amp;"편  "&amp;INDEX(시편_시리즈!$G$2:$G$151,MATCH("시편|"&amp;TEXT(B93,"yyyy-mm-dd"),시편_시리즈!$Y$2:$Y$151,0)),""))</f>
        <v/>
      </c>
      <c r="G93" s="23" t="n">
        <f aca="false">IF(B93="","",(D93&lt;&gt;"")+(E93&lt;&gt;"")+(F93&lt;&gt;""))</f>
        <v>2</v>
      </c>
      <c r="H93" s="31" t="s">
        <v>10282</v>
      </c>
    </row>
    <row r="94" customFormat="false" ht="15" hidden="false" customHeight="false" outlineLevel="0" collapsed="false">
      <c r="A94" s="23" t="n">
        <f aca="false">IF(B94="","",93)</f>
        <v>93</v>
      </c>
      <c r="B94" s="26" t="n">
        <f aca="false">IF(안내!$C$9+92&gt;MAX(MAX(A타입_제작표!$U$2:$U$799),MAX(시편_시리즈!$Q$2:$Q$151)),"",안내!$C$9+92)</f>
        <v>46483</v>
      </c>
      <c r="C94" s="23" t="str">
        <f aca="false">IF(B94="","",CHOOSE(WEEKDAY(B94,2),"월","화","수","목","금","토","일"))</f>
        <v>화</v>
      </c>
      <c r="D94" s="24" t="str">
        <f aca="false">IF(B94="","",IFERROR(INDEX(A타입_제작표!$J$2:$J$799,MATCH("구약|"&amp;TEXT(B94,"yyyy-mm-dd"),A타입_제작표!$AQ$2:$AQ$799,0))&amp;"  "&amp;INDEX(A타입_제작표!$L$2:$L$799,MATCH("구약|"&amp;TEXT(B94,"yyyy-mm-dd"),A타입_제작표!$AQ$2:$AQ$799,0)),""))</f>
        <v>삼상 8:1-22  우리에게도 왕을</v>
      </c>
      <c r="E94" s="24" t="str">
        <f aca="false">IF(B94="","",IFERROR(INDEX(A타입_제작표!$J$2:$J$799,MATCH("신약|"&amp;TEXT(B94,"yyyy-mm-dd"),A타입_제작표!$AQ$2:$AQ$799,0))&amp;"  "&amp;INDEX(A타입_제작표!$L$2:$L$799,MATCH("신약|"&amp;TEXT(B94,"yyyy-mm-dd"),A타입_제작표!$AQ$2:$AQ$799,0)),""))</f>
        <v/>
      </c>
      <c r="F94" s="24" t="str">
        <f aca="false">IF(B94="","",IFERROR("시편 "&amp;INDEX(시편_시리즈!$A$2:$A$151,MATCH("시편|"&amp;TEXT(B94,"yyyy-mm-dd"),시편_시리즈!$Y$2:$Y$151,0))&amp;"편  "&amp;INDEX(시편_시리즈!$G$2:$G$151,MATCH("시편|"&amp;TEXT(B94,"yyyy-mm-dd"),시편_시리즈!$Y$2:$Y$151,0)),""))</f>
        <v>시편 40편  기다리고 기다렸더니</v>
      </c>
      <c r="G94" s="23" t="n">
        <f aca="false">IF(B94="","",(D94&lt;&gt;"")+(E94&lt;&gt;"")+(F94&lt;&gt;""))</f>
        <v>2</v>
      </c>
      <c r="H94" s="31" t="s">
        <v>10282</v>
      </c>
    </row>
    <row r="95" customFormat="false" ht="15" hidden="false" customHeight="false" outlineLevel="0" collapsed="false">
      <c r="A95" s="23" t="n">
        <f aca="false">IF(B95="","",94)</f>
        <v>94</v>
      </c>
      <c r="B95" s="26" t="n">
        <f aca="false">IF(안내!$C$9+93&gt;MAX(MAX(A타입_제작표!$U$2:$U$799),MAX(시편_시리즈!$Q$2:$Q$151)),"",안내!$C$9+93)</f>
        <v>46484</v>
      </c>
      <c r="C95" s="23" t="str">
        <f aca="false">IF(B95="","",CHOOSE(WEEKDAY(B95,2),"월","화","수","목","금","토","일"))</f>
        <v>수</v>
      </c>
      <c r="D95" s="24" t="str">
        <f aca="false">IF(B95="","",IFERROR(INDEX(A타입_제작표!$J$2:$J$799,MATCH("구약|"&amp;TEXT(B95,"yyyy-mm-dd"),A타입_제작표!$AQ$2:$AQ$799,0))&amp;"  "&amp;INDEX(A타입_제작표!$L$2:$L$799,MATCH("구약|"&amp;TEXT(B95,"yyyy-mm-dd"),A타입_제작표!$AQ$2:$AQ$799,0)),""))</f>
        <v>삼상 9:1-10:27  나귀 찾다가 왕이 되다</v>
      </c>
      <c r="E95" s="24" t="str">
        <f aca="false">IF(B95="","",IFERROR(INDEX(A타입_제작표!$J$2:$J$799,MATCH("신약|"&amp;TEXT(B95,"yyyy-mm-dd"),A타입_제작표!$AQ$2:$AQ$799,0))&amp;"  "&amp;INDEX(A타입_제작표!$L$2:$L$799,MATCH("신약|"&amp;TEXT(B95,"yyyy-mm-dd"),A타입_제작표!$AQ$2:$AQ$799,0)),""))</f>
        <v>눅 24:36-53  하늘로 올라가시다</v>
      </c>
      <c r="F95" s="24" t="str">
        <f aca="false">IF(B95="","",IFERROR("시편 "&amp;INDEX(시편_시리즈!$A$2:$A$151,MATCH("시편|"&amp;TEXT(B95,"yyyy-mm-dd"),시편_시리즈!$Y$2:$Y$151,0))&amp;"편  "&amp;INDEX(시편_시리즈!$G$2:$G$151,MATCH("시편|"&amp;TEXT(B95,"yyyy-mm-dd"),시편_시리즈!$Y$2:$Y$151,0)),""))</f>
        <v/>
      </c>
      <c r="G95" s="23" t="n">
        <f aca="false">IF(B95="","",(D95&lt;&gt;"")+(E95&lt;&gt;"")+(F95&lt;&gt;""))</f>
        <v>2</v>
      </c>
      <c r="H95" s="31" t="s">
        <v>10282</v>
      </c>
    </row>
    <row r="96" customFormat="false" ht="15" hidden="false" customHeight="false" outlineLevel="0" collapsed="false">
      <c r="A96" s="23" t="n">
        <f aca="false">IF(B96="","",95)</f>
        <v>95</v>
      </c>
      <c r="B96" s="26" t="n">
        <f aca="false">IF(안내!$C$9+94&gt;MAX(MAX(A타입_제작표!$U$2:$U$799),MAX(시편_시리즈!$Q$2:$Q$151)),"",안내!$C$9+94)</f>
        <v>46485</v>
      </c>
      <c r="C96" s="23" t="str">
        <f aca="false">IF(B96="","",CHOOSE(WEEKDAY(B96,2),"월","화","수","목","금","토","일"))</f>
        <v>목</v>
      </c>
      <c r="D96" s="24" t="str">
        <f aca="false">IF(B96="","",IFERROR(INDEX(A타입_제작표!$J$2:$J$799,MATCH("구약|"&amp;TEXT(B96,"yyyy-mm-dd"),A타입_제작표!$AQ$2:$AQ$799,0))&amp;"  "&amp;INDEX(A타입_제작표!$L$2:$L$799,MATCH("구약|"&amp;TEXT(B96,"yyyy-mm-dd"),A타입_제작표!$AQ$2:$AQ$799,0)),""))</f>
        <v>삼상 15:1-35  순종이 제사보다 낫다</v>
      </c>
      <c r="E96" s="24" t="str">
        <f aca="false">IF(B96="","",IFERROR(INDEX(A타입_제작표!$J$2:$J$799,MATCH("신약|"&amp;TEXT(B96,"yyyy-mm-dd"),A타입_제작표!$AQ$2:$AQ$799,0))&amp;"  "&amp;INDEX(A타입_제작표!$L$2:$L$799,MATCH("신약|"&amp;TEXT(B96,"yyyy-mm-dd"),A타입_제작표!$AQ$2:$AQ$799,0)),""))</f>
        <v/>
      </c>
      <c r="F96" s="24" t="str">
        <f aca="false">IF(B96="","",IFERROR("시편 "&amp;INDEX(시편_시리즈!$A$2:$A$151,MATCH("시편|"&amp;TEXT(B96,"yyyy-mm-dd"),시편_시리즈!$Y$2:$Y$151,0))&amp;"편  "&amp;INDEX(시편_시리즈!$G$2:$G$151,MATCH("시편|"&amp;TEXT(B96,"yyyy-mm-dd"),시편_시리즈!$Y$2:$Y$151,0)),""))</f>
        <v>시편 41편  가난한 자를 보살피는 자</v>
      </c>
      <c r="G96" s="23" t="n">
        <f aca="false">IF(B96="","",(D96&lt;&gt;"")+(E96&lt;&gt;"")+(F96&lt;&gt;""))</f>
        <v>2</v>
      </c>
      <c r="H96" s="31" t="s">
        <v>10282</v>
      </c>
    </row>
    <row r="97" customFormat="false" ht="15" hidden="false" customHeight="false" outlineLevel="0" collapsed="false">
      <c r="A97" s="23" t="n">
        <f aca="false">IF(B97="","",96)</f>
        <v>96</v>
      </c>
      <c r="B97" s="26" t="n">
        <f aca="false">IF(안내!$C$9+95&gt;MAX(MAX(A타입_제작표!$U$2:$U$799),MAX(시편_시리즈!$Q$2:$Q$151)),"",안내!$C$9+95)</f>
        <v>46486</v>
      </c>
      <c r="C97" s="23" t="str">
        <f aca="false">IF(B97="","",CHOOSE(WEEKDAY(B97,2),"월","화","수","목","금","토","일"))</f>
        <v>금</v>
      </c>
      <c r="D97" s="24" t="str">
        <f aca="false">IF(B97="","",IFERROR(INDEX(A타입_제작표!$J$2:$J$799,MATCH("구약|"&amp;TEXT(B97,"yyyy-mm-dd"),A타입_제작표!$AQ$2:$AQ$799,0))&amp;"  "&amp;INDEX(A타입_제작표!$L$2:$L$799,MATCH("구약|"&amp;TEXT(B97,"yyyy-mm-dd"),A타입_제작표!$AQ$2:$AQ$799,0)),""))</f>
        <v>삼상 16:1-13  중심을 보시는 하나님</v>
      </c>
      <c r="E97" s="24" t="str">
        <f aca="false">IF(B97="","",IFERROR(INDEX(A타입_제작표!$J$2:$J$799,MATCH("신약|"&amp;TEXT(B97,"yyyy-mm-dd"),A타입_제작표!$AQ$2:$AQ$799,0))&amp;"  "&amp;INDEX(A타입_제작표!$L$2:$L$799,MATCH("신약|"&amp;TEXT(B97,"yyyy-mm-dd"),A타입_제작표!$AQ$2:$AQ$799,0)),""))</f>
        <v>요 1:1-18  태초에 말씀이 계시니라</v>
      </c>
      <c r="F97" s="24" t="str">
        <f aca="false">IF(B97="","",IFERROR("시편 "&amp;INDEX(시편_시리즈!$A$2:$A$151,MATCH("시편|"&amp;TEXT(B97,"yyyy-mm-dd"),시편_시리즈!$Y$2:$Y$151,0))&amp;"편  "&amp;INDEX(시편_시리즈!$G$2:$G$151,MATCH("시편|"&amp;TEXT(B97,"yyyy-mm-dd"),시편_시리즈!$Y$2:$Y$151,0)),""))</f>
        <v/>
      </c>
      <c r="G97" s="23" t="n">
        <f aca="false">IF(B97="","",(D97&lt;&gt;"")+(E97&lt;&gt;"")+(F97&lt;&gt;""))</f>
        <v>2</v>
      </c>
      <c r="H97" s="31" t="s">
        <v>10282</v>
      </c>
    </row>
    <row r="98" customFormat="false" ht="15" hidden="false" customHeight="false" outlineLevel="0" collapsed="false">
      <c r="A98" s="23" t="n">
        <f aca="false">IF(B98="","",97)</f>
        <v>97</v>
      </c>
      <c r="B98" s="26" t="n">
        <f aca="false">IF(안내!$C$9+96&gt;MAX(MAX(A타입_제작표!$U$2:$U$799),MAX(시편_시리즈!$Q$2:$Q$151)),"",안내!$C$9+96)</f>
        <v>46487</v>
      </c>
      <c r="C98" s="23" t="str">
        <f aca="false">IF(B98="","",CHOOSE(WEEKDAY(B98,2),"월","화","수","목","금","토","일"))</f>
        <v>토</v>
      </c>
      <c r="D98" s="24" t="str">
        <f aca="false">IF(B98="","",IFERROR(INDEX(A타입_제작표!$J$2:$J$799,MATCH("구약|"&amp;TEXT(B98,"yyyy-mm-dd"),A타입_제작표!$AQ$2:$AQ$799,0))&amp;"  "&amp;INDEX(A타입_제작표!$L$2:$L$799,MATCH("구약|"&amp;TEXT(B98,"yyyy-mm-dd"),A타입_제작표!$AQ$2:$AQ$799,0)),""))</f>
        <v>삼상 17:1-30  거인 골리앗</v>
      </c>
      <c r="E98" s="24" t="str">
        <f aca="false">IF(B98="","",IFERROR(INDEX(A타입_제작표!$J$2:$J$799,MATCH("신약|"&amp;TEXT(B98,"yyyy-mm-dd"),A타입_제작표!$AQ$2:$AQ$799,0))&amp;"  "&amp;INDEX(A타입_제작표!$L$2:$L$799,MATCH("신약|"&amp;TEXT(B98,"yyyy-mm-dd"),A타입_제작표!$AQ$2:$AQ$799,0)),""))</f>
        <v>요 2:1-12  가나의 혼인 잔치</v>
      </c>
      <c r="F98" s="24" t="str">
        <f aca="false">IF(B98="","",IFERROR("시편 "&amp;INDEX(시편_시리즈!$A$2:$A$151,MATCH("시편|"&amp;TEXT(B98,"yyyy-mm-dd"),시편_시리즈!$Y$2:$Y$151,0))&amp;"편  "&amp;INDEX(시편_시리즈!$G$2:$G$151,MATCH("시편|"&amp;TEXT(B98,"yyyy-mm-dd"),시편_시리즈!$Y$2:$Y$151,0)),""))</f>
        <v/>
      </c>
      <c r="G98" s="23" t="n">
        <f aca="false">IF(B98="","",(D98&lt;&gt;"")+(E98&lt;&gt;"")+(F98&lt;&gt;""))</f>
        <v>2</v>
      </c>
      <c r="H98" s="31" t="s">
        <v>10282</v>
      </c>
    </row>
    <row r="99" customFormat="false" ht="15" hidden="false" customHeight="false" outlineLevel="0" collapsed="false">
      <c r="A99" s="23" t="n">
        <f aca="false">IF(B99="","",98)</f>
        <v>98</v>
      </c>
      <c r="B99" s="26" t="n">
        <f aca="false">IF(안내!$C$9+97&gt;MAX(MAX(A타입_제작표!$U$2:$U$799),MAX(시편_시리즈!$Q$2:$Q$151)),"",안내!$C$9+97)</f>
        <v>46488</v>
      </c>
      <c r="C99" s="23" t="str">
        <f aca="false">IF(B99="","",CHOOSE(WEEKDAY(B99,2),"월","화","수","목","금","토","일"))</f>
        <v>일</v>
      </c>
      <c r="D99" s="24" t="str">
        <f aca="false">IF(B99="","",IFERROR(INDEX(A타입_제작표!$J$2:$J$799,MATCH("구약|"&amp;TEXT(B99,"yyyy-mm-dd"),A타입_제작표!$AQ$2:$AQ$799,0))&amp;"  "&amp;INDEX(A타입_제작표!$L$2:$L$799,MATCH("구약|"&amp;TEXT(B99,"yyyy-mm-dd"),A타입_제작표!$AQ$2:$AQ$799,0)),""))</f>
        <v>삼상 17:31-58  물맷돌 다섯 개</v>
      </c>
      <c r="E99" s="24" t="str">
        <f aca="false">IF(B99="","",IFERROR(INDEX(A타입_제작표!$J$2:$J$799,MATCH("신약|"&amp;TEXT(B99,"yyyy-mm-dd"),A타입_제작표!$AQ$2:$AQ$799,0))&amp;"  "&amp;INDEX(A타입_제작표!$L$2:$L$799,MATCH("신약|"&amp;TEXT(B99,"yyyy-mm-dd"),A타입_제작표!$AQ$2:$AQ$799,0)),""))</f>
        <v/>
      </c>
      <c r="F99" s="24" t="str">
        <f aca="false">IF(B99="","",IFERROR("시편 "&amp;INDEX(시편_시리즈!$A$2:$A$151,MATCH("시편|"&amp;TEXT(B99,"yyyy-mm-dd"),시편_시리즈!$Y$2:$Y$151,0))&amp;"편  "&amp;INDEX(시편_시리즈!$G$2:$G$151,MATCH("시편|"&amp;TEXT(B99,"yyyy-mm-dd"),시편_시리즈!$Y$2:$Y$151,0)),""))</f>
        <v>시편 42편  사슴이 시냇물을 찾듯</v>
      </c>
      <c r="G99" s="23" t="n">
        <f aca="false">IF(B99="","",(D99&lt;&gt;"")+(E99&lt;&gt;"")+(F99&lt;&gt;""))</f>
        <v>2</v>
      </c>
      <c r="H99" s="31" t="s">
        <v>10282</v>
      </c>
    </row>
    <row r="100" customFormat="false" ht="15" hidden="false" customHeight="false" outlineLevel="0" collapsed="false">
      <c r="A100" s="23" t="n">
        <f aca="false">IF(B100="","",99)</f>
        <v>99</v>
      </c>
      <c r="B100" s="26" t="n">
        <f aca="false">IF(안내!$C$9+98&gt;MAX(MAX(A타입_제작표!$U$2:$U$799),MAX(시편_시리즈!$Q$2:$Q$151)),"",안내!$C$9+98)</f>
        <v>46489</v>
      </c>
      <c r="C100" s="23" t="str">
        <f aca="false">IF(B100="","",CHOOSE(WEEKDAY(B100,2),"월","화","수","목","금","토","일"))</f>
        <v>월</v>
      </c>
      <c r="D100" s="24" t="str">
        <f aca="false">IF(B100="","",IFERROR(INDEX(A타입_제작표!$J$2:$J$799,MATCH("구약|"&amp;TEXT(B100,"yyyy-mm-dd"),A타입_제작표!$AQ$2:$AQ$799,0))&amp;"  "&amp;INDEX(A타입_제작표!$L$2:$L$799,MATCH("구약|"&amp;TEXT(B100,"yyyy-mm-dd"),A타입_제작표!$AQ$2:$AQ$799,0)),""))</f>
        <v>삼상 18:1-30  요나단의 우정과 사울의 질투</v>
      </c>
      <c r="E100" s="24" t="str">
        <f aca="false">IF(B100="","",IFERROR(INDEX(A타입_제작표!$J$2:$J$799,MATCH("신약|"&amp;TEXT(B100,"yyyy-mm-dd"),A타입_제작표!$AQ$2:$AQ$799,0))&amp;"  "&amp;INDEX(A타입_제작표!$L$2:$L$799,MATCH("신약|"&amp;TEXT(B100,"yyyy-mm-dd"),A타입_제작표!$AQ$2:$AQ$799,0)),""))</f>
        <v>요 3:1-21  밤에 찾아온 니고데모</v>
      </c>
      <c r="F100" s="24" t="str">
        <f aca="false">IF(B100="","",IFERROR("시편 "&amp;INDEX(시편_시리즈!$A$2:$A$151,MATCH("시편|"&amp;TEXT(B100,"yyyy-mm-dd"),시편_시리즈!$Y$2:$Y$151,0))&amp;"편  "&amp;INDEX(시편_시리즈!$G$2:$G$151,MATCH("시편|"&amp;TEXT(B100,"yyyy-mm-dd"),시편_시리즈!$Y$2:$Y$151,0)),""))</f>
        <v/>
      </c>
      <c r="G100" s="23" t="n">
        <f aca="false">IF(B100="","",(D100&lt;&gt;"")+(E100&lt;&gt;"")+(F100&lt;&gt;""))</f>
        <v>2</v>
      </c>
      <c r="H100" s="31" t="s">
        <v>10282</v>
      </c>
    </row>
    <row r="101" customFormat="false" ht="15" hidden="false" customHeight="false" outlineLevel="0" collapsed="false">
      <c r="A101" s="23" t="n">
        <f aca="false">IF(B101="","",100)</f>
        <v>100</v>
      </c>
      <c r="B101" s="26" t="n">
        <f aca="false">IF(안내!$C$9+99&gt;MAX(MAX(A타입_제작표!$U$2:$U$799),MAX(시편_시리즈!$Q$2:$Q$151)),"",안내!$C$9+99)</f>
        <v>46490</v>
      </c>
      <c r="C101" s="23" t="str">
        <f aca="false">IF(B101="","",CHOOSE(WEEKDAY(B101,2),"월","화","수","목","금","토","일"))</f>
        <v>화</v>
      </c>
      <c r="D101" s="24" t="str">
        <f aca="false">IF(B101="","",IFERROR(INDEX(A타입_제작표!$J$2:$J$799,MATCH("구약|"&amp;TEXT(B101,"yyyy-mm-dd"),A타입_제작표!$AQ$2:$AQ$799,0))&amp;"  "&amp;INDEX(A타입_제작표!$L$2:$L$799,MATCH("구약|"&amp;TEXT(B101,"yyyy-mm-dd"),A타입_제작표!$AQ$2:$AQ$799,0)),""))</f>
        <v>삼상 20:1-42  요나단의 화살</v>
      </c>
      <c r="E101" s="24" t="str">
        <f aca="false">IF(B101="","",IFERROR(INDEX(A타입_제작표!$J$2:$J$799,MATCH("신약|"&amp;TEXT(B101,"yyyy-mm-dd"),A타입_제작표!$AQ$2:$AQ$799,0))&amp;"  "&amp;INDEX(A타입_제작표!$L$2:$L$799,MATCH("신약|"&amp;TEXT(B101,"yyyy-mm-dd"),A타입_제작표!$AQ$2:$AQ$799,0)),""))</f>
        <v/>
      </c>
      <c r="F101" s="24" t="str">
        <f aca="false">IF(B101="","",IFERROR("시편 "&amp;INDEX(시편_시리즈!$A$2:$A$151,MATCH("시편|"&amp;TEXT(B101,"yyyy-mm-dd"),시편_시리즈!$Y$2:$Y$151,0))&amp;"편  "&amp;INDEX(시편_시리즈!$G$2:$G$151,MATCH("시편|"&amp;TEXT(B101,"yyyy-mm-dd"),시편_시리즈!$Y$2:$Y$151,0)),""))</f>
        <v>시편 43편  내 영혼아 왜 낙심하느냐</v>
      </c>
      <c r="G101" s="23" t="n">
        <f aca="false">IF(B101="","",(D101&lt;&gt;"")+(E101&lt;&gt;"")+(F101&lt;&gt;""))</f>
        <v>2</v>
      </c>
      <c r="H101" s="31" t="s">
        <v>10282</v>
      </c>
    </row>
    <row r="102" customFormat="false" ht="15" hidden="false" customHeight="false" outlineLevel="0" collapsed="false">
      <c r="A102" s="23" t="n">
        <f aca="false">IF(B102="","",101)</f>
        <v>101</v>
      </c>
      <c r="B102" s="26" t="n">
        <f aca="false">IF(안내!$C$9+100&gt;MAX(MAX(A타입_제작표!$U$2:$U$799),MAX(시편_시리즈!$Q$2:$Q$151)),"",안내!$C$9+100)</f>
        <v>46491</v>
      </c>
      <c r="C102" s="23" t="str">
        <f aca="false">IF(B102="","",CHOOSE(WEEKDAY(B102,2),"월","화","수","목","금","토","일"))</f>
        <v>수</v>
      </c>
      <c r="D102" s="24" t="str">
        <f aca="false">IF(B102="","",IFERROR(INDEX(A타입_제작표!$J$2:$J$799,MATCH("구약|"&amp;TEXT(B102,"yyyy-mm-dd"),A타입_제작표!$AQ$2:$AQ$799,0))&amp;"  "&amp;INDEX(A타입_제작표!$L$2:$L$799,MATCH("구약|"&amp;TEXT(B102,"yyyy-mm-dd"),A타입_제작표!$AQ$2:$AQ$799,0)),""))</f>
        <v>삼상 24:1-22  동굴 속의 기회</v>
      </c>
      <c r="E102" s="24" t="str">
        <f aca="false">IF(B102="","",IFERROR(INDEX(A타입_제작표!$J$2:$J$799,MATCH("신약|"&amp;TEXT(B102,"yyyy-mm-dd"),A타입_제작표!$AQ$2:$AQ$799,0))&amp;"  "&amp;INDEX(A타입_제작표!$L$2:$L$799,MATCH("신약|"&amp;TEXT(B102,"yyyy-mm-dd"),A타입_제작표!$AQ$2:$AQ$799,0)),""))</f>
        <v>요 4:1-42  우물가의 여인</v>
      </c>
      <c r="F102" s="24" t="str">
        <f aca="false">IF(B102="","",IFERROR("시편 "&amp;INDEX(시편_시리즈!$A$2:$A$151,MATCH("시편|"&amp;TEXT(B102,"yyyy-mm-dd"),시편_시리즈!$Y$2:$Y$151,0))&amp;"편  "&amp;INDEX(시편_시리즈!$G$2:$G$151,MATCH("시편|"&amp;TEXT(B102,"yyyy-mm-dd"),시편_시리즈!$Y$2:$Y$151,0)),""))</f>
        <v/>
      </c>
      <c r="G102" s="23" t="n">
        <f aca="false">IF(B102="","",(D102&lt;&gt;"")+(E102&lt;&gt;"")+(F102&lt;&gt;""))</f>
        <v>2</v>
      </c>
      <c r="H102" s="31" t="s">
        <v>10282</v>
      </c>
    </row>
    <row r="103" customFormat="false" ht="15" hidden="false" customHeight="false" outlineLevel="0" collapsed="false">
      <c r="A103" s="23" t="n">
        <f aca="false">IF(B103="","",102)</f>
        <v>102</v>
      </c>
      <c r="B103" s="26" t="n">
        <f aca="false">IF(안내!$C$9+101&gt;MAX(MAX(A타입_제작표!$U$2:$U$799),MAX(시편_시리즈!$Q$2:$Q$151)),"",안내!$C$9+101)</f>
        <v>46492</v>
      </c>
      <c r="C103" s="23" t="str">
        <f aca="false">IF(B103="","",CHOOSE(WEEKDAY(B103,2),"월","화","수","목","금","토","일"))</f>
        <v>목</v>
      </c>
      <c r="D103" s="24" t="str">
        <f aca="false">IF(B103="","",IFERROR(INDEX(A타입_제작표!$J$2:$J$799,MATCH("구약|"&amp;TEXT(B103,"yyyy-mm-dd"),A타입_제작표!$AQ$2:$AQ$799,0))&amp;"  "&amp;INDEX(A타입_제작표!$L$2:$L$799,MATCH("구약|"&amp;TEXT(B103,"yyyy-mm-dd"),A타입_제작표!$AQ$2:$AQ$799,0)),""))</f>
        <v>삼하 6:1-23  언약궤 앞에서 춤추다</v>
      </c>
      <c r="E103" s="24" t="str">
        <f aca="false">IF(B103="","",IFERROR(INDEX(A타입_제작표!$J$2:$J$799,MATCH("신약|"&amp;TEXT(B103,"yyyy-mm-dd"),A타입_제작표!$AQ$2:$AQ$799,0))&amp;"  "&amp;INDEX(A타입_제작표!$L$2:$L$799,MATCH("신약|"&amp;TEXT(B103,"yyyy-mm-dd"),A타입_제작표!$AQ$2:$AQ$799,0)),""))</f>
        <v/>
      </c>
      <c r="F103" s="24" t="str">
        <f aca="false">IF(B103="","",IFERROR("시편 "&amp;INDEX(시편_시리즈!$A$2:$A$151,MATCH("시편|"&amp;TEXT(B103,"yyyy-mm-dd"),시편_시리즈!$Y$2:$Y$151,0))&amp;"편  "&amp;INDEX(시편_시리즈!$G$2:$G$151,MATCH("시편|"&amp;TEXT(B103,"yyyy-mm-dd"),시편_시리즈!$Y$2:$Y$151,0)),""))</f>
        <v>시편 44편  종일 죽임을 당하게 되며</v>
      </c>
      <c r="G103" s="23" t="n">
        <f aca="false">IF(B103="","",(D103&lt;&gt;"")+(E103&lt;&gt;"")+(F103&lt;&gt;""))</f>
        <v>2</v>
      </c>
      <c r="H103" s="31" t="s">
        <v>10282</v>
      </c>
    </row>
    <row r="104" customFormat="false" ht="15" hidden="false" customHeight="false" outlineLevel="0" collapsed="false">
      <c r="A104" s="23" t="n">
        <f aca="false">IF(B104="","",103)</f>
        <v>103</v>
      </c>
      <c r="B104" s="26" t="n">
        <f aca="false">IF(안내!$C$9+102&gt;MAX(MAX(A타입_제작표!$U$2:$U$799),MAX(시편_시리즈!$Q$2:$Q$151)),"",안내!$C$9+102)</f>
        <v>46493</v>
      </c>
      <c r="C104" s="23" t="str">
        <f aca="false">IF(B104="","",CHOOSE(WEEKDAY(B104,2),"월","화","수","목","금","토","일"))</f>
        <v>금</v>
      </c>
      <c r="D104" s="24" t="str">
        <f aca="false">IF(B104="","",IFERROR(INDEX(A타입_제작표!$J$2:$J$799,MATCH("구약|"&amp;TEXT(B104,"yyyy-mm-dd"),A타입_제작표!$AQ$2:$AQ$799,0))&amp;"  "&amp;INDEX(A타입_제작표!$L$2:$L$799,MATCH("구약|"&amp;TEXT(B104,"yyyy-mm-dd"),A타입_제작표!$AQ$2:$AQ$799,0)),""))</f>
        <v>삼하 7:1-29  영원한 왕국의 약속</v>
      </c>
      <c r="E104" s="24" t="str">
        <f aca="false">IF(B104="","",IFERROR(INDEX(A타입_제작표!$J$2:$J$799,MATCH("신약|"&amp;TEXT(B104,"yyyy-mm-dd"),A타입_제작표!$AQ$2:$AQ$799,0))&amp;"  "&amp;INDEX(A타입_제작표!$L$2:$L$799,MATCH("신약|"&amp;TEXT(B104,"yyyy-mm-dd"),A타입_제작표!$AQ$2:$AQ$799,0)),""))</f>
        <v>요 5:1-18  베데스다 연못</v>
      </c>
      <c r="F104" s="24" t="str">
        <f aca="false">IF(B104="","",IFERROR("시편 "&amp;INDEX(시편_시리즈!$A$2:$A$151,MATCH("시편|"&amp;TEXT(B104,"yyyy-mm-dd"),시편_시리즈!$Y$2:$Y$151,0))&amp;"편  "&amp;INDEX(시편_시리즈!$G$2:$G$151,MATCH("시편|"&amp;TEXT(B104,"yyyy-mm-dd"),시편_시리즈!$Y$2:$Y$151,0)),""))</f>
        <v/>
      </c>
      <c r="G104" s="23" t="n">
        <f aca="false">IF(B104="","",(D104&lt;&gt;"")+(E104&lt;&gt;"")+(F104&lt;&gt;""))</f>
        <v>2</v>
      </c>
      <c r="H104" s="31" t="s">
        <v>10282</v>
      </c>
    </row>
    <row r="105" customFormat="false" ht="15" hidden="false" customHeight="false" outlineLevel="0" collapsed="false">
      <c r="A105" s="23" t="n">
        <f aca="false">IF(B105="","",104)</f>
        <v>104</v>
      </c>
      <c r="B105" s="26" t="n">
        <f aca="false">IF(안내!$C$9+103&gt;MAX(MAX(A타입_제작표!$U$2:$U$799),MAX(시편_시리즈!$Q$2:$Q$151)),"",안내!$C$9+103)</f>
        <v>46494</v>
      </c>
      <c r="C105" s="23" t="str">
        <f aca="false">IF(B105="","",CHOOSE(WEEKDAY(B105,2),"월","화","수","목","금","토","일"))</f>
        <v>토</v>
      </c>
      <c r="D105" s="24" t="str">
        <f aca="false">IF(B105="","",IFERROR(INDEX(A타입_제작표!$J$2:$J$799,MATCH("구약|"&amp;TEXT(B105,"yyyy-mm-dd"),A타입_제작표!$AQ$2:$AQ$799,0))&amp;"  "&amp;INDEX(A타입_제작표!$L$2:$L$799,MATCH("구약|"&amp;TEXT(B105,"yyyy-mm-dd"),A타입_제작표!$AQ$2:$AQ$799,0)),""))</f>
        <v>삼하 9:1-13  왕의 식탁</v>
      </c>
      <c r="E105" s="24" t="str">
        <f aca="false">IF(B105="","",IFERROR(INDEX(A타입_제작표!$J$2:$J$799,MATCH("신약|"&amp;TEXT(B105,"yyyy-mm-dd"),A타입_제작표!$AQ$2:$AQ$799,0))&amp;"  "&amp;INDEX(A타입_제작표!$L$2:$L$799,MATCH("신약|"&amp;TEXT(B105,"yyyy-mm-dd"),A타입_제작표!$AQ$2:$AQ$799,0)),""))</f>
        <v>요 6:1-21  나다 두려워하지 말라</v>
      </c>
      <c r="F105" s="24" t="str">
        <f aca="false">IF(B105="","",IFERROR("시편 "&amp;INDEX(시편_시리즈!$A$2:$A$151,MATCH("시편|"&amp;TEXT(B105,"yyyy-mm-dd"),시편_시리즈!$Y$2:$Y$151,0))&amp;"편  "&amp;INDEX(시편_시리즈!$G$2:$G$151,MATCH("시편|"&amp;TEXT(B105,"yyyy-mm-dd"),시편_시리즈!$Y$2:$Y$151,0)),""))</f>
        <v/>
      </c>
      <c r="G105" s="23" t="n">
        <f aca="false">IF(B105="","",(D105&lt;&gt;"")+(E105&lt;&gt;"")+(F105&lt;&gt;""))</f>
        <v>2</v>
      </c>
      <c r="H105" s="31" t="s">
        <v>10282</v>
      </c>
    </row>
    <row r="106" customFormat="false" ht="15" hidden="false" customHeight="false" outlineLevel="0" collapsed="false">
      <c r="A106" s="23" t="n">
        <f aca="false">IF(B106="","",105)</f>
        <v>105</v>
      </c>
      <c r="B106" s="26" t="n">
        <f aca="false">IF(안내!$C$9+104&gt;MAX(MAX(A타입_제작표!$U$2:$U$799),MAX(시편_시리즈!$Q$2:$Q$151)),"",안내!$C$9+104)</f>
        <v>46495</v>
      </c>
      <c r="C106" s="23" t="str">
        <f aca="false">IF(B106="","",CHOOSE(WEEKDAY(B106,2),"월","화","수","목","금","토","일"))</f>
        <v>일</v>
      </c>
      <c r="D106" s="24" t="str">
        <f aca="false">IF(B106="","",IFERROR(INDEX(A타입_제작표!$J$2:$J$799,MATCH("구약|"&amp;TEXT(B106,"yyyy-mm-dd"),A타입_제작표!$AQ$2:$AQ$799,0))&amp;"  "&amp;INDEX(A타입_제작표!$L$2:$L$799,MATCH("구약|"&amp;TEXT(B106,"yyyy-mm-dd"),A타입_제작표!$AQ$2:$AQ$799,0)),""))</f>
        <v>삼하 11:1-27  왕궁 옥상에서</v>
      </c>
      <c r="E106" s="24" t="str">
        <f aca="false">IF(B106="","",IFERROR(INDEX(A타입_제작표!$J$2:$J$799,MATCH("신약|"&amp;TEXT(B106,"yyyy-mm-dd"),A타입_제작표!$AQ$2:$AQ$799,0))&amp;"  "&amp;INDEX(A타입_제작표!$L$2:$L$799,MATCH("신약|"&amp;TEXT(B106,"yyyy-mm-dd"),A타입_제작표!$AQ$2:$AQ$799,0)),""))</f>
        <v/>
      </c>
      <c r="F106" s="24" t="str">
        <f aca="false">IF(B106="","",IFERROR("시편 "&amp;INDEX(시편_시리즈!$A$2:$A$151,MATCH("시편|"&amp;TEXT(B106,"yyyy-mm-dd"),시편_시리즈!$Y$2:$Y$151,0))&amp;"편  "&amp;INDEX(시편_시리즈!$G$2:$G$151,MATCH("시편|"&amp;TEXT(B106,"yyyy-mm-dd"),시편_시리즈!$Y$2:$Y$151,0)),""))</f>
        <v>시편 45편  왕의 혼인</v>
      </c>
      <c r="G106" s="23" t="n">
        <f aca="false">IF(B106="","",(D106&lt;&gt;"")+(E106&lt;&gt;"")+(F106&lt;&gt;""))</f>
        <v>2</v>
      </c>
      <c r="H106" s="31" t="s">
        <v>10282</v>
      </c>
    </row>
    <row r="107" customFormat="false" ht="15" hidden="false" customHeight="false" outlineLevel="0" collapsed="false">
      <c r="A107" s="23" t="n">
        <f aca="false">IF(B107="","",106)</f>
        <v>106</v>
      </c>
      <c r="B107" s="26" t="n">
        <f aca="false">IF(안내!$C$9+105&gt;MAX(MAX(A타입_제작표!$U$2:$U$799),MAX(시편_시리즈!$Q$2:$Q$151)),"",안내!$C$9+105)</f>
        <v>46496</v>
      </c>
      <c r="C107" s="23" t="str">
        <f aca="false">IF(B107="","",CHOOSE(WEEKDAY(B107,2),"월","화","수","목","금","토","일"))</f>
        <v>월</v>
      </c>
      <c r="D107" s="24" t="str">
        <f aca="false">IF(B107="","",IFERROR(INDEX(A타입_제작표!$J$2:$J$799,MATCH("구약|"&amp;TEXT(B107,"yyyy-mm-dd"),A타입_제작표!$AQ$2:$AQ$799,0))&amp;"  "&amp;INDEX(A타입_제작표!$L$2:$L$799,MATCH("구약|"&amp;TEXT(B107,"yyyy-mm-dd"),A타입_제작표!$AQ$2:$AQ$799,0)),""))</f>
        <v>삼하 12:1-31  당신이 그 사람이라</v>
      </c>
      <c r="E107" s="24" t="str">
        <f aca="false">IF(B107="","",IFERROR(INDEX(A타입_제작표!$J$2:$J$799,MATCH("신약|"&amp;TEXT(B107,"yyyy-mm-dd"),A타입_제작표!$AQ$2:$AQ$799,0))&amp;"  "&amp;INDEX(A타입_제작표!$L$2:$L$799,MATCH("신약|"&amp;TEXT(B107,"yyyy-mm-dd"),A타입_제작표!$AQ$2:$AQ$799,0)),""))</f>
        <v>요 6:22-71  생명의 떡</v>
      </c>
      <c r="F107" s="24" t="str">
        <f aca="false">IF(B107="","",IFERROR("시편 "&amp;INDEX(시편_시리즈!$A$2:$A$151,MATCH("시편|"&amp;TEXT(B107,"yyyy-mm-dd"),시편_시리즈!$Y$2:$Y$151,0))&amp;"편  "&amp;INDEX(시편_시리즈!$G$2:$G$151,MATCH("시편|"&amp;TEXT(B107,"yyyy-mm-dd"),시편_시리즈!$Y$2:$Y$151,0)),""))</f>
        <v/>
      </c>
      <c r="G107" s="23" t="n">
        <f aca="false">IF(B107="","",(D107&lt;&gt;"")+(E107&lt;&gt;"")+(F107&lt;&gt;""))</f>
        <v>2</v>
      </c>
      <c r="H107" s="31" t="s">
        <v>10282</v>
      </c>
    </row>
    <row r="108" customFormat="false" ht="15" hidden="false" customHeight="false" outlineLevel="0" collapsed="false">
      <c r="A108" s="23" t="n">
        <f aca="false">IF(B108="","",107)</f>
        <v>107</v>
      </c>
      <c r="B108" s="26" t="n">
        <f aca="false">IF(안내!$C$9+106&gt;MAX(MAX(A타입_제작표!$U$2:$U$799),MAX(시편_시리즈!$Q$2:$Q$151)),"",안내!$C$9+106)</f>
        <v>46497</v>
      </c>
      <c r="C108" s="23" t="str">
        <f aca="false">IF(B108="","",CHOOSE(WEEKDAY(B108,2),"월","화","수","목","금","토","일"))</f>
        <v>화</v>
      </c>
      <c r="D108" s="24" t="str">
        <f aca="false">IF(B108="","",IFERROR(INDEX(A타입_제작표!$J$2:$J$799,MATCH("구약|"&amp;TEXT(B108,"yyyy-mm-dd"),A타입_제작표!$AQ$2:$AQ$799,0))&amp;"  "&amp;INDEX(A타입_제작표!$L$2:$L$799,MATCH("구약|"&amp;TEXT(B108,"yyyy-mm-dd"),A타입_제작표!$AQ$2:$AQ$799,0)),""))</f>
        <v>삼하 15:1-37  맨발로 울며 떠난 왕</v>
      </c>
      <c r="E108" s="24" t="str">
        <f aca="false">IF(B108="","",IFERROR(INDEX(A타입_제작표!$J$2:$J$799,MATCH("신약|"&amp;TEXT(B108,"yyyy-mm-dd"),A타입_제작표!$AQ$2:$AQ$799,0))&amp;"  "&amp;INDEX(A타입_제작표!$L$2:$L$799,MATCH("신약|"&amp;TEXT(B108,"yyyy-mm-dd"),A타입_제작표!$AQ$2:$AQ$799,0)),""))</f>
        <v/>
      </c>
      <c r="F108" s="24" t="str">
        <f aca="false">IF(B108="","",IFERROR("시편 "&amp;INDEX(시편_시리즈!$A$2:$A$151,MATCH("시편|"&amp;TEXT(B108,"yyyy-mm-dd"),시편_시리즈!$Y$2:$Y$151,0))&amp;"편  "&amp;INDEX(시편_시리즈!$G$2:$G$151,MATCH("시편|"&amp;TEXT(B108,"yyyy-mm-dd"),시편_시리즈!$Y$2:$Y$151,0)),""))</f>
        <v>시편 46편  하나님은 우리의 피난처</v>
      </c>
      <c r="G108" s="23" t="n">
        <f aca="false">IF(B108="","",(D108&lt;&gt;"")+(E108&lt;&gt;"")+(F108&lt;&gt;""))</f>
        <v>2</v>
      </c>
      <c r="H108" s="31" t="s">
        <v>10282</v>
      </c>
    </row>
    <row r="109" customFormat="false" ht="15" hidden="false" customHeight="false" outlineLevel="0" collapsed="false">
      <c r="A109" s="23" t="n">
        <f aca="false">IF(B109="","",108)</f>
        <v>108</v>
      </c>
      <c r="B109" s="26" t="n">
        <f aca="false">IF(안내!$C$9+107&gt;MAX(MAX(A타입_제작표!$U$2:$U$799),MAX(시편_시리즈!$Q$2:$Q$151)),"",안내!$C$9+107)</f>
        <v>46498</v>
      </c>
      <c r="C109" s="23" t="str">
        <f aca="false">IF(B109="","",CHOOSE(WEEKDAY(B109,2),"월","화","수","목","금","토","일"))</f>
        <v>수</v>
      </c>
      <c r="D109" s="24" t="str">
        <f aca="false">IF(B109="","",IFERROR(INDEX(A타입_제작표!$J$2:$J$799,MATCH("구약|"&amp;TEXT(B109,"yyyy-mm-dd"),A타입_제작표!$AQ$2:$AQ$799,0))&amp;"  "&amp;INDEX(A타입_제작표!$L$2:$L$799,MATCH("구약|"&amp;TEXT(B109,"yyyy-mm-dd"),A타입_제작표!$AQ$2:$AQ$799,0)),""))</f>
        <v>삼하 18:1-33  내 아들 압살롬아</v>
      </c>
      <c r="E109" s="24" t="str">
        <f aca="false">IF(B109="","",IFERROR(INDEX(A타입_제작표!$J$2:$J$799,MATCH("신약|"&amp;TEXT(B109,"yyyy-mm-dd"),A타입_제작표!$AQ$2:$AQ$799,0))&amp;"  "&amp;INDEX(A타입_제작표!$L$2:$L$799,MATCH("신약|"&amp;TEXT(B109,"yyyy-mm-dd"),A타입_제작표!$AQ$2:$AQ$799,0)),""))</f>
        <v>요 8:1-11  돌을 내려놓은 사람들</v>
      </c>
      <c r="F109" s="24" t="str">
        <f aca="false">IF(B109="","",IFERROR("시편 "&amp;INDEX(시편_시리즈!$A$2:$A$151,MATCH("시편|"&amp;TEXT(B109,"yyyy-mm-dd"),시편_시리즈!$Y$2:$Y$151,0))&amp;"편  "&amp;INDEX(시편_시리즈!$G$2:$G$151,MATCH("시편|"&amp;TEXT(B109,"yyyy-mm-dd"),시편_시리즈!$Y$2:$Y$151,0)),""))</f>
        <v/>
      </c>
      <c r="G109" s="23" t="n">
        <f aca="false">IF(B109="","",(D109&lt;&gt;"")+(E109&lt;&gt;"")+(F109&lt;&gt;""))</f>
        <v>2</v>
      </c>
      <c r="H109" s="31" t="s">
        <v>10282</v>
      </c>
    </row>
    <row r="110" customFormat="false" ht="15" hidden="false" customHeight="false" outlineLevel="0" collapsed="false">
      <c r="A110" s="23" t="n">
        <f aca="false">IF(B110="","",109)</f>
        <v>109</v>
      </c>
      <c r="B110" s="26" t="n">
        <f aca="false">IF(안내!$C$9+108&gt;MAX(MAX(A타입_제작표!$U$2:$U$799),MAX(시편_시리즈!$Q$2:$Q$151)),"",안내!$C$9+108)</f>
        <v>46499</v>
      </c>
      <c r="C110" s="23" t="str">
        <f aca="false">IF(B110="","",CHOOSE(WEEKDAY(B110,2),"월","화","수","목","금","토","일"))</f>
        <v>목</v>
      </c>
      <c r="D110" s="24" t="str">
        <f aca="false">IF(B110="","",IFERROR(INDEX(A타입_제작표!$J$2:$J$799,MATCH("구약|"&amp;TEXT(B110,"yyyy-mm-dd"),A타입_제작표!$AQ$2:$AQ$799,0))&amp;"  "&amp;INDEX(A타입_제작표!$L$2:$L$799,MATCH("구약|"&amp;TEXT(B110,"yyyy-mm-dd"),A타입_제작표!$AQ$2:$AQ$799,0)),""))</f>
        <v>왕상 3:1-15  무엇을 줄까 너는 구하라</v>
      </c>
      <c r="E110" s="24" t="str">
        <f aca="false">IF(B110="","",IFERROR(INDEX(A타입_제작표!$J$2:$J$799,MATCH("신약|"&amp;TEXT(B110,"yyyy-mm-dd"),A타입_제작표!$AQ$2:$AQ$799,0))&amp;"  "&amp;INDEX(A타입_제작표!$L$2:$L$799,MATCH("신약|"&amp;TEXT(B110,"yyyy-mm-dd"),A타입_제작표!$AQ$2:$AQ$799,0)),""))</f>
        <v/>
      </c>
      <c r="F110" s="24" t="str">
        <f aca="false">IF(B110="","",IFERROR("시편 "&amp;INDEX(시편_시리즈!$A$2:$A$151,MATCH("시편|"&amp;TEXT(B110,"yyyy-mm-dd"),시편_시리즈!$Y$2:$Y$151,0))&amp;"편  "&amp;INDEX(시편_시리즈!$G$2:$G$151,MATCH("시편|"&amp;TEXT(B110,"yyyy-mm-dd"),시편_시리즈!$Y$2:$Y$151,0)),""))</f>
        <v>시편 47편  손뼉을 치라</v>
      </c>
      <c r="G110" s="23" t="n">
        <f aca="false">IF(B110="","",(D110&lt;&gt;"")+(E110&lt;&gt;"")+(F110&lt;&gt;""))</f>
        <v>2</v>
      </c>
      <c r="H110" s="31" t="s">
        <v>10282</v>
      </c>
    </row>
    <row r="111" customFormat="false" ht="15" hidden="false" customHeight="false" outlineLevel="0" collapsed="false">
      <c r="A111" s="23" t="n">
        <f aca="false">IF(B111="","",110)</f>
        <v>110</v>
      </c>
      <c r="B111" s="26" t="n">
        <f aca="false">IF(안내!$C$9+109&gt;MAX(MAX(A타입_제작표!$U$2:$U$799),MAX(시편_시리즈!$Q$2:$Q$151)),"",안내!$C$9+109)</f>
        <v>46500</v>
      </c>
      <c r="C111" s="23" t="str">
        <f aca="false">IF(B111="","",CHOOSE(WEEKDAY(B111,2),"월","화","수","목","금","토","일"))</f>
        <v>금</v>
      </c>
      <c r="D111" s="24" t="str">
        <f aca="false">IF(B111="","",IFERROR(INDEX(A타입_제작표!$J$2:$J$799,MATCH("구약|"&amp;TEXT(B111,"yyyy-mm-dd"),A타입_제작표!$AQ$2:$AQ$799,0))&amp;"  "&amp;INDEX(A타입_제작표!$L$2:$L$799,MATCH("구약|"&amp;TEXT(B111,"yyyy-mm-dd"),A타입_제작표!$AQ$2:$AQ$799,0)),""))</f>
        <v>왕상 3:16-28  두 엄마와 한 아기</v>
      </c>
      <c r="E111" s="24" t="str">
        <f aca="false">IF(B111="","",IFERROR(INDEX(A타입_제작표!$J$2:$J$799,MATCH("신약|"&amp;TEXT(B111,"yyyy-mm-dd"),A타입_제작표!$AQ$2:$AQ$799,0))&amp;"  "&amp;INDEX(A타입_제작표!$L$2:$L$799,MATCH("신약|"&amp;TEXT(B111,"yyyy-mm-dd"),A타입_제작표!$AQ$2:$AQ$799,0)),""))</f>
        <v>요 9:1-41  날 때부터 맹인 된 사람</v>
      </c>
      <c r="F111" s="24" t="str">
        <f aca="false">IF(B111="","",IFERROR("시편 "&amp;INDEX(시편_시리즈!$A$2:$A$151,MATCH("시편|"&amp;TEXT(B111,"yyyy-mm-dd"),시편_시리즈!$Y$2:$Y$151,0))&amp;"편  "&amp;INDEX(시편_시리즈!$G$2:$G$151,MATCH("시편|"&amp;TEXT(B111,"yyyy-mm-dd"),시편_시리즈!$Y$2:$Y$151,0)),""))</f>
        <v/>
      </c>
      <c r="G111" s="23" t="n">
        <f aca="false">IF(B111="","",(D111&lt;&gt;"")+(E111&lt;&gt;"")+(F111&lt;&gt;""))</f>
        <v>2</v>
      </c>
      <c r="H111" s="31" t="s">
        <v>10282</v>
      </c>
    </row>
    <row r="112" customFormat="false" ht="15" hidden="false" customHeight="false" outlineLevel="0" collapsed="false">
      <c r="A112" s="23" t="n">
        <f aca="false">IF(B112="","",111)</f>
        <v>111</v>
      </c>
      <c r="B112" s="26" t="n">
        <f aca="false">IF(안내!$C$9+110&gt;MAX(MAX(A타입_제작표!$U$2:$U$799),MAX(시편_시리즈!$Q$2:$Q$151)),"",안내!$C$9+110)</f>
        <v>46501</v>
      </c>
      <c r="C112" s="23" t="str">
        <f aca="false">IF(B112="","",CHOOSE(WEEKDAY(B112,2),"월","화","수","목","금","토","일"))</f>
        <v>토</v>
      </c>
      <c r="D112" s="24" t="str">
        <f aca="false">IF(B112="","",IFERROR(INDEX(A타입_제작표!$J$2:$J$799,MATCH("구약|"&amp;TEXT(B112,"yyyy-mm-dd"),A타입_제작표!$AQ$2:$AQ$799,0))&amp;"  "&amp;INDEX(A타입_제작표!$L$2:$L$799,MATCH("구약|"&amp;TEXT(B112,"yyyy-mm-dd"),A타입_제작표!$AQ$2:$AQ$799,0)),""))</f>
        <v>왕상 8:1-66  성전 봉헌 기도</v>
      </c>
      <c r="E112" s="24" t="str">
        <f aca="false">IF(B112="","",IFERROR(INDEX(A타입_제작표!$J$2:$J$799,MATCH("신약|"&amp;TEXT(B112,"yyyy-mm-dd"),A타입_제작표!$AQ$2:$AQ$799,0))&amp;"  "&amp;INDEX(A타입_제작표!$L$2:$L$799,MATCH("신약|"&amp;TEXT(B112,"yyyy-mm-dd"),A타입_제작표!$AQ$2:$AQ$799,0)),""))</f>
        <v>요 10:1-42  선한 목자</v>
      </c>
      <c r="F112" s="24" t="str">
        <f aca="false">IF(B112="","",IFERROR("시편 "&amp;INDEX(시편_시리즈!$A$2:$A$151,MATCH("시편|"&amp;TEXT(B112,"yyyy-mm-dd"),시편_시리즈!$Y$2:$Y$151,0))&amp;"편  "&amp;INDEX(시편_시리즈!$G$2:$G$151,MATCH("시편|"&amp;TEXT(B112,"yyyy-mm-dd"),시편_시리즈!$Y$2:$Y$151,0)),""))</f>
        <v/>
      </c>
      <c r="G112" s="23" t="n">
        <f aca="false">IF(B112="","",(D112&lt;&gt;"")+(E112&lt;&gt;"")+(F112&lt;&gt;""))</f>
        <v>2</v>
      </c>
      <c r="H112" s="31" t="s">
        <v>10282</v>
      </c>
    </row>
    <row r="113" customFormat="false" ht="15" hidden="false" customHeight="false" outlineLevel="0" collapsed="false">
      <c r="A113" s="23" t="n">
        <f aca="false">IF(B113="","",112)</f>
        <v>112</v>
      </c>
      <c r="B113" s="26" t="n">
        <f aca="false">IF(안내!$C$9+111&gt;MAX(MAX(A타입_제작표!$U$2:$U$799),MAX(시편_시리즈!$Q$2:$Q$151)),"",안내!$C$9+111)</f>
        <v>46502</v>
      </c>
      <c r="C113" s="23" t="str">
        <f aca="false">IF(B113="","",CHOOSE(WEEKDAY(B113,2),"월","화","수","목","금","토","일"))</f>
        <v>일</v>
      </c>
      <c r="D113" s="24" t="str">
        <f aca="false">IF(B113="","",IFERROR(INDEX(A타입_제작표!$J$2:$J$799,MATCH("구약|"&amp;TEXT(B113,"yyyy-mm-dd"),A타입_제작표!$AQ$2:$AQ$799,0))&amp;"  "&amp;INDEX(A타입_제작표!$L$2:$L$799,MATCH("구약|"&amp;TEXT(B113,"yyyy-mm-dd"),A타입_제작표!$AQ$2:$AQ$799,0)),""))</f>
        <v>왕상 9:1-10:29  스바 여왕의 방문</v>
      </c>
      <c r="E113" s="24" t="str">
        <f aca="false">IF(B113="","",IFERROR(INDEX(A타입_제작표!$J$2:$J$799,MATCH("신약|"&amp;TEXT(B113,"yyyy-mm-dd"),A타입_제작표!$AQ$2:$AQ$799,0))&amp;"  "&amp;INDEX(A타입_제작표!$L$2:$L$799,MATCH("신약|"&amp;TEXT(B113,"yyyy-mm-dd"),A타입_제작표!$AQ$2:$AQ$799,0)),""))</f>
        <v/>
      </c>
      <c r="F113" s="24" t="str">
        <f aca="false">IF(B113="","",IFERROR("시편 "&amp;INDEX(시편_시리즈!$A$2:$A$151,MATCH("시편|"&amp;TEXT(B113,"yyyy-mm-dd"),시편_시리즈!$Y$2:$Y$151,0))&amp;"편  "&amp;INDEX(시편_시리즈!$G$2:$G$151,MATCH("시편|"&amp;TEXT(B113,"yyyy-mm-dd"),시편_시리즈!$Y$2:$Y$151,0)),""))</f>
        <v>시편 48편  시온 산의 하나님</v>
      </c>
      <c r="G113" s="23" t="n">
        <f aca="false">IF(B113="","",(D113&lt;&gt;"")+(E113&lt;&gt;"")+(F113&lt;&gt;""))</f>
        <v>2</v>
      </c>
      <c r="H113" s="31" t="s">
        <v>10282</v>
      </c>
    </row>
    <row r="114" customFormat="false" ht="15" hidden="false" customHeight="false" outlineLevel="0" collapsed="false">
      <c r="A114" s="23" t="n">
        <f aca="false">IF(B114="","",113)</f>
        <v>113</v>
      </c>
      <c r="B114" s="26" t="n">
        <f aca="false">IF(안내!$C$9+112&gt;MAX(MAX(A타입_제작표!$U$2:$U$799),MAX(시편_시리즈!$Q$2:$Q$151)),"",안내!$C$9+112)</f>
        <v>46503</v>
      </c>
      <c r="C114" s="23" t="str">
        <f aca="false">IF(B114="","",CHOOSE(WEEKDAY(B114,2),"월","화","수","목","금","토","일"))</f>
        <v>월</v>
      </c>
      <c r="D114" s="24" t="str">
        <f aca="false">IF(B114="","",IFERROR(INDEX(A타입_제작표!$J$2:$J$799,MATCH("구약|"&amp;TEXT(B114,"yyyy-mm-dd"),A타입_제작표!$AQ$2:$AQ$799,0))&amp;"  "&amp;INDEX(A타입_제작표!$L$2:$L$799,MATCH("구약|"&amp;TEXT(B114,"yyyy-mm-dd"),A타입_제작표!$AQ$2:$AQ$799,0)),""))</f>
        <v>왕상 11:1-43  마음이 돌아서다</v>
      </c>
      <c r="E114" s="24" t="str">
        <f aca="false">IF(B114="","",IFERROR(INDEX(A타입_제작표!$J$2:$J$799,MATCH("신약|"&amp;TEXT(B114,"yyyy-mm-dd"),A타입_제작표!$AQ$2:$AQ$799,0))&amp;"  "&amp;INDEX(A타입_제작표!$L$2:$L$799,MATCH("신약|"&amp;TEXT(B114,"yyyy-mm-dd"),A타입_제작표!$AQ$2:$AQ$799,0)),""))</f>
        <v>요 11:1-44  나사로야 나오라</v>
      </c>
      <c r="F114" s="24" t="str">
        <f aca="false">IF(B114="","",IFERROR("시편 "&amp;INDEX(시편_시리즈!$A$2:$A$151,MATCH("시편|"&amp;TEXT(B114,"yyyy-mm-dd"),시편_시리즈!$Y$2:$Y$151,0))&amp;"편  "&amp;INDEX(시편_시리즈!$G$2:$G$151,MATCH("시편|"&amp;TEXT(B114,"yyyy-mm-dd"),시편_시리즈!$Y$2:$Y$151,0)),""))</f>
        <v/>
      </c>
      <c r="G114" s="23" t="n">
        <f aca="false">IF(B114="","",(D114&lt;&gt;"")+(E114&lt;&gt;"")+(F114&lt;&gt;""))</f>
        <v>2</v>
      </c>
      <c r="H114" s="31" t="s">
        <v>10282</v>
      </c>
    </row>
    <row r="115" customFormat="false" ht="15" hidden="false" customHeight="false" outlineLevel="0" collapsed="false">
      <c r="A115" s="23" t="n">
        <f aca="false">IF(B115="","",114)</f>
        <v>114</v>
      </c>
      <c r="B115" s="26" t="n">
        <f aca="false">IF(안내!$C$9+113&gt;MAX(MAX(A타입_제작표!$U$2:$U$799),MAX(시편_시리즈!$Q$2:$Q$151)),"",안내!$C$9+113)</f>
        <v>46504</v>
      </c>
      <c r="C115" s="23" t="str">
        <f aca="false">IF(B115="","",CHOOSE(WEEKDAY(B115,2),"월","화","수","목","금","토","일"))</f>
        <v>화</v>
      </c>
      <c r="D115" s="24" t="str">
        <f aca="false">IF(B115="","",IFERROR(INDEX(A타입_제작표!$J$2:$J$799,MATCH("구약|"&amp;TEXT(B115,"yyyy-mm-dd"),A타입_제작표!$AQ$2:$AQ$799,0))&amp;"  "&amp;INDEX(A타입_제작표!$L$2:$L$799,MATCH("구약|"&amp;TEXT(B115,"yyyy-mm-dd"),A타입_제작표!$AQ$2:$AQ$799,0)),""))</f>
        <v>왕상 12:1-24  나라가 둘로 나뉘다</v>
      </c>
      <c r="E115" s="24" t="str">
        <f aca="false">IF(B115="","",IFERROR(INDEX(A타입_제작표!$J$2:$J$799,MATCH("신약|"&amp;TEXT(B115,"yyyy-mm-dd"),A타입_제작표!$AQ$2:$AQ$799,0))&amp;"  "&amp;INDEX(A타입_제작표!$L$2:$L$799,MATCH("신약|"&amp;TEXT(B115,"yyyy-mm-dd"),A타입_제작표!$AQ$2:$AQ$799,0)),""))</f>
        <v/>
      </c>
      <c r="F115" s="24" t="str">
        <f aca="false">IF(B115="","",IFERROR("시편 "&amp;INDEX(시편_시리즈!$A$2:$A$151,MATCH("시편|"&amp;TEXT(B115,"yyyy-mm-dd"),시편_시리즈!$Y$2:$Y$151,0))&amp;"편  "&amp;INDEX(시편_시리즈!$G$2:$G$151,MATCH("시편|"&amp;TEXT(B115,"yyyy-mm-dd"),시편_시리즈!$Y$2:$Y$151,0)),""))</f>
        <v>시편 49편  돈으로 살 수 없는 생명</v>
      </c>
      <c r="G115" s="23" t="n">
        <f aca="false">IF(B115="","",(D115&lt;&gt;"")+(E115&lt;&gt;"")+(F115&lt;&gt;""))</f>
        <v>2</v>
      </c>
      <c r="H115" s="31" t="s">
        <v>10282</v>
      </c>
    </row>
    <row r="116" customFormat="false" ht="15" hidden="false" customHeight="false" outlineLevel="0" collapsed="false">
      <c r="A116" s="23" t="n">
        <f aca="false">IF(B116="","",115)</f>
        <v>115</v>
      </c>
      <c r="B116" s="26" t="n">
        <f aca="false">IF(안내!$C$9+114&gt;MAX(MAX(A타입_제작표!$U$2:$U$799),MAX(시편_시리즈!$Q$2:$Q$151)),"",안내!$C$9+114)</f>
        <v>46505</v>
      </c>
      <c r="C116" s="23" t="str">
        <f aca="false">IF(B116="","",CHOOSE(WEEKDAY(B116,2),"월","화","수","목","금","토","일"))</f>
        <v>수</v>
      </c>
      <c r="D116" s="24" t="str">
        <f aca="false">IF(B116="","",IFERROR(INDEX(A타입_제작표!$J$2:$J$799,MATCH("구약|"&amp;TEXT(B116,"yyyy-mm-dd"),A타입_제작표!$AQ$2:$AQ$799,0))&amp;"  "&amp;INDEX(A타입_제작표!$L$2:$L$799,MATCH("구약|"&amp;TEXT(B116,"yyyy-mm-dd"),A타입_제작표!$AQ$2:$AQ$799,0)),""))</f>
        <v>왕상 17:1-7  까마귀가 날라 준 음식</v>
      </c>
      <c r="E116" s="24" t="str">
        <f aca="false">IF(B116="","",IFERROR(INDEX(A타입_제작표!$J$2:$J$799,MATCH("신약|"&amp;TEXT(B116,"yyyy-mm-dd"),A타입_제작표!$AQ$2:$AQ$799,0))&amp;"  "&amp;INDEX(A타입_제작표!$L$2:$L$799,MATCH("신약|"&amp;TEXT(B116,"yyyy-mm-dd"),A타입_제작표!$AQ$2:$AQ$799,0)),""))</f>
        <v>요 13:1-20  발을 씻기신 예수님</v>
      </c>
      <c r="F116" s="24" t="str">
        <f aca="false">IF(B116="","",IFERROR("시편 "&amp;INDEX(시편_시리즈!$A$2:$A$151,MATCH("시편|"&amp;TEXT(B116,"yyyy-mm-dd"),시편_시리즈!$Y$2:$Y$151,0))&amp;"편  "&amp;INDEX(시편_시리즈!$G$2:$G$151,MATCH("시편|"&amp;TEXT(B116,"yyyy-mm-dd"),시편_시리즈!$Y$2:$Y$151,0)),""))</f>
        <v/>
      </c>
      <c r="G116" s="23" t="n">
        <f aca="false">IF(B116="","",(D116&lt;&gt;"")+(E116&lt;&gt;"")+(F116&lt;&gt;""))</f>
        <v>2</v>
      </c>
      <c r="H116" s="31" t="s">
        <v>10282</v>
      </c>
    </row>
    <row r="117" customFormat="false" ht="15" hidden="false" customHeight="false" outlineLevel="0" collapsed="false">
      <c r="A117" s="23" t="n">
        <f aca="false">IF(B117="","",116)</f>
        <v>116</v>
      </c>
      <c r="B117" s="26" t="n">
        <f aca="false">IF(안내!$C$9+115&gt;MAX(MAX(A타입_제작표!$U$2:$U$799),MAX(시편_시리즈!$Q$2:$Q$151)),"",안내!$C$9+115)</f>
        <v>46506</v>
      </c>
      <c r="C117" s="23" t="str">
        <f aca="false">IF(B117="","",CHOOSE(WEEKDAY(B117,2),"월","화","수","목","금","토","일"))</f>
        <v>목</v>
      </c>
      <c r="D117" s="24" t="str">
        <f aca="false">IF(B117="","",IFERROR(INDEX(A타입_제작표!$J$2:$J$799,MATCH("구약|"&amp;TEXT(B117,"yyyy-mm-dd"),A타입_제작표!$AQ$2:$AQ$799,0))&amp;"  "&amp;INDEX(A타입_제작표!$L$2:$L$799,MATCH("구약|"&amp;TEXT(B117,"yyyy-mm-dd"),A타입_제작표!$AQ$2:$AQ$799,0)),""))</f>
        <v>왕상 17:8-24  과부의 마지막 밀가루</v>
      </c>
      <c r="E117" s="24" t="str">
        <f aca="false">IF(B117="","",IFERROR(INDEX(A타입_제작표!$J$2:$J$799,MATCH("신약|"&amp;TEXT(B117,"yyyy-mm-dd"),A타입_제작표!$AQ$2:$AQ$799,0))&amp;"  "&amp;INDEX(A타입_제작표!$L$2:$L$799,MATCH("신약|"&amp;TEXT(B117,"yyyy-mm-dd"),A타입_제작표!$AQ$2:$AQ$799,0)),""))</f>
        <v/>
      </c>
      <c r="F117" s="24" t="str">
        <f aca="false">IF(B117="","",IFERROR("시편 "&amp;INDEX(시편_시리즈!$A$2:$A$151,MATCH("시편|"&amp;TEXT(B117,"yyyy-mm-dd"),시편_시리즈!$Y$2:$Y$151,0))&amp;"편  "&amp;INDEX(시편_시리즈!$G$2:$G$151,MATCH("시편|"&amp;TEXT(B117,"yyyy-mm-dd"),시편_시리즈!$Y$2:$Y$151,0)),""))</f>
        <v>시편 50편  환난 날에 나를 부르라</v>
      </c>
      <c r="G117" s="23" t="n">
        <f aca="false">IF(B117="","",(D117&lt;&gt;"")+(E117&lt;&gt;"")+(F117&lt;&gt;""))</f>
        <v>2</v>
      </c>
      <c r="H117" s="31" t="s">
        <v>10282</v>
      </c>
    </row>
    <row r="118" customFormat="false" ht="15" hidden="false" customHeight="false" outlineLevel="0" collapsed="false">
      <c r="A118" s="23" t="n">
        <f aca="false">IF(B118="","",117)</f>
        <v>117</v>
      </c>
      <c r="B118" s="26" t="n">
        <f aca="false">IF(안내!$C$9+116&gt;MAX(MAX(A타입_제작표!$U$2:$U$799),MAX(시편_시리즈!$Q$2:$Q$151)),"",안내!$C$9+116)</f>
        <v>46507</v>
      </c>
      <c r="C118" s="23" t="str">
        <f aca="false">IF(B118="","",CHOOSE(WEEKDAY(B118,2),"월","화","수","목","금","토","일"))</f>
        <v>금</v>
      </c>
      <c r="D118" s="24" t="str">
        <f aca="false">IF(B118="","",IFERROR(INDEX(A타입_제작표!$J$2:$J$799,MATCH("구약|"&amp;TEXT(B118,"yyyy-mm-dd"),A타입_제작표!$AQ$2:$AQ$799,0))&amp;"  "&amp;INDEX(A타입_제작표!$L$2:$L$799,MATCH("구약|"&amp;TEXT(B118,"yyyy-mm-dd"),A타입_제작표!$AQ$2:$AQ$799,0)),""))</f>
        <v>왕상 18:1-24  누가 참 하나님인가</v>
      </c>
      <c r="E118" s="24" t="str">
        <f aca="false">IF(B118="","",IFERROR(INDEX(A타입_제작표!$J$2:$J$799,MATCH("신약|"&amp;TEXT(B118,"yyyy-mm-dd"),A타입_제작표!$AQ$2:$AQ$799,0))&amp;"  "&amp;INDEX(A타입_제작표!$L$2:$L$799,MATCH("신약|"&amp;TEXT(B118,"yyyy-mm-dd"),A타입_제작표!$AQ$2:$AQ$799,0)),""))</f>
        <v>요 14:1-31  나는 길이요</v>
      </c>
      <c r="F118" s="24" t="str">
        <f aca="false">IF(B118="","",IFERROR("시편 "&amp;INDEX(시편_시리즈!$A$2:$A$151,MATCH("시편|"&amp;TEXT(B118,"yyyy-mm-dd"),시편_시리즈!$Y$2:$Y$151,0))&amp;"편  "&amp;INDEX(시편_시리즈!$G$2:$G$151,MATCH("시편|"&amp;TEXT(B118,"yyyy-mm-dd"),시편_시리즈!$Y$2:$Y$151,0)),""))</f>
        <v/>
      </c>
      <c r="G118" s="23" t="n">
        <f aca="false">IF(B118="","",(D118&lt;&gt;"")+(E118&lt;&gt;"")+(F118&lt;&gt;""))</f>
        <v>2</v>
      </c>
      <c r="H118" s="31" t="s">
        <v>10282</v>
      </c>
    </row>
    <row r="119" customFormat="false" ht="15" hidden="false" customHeight="false" outlineLevel="0" collapsed="false">
      <c r="A119" s="23" t="n">
        <f aca="false">IF(B119="","",118)</f>
        <v>118</v>
      </c>
      <c r="B119" s="26" t="n">
        <f aca="false">IF(안내!$C$9+117&gt;MAX(MAX(A타입_제작표!$U$2:$U$799),MAX(시편_시리즈!$Q$2:$Q$151)),"",안내!$C$9+117)</f>
        <v>46508</v>
      </c>
      <c r="C119" s="23" t="str">
        <f aca="false">IF(B119="","",CHOOSE(WEEKDAY(B119,2),"월","화","수","목","금","토","일"))</f>
        <v>토</v>
      </c>
      <c r="D119" s="24" t="str">
        <f aca="false">IF(B119="","",IFERROR(INDEX(A타입_제작표!$J$2:$J$799,MATCH("구약|"&amp;TEXT(B119,"yyyy-mm-dd"),A타입_제작표!$AQ$2:$AQ$799,0))&amp;"  "&amp;INDEX(A타입_제작표!$L$2:$L$799,MATCH("구약|"&amp;TEXT(B119,"yyyy-mm-dd"),A타입_제작표!$AQ$2:$AQ$799,0)),""))</f>
        <v>왕상 18:25-40  하늘에서 내린 불</v>
      </c>
      <c r="E119" s="24" t="str">
        <f aca="false">IF(B119="","",IFERROR(INDEX(A타입_제작표!$J$2:$J$799,MATCH("신약|"&amp;TEXT(B119,"yyyy-mm-dd"),A타입_제작표!$AQ$2:$AQ$799,0))&amp;"  "&amp;INDEX(A타입_제작표!$L$2:$L$799,MATCH("신약|"&amp;TEXT(B119,"yyyy-mm-dd"),A타입_제작표!$AQ$2:$AQ$799,0)),""))</f>
        <v>요 15:1-27  포도나무와 가지</v>
      </c>
      <c r="F119" s="24" t="str">
        <f aca="false">IF(B119="","",IFERROR("시편 "&amp;INDEX(시편_시리즈!$A$2:$A$151,MATCH("시편|"&amp;TEXT(B119,"yyyy-mm-dd"),시편_시리즈!$Y$2:$Y$151,0))&amp;"편  "&amp;INDEX(시편_시리즈!$G$2:$G$151,MATCH("시편|"&amp;TEXT(B119,"yyyy-mm-dd"),시편_시리즈!$Y$2:$Y$151,0)),""))</f>
        <v/>
      </c>
      <c r="G119" s="23" t="n">
        <f aca="false">IF(B119="","",(D119&lt;&gt;"")+(E119&lt;&gt;"")+(F119&lt;&gt;""))</f>
        <v>2</v>
      </c>
      <c r="H119" s="31" t="s">
        <v>10282</v>
      </c>
    </row>
    <row r="120" customFormat="false" ht="15" hidden="false" customHeight="false" outlineLevel="0" collapsed="false">
      <c r="A120" s="23" t="n">
        <f aca="false">IF(B120="","",119)</f>
        <v>119</v>
      </c>
      <c r="B120" s="26" t="n">
        <f aca="false">IF(안내!$C$9+118&gt;MAX(MAX(A타입_제작표!$U$2:$U$799),MAX(시편_시리즈!$Q$2:$Q$151)),"",안내!$C$9+118)</f>
        <v>46509</v>
      </c>
      <c r="C120" s="23" t="str">
        <f aca="false">IF(B120="","",CHOOSE(WEEKDAY(B120,2),"월","화","수","목","금","토","일"))</f>
        <v>일</v>
      </c>
      <c r="D120" s="24" t="str">
        <f aca="false">IF(B120="","",IFERROR(INDEX(A타입_제작표!$J$2:$J$799,MATCH("구약|"&amp;TEXT(B120,"yyyy-mm-dd"),A타입_제작표!$AQ$2:$AQ$799,0))&amp;"  "&amp;INDEX(A타입_제작표!$L$2:$L$799,MATCH("구약|"&amp;TEXT(B120,"yyyy-mm-dd"),A타입_제작표!$AQ$2:$AQ$799,0)),""))</f>
        <v>왕상 18:41-19:8  로뎀나무 아래</v>
      </c>
      <c r="E120" s="24" t="str">
        <f aca="false">IF(B120="","",IFERROR(INDEX(A타입_제작표!$J$2:$J$799,MATCH("신약|"&amp;TEXT(B120,"yyyy-mm-dd"),A타입_제작표!$AQ$2:$AQ$799,0))&amp;"  "&amp;INDEX(A타입_제작표!$L$2:$L$799,MATCH("신약|"&amp;TEXT(B120,"yyyy-mm-dd"),A타입_제작표!$AQ$2:$AQ$799,0)),""))</f>
        <v/>
      </c>
      <c r="F120" s="24" t="str">
        <f aca="false">IF(B120="","",IFERROR("시편 "&amp;INDEX(시편_시리즈!$A$2:$A$151,MATCH("시편|"&amp;TEXT(B120,"yyyy-mm-dd"),시편_시리즈!$Y$2:$Y$151,0))&amp;"편  "&amp;INDEX(시편_시리즈!$G$2:$G$151,MATCH("시편|"&amp;TEXT(B120,"yyyy-mm-dd"),시편_시리즈!$Y$2:$Y$151,0)),""))</f>
        <v>시편 51편  정한 마음을 창조하소서</v>
      </c>
      <c r="G120" s="23" t="n">
        <f aca="false">IF(B120="","",(D120&lt;&gt;"")+(E120&lt;&gt;"")+(F120&lt;&gt;""))</f>
        <v>2</v>
      </c>
      <c r="H120" s="31" t="s">
        <v>10282</v>
      </c>
    </row>
    <row r="121" customFormat="false" ht="15" hidden="false" customHeight="false" outlineLevel="0" collapsed="false">
      <c r="A121" s="23" t="n">
        <f aca="false">IF(B121="","",120)</f>
        <v>120</v>
      </c>
      <c r="B121" s="26" t="n">
        <f aca="false">IF(안내!$C$9+119&gt;MAX(MAX(A타입_제작표!$U$2:$U$799),MAX(시편_시리즈!$Q$2:$Q$151)),"",안내!$C$9+119)</f>
        <v>46510</v>
      </c>
      <c r="C121" s="23" t="str">
        <f aca="false">IF(B121="","",CHOOSE(WEEKDAY(B121,2),"월","화","수","목","금","토","일"))</f>
        <v>월</v>
      </c>
      <c r="D121" s="24" t="str">
        <f aca="false">IF(B121="","",IFERROR(INDEX(A타입_제작표!$J$2:$J$799,MATCH("구약|"&amp;TEXT(B121,"yyyy-mm-dd"),A타입_제작표!$AQ$2:$AQ$799,0))&amp;"  "&amp;INDEX(A타입_제작표!$L$2:$L$799,MATCH("구약|"&amp;TEXT(B121,"yyyy-mm-dd"),A타입_제작표!$AQ$2:$AQ$799,0)),""))</f>
        <v>왕상 19:9-21  세미한 소리</v>
      </c>
      <c r="E121" s="24" t="str">
        <f aca="false">IF(B121="","",IFERROR(INDEX(A타입_제작표!$J$2:$J$799,MATCH("신약|"&amp;TEXT(B121,"yyyy-mm-dd"),A타입_제작표!$AQ$2:$AQ$799,0))&amp;"  "&amp;INDEX(A타입_제작표!$L$2:$L$799,MATCH("신약|"&amp;TEXT(B121,"yyyy-mm-dd"),A타입_제작표!$AQ$2:$AQ$799,0)),""))</f>
        <v>요 19:17-42  다 이루었다</v>
      </c>
      <c r="F121" s="24" t="str">
        <f aca="false">IF(B121="","",IFERROR("시편 "&amp;INDEX(시편_시리즈!$A$2:$A$151,MATCH("시편|"&amp;TEXT(B121,"yyyy-mm-dd"),시편_시리즈!$Y$2:$Y$151,0))&amp;"편  "&amp;INDEX(시편_시리즈!$G$2:$G$151,MATCH("시편|"&amp;TEXT(B121,"yyyy-mm-dd"),시편_시리즈!$Y$2:$Y$151,0)),""))</f>
        <v/>
      </c>
      <c r="G121" s="23" t="n">
        <f aca="false">IF(B121="","",(D121&lt;&gt;"")+(E121&lt;&gt;"")+(F121&lt;&gt;""))</f>
        <v>2</v>
      </c>
      <c r="H121" s="31" t="s">
        <v>10282</v>
      </c>
    </row>
    <row r="122" customFormat="false" ht="15" hidden="false" customHeight="false" outlineLevel="0" collapsed="false">
      <c r="A122" s="23" t="n">
        <f aca="false">IF(B122="","",121)</f>
        <v>121</v>
      </c>
      <c r="B122" s="26" t="n">
        <f aca="false">IF(안내!$C$9+120&gt;MAX(MAX(A타입_제작표!$U$2:$U$799),MAX(시편_시리즈!$Q$2:$Q$151)),"",안내!$C$9+120)</f>
        <v>46511</v>
      </c>
      <c r="C122" s="23" t="str">
        <f aca="false">IF(B122="","",CHOOSE(WEEKDAY(B122,2),"월","화","수","목","금","토","일"))</f>
        <v>화</v>
      </c>
      <c r="D122" s="24" t="str">
        <f aca="false">IF(B122="","",IFERROR(INDEX(A타입_제작표!$J$2:$J$799,MATCH("구약|"&amp;TEXT(B122,"yyyy-mm-dd"),A타입_제작표!$AQ$2:$AQ$799,0))&amp;"  "&amp;INDEX(A타입_제작표!$L$2:$L$799,MATCH("구약|"&amp;TEXT(B122,"yyyy-mm-dd"),A타입_제작표!$AQ$2:$AQ$799,0)),""))</f>
        <v>왕하 2:1-14  불병거와 회오리바람</v>
      </c>
      <c r="E122" s="24" t="str">
        <f aca="false">IF(B122="","",IFERROR(INDEX(A타입_제작표!$J$2:$J$799,MATCH("신약|"&amp;TEXT(B122,"yyyy-mm-dd"),A타입_제작표!$AQ$2:$AQ$799,0))&amp;"  "&amp;INDEX(A타입_제작표!$L$2:$L$799,MATCH("신약|"&amp;TEXT(B122,"yyyy-mm-dd"),A타입_제작표!$AQ$2:$AQ$799,0)),""))</f>
        <v/>
      </c>
      <c r="F122" s="24" t="str">
        <f aca="false">IF(B122="","",IFERROR("시편 "&amp;INDEX(시편_시리즈!$A$2:$A$151,MATCH("시편|"&amp;TEXT(B122,"yyyy-mm-dd"),시편_시리즈!$Y$2:$Y$151,0))&amp;"편  "&amp;INDEX(시편_시리즈!$G$2:$G$151,MATCH("시편|"&amp;TEXT(B122,"yyyy-mm-dd"),시편_시리즈!$Y$2:$Y$151,0)),""))</f>
        <v>시편 52편  푸른 감람나무</v>
      </c>
      <c r="G122" s="23" t="n">
        <f aca="false">IF(B122="","",(D122&lt;&gt;"")+(E122&lt;&gt;"")+(F122&lt;&gt;""))</f>
        <v>2</v>
      </c>
      <c r="H122" s="31" t="s">
        <v>10282</v>
      </c>
    </row>
    <row r="123" customFormat="false" ht="15" hidden="false" customHeight="false" outlineLevel="0" collapsed="false">
      <c r="A123" s="23" t="n">
        <f aca="false">IF(B123="","",122)</f>
        <v>122</v>
      </c>
      <c r="B123" s="26" t="n">
        <f aca="false">IF(안내!$C$9+121&gt;MAX(MAX(A타입_제작표!$U$2:$U$799),MAX(시편_시리즈!$Q$2:$Q$151)),"",안내!$C$9+121)</f>
        <v>46512</v>
      </c>
      <c r="C123" s="23" t="str">
        <f aca="false">IF(B123="","",CHOOSE(WEEKDAY(B123,2),"월","화","수","목","금","토","일"))</f>
        <v>수</v>
      </c>
      <c r="D123" s="24" t="str">
        <f aca="false">IF(B123="","",IFERROR(INDEX(A타입_제작표!$J$2:$J$799,MATCH("구약|"&amp;TEXT(B123,"yyyy-mm-dd"),A타입_제작표!$AQ$2:$AQ$799,0))&amp;"  "&amp;INDEX(A타입_제작표!$L$2:$L$799,MATCH("구약|"&amp;TEXT(B123,"yyyy-mm-dd"),A타입_제작표!$AQ$2:$AQ$799,0)),""))</f>
        <v>왕하 4:8-37  수넴 여인의 아들</v>
      </c>
      <c r="E123" s="24" t="str">
        <f aca="false">IF(B123="","",IFERROR(INDEX(A타입_제작표!$J$2:$J$799,MATCH("신약|"&amp;TEXT(B123,"yyyy-mm-dd"),A타입_제작표!$AQ$2:$AQ$799,0))&amp;"  "&amp;INDEX(A타입_제작표!$L$2:$L$799,MATCH("신약|"&amp;TEXT(B123,"yyyy-mm-dd"),A타입_제작표!$AQ$2:$AQ$799,0)),""))</f>
        <v>요 20:1-18  마리아야</v>
      </c>
      <c r="F123" s="24" t="str">
        <f aca="false">IF(B123="","",IFERROR("시편 "&amp;INDEX(시편_시리즈!$A$2:$A$151,MATCH("시편|"&amp;TEXT(B123,"yyyy-mm-dd"),시편_시리즈!$Y$2:$Y$151,0))&amp;"편  "&amp;INDEX(시편_시리즈!$G$2:$G$151,MATCH("시편|"&amp;TEXT(B123,"yyyy-mm-dd"),시편_시리즈!$Y$2:$Y$151,0)),""))</f>
        <v/>
      </c>
      <c r="G123" s="23" t="n">
        <f aca="false">IF(B123="","",(D123&lt;&gt;"")+(E123&lt;&gt;"")+(F123&lt;&gt;""))</f>
        <v>2</v>
      </c>
      <c r="H123" s="31" t="s">
        <v>10282</v>
      </c>
    </row>
    <row r="124" customFormat="false" ht="26.85" hidden="false" customHeight="false" outlineLevel="0" collapsed="false">
      <c r="A124" s="23" t="n">
        <f aca="false">IF(B124="","",123)</f>
        <v>123</v>
      </c>
      <c r="B124" s="26" t="n">
        <f aca="false">IF(안내!$C$9+122&gt;MAX(MAX(A타입_제작표!$U$2:$U$799),MAX(시편_시리즈!$Q$2:$Q$151)),"",안내!$C$9+122)</f>
        <v>46513</v>
      </c>
      <c r="C124" s="23" t="str">
        <f aca="false">IF(B124="","",CHOOSE(WEEKDAY(B124,2),"월","화","수","목","금","토","일"))</f>
        <v>목</v>
      </c>
      <c r="D124" s="24" t="str">
        <f aca="false">IF(B124="","",IFERROR(INDEX(A타입_제작표!$J$2:$J$799,MATCH("구약|"&amp;TEXT(B124,"yyyy-mm-dd"),A타입_제작표!$AQ$2:$AQ$799,0))&amp;"  "&amp;INDEX(A타입_제작표!$L$2:$L$799,MATCH("구약|"&amp;TEXT(B124,"yyyy-mm-dd"),A타입_제작표!$AQ$2:$AQ$799,0)),""))</f>
        <v>왕하 5:1-19  요단강에 일곱 번</v>
      </c>
      <c r="E124" s="24" t="str">
        <f aca="false">IF(B124="","",IFERROR(INDEX(A타입_제작표!$J$2:$J$799,MATCH("신약|"&amp;TEXT(B124,"yyyy-mm-dd"),A타입_제작표!$AQ$2:$AQ$799,0))&amp;"  "&amp;INDEX(A타입_제작표!$L$2:$L$799,MATCH("신약|"&amp;TEXT(B124,"yyyy-mm-dd"),A타입_제작표!$AQ$2:$AQ$799,0)),""))</f>
        <v/>
      </c>
      <c r="F124" s="24" t="str">
        <f aca="false">IF(B124="","",IFERROR("시편 "&amp;INDEX(시편_시리즈!$A$2:$A$151,MATCH("시편|"&amp;TEXT(B124,"yyyy-mm-dd"),시편_시리즈!$Y$2:$Y$151,0))&amp;"편  "&amp;INDEX(시편_시리즈!$G$2:$G$151,MATCH("시편|"&amp;TEXT(B124,"yyyy-mm-dd"),시편_시리즈!$Y$2:$Y$151,0)),""))</f>
        <v>시편 53편  하나님이 없다 하는 자 (두 번째)</v>
      </c>
      <c r="G124" s="23" t="n">
        <f aca="false">IF(B124="","",(D124&lt;&gt;"")+(E124&lt;&gt;"")+(F124&lt;&gt;""))</f>
        <v>2</v>
      </c>
      <c r="H124" s="31" t="s">
        <v>10282</v>
      </c>
    </row>
    <row r="125" customFormat="false" ht="15" hidden="false" customHeight="false" outlineLevel="0" collapsed="false">
      <c r="A125" s="23" t="n">
        <f aca="false">IF(B125="","",124)</f>
        <v>124</v>
      </c>
      <c r="B125" s="26" t="n">
        <f aca="false">IF(안내!$C$9+123&gt;MAX(MAX(A타입_제작표!$U$2:$U$799),MAX(시편_시리즈!$Q$2:$Q$151)),"",안내!$C$9+123)</f>
        <v>46514</v>
      </c>
      <c r="C125" s="23" t="str">
        <f aca="false">IF(B125="","",CHOOSE(WEEKDAY(B125,2),"월","화","수","목","금","토","일"))</f>
        <v>금</v>
      </c>
      <c r="D125" s="24" t="str">
        <f aca="false">IF(B125="","",IFERROR(INDEX(A타입_제작표!$J$2:$J$799,MATCH("구약|"&amp;TEXT(B125,"yyyy-mm-dd"),A타입_제작표!$AQ$2:$AQ$799,0))&amp;"  "&amp;INDEX(A타입_제작표!$L$2:$L$799,MATCH("구약|"&amp;TEXT(B125,"yyyy-mm-dd"),A타입_제작표!$AQ$2:$AQ$799,0)),""))</f>
        <v>왕하 6:8-23  불말과 불병거</v>
      </c>
      <c r="E125" s="24" t="str">
        <f aca="false">IF(B125="","",IFERROR(INDEX(A타입_제작표!$J$2:$J$799,MATCH("신약|"&amp;TEXT(B125,"yyyy-mm-dd"),A타입_제작표!$AQ$2:$AQ$799,0))&amp;"  "&amp;INDEX(A타입_제작표!$L$2:$L$799,MATCH("신약|"&amp;TEXT(B125,"yyyy-mm-dd"),A타입_제작표!$AQ$2:$AQ$799,0)),""))</f>
        <v>요 20:19-31  나의 주 나의 하나님</v>
      </c>
      <c r="F125" s="24" t="str">
        <f aca="false">IF(B125="","",IFERROR("시편 "&amp;INDEX(시편_시리즈!$A$2:$A$151,MATCH("시편|"&amp;TEXT(B125,"yyyy-mm-dd"),시편_시리즈!$Y$2:$Y$151,0))&amp;"편  "&amp;INDEX(시편_시리즈!$G$2:$G$151,MATCH("시편|"&amp;TEXT(B125,"yyyy-mm-dd"),시편_시리즈!$Y$2:$Y$151,0)),""))</f>
        <v/>
      </c>
      <c r="G125" s="23" t="n">
        <f aca="false">IF(B125="","",(D125&lt;&gt;"")+(E125&lt;&gt;"")+(F125&lt;&gt;""))</f>
        <v>2</v>
      </c>
      <c r="H125" s="31" t="s">
        <v>10282</v>
      </c>
    </row>
    <row r="126" customFormat="false" ht="15" hidden="false" customHeight="false" outlineLevel="0" collapsed="false">
      <c r="A126" s="23" t="n">
        <f aca="false">IF(B126="","",125)</f>
        <v>125</v>
      </c>
      <c r="B126" s="26" t="n">
        <f aca="false">IF(안내!$C$9+124&gt;MAX(MAX(A타입_제작표!$U$2:$U$799),MAX(시편_시리즈!$Q$2:$Q$151)),"",안내!$C$9+124)</f>
        <v>46515</v>
      </c>
      <c r="C126" s="23" t="str">
        <f aca="false">IF(B126="","",CHOOSE(WEEKDAY(B126,2),"월","화","수","목","금","토","일"))</f>
        <v>토</v>
      </c>
      <c r="D126" s="24" t="str">
        <f aca="false">IF(B126="","",IFERROR(INDEX(A타입_제작표!$J$2:$J$799,MATCH("구약|"&amp;TEXT(B126,"yyyy-mm-dd"),A타입_제작표!$AQ$2:$AQ$799,0))&amp;"  "&amp;INDEX(A타입_제작표!$L$2:$L$799,MATCH("구약|"&amp;TEXT(B126,"yyyy-mm-dd"),A타입_제작표!$AQ$2:$AQ$799,0)),""))</f>
        <v>왕하 6:24-7:20  네 명의 나병환자</v>
      </c>
      <c r="E126" s="24" t="str">
        <f aca="false">IF(B126="","",IFERROR(INDEX(A타입_제작표!$J$2:$J$799,MATCH("신약|"&amp;TEXT(B126,"yyyy-mm-dd"),A타입_제작표!$AQ$2:$AQ$799,0))&amp;"  "&amp;INDEX(A타입_제작표!$L$2:$L$799,MATCH("신약|"&amp;TEXT(B126,"yyyy-mm-dd"),A타입_제작표!$AQ$2:$AQ$799,0)),""))</f>
        <v>요 21:1-25  내 양을 먹이라</v>
      </c>
      <c r="F126" s="24" t="str">
        <f aca="false">IF(B126="","",IFERROR("시편 "&amp;INDEX(시편_시리즈!$A$2:$A$151,MATCH("시편|"&amp;TEXT(B126,"yyyy-mm-dd"),시편_시리즈!$Y$2:$Y$151,0))&amp;"편  "&amp;INDEX(시편_시리즈!$G$2:$G$151,MATCH("시편|"&amp;TEXT(B126,"yyyy-mm-dd"),시편_시리즈!$Y$2:$Y$151,0)),""))</f>
        <v/>
      </c>
      <c r="G126" s="23" t="n">
        <f aca="false">IF(B126="","",(D126&lt;&gt;"")+(E126&lt;&gt;"")+(F126&lt;&gt;""))</f>
        <v>2</v>
      </c>
      <c r="H126" s="31" t="s">
        <v>10282</v>
      </c>
    </row>
    <row r="127" customFormat="false" ht="15" hidden="false" customHeight="false" outlineLevel="0" collapsed="false">
      <c r="A127" s="23" t="n">
        <f aca="false">IF(B127="","",126)</f>
        <v>126</v>
      </c>
      <c r="B127" s="26" t="n">
        <f aca="false">IF(안내!$C$9+125&gt;MAX(MAX(A타입_제작표!$U$2:$U$799),MAX(시편_시리즈!$Q$2:$Q$151)),"",안내!$C$9+125)</f>
        <v>46516</v>
      </c>
      <c r="C127" s="23" t="str">
        <f aca="false">IF(B127="","",CHOOSE(WEEKDAY(B127,2),"월","화","수","목","금","토","일"))</f>
        <v>일</v>
      </c>
      <c r="D127" s="24" t="str">
        <f aca="false">IF(B127="","",IFERROR(INDEX(A타입_제작표!$J$2:$J$799,MATCH("구약|"&amp;TEXT(B127,"yyyy-mm-dd"),A타입_제작표!$AQ$2:$AQ$799,0))&amp;"  "&amp;INDEX(A타입_제작표!$L$2:$L$799,MATCH("구약|"&amp;TEXT(B127,"yyyy-mm-dd"),A타입_제작표!$AQ$2:$AQ$799,0)),""))</f>
        <v>왕하 11:1-21  6년 동안 숨겨진 아기 왕</v>
      </c>
      <c r="E127" s="24" t="str">
        <f aca="false">IF(B127="","",IFERROR(INDEX(A타입_제작표!$J$2:$J$799,MATCH("신약|"&amp;TEXT(B127,"yyyy-mm-dd"),A타입_제작표!$AQ$2:$AQ$799,0))&amp;"  "&amp;INDEX(A타입_제작표!$L$2:$L$799,MATCH("신약|"&amp;TEXT(B127,"yyyy-mm-dd"),A타입_제작표!$AQ$2:$AQ$799,0)),""))</f>
        <v/>
      </c>
      <c r="F127" s="24" t="str">
        <f aca="false">IF(B127="","",IFERROR("시편 "&amp;INDEX(시편_시리즈!$A$2:$A$151,MATCH("시편|"&amp;TEXT(B127,"yyyy-mm-dd"),시편_시리즈!$Y$2:$Y$151,0))&amp;"편  "&amp;INDEX(시편_시리즈!$G$2:$G$151,MATCH("시편|"&amp;TEXT(B127,"yyyy-mm-dd"),시편_시리즈!$Y$2:$Y$151,0)),""))</f>
        <v>시편 54편  나를 돕는 이</v>
      </c>
      <c r="G127" s="23" t="n">
        <f aca="false">IF(B127="","",(D127&lt;&gt;"")+(E127&lt;&gt;"")+(F127&lt;&gt;""))</f>
        <v>2</v>
      </c>
      <c r="H127" s="31" t="s">
        <v>10282</v>
      </c>
    </row>
    <row r="128" customFormat="false" ht="15" hidden="false" customHeight="false" outlineLevel="0" collapsed="false">
      <c r="A128" s="23" t="n">
        <f aca="false">IF(B128="","",127)</f>
        <v>127</v>
      </c>
      <c r="B128" s="26" t="n">
        <f aca="false">IF(안내!$C$9+126&gt;MAX(MAX(A타입_제작표!$U$2:$U$799),MAX(시편_시리즈!$Q$2:$Q$151)),"",안내!$C$9+126)</f>
        <v>46517</v>
      </c>
      <c r="C128" s="23" t="str">
        <f aca="false">IF(B128="","",CHOOSE(WEEKDAY(B128,2),"월","화","수","목","금","토","일"))</f>
        <v>월</v>
      </c>
      <c r="D128" s="24" t="str">
        <f aca="false">IF(B128="","",IFERROR(INDEX(A타입_제작표!$J$2:$J$799,MATCH("구약|"&amp;TEXT(B128,"yyyy-mm-dd"),A타입_제작표!$AQ$2:$AQ$799,0))&amp;"  "&amp;INDEX(A타입_제작표!$L$2:$L$799,MATCH("구약|"&amp;TEXT(B128,"yyyy-mm-dd"),A타입_제작표!$AQ$2:$AQ$799,0)),""))</f>
        <v>왕하 17:1-41  북이스라엘의 멸망</v>
      </c>
      <c r="E128" s="24" t="str">
        <f aca="false">IF(B128="","",IFERROR(INDEX(A타입_제작표!$J$2:$J$799,MATCH("신약|"&amp;TEXT(B128,"yyyy-mm-dd"),A타입_제작표!$AQ$2:$AQ$799,0))&amp;"  "&amp;INDEX(A타입_제작표!$L$2:$L$799,MATCH("신약|"&amp;TEXT(B128,"yyyy-mm-dd"),A타입_제작표!$AQ$2:$AQ$799,0)),""))</f>
        <v>행 1:1-11  승천</v>
      </c>
      <c r="F128" s="24" t="str">
        <f aca="false">IF(B128="","",IFERROR("시편 "&amp;INDEX(시편_시리즈!$A$2:$A$151,MATCH("시편|"&amp;TEXT(B128,"yyyy-mm-dd"),시편_시리즈!$Y$2:$Y$151,0))&amp;"편  "&amp;INDEX(시편_시리즈!$G$2:$G$151,MATCH("시편|"&amp;TEXT(B128,"yyyy-mm-dd"),시편_시리즈!$Y$2:$Y$151,0)),""))</f>
        <v/>
      </c>
      <c r="G128" s="23" t="n">
        <f aca="false">IF(B128="","",(D128&lt;&gt;"")+(E128&lt;&gt;"")+(F128&lt;&gt;""))</f>
        <v>2</v>
      </c>
      <c r="H128" s="31" t="s">
        <v>10282</v>
      </c>
    </row>
    <row r="129" customFormat="false" ht="15" hidden="false" customHeight="false" outlineLevel="0" collapsed="false">
      <c r="A129" s="23" t="n">
        <f aca="false">IF(B129="","",128)</f>
        <v>128</v>
      </c>
      <c r="B129" s="26" t="n">
        <f aca="false">IF(안내!$C$9+127&gt;MAX(MAX(A타입_제작표!$U$2:$U$799),MAX(시편_시리즈!$Q$2:$Q$151)),"",안내!$C$9+127)</f>
        <v>46518</v>
      </c>
      <c r="C129" s="23" t="str">
        <f aca="false">IF(B129="","",CHOOSE(WEEKDAY(B129,2),"월","화","수","목","금","토","일"))</f>
        <v>화</v>
      </c>
      <c r="D129" s="24" t="str">
        <f aca="false">IF(B129="","",IFERROR(INDEX(A타입_제작표!$J$2:$J$799,MATCH("구약|"&amp;TEXT(B129,"yyyy-mm-dd"),A타입_제작표!$AQ$2:$AQ$799,0))&amp;"  "&amp;INDEX(A타입_제작표!$L$2:$L$799,MATCH("구약|"&amp;TEXT(B129,"yyyy-mm-dd"),A타입_제작표!$AQ$2:$AQ$799,0)),""))</f>
        <v>왕하 19:1-37  편지를 펴 놓고 기도하다</v>
      </c>
      <c r="E129" s="24" t="str">
        <f aca="false">IF(B129="","",IFERROR(INDEX(A타입_제작표!$J$2:$J$799,MATCH("신약|"&amp;TEXT(B129,"yyyy-mm-dd"),A타입_제작표!$AQ$2:$AQ$799,0))&amp;"  "&amp;INDEX(A타입_제작표!$L$2:$L$799,MATCH("신약|"&amp;TEXT(B129,"yyyy-mm-dd"),A타입_제작표!$AQ$2:$AQ$799,0)),""))</f>
        <v/>
      </c>
      <c r="F129" s="24" t="str">
        <f aca="false">IF(B129="","",IFERROR("시편 "&amp;INDEX(시편_시리즈!$A$2:$A$151,MATCH("시편|"&amp;TEXT(B129,"yyyy-mm-dd"),시편_시리즈!$Y$2:$Y$151,0))&amp;"편  "&amp;INDEX(시편_시리즈!$G$2:$G$151,MATCH("시편|"&amp;TEXT(B129,"yyyy-mm-dd"),시편_시리즈!$Y$2:$Y$151,0)),""))</f>
        <v>시편 55편  네 짐을 맡기라</v>
      </c>
      <c r="G129" s="23" t="n">
        <f aca="false">IF(B129="","",(D129&lt;&gt;"")+(E129&lt;&gt;"")+(F129&lt;&gt;""))</f>
        <v>2</v>
      </c>
      <c r="H129" s="31" t="s">
        <v>10282</v>
      </c>
    </row>
    <row r="130" customFormat="false" ht="15" hidden="false" customHeight="false" outlineLevel="0" collapsed="false">
      <c r="A130" s="23" t="n">
        <f aca="false">IF(B130="","",129)</f>
        <v>129</v>
      </c>
      <c r="B130" s="26" t="n">
        <f aca="false">IF(안내!$C$9+128&gt;MAX(MAX(A타입_제작표!$U$2:$U$799),MAX(시편_시리즈!$Q$2:$Q$151)),"",안내!$C$9+128)</f>
        <v>46519</v>
      </c>
      <c r="C130" s="23" t="str">
        <f aca="false">IF(B130="","",CHOOSE(WEEKDAY(B130,2),"월","화","수","목","금","토","일"))</f>
        <v>수</v>
      </c>
      <c r="D130" s="24" t="str">
        <f aca="false">IF(B130="","",IFERROR(INDEX(A타입_제작표!$J$2:$J$799,MATCH("구약|"&amp;TEXT(B130,"yyyy-mm-dd"),A타입_제작표!$AQ$2:$AQ$799,0))&amp;"  "&amp;INDEX(A타입_제작표!$L$2:$L$799,MATCH("구약|"&amp;TEXT(B130,"yyyy-mm-dd"),A타입_제작표!$AQ$2:$AQ$799,0)),""))</f>
        <v>왕하 22:1-20  성전에서 발견된 책</v>
      </c>
      <c r="E130" s="24" t="str">
        <f aca="false">IF(B130="","",IFERROR(INDEX(A타입_제작표!$J$2:$J$799,MATCH("신약|"&amp;TEXT(B130,"yyyy-mm-dd"),A타입_제작표!$AQ$2:$AQ$799,0))&amp;"  "&amp;INDEX(A타입_제작표!$L$2:$L$799,MATCH("신약|"&amp;TEXT(B130,"yyyy-mm-dd"),A타입_제작표!$AQ$2:$AQ$799,0)),""))</f>
        <v>행 2:1-13  오순절 성령 강림</v>
      </c>
      <c r="F130" s="24" t="str">
        <f aca="false">IF(B130="","",IFERROR("시편 "&amp;INDEX(시편_시리즈!$A$2:$A$151,MATCH("시편|"&amp;TEXT(B130,"yyyy-mm-dd"),시편_시리즈!$Y$2:$Y$151,0))&amp;"편  "&amp;INDEX(시편_시리즈!$G$2:$G$151,MATCH("시편|"&amp;TEXT(B130,"yyyy-mm-dd"),시편_시리즈!$Y$2:$Y$151,0)),""))</f>
        <v/>
      </c>
      <c r="G130" s="23" t="n">
        <f aca="false">IF(B130="","",(D130&lt;&gt;"")+(E130&lt;&gt;"")+(F130&lt;&gt;""))</f>
        <v>2</v>
      </c>
      <c r="H130" s="31" t="s">
        <v>10282</v>
      </c>
    </row>
    <row r="131" customFormat="false" ht="15" hidden="false" customHeight="false" outlineLevel="0" collapsed="false">
      <c r="A131" s="23" t="n">
        <f aca="false">IF(B131="","",130)</f>
        <v>130</v>
      </c>
      <c r="B131" s="26" t="n">
        <f aca="false">IF(안내!$C$9+129&gt;MAX(MAX(A타입_제작표!$U$2:$U$799),MAX(시편_시리즈!$Q$2:$Q$151)),"",안내!$C$9+129)</f>
        <v>46520</v>
      </c>
      <c r="C131" s="23" t="str">
        <f aca="false">IF(B131="","",CHOOSE(WEEKDAY(B131,2),"월","화","수","목","금","토","일"))</f>
        <v>목</v>
      </c>
      <c r="D131" s="24" t="str">
        <f aca="false">IF(B131="","",IFERROR(INDEX(A타입_제작표!$J$2:$J$799,MATCH("구약|"&amp;TEXT(B131,"yyyy-mm-dd"),A타입_제작표!$AQ$2:$AQ$799,0))&amp;"  "&amp;INDEX(A타입_제작표!$L$2:$L$799,MATCH("구약|"&amp;TEXT(B131,"yyyy-mm-dd"),A타입_제작표!$AQ$2:$AQ$799,0)),""))</f>
        <v>왕하 25:1-30  예루살렘 함락과 작은 소망</v>
      </c>
      <c r="E131" s="24" t="str">
        <f aca="false">IF(B131="","",IFERROR(INDEX(A타입_제작표!$J$2:$J$799,MATCH("신약|"&amp;TEXT(B131,"yyyy-mm-dd"),A타입_제작표!$AQ$2:$AQ$799,0))&amp;"  "&amp;INDEX(A타입_제작표!$L$2:$L$799,MATCH("신약|"&amp;TEXT(B131,"yyyy-mm-dd"),A타입_제작표!$AQ$2:$AQ$799,0)),""))</f>
        <v/>
      </c>
      <c r="F131" s="24" t="str">
        <f aca="false">IF(B131="","",IFERROR("시편 "&amp;INDEX(시편_시리즈!$A$2:$A$151,MATCH("시편|"&amp;TEXT(B131,"yyyy-mm-dd"),시편_시리즈!$Y$2:$Y$151,0))&amp;"편  "&amp;INDEX(시편_시리즈!$G$2:$G$151,MATCH("시편|"&amp;TEXT(B131,"yyyy-mm-dd"),시편_시리즈!$Y$2:$Y$151,0)),""))</f>
        <v>시편 56편  두려워하는 날에</v>
      </c>
      <c r="G131" s="23" t="n">
        <f aca="false">IF(B131="","",(D131&lt;&gt;"")+(E131&lt;&gt;"")+(F131&lt;&gt;""))</f>
        <v>2</v>
      </c>
      <c r="H131" s="31" t="s">
        <v>10282</v>
      </c>
    </row>
    <row r="132" customFormat="false" ht="15" hidden="false" customHeight="false" outlineLevel="0" collapsed="false">
      <c r="A132" s="23" t="n">
        <f aca="false">IF(B132="","",131)</f>
        <v>131</v>
      </c>
      <c r="B132" s="26" t="n">
        <f aca="false">IF(안내!$C$9+130&gt;MAX(MAX(A타입_제작표!$U$2:$U$799),MAX(시편_시리즈!$Q$2:$Q$151)),"",안내!$C$9+130)</f>
        <v>46521</v>
      </c>
      <c r="C132" s="23" t="str">
        <f aca="false">IF(B132="","",CHOOSE(WEEKDAY(B132,2),"월","화","수","목","금","토","일"))</f>
        <v>금</v>
      </c>
      <c r="D132" s="24" t="str">
        <f aca="false">IF(B132="","",IFERROR(INDEX(A타입_제작표!$J$2:$J$799,MATCH("구약|"&amp;TEXT(B132,"yyyy-mm-dd"),A타입_제작표!$AQ$2:$AQ$799,0))&amp;"  "&amp;INDEX(A타입_제작표!$L$2:$L$799,MATCH("구약|"&amp;TEXT(B132,"yyyy-mm-dd"),A타입_제작표!$AQ$2:$AQ$799,0)),""))</f>
        <v>대하 20:1-30  찬양대가 앞장선 전쟁</v>
      </c>
      <c r="E132" s="24" t="str">
        <f aca="false">IF(B132="","",IFERROR(INDEX(A타입_제작표!$J$2:$J$799,MATCH("신약|"&amp;TEXT(B132,"yyyy-mm-dd"),A타입_제작표!$AQ$2:$AQ$799,0))&amp;"  "&amp;INDEX(A타입_제작표!$L$2:$L$799,MATCH("신약|"&amp;TEXT(B132,"yyyy-mm-dd"),A타입_제작표!$AQ$2:$AQ$799,0)),""))</f>
        <v>행 2:14-47  첫 번째 설교와 첫 교회</v>
      </c>
      <c r="F132" s="24" t="str">
        <f aca="false">IF(B132="","",IFERROR("시편 "&amp;INDEX(시편_시리즈!$A$2:$A$151,MATCH("시편|"&amp;TEXT(B132,"yyyy-mm-dd"),시편_시리즈!$Y$2:$Y$151,0))&amp;"편  "&amp;INDEX(시편_시리즈!$G$2:$G$151,MATCH("시편|"&amp;TEXT(B132,"yyyy-mm-dd"),시편_시리즈!$Y$2:$Y$151,0)),""))</f>
        <v/>
      </c>
      <c r="G132" s="23" t="n">
        <f aca="false">IF(B132="","",(D132&lt;&gt;"")+(E132&lt;&gt;"")+(F132&lt;&gt;""))</f>
        <v>2</v>
      </c>
      <c r="H132" s="31" t="s">
        <v>10282</v>
      </c>
    </row>
    <row r="133" customFormat="false" ht="15" hidden="false" customHeight="false" outlineLevel="0" collapsed="false">
      <c r="A133" s="23" t="n">
        <f aca="false">IF(B133="","",132)</f>
        <v>132</v>
      </c>
      <c r="B133" s="26" t="n">
        <f aca="false">IF(안내!$C$9+131&gt;MAX(MAX(A타입_제작표!$U$2:$U$799),MAX(시편_시리즈!$Q$2:$Q$151)),"",안내!$C$9+131)</f>
        <v>46522</v>
      </c>
      <c r="C133" s="23" t="str">
        <f aca="false">IF(B133="","",CHOOSE(WEEKDAY(B133,2),"월","화","수","목","금","토","일"))</f>
        <v>토</v>
      </c>
      <c r="D133" s="24" t="str">
        <f aca="false">IF(B133="","",IFERROR(INDEX(A타입_제작표!$J$2:$J$799,MATCH("구약|"&amp;TEXT(B133,"yyyy-mm-dd"),A타입_제작표!$AQ$2:$AQ$799,0))&amp;"  "&amp;INDEX(A타입_제작표!$L$2:$L$799,MATCH("구약|"&amp;TEXT(B133,"yyyy-mm-dd"),A타입_제작표!$AQ$2:$AQ$799,0)),""))</f>
        <v>대하 33:1-20  가장 악한 왕의 회개</v>
      </c>
      <c r="E133" s="24" t="str">
        <f aca="false">IF(B133="","",IFERROR(INDEX(A타입_제작표!$J$2:$J$799,MATCH("신약|"&amp;TEXT(B133,"yyyy-mm-dd"),A타입_제작표!$AQ$2:$AQ$799,0))&amp;"  "&amp;INDEX(A타입_제작표!$L$2:$L$799,MATCH("신약|"&amp;TEXT(B133,"yyyy-mm-dd"),A타입_제작표!$AQ$2:$AQ$799,0)),""))</f>
        <v>행 3:1-26  미문의 앉은뱅이</v>
      </c>
      <c r="F133" s="24" t="str">
        <f aca="false">IF(B133="","",IFERROR("시편 "&amp;INDEX(시편_시리즈!$A$2:$A$151,MATCH("시편|"&amp;TEXT(B133,"yyyy-mm-dd"),시편_시리즈!$Y$2:$Y$151,0))&amp;"편  "&amp;INDEX(시편_시리즈!$G$2:$G$151,MATCH("시편|"&amp;TEXT(B133,"yyyy-mm-dd"),시편_시리즈!$Y$2:$Y$151,0)),""))</f>
        <v/>
      </c>
      <c r="G133" s="23" t="n">
        <f aca="false">IF(B133="","",(D133&lt;&gt;"")+(E133&lt;&gt;"")+(F133&lt;&gt;""))</f>
        <v>2</v>
      </c>
      <c r="H133" s="31" t="s">
        <v>10282</v>
      </c>
    </row>
    <row r="134" customFormat="false" ht="15" hidden="false" customHeight="false" outlineLevel="0" collapsed="false">
      <c r="A134" s="23" t="n">
        <f aca="false">IF(B134="","",133)</f>
        <v>133</v>
      </c>
      <c r="B134" s="26" t="n">
        <f aca="false">IF(안내!$C$9+132&gt;MAX(MAX(A타입_제작표!$U$2:$U$799),MAX(시편_시리즈!$Q$2:$Q$151)),"",안내!$C$9+132)</f>
        <v>46523</v>
      </c>
      <c r="C134" s="23" t="str">
        <f aca="false">IF(B134="","",CHOOSE(WEEKDAY(B134,2),"월","화","수","목","금","토","일"))</f>
        <v>일</v>
      </c>
      <c r="D134" s="24" t="str">
        <f aca="false">IF(B134="","",IFERROR(INDEX(A타입_제작표!$J$2:$J$799,MATCH("구약|"&amp;TEXT(B134,"yyyy-mm-dd"),A타입_제작표!$AQ$2:$AQ$799,0))&amp;"  "&amp;INDEX(A타입_제작표!$L$2:$L$799,MATCH("구약|"&amp;TEXT(B134,"yyyy-mm-dd"),A타입_제작표!$AQ$2:$AQ$799,0)),""))</f>
        <v>스 1:1-11  고레스의 칙령</v>
      </c>
      <c r="E134" s="24" t="str">
        <f aca="false">IF(B134="","",IFERROR(INDEX(A타입_제작표!$J$2:$J$799,MATCH("신약|"&amp;TEXT(B134,"yyyy-mm-dd"),A타입_제작표!$AQ$2:$AQ$799,0))&amp;"  "&amp;INDEX(A타입_제작표!$L$2:$L$799,MATCH("신약|"&amp;TEXT(B134,"yyyy-mm-dd"),A타입_제작표!$AQ$2:$AQ$799,0)),""))</f>
        <v/>
      </c>
      <c r="F134" s="24" t="str">
        <f aca="false">IF(B134="","",IFERROR("시편 "&amp;INDEX(시편_시리즈!$A$2:$A$151,MATCH("시편|"&amp;TEXT(B134,"yyyy-mm-dd"),시편_시리즈!$Y$2:$Y$151,0))&amp;"편  "&amp;INDEX(시편_시리즈!$G$2:$G$151,MATCH("시편|"&amp;TEXT(B134,"yyyy-mm-dd"),시편_시리즈!$Y$2:$Y$151,0)),""))</f>
        <v>시편 57편  날개 그늘 아래</v>
      </c>
      <c r="G134" s="23" t="n">
        <f aca="false">IF(B134="","",(D134&lt;&gt;"")+(E134&lt;&gt;"")+(F134&lt;&gt;""))</f>
        <v>2</v>
      </c>
      <c r="H134" s="31" t="s">
        <v>10282</v>
      </c>
    </row>
    <row r="135" customFormat="false" ht="15" hidden="false" customHeight="false" outlineLevel="0" collapsed="false">
      <c r="A135" s="23" t="n">
        <f aca="false">IF(B135="","",134)</f>
        <v>134</v>
      </c>
      <c r="B135" s="26" t="n">
        <f aca="false">IF(안내!$C$9+133&gt;MAX(MAX(A타입_제작표!$U$2:$U$799),MAX(시편_시리즈!$Q$2:$Q$151)),"",안내!$C$9+133)</f>
        <v>46524</v>
      </c>
      <c r="C135" s="23" t="str">
        <f aca="false">IF(B135="","",CHOOSE(WEEKDAY(B135,2),"월","화","수","목","금","토","일"))</f>
        <v>월</v>
      </c>
      <c r="D135" s="24" t="str">
        <f aca="false">IF(B135="","",IFERROR(INDEX(A타입_제작표!$J$2:$J$799,MATCH("구약|"&amp;TEXT(B135,"yyyy-mm-dd"),A타입_제작표!$AQ$2:$AQ$799,0))&amp;"  "&amp;INDEX(A타입_제작표!$L$2:$L$799,MATCH("구약|"&amp;TEXT(B135,"yyyy-mm-dd"),A타입_제작표!$AQ$2:$AQ$799,0)),""))</f>
        <v>스 3:1-13  울음과 함성</v>
      </c>
      <c r="E135" s="24" t="str">
        <f aca="false">IF(B135="","",IFERROR(INDEX(A타입_제작표!$J$2:$J$799,MATCH("신약|"&amp;TEXT(B135,"yyyy-mm-dd"),A타입_제작표!$AQ$2:$AQ$799,0))&amp;"  "&amp;INDEX(A타입_제작표!$L$2:$L$799,MATCH("신약|"&amp;TEXT(B135,"yyyy-mm-dd"),A타입_제작표!$AQ$2:$AQ$799,0)),""))</f>
        <v>행 4:1-37  다른 이름은 없다</v>
      </c>
      <c r="F135" s="24" t="str">
        <f aca="false">IF(B135="","",IFERROR("시편 "&amp;INDEX(시편_시리즈!$A$2:$A$151,MATCH("시편|"&amp;TEXT(B135,"yyyy-mm-dd"),시편_시리즈!$Y$2:$Y$151,0))&amp;"편  "&amp;INDEX(시편_시리즈!$G$2:$G$151,MATCH("시편|"&amp;TEXT(B135,"yyyy-mm-dd"),시편_시리즈!$Y$2:$Y$151,0)),""))</f>
        <v/>
      </c>
      <c r="G135" s="23" t="n">
        <f aca="false">IF(B135="","",(D135&lt;&gt;"")+(E135&lt;&gt;"")+(F135&lt;&gt;""))</f>
        <v>2</v>
      </c>
      <c r="H135" s="31" t="s">
        <v>10282</v>
      </c>
    </row>
    <row r="136" customFormat="false" ht="15" hidden="false" customHeight="false" outlineLevel="0" collapsed="false">
      <c r="A136" s="23" t="n">
        <f aca="false">IF(B136="","",135)</f>
        <v>135</v>
      </c>
      <c r="B136" s="26" t="n">
        <f aca="false">IF(안내!$C$9+134&gt;MAX(MAX(A타입_제작표!$U$2:$U$799),MAX(시편_시리즈!$Q$2:$Q$151)),"",안내!$C$9+134)</f>
        <v>46525</v>
      </c>
      <c r="C136" s="23" t="str">
        <f aca="false">IF(B136="","",CHOOSE(WEEKDAY(B136,2),"월","화","수","목","금","토","일"))</f>
        <v>화</v>
      </c>
      <c r="D136" s="24" t="str">
        <f aca="false">IF(B136="","",IFERROR(INDEX(A타입_제작표!$J$2:$J$799,MATCH("구약|"&amp;TEXT(B136,"yyyy-mm-dd"),A타입_제작표!$AQ$2:$AQ$799,0))&amp;"  "&amp;INDEX(A타입_제작표!$L$2:$L$799,MATCH("구약|"&amp;TEXT(B136,"yyyy-mm-dd"),A타입_제작표!$AQ$2:$AQ$799,0)),""))</f>
        <v>느 1:1-11  무너진 성벽 소식</v>
      </c>
      <c r="E136" s="24" t="str">
        <f aca="false">IF(B136="","",IFERROR(INDEX(A타입_제작표!$J$2:$J$799,MATCH("신약|"&amp;TEXT(B136,"yyyy-mm-dd"),A타입_제작표!$AQ$2:$AQ$799,0))&amp;"  "&amp;INDEX(A타입_제작표!$L$2:$L$799,MATCH("신약|"&amp;TEXT(B136,"yyyy-mm-dd"),A타입_제작표!$AQ$2:$AQ$799,0)),""))</f>
        <v/>
      </c>
      <c r="F136" s="24" t="str">
        <f aca="false">IF(B136="","",IFERROR("시편 "&amp;INDEX(시편_시리즈!$A$2:$A$151,MATCH("시편|"&amp;TEXT(B136,"yyyy-mm-dd"),시편_시리즈!$Y$2:$Y$151,0))&amp;"편  "&amp;INDEX(시편_시리즈!$G$2:$G$151,MATCH("시편|"&amp;TEXT(B136,"yyyy-mm-dd"),시편_시리즈!$Y$2:$Y$151,0)),""))</f>
        <v>시편 58편  의인에게 갚음이</v>
      </c>
      <c r="G136" s="23" t="n">
        <f aca="false">IF(B136="","",(D136&lt;&gt;"")+(E136&lt;&gt;"")+(F136&lt;&gt;""))</f>
        <v>2</v>
      </c>
      <c r="H136" s="31" t="s">
        <v>10282</v>
      </c>
    </row>
    <row r="137" customFormat="false" ht="15" hidden="false" customHeight="false" outlineLevel="0" collapsed="false">
      <c r="A137" s="23" t="n">
        <f aca="false">IF(B137="","",136)</f>
        <v>136</v>
      </c>
      <c r="B137" s="26" t="n">
        <f aca="false">IF(안내!$C$9+135&gt;MAX(MAX(A타입_제작표!$U$2:$U$799),MAX(시편_시리즈!$Q$2:$Q$151)),"",안내!$C$9+135)</f>
        <v>46526</v>
      </c>
      <c r="C137" s="23" t="str">
        <f aca="false">IF(B137="","",CHOOSE(WEEKDAY(B137,2),"월","화","수","목","금","토","일"))</f>
        <v>수</v>
      </c>
      <c r="D137" s="24" t="str">
        <f aca="false">IF(B137="","",IFERROR(INDEX(A타입_제작표!$J$2:$J$799,MATCH("구약|"&amp;TEXT(B137,"yyyy-mm-dd"),A타입_제작표!$AQ$2:$AQ$799,0))&amp;"  "&amp;INDEX(A타입_제작표!$L$2:$L$799,MATCH("구약|"&amp;TEXT(B137,"yyyy-mm-dd"),A타입_제작표!$AQ$2:$AQ$799,0)),""))</f>
        <v>느 2:1-20  왕의 허락</v>
      </c>
      <c r="E137" s="24" t="str">
        <f aca="false">IF(B137="","",IFERROR(INDEX(A타입_제작표!$J$2:$J$799,MATCH("신약|"&amp;TEXT(B137,"yyyy-mm-dd"),A타입_제작표!$AQ$2:$AQ$799,0))&amp;"  "&amp;INDEX(A타입_제작표!$L$2:$L$799,MATCH("신약|"&amp;TEXT(B137,"yyyy-mm-dd"),A타입_제작표!$AQ$2:$AQ$799,0)),""))</f>
        <v>행 7:1-60  스데반의 순교</v>
      </c>
      <c r="F137" s="24" t="str">
        <f aca="false">IF(B137="","",IFERROR("시편 "&amp;INDEX(시편_시리즈!$A$2:$A$151,MATCH("시편|"&amp;TEXT(B137,"yyyy-mm-dd"),시편_시리즈!$Y$2:$Y$151,0))&amp;"편  "&amp;INDEX(시편_시리즈!$G$2:$G$151,MATCH("시편|"&amp;TEXT(B137,"yyyy-mm-dd"),시편_시리즈!$Y$2:$Y$151,0)),""))</f>
        <v/>
      </c>
      <c r="G137" s="23" t="n">
        <f aca="false">IF(B137="","",(D137&lt;&gt;"")+(E137&lt;&gt;"")+(F137&lt;&gt;""))</f>
        <v>2</v>
      </c>
      <c r="H137" s="31" t="s">
        <v>10282</v>
      </c>
    </row>
    <row r="138" customFormat="false" ht="15" hidden="false" customHeight="false" outlineLevel="0" collapsed="false">
      <c r="A138" s="23" t="n">
        <f aca="false">IF(B138="","",137)</f>
        <v>137</v>
      </c>
      <c r="B138" s="26" t="n">
        <f aca="false">IF(안내!$C$9+136&gt;MAX(MAX(A타입_제작표!$U$2:$U$799),MAX(시편_시리즈!$Q$2:$Q$151)),"",안내!$C$9+136)</f>
        <v>46527</v>
      </c>
      <c r="C138" s="23" t="str">
        <f aca="false">IF(B138="","",CHOOSE(WEEKDAY(B138,2),"월","화","수","목","금","토","일"))</f>
        <v>목</v>
      </c>
      <c r="D138" s="24" t="str">
        <f aca="false">IF(B138="","",IFERROR(INDEX(A타입_제작표!$J$2:$J$799,MATCH("구약|"&amp;TEXT(B138,"yyyy-mm-dd"),A타입_제작표!$AQ$2:$AQ$799,0))&amp;"  "&amp;INDEX(A타입_제작표!$L$2:$L$799,MATCH("구약|"&amp;TEXT(B138,"yyyy-mm-dd"),A타입_제작표!$AQ$2:$AQ$799,0)),""))</f>
        <v>느 4:1-23  한 손엔 연장, 한 손엔 무기</v>
      </c>
      <c r="E138" s="24" t="str">
        <f aca="false">IF(B138="","",IFERROR(INDEX(A타입_제작표!$J$2:$J$799,MATCH("신약|"&amp;TEXT(B138,"yyyy-mm-dd"),A타입_제작표!$AQ$2:$AQ$799,0))&amp;"  "&amp;INDEX(A타입_제작표!$L$2:$L$799,MATCH("신약|"&amp;TEXT(B138,"yyyy-mm-dd"),A타입_제작표!$AQ$2:$AQ$799,0)),""))</f>
        <v/>
      </c>
      <c r="F138" s="24" t="str">
        <f aca="false">IF(B138="","",IFERROR("시편 "&amp;INDEX(시편_시리즈!$A$2:$A$151,MATCH("시편|"&amp;TEXT(B138,"yyyy-mm-dd"),시편_시리즈!$Y$2:$Y$151,0))&amp;"편  "&amp;INDEX(시편_시리즈!$G$2:$G$151,MATCH("시편|"&amp;TEXT(B138,"yyyy-mm-dd"),시편_시리즈!$Y$2:$Y$151,0)),""))</f>
        <v>시편 59편  아침에 부르는 노래</v>
      </c>
      <c r="G138" s="23" t="n">
        <f aca="false">IF(B138="","",(D138&lt;&gt;"")+(E138&lt;&gt;"")+(F138&lt;&gt;""))</f>
        <v>2</v>
      </c>
      <c r="H138" s="31" t="s">
        <v>10282</v>
      </c>
    </row>
    <row r="139" customFormat="false" ht="15" hidden="false" customHeight="false" outlineLevel="0" collapsed="false">
      <c r="A139" s="23" t="n">
        <f aca="false">IF(B139="","",138)</f>
        <v>138</v>
      </c>
      <c r="B139" s="26" t="n">
        <f aca="false">IF(안내!$C$9+137&gt;MAX(MAX(A타입_제작표!$U$2:$U$799),MAX(시편_시리즈!$Q$2:$Q$151)),"",안내!$C$9+137)</f>
        <v>46528</v>
      </c>
      <c r="C139" s="23" t="str">
        <f aca="false">IF(B139="","",CHOOSE(WEEKDAY(B139,2),"월","화","수","목","금","토","일"))</f>
        <v>금</v>
      </c>
      <c r="D139" s="24" t="str">
        <f aca="false">IF(B139="","",IFERROR(INDEX(A타입_제작표!$J$2:$J$799,MATCH("구약|"&amp;TEXT(B139,"yyyy-mm-dd"),A타입_제작표!$AQ$2:$AQ$799,0))&amp;"  "&amp;INDEX(A타입_제작표!$L$2:$L$799,MATCH("구약|"&amp;TEXT(B139,"yyyy-mm-dd"),A타입_제작표!$AQ$2:$AQ$799,0)),""))</f>
        <v>느 7:1-8:18  수문 앞의 말씀</v>
      </c>
      <c r="E139" s="24" t="str">
        <f aca="false">IF(B139="","",IFERROR(INDEX(A타입_제작표!$J$2:$J$799,MATCH("신약|"&amp;TEXT(B139,"yyyy-mm-dd"),A타입_제작표!$AQ$2:$AQ$799,0))&amp;"  "&amp;INDEX(A타입_제작표!$L$2:$L$799,MATCH("신약|"&amp;TEXT(B139,"yyyy-mm-dd"),A타입_제작표!$AQ$2:$AQ$799,0)),""))</f>
        <v>행 8:26-40  광야 길의 내시</v>
      </c>
      <c r="F139" s="24" t="str">
        <f aca="false">IF(B139="","",IFERROR("시편 "&amp;INDEX(시편_시리즈!$A$2:$A$151,MATCH("시편|"&amp;TEXT(B139,"yyyy-mm-dd"),시편_시리즈!$Y$2:$Y$151,0))&amp;"편  "&amp;INDEX(시편_시리즈!$G$2:$G$151,MATCH("시편|"&amp;TEXT(B139,"yyyy-mm-dd"),시편_시리즈!$Y$2:$Y$151,0)),""))</f>
        <v/>
      </c>
      <c r="G139" s="23" t="n">
        <f aca="false">IF(B139="","",(D139&lt;&gt;"")+(E139&lt;&gt;"")+(F139&lt;&gt;""))</f>
        <v>2</v>
      </c>
      <c r="H139" s="31" t="s">
        <v>10282</v>
      </c>
    </row>
    <row r="140" customFormat="false" ht="15" hidden="false" customHeight="false" outlineLevel="0" collapsed="false">
      <c r="A140" s="23" t="n">
        <f aca="false">IF(B140="","",139)</f>
        <v>139</v>
      </c>
      <c r="B140" s="26" t="n">
        <f aca="false">IF(안내!$C$9+138&gt;MAX(MAX(A타입_제작표!$U$2:$U$799),MAX(시편_시리즈!$Q$2:$Q$151)),"",안내!$C$9+138)</f>
        <v>46529</v>
      </c>
      <c r="C140" s="23" t="str">
        <f aca="false">IF(B140="","",CHOOSE(WEEKDAY(B140,2),"월","화","수","목","금","토","일"))</f>
        <v>토</v>
      </c>
      <c r="D140" s="24" t="str">
        <f aca="false">IF(B140="","",IFERROR(INDEX(A타입_제작표!$J$2:$J$799,MATCH("구약|"&amp;TEXT(B140,"yyyy-mm-dd"),A타입_제작표!$AQ$2:$AQ$799,0))&amp;"  "&amp;INDEX(A타입_제작표!$L$2:$L$799,MATCH("구약|"&amp;TEXT(B140,"yyyy-mm-dd"),A타입_제작표!$AQ$2:$AQ$799,0)),""))</f>
        <v>에 2:1-18  새 왕비</v>
      </c>
      <c r="E140" s="24" t="str">
        <f aca="false">IF(B140="","",IFERROR(INDEX(A타입_제작표!$J$2:$J$799,MATCH("신약|"&amp;TEXT(B140,"yyyy-mm-dd"),A타입_제작표!$AQ$2:$AQ$799,0))&amp;"  "&amp;INDEX(A타입_제작표!$L$2:$L$799,MATCH("신약|"&amp;TEXT(B140,"yyyy-mm-dd"),A타입_제작표!$AQ$2:$AQ$799,0)),""))</f>
        <v>행 9:1-19  다메섹 도상의 빛</v>
      </c>
      <c r="F140" s="24" t="str">
        <f aca="false">IF(B140="","",IFERROR("시편 "&amp;INDEX(시편_시리즈!$A$2:$A$151,MATCH("시편|"&amp;TEXT(B140,"yyyy-mm-dd"),시편_시리즈!$Y$2:$Y$151,0))&amp;"편  "&amp;INDEX(시편_시리즈!$G$2:$G$151,MATCH("시편|"&amp;TEXT(B140,"yyyy-mm-dd"),시편_시리즈!$Y$2:$Y$151,0)),""))</f>
        <v/>
      </c>
      <c r="G140" s="23" t="n">
        <f aca="false">IF(B140="","",(D140&lt;&gt;"")+(E140&lt;&gt;"")+(F140&lt;&gt;""))</f>
        <v>2</v>
      </c>
      <c r="H140" s="31" t="s">
        <v>10282</v>
      </c>
    </row>
    <row r="141" customFormat="false" ht="26.85" hidden="false" customHeight="false" outlineLevel="0" collapsed="false">
      <c r="A141" s="23" t="n">
        <f aca="false">IF(B141="","",140)</f>
        <v>140</v>
      </c>
      <c r="B141" s="26" t="n">
        <f aca="false">IF(안내!$C$9+139&gt;MAX(MAX(A타입_제작표!$U$2:$U$799),MAX(시편_시리즈!$Q$2:$Q$151)),"",안내!$C$9+139)</f>
        <v>46530</v>
      </c>
      <c r="C141" s="23" t="str">
        <f aca="false">IF(B141="","",CHOOSE(WEEKDAY(B141,2),"월","화","수","목","금","토","일"))</f>
        <v>일</v>
      </c>
      <c r="D141" s="24" t="str">
        <f aca="false">IF(B141="","",IFERROR(INDEX(A타입_제작표!$J$2:$J$799,MATCH("구약|"&amp;TEXT(B141,"yyyy-mm-dd"),A타입_제작표!$AQ$2:$AQ$799,0))&amp;"  "&amp;INDEX(A타입_제작표!$L$2:$L$799,MATCH("구약|"&amp;TEXT(B141,"yyyy-mm-dd"),A타입_제작표!$AQ$2:$AQ$799,0)),""))</f>
        <v>에 3:1-15  하만의 음모</v>
      </c>
      <c r="E141" s="24" t="str">
        <f aca="false">IF(B141="","",IFERROR(INDEX(A타입_제작표!$J$2:$J$799,MATCH("신약|"&amp;TEXT(B141,"yyyy-mm-dd"),A타입_제작표!$AQ$2:$AQ$799,0))&amp;"  "&amp;INDEX(A타입_제작표!$L$2:$L$799,MATCH("신약|"&amp;TEXT(B141,"yyyy-mm-dd"),A타입_제작표!$AQ$2:$AQ$799,0)),""))</f>
        <v/>
      </c>
      <c r="F141" s="24" t="str">
        <f aca="false">IF(B141="","",IFERROR("시편 "&amp;INDEX(시편_시리즈!$A$2:$A$151,MATCH("시편|"&amp;TEXT(B141,"yyyy-mm-dd"),시편_시리즈!$Y$2:$Y$151,0))&amp;"편  "&amp;INDEX(시편_시리즈!$G$2:$G$151,MATCH("시편|"&amp;TEXT(B141,"yyyy-mm-dd"),시편_시리즈!$Y$2:$Y$151,0)),""))</f>
        <v>시편 60편  하나님을 의지하고 용감하게</v>
      </c>
      <c r="G141" s="23" t="n">
        <f aca="false">IF(B141="","",(D141&lt;&gt;"")+(E141&lt;&gt;"")+(F141&lt;&gt;""))</f>
        <v>2</v>
      </c>
      <c r="H141" s="31" t="s">
        <v>10282</v>
      </c>
    </row>
    <row r="142" customFormat="false" ht="15" hidden="false" customHeight="false" outlineLevel="0" collapsed="false">
      <c r="A142" s="23" t="n">
        <f aca="false">IF(B142="","",141)</f>
        <v>141</v>
      </c>
      <c r="B142" s="26" t="n">
        <f aca="false">IF(안내!$C$9+140&gt;MAX(MAX(A타입_제작표!$U$2:$U$799),MAX(시편_시리즈!$Q$2:$Q$151)),"",안내!$C$9+140)</f>
        <v>46531</v>
      </c>
      <c r="C142" s="23" t="str">
        <f aca="false">IF(B142="","",CHOOSE(WEEKDAY(B142,2),"월","화","수","목","금","토","일"))</f>
        <v>월</v>
      </c>
      <c r="D142" s="24" t="str">
        <f aca="false">IF(B142="","",IFERROR(INDEX(A타입_제작표!$J$2:$J$799,MATCH("구약|"&amp;TEXT(B142,"yyyy-mm-dd"),A타입_제작표!$AQ$2:$AQ$799,0))&amp;"  "&amp;INDEX(A타입_제작표!$L$2:$L$799,MATCH("구약|"&amp;TEXT(B142,"yyyy-mm-dd"),A타입_제작표!$AQ$2:$AQ$799,0)),""))</f>
        <v>에 4:1-17  죽으면 죽으리라</v>
      </c>
      <c r="E142" s="24" t="str">
        <f aca="false">IF(B142="","",IFERROR(INDEX(A타입_제작표!$J$2:$J$799,MATCH("신약|"&amp;TEXT(B142,"yyyy-mm-dd"),A타입_제작표!$AQ$2:$AQ$799,0))&amp;"  "&amp;INDEX(A타입_제작표!$L$2:$L$799,MATCH("신약|"&amp;TEXT(B142,"yyyy-mm-dd"),A타입_제작표!$AQ$2:$AQ$799,0)),""))</f>
        <v>행 10:1-48  보자기 환상</v>
      </c>
      <c r="F142" s="24" t="str">
        <f aca="false">IF(B142="","",IFERROR("시편 "&amp;INDEX(시편_시리즈!$A$2:$A$151,MATCH("시편|"&amp;TEXT(B142,"yyyy-mm-dd"),시편_시리즈!$Y$2:$Y$151,0))&amp;"편  "&amp;INDEX(시편_시리즈!$G$2:$G$151,MATCH("시편|"&amp;TEXT(B142,"yyyy-mm-dd"),시편_시리즈!$Y$2:$Y$151,0)),""))</f>
        <v/>
      </c>
      <c r="G142" s="23" t="n">
        <f aca="false">IF(B142="","",(D142&lt;&gt;"")+(E142&lt;&gt;"")+(F142&lt;&gt;""))</f>
        <v>2</v>
      </c>
      <c r="H142" s="31" t="s">
        <v>10282</v>
      </c>
    </row>
    <row r="143" customFormat="false" ht="26.85" hidden="false" customHeight="false" outlineLevel="0" collapsed="false">
      <c r="A143" s="23" t="n">
        <f aca="false">IF(B143="","",142)</f>
        <v>142</v>
      </c>
      <c r="B143" s="26" t="n">
        <f aca="false">IF(안내!$C$9+141&gt;MAX(MAX(A타입_제작표!$U$2:$U$799),MAX(시편_시리즈!$Q$2:$Q$151)),"",안내!$C$9+141)</f>
        <v>46532</v>
      </c>
      <c r="C143" s="23" t="str">
        <f aca="false">IF(B143="","",CHOOSE(WEEKDAY(B143,2),"월","화","수","목","금","토","일"))</f>
        <v>화</v>
      </c>
      <c r="D143" s="24" t="str">
        <f aca="false">IF(B143="","",IFERROR(INDEX(A타입_제작표!$J$2:$J$799,MATCH("구약|"&amp;TEXT(B143,"yyyy-mm-dd"),A타입_제작표!$AQ$2:$AQ$799,0))&amp;"  "&amp;INDEX(A타입_제작표!$L$2:$L$799,MATCH("구약|"&amp;TEXT(B143,"yyyy-mm-dd"),A타입_제작표!$AQ$2:$AQ$799,0)),""))</f>
        <v>에 6:1-14  잠 못 이룬 왕</v>
      </c>
      <c r="E143" s="24" t="str">
        <f aca="false">IF(B143="","",IFERROR(INDEX(A타입_제작표!$J$2:$J$799,MATCH("신약|"&amp;TEXT(B143,"yyyy-mm-dd"),A타입_제작표!$AQ$2:$AQ$799,0))&amp;"  "&amp;INDEX(A타입_제작표!$L$2:$L$799,MATCH("신약|"&amp;TEXT(B143,"yyyy-mm-dd"),A타입_제작표!$AQ$2:$AQ$799,0)),""))</f>
        <v/>
      </c>
      <c r="F143" s="24" t="str">
        <f aca="false">IF(B143="","",IFERROR("시편 "&amp;INDEX(시편_시리즈!$A$2:$A$151,MATCH("시편|"&amp;TEXT(B143,"yyyy-mm-dd"),시편_시리즈!$Y$2:$Y$151,0))&amp;"편  "&amp;INDEX(시편_시리즈!$G$2:$G$151,MATCH("시편|"&amp;TEXT(B143,"yyyy-mm-dd"),시편_시리즈!$Y$2:$Y$151,0)),""))</f>
        <v>시편 61편  땅 끝에서 부르짖으오리니</v>
      </c>
      <c r="G143" s="23" t="n">
        <f aca="false">IF(B143="","",(D143&lt;&gt;"")+(E143&lt;&gt;"")+(F143&lt;&gt;""))</f>
        <v>2</v>
      </c>
      <c r="H143" s="31" t="s">
        <v>10282</v>
      </c>
    </row>
    <row r="144" customFormat="false" ht="15" hidden="false" customHeight="false" outlineLevel="0" collapsed="false">
      <c r="A144" s="23" t="n">
        <f aca="false">IF(B144="","",143)</f>
        <v>143</v>
      </c>
      <c r="B144" s="26" t="n">
        <f aca="false">IF(안내!$C$9+142&gt;MAX(MAX(A타입_제작표!$U$2:$U$799),MAX(시편_시리즈!$Q$2:$Q$151)),"",안내!$C$9+142)</f>
        <v>46533</v>
      </c>
      <c r="C144" s="23" t="str">
        <f aca="false">IF(B144="","",CHOOSE(WEEKDAY(B144,2),"월","화","수","목","금","토","일"))</f>
        <v>수</v>
      </c>
      <c r="D144" s="24" t="str">
        <f aca="false">IF(B144="","",IFERROR(INDEX(A타입_제작표!$J$2:$J$799,MATCH("구약|"&amp;TEXT(B144,"yyyy-mm-dd"),A타입_제작표!$AQ$2:$AQ$799,0))&amp;"  "&amp;INDEX(A타입_제작표!$L$2:$L$799,MATCH("구약|"&amp;TEXT(B144,"yyyy-mm-dd"),A타입_제작표!$AQ$2:$AQ$799,0)),""))</f>
        <v>에 7:1-10  뒤바뀐 운명</v>
      </c>
      <c r="E144" s="24" t="str">
        <f aca="false">IF(B144="","",IFERROR(INDEX(A타입_제작표!$J$2:$J$799,MATCH("신약|"&amp;TEXT(B144,"yyyy-mm-dd"),A타입_제작표!$AQ$2:$AQ$799,0))&amp;"  "&amp;INDEX(A타입_제작표!$L$2:$L$799,MATCH("신약|"&amp;TEXT(B144,"yyyy-mm-dd"),A타입_제작표!$AQ$2:$AQ$799,0)),""))</f>
        <v>행 12:1-25  감옥에서 잠든 베드로</v>
      </c>
      <c r="F144" s="24" t="str">
        <f aca="false">IF(B144="","",IFERROR("시편 "&amp;INDEX(시편_시리즈!$A$2:$A$151,MATCH("시편|"&amp;TEXT(B144,"yyyy-mm-dd"),시편_시리즈!$Y$2:$Y$151,0))&amp;"편  "&amp;INDEX(시편_시리즈!$G$2:$G$151,MATCH("시편|"&amp;TEXT(B144,"yyyy-mm-dd"),시편_시리즈!$Y$2:$Y$151,0)),""))</f>
        <v/>
      </c>
      <c r="G144" s="23" t="n">
        <f aca="false">IF(B144="","",(D144&lt;&gt;"")+(E144&lt;&gt;"")+(F144&lt;&gt;""))</f>
        <v>2</v>
      </c>
      <c r="H144" s="31" t="s">
        <v>10282</v>
      </c>
    </row>
    <row r="145" customFormat="false" ht="15" hidden="false" customHeight="false" outlineLevel="0" collapsed="false">
      <c r="A145" s="23" t="n">
        <f aca="false">IF(B145="","",144)</f>
        <v>144</v>
      </c>
      <c r="B145" s="26" t="n">
        <f aca="false">IF(안내!$C$9+143&gt;MAX(MAX(A타입_제작표!$U$2:$U$799),MAX(시편_시리즈!$Q$2:$Q$151)),"",안내!$C$9+143)</f>
        <v>46534</v>
      </c>
      <c r="C145" s="23" t="str">
        <f aca="false">IF(B145="","",CHOOSE(WEEKDAY(B145,2),"월","화","수","목","금","토","일"))</f>
        <v>목</v>
      </c>
      <c r="D145" s="24" t="str">
        <f aca="false">IF(B145="","",IFERROR(INDEX(A타입_제작표!$J$2:$J$799,MATCH("구약|"&amp;TEXT(B145,"yyyy-mm-dd"),A타입_제작표!$AQ$2:$AQ$799,0))&amp;"  "&amp;INDEX(A타입_제작표!$L$2:$L$799,MATCH("구약|"&amp;TEXT(B145,"yyyy-mm-dd"),A타입_제작표!$AQ$2:$AQ$799,0)),""))</f>
        <v>욥 1:1-12  하늘에서 오간 대화</v>
      </c>
      <c r="E145" s="24" t="str">
        <f aca="false">IF(B145="","",IFERROR(INDEX(A타입_제작표!$J$2:$J$799,MATCH("신약|"&amp;TEXT(B145,"yyyy-mm-dd"),A타입_제작표!$AQ$2:$AQ$799,0))&amp;"  "&amp;INDEX(A타입_제작표!$L$2:$L$799,MATCH("신약|"&amp;TEXT(B145,"yyyy-mm-dd"),A타입_제작표!$AQ$2:$AQ$799,0)),""))</f>
        <v/>
      </c>
      <c r="F145" s="24" t="str">
        <f aca="false">IF(B145="","",IFERROR("시편 "&amp;INDEX(시편_시리즈!$A$2:$A$151,MATCH("시편|"&amp;TEXT(B145,"yyyy-mm-dd"),시편_시리즈!$Y$2:$Y$151,0))&amp;"편  "&amp;INDEX(시편_시리즈!$G$2:$G$151,MATCH("시편|"&amp;TEXT(B145,"yyyy-mm-dd"),시편_시리즈!$Y$2:$Y$151,0)),""))</f>
        <v>시편 62편  잠잠히 하나님만</v>
      </c>
      <c r="G145" s="23" t="n">
        <f aca="false">IF(B145="","",(D145&lt;&gt;"")+(E145&lt;&gt;"")+(F145&lt;&gt;""))</f>
        <v>2</v>
      </c>
      <c r="H145" s="31" t="s">
        <v>10282</v>
      </c>
    </row>
    <row r="146" customFormat="false" ht="15" hidden="false" customHeight="false" outlineLevel="0" collapsed="false">
      <c r="A146" s="23" t="n">
        <f aca="false">IF(B146="","",145)</f>
        <v>145</v>
      </c>
      <c r="B146" s="26" t="n">
        <f aca="false">IF(안내!$C$9+144&gt;MAX(MAX(A타입_제작표!$U$2:$U$799),MAX(시편_시리즈!$Q$2:$Q$151)),"",안내!$C$9+144)</f>
        <v>46535</v>
      </c>
      <c r="C146" s="23" t="str">
        <f aca="false">IF(B146="","",CHOOSE(WEEKDAY(B146,2),"월","화","수","목","금","토","일"))</f>
        <v>금</v>
      </c>
      <c r="D146" s="24" t="str">
        <f aca="false">IF(B146="","",IFERROR(INDEX(A타입_제작표!$J$2:$J$799,MATCH("구약|"&amp;TEXT(B146,"yyyy-mm-dd"),A타입_제작표!$AQ$2:$AQ$799,0))&amp;"  "&amp;INDEX(A타입_제작표!$L$2:$L$799,MATCH("구약|"&amp;TEXT(B146,"yyyy-mm-dd"),A타입_제작표!$AQ$2:$AQ$799,0)),""))</f>
        <v>욥 1:13-22  하루에 모든 것을 잃다</v>
      </c>
      <c r="E146" s="24" t="str">
        <f aca="false">IF(B146="","",IFERROR(INDEX(A타입_제작표!$J$2:$J$799,MATCH("신약|"&amp;TEXT(B146,"yyyy-mm-dd"),A타입_제작표!$AQ$2:$AQ$799,0))&amp;"  "&amp;INDEX(A타입_제작표!$L$2:$L$799,MATCH("신약|"&amp;TEXT(B146,"yyyy-mm-dd"),A타입_제작표!$AQ$2:$AQ$799,0)),""))</f>
        <v>행 13:1-12  첫 번째 선교사</v>
      </c>
      <c r="F146" s="24" t="str">
        <f aca="false">IF(B146="","",IFERROR("시편 "&amp;INDEX(시편_시리즈!$A$2:$A$151,MATCH("시편|"&amp;TEXT(B146,"yyyy-mm-dd"),시편_시리즈!$Y$2:$Y$151,0))&amp;"편  "&amp;INDEX(시편_시리즈!$G$2:$G$151,MATCH("시편|"&amp;TEXT(B146,"yyyy-mm-dd"),시편_시리즈!$Y$2:$Y$151,0)),""))</f>
        <v/>
      </c>
      <c r="G146" s="23" t="n">
        <f aca="false">IF(B146="","",(D146&lt;&gt;"")+(E146&lt;&gt;"")+(F146&lt;&gt;""))</f>
        <v>2</v>
      </c>
      <c r="H146" s="31" t="s">
        <v>10282</v>
      </c>
    </row>
    <row r="147" customFormat="false" ht="15" hidden="false" customHeight="false" outlineLevel="0" collapsed="false">
      <c r="A147" s="23" t="n">
        <f aca="false">IF(B147="","",146)</f>
        <v>146</v>
      </c>
      <c r="B147" s="26" t="n">
        <f aca="false">IF(안내!$C$9+145&gt;MAX(MAX(A타입_제작표!$U$2:$U$799),MAX(시편_시리즈!$Q$2:$Q$151)),"",안내!$C$9+145)</f>
        <v>46536</v>
      </c>
      <c r="C147" s="23" t="str">
        <f aca="false">IF(B147="","",CHOOSE(WEEKDAY(B147,2),"월","화","수","목","금","토","일"))</f>
        <v>토</v>
      </c>
      <c r="D147" s="24" t="str">
        <f aca="false">IF(B147="","",IFERROR(INDEX(A타입_제작표!$J$2:$J$799,MATCH("구약|"&amp;TEXT(B147,"yyyy-mm-dd"),A타입_제작표!$AQ$2:$AQ$799,0))&amp;"  "&amp;INDEX(A타입_제작표!$L$2:$L$799,MATCH("구약|"&amp;TEXT(B147,"yyyy-mm-dd"),A타입_제작표!$AQ$2:$AQ$799,0)),""))</f>
        <v>욥 2:1-13  재 위에 앉은 욥</v>
      </c>
      <c r="E147" s="24" t="str">
        <f aca="false">IF(B147="","",IFERROR(INDEX(A타입_제작표!$J$2:$J$799,MATCH("신약|"&amp;TEXT(B147,"yyyy-mm-dd"),A타입_제작표!$AQ$2:$AQ$799,0))&amp;"  "&amp;INDEX(A타입_제작표!$L$2:$L$799,MATCH("신약|"&amp;TEXT(B147,"yyyy-mm-dd"),A타입_제작표!$AQ$2:$AQ$799,0)),""))</f>
        <v>행 15:1-35  예루살렘 회의</v>
      </c>
      <c r="F147" s="24" t="str">
        <f aca="false">IF(B147="","",IFERROR("시편 "&amp;INDEX(시편_시리즈!$A$2:$A$151,MATCH("시편|"&amp;TEXT(B147,"yyyy-mm-dd"),시편_시리즈!$Y$2:$Y$151,0))&amp;"편  "&amp;INDEX(시편_시리즈!$G$2:$G$151,MATCH("시편|"&amp;TEXT(B147,"yyyy-mm-dd"),시편_시리즈!$Y$2:$Y$151,0)),""))</f>
        <v/>
      </c>
      <c r="G147" s="23" t="n">
        <f aca="false">IF(B147="","",(D147&lt;&gt;"")+(E147&lt;&gt;"")+(F147&lt;&gt;""))</f>
        <v>2</v>
      </c>
      <c r="H147" s="31" t="s">
        <v>10282</v>
      </c>
    </row>
    <row r="148" customFormat="false" ht="15" hidden="false" customHeight="false" outlineLevel="0" collapsed="false">
      <c r="A148" s="23" t="n">
        <f aca="false">IF(B148="","",147)</f>
        <v>147</v>
      </c>
      <c r="B148" s="26" t="n">
        <f aca="false">IF(안내!$C$9+146&gt;MAX(MAX(A타입_제작표!$U$2:$U$799),MAX(시편_시리즈!$Q$2:$Q$151)),"",안내!$C$9+146)</f>
        <v>46537</v>
      </c>
      <c r="C148" s="23" t="str">
        <f aca="false">IF(B148="","",CHOOSE(WEEKDAY(B148,2),"월","화","수","목","금","토","일"))</f>
        <v>일</v>
      </c>
      <c r="D148" s="24" t="str">
        <f aca="false">IF(B148="","",IFERROR(INDEX(A타입_제작표!$J$2:$J$799,MATCH("구약|"&amp;TEXT(B148,"yyyy-mm-dd"),A타입_제작표!$AQ$2:$AQ$799,0))&amp;"  "&amp;INDEX(A타입_제작표!$L$2:$L$799,MATCH("구약|"&amp;TEXT(B148,"yyyy-mm-dd"),A타입_제작표!$AQ$2:$AQ$799,0)),""))</f>
        <v>욥 38:1-40:5  폭풍 속의 음성</v>
      </c>
      <c r="E148" s="24" t="str">
        <f aca="false">IF(B148="","",IFERROR(INDEX(A타입_제작표!$J$2:$J$799,MATCH("신약|"&amp;TEXT(B148,"yyyy-mm-dd"),A타입_제작표!$AQ$2:$AQ$799,0))&amp;"  "&amp;INDEX(A타입_제작표!$L$2:$L$799,MATCH("신약|"&amp;TEXT(B148,"yyyy-mm-dd"),A타입_제작표!$AQ$2:$AQ$799,0)),""))</f>
        <v/>
      </c>
      <c r="F148" s="24" t="str">
        <f aca="false">IF(B148="","",IFERROR("시편 "&amp;INDEX(시편_시리즈!$A$2:$A$151,MATCH("시편|"&amp;TEXT(B148,"yyyy-mm-dd"),시편_시리즈!$Y$2:$Y$151,0))&amp;"편  "&amp;INDEX(시편_시리즈!$G$2:$G$151,MATCH("시편|"&amp;TEXT(B148,"yyyy-mm-dd"),시편_시리즈!$Y$2:$Y$151,0)),""))</f>
        <v>시편 63편  광야에서 부른 노래</v>
      </c>
      <c r="G148" s="23" t="n">
        <f aca="false">IF(B148="","",(D148&lt;&gt;"")+(E148&lt;&gt;"")+(F148&lt;&gt;""))</f>
        <v>2</v>
      </c>
      <c r="H148" s="31" t="s">
        <v>10282</v>
      </c>
    </row>
    <row r="149" customFormat="false" ht="15" hidden="false" customHeight="false" outlineLevel="0" collapsed="false">
      <c r="A149" s="23" t="n">
        <f aca="false">IF(B149="","",148)</f>
        <v>148</v>
      </c>
      <c r="B149" s="26" t="n">
        <f aca="false">IF(안내!$C$9+147&gt;MAX(MAX(A타입_제작표!$U$2:$U$799),MAX(시편_시리즈!$Q$2:$Q$151)),"",안내!$C$9+147)</f>
        <v>46538</v>
      </c>
      <c r="C149" s="23" t="str">
        <f aca="false">IF(B149="","",CHOOSE(WEEKDAY(B149,2),"월","화","수","목","금","토","일"))</f>
        <v>월</v>
      </c>
      <c r="D149" s="24" t="str">
        <f aca="false">IF(B149="","",IFERROR(INDEX(A타입_제작표!$J$2:$J$799,MATCH("구약|"&amp;TEXT(B149,"yyyy-mm-dd"),A타입_제작표!$AQ$2:$AQ$799,0))&amp;"  "&amp;INDEX(A타입_제작표!$L$2:$L$799,MATCH("구약|"&amp;TEXT(B149,"yyyy-mm-dd"),A타입_제작표!$AQ$2:$AQ$799,0)),""))</f>
        <v>욥 42:7-17  갑절의 회복</v>
      </c>
      <c r="E149" s="24" t="str">
        <f aca="false">IF(B149="","",IFERROR(INDEX(A타입_제작표!$J$2:$J$799,MATCH("신약|"&amp;TEXT(B149,"yyyy-mm-dd"),A타입_제작표!$AQ$2:$AQ$799,0))&amp;"  "&amp;INDEX(A타입_제작표!$L$2:$L$799,MATCH("신약|"&amp;TEXT(B149,"yyyy-mm-dd"),A타입_제작표!$AQ$2:$AQ$799,0)),""))</f>
        <v>행 16:16-40  한밤중의 찬양</v>
      </c>
      <c r="F149" s="24" t="str">
        <f aca="false">IF(B149="","",IFERROR("시편 "&amp;INDEX(시편_시리즈!$A$2:$A$151,MATCH("시편|"&amp;TEXT(B149,"yyyy-mm-dd"),시편_시리즈!$Y$2:$Y$151,0))&amp;"편  "&amp;INDEX(시편_시리즈!$G$2:$G$151,MATCH("시편|"&amp;TEXT(B149,"yyyy-mm-dd"),시편_시리즈!$Y$2:$Y$151,0)),""))</f>
        <v/>
      </c>
      <c r="G149" s="23" t="n">
        <f aca="false">IF(B149="","",(D149&lt;&gt;"")+(E149&lt;&gt;"")+(F149&lt;&gt;""))</f>
        <v>2</v>
      </c>
      <c r="H149" s="31" t="s">
        <v>10282</v>
      </c>
    </row>
    <row r="150" customFormat="false" ht="15" hidden="false" customHeight="false" outlineLevel="0" collapsed="false">
      <c r="A150" s="23" t="n">
        <f aca="false">IF(B150="","",149)</f>
        <v>149</v>
      </c>
      <c r="B150" s="26" t="n">
        <f aca="false">IF(안내!$C$9+148&gt;MAX(MAX(A타입_제작표!$U$2:$U$799),MAX(시편_시리즈!$Q$2:$Q$151)),"",안내!$C$9+148)</f>
        <v>46539</v>
      </c>
      <c r="C150" s="23" t="str">
        <f aca="false">IF(B150="","",CHOOSE(WEEKDAY(B150,2),"월","화","수","목","금","토","일"))</f>
        <v>화</v>
      </c>
      <c r="D150" s="24" t="str">
        <f aca="false">IF(B150="","",IFERROR(INDEX(A타입_제작표!$J$2:$J$799,MATCH("구약|"&amp;TEXT(B150,"yyyy-mm-dd"),A타입_제작표!$AQ$2:$AQ$799,0))&amp;"  "&amp;INDEX(A타입_제작표!$L$2:$L$799,MATCH("구약|"&amp;TEXT(B150,"yyyy-mm-dd"),A타입_제작표!$AQ$2:$AQ$799,0)),""))</f>
        <v>시편 1편  복 있는 사람</v>
      </c>
      <c r="E150" s="24" t="str">
        <f aca="false">IF(B150="","",IFERROR(INDEX(A타입_제작표!$J$2:$J$799,MATCH("신약|"&amp;TEXT(B150,"yyyy-mm-dd"),A타입_제작표!$AQ$2:$AQ$799,0))&amp;"  "&amp;INDEX(A타입_제작표!$L$2:$L$799,MATCH("신약|"&amp;TEXT(B150,"yyyy-mm-dd"),A타입_제작표!$AQ$2:$AQ$799,0)),""))</f>
        <v/>
      </c>
      <c r="F150" s="24" t="str">
        <f aca="false">IF(B150="","",IFERROR("시편 "&amp;INDEX(시편_시리즈!$A$2:$A$151,MATCH("시편|"&amp;TEXT(B150,"yyyy-mm-dd"),시편_시리즈!$Y$2:$Y$151,0))&amp;"편  "&amp;INDEX(시편_시리즈!$G$2:$G$151,MATCH("시편|"&amp;TEXT(B150,"yyyy-mm-dd"),시편_시리즈!$Y$2:$Y$151,0)),""))</f>
        <v>시편 64편  숨은 화살</v>
      </c>
      <c r="G150" s="23" t="n">
        <f aca="false">IF(B150="","",(D150&lt;&gt;"")+(E150&lt;&gt;"")+(F150&lt;&gt;""))</f>
        <v>2</v>
      </c>
      <c r="H150" s="31" t="s">
        <v>10282</v>
      </c>
    </row>
    <row r="151" customFormat="false" ht="15" hidden="false" customHeight="false" outlineLevel="0" collapsed="false">
      <c r="A151" s="23" t="n">
        <f aca="false">IF(B151="","",150)</f>
        <v>150</v>
      </c>
      <c r="B151" s="26" t="n">
        <f aca="false">IF(안내!$C$9+149&gt;MAX(MAX(A타입_제작표!$U$2:$U$799),MAX(시편_시리즈!$Q$2:$Q$151)),"",안내!$C$9+149)</f>
        <v>46540</v>
      </c>
      <c r="C151" s="23" t="str">
        <f aca="false">IF(B151="","",CHOOSE(WEEKDAY(B151,2),"월","화","수","목","금","토","일"))</f>
        <v>수</v>
      </c>
      <c r="D151" s="24" t="str">
        <f aca="false">IF(B151="","",IFERROR(INDEX(A타입_제작표!$J$2:$J$799,MATCH("구약|"&amp;TEXT(B151,"yyyy-mm-dd"),A타입_제작표!$AQ$2:$AQ$799,0))&amp;"  "&amp;INDEX(A타입_제작표!$L$2:$L$799,MATCH("구약|"&amp;TEXT(B151,"yyyy-mm-dd"),A타입_제작표!$AQ$2:$AQ$799,0)),""))</f>
        <v>시편 22편  나의 하나님 어찌하여</v>
      </c>
      <c r="E151" s="24" t="str">
        <f aca="false">IF(B151="","",IFERROR(INDEX(A타입_제작표!$J$2:$J$799,MATCH("신약|"&amp;TEXT(B151,"yyyy-mm-dd"),A타입_제작표!$AQ$2:$AQ$799,0))&amp;"  "&amp;INDEX(A타입_제작표!$L$2:$L$799,MATCH("신약|"&amp;TEXT(B151,"yyyy-mm-dd"),A타입_제작표!$AQ$2:$AQ$799,0)),""))</f>
        <v>행 17:16-34  알지 못하는 신에게</v>
      </c>
      <c r="F151" s="24" t="str">
        <f aca="false">IF(B151="","",IFERROR("시편 "&amp;INDEX(시편_시리즈!$A$2:$A$151,MATCH("시편|"&amp;TEXT(B151,"yyyy-mm-dd"),시편_시리즈!$Y$2:$Y$151,0))&amp;"편  "&amp;INDEX(시편_시리즈!$G$2:$G$151,MATCH("시편|"&amp;TEXT(B151,"yyyy-mm-dd"),시편_시리즈!$Y$2:$Y$151,0)),""))</f>
        <v/>
      </c>
      <c r="G151" s="23" t="n">
        <f aca="false">IF(B151="","",(D151&lt;&gt;"")+(E151&lt;&gt;"")+(F151&lt;&gt;""))</f>
        <v>2</v>
      </c>
      <c r="H151" s="31" t="s">
        <v>10282</v>
      </c>
    </row>
    <row r="152" customFormat="false" ht="15" hidden="false" customHeight="false" outlineLevel="0" collapsed="false">
      <c r="A152" s="23" t="n">
        <f aca="false">IF(B152="","",151)</f>
        <v>151</v>
      </c>
      <c r="B152" s="26" t="n">
        <f aca="false">IF(안내!$C$9+150&gt;MAX(MAX(A타입_제작표!$U$2:$U$799),MAX(시편_시리즈!$Q$2:$Q$151)),"",안내!$C$9+150)</f>
        <v>46541</v>
      </c>
      <c r="C152" s="23" t="str">
        <f aca="false">IF(B152="","",CHOOSE(WEEKDAY(B152,2),"월","화","수","목","금","토","일"))</f>
        <v>목</v>
      </c>
      <c r="D152" s="24" t="str">
        <f aca="false">IF(B152="","",IFERROR(INDEX(A타입_제작표!$J$2:$J$799,MATCH("구약|"&amp;TEXT(B152,"yyyy-mm-dd"),A타입_제작표!$AQ$2:$AQ$799,0))&amp;"  "&amp;INDEX(A타입_제작표!$L$2:$L$799,MATCH("구약|"&amp;TEXT(B152,"yyyy-mm-dd"),A타입_제작표!$AQ$2:$AQ$799,0)),""))</f>
        <v>시편 23편  여호와는 나의 목자</v>
      </c>
      <c r="E152" s="24" t="str">
        <f aca="false">IF(B152="","",IFERROR(INDEX(A타입_제작표!$J$2:$J$799,MATCH("신약|"&amp;TEXT(B152,"yyyy-mm-dd"),A타입_제작표!$AQ$2:$AQ$799,0))&amp;"  "&amp;INDEX(A타입_제작표!$L$2:$L$799,MATCH("신약|"&amp;TEXT(B152,"yyyy-mm-dd"),A타입_제작표!$AQ$2:$AQ$799,0)),""))</f>
        <v/>
      </c>
      <c r="F152" s="24" t="str">
        <f aca="false">IF(B152="","",IFERROR("시편 "&amp;INDEX(시편_시리즈!$A$2:$A$151,MATCH("시편|"&amp;TEXT(B152,"yyyy-mm-dd"),시편_시리즈!$Y$2:$Y$151,0))&amp;"편  "&amp;INDEX(시편_시리즈!$G$2:$G$151,MATCH("시편|"&amp;TEXT(B152,"yyyy-mm-dd"),시편_시리즈!$Y$2:$Y$151,0)),""))</f>
        <v>시편 65편  한 해를 관 씌우시니</v>
      </c>
      <c r="G152" s="23" t="n">
        <f aca="false">IF(B152="","",(D152&lt;&gt;"")+(E152&lt;&gt;"")+(F152&lt;&gt;""))</f>
        <v>2</v>
      </c>
      <c r="H152" s="31" t="s">
        <v>10282</v>
      </c>
    </row>
    <row r="153" customFormat="false" ht="15" hidden="false" customHeight="false" outlineLevel="0" collapsed="false">
      <c r="A153" s="23" t="n">
        <f aca="false">IF(B153="","",152)</f>
        <v>152</v>
      </c>
      <c r="B153" s="26" t="n">
        <f aca="false">IF(안내!$C$9+151&gt;MAX(MAX(A타입_제작표!$U$2:$U$799),MAX(시편_시리즈!$Q$2:$Q$151)),"",안내!$C$9+151)</f>
        <v>46542</v>
      </c>
      <c r="C153" s="23" t="str">
        <f aca="false">IF(B153="","",CHOOSE(WEEKDAY(B153,2),"월","화","수","목","금","토","일"))</f>
        <v>금</v>
      </c>
      <c r="D153" s="24" t="str">
        <f aca="false">IF(B153="","",IFERROR(INDEX(A타입_제작표!$J$2:$J$799,MATCH("구약|"&amp;TEXT(B153,"yyyy-mm-dd"),A타입_제작표!$AQ$2:$AQ$799,0))&amp;"  "&amp;INDEX(A타입_제작표!$L$2:$L$799,MATCH("구약|"&amp;TEXT(B153,"yyyy-mm-dd"),A타입_제작표!$AQ$2:$AQ$799,0)),""))</f>
        <v>시편 51편  정한 마음을 창조하소서</v>
      </c>
      <c r="E153" s="24" t="str">
        <f aca="false">IF(B153="","",IFERROR(INDEX(A타입_제작표!$J$2:$J$799,MATCH("신약|"&amp;TEXT(B153,"yyyy-mm-dd"),A타입_제작표!$AQ$2:$AQ$799,0))&amp;"  "&amp;INDEX(A타입_제작표!$L$2:$L$799,MATCH("신약|"&amp;TEXT(B153,"yyyy-mm-dd"),A타입_제작표!$AQ$2:$AQ$799,0)),""))</f>
        <v>행 20:1-38  달려갈 길을 마치려 함에는</v>
      </c>
      <c r="F153" s="24" t="str">
        <f aca="false">IF(B153="","",IFERROR("시편 "&amp;INDEX(시편_시리즈!$A$2:$A$151,MATCH("시편|"&amp;TEXT(B153,"yyyy-mm-dd"),시편_시리즈!$Y$2:$Y$151,0))&amp;"편  "&amp;INDEX(시편_시리즈!$G$2:$G$151,MATCH("시편|"&amp;TEXT(B153,"yyyy-mm-dd"),시편_시리즈!$Y$2:$Y$151,0)),""))</f>
        <v/>
      </c>
      <c r="G153" s="23" t="n">
        <f aca="false">IF(B153="","",(D153&lt;&gt;"")+(E153&lt;&gt;"")+(F153&lt;&gt;""))</f>
        <v>2</v>
      </c>
      <c r="H153" s="31" t="s">
        <v>10282</v>
      </c>
    </row>
    <row r="154" customFormat="false" ht="15" hidden="false" customHeight="false" outlineLevel="0" collapsed="false">
      <c r="A154" s="23" t="n">
        <f aca="false">IF(B154="","",153)</f>
        <v>153</v>
      </c>
      <c r="B154" s="26" t="n">
        <f aca="false">IF(안내!$C$9+152&gt;MAX(MAX(A타입_제작표!$U$2:$U$799),MAX(시편_시리즈!$Q$2:$Q$151)),"",안내!$C$9+152)</f>
        <v>46543</v>
      </c>
      <c r="C154" s="23" t="str">
        <f aca="false">IF(B154="","",CHOOSE(WEEKDAY(B154,2),"월","화","수","목","금","토","일"))</f>
        <v>토</v>
      </c>
      <c r="D154" s="24" t="str">
        <f aca="false">IF(B154="","",IFERROR(INDEX(A타입_제작표!$J$2:$J$799,MATCH("구약|"&amp;TEXT(B154,"yyyy-mm-dd"),A타입_제작표!$AQ$2:$AQ$799,0))&amp;"  "&amp;INDEX(A타입_제작표!$L$2:$L$799,MATCH("구약|"&amp;TEXT(B154,"yyyy-mm-dd"),A타입_제작표!$AQ$2:$AQ$799,0)),""))</f>
        <v>시편 119편  내 발에 등이요</v>
      </c>
      <c r="E154" s="24" t="str">
        <f aca="false">IF(B154="","",IFERROR(INDEX(A타입_제작표!$J$2:$J$799,MATCH("신약|"&amp;TEXT(B154,"yyyy-mm-dd"),A타입_제작표!$AQ$2:$AQ$799,0))&amp;"  "&amp;INDEX(A타입_제작표!$L$2:$L$799,MATCH("신약|"&amp;TEXT(B154,"yyyy-mm-dd"),A타입_제작표!$AQ$2:$AQ$799,0)),""))</f>
        <v>행 27:1-26  폭풍 속의 약속</v>
      </c>
      <c r="F154" s="24" t="str">
        <f aca="false">IF(B154="","",IFERROR("시편 "&amp;INDEX(시편_시리즈!$A$2:$A$151,MATCH("시편|"&amp;TEXT(B154,"yyyy-mm-dd"),시편_시리즈!$Y$2:$Y$151,0))&amp;"편  "&amp;INDEX(시편_시리즈!$G$2:$G$151,MATCH("시편|"&amp;TEXT(B154,"yyyy-mm-dd"),시편_시리즈!$Y$2:$Y$151,0)),""))</f>
        <v/>
      </c>
      <c r="G154" s="23" t="n">
        <f aca="false">IF(B154="","",(D154&lt;&gt;"")+(E154&lt;&gt;"")+(F154&lt;&gt;""))</f>
        <v>2</v>
      </c>
      <c r="H154" s="31" t="s">
        <v>10282</v>
      </c>
    </row>
    <row r="155" customFormat="false" ht="15" hidden="false" customHeight="false" outlineLevel="0" collapsed="false">
      <c r="A155" s="23" t="n">
        <f aca="false">IF(B155="","",154)</f>
        <v>154</v>
      </c>
      <c r="B155" s="26" t="n">
        <f aca="false">IF(안내!$C$9+153&gt;MAX(MAX(A타입_제작표!$U$2:$U$799),MAX(시편_시리즈!$Q$2:$Q$151)),"",안내!$C$9+153)</f>
        <v>46544</v>
      </c>
      <c r="C155" s="23" t="str">
        <f aca="false">IF(B155="","",CHOOSE(WEEKDAY(B155,2),"월","화","수","목","금","토","일"))</f>
        <v>일</v>
      </c>
      <c r="D155" s="24" t="str">
        <f aca="false">IF(B155="","",IFERROR(INDEX(A타입_제작표!$J$2:$J$799,MATCH("구약|"&amp;TEXT(B155,"yyyy-mm-dd"),A타입_제작표!$AQ$2:$AQ$799,0))&amp;"  "&amp;INDEX(A타입_제작표!$L$2:$L$799,MATCH("구약|"&amp;TEXT(B155,"yyyy-mm-dd"),A타입_제작표!$AQ$2:$AQ$799,0)),""))</f>
        <v>시편 139편  나를 아시는 하나님</v>
      </c>
      <c r="E155" s="24" t="str">
        <f aca="false">IF(B155="","",IFERROR(INDEX(A타입_제작표!$J$2:$J$799,MATCH("신약|"&amp;TEXT(B155,"yyyy-mm-dd"),A타입_제작표!$AQ$2:$AQ$799,0))&amp;"  "&amp;INDEX(A타입_제작표!$L$2:$L$799,MATCH("신약|"&amp;TEXT(B155,"yyyy-mm-dd"),A타입_제작표!$AQ$2:$AQ$799,0)),""))</f>
        <v/>
      </c>
      <c r="F155" s="24" t="str">
        <f aca="false">IF(B155="","",IFERROR("시편 "&amp;INDEX(시편_시리즈!$A$2:$A$151,MATCH("시편|"&amp;TEXT(B155,"yyyy-mm-dd"),시편_시리즈!$Y$2:$Y$151,0))&amp;"편  "&amp;INDEX(시편_시리즈!$G$2:$G$151,MATCH("시편|"&amp;TEXT(B155,"yyyy-mm-dd"),시편_시리즈!$Y$2:$Y$151,0)),""))</f>
        <v>시편 66편  와서 들으라</v>
      </c>
      <c r="G155" s="23" t="n">
        <f aca="false">IF(B155="","",(D155&lt;&gt;"")+(E155&lt;&gt;"")+(F155&lt;&gt;""))</f>
        <v>2</v>
      </c>
      <c r="H155" s="31" t="s">
        <v>10282</v>
      </c>
    </row>
    <row r="156" customFormat="false" ht="15" hidden="false" customHeight="false" outlineLevel="0" collapsed="false">
      <c r="A156" s="23" t="n">
        <f aca="false">IF(B156="","",155)</f>
        <v>155</v>
      </c>
      <c r="B156" s="26" t="n">
        <f aca="false">IF(안내!$C$9+154&gt;MAX(MAX(A타입_제작표!$U$2:$U$799),MAX(시편_시리즈!$Q$2:$Q$151)),"",안내!$C$9+154)</f>
        <v>46545</v>
      </c>
      <c r="C156" s="23" t="str">
        <f aca="false">IF(B156="","",CHOOSE(WEEKDAY(B156,2),"월","화","수","목","금","토","일"))</f>
        <v>월</v>
      </c>
      <c r="D156" s="24" t="str">
        <f aca="false">IF(B156="","",IFERROR(INDEX(A타입_제작표!$J$2:$J$799,MATCH("구약|"&amp;TEXT(B156,"yyyy-mm-dd"),A타입_제작표!$AQ$2:$AQ$799,0))&amp;"  "&amp;INDEX(A타입_제작표!$L$2:$L$799,MATCH("구약|"&amp;TEXT(B156,"yyyy-mm-dd"),A타입_제작표!$AQ$2:$AQ$799,0)),""))</f>
        <v>잠 1:1-33  지혜의 첫 걸음</v>
      </c>
      <c r="E156" s="24" t="str">
        <f aca="false">IF(B156="","",IFERROR(INDEX(A타입_제작표!$J$2:$J$799,MATCH("신약|"&amp;TEXT(B156,"yyyy-mm-dd"),A타입_제작표!$AQ$2:$AQ$799,0))&amp;"  "&amp;INDEX(A타입_제작표!$L$2:$L$799,MATCH("신약|"&amp;TEXT(B156,"yyyy-mm-dd"),A타입_제작표!$AQ$2:$AQ$799,0)),""))</f>
        <v>행 27:27-44  276명 모두 살다</v>
      </c>
      <c r="F156" s="24" t="str">
        <f aca="false">IF(B156="","",IFERROR("시편 "&amp;INDEX(시편_시리즈!$A$2:$A$151,MATCH("시편|"&amp;TEXT(B156,"yyyy-mm-dd"),시편_시리즈!$Y$2:$Y$151,0))&amp;"편  "&amp;INDEX(시편_시리즈!$G$2:$G$151,MATCH("시편|"&amp;TEXT(B156,"yyyy-mm-dd"),시편_시리즈!$Y$2:$Y$151,0)),""))</f>
        <v/>
      </c>
      <c r="G156" s="23" t="n">
        <f aca="false">IF(B156="","",(D156&lt;&gt;"")+(E156&lt;&gt;"")+(F156&lt;&gt;""))</f>
        <v>2</v>
      </c>
      <c r="H156" s="31" t="s">
        <v>10282</v>
      </c>
    </row>
    <row r="157" customFormat="false" ht="26.85" hidden="false" customHeight="false" outlineLevel="0" collapsed="false">
      <c r="A157" s="23" t="n">
        <f aca="false">IF(B157="","",156)</f>
        <v>156</v>
      </c>
      <c r="B157" s="26" t="n">
        <f aca="false">IF(안내!$C$9+155&gt;MAX(MAX(A타입_제작표!$U$2:$U$799),MAX(시편_시리즈!$Q$2:$Q$151)),"",안내!$C$9+155)</f>
        <v>46546</v>
      </c>
      <c r="C157" s="23" t="str">
        <f aca="false">IF(B157="","",CHOOSE(WEEKDAY(B157,2),"월","화","수","목","금","토","일"))</f>
        <v>화</v>
      </c>
      <c r="D157" s="24" t="str">
        <f aca="false">IF(B157="","",IFERROR(INDEX(A타입_제작표!$J$2:$J$799,MATCH("구약|"&amp;TEXT(B157,"yyyy-mm-dd"),A타입_제작표!$AQ$2:$AQ$799,0))&amp;"  "&amp;INDEX(A타입_제작표!$L$2:$L$799,MATCH("구약|"&amp;TEXT(B157,"yyyy-mm-dd"),A타입_제작표!$AQ$2:$AQ$799,0)),""))</f>
        <v>전 3:1-22  모든 것에 때가 있다</v>
      </c>
      <c r="E157" s="24" t="str">
        <f aca="false">IF(B157="","",IFERROR(INDEX(A타입_제작표!$J$2:$J$799,MATCH("신약|"&amp;TEXT(B157,"yyyy-mm-dd"),A타입_제작표!$AQ$2:$AQ$799,0))&amp;"  "&amp;INDEX(A타입_제작표!$L$2:$L$799,MATCH("신약|"&amp;TEXT(B157,"yyyy-mm-dd"),A타입_제작표!$AQ$2:$AQ$799,0)),""))</f>
        <v/>
      </c>
      <c r="F157" s="24" t="str">
        <f aca="false">IF(B157="","",IFERROR("시편 "&amp;INDEX(시편_시리즈!$A$2:$A$151,MATCH("시편|"&amp;TEXT(B157,"yyyy-mm-dd"),시편_시리즈!$Y$2:$Y$151,0))&amp;"편  "&amp;INDEX(시편_시리즈!$G$2:$G$151,MATCH("시편|"&amp;TEXT(B157,"yyyy-mm-dd"),시편_시리즈!$Y$2:$Y$151,0)),""))</f>
        <v>시편 67편  모든 민족이 주를 찬송하게</v>
      </c>
      <c r="G157" s="23" t="n">
        <f aca="false">IF(B157="","",(D157&lt;&gt;"")+(E157&lt;&gt;"")+(F157&lt;&gt;""))</f>
        <v>2</v>
      </c>
      <c r="H157" s="31" t="s">
        <v>10282</v>
      </c>
    </row>
    <row r="158" customFormat="false" ht="15" hidden="false" customHeight="false" outlineLevel="0" collapsed="false">
      <c r="A158" s="23" t="n">
        <f aca="false">IF(B158="","",157)</f>
        <v>157</v>
      </c>
      <c r="B158" s="26" t="n">
        <f aca="false">IF(안내!$C$9+156&gt;MAX(MAX(A타입_제작표!$U$2:$U$799),MAX(시편_시리즈!$Q$2:$Q$151)),"",안내!$C$9+156)</f>
        <v>46547</v>
      </c>
      <c r="C158" s="23" t="str">
        <f aca="false">IF(B158="","",CHOOSE(WEEKDAY(B158,2),"월","화","수","목","금","토","일"))</f>
        <v>수</v>
      </c>
      <c r="D158" s="24" t="str">
        <f aca="false">IF(B158="","",IFERROR(INDEX(A타입_제작표!$J$2:$J$799,MATCH("구약|"&amp;TEXT(B158,"yyyy-mm-dd"),A타입_제작표!$AQ$2:$AQ$799,0))&amp;"  "&amp;INDEX(A타입_제작표!$L$2:$L$799,MATCH("구약|"&amp;TEXT(B158,"yyyy-mm-dd"),A타입_제작표!$AQ$2:$AQ$799,0)),""))</f>
        <v>사 6:1-13  내가 여기 있나이다</v>
      </c>
      <c r="E158" s="24" t="str">
        <f aca="false">IF(B158="","",IFERROR(INDEX(A타입_제작표!$J$2:$J$799,MATCH("신약|"&amp;TEXT(B158,"yyyy-mm-dd"),A타입_제작표!$AQ$2:$AQ$799,0))&amp;"  "&amp;INDEX(A타입_제작표!$L$2:$L$799,MATCH("신약|"&amp;TEXT(B158,"yyyy-mm-dd"),A타입_제작표!$AQ$2:$AQ$799,0)),""))</f>
        <v>행 28:17-31  거침없이</v>
      </c>
      <c r="F158" s="24" t="str">
        <f aca="false">IF(B158="","",IFERROR("시편 "&amp;INDEX(시편_시리즈!$A$2:$A$151,MATCH("시편|"&amp;TEXT(B158,"yyyy-mm-dd"),시편_시리즈!$Y$2:$Y$151,0))&amp;"편  "&amp;INDEX(시편_시리즈!$G$2:$G$151,MATCH("시편|"&amp;TEXT(B158,"yyyy-mm-dd"),시편_시리즈!$Y$2:$Y$151,0)),""))</f>
        <v/>
      </c>
      <c r="G158" s="23" t="n">
        <f aca="false">IF(B158="","",(D158&lt;&gt;"")+(E158&lt;&gt;"")+(F158&lt;&gt;""))</f>
        <v>2</v>
      </c>
      <c r="H158" s="31" t="s">
        <v>10282</v>
      </c>
    </row>
    <row r="159" customFormat="false" ht="15" hidden="false" customHeight="false" outlineLevel="0" collapsed="false">
      <c r="A159" s="23" t="n">
        <f aca="false">IF(B159="","",158)</f>
        <v>158</v>
      </c>
      <c r="B159" s="26" t="n">
        <f aca="false">IF(안내!$C$9+157&gt;MAX(MAX(A타입_제작표!$U$2:$U$799),MAX(시편_시리즈!$Q$2:$Q$151)),"",안내!$C$9+157)</f>
        <v>46548</v>
      </c>
      <c r="C159" s="23" t="str">
        <f aca="false">IF(B159="","",CHOOSE(WEEKDAY(B159,2),"월","화","수","목","금","토","일"))</f>
        <v>목</v>
      </c>
      <c r="D159" s="24" t="str">
        <f aca="false">IF(B159="","",IFERROR(INDEX(A타입_제작표!$J$2:$J$799,MATCH("구약|"&amp;TEXT(B159,"yyyy-mm-dd"),A타입_제작표!$AQ$2:$AQ$799,0))&amp;"  "&amp;INDEX(A타입_제작표!$L$2:$L$799,MATCH("구약|"&amp;TEXT(B159,"yyyy-mm-dd"),A타입_제작표!$AQ$2:$AQ$799,0)),""))</f>
        <v>사 7:1-25  임마누엘의 징조</v>
      </c>
      <c r="E159" s="24" t="str">
        <f aca="false">IF(B159="","",IFERROR(INDEX(A타입_제작표!$J$2:$J$799,MATCH("신약|"&amp;TEXT(B159,"yyyy-mm-dd"),A타입_제작표!$AQ$2:$AQ$799,0))&amp;"  "&amp;INDEX(A타입_제작표!$L$2:$L$799,MATCH("신약|"&amp;TEXT(B159,"yyyy-mm-dd"),A타입_제작표!$AQ$2:$AQ$799,0)),""))</f>
        <v/>
      </c>
      <c r="F159" s="24" t="str">
        <f aca="false">IF(B159="","",IFERROR("시편 "&amp;INDEX(시편_시리즈!$A$2:$A$151,MATCH("시편|"&amp;TEXT(B159,"yyyy-mm-dd"),시편_시리즈!$Y$2:$Y$151,0))&amp;"편  "&amp;INDEX(시편_시리즈!$G$2:$G$151,MATCH("시편|"&amp;TEXT(B159,"yyyy-mm-dd"),시편_시리즈!$Y$2:$Y$151,0)),""))</f>
        <v>시편 68편  날마다 짐을 지시는 주</v>
      </c>
      <c r="G159" s="23" t="n">
        <f aca="false">IF(B159="","",(D159&lt;&gt;"")+(E159&lt;&gt;"")+(F159&lt;&gt;""))</f>
        <v>2</v>
      </c>
      <c r="H159" s="31" t="s">
        <v>10282</v>
      </c>
    </row>
    <row r="160" customFormat="false" ht="15" hidden="false" customHeight="false" outlineLevel="0" collapsed="false">
      <c r="A160" s="23" t="n">
        <f aca="false">IF(B160="","",159)</f>
        <v>159</v>
      </c>
      <c r="B160" s="26" t="n">
        <f aca="false">IF(안내!$C$9+158&gt;MAX(MAX(A타입_제작표!$U$2:$U$799),MAX(시편_시리즈!$Q$2:$Q$151)),"",안내!$C$9+158)</f>
        <v>46549</v>
      </c>
      <c r="C160" s="23" t="str">
        <f aca="false">IF(B160="","",CHOOSE(WEEKDAY(B160,2),"월","화","수","목","금","토","일"))</f>
        <v>금</v>
      </c>
      <c r="D160" s="24" t="str">
        <f aca="false">IF(B160="","",IFERROR(INDEX(A타입_제작표!$J$2:$J$799,MATCH("구약|"&amp;TEXT(B160,"yyyy-mm-dd"),A타입_제작표!$AQ$2:$AQ$799,0))&amp;"  "&amp;INDEX(A타입_제작표!$L$2:$L$799,MATCH("구약|"&amp;TEXT(B160,"yyyy-mm-dd"),A타입_제작표!$AQ$2:$AQ$799,0)),""))</f>
        <v>사 8:1-9:7  한 아기가 우리에게</v>
      </c>
      <c r="E160" s="24" t="str">
        <f aca="false">IF(B160="","",IFERROR(INDEX(A타입_제작표!$J$2:$J$799,MATCH("신약|"&amp;TEXT(B160,"yyyy-mm-dd"),A타입_제작표!$AQ$2:$AQ$799,0))&amp;"  "&amp;INDEX(A타입_제작표!$L$2:$L$799,MATCH("신약|"&amp;TEXT(B160,"yyyy-mm-dd"),A타입_제작표!$AQ$2:$AQ$799,0)),""))</f>
        <v>롬 3:21-31  값없이 의롭다 하심</v>
      </c>
      <c r="F160" s="24" t="str">
        <f aca="false">IF(B160="","",IFERROR("시편 "&amp;INDEX(시편_시리즈!$A$2:$A$151,MATCH("시편|"&amp;TEXT(B160,"yyyy-mm-dd"),시편_시리즈!$Y$2:$Y$151,0))&amp;"편  "&amp;INDEX(시편_시리즈!$G$2:$G$151,MATCH("시편|"&amp;TEXT(B160,"yyyy-mm-dd"),시편_시리즈!$Y$2:$Y$151,0)),""))</f>
        <v/>
      </c>
      <c r="G160" s="23" t="n">
        <f aca="false">IF(B160="","",(D160&lt;&gt;"")+(E160&lt;&gt;"")+(F160&lt;&gt;""))</f>
        <v>2</v>
      </c>
      <c r="H160" s="31" t="s">
        <v>10282</v>
      </c>
    </row>
    <row r="161" customFormat="false" ht="15" hidden="false" customHeight="false" outlineLevel="0" collapsed="false">
      <c r="A161" s="23" t="n">
        <f aca="false">IF(B161="","",160)</f>
        <v>160</v>
      </c>
      <c r="B161" s="26" t="n">
        <f aca="false">IF(안내!$C$9+159&gt;MAX(MAX(A타입_제작표!$U$2:$U$799),MAX(시편_시리즈!$Q$2:$Q$151)),"",안내!$C$9+159)</f>
        <v>46550</v>
      </c>
      <c r="C161" s="23" t="str">
        <f aca="false">IF(B161="","",CHOOSE(WEEKDAY(B161,2),"월","화","수","목","금","토","일"))</f>
        <v>토</v>
      </c>
      <c r="D161" s="24" t="str">
        <f aca="false">IF(B161="","",IFERROR(INDEX(A타입_제작표!$J$2:$J$799,MATCH("구약|"&amp;TEXT(B161,"yyyy-mm-dd"),A타입_제작표!$AQ$2:$AQ$799,0))&amp;"  "&amp;INDEX(A타입_제작표!$L$2:$L$799,MATCH("구약|"&amp;TEXT(B161,"yyyy-mm-dd"),A타입_제작표!$AQ$2:$AQ$799,0)),""))</f>
        <v>사 40:12-31  독수리 날개 치며</v>
      </c>
      <c r="E161" s="24" t="str">
        <f aca="false">IF(B161="","",IFERROR(INDEX(A타입_제작표!$J$2:$J$799,MATCH("신약|"&amp;TEXT(B161,"yyyy-mm-dd"),A타입_제작표!$AQ$2:$AQ$799,0))&amp;"  "&amp;INDEX(A타입_제작표!$L$2:$L$799,MATCH("신약|"&amp;TEXT(B161,"yyyy-mm-dd"),A타입_제작표!$AQ$2:$AQ$799,0)),""))</f>
        <v>롬 8:18-39  무엇도 끊을 수 없다</v>
      </c>
      <c r="F161" s="24" t="str">
        <f aca="false">IF(B161="","",IFERROR("시편 "&amp;INDEX(시편_시리즈!$A$2:$A$151,MATCH("시편|"&amp;TEXT(B161,"yyyy-mm-dd"),시편_시리즈!$Y$2:$Y$151,0))&amp;"편  "&amp;INDEX(시편_시리즈!$G$2:$G$151,MATCH("시편|"&amp;TEXT(B161,"yyyy-mm-dd"),시편_시리즈!$Y$2:$Y$151,0)),""))</f>
        <v/>
      </c>
      <c r="G161" s="23" t="n">
        <f aca="false">IF(B161="","",(D161&lt;&gt;"")+(E161&lt;&gt;"")+(F161&lt;&gt;""))</f>
        <v>2</v>
      </c>
      <c r="H161" s="31" t="s">
        <v>10282</v>
      </c>
    </row>
    <row r="162" customFormat="false" ht="15" hidden="false" customHeight="false" outlineLevel="0" collapsed="false">
      <c r="A162" s="23" t="n">
        <f aca="false">IF(B162="","",161)</f>
        <v>161</v>
      </c>
      <c r="B162" s="26" t="n">
        <f aca="false">IF(안내!$C$9+160&gt;MAX(MAX(A타입_제작표!$U$2:$U$799),MAX(시편_시리즈!$Q$2:$Q$151)),"",안내!$C$9+160)</f>
        <v>46551</v>
      </c>
      <c r="C162" s="23" t="str">
        <f aca="false">IF(B162="","",CHOOSE(WEEKDAY(B162,2),"월","화","수","목","금","토","일"))</f>
        <v>일</v>
      </c>
      <c r="D162" s="24" t="str">
        <f aca="false">IF(B162="","",IFERROR(INDEX(A타입_제작표!$J$2:$J$799,MATCH("구약|"&amp;TEXT(B162,"yyyy-mm-dd"),A타입_제작표!$AQ$2:$AQ$799,0))&amp;"  "&amp;INDEX(A타입_제작표!$L$2:$L$799,MATCH("구약|"&amp;TEXT(B162,"yyyy-mm-dd"),A타입_제작표!$AQ$2:$AQ$799,0)),""))</f>
        <v>사 52:13-53:12  그가 찔림은</v>
      </c>
      <c r="E162" s="24" t="str">
        <f aca="false">IF(B162="","",IFERROR(INDEX(A타입_제작표!$J$2:$J$799,MATCH("신약|"&amp;TEXT(B162,"yyyy-mm-dd"),A타입_제작표!$AQ$2:$AQ$799,0))&amp;"  "&amp;INDEX(A타입_제작표!$L$2:$L$799,MATCH("신약|"&amp;TEXT(B162,"yyyy-mm-dd"),A타입_제작표!$AQ$2:$AQ$799,0)),""))</f>
        <v/>
      </c>
      <c r="F162" s="24" t="str">
        <f aca="false">IF(B162="","",IFERROR("시편 "&amp;INDEX(시편_시리즈!$A$2:$A$151,MATCH("시편|"&amp;TEXT(B162,"yyyy-mm-dd"),시편_시리즈!$Y$2:$Y$151,0))&amp;"편  "&amp;INDEX(시편_시리즈!$G$2:$G$151,MATCH("시편|"&amp;TEXT(B162,"yyyy-mm-dd"),시편_시리즈!$Y$2:$Y$151,0)),""))</f>
        <v>시편 69편  주의 집을 위한 열성</v>
      </c>
      <c r="G162" s="23" t="n">
        <f aca="false">IF(B162="","",(D162&lt;&gt;"")+(E162&lt;&gt;"")+(F162&lt;&gt;""))</f>
        <v>2</v>
      </c>
      <c r="H162" s="31" t="s">
        <v>10282</v>
      </c>
    </row>
    <row r="163" customFormat="false" ht="15" hidden="false" customHeight="false" outlineLevel="0" collapsed="false">
      <c r="A163" s="23" t="n">
        <f aca="false">IF(B163="","",162)</f>
        <v>162</v>
      </c>
      <c r="B163" s="26" t="n">
        <f aca="false">IF(안내!$C$9+161&gt;MAX(MAX(A타입_제작표!$U$2:$U$799),MAX(시편_시리즈!$Q$2:$Q$151)),"",안내!$C$9+161)</f>
        <v>46552</v>
      </c>
      <c r="C163" s="23" t="str">
        <f aca="false">IF(B163="","",CHOOSE(WEEKDAY(B163,2),"월","화","수","목","금","토","일"))</f>
        <v>월</v>
      </c>
      <c r="D163" s="24" t="str">
        <f aca="false">IF(B163="","",IFERROR(INDEX(A타입_제작표!$J$2:$J$799,MATCH("구약|"&amp;TEXT(B163,"yyyy-mm-dd"),A타입_제작표!$AQ$2:$AQ$799,0))&amp;"  "&amp;INDEX(A타입_제작표!$L$2:$L$799,MATCH("구약|"&amp;TEXT(B163,"yyyy-mm-dd"),A타입_제작표!$AQ$2:$AQ$799,0)),""))</f>
        <v>렘 1:1-19  나는 아이라</v>
      </c>
      <c r="E163" s="24" t="str">
        <f aca="false">IF(B163="","",IFERROR(INDEX(A타입_제작표!$J$2:$J$799,MATCH("신약|"&amp;TEXT(B163,"yyyy-mm-dd"),A타입_제작표!$AQ$2:$AQ$799,0))&amp;"  "&amp;INDEX(A타입_제작표!$L$2:$L$799,MATCH("신약|"&amp;TEXT(B163,"yyyy-mm-dd"),A타입_제작표!$AQ$2:$AQ$799,0)),""))</f>
        <v>고전 13:1-13  사랑장</v>
      </c>
      <c r="F163" s="24" t="str">
        <f aca="false">IF(B163="","",IFERROR("시편 "&amp;INDEX(시편_시리즈!$A$2:$A$151,MATCH("시편|"&amp;TEXT(B163,"yyyy-mm-dd"),시편_시리즈!$Y$2:$Y$151,0))&amp;"편  "&amp;INDEX(시편_시리즈!$G$2:$G$151,MATCH("시편|"&amp;TEXT(B163,"yyyy-mm-dd"),시편_시리즈!$Y$2:$Y$151,0)),""))</f>
        <v/>
      </c>
      <c r="G163" s="23" t="n">
        <f aca="false">IF(B163="","",(D163&lt;&gt;"")+(E163&lt;&gt;"")+(F163&lt;&gt;""))</f>
        <v>2</v>
      </c>
      <c r="H163" s="31" t="s">
        <v>10282</v>
      </c>
    </row>
    <row r="164" customFormat="false" ht="15" hidden="false" customHeight="false" outlineLevel="0" collapsed="false">
      <c r="A164" s="23" t="n">
        <f aca="false">IF(B164="","",163)</f>
        <v>163</v>
      </c>
      <c r="B164" s="26" t="n">
        <f aca="false">IF(안내!$C$9+162&gt;MAX(MAX(A타입_제작표!$U$2:$U$799),MAX(시편_시리즈!$Q$2:$Q$151)),"",안내!$C$9+162)</f>
        <v>46553</v>
      </c>
      <c r="C164" s="23" t="str">
        <f aca="false">IF(B164="","",CHOOSE(WEEKDAY(B164,2),"월","화","수","목","금","토","일"))</f>
        <v>화</v>
      </c>
      <c r="D164" s="24" t="str">
        <f aca="false">IF(B164="","",IFERROR(INDEX(A타입_제작표!$J$2:$J$799,MATCH("구약|"&amp;TEXT(B164,"yyyy-mm-dd"),A타입_제작표!$AQ$2:$AQ$799,0))&amp;"  "&amp;INDEX(A타입_제작표!$L$2:$L$799,MATCH("구약|"&amp;TEXT(B164,"yyyy-mm-dd"),A타입_제작표!$AQ$2:$AQ$799,0)),""))</f>
        <v>렘 18:1-23  토기장이의 집</v>
      </c>
      <c r="E164" s="24" t="str">
        <f aca="false">IF(B164="","",IFERROR(INDEX(A타입_제작표!$J$2:$J$799,MATCH("신약|"&amp;TEXT(B164,"yyyy-mm-dd"),A타입_제작표!$AQ$2:$AQ$799,0))&amp;"  "&amp;INDEX(A타입_제작표!$L$2:$L$799,MATCH("신약|"&amp;TEXT(B164,"yyyy-mm-dd"),A타입_제작표!$AQ$2:$AQ$799,0)),""))</f>
        <v/>
      </c>
      <c r="F164" s="24" t="str">
        <f aca="false">IF(B164="","",IFERROR("시편 "&amp;INDEX(시편_시리즈!$A$2:$A$151,MATCH("시편|"&amp;TEXT(B164,"yyyy-mm-dd"),시편_시리즈!$Y$2:$Y$151,0))&amp;"편  "&amp;INDEX(시편_시리즈!$G$2:$G$151,MATCH("시편|"&amp;TEXT(B164,"yyyy-mm-dd"),시편_시리즈!$Y$2:$Y$151,0)),""))</f>
        <v>시편 70편  속히 나를 도우소서</v>
      </c>
      <c r="G164" s="23" t="n">
        <f aca="false">IF(B164="","",(D164&lt;&gt;"")+(E164&lt;&gt;"")+(F164&lt;&gt;""))</f>
        <v>2</v>
      </c>
      <c r="H164" s="31" t="s">
        <v>10282</v>
      </c>
    </row>
    <row r="165" customFormat="false" ht="15" hidden="false" customHeight="false" outlineLevel="0" collapsed="false">
      <c r="A165" s="23" t="n">
        <f aca="false">IF(B165="","",164)</f>
        <v>164</v>
      </c>
      <c r="B165" s="26" t="n">
        <f aca="false">IF(안내!$C$9+163&gt;MAX(MAX(A타입_제작표!$U$2:$U$799),MAX(시편_시리즈!$Q$2:$Q$151)),"",안내!$C$9+163)</f>
        <v>46554</v>
      </c>
      <c r="C165" s="23" t="str">
        <f aca="false">IF(B165="","",CHOOSE(WEEKDAY(B165,2),"월","화","수","목","금","토","일"))</f>
        <v>수</v>
      </c>
      <c r="D165" s="24" t="str">
        <f aca="false">IF(B165="","",IFERROR(INDEX(A타입_제작표!$J$2:$J$799,MATCH("구약|"&amp;TEXT(B165,"yyyy-mm-dd"),A타입_제작표!$AQ$2:$AQ$799,0))&amp;"  "&amp;INDEX(A타입_제작표!$L$2:$L$799,MATCH("구약|"&amp;TEXT(B165,"yyyy-mm-dd"),A타입_제작표!$AQ$2:$AQ$799,0)),""))</f>
        <v>렘 30:1-31:40  새 언약</v>
      </c>
      <c r="E165" s="24" t="str">
        <f aca="false">IF(B165="","",IFERROR(INDEX(A타입_제작표!$J$2:$J$799,MATCH("신약|"&amp;TEXT(B165,"yyyy-mm-dd"),A타입_제작표!$AQ$2:$AQ$799,0))&amp;"  "&amp;INDEX(A타입_제작표!$L$2:$L$799,MATCH("신약|"&amp;TEXT(B165,"yyyy-mm-dd"),A타입_제작표!$AQ$2:$AQ$799,0)),""))</f>
        <v>고전 15:1-16:24  부활장</v>
      </c>
      <c r="F165" s="24" t="str">
        <f aca="false">IF(B165="","",IFERROR("시편 "&amp;INDEX(시편_시리즈!$A$2:$A$151,MATCH("시편|"&amp;TEXT(B165,"yyyy-mm-dd"),시편_시리즈!$Y$2:$Y$151,0))&amp;"편  "&amp;INDEX(시편_시리즈!$G$2:$G$151,MATCH("시편|"&amp;TEXT(B165,"yyyy-mm-dd"),시편_시리즈!$Y$2:$Y$151,0)),""))</f>
        <v/>
      </c>
      <c r="G165" s="23" t="n">
        <f aca="false">IF(B165="","",(D165&lt;&gt;"")+(E165&lt;&gt;"")+(F165&lt;&gt;""))</f>
        <v>2</v>
      </c>
      <c r="H165" s="31" t="s">
        <v>10282</v>
      </c>
    </row>
    <row r="166" customFormat="false" ht="15" hidden="false" customHeight="false" outlineLevel="0" collapsed="false">
      <c r="A166" s="23" t="n">
        <f aca="false">IF(B166="","",165)</f>
        <v>165</v>
      </c>
      <c r="B166" s="26" t="n">
        <f aca="false">IF(안내!$C$9+164&gt;MAX(MAX(A타입_제작표!$U$2:$U$799),MAX(시편_시리즈!$Q$2:$Q$151)),"",안내!$C$9+164)</f>
        <v>46555</v>
      </c>
      <c r="C166" s="23" t="str">
        <f aca="false">IF(B166="","",CHOOSE(WEEKDAY(B166,2),"월","화","수","목","금","토","일"))</f>
        <v>목</v>
      </c>
      <c r="D166" s="24" t="str">
        <f aca="false">IF(B166="","",IFERROR(INDEX(A타입_제작표!$J$2:$J$799,MATCH("구약|"&amp;TEXT(B166,"yyyy-mm-dd"),A타입_제작표!$AQ$2:$AQ$799,0))&amp;"  "&amp;INDEX(A타입_제작표!$L$2:$L$799,MATCH("구약|"&amp;TEXT(B166,"yyyy-mm-dd"),A타입_제작표!$AQ$2:$AQ$799,0)),""))</f>
        <v>렘 37:1-38:28  진흙 구덩이</v>
      </c>
      <c r="E166" s="24" t="str">
        <f aca="false">IF(B166="","",IFERROR(INDEX(A타입_제작표!$J$2:$J$799,MATCH("신약|"&amp;TEXT(B166,"yyyy-mm-dd"),A타입_제작표!$AQ$2:$AQ$799,0))&amp;"  "&amp;INDEX(A타입_제작표!$L$2:$L$799,MATCH("신약|"&amp;TEXT(B166,"yyyy-mm-dd"),A타입_제작표!$AQ$2:$AQ$799,0)),""))</f>
        <v/>
      </c>
      <c r="F166" s="24" t="str">
        <f aca="false">IF(B166="","",IFERROR("시편 "&amp;INDEX(시편_시리즈!$A$2:$A$151,MATCH("시편|"&amp;TEXT(B166,"yyyy-mm-dd"),시편_시리즈!$Y$2:$Y$151,0))&amp;"편  "&amp;INDEX(시편_시리즈!$G$2:$G$151,MATCH("시편|"&amp;TEXT(B166,"yyyy-mm-dd"),시편_시리즈!$Y$2:$Y$151,0)),""))</f>
        <v>시편 71편  백발이 될 때에도</v>
      </c>
      <c r="G166" s="23" t="n">
        <f aca="false">IF(B166="","",(D166&lt;&gt;"")+(E166&lt;&gt;"")+(F166&lt;&gt;""))</f>
        <v>2</v>
      </c>
      <c r="H166" s="31" t="s">
        <v>10282</v>
      </c>
    </row>
    <row r="167" customFormat="false" ht="15" hidden="false" customHeight="false" outlineLevel="0" collapsed="false">
      <c r="A167" s="23" t="n">
        <f aca="false">IF(B167="","",166)</f>
        <v>166</v>
      </c>
      <c r="B167" s="26" t="n">
        <f aca="false">IF(안내!$C$9+165&gt;MAX(MAX(A타입_제작표!$U$2:$U$799),MAX(시편_시리즈!$Q$2:$Q$151)),"",안내!$C$9+165)</f>
        <v>46556</v>
      </c>
      <c r="C167" s="23" t="str">
        <f aca="false">IF(B167="","",CHOOSE(WEEKDAY(B167,2),"월","화","수","목","금","토","일"))</f>
        <v>금</v>
      </c>
      <c r="D167" s="24" t="str">
        <f aca="false">IF(B167="","",IFERROR(INDEX(A타입_제작표!$J$2:$J$799,MATCH("구약|"&amp;TEXT(B167,"yyyy-mm-dd"),A타입_제작표!$AQ$2:$AQ$799,0))&amp;"  "&amp;INDEX(A타입_제작표!$L$2:$L$799,MATCH("구약|"&amp;TEXT(B167,"yyyy-mm-dd"),A타입_제작표!$AQ$2:$AQ$799,0)),""))</f>
        <v>애 3:1-66  아침마다 새로우니</v>
      </c>
      <c r="E167" s="24" t="str">
        <f aca="false">IF(B167="","",IFERROR(INDEX(A타입_제작표!$J$2:$J$799,MATCH("신약|"&amp;TEXT(B167,"yyyy-mm-dd"),A타입_제작표!$AQ$2:$AQ$799,0))&amp;"  "&amp;INDEX(A타입_제작표!$L$2:$L$799,MATCH("신약|"&amp;TEXT(B167,"yyyy-mm-dd"),A타입_제작표!$AQ$2:$AQ$799,0)),""))</f>
        <v>갈 5:16-26  성령의 열매</v>
      </c>
      <c r="F167" s="24" t="str">
        <f aca="false">IF(B167="","",IFERROR("시편 "&amp;INDEX(시편_시리즈!$A$2:$A$151,MATCH("시편|"&amp;TEXT(B167,"yyyy-mm-dd"),시편_시리즈!$Y$2:$Y$151,0))&amp;"편  "&amp;INDEX(시편_시리즈!$G$2:$G$151,MATCH("시편|"&amp;TEXT(B167,"yyyy-mm-dd"),시편_시리즈!$Y$2:$Y$151,0)),""))</f>
        <v/>
      </c>
      <c r="G167" s="23" t="n">
        <f aca="false">IF(B167="","",(D167&lt;&gt;"")+(E167&lt;&gt;"")+(F167&lt;&gt;""))</f>
        <v>2</v>
      </c>
      <c r="H167" s="31" t="s">
        <v>10282</v>
      </c>
    </row>
    <row r="168" customFormat="false" ht="15" hidden="false" customHeight="false" outlineLevel="0" collapsed="false">
      <c r="A168" s="23" t="n">
        <f aca="false">IF(B168="","",167)</f>
        <v>167</v>
      </c>
      <c r="B168" s="26" t="n">
        <f aca="false">IF(안내!$C$9+166&gt;MAX(MAX(A타입_제작표!$U$2:$U$799),MAX(시편_시리즈!$Q$2:$Q$151)),"",안내!$C$9+166)</f>
        <v>46557</v>
      </c>
      <c r="C168" s="23" t="str">
        <f aca="false">IF(B168="","",CHOOSE(WEEKDAY(B168,2),"월","화","수","목","금","토","일"))</f>
        <v>토</v>
      </c>
      <c r="D168" s="24" t="str">
        <f aca="false">IF(B168="","",IFERROR(INDEX(A타입_제작표!$J$2:$J$799,MATCH("구약|"&amp;TEXT(B168,"yyyy-mm-dd"),A타입_제작표!$AQ$2:$AQ$799,0))&amp;"  "&amp;INDEX(A타입_제작표!$L$2:$L$799,MATCH("구약|"&amp;TEXT(B168,"yyyy-mm-dd"),A타입_제작표!$AQ$2:$AQ$799,0)),""))</f>
        <v>겔 37:1-14  마른 뼈 골짜기</v>
      </c>
      <c r="E168" s="24" t="str">
        <f aca="false">IF(B168="","",IFERROR(INDEX(A타입_제작표!$J$2:$J$799,MATCH("신약|"&amp;TEXT(B168,"yyyy-mm-dd"),A타입_제작표!$AQ$2:$AQ$799,0))&amp;"  "&amp;INDEX(A타입_제작표!$L$2:$L$799,MATCH("신약|"&amp;TEXT(B168,"yyyy-mm-dd"),A타입_제작표!$AQ$2:$AQ$799,0)),""))</f>
        <v>엡 2:1-10  은혜로 구원받았다</v>
      </c>
      <c r="F168" s="24" t="str">
        <f aca="false">IF(B168="","",IFERROR("시편 "&amp;INDEX(시편_시리즈!$A$2:$A$151,MATCH("시편|"&amp;TEXT(B168,"yyyy-mm-dd"),시편_시리즈!$Y$2:$Y$151,0))&amp;"편  "&amp;INDEX(시편_시리즈!$G$2:$G$151,MATCH("시편|"&amp;TEXT(B168,"yyyy-mm-dd"),시편_시리즈!$Y$2:$Y$151,0)),""))</f>
        <v/>
      </c>
      <c r="G168" s="23" t="n">
        <f aca="false">IF(B168="","",(D168&lt;&gt;"")+(E168&lt;&gt;"")+(F168&lt;&gt;""))</f>
        <v>2</v>
      </c>
      <c r="H168" s="31" t="s">
        <v>10282</v>
      </c>
    </row>
    <row r="169" customFormat="false" ht="15" hidden="false" customHeight="false" outlineLevel="0" collapsed="false">
      <c r="A169" s="23" t="n">
        <f aca="false">IF(B169="","",168)</f>
        <v>168</v>
      </c>
      <c r="B169" s="26" t="n">
        <f aca="false">IF(안내!$C$9+167&gt;MAX(MAX(A타입_제작표!$U$2:$U$799),MAX(시편_시리즈!$Q$2:$Q$151)),"",안내!$C$9+167)</f>
        <v>46558</v>
      </c>
      <c r="C169" s="23" t="str">
        <f aca="false">IF(B169="","",CHOOSE(WEEKDAY(B169,2),"월","화","수","목","금","토","일"))</f>
        <v>일</v>
      </c>
      <c r="D169" s="24" t="str">
        <f aca="false">IF(B169="","",IFERROR(INDEX(A타입_제작표!$J$2:$J$799,MATCH("구약|"&amp;TEXT(B169,"yyyy-mm-dd"),A타입_제작표!$AQ$2:$AQ$799,0))&amp;"  "&amp;INDEX(A타입_제작표!$L$2:$L$799,MATCH("구약|"&amp;TEXT(B169,"yyyy-mm-dd"),A타입_제작표!$AQ$2:$AQ$799,0)),""))</f>
        <v>단 1:1-21  뜻을 정한 다니엘</v>
      </c>
      <c r="E169" s="24" t="str">
        <f aca="false">IF(B169="","",IFERROR(INDEX(A타입_제작표!$J$2:$J$799,MATCH("신약|"&amp;TEXT(B169,"yyyy-mm-dd"),A타입_제작표!$AQ$2:$AQ$799,0))&amp;"  "&amp;INDEX(A타입_제작표!$L$2:$L$799,MATCH("신약|"&amp;TEXT(B169,"yyyy-mm-dd"),A타입_제작표!$AQ$2:$AQ$799,0)),""))</f>
        <v/>
      </c>
      <c r="F169" s="24" t="str">
        <f aca="false">IF(B169="","",IFERROR("시편 "&amp;INDEX(시편_시리즈!$A$2:$A$151,MATCH("시편|"&amp;TEXT(B169,"yyyy-mm-dd"),시편_시리즈!$Y$2:$Y$151,0))&amp;"편  "&amp;INDEX(시편_시리즈!$G$2:$G$151,MATCH("시편|"&amp;TEXT(B169,"yyyy-mm-dd"),시편_시리즈!$Y$2:$Y$151,0)),""))</f>
        <v>시편 72편  바다에서 바다까지</v>
      </c>
      <c r="G169" s="23" t="n">
        <f aca="false">IF(B169="","",(D169&lt;&gt;"")+(E169&lt;&gt;"")+(F169&lt;&gt;""))</f>
        <v>2</v>
      </c>
      <c r="H169" s="31" t="s">
        <v>10282</v>
      </c>
    </row>
    <row r="170" customFormat="false" ht="15" hidden="false" customHeight="false" outlineLevel="0" collapsed="false">
      <c r="A170" s="23" t="n">
        <f aca="false">IF(B170="","",169)</f>
        <v>169</v>
      </c>
      <c r="B170" s="26" t="n">
        <f aca="false">IF(안내!$C$9+168&gt;MAX(MAX(A타입_제작표!$U$2:$U$799),MAX(시편_시리즈!$Q$2:$Q$151)),"",안내!$C$9+168)</f>
        <v>46559</v>
      </c>
      <c r="C170" s="23" t="str">
        <f aca="false">IF(B170="","",CHOOSE(WEEKDAY(B170,2),"월","화","수","목","금","토","일"))</f>
        <v>월</v>
      </c>
      <c r="D170" s="24" t="str">
        <f aca="false">IF(B170="","",IFERROR(INDEX(A타입_제작표!$J$2:$J$799,MATCH("구약|"&amp;TEXT(B170,"yyyy-mm-dd"),A타입_제작표!$AQ$2:$AQ$799,0))&amp;"  "&amp;INDEX(A타입_제작표!$L$2:$L$799,MATCH("구약|"&amp;TEXT(B170,"yyyy-mm-dd"),A타입_제작표!$AQ$2:$AQ$799,0)),""))</f>
        <v>단 3:1-18  그리 아니하실지라도</v>
      </c>
      <c r="E170" s="24" t="str">
        <f aca="false">IF(B170="","",IFERROR(INDEX(A타입_제작표!$J$2:$J$799,MATCH("신약|"&amp;TEXT(B170,"yyyy-mm-dd"),A타입_제작표!$AQ$2:$AQ$799,0))&amp;"  "&amp;INDEX(A타입_제작표!$L$2:$L$799,MATCH("신약|"&amp;TEXT(B170,"yyyy-mm-dd"),A타입_제작표!$AQ$2:$AQ$799,0)),""))</f>
        <v>엡 6:10-24  하나님의 전신 갑주</v>
      </c>
      <c r="F170" s="24" t="str">
        <f aca="false">IF(B170="","",IFERROR("시편 "&amp;INDEX(시편_시리즈!$A$2:$A$151,MATCH("시편|"&amp;TEXT(B170,"yyyy-mm-dd"),시편_시리즈!$Y$2:$Y$151,0))&amp;"편  "&amp;INDEX(시편_시리즈!$G$2:$G$151,MATCH("시편|"&amp;TEXT(B170,"yyyy-mm-dd"),시편_시리즈!$Y$2:$Y$151,0)),""))</f>
        <v/>
      </c>
      <c r="G170" s="23" t="n">
        <f aca="false">IF(B170="","",(D170&lt;&gt;"")+(E170&lt;&gt;"")+(F170&lt;&gt;""))</f>
        <v>2</v>
      </c>
      <c r="H170" s="31" t="s">
        <v>10282</v>
      </c>
    </row>
    <row r="171" customFormat="false" ht="15" hidden="false" customHeight="false" outlineLevel="0" collapsed="false">
      <c r="A171" s="23" t="n">
        <f aca="false">IF(B171="","",170)</f>
        <v>170</v>
      </c>
      <c r="B171" s="26" t="n">
        <f aca="false">IF(안내!$C$9+169&gt;MAX(MAX(A타입_제작표!$U$2:$U$799),MAX(시편_시리즈!$Q$2:$Q$151)),"",안내!$C$9+169)</f>
        <v>46560</v>
      </c>
      <c r="C171" s="23" t="str">
        <f aca="false">IF(B171="","",CHOOSE(WEEKDAY(B171,2),"월","화","수","목","금","토","일"))</f>
        <v>화</v>
      </c>
      <c r="D171" s="24" t="str">
        <f aca="false">IF(B171="","",IFERROR(INDEX(A타입_제작표!$J$2:$J$799,MATCH("구약|"&amp;TEXT(B171,"yyyy-mm-dd"),A타입_제작표!$AQ$2:$AQ$799,0))&amp;"  "&amp;INDEX(A타입_제작표!$L$2:$L$799,MATCH("구약|"&amp;TEXT(B171,"yyyy-mm-dd"),A타입_제작표!$AQ$2:$AQ$799,0)),""))</f>
        <v>단 3:19-30  풀무불 속 네 번째 사람</v>
      </c>
      <c r="E171" s="24" t="str">
        <f aca="false">IF(B171="","",IFERROR(INDEX(A타입_제작표!$J$2:$J$799,MATCH("신약|"&amp;TEXT(B171,"yyyy-mm-dd"),A타입_제작표!$AQ$2:$AQ$799,0))&amp;"  "&amp;INDEX(A타입_제작표!$L$2:$L$799,MATCH("신약|"&amp;TEXT(B171,"yyyy-mm-dd"),A타입_제작표!$AQ$2:$AQ$799,0)),""))</f>
        <v/>
      </c>
      <c r="F171" s="24" t="str">
        <f aca="false">IF(B171="","",IFERROR("시편 "&amp;INDEX(시편_시리즈!$A$2:$A$151,MATCH("시편|"&amp;TEXT(B171,"yyyy-mm-dd"),시편_시리즈!$Y$2:$Y$151,0))&amp;"편  "&amp;INDEX(시편_시리즈!$G$2:$G$151,MATCH("시편|"&amp;TEXT(B171,"yyyy-mm-dd"),시편_시리즈!$Y$2:$Y$151,0)),""))</f>
        <v>시편 73편  악인이 잘되는 것 같을 때</v>
      </c>
      <c r="G171" s="23" t="n">
        <f aca="false">IF(B171="","",(D171&lt;&gt;"")+(E171&lt;&gt;"")+(F171&lt;&gt;""))</f>
        <v>2</v>
      </c>
      <c r="H171" s="31" t="s">
        <v>10282</v>
      </c>
    </row>
    <row r="172" customFormat="false" ht="15" hidden="false" customHeight="false" outlineLevel="0" collapsed="false">
      <c r="A172" s="23" t="n">
        <f aca="false">IF(B172="","",171)</f>
        <v>171</v>
      </c>
      <c r="B172" s="26" t="n">
        <f aca="false">IF(안내!$C$9+170&gt;MAX(MAX(A타입_제작표!$U$2:$U$799),MAX(시편_시리즈!$Q$2:$Q$151)),"",안내!$C$9+170)</f>
        <v>46561</v>
      </c>
      <c r="C172" s="23" t="str">
        <f aca="false">IF(B172="","",CHOOSE(WEEKDAY(B172,2),"월","화","수","목","금","토","일"))</f>
        <v>수</v>
      </c>
      <c r="D172" s="24" t="str">
        <f aca="false">IF(B172="","",IFERROR(INDEX(A타입_제작표!$J$2:$J$799,MATCH("구약|"&amp;TEXT(B172,"yyyy-mm-dd"),A타입_제작표!$AQ$2:$AQ$799,0))&amp;"  "&amp;INDEX(A타입_제작표!$L$2:$L$799,MATCH("구약|"&amp;TEXT(B172,"yyyy-mm-dd"),A타입_제작표!$AQ$2:$AQ$799,0)),""))</f>
        <v>단 4:1-37  짐승처럼 된 왕</v>
      </c>
      <c r="E172" s="24" t="str">
        <f aca="false">IF(B172="","",IFERROR(INDEX(A타입_제작표!$J$2:$J$799,MATCH("신약|"&amp;TEXT(B172,"yyyy-mm-dd"),A타입_제작표!$AQ$2:$AQ$799,0))&amp;"  "&amp;INDEX(A타입_제작표!$L$2:$L$799,MATCH("신약|"&amp;TEXT(B172,"yyyy-mm-dd"),A타입_제작표!$AQ$2:$AQ$799,0)),""))</f>
        <v>히 11:1-40  믿음장</v>
      </c>
      <c r="F172" s="24" t="str">
        <f aca="false">IF(B172="","",IFERROR("시편 "&amp;INDEX(시편_시리즈!$A$2:$A$151,MATCH("시편|"&amp;TEXT(B172,"yyyy-mm-dd"),시편_시리즈!$Y$2:$Y$151,0))&amp;"편  "&amp;INDEX(시편_시리즈!$G$2:$G$151,MATCH("시편|"&amp;TEXT(B172,"yyyy-mm-dd"),시편_시리즈!$Y$2:$Y$151,0)),""))</f>
        <v/>
      </c>
      <c r="G172" s="23" t="n">
        <f aca="false">IF(B172="","",(D172&lt;&gt;"")+(E172&lt;&gt;"")+(F172&lt;&gt;""))</f>
        <v>2</v>
      </c>
      <c r="H172" s="31" t="s">
        <v>10282</v>
      </c>
    </row>
    <row r="173" customFormat="false" ht="15" hidden="false" customHeight="false" outlineLevel="0" collapsed="false">
      <c r="A173" s="23" t="n">
        <f aca="false">IF(B173="","",172)</f>
        <v>172</v>
      </c>
      <c r="B173" s="26" t="n">
        <f aca="false">IF(안내!$C$9+171&gt;MAX(MAX(A타입_제작표!$U$2:$U$799),MAX(시편_시리즈!$Q$2:$Q$151)),"",안내!$C$9+171)</f>
        <v>46562</v>
      </c>
      <c r="C173" s="23" t="str">
        <f aca="false">IF(B173="","",CHOOSE(WEEKDAY(B173,2),"월","화","수","목","금","토","일"))</f>
        <v>목</v>
      </c>
      <c r="D173" s="24" t="str">
        <f aca="false">IF(B173="","",IFERROR(INDEX(A타입_제작표!$J$2:$J$799,MATCH("구약|"&amp;TEXT(B173,"yyyy-mm-dd"),A타입_제작표!$AQ$2:$AQ$799,0))&amp;"  "&amp;INDEX(A타입_제작표!$L$2:$L$799,MATCH("구약|"&amp;TEXT(B173,"yyyy-mm-dd"),A타입_제작표!$AQ$2:$AQ$799,0)),""))</f>
        <v>단 5:1-31  벽에 나타난 손가락</v>
      </c>
      <c r="E173" s="24" t="str">
        <f aca="false">IF(B173="","",IFERROR(INDEX(A타입_제작표!$J$2:$J$799,MATCH("신약|"&amp;TEXT(B173,"yyyy-mm-dd"),A타입_제작표!$AQ$2:$AQ$799,0))&amp;"  "&amp;INDEX(A타입_제작표!$L$2:$L$799,MATCH("신약|"&amp;TEXT(B173,"yyyy-mm-dd"),A타입_제작표!$AQ$2:$AQ$799,0)),""))</f>
        <v/>
      </c>
      <c r="F173" s="24" t="str">
        <f aca="false">IF(B173="","",IFERROR("시편 "&amp;INDEX(시편_시리즈!$A$2:$A$151,MATCH("시편|"&amp;TEXT(B173,"yyyy-mm-dd"),시편_시리즈!$Y$2:$Y$151,0))&amp;"편  "&amp;INDEX(시편_시리즈!$G$2:$G$151,MATCH("시편|"&amp;TEXT(B173,"yyyy-mm-dd"),시편_시리즈!$Y$2:$Y$151,0)),""))</f>
        <v>시편 74편  무너진 성소</v>
      </c>
      <c r="G173" s="23" t="n">
        <f aca="false">IF(B173="","",(D173&lt;&gt;"")+(E173&lt;&gt;"")+(F173&lt;&gt;""))</f>
        <v>2</v>
      </c>
      <c r="H173" s="31" t="s">
        <v>10282</v>
      </c>
    </row>
    <row r="174" customFormat="false" ht="15" hidden="false" customHeight="false" outlineLevel="0" collapsed="false">
      <c r="A174" s="23" t="n">
        <f aca="false">IF(B174="","",173)</f>
        <v>173</v>
      </c>
      <c r="B174" s="26" t="n">
        <f aca="false">IF(안내!$C$9+172&gt;MAX(MAX(A타입_제작표!$U$2:$U$799),MAX(시편_시리즈!$Q$2:$Q$151)),"",안내!$C$9+172)</f>
        <v>46563</v>
      </c>
      <c r="C174" s="23" t="str">
        <f aca="false">IF(B174="","",CHOOSE(WEEKDAY(B174,2),"월","화","수","목","금","토","일"))</f>
        <v>금</v>
      </c>
      <c r="D174" s="24" t="str">
        <f aca="false">IF(B174="","",IFERROR(INDEX(A타입_제작표!$J$2:$J$799,MATCH("구약|"&amp;TEXT(B174,"yyyy-mm-dd"),A타입_제작표!$AQ$2:$AQ$799,0))&amp;"  "&amp;INDEX(A타입_제작표!$L$2:$L$799,MATCH("구약|"&amp;TEXT(B174,"yyyy-mm-dd"),A타입_제작표!$AQ$2:$AQ$799,0)),""))</f>
        <v>단 6:1-15  하루 세 번 기도</v>
      </c>
      <c r="E174" s="24" t="str">
        <f aca="false">IF(B174="","",IFERROR(INDEX(A타입_제작표!$J$2:$J$799,MATCH("신약|"&amp;TEXT(B174,"yyyy-mm-dd"),A타입_제작표!$AQ$2:$AQ$799,0))&amp;"  "&amp;INDEX(A타입_제작표!$L$2:$L$799,MATCH("신약|"&amp;TEXT(B174,"yyyy-mm-dd"),A타입_제작표!$AQ$2:$AQ$799,0)),""))</f>
        <v>계 3:7-22  문 밖에서 두드리시는 주님</v>
      </c>
      <c r="F174" s="24" t="str">
        <f aca="false">IF(B174="","",IFERROR("시편 "&amp;INDEX(시편_시리즈!$A$2:$A$151,MATCH("시편|"&amp;TEXT(B174,"yyyy-mm-dd"),시편_시리즈!$Y$2:$Y$151,0))&amp;"편  "&amp;INDEX(시편_시리즈!$G$2:$G$151,MATCH("시편|"&amp;TEXT(B174,"yyyy-mm-dd"),시편_시리즈!$Y$2:$Y$151,0)),""))</f>
        <v/>
      </c>
      <c r="G174" s="23" t="n">
        <f aca="false">IF(B174="","",(D174&lt;&gt;"")+(E174&lt;&gt;"")+(F174&lt;&gt;""))</f>
        <v>2</v>
      </c>
      <c r="H174" s="31" t="s">
        <v>10282</v>
      </c>
    </row>
    <row r="175" customFormat="false" ht="15" hidden="false" customHeight="false" outlineLevel="0" collapsed="false">
      <c r="A175" s="23" t="n">
        <f aca="false">IF(B175="","",174)</f>
        <v>174</v>
      </c>
      <c r="B175" s="26" t="n">
        <f aca="false">IF(안내!$C$9+173&gt;MAX(MAX(A타입_제작표!$U$2:$U$799),MAX(시편_시리즈!$Q$2:$Q$151)),"",안내!$C$9+173)</f>
        <v>46564</v>
      </c>
      <c r="C175" s="23" t="str">
        <f aca="false">IF(B175="","",CHOOSE(WEEKDAY(B175,2),"월","화","수","목","금","토","일"))</f>
        <v>토</v>
      </c>
      <c r="D175" s="24" t="str">
        <f aca="false">IF(B175="","",IFERROR(INDEX(A타입_제작표!$J$2:$J$799,MATCH("구약|"&amp;TEXT(B175,"yyyy-mm-dd"),A타입_제작표!$AQ$2:$AQ$799,0))&amp;"  "&amp;INDEX(A타입_제작표!$L$2:$L$799,MATCH("구약|"&amp;TEXT(B175,"yyyy-mm-dd"),A타입_제작표!$AQ$2:$AQ$799,0)),""))</f>
        <v>단 6:16-28  사자 굴</v>
      </c>
      <c r="E175" s="24" t="str">
        <f aca="false">IF(B175="","",IFERROR(INDEX(A타입_제작표!$J$2:$J$799,MATCH("신약|"&amp;TEXT(B175,"yyyy-mm-dd"),A타입_제작표!$AQ$2:$AQ$799,0))&amp;"  "&amp;INDEX(A타입_제작표!$L$2:$L$799,MATCH("신약|"&amp;TEXT(B175,"yyyy-mm-dd"),A타입_제작표!$AQ$2:$AQ$799,0)),""))</f>
        <v>계 5:1-14  일찍 죽임을 당한 어린양</v>
      </c>
      <c r="F175" s="24" t="str">
        <f aca="false">IF(B175="","",IFERROR("시편 "&amp;INDEX(시편_시리즈!$A$2:$A$151,MATCH("시편|"&amp;TEXT(B175,"yyyy-mm-dd"),시편_시리즈!$Y$2:$Y$151,0))&amp;"편  "&amp;INDEX(시편_시리즈!$G$2:$G$151,MATCH("시편|"&amp;TEXT(B175,"yyyy-mm-dd"),시편_시리즈!$Y$2:$Y$151,0)),""))</f>
        <v/>
      </c>
      <c r="G175" s="23" t="n">
        <f aca="false">IF(B175="","",(D175&lt;&gt;"")+(E175&lt;&gt;"")+(F175&lt;&gt;""))</f>
        <v>2</v>
      </c>
      <c r="H175" s="31" t="s">
        <v>10282</v>
      </c>
    </row>
    <row r="176" customFormat="false" ht="26.85" hidden="false" customHeight="false" outlineLevel="0" collapsed="false">
      <c r="A176" s="23" t="n">
        <f aca="false">IF(B176="","",175)</f>
        <v>175</v>
      </c>
      <c r="B176" s="26" t="n">
        <f aca="false">IF(안내!$C$9+174&gt;MAX(MAX(A타입_제작표!$U$2:$U$799),MAX(시편_시리즈!$Q$2:$Q$151)),"",안내!$C$9+174)</f>
        <v>46565</v>
      </c>
      <c r="C176" s="23" t="str">
        <f aca="false">IF(B176="","",CHOOSE(WEEKDAY(B176,2),"월","화","수","목","금","토","일"))</f>
        <v>일</v>
      </c>
      <c r="D176" s="24" t="str">
        <f aca="false">IF(B176="","",IFERROR(INDEX(A타입_제작표!$J$2:$J$799,MATCH("구약|"&amp;TEXT(B176,"yyyy-mm-dd"),A타입_제작표!$AQ$2:$AQ$799,0))&amp;"  "&amp;INDEX(A타입_제작표!$L$2:$L$799,MATCH("구약|"&amp;TEXT(B176,"yyyy-mm-dd"),A타입_제작표!$AQ$2:$AQ$799,0)),""))</f>
        <v>욘 1:1-3  반대로 간 선지자</v>
      </c>
      <c r="E176" s="24" t="str">
        <f aca="false">IF(B176="","",IFERROR(INDEX(A타입_제작표!$J$2:$J$799,MATCH("신약|"&amp;TEXT(B176,"yyyy-mm-dd"),A타입_제작표!$AQ$2:$AQ$799,0))&amp;"  "&amp;INDEX(A타입_제작표!$L$2:$L$799,MATCH("신약|"&amp;TEXT(B176,"yyyy-mm-dd"),A타입_제작표!$AQ$2:$AQ$799,0)),""))</f>
        <v/>
      </c>
      <c r="F176" s="24" t="str">
        <f aca="false">IF(B176="","",IFERROR("시편 "&amp;INDEX(시편_시리즈!$A$2:$A$151,MATCH("시편|"&amp;TEXT(B176,"yyyy-mm-dd"),시편_시리즈!$Y$2:$Y$151,0))&amp;"편  "&amp;INDEX(시편_시리즈!$G$2:$G$151,MATCH("시편|"&amp;TEXT(B176,"yyyy-mm-dd"),시편_시리즈!$Y$2:$Y$151,0)),""))</f>
        <v>시편 75편  높이시고 낮추시는 하나님</v>
      </c>
      <c r="G176" s="23" t="n">
        <f aca="false">IF(B176="","",(D176&lt;&gt;"")+(E176&lt;&gt;"")+(F176&lt;&gt;""))</f>
        <v>2</v>
      </c>
      <c r="H176" s="31" t="s">
        <v>10282</v>
      </c>
    </row>
    <row r="177" customFormat="false" ht="15" hidden="false" customHeight="false" outlineLevel="0" collapsed="false">
      <c r="A177" s="23" t="n">
        <f aca="false">IF(B177="","",176)</f>
        <v>176</v>
      </c>
      <c r="B177" s="26" t="n">
        <f aca="false">IF(안내!$C$9+175&gt;MAX(MAX(A타입_제작표!$U$2:$U$799),MAX(시편_시리즈!$Q$2:$Q$151)),"",안내!$C$9+175)</f>
        <v>46566</v>
      </c>
      <c r="C177" s="23" t="str">
        <f aca="false">IF(B177="","",CHOOSE(WEEKDAY(B177,2),"월","화","수","목","금","토","일"))</f>
        <v>월</v>
      </c>
      <c r="D177" s="24" t="str">
        <f aca="false">IF(B177="","",IFERROR(INDEX(A타입_제작표!$J$2:$J$799,MATCH("구약|"&amp;TEXT(B177,"yyyy-mm-dd"),A타입_제작표!$AQ$2:$AQ$799,0))&amp;"  "&amp;INDEX(A타입_제작표!$L$2:$L$799,MATCH("구약|"&amp;TEXT(B177,"yyyy-mm-dd"),A타입_제작표!$AQ$2:$AQ$799,0)),""))</f>
        <v>욘 1:4-17  폭풍과 큰 물고기</v>
      </c>
      <c r="E177" s="24" t="str">
        <f aca="false">IF(B177="","",IFERROR(INDEX(A타입_제작표!$J$2:$J$799,MATCH("신약|"&amp;TEXT(B177,"yyyy-mm-dd"),A타입_제작표!$AQ$2:$AQ$799,0))&amp;"  "&amp;INDEX(A타입_제작표!$L$2:$L$799,MATCH("신약|"&amp;TEXT(B177,"yyyy-mm-dd"),A타입_제작표!$AQ$2:$AQ$799,0)),""))</f>
        <v>계 19:1-10  어린양의 혼인 잔치</v>
      </c>
      <c r="F177" s="24" t="str">
        <f aca="false">IF(B177="","",IFERROR("시편 "&amp;INDEX(시편_시리즈!$A$2:$A$151,MATCH("시편|"&amp;TEXT(B177,"yyyy-mm-dd"),시편_시리즈!$Y$2:$Y$151,0))&amp;"편  "&amp;INDEX(시편_시리즈!$G$2:$G$151,MATCH("시편|"&amp;TEXT(B177,"yyyy-mm-dd"),시편_시리즈!$Y$2:$Y$151,0)),""))</f>
        <v/>
      </c>
      <c r="G177" s="23" t="n">
        <f aca="false">IF(B177="","",(D177&lt;&gt;"")+(E177&lt;&gt;"")+(F177&lt;&gt;""))</f>
        <v>2</v>
      </c>
      <c r="H177" s="31" t="s">
        <v>10282</v>
      </c>
    </row>
    <row r="178" customFormat="false" ht="15" hidden="false" customHeight="false" outlineLevel="0" collapsed="false">
      <c r="A178" s="23" t="n">
        <f aca="false">IF(B178="","",177)</f>
        <v>177</v>
      </c>
      <c r="B178" s="26" t="n">
        <f aca="false">IF(안내!$C$9+176&gt;MAX(MAX(A타입_제작표!$U$2:$U$799),MAX(시편_시리즈!$Q$2:$Q$151)),"",안내!$C$9+176)</f>
        <v>46567</v>
      </c>
      <c r="C178" s="23" t="str">
        <f aca="false">IF(B178="","",CHOOSE(WEEKDAY(B178,2),"월","화","수","목","금","토","일"))</f>
        <v>화</v>
      </c>
      <c r="D178" s="24" t="str">
        <f aca="false">IF(B178="","",IFERROR(INDEX(A타입_제작표!$J$2:$J$799,MATCH("구약|"&amp;TEXT(B178,"yyyy-mm-dd"),A타입_제작표!$AQ$2:$AQ$799,0))&amp;"  "&amp;INDEX(A타입_제작표!$L$2:$L$799,MATCH("구약|"&amp;TEXT(B178,"yyyy-mm-dd"),A타입_제작표!$AQ$2:$AQ$799,0)),""))</f>
        <v>욘 2:1-10  물고기 배 속의 기도</v>
      </c>
      <c r="E178" s="24" t="str">
        <f aca="false">IF(B178="","",IFERROR(INDEX(A타입_제작표!$J$2:$J$799,MATCH("신약|"&amp;TEXT(B178,"yyyy-mm-dd"),A타입_제작표!$AQ$2:$AQ$799,0))&amp;"  "&amp;INDEX(A타입_제작표!$L$2:$L$799,MATCH("신약|"&amp;TEXT(B178,"yyyy-mm-dd"),A타입_제작표!$AQ$2:$AQ$799,0)),""))</f>
        <v/>
      </c>
      <c r="F178" s="24" t="str">
        <f aca="false">IF(B178="","",IFERROR("시편 "&amp;INDEX(시편_시리즈!$A$2:$A$151,MATCH("시편|"&amp;TEXT(B178,"yyyy-mm-dd"),시편_시리즈!$Y$2:$Y$151,0))&amp;"편  "&amp;INDEX(시편_시리즈!$G$2:$G$151,MATCH("시편|"&amp;TEXT(B178,"yyyy-mm-dd"),시편_시리즈!$Y$2:$Y$151,0)),""))</f>
        <v>시편 76편  유다에 알려진 하나님</v>
      </c>
      <c r="G178" s="23" t="n">
        <f aca="false">IF(B178="","",(D178&lt;&gt;"")+(E178&lt;&gt;"")+(F178&lt;&gt;""))</f>
        <v>2</v>
      </c>
      <c r="H178" s="31" t="s">
        <v>10282</v>
      </c>
    </row>
    <row r="179" customFormat="false" ht="15" hidden="false" customHeight="false" outlineLevel="0" collapsed="false">
      <c r="A179" s="23" t="n">
        <f aca="false">IF(B179="","",178)</f>
        <v>178</v>
      </c>
      <c r="B179" s="26" t="n">
        <f aca="false">IF(안내!$C$9+177&gt;MAX(MAX(A타입_제작표!$U$2:$U$799),MAX(시편_시리즈!$Q$2:$Q$151)),"",안내!$C$9+177)</f>
        <v>46568</v>
      </c>
      <c r="C179" s="23" t="str">
        <f aca="false">IF(B179="","",CHOOSE(WEEKDAY(B179,2),"월","화","수","목","금","토","일"))</f>
        <v>수</v>
      </c>
      <c r="D179" s="24" t="str">
        <f aca="false">IF(B179="","",IFERROR(INDEX(A타입_제작표!$J$2:$J$799,MATCH("구약|"&amp;TEXT(B179,"yyyy-mm-dd"),A타입_제작표!$AQ$2:$AQ$799,0))&amp;"  "&amp;INDEX(A타입_제작표!$L$2:$L$799,MATCH("구약|"&amp;TEXT(B179,"yyyy-mm-dd"),A타입_제작표!$AQ$2:$AQ$799,0)),""))</f>
        <v>욘 3:1-10  니느웨의 회개</v>
      </c>
      <c r="E179" s="24" t="str">
        <f aca="false">IF(B179="","",IFERROR(INDEX(A타입_제작표!$J$2:$J$799,MATCH("신약|"&amp;TEXT(B179,"yyyy-mm-dd"),A타입_제작표!$AQ$2:$AQ$799,0))&amp;"  "&amp;INDEX(A타입_제작표!$L$2:$L$799,MATCH("신약|"&amp;TEXT(B179,"yyyy-mm-dd"),A타입_제작표!$AQ$2:$AQ$799,0)),""))</f>
        <v>계 21:1-8  새 하늘과 새 땅</v>
      </c>
      <c r="F179" s="24" t="str">
        <f aca="false">IF(B179="","",IFERROR("시편 "&amp;INDEX(시편_시리즈!$A$2:$A$151,MATCH("시편|"&amp;TEXT(B179,"yyyy-mm-dd"),시편_시리즈!$Y$2:$Y$151,0))&amp;"편  "&amp;INDEX(시편_시리즈!$G$2:$G$151,MATCH("시편|"&amp;TEXT(B179,"yyyy-mm-dd"),시편_시리즈!$Y$2:$Y$151,0)),""))</f>
        <v/>
      </c>
      <c r="G179" s="23" t="n">
        <f aca="false">IF(B179="","",(D179&lt;&gt;"")+(E179&lt;&gt;"")+(F179&lt;&gt;""))</f>
        <v>2</v>
      </c>
      <c r="H179" s="31" t="s">
        <v>10282</v>
      </c>
    </row>
    <row r="180" customFormat="false" ht="15" hidden="false" customHeight="false" outlineLevel="0" collapsed="false">
      <c r="A180" s="23" t="n">
        <f aca="false">IF(B180="","",179)</f>
        <v>179</v>
      </c>
      <c r="B180" s="26" t="n">
        <f aca="false">IF(안내!$C$9+178&gt;MAX(MAX(A타입_제작표!$U$2:$U$799),MAX(시편_시리즈!$Q$2:$Q$151)),"",안내!$C$9+178)</f>
        <v>46569</v>
      </c>
      <c r="C180" s="23" t="str">
        <f aca="false">IF(B180="","",CHOOSE(WEEKDAY(B180,2),"월","화","수","목","금","토","일"))</f>
        <v>목</v>
      </c>
      <c r="D180" s="24" t="str">
        <f aca="false">IF(B180="","",IFERROR(INDEX(A타입_제작표!$J$2:$J$799,MATCH("구약|"&amp;TEXT(B180,"yyyy-mm-dd"),A타입_제작표!$AQ$2:$AQ$799,0))&amp;"  "&amp;INDEX(A타입_제작표!$L$2:$L$799,MATCH("구약|"&amp;TEXT(B180,"yyyy-mm-dd"),A타입_제작표!$AQ$2:$AQ$799,0)),""))</f>
        <v>욘 4:1-11  박넝쿨</v>
      </c>
      <c r="E180" s="24" t="str">
        <f aca="false">IF(B180="","",IFERROR(INDEX(A타입_제작표!$J$2:$J$799,MATCH("신약|"&amp;TEXT(B180,"yyyy-mm-dd"),A타입_제작표!$AQ$2:$AQ$799,0))&amp;"  "&amp;INDEX(A타입_제작표!$L$2:$L$799,MATCH("신약|"&amp;TEXT(B180,"yyyy-mm-dd"),A타입_제작표!$AQ$2:$AQ$799,0)),""))</f>
        <v/>
      </c>
      <c r="F180" s="24" t="str">
        <f aca="false">IF(B180="","",IFERROR("시편 "&amp;INDEX(시편_시리즈!$A$2:$A$151,MATCH("시편|"&amp;TEXT(B180,"yyyy-mm-dd"),시편_시리즈!$Y$2:$Y$151,0))&amp;"편  "&amp;INDEX(시편_시리즈!$G$2:$G$151,MATCH("시편|"&amp;TEXT(B180,"yyyy-mm-dd"),시편_시리즈!$Y$2:$Y$151,0)),""))</f>
        <v>시편 77편  옛날을 기억하며</v>
      </c>
      <c r="G180" s="23" t="n">
        <f aca="false">IF(B180="","",(D180&lt;&gt;"")+(E180&lt;&gt;"")+(F180&lt;&gt;""))</f>
        <v>2</v>
      </c>
      <c r="H180" s="31" t="s">
        <v>10282</v>
      </c>
    </row>
    <row r="181" customFormat="false" ht="15" hidden="false" customHeight="false" outlineLevel="0" collapsed="false">
      <c r="A181" s="23" t="n">
        <f aca="false">IF(B181="","",180)</f>
        <v>180</v>
      </c>
      <c r="B181" s="26" t="n">
        <f aca="false">IF(안내!$C$9+179&gt;MAX(MAX(A타입_제작표!$U$2:$U$799),MAX(시편_시리즈!$Q$2:$Q$151)),"",안내!$C$9+179)</f>
        <v>46570</v>
      </c>
      <c r="C181" s="23" t="str">
        <f aca="false">IF(B181="","",CHOOSE(WEEKDAY(B181,2),"월","화","수","목","금","토","일"))</f>
        <v>금</v>
      </c>
      <c r="D181" s="24" t="str">
        <f aca="false">IF(B181="","",IFERROR(INDEX(A타입_제작표!$J$2:$J$799,MATCH("구약|"&amp;TEXT(B181,"yyyy-mm-dd"),A타입_제작표!$AQ$2:$AQ$799,0))&amp;"  "&amp;INDEX(A타입_제작표!$L$2:$L$799,MATCH("구약|"&amp;TEXT(B181,"yyyy-mm-dd"),A타입_제작표!$AQ$2:$AQ$799,0)),""))</f>
        <v>미 4:1-5:15  베들레헴 에브라다</v>
      </c>
      <c r="E181" s="24" t="str">
        <f aca="false">IF(B181="","",IFERROR(INDEX(A타입_제작표!$J$2:$J$799,MATCH("신약|"&amp;TEXT(B181,"yyyy-mm-dd"),A타입_제작표!$AQ$2:$AQ$799,0))&amp;"  "&amp;INDEX(A타입_제작표!$L$2:$L$799,MATCH("신약|"&amp;TEXT(B181,"yyyy-mm-dd"),A타입_제작표!$AQ$2:$AQ$799,0)),""))</f>
        <v>계 21:9-22:5  새 예루살렘</v>
      </c>
      <c r="F181" s="24" t="str">
        <f aca="false">IF(B181="","",IFERROR("시편 "&amp;INDEX(시편_시리즈!$A$2:$A$151,MATCH("시편|"&amp;TEXT(B181,"yyyy-mm-dd"),시편_시리즈!$Y$2:$Y$151,0))&amp;"편  "&amp;INDEX(시편_시리즈!$G$2:$G$151,MATCH("시편|"&amp;TEXT(B181,"yyyy-mm-dd"),시편_시리즈!$Y$2:$Y$151,0)),""))</f>
        <v/>
      </c>
      <c r="G181" s="23" t="n">
        <f aca="false">IF(B181="","",(D181&lt;&gt;"")+(E181&lt;&gt;"")+(F181&lt;&gt;""))</f>
        <v>2</v>
      </c>
      <c r="H181" s="31" t="s">
        <v>10282</v>
      </c>
    </row>
    <row r="182" customFormat="false" ht="15" hidden="false" customHeight="false" outlineLevel="0" collapsed="false">
      <c r="A182" s="23" t="n">
        <f aca="false">IF(B182="","",181)</f>
        <v>181</v>
      </c>
      <c r="B182" s="26" t="n">
        <f aca="false">IF(안내!$C$9+180&gt;MAX(MAX(A타입_제작표!$U$2:$U$799),MAX(시편_시리즈!$Q$2:$Q$151)),"",안내!$C$9+180)</f>
        <v>46571</v>
      </c>
      <c r="C182" s="23" t="str">
        <f aca="false">IF(B182="","",CHOOSE(WEEKDAY(B182,2),"월","화","수","목","금","토","일"))</f>
        <v>토</v>
      </c>
      <c r="D182" s="24" t="str">
        <f aca="false">IF(B182="","",IFERROR(INDEX(A타입_제작표!$J$2:$J$799,MATCH("구약|"&amp;TEXT(B182,"yyyy-mm-dd"),A타입_제작표!$AQ$2:$AQ$799,0))&amp;"  "&amp;INDEX(A타입_제작표!$L$2:$L$799,MATCH("구약|"&amp;TEXT(B182,"yyyy-mm-dd"),A타입_제작표!$AQ$2:$AQ$799,0)),""))</f>
        <v>합 2:2-20  의인은 믿음으로</v>
      </c>
      <c r="E182" s="24" t="str">
        <f aca="false">IF(B182="","",IFERROR(INDEX(A타입_제작표!$J$2:$J$799,MATCH("신약|"&amp;TEXT(B182,"yyyy-mm-dd"),A타입_제작표!$AQ$2:$AQ$799,0))&amp;"  "&amp;INDEX(A타입_제작표!$L$2:$L$799,MATCH("신약|"&amp;TEXT(B182,"yyyy-mm-dd"),A타입_제작표!$AQ$2:$AQ$799,0)),""))</f>
        <v>계 22:6-21  내가 속히 오리라</v>
      </c>
      <c r="F182" s="24" t="str">
        <f aca="false">IF(B182="","",IFERROR("시편 "&amp;INDEX(시편_시리즈!$A$2:$A$151,MATCH("시편|"&amp;TEXT(B182,"yyyy-mm-dd"),시편_시리즈!$Y$2:$Y$151,0))&amp;"편  "&amp;INDEX(시편_시리즈!$G$2:$G$151,MATCH("시편|"&amp;TEXT(B182,"yyyy-mm-dd"),시편_시리즈!$Y$2:$Y$151,0)),""))</f>
        <v/>
      </c>
      <c r="G182" s="23" t="n">
        <f aca="false">IF(B182="","",(D182&lt;&gt;"")+(E182&lt;&gt;"")+(F182&lt;&gt;""))</f>
        <v>2</v>
      </c>
      <c r="H182" s="31" t="s">
        <v>10282</v>
      </c>
    </row>
    <row r="183" customFormat="false" ht="15" hidden="false" customHeight="false" outlineLevel="0" collapsed="false">
      <c r="A183" s="23" t="n">
        <f aca="false">IF(B183="","",182)</f>
        <v>182</v>
      </c>
      <c r="B183" s="26" t="n">
        <f aca="false">IF(안내!$C$9+181&gt;MAX(MAX(A타입_제작표!$U$2:$U$799),MAX(시편_시리즈!$Q$2:$Q$151)),"",안내!$C$9+181)</f>
        <v>46572</v>
      </c>
      <c r="C183" s="23" t="str">
        <f aca="false">IF(B183="","",CHOOSE(WEEKDAY(B183,2),"월","화","수","목","금","토","일"))</f>
        <v>일</v>
      </c>
      <c r="D183" s="24" t="str">
        <f aca="false">IF(B183="","",IFERROR(INDEX(A타입_제작표!$J$2:$J$799,MATCH("구약|"&amp;TEXT(B183,"yyyy-mm-dd"),A타입_제작표!$AQ$2:$AQ$799,0))&amp;"  "&amp;INDEX(A타입_제작표!$L$2:$L$799,MATCH("구약|"&amp;TEXT(B183,"yyyy-mm-dd"),A타입_제작표!$AQ$2:$AQ$799,0)),""))</f>
        <v>말 4:1-6  의로운 해가 떠오르리라</v>
      </c>
      <c r="E183" s="24" t="str">
        <f aca="false">IF(B183="","",IFERROR(INDEX(A타입_제작표!$J$2:$J$799,MATCH("신약|"&amp;TEXT(B183,"yyyy-mm-dd"),A타입_제작표!$AQ$2:$AQ$799,0))&amp;"  "&amp;INDEX(A타입_제작표!$L$2:$L$799,MATCH("신약|"&amp;TEXT(B183,"yyyy-mm-dd"),A타입_제작표!$AQ$2:$AQ$799,0)),""))</f>
        <v/>
      </c>
      <c r="F183" s="24" t="str">
        <f aca="false">IF(B183="","",IFERROR("시편 "&amp;INDEX(시편_시리즈!$A$2:$A$151,MATCH("시편|"&amp;TEXT(B183,"yyyy-mm-dd"),시편_시리즈!$Y$2:$Y$151,0))&amp;"편  "&amp;INDEX(시편_시리즈!$G$2:$G$151,MATCH("시편|"&amp;TEXT(B183,"yyyy-mm-dd"),시편_시리즈!$Y$2:$Y$151,0)),""))</f>
        <v>시편 78편  다음 세대에 전하라</v>
      </c>
      <c r="G183" s="23" t="n">
        <f aca="false">IF(B183="","",(D183&lt;&gt;"")+(E183&lt;&gt;"")+(F183&lt;&gt;""))</f>
        <v>2</v>
      </c>
      <c r="H183" s="31" t="s">
        <v>10282</v>
      </c>
    </row>
    <row r="184" customFormat="false" ht="15" hidden="false" customHeight="false" outlineLevel="0" collapsed="false">
      <c r="A184" s="23" t="n">
        <f aca="false">IF(B184="","",183)</f>
        <v>183</v>
      </c>
      <c r="B184" s="26" t="n">
        <f aca="false">IF(안내!$C$9+182&gt;MAX(MAX(A타입_제작표!$U$2:$U$799),MAX(시편_시리즈!$Q$2:$Q$151)),"",안내!$C$9+182)</f>
        <v>46573</v>
      </c>
      <c r="C184" s="23" t="str">
        <f aca="false">IF(B184="","",CHOOSE(WEEKDAY(B184,2),"월","화","수","목","금","토","일"))</f>
        <v>월</v>
      </c>
      <c r="D184" s="24" t="str">
        <f aca="false">IF(B184="","",IFERROR(INDEX(A타입_제작표!$J$2:$J$799,MATCH("구약|"&amp;TEXT(B184,"yyyy-mm-dd"),A타입_제작표!$AQ$2:$AQ$799,0))&amp;"  "&amp;INDEX(A타입_제작표!$L$2:$L$799,MATCH("구약|"&amp;TEXT(B184,"yyyy-mm-dd"),A타입_제작표!$AQ$2:$AQ$799,0)),""))</f>
        <v/>
      </c>
      <c r="E184" s="24" t="str">
        <f aca="false">IF(B184="","",IFERROR(INDEX(A타입_제작표!$J$2:$J$799,MATCH("신약|"&amp;TEXT(B184,"yyyy-mm-dd"),A타입_제작표!$AQ$2:$AQ$799,0))&amp;"  "&amp;INDEX(A타입_제작표!$L$2:$L$799,MATCH("신약|"&amp;TEXT(B184,"yyyy-mm-dd"),A타입_제작표!$AQ$2:$AQ$799,0)),""))</f>
        <v/>
      </c>
      <c r="F184" s="24" t="str">
        <f aca="false">IF(B184="","",IFERROR("시편 "&amp;INDEX(시편_시리즈!$A$2:$A$151,MATCH("시편|"&amp;TEXT(B184,"yyyy-mm-dd"),시편_시리즈!$Y$2:$Y$151,0))&amp;"편  "&amp;INDEX(시편_시리즈!$G$2:$G$151,MATCH("시편|"&amp;TEXT(B184,"yyyy-mm-dd"),시편_시리즈!$Y$2:$Y$151,0)),""))</f>
        <v/>
      </c>
      <c r="G184" s="23" t="n">
        <f aca="false">IF(B184="","",(D184&lt;&gt;"")+(E184&lt;&gt;"")+(F184&lt;&gt;""))</f>
        <v>0</v>
      </c>
      <c r="H184" s="31" t="s">
        <v>10282</v>
      </c>
    </row>
    <row r="185" customFormat="false" ht="15" hidden="false" customHeight="false" outlineLevel="0" collapsed="false">
      <c r="A185" s="23" t="n">
        <f aca="false">IF(B185="","",184)</f>
        <v>184</v>
      </c>
      <c r="B185" s="26" t="n">
        <f aca="false">IF(안내!$C$9+183&gt;MAX(MAX(A타입_제작표!$U$2:$U$799),MAX(시편_시리즈!$Q$2:$Q$151)),"",안내!$C$9+183)</f>
        <v>46574</v>
      </c>
      <c r="C185" s="23" t="str">
        <f aca="false">IF(B185="","",CHOOSE(WEEKDAY(B185,2),"월","화","수","목","금","토","일"))</f>
        <v>화</v>
      </c>
      <c r="D185" s="24" t="str">
        <f aca="false">IF(B185="","",IFERROR(INDEX(A타입_제작표!$J$2:$J$799,MATCH("구약|"&amp;TEXT(B185,"yyyy-mm-dd"),A타입_제작표!$AQ$2:$AQ$799,0))&amp;"  "&amp;INDEX(A타입_제작표!$L$2:$L$799,MATCH("구약|"&amp;TEXT(B185,"yyyy-mm-dd"),A타입_제작표!$AQ$2:$AQ$799,0)),""))</f>
        <v/>
      </c>
      <c r="E185" s="24" t="str">
        <f aca="false">IF(B185="","",IFERROR(INDEX(A타입_제작표!$J$2:$J$799,MATCH("신약|"&amp;TEXT(B185,"yyyy-mm-dd"),A타입_제작표!$AQ$2:$AQ$799,0))&amp;"  "&amp;INDEX(A타입_제작표!$L$2:$L$799,MATCH("신약|"&amp;TEXT(B185,"yyyy-mm-dd"),A타입_제작표!$AQ$2:$AQ$799,0)),""))</f>
        <v/>
      </c>
      <c r="F185" s="24" t="str">
        <f aca="false">IF(B185="","",IFERROR("시편 "&amp;INDEX(시편_시리즈!$A$2:$A$151,MATCH("시편|"&amp;TEXT(B185,"yyyy-mm-dd"),시편_시리즈!$Y$2:$Y$151,0))&amp;"편  "&amp;INDEX(시편_시리즈!$G$2:$G$151,MATCH("시편|"&amp;TEXT(B185,"yyyy-mm-dd"),시편_시리즈!$Y$2:$Y$151,0)),""))</f>
        <v>시편 79편  주의 이름을 위하여</v>
      </c>
      <c r="G185" s="23" t="n">
        <f aca="false">IF(B185="","",(D185&lt;&gt;"")+(E185&lt;&gt;"")+(F185&lt;&gt;""))</f>
        <v>1</v>
      </c>
      <c r="H185" s="31" t="s">
        <v>10282</v>
      </c>
    </row>
    <row r="186" customFormat="false" ht="15" hidden="false" customHeight="false" outlineLevel="0" collapsed="false">
      <c r="A186" s="23" t="n">
        <f aca="false">IF(B186="","",185)</f>
        <v>185</v>
      </c>
      <c r="B186" s="26" t="n">
        <f aca="false">IF(안내!$C$9+184&gt;MAX(MAX(A타입_제작표!$U$2:$U$799),MAX(시편_시리즈!$Q$2:$Q$151)),"",안내!$C$9+184)</f>
        <v>46575</v>
      </c>
      <c r="C186" s="23" t="str">
        <f aca="false">IF(B186="","",CHOOSE(WEEKDAY(B186,2),"월","화","수","목","금","토","일"))</f>
        <v>수</v>
      </c>
      <c r="D186" s="24" t="str">
        <f aca="false">IF(B186="","",IFERROR(INDEX(A타입_제작표!$J$2:$J$799,MATCH("구약|"&amp;TEXT(B186,"yyyy-mm-dd"),A타입_제작표!$AQ$2:$AQ$799,0))&amp;"  "&amp;INDEX(A타입_제작표!$L$2:$L$799,MATCH("구약|"&amp;TEXT(B186,"yyyy-mm-dd"),A타입_제작표!$AQ$2:$AQ$799,0)),""))</f>
        <v/>
      </c>
      <c r="E186" s="24" t="str">
        <f aca="false">IF(B186="","",IFERROR(INDEX(A타입_제작표!$J$2:$J$799,MATCH("신약|"&amp;TEXT(B186,"yyyy-mm-dd"),A타입_제작표!$AQ$2:$AQ$799,0))&amp;"  "&amp;INDEX(A타입_제작표!$L$2:$L$799,MATCH("신약|"&amp;TEXT(B186,"yyyy-mm-dd"),A타입_제작표!$AQ$2:$AQ$799,0)),""))</f>
        <v/>
      </c>
      <c r="F186" s="24" t="str">
        <f aca="false">IF(B186="","",IFERROR("시편 "&amp;INDEX(시편_시리즈!$A$2:$A$151,MATCH("시편|"&amp;TEXT(B186,"yyyy-mm-dd"),시편_시리즈!$Y$2:$Y$151,0))&amp;"편  "&amp;INDEX(시편_시리즈!$G$2:$G$151,MATCH("시편|"&amp;TEXT(B186,"yyyy-mm-dd"),시편_시리즈!$Y$2:$Y$151,0)),""))</f>
        <v/>
      </c>
      <c r="G186" s="23" t="n">
        <f aca="false">IF(B186="","",(D186&lt;&gt;"")+(E186&lt;&gt;"")+(F186&lt;&gt;""))</f>
        <v>0</v>
      </c>
      <c r="H186" s="31" t="s">
        <v>10282</v>
      </c>
    </row>
    <row r="187" customFormat="false" ht="15" hidden="false" customHeight="false" outlineLevel="0" collapsed="false">
      <c r="A187" s="23" t="n">
        <f aca="false">IF(B187="","",186)</f>
        <v>186</v>
      </c>
      <c r="B187" s="26" t="n">
        <f aca="false">IF(안내!$C$9+185&gt;MAX(MAX(A타입_제작표!$U$2:$U$799),MAX(시편_시리즈!$Q$2:$Q$151)),"",안내!$C$9+185)</f>
        <v>46576</v>
      </c>
      <c r="C187" s="23" t="str">
        <f aca="false">IF(B187="","",CHOOSE(WEEKDAY(B187,2),"월","화","수","목","금","토","일"))</f>
        <v>목</v>
      </c>
      <c r="D187" s="24" t="str">
        <f aca="false">IF(B187="","",IFERROR(INDEX(A타입_제작표!$J$2:$J$799,MATCH("구약|"&amp;TEXT(B187,"yyyy-mm-dd"),A타입_제작표!$AQ$2:$AQ$799,0))&amp;"  "&amp;INDEX(A타입_제작표!$L$2:$L$799,MATCH("구약|"&amp;TEXT(B187,"yyyy-mm-dd"),A타입_제작표!$AQ$2:$AQ$799,0)),""))</f>
        <v/>
      </c>
      <c r="E187" s="24" t="str">
        <f aca="false">IF(B187="","",IFERROR(INDEX(A타입_제작표!$J$2:$J$799,MATCH("신약|"&amp;TEXT(B187,"yyyy-mm-dd"),A타입_제작표!$AQ$2:$AQ$799,0))&amp;"  "&amp;INDEX(A타입_제작표!$L$2:$L$799,MATCH("신약|"&amp;TEXT(B187,"yyyy-mm-dd"),A타입_제작표!$AQ$2:$AQ$799,0)),""))</f>
        <v/>
      </c>
      <c r="F187" s="24" t="str">
        <f aca="false">IF(B187="","",IFERROR("시편 "&amp;INDEX(시편_시리즈!$A$2:$A$151,MATCH("시편|"&amp;TEXT(B187,"yyyy-mm-dd"),시편_시리즈!$Y$2:$Y$151,0))&amp;"편  "&amp;INDEX(시편_시리즈!$G$2:$G$151,MATCH("시편|"&amp;TEXT(B187,"yyyy-mm-dd"),시편_시리즈!$Y$2:$Y$151,0)),""))</f>
        <v>시편 80편  우리를 돌이키소서</v>
      </c>
      <c r="G187" s="23" t="n">
        <f aca="false">IF(B187="","",(D187&lt;&gt;"")+(E187&lt;&gt;"")+(F187&lt;&gt;""))</f>
        <v>1</v>
      </c>
      <c r="H187" s="31" t="s">
        <v>10282</v>
      </c>
    </row>
    <row r="188" customFormat="false" ht="15" hidden="false" customHeight="false" outlineLevel="0" collapsed="false">
      <c r="A188" s="23" t="n">
        <f aca="false">IF(B188="","",187)</f>
        <v>187</v>
      </c>
      <c r="B188" s="26" t="n">
        <f aca="false">IF(안내!$C$9+186&gt;MAX(MAX(A타입_제작표!$U$2:$U$799),MAX(시편_시리즈!$Q$2:$Q$151)),"",안내!$C$9+186)</f>
        <v>46577</v>
      </c>
      <c r="C188" s="23" t="str">
        <f aca="false">IF(B188="","",CHOOSE(WEEKDAY(B188,2),"월","화","수","목","금","토","일"))</f>
        <v>금</v>
      </c>
      <c r="D188" s="24" t="str">
        <f aca="false">IF(B188="","",IFERROR(INDEX(A타입_제작표!$J$2:$J$799,MATCH("구약|"&amp;TEXT(B188,"yyyy-mm-dd"),A타입_제작표!$AQ$2:$AQ$799,0))&amp;"  "&amp;INDEX(A타입_제작표!$L$2:$L$799,MATCH("구약|"&amp;TEXT(B188,"yyyy-mm-dd"),A타입_제작표!$AQ$2:$AQ$799,0)),""))</f>
        <v/>
      </c>
      <c r="E188" s="24" t="str">
        <f aca="false">IF(B188="","",IFERROR(INDEX(A타입_제작표!$J$2:$J$799,MATCH("신약|"&amp;TEXT(B188,"yyyy-mm-dd"),A타입_제작표!$AQ$2:$AQ$799,0))&amp;"  "&amp;INDEX(A타입_제작표!$L$2:$L$799,MATCH("신약|"&amp;TEXT(B188,"yyyy-mm-dd"),A타입_제작표!$AQ$2:$AQ$799,0)),""))</f>
        <v/>
      </c>
      <c r="F188" s="24" t="str">
        <f aca="false">IF(B188="","",IFERROR("시편 "&amp;INDEX(시편_시리즈!$A$2:$A$151,MATCH("시편|"&amp;TEXT(B188,"yyyy-mm-dd"),시편_시리즈!$Y$2:$Y$151,0))&amp;"편  "&amp;INDEX(시편_시리즈!$G$2:$G$151,MATCH("시편|"&amp;TEXT(B188,"yyyy-mm-dd"),시편_시리즈!$Y$2:$Y$151,0)),""))</f>
        <v/>
      </c>
      <c r="G188" s="23" t="n">
        <f aca="false">IF(B188="","",(D188&lt;&gt;"")+(E188&lt;&gt;"")+(F188&lt;&gt;""))</f>
        <v>0</v>
      </c>
      <c r="H188" s="31" t="s">
        <v>10282</v>
      </c>
    </row>
    <row r="189" customFormat="false" ht="15" hidden="false" customHeight="false" outlineLevel="0" collapsed="false">
      <c r="A189" s="23" t="n">
        <f aca="false">IF(B189="","",188)</f>
        <v>188</v>
      </c>
      <c r="B189" s="26" t="n">
        <f aca="false">IF(안내!$C$9+187&gt;MAX(MAX(A타입_제작표!$U$2:$U$799),MAX(시편_시리즈!$Q$2:$Q$151)),"",안내!$C$9+187)</f>
        <v>46578</v>
      </c>
      <c r="C189" s="23" t="str">
        <f aca="false">IF(B189="","",CHOOSE(WEEKDAY(B189,2),"월","화","수","목","금","토","일"))</f>
        <v>토</v>
      </c>
      <c r="D189" s="24" t="str">
        <f aca="false">IF(B189="","",IFERROR(INDEX(A타입_제작표!$J$2:$J$799,MATCH("구약|"&amp;TEXT(B189,"yyyy-mm-dd"),A타입_제작표!$AQ$2:$AQ$799,0))&amp;"  "&amp;INDEX(A타입_제작표!$L$2:$L$799,MATCH("구약|"&amp;TEXT(B189,"yyyy-mm-dd"),A타입_제작표!$AQ$2:$AQ$799,0)),""))</f>
        <v/>
      </c>
      <c r="E189" s="24" t="str">
        <f aca="false">IF(B189="","",IFERROR(INDEX(A타입_제작표!$J$2:$J$799,MATCH("신약|"&amp;TEXT(B189,"yyyy-mm-dd"),A타입_제작표!$AQ$2:$AQ$799,0))&amp;"  "&amp;INDEX(A타입_제작표!$L$2:$L$799,MATCH("신약|"&amp;TEXT(B189,"yyyy-mm-dd"),A타입_제작표!$AQ$2:$AQ$799,0)),""))</f>
        <v/>
      </c>
      <c r="F189" s="24" t="str">
        <f aca="false">IF(B189="","",IFERROR("시편 "&amp;INDEX(시편_시리즈!$A$2:$A$151,MATCH("시편|"&amp;TEXT(B189,"yyyy-mm-dd"),시편_시리즈!$Y$2:$Y$151,0))&amp;"편  "&amp;INDEX(시편_시리즈!$G$2:$G$151,MATCH("시편|"&amp;TEXT(B189,"yyyy-mm-dd"),시편_시리즈!$Y$2:$Y$151,0)),""))</f>
        <v/>
      </c>
      <c r="G189" s="23" t="n">
        <f aca="false">IF(B189="","",(D189&lt;&gt;"")+(E189&lt;&gt;"")+(F189&lt;&gt;""))</f>
        <v>0</v>
      </c>
      <c r="H189" s="31" t="s">
        <v>10282</v>
      </c>
    </row>
    <row r="190" customFormat="false" ht="15" hidden="false" customHeight="false" outlineLevel="0" collapsed="false">
      <c r="A190" s="23" t="n">
        <f aca="false">IF(B190="","",189)</f>
        <v>189</v>
      </c>
      <c r="B190" s="26" t="n">
        <f aca="false">IF(안내!$C$9+188&gt;MAX(MAX(A타입_제작표!$U$2:$U$799),MAX(시편_시리즈!$Q$2:$Q$151)),"",안내!$C$9+188)</f>
        <v>46579</v>
      </c>
      <c r="C190" s="23" t="str">
        <f aca="false">IF(B190="","",CHOOSE(WEEKDAY(B190,2),"월","화","수","목","금","토","일"))</f>
        <v>일</v>
      </c>
      <c r="D190" s="24" t="str">
        <f aca="false">IF(B190="","",IFERROR(INDEX(A타입_제작표!$J$2:$J$799,MATCH("구약|"&amp;TEXT(B190,"yyyy-mm-dd"),A타입_제작표!$AQ$2:$AQ$799,0))&amp;"  "&amp;INDEX(A타입_제작표!$L$2:$L$799,MATCH("구약|"&amp;TEXT(B190,"yyyy-mm-dd"),A타입_제작표!$AQ$2:$AQ$799,0)),""))</f>
        <v/>
      </c>
      <c r="E190" s="24" t="str">
        <f aca="false">IF(B190="","",IFERROR(INDEX(A타입_제작표!$J$2:$J$799,MATCH("신약|"&amp;TEXT(B190,"yyyy-mm-dd"),A타입_제작표!$AQ$2:$AQ$799,0))&amp;"  "&amp;INDEX(A타입_제작표!$L$2:$L$799,MATCH("신약|"&amp;TEXT(B190,"yyyy-mm-dd"),A타입_제작표!$AQ$2:$AQ$799,0)),""))</f>
        <v/>
      </c>
      <c r="F190" s="24" t="str">
        <f aca="false">IF(B190="","",IFERROR("시편 "&amp;INDEX(시편_시리즈!$A$2:$A$151,MATCH("시편|"&amp;TEXT(B190,"yyyy-mm-dd"),시편_시리즈!$Y$2:$Y$151,0))&amp;"편  "&amp;INDEX(시편_시리즈!$G$2:$G$151,MATCH("시편|"&amp;TEXT(B190,"yyyy-mm-dd"),시편_시리즈!$Y$2:$Y$151,0)),""))</f>
        <v>시편 81편  입을 크게 열라</v>
      </c>
      <c r="G190" s="23" t="n">
        <f aca="false">IF(B190="","",(D190&lt;&gt;"")+(E190&lt;&gt;"")+(F190&lt;&gt;""))</f>
        <v>1</v>
      </c>
      <c r="H190" s="31" t="s">
        <v>10282</v>
      </c>
    </row>
    <row r="191" customFormat="false" ht="15" hidden="false" customHeight="false" outlineLevel="0" collapsed="false">
      <c r="A191" s="23" t="n">
        <f aca="false">IF(B191="","",190)</f>
        <v>190</v>
      </c>
      <c r="B191" s="26" t="n">
        <f aca="false">IF(안내!$C$9+189&gt;MAX(MAX(A타입_제작표!$U$2:$U$799),MAX(시편_시리즈!$Q$2:$Q$151)),"",안내!$C$9+189)</f>
        <v>46580</v>
      </c>
      <c r="C191" s="23" t="str">
        <f aca="false">IF(B191="","",CHOOSE(WEEKDAY(B191,2),"월","화","수","목","금","토","일"))</f>
        <v>월</v>
      </c>
      <c r="D191" s="24" t="str">
        <f aca="false">IF(B191="","",IFERROR(INDEX(A타입_제작표!$J$2:$J$799,MATCH("구약|"&amp;TEXT(B191,"yyyy-mm-dd"),A타입_제작표!$AQ$2:$AQ$799,0))&amp;"  "&amp;INDEX(A타입_제작표!$L$2:$L$799,MATCH("구약|"&amp;TEXT(B191,"yyyy-mm-dd"),A타입_제작표!$AQ$2:$AQ$799,0)),""))</f>
        <v>창 4:9-16  네 아우가 어디 있느냐</v>
      </c>
      <c r="E191" s="24" t="str">
        <f aca="false">IF(B191="","",IFERROR(INDEX(A타입_제작표!$J$2:$J$799,MATCH("신약|"&amp;TEXT(B191,"yyyy-mm-dd"),A타입_제작표!$AQ$2:$AQ$799,0))&amp;"  "&amp;INDEX(A타입_제작표!$L$2:$L$799,MATCH("신약|"&amp;TEXT(B191,"yyyy-mm-dd"),A타입_제작표!$AQ$2:$AQ$799,0)),""))</f>
        <v>마 1:1-17  예수님의 족보</v>
      </c>
      <c r="F191" s="24" t="str">
        <f aca="false">IF(B191="","",IFERROR("시편 "&amp;INDEX(시편_시리즈!$A$2:$A$151,MATCH("시편|"&amp;TEXT(B191,"yyyy-mm-dd"),시편_시리즈!$Y$2:$Y$151,0))&amp;"편  "&amp;INDEX(시편_시리즈!$G$2:$G$151,MATCH("시편|"&amp;TEXT(B191,"yyyy-mm-dd"),시편_시리즈!$Y$2:$Y$151,0)),""))</f>
        <v/>
      </c>
      <c r="G191" s="23" t="n">
        <f aca="false">IF(B191="","",(D191&lt;&gt;"")+(E191&lt;&gt;"")+(F191&lt;&gt;""))</f>
        <v>2</v>
      </c>
      <c r="H191" s="31" t="s">
        <v>10282</v>
      </c>
    </row>
    <row r="192" customFormat="false" ht="26.85" hidden="false" customHeight="false" outlineLevel="0" collapsed="false">
      <c r="A192" s="23" t="n">
        <f aca="false">IF(B192="","",191)</f>
        <v>191</v>
      </c>
      <c r="B192" s="26" t="n">
        <f aca="false">IF(안내!$C$9+190&gt;MAX(MAX(A타입_제작표!$U$2:$U$799),MAX(시편_시리즈!$Q$2:$Q$151)),"",안내!$C$9+190)</f>
        <v>46581</v>
      </c>
      <c r="C192" s="23" t="str">
        <f aca="false">IF(B192="","",CHOOSE(WEEKDAY(B192,2),"월","화","수","목","금","토","일"))</f>
        <v>화</v>
      </c>
      <c r="D192" s="24" t="str">
        <f aca="false">IF(B192="","",IFERROR(INDEX(A타입_제작표!$J$2:$J$799,MATCH("구약|"&amp;TEXT(B192,"yyyy-mm-dd"),A타입_제작표!$AQ$2:$AQ$799,0))&amp;"  "&amp;INDEX(A타입_제작표!$L$2:$L$799,MATCH("구약|"&amp;TEXT(B192,"yyyy-mm-dd"),A타입_제작표!$AQ$2:$AQ$799,0)),""))</f>
        <v>창 4:17-26  가인의 후손과 셋</v>
      </c>
      <c r="E192" s="24" t="str">
        <f aca="false">IF(B192="","",IFERROR(INDEX(A타입_제작표!$J$2:$J$799,MATCH("신약|"&amp;TEXT(B192,"yyyy-mm-dd"),A타입_제작표!$AQ$2:$AQ$799,0))&amp;"  "&amp;INDEX(A타입_제작표!$L$2:$L$799,MATCH("신약|"&amp;TEXT(B192,"yyyy-mm-dd"),A타입_제작표!$AQ$2:$AQ$799,0)),""))</f>
        <v/>
      </c>
      <c r="F192" s="24" t="str">
        <f aca="false">IF(B192="","",IFERROR("시편 "&amp;INDEX(시편_시리즈!$A$2:$A$151,MATCH("시편|"&amp;TEXT(B192,"yyyy-mm-dd"),시편_시리즈!$Y$2:$Y$151,0))&amp;"편  "&amp;INDEX(시편_시리즈!$G$2:$G$151,MATCH("시편|"&amp;TEXT(B192,"yyyy-mm-dd"),시편_시리즈!$Y$2:$Y$151,0)),""))</f>
        <v>시편 82편  재판관들을 재판하시는 하나님</v>
      </c>
      <c r="G192" s="23" t="n">
        <f aca="false">IF(B192="","",(D192&lt;&gt;"")+(E192&lt;&gt;"")+(F192&lt;&gt;""))</f>
        <v>2</v>
      </c>
      <c r="H192" s="31" t="s">
        <v>10282</v>
      </c>
    </row>
    <row r="193" customFormat="false" ht="15" hidden="false" customHeight="false" outlineLevel="0" collapsed="false">
      <c r="A193" s="23" t="n">
        <f aca="false">IF(B193="","",192)</f>
        <v>192</v>
      </c>
      <c r="B193" s="26" t="n">
        <f aca="false">IF(안내!$C$9+191&gt;MAX(MAX(A타입_제작표!$U$2:$U$799),MAX(시편_시리즈!$Q$2:$Q$151)),"",안내!$C$9+191)</f>
        <v>46582</v>
      </c>
      <c r="C193" s="23" t="str">
        <f aca="false">IF(B193="","",CHOOSE(WEEKDAY(B193,2),"월","화","수","목","금","토","일"))</f>
        <v>수</v>
      </c>
      <c r="D193" s="24" t="str">
        <f aca="false">IF(B193="","",IFERROR(INDEX(A타입_제작표!$J$2:$J$799,MATCH("구약|"&amp;TEXT(B193,"yyyy-mm-dd"),A타입_제작표!$AQ$2:$AQ$799,0))&amp;"  "&amp;INDEX(A타입_제작표!$L$2:$L$799,MATCH("구약|"&amp;TEXT(B193,"yyyy-mm-dd"),A타입_제작표!$AQ$2:$AQ$799,0)),""))</f>
        <v>창 9:18-29  노아의 실수와 세 아들</v>
      </c>
      <c r="E193" s="24" t="str">
        <f aca="false">IF(B193="","",IFERROR(INDEX(A타입_제작표!$J$2:$J$799,MATCH("신약|"&amp;TEXT(B193,"yyyy-mm-dd"),A타입_제작표!$AQ$2:$AQ$799,0))&amp;"  "&amp;INDEX(A타입_제작표!$L$2:$L$799,MATCH("신약|"&amp;TEXT(B193,"yyyy-mm-dd"),A타입_제작표!$AQ$2:$AQ$799,0)),""))</f>
        <v>마 2:13-23  애굽으로 피하다</v>
      </c>
      <c r="F193" s="24" t="str">
        <f aca="false">IF(B193="","",IFERROR("시편 "&amp;INDEX(시편_시리즈!$A$2:$A$151,MATCH("시편|"&amp;TEXT(B193,"yyyy-mm-dd"),시편_시리즈!$Y$2:$Y$151,0))&amp;"편  "&amp;INDEX(시편_시리즈!$G$2:$G$151,MATCH("시편|"&amp;TEXT(B193,"yyyy-mm-dd"),시편_시리즈!$Y$2:$Y$151,0)),""))</f>
        <v/>
      </c>
      <c r="G193" s="23" t="n">
        <f aca="false">IF(B193="","",(D193&lt;&gt;"")+(E193&lt;&gt;"")+(F193&lt;&gt;""))</f>
        <v>2</v>
      </c>
      <c r="H193" s="31" t="s">
        <v>10282</v>
      </c>
    </row>
    <row r="194" customFormat="false" ht="15" hidden="false" customHeight="false" outlineLevel="0" collapsed="false">
      <c r="A194" s="23" t="n">
        <f aca="false">IF(B194="","",193)</f>
        <v>193</v>
      </c>
      <c r="B194" s="26" t="n">
        <f aca="false">IF(안내!$C$9+192&gt;MAX(MAX(A타입_제작표!$U$2:$U$799),MAX(시편_시리즈!$Q$2:$Q$151)),"",안내!$C$9+192)</f>
        <v>46583</v>
      </c>
      <c r="C194" s="23" t="str">
        <f aca="false">IF(B194="","",CHOOSE(WEEKDAY(B194,2),"월","화","수","목","금","토","일"))</f>
        <v>목</v>
      </c>
      <c r="D194" s="24" t="str">
        <f aca="false">IF(B194="","",IFERROR(INDEX(A타입_제작표!$J$2:$J$799,MATCH("구약|"&amp;TEXT(B194,"yyyy-mm-dd"),A타입_제작표!$AQ$2:$AQ$799,0))&amp;"  "&amp;INDEX(A타입_제작표!$L$2:$L$799,MATCH("구약|"&amp;TEXT(B194,"yyyy-mm-dd"),A타입_제작표!$AQ$2:$AQ$799,0)),""))</f>
        <v>창 10:1-32  민족들의 시작</v>
      </c>
      <c r="E194" s="24" t="str">
        <f aca="false">IF(B194="","",IFERROR(INDEX(A타입_제작표!$J$2:$J$799,MATCH("신약|"&amp;TEXT(B194,"yyyy-mm-dd"),A타입_제작표!$AQ$2:$AQ$799,0))&amp;"  "&amp;INDEX(A타입_제작표!$L$2:$L$799,MATCH("신약|"&amp;TEXT(B194,"yyyy-mm-dd"),A타입_제작표!$AQ$2:$AQ$799,0)),""))</f>
        <v/>
      </c>
      <c r="F194" s="24" t="str">
        <f aca="false">IF(B194="","",IFERROR("시편 "&amp;INDEX(시편_시리즈!$A$2:$A$151,MATCH("시편|"&amp;TEXT(B194,"yyyy-mm-dd"),시편_시리즈!$Y$2:$Y$151,0))&amp;"편  "&amp;INDEX(시편_시리즈!$G$2:$G$151,MATCH("시편|"&amp;TEXT(B194,"yyyy-mm-dd"),시편_시리즈!$Y$2:$Y$151,0)),""))</f>
        <v>시편 83편  온 세계의 지존자</v>
      </c>
      <c r="G194" s="23" t="n">
        <f aca="false">IF(B194="","",(D194&lt;&gt;"")+(E194&lt;&gt;"")+(F194&lt;&gt;""))</f>
        <v>2</v>
      </c>
      <c r="H194" s="31" t="s">
        <v>10282</v>
      </c>
    </row>
    <row r="195" customFormat="false" ht="15" hidden="false" customHeight="false" outlineLevel="0" collapsed="false">
      <c r="A195" s="23" t="n">
        <f aca="false">IF(B195="","",194)</f>
        <v>194</v>
      </c>
      <c r="B195" s="26" t="n">
        <f aca="false">IF(안내!$C$9+193&gt;MAX(MAX(A타입_제작표!$U$2:$U$799),MAX(시편_시리즈!$Q$2:$Q$151)),"",안내!$C$9+193)</f>
        <v>46584</v>
      </c>
      <c r="C195" s="23" t="str">
        <f aca="false">IF(B195="","",CHOOSE(WEEKDAY(B195,2),"월","화","수","목","금","토","일"))</f>
        <v>금</v>
      </c>
      <c r="D195" s="24" t="str">
        <f aca="false">IF(B195="","",IFERROR(INDEX(A타입_제작표!$J$2:$J$799,MATCH("구약|"&amp;TEXT(B195,"yyyy-mm-dd"),A타입_제작표!$AQ$2:$AQ$799,0))&amp;"  "&amp;INDEX(A타입_제작표!$L$2:$L$799,MATCH("구약|"&amp;TEXT(B195,"yyyy-mm-dd"),A타입_제작표!$AQ$2:$AQ$799,0)),""))</f>
        <v>창 11:10-32  셈에서 아브람까지</v>
      </c>
      <c r="E195" s="24" t="str">
        <f aca="false">IF(B195="","",IFERROR(INDEX(A타입_제작표!$J$2:$J$799,MATCH("신약|"&amp;TEXT(B195,"yyyy-mm-dd"),A타입_제작표!$AQ$2:$AQ$799,0))&amp;"  "&amp;INDEX(A타입_제작표!$L$2:$L$799,MATCH("신약|"&amp;TEXT(B195,"yyyy-mm-dd"),A타입_제작표!$AQ$2:$AQ$799,0)),""))</f>
        <v>마 5:17-26  율법을 완전하게</v>
      </c>
      <c r="F195" s="24" t="str">
        <f aca="false">IF(B195="","",IFERROR("시편 "&amp;INDEX(시편_시리즈!$A$2:$A$151,MATCH("시편|"&amp;TEXT(B195,"yyyy-mm-dd"),시편_시리즈!$Y$2:$Y$151,0))&amp;"편  "&amp;INDEX(시편_시리즈!$G$2:$G$151,MATCH("시편|"&amp;TEXT(B195,"yyyy-mm-dd"),시편_시리즈!$Y$2:$Y$151,0)),""))</f>
        <v/>
      </c>
      <c r="G195" s="23" t="n">
        <f aca="false">IF(B195="","",(D195&lt;&gt;"")+(E195&lt;&gt;"")+(F195&lt;&gt;""))</f>
        <v>2</v>
      </c>
      <c r="H195" s="31" t="s">
        <v>10282</v>
      </c>
    </row>
    <row r="196" customFormat="false" ht="15" hidden="false" customHeight="false" outlineLevel="0" collapsed="false">
      <c r="A196" s="23" t="n">
        <f aca="false">IF(B196="","",195)</f>
        <v>195</v>
      </c>
      <c r="B196" s="26" t="n">
        <f aca="false">IF(안내!$C$9+194&gt;MAX(MAX(A타입_제작표!$U$2:$U$799),MAX(시편_시리즈!$Q$2:$Q$151)),"",안내!$C$9+194)</f>
        <v>46585</v>
      </c>
      <c r="C196" s="23" t="str">
        <f aca="false">IF(B196="","",CHOOSE(WEEKDAY(B196,2),"월","화","수","목","금","토","일"))</f>
        <v>토</v>
      </c>
      <c r="D196" s="24" t="str">
        <f aca="false">IF(B196="","",IFERROR(INDEX(A타입_제작표!$J$2:$J$799,MATCH("구약|"&amp;TEXT(B196,"yyyy-mm-dd"),A타입_제작표!$AQ$2:$AQ$799,0))&amp;"  "&amp;INDEX(A타입_제작표!$L$2:$L$799,MATCH("구약|"&amp;TEXT(B196,"yyyy-mm-dd"),A타입_제작표!$AQ$2:$AQ$799,0)),""))</f>
        <v>창 12:10-20  애굽에서의 거짓말</v>
      </c>
      <c r="E196" s="24" t="str">
        <f aca="false">IF(B196="","",IFERROR(INDEX(A타입_제작표!$J$2:$J$799,MATCH("신약|"&amp;TEXT(B196,"yyyy-mm-dd"),A타입_제작표!$AQ$2:$AQ$799,0))&amp;"  "&amp;INDEX(A타입_제작표!$L$2:$L$799,MATCH("신약|"&amp;TEXT(B196,"yyyy-mm-dd"),A타입_제작표!$AQ$2:$AQ$799,0)),""))</f>
        <v>마 5:27-48  원수를 사랑하라</v>
      </c>
      <c r="F196" s="24" t="str">
        <f aca="false">IF(B196="","",IFERROR("시편 "&amp;INDEX(시편_시리즈!$A$2:$A$151,MATCH("시편|"&amp;TEXT(B196,"yyyy-mm-dd"),시편_시리즈!$Y$2:$Y$151,0))&amp;"편  "&amp;INDEX(시편_시리즈!$G$2:$G$151,MATCH("시편|"&amp;TEXT(B196,"yyyy-mm-dd"),시편_시리즈!$Y$2:$Y$151,0)),""))</f>
        <v/>
      </c>
      <c r="G196" s="23" t="n">
        <f aca="false">IF(B196="","",(D196&lt;&gt;"")+(E196&lt;&gt;"")+(F196&lt;&gt;""))</f>
        <v>2</v>
      </c>
      <c r="H196" s="31" t="s">
        <v>10282</v>
      </c>
    </row>
    <row r="197" customFormat="false" ht="15" hidden="false" customHeight="false" outlineLevel="0" collapsed="false">
      <c r="A197" s="23" t="n">
        <f aca="false">IF(B197="","",196)</f>
        <v>196</v>
      </c>
      <c r="B197" s="26" t="n">
        <f aca="false">IF(안내!$C$9+195&gt;MAX(MAX(A타입_제작표!$U$2:$U$799),MAX(시편_시리즈!$Q$2:$Q$151)),"",안내!$C$9+195)</f>
        <v>46586</v>
      </c>
      <c r="C197" s="23" t="str">
        <f aca="false">IF(B197="","",CHOOSE(WEEKDAY(B197,2),"월","화","수","목","금","토","일"))</f>
        <v>일</v>
      </c>
      <c r="D197" s="24" t="str">
        <f aca="false">IF(B197="","",IFERROR(INDEX(A타입_제작표!$J$2:$J$799,MATCH("구약|"&amp;TEXT(B197,"yyyy-mm-dd"),A타입_제작표!$AQ$2:$AQ$799,0))&amp;"  "&amp;INDEX(A타입_제작표!$L$2:$L$799,MATCH("구약|"&amp;TEXT(B197,"yyyy-mm-dd"),A타입_제작표!$AQ$2:$AQ$799,0)),""))</f>
        <v>창 13:1-18  롯과 갈라서다</v>
      </c>
      <c r="E197" s="24" t="str">
        <f aca="false">IF(B197="","",IFERROR(INDEX(A타입_제작표!$J$2:$J$799,MATCH("신약|"&amp;TEXT(B197,"yyyy-mm-dd"),A타입_제작표!$AQ$2:$AQ$799,0))&amp;"  "&amp;INDEX(A타입_제작표!$L$2:$L$799,MATCH("신약|"&amp;TEXT(B197,"yyyy-mm-dd"),A타입_제작표!$AQ$2:$AQ$799,0)),""))</f>
        <v/>
      </c>
      <c r="F197" s="24" t="str">
        <f aca="false">IF(B197="","",IFERROR("시편 "&amp;INDEX(시편_시리즈!$A$2:$A$151,MATCH("시편|"&amp;TEXT(B197,"yyyy-mm-dd"),시편_시리즈!$Y$2:$Y$151,0))&amp;"편  "&amp;INDEX(시편_시리즈!$G$2:$G$151,MATCH("시편|"&amp;TEXT(B197,"yyyy-mm-dd"),시편_시리즈!$Y$2:$Y$151,0)),""))</f>
        <v>시편 84편  주의 집에서의 하루</v>
      </c>
      <c r="G197" s="23" t="n">
        <f aca="false">IF(B197="","",(D197&lt;&gt;"")+(E197&lt;&gt;"")+(F197&lt;&gt;""))</f>
        <v>2</v>
      </c>
      <c r="H197" s="31" t="s">
        <v>10282</v>
      </c>
    </row>
    <row r="198" customFormat="false" ht="15" hidden="false" customHeight="false" outlineLevel="0" collapsed="false">
      <c r="A198" s="23" t="n">
        <f aca="false">IF(B198="","",197)</f>
        <v>197</v>
      </c>
      <c r="B198" s="26" t="n">
        <f aca="false">IF(안내!$C$9+196&gt;MAX(MAX(A타입_제작표!$U$2:$U$799),MAX(시편_시리즈!$Q$2:$Q$151)),"",안내!$C$9+196)</f>
        <v>46587</v>
      </c>
      <c r="C198" s="23" t="str">
        <f aca="false">IF(B198="","",CHOOSE(WEEKDAY(B198,2),"월","화","수","목","금","토","일"))</f>
        <v>월</v>
      </c>
      <c r="D198" s="24" t="str">
        <f aca="false">IF(B198="","",IFERROR(INDEX(A타입_제작표!$J$2:$J$799,MATCH("구약|"&amp;TEXT(B198,"yyyy-mm-dd"),A타입_제작표!$AQ$2:$AQ$799,0))&amp;"  "&amp;INDEX(A타입_제작표!$L$2:$L$799,MATCH("구약|"&amp;TEXT(B198,"yyyy-mm-dd"),A타입_제작표!$AQ$2:$AQ$799,0)),""))</f>
        <v>창 14:1-24  롯을 구하고 멜기세덱을 만나다</v>
      </c>
      <c r="E198" s="24" t="str">
        <f aca="false">IF(B198="","",IFERROR(INDEX(A타입_제작표!$J$2:$J$799,MATCH("신약|"&amp;TEXT(B198,"yyyy-mm-dd"),A타입_제작표!$AQ$2:$AQ$799,0))&amp;"  "&amp;INDEX(A타입_제작표!$L$2:$L$799,MATCH("신약|"&amp;TEXT(B198,"yyyy-mm-dd"),A타입_제작표!$AQ$2:$AQ$799,0)),""))</f>
        <v>마 7:1-12  구하라 찾으라 두드리라</v>
      </c>
      <c r="F198" s="24" t="str">
        <f aca="false">IF(B198="","",IFERROR("시편 "&amp;INDEX(시편_시리즈!$A$2:$A$151,MATCH("시편|"&amp;TEXT(B198,"yyyy-mm-dd"),시편_시리즈!$Y$2:$Y$151,0))&amp;"편  "&amp;INDEX(시편_시리즈!$G$2:$G$151,MATCH("시편|"&amp;TEXT(B198,"yyyy-mm-dd"),시편_시리즈!$Y$2:$Y$151,0)),""))</f>
        <v/>
      </c>
      <c r="G198" s="23" t="n">
        <f aca="false">IF(B198="","",(D198&lt;&gt;"")+(E198&lt;&gt;"")+(F198&lt;&gt;""))</f>
        <v>2</v>
      </c>
      <c r="H198" s="31" t="s">
        <v>10282</v>
      </c>
    </row>
    <row r="199" customFormat="false" ht="15" hidden="false" customHeight="false" outlineLevel="0" collapsed="false">
      <c r="A199" s="23" t="n">
        <f aca="false">IF(B199="","",198)</f>
        <v>198</v>
      </c>
      <c r="B199" s="26" t="n">
        <f aca="false">IF(안내!$C$9+197&gt;MAX(MAX(A타입_제작표!$U$2:$U$799),MAX(시편_시리즈!$Q$2:$Q$151)),"",안내!$C$9+197)</f>
        <v>46588</v>
      </c>
      <c r="C199" s="23" t="str">
        <f aca="false">IF(B199="","",CHOOSE(WEEKDAY(B199,2),"월","화","수","목","금","토","일"))</f>
        <v>화</v>
      </c>
      <c r="D199" s="24" t="str">
        <f aca="false">IF(B199="","",IFERROR(INDEX(A타입_제작표!$J$2:$J$799,MATCH("구약|"&amp;TEXT(B199,"yyyy-mm-dd"),A타입_제작표!$AQ$2:$AQ$799,0))&amp;"  "&amp;INDEX(A타입_제작표!$L$2:$L$799,MATCH("구약|"&amp;TEXT(B199,"yyyy-mm-dd"),A타입_제작표!$AQ$2:$AQ$799,0)),""))</f>
        <v>창 16:1-16  하갈과 이스마엘</v>
      </c>
      <c r="E199" s="24" t="str">
        <f aca="false">IF(B199="","",IFERROR(INDEX(A타입_제작표!$J$2:$J$799,MATCH("신약|"&amp;TEXT(B199,"yyyy-mm-dd"),A타입_제작표!$AQ$2:$AQ$799,0))&amp;"  "&amp;INDEX(A타입_제작표!$L$2:$L$799,MATCH("신약|"&amp;TEXT(B199,"yyyy-mm-dd"),A타입_제작표!$AQ$2:$AQ$799,0)),""))</f>
        <v/>
      </c>
      <c r="F199" s="24" t="str">
        <f aca="false">IF(B199="","",IFERROR("시편 "&amp;INDEX(시편_시리즈!$A$2:$A$151,MATCH("시편|"&amp;TEXT(B199,"yyyy-mm-dd"),시편_시리즈!$Y$2:$Y$151,0))&amp;"편  "&amp;INDEX(시편_시리즈!$G$2:$G$151,MATCH("시편|"&amp;TEXT(B199,"yyyy-mm-dd"),시편_시리즈!$Y$2:$Y$151,0)),""))</f>
        <v>시편 85편  의와 화평이 입 맞추다</v>
      </c>
      <c r="G199" s="23" t="n">
        <f aca="false">IF(B199="","",(D199&lt;&gt;"")+(E199&lt;&gt;"")+(F199&lt;&gt;""))</f>
        <v>2</v>
      </c>
      <c r="H199" s="31" t="s">
        <v>10282</v>
      </c>
    </row>
    <row r="200" customFormat="false" ht="15" hidden="false" customHeight="false" outlineLevel="0" collapsed="false">
      <c r="A200" s="23" t="n">
        <f aca="false">IF(B200="","",199)</f>
        <v>199</v>
      </c>
      <c r="B200" s="26" t="n">
        <f aca="false">IF(안내!$C$9+198&gt;MAX(MAX(A타입_제작표!$U$2:$U$799),MAX(시편_시리즈!$Q$2:$Q$151)),"",안내!$C$9+198)</f>
        <v>46589</v>
      </c>
      <c r="C200" s="23" t="str">
        <f aca="false">IF(B200="","",CHOOSE(WEEKDAY(B200,2),"월","화","수","목","금","토","일"))</f>
        <v>수</v>
      </c>
      <c r="D200" s="24" t="str">
        <f aca="false">IF(B200="","",IFERROR(INDEX(A타입_제작표!$J$2:$J$799,MATCH("구약|"&amp;TEXT(B200,"yyyy-mm-dd"),A타입_제작표!$AQ$2:$AQ$799,0))&amp;"  "&amp;INDEX(A타입_제작표!$L$2:$L$799,MATCH("구약|"&amp;TEXT(B200,"yyyy-mm-dd"),A타입_제작표!$AQ$2:$AQ$799,0)),""))</f>
        <v>창 17:1-27  이름이 바뀌다</v>
      </c>
      <c r="E200" s="24" t="str">
        <f aca="false">IF(B200="","",IFERROR(INDEX(A타입_제작표!$J$2:$J$799,MATCH("신약|"&amp;TEXT(B200,"yyyy-mm-dd"),A타입_제작표!$AQ$2:$AQ$799,0))&amp;"  "&amp;INDEX(A타입_제작표!$L$2:$L$799,MATCH("신약|"&amp;TEXT(B200,"yyyy-mm-dd"),A타입_제작표!$AQ$2:$AQ$799,0)),""))</f>
        <v>마 8:28-9:8  죄를 사하는 권세</v>
      </c>
      <c r="F200" s="24" t="str">
        <f aca="false">IF(B200="","",IFERROR("시편 "&amp;INDEX(시편_시리즈!$A$2:$A$151,MATCH("시편|"&amp;TEXT(B200,"yyyy-mm-dd"),시편_시리즈!$Y$2:$Y$151,0))&amp;"편  "&amp;INDEX(시편_시리즈!$G$2:$G$151,MATCH("시편|"&amp;TEXT(B200,"yyyy-mm-dd"),시편_시리즈!$Y$2:$Y$151,0)),""))</f>
        <v/>
      </c>
      <c r="G200" s="23" t="n">
        <f aca="false">IF(B200="","",(D200&lt;&gt;"")+(E200&lt;&gt;"")+(F200&lt;&gt;""))</f>
        <v>2</v>
      </c>
      <c r="H200" s="31" t="s">
        <v>10282</v>
      </c>
    </row>
    <row r="201" customFormat="false" ht="26.85" hidden="false" customHeight="false" outlineLevel="0" collapsed="false">
      <c r="A201" s="23" t="n">
        <f aca="false">IF(B201="","",200)</f>
        <v>200</v>
      </c>
      <c r="B201" s="26" t="n">
        <f aca="false">IF(안내!$C$9+199&gt;MAX(MAX(A타입_제작표!$U$2:$U$799),MAX(시편_시리즈!$Q$2:$Q$151)),"",안내!$C$9+199)</f>
        <v>46590</v>
      </c>
      <c r="C201" s="23" t="str">
        <f aca="false">IF(B201="","",CHOOSE(WEEKDAY(B201,2),"월","화","수","목","금","토","일"))</f>
        <v>목</v>
      </c>
      <c r="D201" s="24" t="str">
        <f aca="false">IF(B201="","",IFERROR(INDEX(A타입_제작표!$J$2:$J$799,MATCH("구약|"&amp;TEXT(B201,"yyyy-mm-dd"),A타입_제작표!$AQ$2:$AQ$799,0))&amp;"  "&amp;INDEX(A타입_제작표!$L$2:$L$799,MATCH("구약|"&amp;TEXT(B201,"yyyy-mm-dd"),A타입_제작표!$AQ$2:$AQ$799,0)),""))</f>
        <v>창 18:16-33  의인 열 명만 있다면</v>
      </c>
      <c r="E201" s="24" t="str">
        <f aca="false">IF(B201="","",IFERROR(INDEX(A타입_제작표!$J$2:$J$799,MATCH("신약|"&amp;TEXT(B201,"yyyy-mm-dd"),A타입_제작표!$AQ$2:$AQ$799,0))&amp;"  "&amp;INDEX(A타입_제작표!$L$2:$L$799,MATCH("신약|"&amp;TEXT(B201,"yyyy-mm-dd"),A타입_제작표!$AQ$2:$AQ$799,0)),""))</f>
        <v/>
      </c>
      <c r="F201" s="24" t="str">
        <f aca="false">IF(B201="","",IFERROR("시편 "&amp;INDEX(시편_시리즈!$A$2:$A$151,MATCH("시편|"&amp;TEXT(B201,"yyyy-mm-dd"),시편_시리즈!$Y$2:$Y$151,0))&amp;"편  "&amp;INDEX(시편_시리즈!$G$2:$G$151,MATCH("시편|"&amp;TEXT(B201,"yyyy-mm-dd"),시편_시리즈!$Y$2:$Y$151,0)),""))</f>
        <v>시편 86편  사유하기를 즐거워하시는 주</v>
      </c>
      <c r="G201" s="23" t="n">
        <f aca="false">IF(B201="","",(D201&lt;&gt;"")+(E201&lt;&gt;"")+(F201&lt;&gt;""))</f>
        <v>2</v>
      </c>
      <c r="H201" s="31" t="s">
        <v>10282</v>
      </c>
    </row>
    <row r="202" customFormat="false" ht="15" hidden="false" customHeight="false" outlineLevel="0" collapsed="false">
      <c r="A202" s="23" t="n">
        <f aca="false">IF(B202="","",201)</f>
        <v>201</v>
      </c>
      <c r="B202" s="26" t="n">
        <f aca="false">IF(안내!$C$9+200&gt;MAX(MAX(A타입_제작표!$U$2:$U$799),MAX(시편_시리즈!$Q$2:$Q$151)),"",안내!$C$9+200)</f>
        <v>46591</v>
      </c>
      <c r="C202" s="23" t="str">
        <f aca="false">IF(B202="","",CHOOSE(WEEKDAY(B202,2),"월","화","수","목","금","토","일"))</f>
        <v>금</v>
      </c>
      <c r="D202" s="24" t="str">
        <f aca="false">IF(B202="","",IFERROR(INDEX(A타입_제작표!$J$2:$J$799,MATCH("구약|"&amp;TEXT(B202,"yyyy-mm-dd"),A타입_제작표!$AQ$2:$AQ$799,0))&amp;"  "&amp;INDEX(A타입_제작표!$L$2:$L$799,MATCH("구약|"&amp;TEXT(B202,"yyyy-mm-dd"),A타입_제작표!$AQ$2:$AQ$799,0)),""))</f>
        <v>창 19:1-38  소돔과 고모라</v>
      </c>
      <c r="E202" s="24" t="str">
        <f aca="false">IF(B202="","",IFERROR(INDEX(A타입_제작표!$J$2:$J$799,MATCH("신약|"&amp;TEXT(B202,"yyyy-mm-dd"),A타입_제작표!$AQ$2:$AQ$799,0))&amp;"  "&amp;INDEX(A타입_제작표!$L$2:$L$799,MATCH("신약|"&amp;TEXT(B202,"yyyy-mm-dd"),A타입_제작표!$AQ$2:$AQ$799,0)),""))</f>
        <v>마 9:9-17  세리 마태를 부르시다</v>
      </c>
      <c r="F202" s="24" t="str">
        <f aca="false">IF(B202="","",IFERROR("시편 "&amp;INDEX(시편_시리즈!$A$2:$A$151,MATCH("시편|"&amp;TEXT(B202,"yyyy-mm-dd"),시편_시리즈!$Y$2:$Y$151,0))&amp;"편  "&amp;INDEX(시편_시리즈!$G$2:$G$151,MATCH("시편|"&amp;TEXT(B202,"yyyy-mm-dd"),시편_시리즈!$Y$2:$Y$151,0)),""))</f>
        <v/>
      </c>
      <c r="G202" s="23" t="n">
        <f aca="false">IF(B202="","",(D202&lt;&gt;"")+(E202&lt;&gt;"")+(F202&lt;&gt;""))</f>
        <v>2</v>
      </c>
      <c r="H202" s="31" t="s">
        <v>10282</v>
      </c>
    </row>
    <row r="203" customFormat="false" ht="15" hidden="false" customHeight="false" outlineLevel="0" collapsed="false">
      <c r="A203" s="23" t="n">
        <f aca="false">IF(B203="","",202)</f>
        <v>202</v>
      </c>
      <c r="B203" s="26" t="n">
        <f aca="false">IF(안내!$C$9+201&gt;MAX(MAX(A타입_제작표!$U$2:$U$799),MAX(시편_시리즈!$Q$2:$Q$151)),"",안내!$C$9+201)</f>
        <v>46592</v>
      </c>
      <c r="C203" s="23" t="str">
        <f aca="false">IF(B203="","",CHOOSE(WEEKDAY(B203,2),"월","화","수","목","금","토","일"))</f>
        <v>토</v>
      </c>
      <c r="D203" s="24" t="str">
        <f aca="false">IF(B203="","",IFERROR(INDEX(A타입_제작표!$J$2:$J$799,MATCH("구약|"&amp;TEXT(B203,"yyyy-mm-dd"),A타입_제작표!$AQ$2:$AQ$799,0))&amp;"  "&amp;INDEX(A타입_제작표!$L$2:$L$799,MATCH("구약|"&amp;TEXT(B203,"yyyy-mm-dd"),A타입_제작표!$AQ$2:$AQ$799,0)),""))</f>
        <v>창 20:1-18  같은 실수를 또?</v>
      </c>
      <c r="E203" s="24" t="str">
        <f aca="false">IF(B203="","",IFERROR(INDEX(A타입_제작표!$J$2:$J$799,MATCH("신약|"&amp;TEXT(B203,"yyyy-mm-dd"),A타입_제작표!$AQ$2:$AQ$799,0))&amp;"  "&amp;INDEX(A타입_제작표!$L$2:$L$799,MATCH("신약|"&amp;TEXT(B203,"yyyy-mm-dd"),A타입_제작표!$AQ$2:$AQ$799,0)),""))</f>
        <v>마 9:35-10:42  열두 제자를 보내시다</v>
      </c>
      <c r="F203" s="24" t="str">
        <f aca="false">IF(B203="","",IFERROR("시편 "&amp;INDEX(시편_시리즈!$A$2:$A$151,MATCH("시편|"&amp;TEXT(B203,"yyyy-mm-dd"),시편_시리즈!$Y$2:$Y$151,0))&amp;"편  "&amp;INDEX(시편_시리즈!$G$2:$G$151,MATCH("시편|"&amp;TEXT(B203,"yyyy-mm-dd"),시편_시리즈!$Y$2:$Y$151,0)),""))</f>
        <v/>
      </c>
      <c r="G203" s="23" t="n">
        <f aca="false">IF(B203="","",(D203&lt;&gt;"")+(E203&lt;&gt;"")+(F203&lt;&gt;""))</f>
        <v>2</v>
      </c>
      <c r="H203" s="31" t="s">
        <v>10282</v>
      </c>
    </row>
    <row r="204" customFormat="false" ht="15" hidden="false" customHeight="false" outlineLevel="0" collapsed="false">
      <c r="A204" s="23" t="n">
        <f aca="false">IF(B204="","",203)</f>
        <v>203</v>
      </c>
      <c r="B204" s="26" t="n">
        <f aca="false">IF(안내!$C$9+202&gt;MAX(MAX(A타입_제작표!$U$2:$U$799),MAX(시편_시리즈!$Q$2:$Q$151)),"",안내!$C$9+202)</f>
        <v>46593</v>
      </c>
      <c r="C204" s="23" t="str">
        <f aca="false">IF(B204="","",CHOOSE(WEEKDAY(B204,2),"월","화","수","목","금","토","일"))</f>
        <v>일</v>
      </c>
      <c r="D204" s="24" t="str">
        <f aca="false">IF(B204="","",IFERROR(INDEX(A타입_제작표!$J$2:$J$799,MATCH("구약|"&amp;TEXT(B204,"yyyy-mm-dd"),A타입_제작표!$AQ$2:$AQ$799,0))&amp;"  "&amp;INDEX(A타입_제작표!$L$2:$L$799,MATCH("구약|"&amp;TEXT(B204,"yyyy-mm-dd"),A타입_제작표!$AQ$2:$AQ$799,0)),""))</f>
        <v>창 21:8-34  광야에서 우는 아이</v>
      </c>
      <c r="E204" s="24" t="str">
        <f aca="false">IF(B204="","",IFERROR(INDEX(A타입_제작표!$J$2:$J$799,MATCH("신약|"&amp;TEXT(B204,"yyyy-mm-dd"),A타입_제작표!$AQ$2:$AQ$799,0))&amp;"  "&amp;INDEX(A타입_제작표!$L$2:$L$799,MATCH("신약|"&amp;TEXT(B204,"yyyy-mm-dd"),A타입_제작표!$AQ$2:$AQ$799,0)),""))</f>
        <v/>
      </c>
      <c r="F204" s="24" t="str">
        <f aca="false">IF(B204="","",IFERROR("시편 "&amp;INDEX(시편_시리즈!$A$2:$A$151,MATCH("시편|"&amp;TEXT(B204,"yyyy-mm-dd"),시편_시리즈!$Y$2:$Y$151,0))&amp;"편  "&amp;INDEX(시편_시리즈!$G$2:$G$151,MATCH("시편|"&amp;TEXT(B204,"yyyy-mm-dd"),시편_시리즈!$Y$2:$Y$151,0)),""))</f>
        <v>시편 87편  시온에서 난 사람들</v>
      </c>
      <c r="G204" s="23" t="n">
        <f aca="false">IF(B204="","",(D204&lt;&gt;"")+(E204&lt;&gt;"")+(F204&lt;&gt;""))</f>
        <v>2</v>
      </c>
      <c r="H204" s="31" t="s">
        <v>10282</v>
      </c>
    </row>
    <row r="205" customFormat="false" ht="15" hidden="false" customHeight="false" outlineLevel="0" collapsed="false">
      <c r="A205" s="23" t="n">
        <f aca="false">IF(B205="","",204)</f>
        <v>204</v>
      </c>
      <c r="B205" s="26" t="n">
        <f aca="false">IF(안내!$C$9+203&gt;MAX(MAX(A타입_제작표!$U$2:$U$799),MAX(시편_시리즈!$Q$2:$Q$151)),"",안내!$C$9+203)</f>
        <v>46594</v>
      </c>
      <c r="C205" s="23" t="str">
        <f aca="false">IF(B205="","",CHOOSE(WEEKDAY(B205,2),"월","화","수","목","금","토","일"))</f>
        <v>월</v>
      </c>
      <c r="D205" s="24" t="str">
        <f aca="false">IF(B205="","",IFERROR(INDEX(A타입_제작표!$J$2:$J$799,MATCH("구약|"&amp;TEXT(B205,"yyyy-mm-dd"),A타입_제작표!$AQ$2:$AQ$799,0))&amp;"  "&amp;INDEX(A타입_제작표!$L$2:$L$799,MATCH("구약|"&amp;TEXT(B205,"yyyy-mm-dd"),A타입_제작표!$AQ$2:$AQ$799,0)),""))</f>
        <v>창 22:20-23:20  사라의 죽음과 막벨라 굴</v>
      </c>
      <c r="E205" s="24" t="str">
        <f aca="false">IF(B205="","",IFERROR(INDEX(A타입_제작표!$J$2:$J$799,MATCH("신약|"&amp;TEXT(B205,"yyyy-mm-dd"),A타입_제작표!$AQ$2:$AQ$799,0))&amp;"  "&amp;INDEX(A타입_제작표!$L$2:$L$799,MATCH("신약|"&amp;TEXT(B205,"yyyy-mm-dd"),A타입_제작표!$AQ$2:$AQ$799,0)),""))</f>
        <v>마 11:1-30  수고하고 무거운 짐 진 자들아</v>
      </c>
      <c r="F205" s="24" t="str">
        <f aca="false">IF(B205="","",IFERROR("시편 "&amp;INDEX(시편_시리즈!$A$2:$A$151,MATCH("시편|"&amp;TEXT(B205,"yyyy-mm-dd"),시편_시리즈!$Y$2:$Y$151,0))&amp;"편  "&amp;INDEX(시편_시리즈!$G$2:$G$151,MATCH("시편|"&amp;TEXT(B205,"yyyy-mm-dd"),시편_시리즈!$Y$2:$Y$151,0)),""))</f>
        <v/>
      </c>
      <c r="G205" s="23" t="n">
        <f aca="false">IF(B205="","",(D205&lt;&gt;"")+(E205&lt;&gt;"")+(F205&lt;&gt;""))</f>
        <v>2</v>
      </c>
      <c r="H205" s="31" t="s">
        <v>10282</v>
      </c>
    </row>
    <row r="206" customFormat="false" ht="15" hidden="false" customHeight="false" outlineLevel="0" collapsed="false">
      <c r="A206" s="23" t="n">
        <f aca="false">IF(B206="","",205)</f>
        <v>205</v>
      </c>
      <c r="B206" s="26" t="n">
        <f aca="false">IF(안내!$C$9+204&gt;MAX(MAX(A타입_제작표!$U$2:$U$799),MAX(시편_시리즈!$Q$2:$Q$151)),"",안내!$C$9+204)</f>
        <v>46595</v>
      </c>
      <c r="C206" s="23" t="str">
        <f aca="false">IF(B206="","",CHOOSE(WEEKDAY(B206,2),"월","화","수","목","금","토","일"))</f>
        <v>화</v>
      </c>
      <c r="D206" s="24" t="str">
        <f aca="false">IF(B206="","",IFERROR(INDEX(A타입_제작표!$J$2:$J$799,MATCH("구약|"&amp;TEXT(B206,"yyyy-mm-dd"),A타입_제작표!$AQ$2:$AQ$799,0))&amp;"  "&amp;INDEX(A타입_제작표!$L$2:$L$799,MATCH("구약|"&amp;TEXT(B206,"yyyy-mm-dd"),A타입_제작표!$AQ$2:$AQ$799,0)),""))</f>
        <v>창 24:28-67  가겠나이다</v>
      </c>
      <c r="E206" s="24" t="str">
        <f aca="false">IF(B206="","",IFERROR(INDEX(A타입_제작표!$J$2:$J$799,MATCH("신약|"&amp;TEXT(B206,"yyyy-mm-dd"),A타입_제작표!$AQ$2:$AQ$799,0))&amp;"  "&amp;INDEX(A타입_제작표!$L$2:$L$799,MATCH("신약|"&amp;TEXT(B206,"yyyy-mm-dd"),A타입_제작표!$AQ$2:$AQ$799,0)),""))</f>
        <v/>
      </c>
      <c r="F206" s="24" t="str">
        <f aca="false">IF(B206="","",IFERROR("시편 "&amp;INDEX(시편_시리즈!$A$2:$A$151,MATCH("시편|"&amp;TEXT(B206,"yyyy-mm-dd"),시편_시리즈!$Y$2:$Y$151,0))&amp;"편  "&amp;INDEX(시편_시리즈!$G$2:$G$151,MATCH("시편|"&amp;TEXT(B206,"yyyy-mm-dd"),시편_시리즈!$Y$2:$Y$151,0)),""))</f>
        <v>시편 88편  가장 어두운 시편</v>
      </c>
      <c r="G206" s="23" t="n">
        <f aca="false">IF(B206="","",(D206&lt;&gt;"")+(E206&lt;&gt;"")+(F206&lt;&gt;""))</f>
        <v>2</v>
      </c>
      <c r="H206" s="31" t="s">
        <v>10282</v>
      </c>
    </row>
    <row r="207" customFormat="false" ht="15" hidden="false" customHeight="false" outlineLevel="0" collapsed="false">
      <c r="A207" s="23" t="n">
        <f aca="false">IF(B207="","",206)</f>
        <v>206</v>
      </c>
      <c r="B207" s="26" t="n">
        <f aca="false">IF(안내!$C$9+205&gt;MAX(MAX(A타입_제작표!$U$2:$U$799),MAX(시편_시리즈!$Q$2:$Q$151)),"",안내!$C$9+205)</f>
        <v>46596</v>
      </c>
      <c r="C207" s="23" t="str">
        <f aca="false">IF(B207="","",CHOOSE(WEEKDAY(B207,2),"월","화","수","목","금","토","일"))</f>
        <v>수</v>
      </c>
      <c r="D207" s="24" t="str">
        <f aca="false">IF(B207="","",IFERROR(INDEX(A타입_제작표!$J$2:$J$799,MATCH("구약|"&amp;TEXT(B207,"yyyy-mm-dd"),A타입_제작표!$AQ$2:$AQ$799,0))&amp;"  "&amp;INDEX(A타입_제작표!$L$2:$L$799,MATCH("구약|"&amp;TEXT(B207,"yyyy-mm-dd"),A타입_제작표!$AQ$2:$AQ$799,0)),""))</f>
        <v>창 25:1-18  아브라함의 죽음</v>
      </c>
      <c r="E207" s="24" t="str">
        <f aca="false">IF(B207="","",IFERROR(INDEX(A타입_제작표!$J$2:$J$799,MATCH("신약|"&amp;TEXT(B207,"yyyy-mm-dd"),A타입_제작표!$AQ$2:$AQ$799,0))&amp;"  "&amp;INDEX(A타입_제작표!$L$2:$L$799,MATCH("신약|"&amp;TEXT(B207,"yyyy-mm-dd"),A타입_제작표!$AQ$2:$AQ$799,0)),""))</f>
        <v>마 12:1-50  안식일의 주인</v>
      </c>
      <c r="F207" s="24" t="str">
        <f aca="false">IF(B207="","",IFERROR("시편 "&amp;INDEX(시편_시리즈!$A$2:$A$151,MATCH("시편|"&amp;TEXT(B207,"yyyy-mm-dd"),시편_시리즈!$Y$2:$Y$151,0))&amp;"편  "&amp;INDEX(시편_시리즈!$G$2:$G$151,MATCH("시편|"&amp;TEXT(B207,"yyyy-mm-dd"),시편_시리즈!$Y$2:$Y$151,0)),""))</f>
        <v/>
      </c>
      <c r="G207" s="23" t="n">
        <f aca="false">IF(B207="","",(D207&lt;&gt;"")+(E207&lt;&gt;"")+(F207&lt;&gt;""))</f>
        <v>2</v>
      </c>
      <c r="H207" s="31" t="s">
        <v>10282</v>
      </c>
    </row>
    <row r="208" customFormat="false" ht="15" hidden="false" customHeight="false" outlineLevel="0" collapsed="false">
      <c r="A208" s="23" t="n">
        <f aca="false">IF(B208="","",207)</f>
        <v>207</v>
      </c>
      <c r="B208" s="26" t="n">
        <f aca="false">IF(안내!$C$9+206&gt;MAX(MAX(A타입_제작표!$U$2:$U$799),MAX(시편_시리즈!$Q$2:$Q$151)),"",안내!$C$9+206)</f>
        <v>46597</v>
      </c>
      <c r="C208" s="23" t="str">
        <f aca="false">IF(B208="","",CHOOSE(WEEKDAY(B208,2),"월","화","수","목","금","토","일"))</f>
        <v>목</v>
      </c>
      <c r="D208" s="24" t="str">
        <f aca="false">IF(B208="","",IFERROR(INDEX(A타입_제작표!$J$2:$J$799,MATCH("구약|"&amp;TEXT(B208,"yyyy-mm-dd"),A타입_제작표!$AQ$2:$AQ$799,0))&amp;"  "&amp;INDEX(A타입_제작표!$L$2:$L$799,MATCH("구약|"&amp;TEXT(B208,"yyyy-mm-dd"),A타입_제작표!$AQ$2:$AQ$799,0)),""))</f>
        <v>창 26:1-16  아버지의 실수를 아들도</v>
      </c>
      <c r="E208" s="24" t="str">
        <f aca="false">IF(B208="","",IFERROR(INDEX(A타입_제작표!$J$2:$J$799,MATCH("신약|"&amp;TEXT(B208,"yyyy-mm-dd"),A타입_제작표!$AQ$2:$AQ$799,0))&amp;"  "&amp;INDEX(A타입_제작표!$L$2:$L$799,MATCH("신약|"&amp;TEXT(B208,"yyyy-mm-dd"),A타입_제작표!$AQ$2:$AQ$799,0)),""))</f>
        <v/>
      </c>
      <c r="F208" s="24" t="str">
        <f aca="false">IF(B208="","",IFERROR("시편 "&amp;INDEX(시편_시리즈!$A$2:$A$151,MATCH("시편|"&amp;TEXT(B208,"yyyy-mm-dd"),시편_시리즈!$Y$2:$Y$151,0))&amp;"편  "&amp;INDEX(시편_시리즈!$G$2:$G$151,MATCH("시편|"&amp;TEXT(B208,"yyyy-mm-dd"),시편_시리즈!$Y$2:$Y$151,0)),""))</f>
        <v>시편 89편  영원한 언약</v>
      </c>
      <c r="G208" s="23" t="n">
        <f aca="false">IF(B208="","",(D208&lt;&gt;"")+(E208&lt;&gt;"")+(F208&lt;&gt;""))</f>
        <v>2</v>
      </c>
      <c r="H208" s="31" t="s">
        <v>10282</v>
      </c>
    </row>
    <row r="209" customFormat="false" ht="15" hidden="false" customHeight="false" outlineLevel="0" collapsed="false">
      <c r="A209" s="23" t="n">
        <f aca="false">IF(B209="","",208)</f>
        <v>208</v>
      </c>
      <c r="B209" s="26" t="n">
        <f aca="false">IF(안내!$C$9+207&gt;MAX(MAX(A타입_제작표!$U$2:$U$799),MAX(시편_시리즈!$Q$2:$Q$151)),"",안내!$C$9+207)</f>
        <v>46598</v>
      </c>
      <c r="C209" s="23" t="str">
        <f aca="false">IF(B209="","",CHOOSE(WEEKDAY(B209,2),"월","화","수","목","금","토","일"))</f>
        <v>금</v>
      </c>
      <c r="D209" s="24" t="str">
        <f aca="false">IF(B209="","",IFERROR(INDEX(A타입_제작표!$J$2:$J$799,MATCH("구약|"&amp;TEXT(B209,"yyyy-mm-dd"),A타입_제작표!$AQ$2:$AQ$799,0))&amp;"  "&amp;INDEX(A타입_제작표!$L$2:$L$799,MATCH("구약|"&amp;TEXT(B209,"yyyy-mm-dd"),A타입_제작표!$AQ$2:$AQ$799,0)),""))</f>
        <v>창 26:17-35  우물을 빼앗겨도</v>
      </c>
      <c r="E209" s="24" t="str">
        <f aca="false">IF(B209="","",IFERROR(INDEX(A타입_제작표!$J$2:$J$799,MATCH("신약|"&amp;TEXT(B209,"yyyy-mm-dd"),A타입_제작표!$AQ$2:$AQ$799,0))&amp;"  "&amp;INDEX(A타입_제작표!$L$2:$L$799,MATCH("신약|"&amp;TEXT(B209,"yyyy-mm-dd"),A타입_제작표!$AQ$2:$AQ$799,0)),""))</f>
        <v>마 13:24-58  천국은 마치</v>
      </c>
      <c r="F209" s="24" t="str">
        <f aca="false">IF(B209="","",IFERROR("시편 "&amp;INDEX(시편_시리즈!$A$2:$A$151,MATCH("시편|"&amp;TEXT(B209,"yyyy-mm-dd"),시편_시리즈!$Y$2:$Y$151,0))&amp;"편  "&amp;INDEX(시편_시리즈!$G$2:$G$151,MATCH("시편|"&amp;TEXT(B209,"yyyy-mm-dd"),시편_시리즈!$Y$2:$Y$151,0)),""))</f>
        <v/>
      </c>
      <c r="G209" s="23" t="n">
        <f aca="false">IF(B209="","",(D209&lt;&gt;"")+(E209&lt;&gt;"")+(F209&lt;&gt;""))</f>
        <v>2</v>
      </c>
      <c r="H209" s="31" t="s">
        <v>10282</v>
      </c>
    </row>
    <row r="210" customFormat="false" ht="15" hidden="false" customHeight="false" outlineLevel="0" collapsed="false">
      <c r="A210" s="23" t="n">
        <f aca="false">IF(B210="","",209)</f>
        <v>209</v>
      </c>
      <c r="B210" s="26" t="n">
        <f aca="false">IF(안내!$C$9+208&gt;MAX(MAX(A타입_제작표!$U$2:$U$799),MAX(시편_시리즈!$Q$2:$Q$151)),"",안내!$C$9+208)</f>
        <v>46599</v>
      </c>
      <c r="C210" s="23" t="str">
        <f aca="false">IF(B210="","",CHOOSE(WEEKDAY(B210,2),"월","화","수","목","금","토","일"))</f>
        <v>토</v>
      </c>
      <c r="D210" s="24" t="str">
        <f aca="false">IF(B210="","",IFERROR(INDEX(A타입_제작표!$J$2:$J$799,MATCH("구약|"&amp;TEXT(B210,"yyyy-mm-dd"),A타입_제작표!$AQ$2:$AQ$799,0))&amp;"  "&amp;INDEX(A타입_제작표!$L$2:$L$799,MATCH("구약|"&amp;TEXT(B210,"yyyy-mm-dd"),A타입_제작표!$AQ$2:$AQ$799,0)),""))</f>
        <v>창 27:30-28:9  형이 나를 죽이려 한다</v>
      </c>
      <c r="E210" s="24" t="str">
        <f aca="false">IF(B210="","",IFERROR(INDEX(A타입_제작표!$J$2:$J$799,MATCH("신약|"&amp;TEXT(B210,"yyyy-mm-dd"),A타입_제작표!$AQ$2:$AQ$799,0))&amp;"  "&amp;INDEX(A타입_제작표!$L$2:$L$799,MATCH("신약|"&amp;TEXT(B210,"yyyy-mm-dd"),A타입_제작표!$AQ$2:$AQ$799,0)),""))</f>
        <v>마 14:1-12  세례 요한의 죽음</v>
      </c>
      <c r="F210" s="24" t="str">
        <f aca="false">IF(B210="","",IFERROR("시편 "&amp;INDEX(시편_시리즈!$A$2:$A$151,MATCH("시편|"&amp;TEXT(B210,"yyyy-mm-dd"),시편_시리즈!$Y$2:$Y$151,0))&amp;"편  "&amp;INDEX(시편_시리즈!$G$2:$G$151,MATCH("시편|"&amp;TEXT(B210,"yyyy-mm-dd"),시편_시리즈!$Y$2:$Y$151,0)),""))</f>
        <v/>
      </c>
      <c r="G210" s="23" t="n">
        <f aca="false">IF(B210="","",(D210&lt;&gt;"")+(E210&lt;&gt;"")+(F210&lt;&gt;""))</f>
        <v>2</v>
      </c>
      <c r="H210" s="31" t="s">
        <v>10282</v>
      </c>
    </row>
    <row r="211" customFormat="false" ht="26.85" hidden="false" customHeight="false" outlineLevel="0" collapsed="false">
      <c r="A211" s="23" t="n">
        <f aca="false">IF(B211="","",210)</f>
        <v>210</v>
      </c>
      <c r="B211" s="26" t="n">
        <f aca="false">IF(안내!$C$9+209&gt;MAX(MAX(A타입_제작표!$U$2:$U$799),MAX(시편_시리즈!$Q$2:$Q$151)),"",안내!$C$9+209)</f>
        <v>46600</v>
      </c>
      <c r="C211" s="23" t="str">
        <f aca="false">IF(B211="","",CHOOSE(WEEKDAY(B211,2),"월","화","수","목","금","토","일"))</f>
        <v>일</v>
      </c>
      <c r="D211" s="24" t="str">
        <f aca="false">IF(B211="","",IFERROR(INDEX(A타입_제작표!$J$2:$J$799,MATCH("구약|"&amp;TEXT(B211,"yyyy-mm-dd"),A타입_제작표!$AQ$2:$AQ$799,0))&amp;"  "&amp;INDEX(A타입_제작표!$L$2:$L$799,MATCH("구약|"&amp;TEXT(B211,"yyyy-mm-dd"),A타입_제작표!$AQ$2:$AQ$799,0)),""))</f>
        <v>창 29:31-30:24  사랑받지 못한 레아</v>
      </c>
      <c r="E211" s="24" t="str">
        <f aca="false">IF(B211="","",IFERROR(INDEX(A타입_제작표!$J$2:$J$799,MATCH("신약|"&amp;TEXT(B211,"yyyy-mm-dd"),A타입_제작표!$AQ$2:$AQ$799,0))&amp;"  "&amp;INDEX(A타입_제작표!$L$2:$L$799,MATCH("신약|"&amp;TEXT(B211,"yyyy-mm-dd"),A타입_제작표!$AQ$2:$AQ$799,0)),""))</f>
        <v/>
      </c>
      <c r="F211" s="24" t="str">
        <f aca="false">IF(B211="","",IFERROR("시편 "&amp;INDEX(시편_시리즈!$A$2:$A$151,MATCH("시편|"&amp;TEXT(B211,"yyyy-mm-dd"),시편_시리즈!$Y$2:$Y$151,0))&amp;"편  "&amp;INDEX(시편_시리즈!$G$2:$G$151,MATCH("시편|"&amp;TEXT(B211,"yyyy-mm-dd"),시편_시리즈!$Y$2:$Y$151,0)),""))</f>
        <v>시편 90편  우리의 날 계수함을 가르치소서</v>
      </c>
      <c r="G211" s="23" t="n">
        <f aca="false">IF(B211="","",(D211&lt;&gt;"")+(E211&lt;&gt;"")+(F211&lt;&gt;""))</f>
        <v>2</v>
      </c>
      <c r="H211" s="31" t="s">
        <v>10282</v>
      </c>
    </row>
    <row r="212" customFormat="false" ht="15" hidden="false" customHeight="false" outlineLevel="0" collapsed="false">
      <c r="A212" s="23" t="n">
        <f aca="false">IF(B212="","",211)</f>
        <v>211</v>
      </c>
      <c r="B212" s="26" t="n">
        <f aca="false">IF(안내!$C$9+210&gt;MAX(MAX(A타입_제작표!$U$2:$U$799),MAX(시편_시리즈!$Q$2:$Q$151)),"",안내!$C$9+210)</f>
        <v>46601</v>
      </c>
      <c r="C212" s="23" t="str">
        <f aca="false">IF(B212="","",CHOOSE(WEEKDAY(B212,2),"월","화","수","목","금","토","일"))</f>
        <v>월</v>
      </c>
      <c r="D212" s="24" t="str">
        <f aca="false">IF(B212="","",IFERROR(INDEX(A타입_제작표!$J$2:$J$799,MATCH("구약|"&amp;TEXT(B212,"yyyy-mm-dd"),A타입_제작표!$AQ$2:$AQ$799,0))&amp;"  "&amp;INDEX(A타입_제작표!$L$2:$L$799,MATCH("구약|"&amp;TEXT(B212,"yyyy-mm-dd"),A타입_제작표!$AQ$2:$AQ$799,0)),""))</f>
        <v>창 30:25-43  얼룩 양 떼</v>
      </c>
      <c r="E212" s="24" t="str">
        <f aca="false">IF(B212="","",IFERROR(INDEX(A타입_제작표!$J$2:$J$799,MATCH("신약|"&amp;TEXT(B212,"yyyy-mm-dd"),A타입_제작표!$AQ$2:$AQ$799,0))&amp;"  "&amp;INDEX(A타입_제작표!$L$2:$L$799,MATCH("신약|"&amp;TEXT(B212,"yyyy-mm-dd"),A타입_제작표!$AQ$2:$AQ$799,0)),""))</f>
        <v>마 15:1-28  가나안 여인의 믿음</v>
      </c>
      <c r="F212" s="24" t="str">
        <f aca="false">IF(B212="","",IFERROR("시편 "&amp;INDEX(시편_시리즈!$A$2:$A$151,MATCH("시편|"&amp;TEXT(B212,"yyyy-mm-dd"),시편_시리즈!$Y$2:$Y$151,0))&amp;"편  "&amp;INDEX(시편_시리즈!$G$2:$G$151,MATCH("시편|"&amp;TEXT(B212,"yyyy-mm-dd"),시편_시리즈!$Y$2:$Y$151,0)),""))</f>
        <v/>
      </c>
      <c r="G212" s="23" t="n">
        <f aca="false">IF(B212="","",(D212&lt;&gt;"")+(E212&lt;&gt;"")+(F212&lt;&gt;""))</f>
        <v>2</v>
      </c>
      <c r="H212" s="31" t="s">
        <v>10282</v>
      </c>
    </row>
    <row r="213" customFormat="false" ht="15" hidden="false" customHeight="false" outlineLevel="0" collapsed="false">
      <c r="A213" s="23" t="n">
        <f aca="false">IF(B213="","",212)</f>
        <v>212</v>
      </c>
      <c r="B213" s="26" t="n">
        <f aca="false">IF(안내!$C$9+211&gt;MAX(MAX(A타입_제작표!$U$2:$U$799),MAX(시편_시리즈!$Q$2:$Q$151)),"",안내!$C$9+211)</f>
        <v>46602</v>
      </c>
      <c r="C213" s="23" t="str">
        <f aca="false">IF(B213="","",CHOOSE(WEEKDAY(B213,2),"월","화","수","목","금","토","일"))</f>
        <v>화</v>
      </c>
      <c r="D213" s="24" t="str">
        <f aca="false">IF(B213="","",IFERROR(INDEX(A타입_제작표!$J$2:$J$799,MATCH("구약|"&amp;TEXT(B213,"yyyy-mm-dd"),A타입_제작표!$AQ$2:$AQ$799,0))&amp;"  "&amp;INDEX(A타입_제작표!$L$2:$L$799,MATCH("구약|"&amp;TEXT(B213,"yyyy-mm-dd"),A타입_제작표!$AQ$2:$AQ$799,0)),""))</f>
        <v>창 31:1-21  20년 만의 귀향</v>
      </c>
      <c r="E213" s="24" t="str">
        <f aca="false">IF(B213="","",IFERROR(INDEX(A타입_제작표!$J$2:$J$799,MATCH("신약|"&amp;TEXT(B213,"yyyy-mm-dd"),A타입_제작표!$AQ$2:$AQ$799,0))&amp;"  "&amp;INDEX(A타입_제작표!$L$2:$L$799,MATCH("신약|"&amp;TEXT(B213,"yyyy-mm-dd"),A타입_제작표!$AQ$2:$AQ$799,0)),""))</f>
        <v/>
      </c>
      <c r="F213" s="24" t="str">
        <f aca="false">IF(B213="","",IFERROR("시편 "&amp;INDEX(시편_시리즈!$A$2:$A$151,MATCH("시편|"&amp;TEXT(B213,"yyyy-mm-dd"),시편_시리즈!$Y$2:$Y$151,0))&amp;"편  "&amp;INDEX(시편_시리즈!$G$2:$G$151,MATCH("시편|"&amp;TEXT(B213,"yyyy-mm-dd"),시편_시리즈!$Y$2:$Y$151,0)),""))</f>
        <v>시편 91편  전능자의 그늘 아래</v>
      </c>
      <c r="G213" s="23" t="n">
        <f aca="false">IF(B213="","",(D213&lt;&gt;"")+(E213&lt;&gt;"")+(F213&lt;&gt;""))</f>
        <v>2</v>
      </c>
      <c r="H213" s="31" t="s">
        <v>10282</v>
      </c>
    </row>
    <row r="214" customFormat="false" ht="15" hidden="false" customHeight="false" outlineLevel="0" collapsed="false">
      <c r="A214" s="23" t="n">
        <f aca="false">IF(B214="","",213)</f>
        <v>213</v>
      </c>
      <c r="B214" s="26" t="n">
        <f aca="false">IF(안내!$C$9+212&gt;MAX(MAX(A타입_제작표!$U$2:$U$799),MAX(시편_시리즈!$Q$2:$Q$151)),"",안내!$C$9+212)</f>
        <v>46603</v>
      </c>
      <c r="C214" s="23" t="str">
        <f aca="false">IF(B214="","",CHOOSE(WEEKDAY(B214,2),"월","화","수","목","금","토","일"))</f>
        <v>수</v>
      </c>
      <c r="D214" s="24" t="str">
        <f aca="false">IF(B214="","",IFERROR(INDEX(A타입_제작표!$J$2:$J$799,MATCH("구약|"&amp;TEXT(B214,"yyyy-mm-dd"),A타입_제작표!$AQ$2:$AQ$799,0))&amp;"  "&amp;INDEX(A타입_제작표!$L$2:$L$799,MATCH("구약|"&amp;TEXT(B214,"yyyy-mm-dd"),A타입_제작표!$AQ$2:$AQ$799,0)),""))</f>
        <v>창 31:22-55  미스바</v>
      </c>
      <c r="E214" s="24" t="str">
        <f aca="false">IF(B214="","",IFERROR(INDEX(A타입_제작표!$J$2:$J$799,MATCH("신약|"&amp;TEXT(B214,"yyyy-mm-dd"),A타입_제작표!$AQ$2:$AQ$799,0))&amp;"  "&amp;INDEX(A타입_제작표!$L$2:$L$799,MATCH("신약|"&amp;TEXT(B214,"yyyy-mm-dd"),A타입_제작표!$AQ$2:$AQ$799,0)),""))</f>
        <v>마 15:29-16:12  칠병이어와 바리새인의 누룩</v>
      </c>
      <c r="F214" s="24" t="str">
        <f aca="false">IF(B214="","",IFERROR("시편 "&amp;INDEX(시편_시리즈!$A$2:$A$151,MATCH("시편|"&amp;TEXT(B214,"yyyy-mm-dd"),시편_시리즈!$Y$2:$Y$151,0))&amp;"편  "&amp;INDEX(시편_시리즈!$G$2:$G$151,MATCH("시편|"&amp;TEXT(B214,"yyyy-mm-dd"),시편_시리즈!$Y$2:$Y$151,0)),""))</f>
        <v/>
      </c>
      <c r="G214" s="23" t="n">
        <f aca="false">IF(B214="","",(D214&lt;&gt;"")+(E214&lt;&gt;"")+(F214&lt;&gt;""))</f>
        <v>2</v>
      </c>
      <c r="H214" s="31" t="s">
        <v>10282</v>
      </c>
    </row>
    <row r="215" customFormat="false" ht="15" hidden="false" customHeight="false" outlineLevel="0" collapsed="false">
      <c r="A215" s="23" t="n">
        <f aca="false">IF(B215="","",214)</f>
        <v>214</v>
      </c>
      <c r="B215" s="26" t="n">
        <f aca="false">IF(안내!$C$9+213&gt;MAX(MAX(A타입_제작표!$U$2:$U$799),MAX(시편_시리즈!$Q$2:$Q$151)),"",안내!$C$9+213)</f>
        <v>46604</v>
      </c>
      <c r="C215" s="23" t="str">
        <f aca="false">IF(B215="","",CHOOSE(WEEKDAY(B215,2),"월","화","수","목","금","토","일"))</f>
        <v>목</v>
      </c>
      <c r="D215" s="24" t="str">
        <f aca="false">IF(B215="","",IFERROR(INDEX(A타입_제작표!$J$2:$J$799,MATCH("구약|"&amp;TEXT(B215,"yyyy-mm-dd"),A타입_제작표!$AQ$2:$AQ$799,0))&amp;"  "&amp;INDEX(A타입_제작표!$L$2:$L$799,MATCH("구약|"&amp;TEXT(B215,"yyyy-mm-dd"),A타입_제작표!$AQ$2:$AQ$799,0)),""))</f>
        <v>창 32:1-21  형이 400명을 데리고 온다</v>
      </c>
      <c r="E215" s="24" t="str">
        <f aca="false">IF(B215="","",IFERROR(INDEX(A타입_제작표!$J$2:$J$799,MATCH("신약|"&amp;TEXT(B215,"yyyy-mm-dd"),A타입_제작표!$AQ$2:$AQ$799,0))&amp;"  "&amp;INDEX(A타입_제작표!$L$2:$L$799,MATCH("신약|"&amp;TEXT(B215,"yyyy-mm-dd"),A타입_제작표!$AQ$2:$AQ$799,0)),""))</f>
        <v/>
      </c>
      <c r="F215" s="24" t="str">
        <f aca="false">IF(B215="","",IFERROR("시편 "&amp;INDEX(시편_시리즈!$A$2:$A$151,MATCH("시편|"&amp;TEXT(B215,"yyyy-mm-dd"),시편_시리즈!$Y$2:$Y$151,0))&amp;"편  "&amp;INDEX(시편_시리즈!$G$2:$G$151,MATCH("시편|"&amp;TEXT(B215,"yyyy-mm-dd"),시편_시리즈!$Y$2:$Y$151,0)),""))</f>
        <v>시편 92편  종려나무 같은 의인</v>
      </c>
      <c r="G215" s="23" t="n">
        <f aca="false">IF(B215="","",(D215&lt;&gt;"")+(E215&lt;&gt;"")+(F215&lt;&gt;""))</f>
        <v>2</v>
      </c>
      <c r="H215" s="31" t="s">
        <v>10282</v>
      </c>
    </row>
    <row r="216" customFormat="false" ht="15" hidden="false" customHeight="false" outlineLevel="0" collapsed="false">
      <c r="A216" s="23" t="n">
        <f aca="false">IF(B216="","",215)</f>
        <v>215</v>
      </c>
      <c r="B216" s="26" t="n">
        <f aca="false">IF(안내!$C$9+214&gt;MAX(MAX(A타입_제작표!$U$2:$U$799),MAX(시편_시리즈!$Q$2:$Q$151)),"",안내!$C$9+214)</f>
        <v>46605</v>
      </c>
      <c r="C216" s="23" t="str">
        <f aca="false">IF(B216="","",CHOOSE(WEEKDAY(B216,2),"월","화","수","목","금","토","일"))</f>
        <v>금</v>
      </c>
      <c r="D216" s="24" t="str">
        <f aca="false">IF(B216="","",IFERROR(INDEX(A타입_제작표!$J$2:$J$799,MATCH("구약|"&amp;TEXT(B216,"yyyy-mm-dd"),A타입_제작표!$AQ$2:$AQ$799,0))&amp;"  "&amp;INDEX(A타입_제작표!$L$2:$L$799,MATCH("구약|"&amp;TEXT(B216,"yyyy-mm-dd"),A타입_제작표!$AQ$2:$AQ$799,0)),""))</f>
        <v>창 34:1-31  세겜의 비극</v>
      </c>
      <c r="E216" s="24" t="str">
        <f aca="false">IF(B216="","",IFERROR(INDEX(A타입_제작표!$J$2:$J$799,MATCH("신약|"&amp;TEXT(B216,"yyyy-mm-dd"),A타입_제작표!$AQ$2:$AQ$799,0))&amp;"  "&amp;INDEX(A타입_제작표!$L$2:$L$799,MATCH("신약|"&amp;TEXT(B216,"yyyy-mm-dd"),A타입_제작표!$AQ$2:$AQ$799,0)),""))</f>
        <v>마 17:14-27  겨자씨만 한 믿음</v>
      </c>
      <c r="F216" s="24" t="str">
        <f aca="false">IF(B216="","",IFERROR("시편 "&amp;INDEX(시편_시리즈!$A$2:$A$151,MATCH("시편|"&amp;TEXT(B216,"yyyy-mm-dd"),시편_시리즈!$Y$2:$Y$151,0))&amp;"편  "&amp;INDEX(시편_시리즈!$G$2:$G$151,MATCH("시편|"&amp;TEXT(B216,"yyyy-mm-dd"),시편_시리즈!$Y$2:$Y$151,0)),""))</f>
        <v/>
      </c>
      <c r="G216" s="23" t="n">
        <f aca="false">IF(B216="","",(D216&lt;&gt;"")+(E216&lt;&gt;"")+(F216&lt;&gt;""))</f>
        <v>2</v>
      </c>
      <c r="H216" s="31" t="s">
        <v>10282</v>
      </c>
    </row>
    <row r="217" customFormat="false" ht="15" hidden="false" customHeight="false" outlineLevel="0" collapsed="false">
      <c r="A217" s="23" t="n">
        <f aca="false">IF(B217="","",216)</f>
        <v>216</v>
      </c>
      <c r="B217" s="26" t="n">
        <f aca="false">IF(안내!$C$9+215&gt;MAX(MAX(A타입_제작표!$U$2:$U$799),MAX(시편_시리즈!$Q$2:$Q$151)),"",안내!$C$9+215)</f>
        <v>46606</v>
      </c>
      <c r="C217" s="23" t="str">
        <f aca="false">IF(B217="","",CHOOSE(WEEKDAY(B217,2),"월","화","수","목","금","토","일"))</f>
        <v>토</v>
      </c>
      <c r="D217" s="24" t="str">
        <f aca="false">IF(B217="","",IFERROR(INDEX(A타입_제작표!$J$2:$J$799,MATCH("구약|"&amp;TEXT(B217,"yyyy-mm-dd"),A타입_제작표!$AQ$2:$AQ$799,0))&amp;"  "&amp;INDEX(A타입_제작표!$L$2:$L$799,MATCH("구약|"&amp;TEXT(B217,"yyyy-mm-dd"),A타입_제작표!$AQ$2:$AQ$799,0)),""))</f>
        <v>창 35:1-15  다시 벧엘로</v>
      </c>
      <c r="E217" s="24" t="str">
        <f aca="false">IF(B217="","",IFERROR(INDEX(A타입_제작표!$J$2:$J$799,MATCH("신약|"&amp;TEXT(B217,"yyyy-mm-dd"),A타입_제작표!$AQ$2:$AQ$799,0))&amp;"  "&amp;INDEX(A타입_제작표!$L$2:$L$799,MATCH("신약|"&amp;TEXT(B217,"yyyy-mm-dd"),A타입_제작표!$AQ$2:$AQ$799,0)),""))</f>
        <v>마 20:1-34  섬기러 오신 예수님</v>
      </c>
      <c r="F217" s="24" t="str">
        <f aca="false">IF(B217="","",IFERROR("시편 "&amp;INDEX(시편_시리즈!$A$2:$A$151,MATCH("시편|"&amp;TEXT(B217,"yyyy-mm-dd"),시편_시리즈!$Y$2:$Y$151,0))&amp;"편  "&amp;INDEX(시편_시리즈!$G$2:$G$151,MATCH("시편|"&amp;TEXT(B217,"yyyy-mm-dd"),시편_시리즈!$Y$2:$Y$151,0)),""))</f>
        <v/>
      </c>
      <c r="G217" s="23" t="n">
        <f aca="false">IF(B217="","",(D217&lt;&gt;"")+(E217&lt;&gt;"")+(F217&lt;&gt;""))</f>
        <v>2</v>
      </c>
      <c r="H217" s="31" t="s">
        <v>10282</v>
      </c>
    </row>
    <row r="218" customFormat="false" ht="15" hidden="false" customHeight="false" outlineLevel="0" collapsed="false">
      <c r="A218" s="23" t="n">
        <f aca="false">IF(B218="","",217)</f>
        <v>217</v>
      </c>
      <c r="B218" s="26" t="n">
        <f aca="false">IF(안내!$C$9+216&gt;MAX(MAX(A타입_제작표!$U$2:$U$799),MAX(시편_시리즈!$Q$2:$Q$151)),"",안내!$C$9+216)</f>
        <v>46607</v>
      </c>
      <c r="C218" s="23" t="str">
        <f aca="false">IF(B218="","",CHOOSE(WEEKDAY(B218,2),"월","화","수","목","금","토","일"))</f>
        <v>일</v>
      </c>
      <c r="D218" s="24" t="str">
        <f aca="false">IF(B218="","",IFERROR(INDEX(A타입_제작표!$J$2:$J$799,MATCH("구약|"&amp;TEXT(B218,"yyyy-mm-dd"),A타입_제작표!$AQ$2:$AQ$799,0))&amp;"  "&amp;INDEX(A타입_제작표!$L$2:$L$799,MATCH("구약|"&amp;TEXT(B218,"yyyy-mm-dd"),A타입_제작표!$AQ$2:$AQ$799,0)),""))</f>
        <v>창 35:16-29  라헬과 이삭의 죽음</v>
      </c>
      <c r="E218" s="24" t="str">
        <f aca="false">IF(B218="","",IFERROR(INDEX(A타입_제작표!$J$2:$J$799,MATCH("신약|"&amp;TEXT(B218,"yyyy-mm-dd"),A타입_제작표!$AQ$2:$AQ$799,0))&amp;"  "&amp;INDEX(A타입_제작표!$L$2:$L$799,MATCH("신약|"&amp;TEXT(B218,"yyyy-mm-dd"),A타입_제작표!$AQ$2:$AQ$799,0)),""))</f>
        <v/>
      </c>
      <c r="F218" s="24" t="str">
        <f aca="false">IF(B218="","",IFERROR("시편 "&amp;INDEX(시편_시리즈!$A$2:$A$151,MATCH("시편|"&amp;TEXT(B218,"yyyy-mm-dd"),시편_시리즈!$Y$2:$Y$151,0))&amp;"편  "&amp;INDEX(시편_시리즈!$G$2:$G$151,MATCH("시편|"&amp;TEXT(B218,"yyyy-mm-dd"),시편_시리즈!$Y$2:$Y$151,0)),""))</f>
        <v>시편 93편  여호와께서 다스리시니</v>
      </c>
      <c r="G218" s="23" t="n">
        <f aca="false">IF(B218="","",(D218&lt;&gt;"")+(E218&lt;&gt;"")+(F218&lt;&gt;""))</f>
        <v>2</v>
      </c>
      <c r="H218" s="31" t="s">
        <v>10282</v>
      </c>
    </row>
    <row r="219" customFormat="false" ht="15" hidden="false" customHeight="false" outlineLevel="0" collapsed="false">
      <c r="A219" s="23" t="n">
        <f aca="false">IF(B219="","",218)</f>
        <v>218</v>
      </c>
      <c r="B219" s="26" t="n">
        <f aca="false">IF(안내!$C$9+217&gt;MAX(MAX(A타입_제작표!$U$2:$U$799),MAX(시편_시리즈!$Q$2:$Q$151)),"",안내!$C$9+217)</f>
        <v>46608</v>
      </c>
      <c r="C219" s="23" t="str">
        <f aca="false">IF(B219="","",CHOOSE(WEEKDAY(B219,2),"월","화","수","목","금","토","일"))</f>
        <v>월</v>
      </c>
      <c r="D219" s="24" t="str">
        <f aca="false">IF(B219="","",IFERROR(INDEX(A타입_제작표!$J$2:$J$799,MATCH("구약|"&amp;TEXT(B219,"yyyy-mm-dd"),A타입_제작표!$AQ$2:$AQ$799,0))&amp;"  "&amp;INDEX(A타입_제작표!$L$2:$L$799,MATCH("구약|"&amp;TEXT(B219,"yyyy-mm-dd"),A타입_제작표!$AQ$2:$AQ$799,0)),""))</f>
        <v>창 36:1-43  에서의 후손</v>
      </c>
      <c r="E219" s="24" t="str">
        <f aca="false">IF(B219="","",IFERROR(INDEX(A타입_제작표!$J$2:$J$799,MATCH("신약|"&amp;TEXT(B219,"yyyy-mm-dd"),A타입_제작표!$AQ$2:$AQ$799,0))&amp;"  "&amp;INDEX(A타입_제작표!$L$2:$L$799,MATCH("신약|"&amp;TEXT(B219,"yyyy-mm-dd"),A타입_제작표!$AQ$2:$AQ$799,0)),""))</f>
        <v>마 21:18-46  버린 돌이 머릿돌이 되다</v>
      </c>
      <c r="F219" s="24" t="str">
        <f aca="false">IF(B219="","",IFERROR("시편 "&amp;INDEX(시편_시리즈!$A$2:$A$151,MATCH("시편|"&amp;TEXT(B219,"yyyy-mm-dd"),시편_시리즈!$Y$2:$Y$151,0))&amp;"편  "&amp;INDEX(시편_시리즈!$G$2:$G$151,MATCH("시편|"&amp;TEXT(B219,"yyyy-mm-dd"),시편_시리즈!$Y$2:$Y$151,0)),""))</f>
        <v/>
      </c>
      <c r="G219" s="23" t="n">
        <f aca="false">IF(B219="","",(D219&lt;&gt;"")+(E219&lt;&gt;"")+(F219&lt;&gt;""))</f>
        <v>2</v>
      </c>
      <c r="H219" s="31" t="s">
        <v>10282</v>
      </c>
    </row>
    <row r="220" customFormat="false" ht="15" hidden="false" customHeight="false" outlineLevel="0" collapsed="false">
      <c r="A220" s="23" t="n">
        <f aca="false">IF(B220="","",219)</f>
        <v>219</v>
      </c>
      <c r="B220" s="26" t="n">
        <f aca="false">IF(안내!$C$9+218&gt;MAX(MAX(A타입_제작표!$U$2:$U$799),MAX(시편_시리즈!$Q$2:$Q$151)),"",안내!$C$9+218)</f>
        <v>46609</v>
      </c>
      <c r="C220" s="23" t="str">
        <f aca="false">IF(B220="","",CHOOSE(WEEKDAY(B220,2),"월","화","수","목","금","토","일"))</f>
        <v>화</v>
      </c>
      <c r="D220" s="24" t="str">
        <f aca="false">IF(B220="","",IFERROR(INDEX(A타입_제작표!$J$2:$J$799,MATCH("구약|"&amp;TEXT(B220,"yyyy-mm-dd"),A타입_제작표!$AQ$2:$AQ$799,0))&amp;"  "&amp;INDEX(A타입_제작표!$L$2:$L$799,MATCH("구약|"&amp;TEXT(B220,"yyyy-mm-dd"),A타입_제작표!$AQ$2:$AQ$799,0)),""))</f>
        <v>창 38:1-30  유다와 다말</v>
      </c>
      <c r="E220" s="24" t="str">
        <f aca="false">IF(B220="","",IFERROR(INDEX(A타입_제작표!$J$2:$J$799,MATCH("신약|"&amp;TEXT(B220,"yyyy-mm-dd"),A타입_제작표!$AQ$2:$AQ$799,0))&amp;"  "&amp;INDEX(A타입_제작표!$L$2:$L$799,MATCH("신약|"&amp;TEXT(B220,"yyyy-mm-dd"),A타입_제작표!$AQ$2:$AQ$799,0)),""))</f>
        <v/>
      </c>
      <c r="F220" s="24" t="str">
        <f aca="false">IF(B220="","",IFERROR("시편 "&amp;INDEX(시편_시리즈!$A$2:$A$151,MATCH("시편|"&amp;TEXT(B220,"yyyy-mm-dd"),시편_시리즈!$Y$2:$Y$151,0))&amp;"편  "&amp;INDEX(시편_시리즈!$G$2:$G$151,MATCH("시편|"&amp;TEXT(B220,"yyyy-mm-dd"),시편_시리즈!$Y$2:$Y$151,0)),""))</f>
        <v>시편 94편  근심이 많을 때</v>
      </c>
      <c r="G220" s="23" t="n">
        <f aca="false">IF(B220="","",(D220&lt;&gt;"")+(E220&lt;&gt;"")+(F220&lt;&gt;""))</f>
        <v>2</v>
      </c>
      <c r="H220" s="31" t="s">
        <v>10282</v>
      </c>
    </row>
    <row r="221" customFormat="false" ht="15" hidden="false" customHeight="false" outlineLevel="0" collapsed="false">
      <c r="A221" s="23" t="n">
        <f aca="false">IF(B221="","",220)</f>
        <v>220</v>
      </c>
      <c r="B221" s="26" t="n">
        <f aca="false">IF(안내!$C$9+219&gt;MAX(MAX(A타입_제작표!$U$2:$U$799),MAX(시편_시리즈!$Q$2:$Q$151)),"",안내!$C$9+219)</f>
        <v>46610</v>
      </c>
      <c r="C221" s="23" t="str">
        <f aca="false">IF(B221="","",CHOOSE(WEEKDAY(B221,2),"월","화","수","목","금","토","일"))</f>
        <v>수</v>
      </c>
      <c r="D221" s="24" t="str">
        <f aca="false">IF(B221="","",IFERROR(INDEX(A타입_제작표!$J$2:$J$799,MATCH("구약|"&amp;TEXT(B221,"yyyy-mm-dd"),A타입_제작표!$AQ$2:$AQ$799,0))&amp;"  "&amp;INDEX(A타입_제작표!$L$2:$L$799,MATCH("구약|"&amp;TEXT(B221,"yyyy-mm-dd"),A타입_제작표!$AQ$2:$AQ$799,0)),""))</f>
        <v>창 42:29-43:34  막내를 데려오라</v>
      </c>
      <c r="E221" s="24" t="str">
        <f aca="false">IF(B221="","",IFERROR(INDEX(A타입_제작표!$J$2:$J$799,MATCH("신약|"&amp;TEXT(B221,"yyyy-mm-dd"),A타입_제작표!$AQ$2:$AQ$799,0))&amp;"  "&amp;INDEX(A타입_제작표!$L$2:$L$799,MATCH("신약|"&amp;TEXT(B221,"yyyy-mm-dd"),A타입_제작표!$AQ$2:$AQ$799,0)),""))</f>
        <v>마 22:1-46  가장 큰 계명</v>
      </c>
      <c r="F221" s="24" t="str">
        <f aca="false">IF(B221="","",IFERROR("시편 "&amp;INDEX(시편_시리즈!$A$2:$A$151,MATCH("시편|"&amp;TEXT(B221,"yyyy-mm-dd"),시편_시리즈!$Y$2:$Y$151,0))&amp;"편  "&amp;INDEX(시편_시리즈!$G$2:$G$151,MATCH("시편|"&amp;TEXT(B221,"yyyy-mm-dd"),시편_시리즈!$Y$2:$Y$151,0)),""))</f>
        <v/>
      </c>
      <c r="G221" s="23" t="n">
        <f aca="false">IF(B221="","",(D221&lt;&gt;"")+(E221&lt;&gt;"")+(F221&lt;&gt;""))</f>
        <v>2</v>
      </c>
      <c r="H221" s="31" t="s">
        <v>10282</v>
      </c>
    </row>
    <row r="222" customFormat="false" ht="15" hidden="false" customHeight="false" outlineLevel="0" collapsed="false">
      <c r="A222" s="23" t="n">
        <f aca="false">IF(B222="","",221)</f>
        <v>221</v>
      </c>
      <c r="B222" s="26" t="n">
        <f aca="false">IF(안내!$C$9+220&gt;MAX(MAX(A타입_제작표!$U$2:$U$799),MAX(시편_시리즈!$Q$2:$Q$151)),"",안내!$C$9+220)</f>
        <v>46611</v>
      </c>
      <c r="C222" s="23" t="str">
        <f aca="false">IF(B222="","",CHOOSE(WEEKDAY(B222,2),"월","화","수","목","금","토","일"))</f>
        <v>목</v>
      </c>
      <c r="D222" s="24" t="str">
        <f aca="false">IF(B222="","",IFERROR(INDEX(A타입_제작표!$J$2:$J$799,MATCH("구약|"&amp;TEXT(B222,"yyyy-mm-dd"),A타입_제작표!$AQ$2:$AQ$799,0))&amp;"  "&amp;INDEX(A타입_제작표!$L$2:$L$799,MATCH("구약|"&amp;TEXT(B222,"yyyy-mm-dd"),A타입_제작표!$AQ$2:$AQ$799,0)),""))</f>
        <v>창 45:16-46:7  요셉이 살아 있다</v>
      </c>
      <c r="E222" s="24" t="str">
        <f aca="false">IF(B222="","",IFERROR(INDEX(A타입_제작표!$J$2:$J$799,MATCH("신약|"&amp;TEXT(B222,"yyyy-mm-dd"),A타입_제작표!$AQ$2:$AQ$799,0))&amp;"  "&amp;INDEX(A타입_제작표!$L$2:$L$799,MATCH("신약|"&amp;TEXT(B222,"yyyy-mm-dd"),A타입_제작표!$AQ$2:$AQ$799,0)),""))</f>
        <v/>
      </c>
      <c r="F222" s="24" t="str">
        <f aca="false">IF(B222="","",IFERROR("시편 "&amp;INDEX(시편_시리즈!$A$2:$A$151,MATCH("시편|"&amp;TEXT(B222,"yyyy-mm-dd"),시편_시리즈!$Y$2:$Y$151,0))&amp;"편  "&amp;INDEX(시편_시리즈!$G$2:$G$151,MATCH("시편|"&amp;TEXT(B222,"yyyy-mm-dd"),시편_시리즈!$Y$2:$Y$151,0)),""))</f>
        <v>시편 95편  오라 우리가 경배하자</v>
      </c>
      <c r="G222" s="23" t="n">
        <f aca="false">IF(B222="","",(D222&lt;&gt;"")+(E222&lt;&gt;"")+(F222&lt;&gt;""))</f>
        <v>2</v>
      </c>
      <c r="H222" s="31" t="s">
        <v>10282</v>
      </c>
    </row>
    <row r="223" customFormat="false" ht="15" hidden="false" customHeight="false" outlineLevel="0" collapsed="false">
      <c r="A223" s="23" t="n">
        <f aca="false">IF(B223="","",222)</f>
        <v>222</v>
      </c>
      <c r="B223" s="26" t="n">
        <f aca="false">IF(안내!$C$9+221&gt;MAX(MAX(A타입_제작표!$U$2:$U$799),MAX(시편_시리즈!$Q$2:$Q$151)),"",안내!$C$9+221)</f>
        <v>46612</v>
      </c>
      <c r="C223" s="23" t="str">
        <f aca="false">IF(B223="","",CHOOSE(WEEKDAY(B223,2),"월","화","수","목","금","토","일"))</f>
        <v>금</v>
      </c>
      <c r="D223" s="24" t="str">
        <f aca="false">IF(B223="","",IFERROR(INDEX(A타입_제작표!$J$2:$J$799,MATCH("구약|"&amp;TEXT(B223,"yyyy-mm-dd"),A타입_제작표!$AQ$2:$AQ$799,0))&amp;"  "&amp;INDEX(A타입_제작표!$L$2:$L$799,MATCH("구약|"&amp;TEXT(B223,"yyyy-mm-dd"),A타입_제작표!$AQ$2:$AQ$799,0)),""))</f>
        <v>창 46:8-47:12  바로를 축복한 노인</v>
      </c>
      <c r="E223" s="24" t="str">
        <f aca="false">IF(B223="","",IFERROR(INDEX(A타입_제작표!$J$2:$J$799,MATCH("신약|"&amp;TEXT(B223,"yyyy-mm-dd"),A타입_제작표!$AQ$2:$AQ$799,0))&amp;"  "&amp;INDEX(A타입_제작표!$L$2:$L$799,MATCH("신약|"&amp;TEXT(B223,"yyyy-mm-dd"),A타입_제작표!$AQ$2:$AQ$799,0)),""))</f>
        <v>마 23:1-39  암탉이 병아리를 모음같이</v>
      </c>
      <c r="F223" s="24" t="str">
        <f aca="false">IF(B223="","",IFERROR("시편 "&amp;INDEX(시편_시리즈!$A$2:$A$151,MATCH("시편|"&amp;TEXT(B223,"yyyy-mm-dd"),시편_시리즈!$Y$2:$Y$151,0))&amp;"편  "&amp;INDEX(시편_시리즈!$G$2:$G$151,MATCH("시편|"&amp;TEXT(B223,"yyyy-mm-dd"),시편_시리즈!$Y$2:$Y$151,0)),""))</f>
        <v/>
      </c>
      <c r="G223" s="23" t="n">
        <f aca="false">IF(B223="","",(D223&lt;&gt;"")+(E223&lt;&gt;"")+(F223&lt;&gt;""))</f>
        <v>2</v>
      </c>
      <c r="H223" s="31" t="s">
        <v>10282</v>
      </c>
    </row>
    <row r="224" customFormat="false" ht="15" hidden="false" customHeight="false" outlineLevel="0" collapsed="false">
      <c r="A224" s="23" t="n">
        <f aca="false">IF(B224="","",223)</f>
        <v>223</v>
      </c>
      <c r="B224" s="26" t="n">
        <f aca="false">IF(안내!$C$9+222&gt;MAX(MAX(A타입_제작표!$U$2:$U$799),MAX(시편_시리즈!$Q$2:$Q$151)),"",안내!$C$9+222)</f>
        <v>46613</v>
      </c>
      <c r="C224" s="23" t="str">
        <f aca="false">IF(B224="","",CHOOSE(WEEKDAY(B224,2),"월","화","수","목","금","토","일"))</f>
        <v>토</v>
      </c>
      <c r="D224" s="24" t="str">
        <f aca="false">IF(B224="","",IFERROR(INDEX(A타입_제작표!$J$2:$J$799,MATCH("구약|"&amp;TEXT(B224,"yyyy-mm-dd"),A타입_제작표!$AQ$2:$AQ$799,0))&amp;"  "&amp;INDEX(A타입_제작표!$L$2:$L$799,MATCH("구약|"&amp;TEXT(B224,"yyyy-mm-dd"),A타입_제작표!$AQ$2:$AQ$799,0)),""))</f>
        <v>창 47:13-31  기근 속의 총리</v>
      </c>
      <c r="E224" s="24" t="str">
        <f aca="false">IF(B224="","",IFERROR(INDEX(A타입_제작표!$J$2:$J$799,MATCH("신약|"&amp;TEXT(B224,"yyyy-mm-dd"),A타입_제작표!$AQ$2:$AQ$799,0))&amp;"  "&amp;INDEX(A타입_제작표!$L$2:$L$799,MATCH("신약|"&amp;TEXT(B224,"yyyy-mm-dd"),A타입_제작표!$AQ$2:$AQ$799,0)),""))</f>
        <v>마 24:1-31  마지막 때의 징조</v>
      </c>
      <c r="F224" s="24" t="str">
        <f aca="false">IF(B224="","",IFERROR("시편 "&amp;INDEX(시편_시리즈!$A$2:$A$151,MATCH("시편|"&amp;TEXT(B224,"yyyy-mm-dd"),시편_시리즈!$Y$2:$Y$151,0))&amp;"편  "&amp;INDEX(시편_시리즈!$G$2:$G$151,MATCH("시편|"&amp;TEXT(B224,"yyyy-mm-dd"),시편_시리즈!$Y$2:$Y$151,0)),""))</f>
        <v/>
      </c>
      <c r="G224" s="23" t="n">
        <f aca="false">IF(B224="","",(D224&lt;&gt;"")+(E224&lt;&gt;"")+(F224&lt;&gt;""))</f>
        <v>2</v>
      </c>
      <c r="H224" s="31" t="s">
        <v>10282</v>
      </c>
    </row>
    <row r="225" customFormat="false" ht="15" hidden="false" customHeight="false" outlineLevel="0" collapsed="false">
      <c r="A225" s="23" t="n">
        <f aca="false">IF(B225="","",224)</f>
        <v>224</v>
      </c>
      <c r="B225" s="26" t="n">
        <f aca="false">IF(안내!$C$9+223&gt;MAX(MAX(A타입_제작표!$U$2:$U$799),MAX(시편_시리즈!$Q$2:$Q$151)),"",안내!$C$9+223)</f>
        <v>46614</v>
      </c>
      <c r="C225" s="23" t="str">
        <f aca="false">IF(B225="","",CHOOSE(WEEKDAY(B225,2),"월","화","수","목","금","토","일"))</f>
        <v>일</v>
      </c>
      <c r="D225" s="24" t="str">
        <f aca="false">IF(B225="","",IFERROR(INDEX(A타입_제작표!$J$2:$J$799,MATCH("구약|"&amp;TEXT(B225,"yyyy-mm-dd"),A타입_제작표!$AQ$2:$AQ$799,0))&amp;"  "&amp;INDEX(A타입_제작표!$L$2:$L$799,MATCH("구약|"&amp;TEXT(B225,"yyyy-mm-dd"),A타입_제작표!$AQ$2:$AQ$799,0)),""))</f>
        <v>창 48:1-22  엇갈린 두 손</v>
      </c>
      <c r="E225" s="24" t="str">
        <f aca="false">IF(B225="","",IFERROR(INDEX(A타입_제작표!$J$2:$J$799,MATCH("신약|"&amp;TEXT(B225,"yyyy-mm-dd"),A타입_제작표!$AQ$2:$AQ$799,0))&amp;"  "&amp;INDEX(A타입_제작표!$L$2:$L$799,MATCH("신약|"&amp;TEXT(B225,"yyyy-mm-dd"),A타입_제작표!$AQ$2:$AQ$799,0)),""))</f>
        <v/>
      </c>
      <c r="F225" s="24" t="str">
        <f aca="false">IF(B225="","",IFERROR("시편 "&amp;INDEX(시편_시리즈!$A$2:$A$151,MATCH("시편|"&amp;TEXT(B225,"yyyy-mm-dd"),시편_시리즈!$Y$2:$Y$151,0))&amp;"편  "&amp;INDEX(시편_시리즈!$G$2:$G$151,MATCH("시편|"&amp;TEXT(B225,"yyyy-mm-dd"),시편_시리즈!$Y$2:$Y$151,0)),""))</f>
        <v>시편 96편  새 노래로 노래하라</v>
      </c>
      <c r="G225" s="23" t="n">
        <f aca="false">IF(B225="","",(D225&lt;&gt;"")+(E225&lt;&gt;"")+(F225&lt;&gt;""))</f>
        <v>2</v>
      </c>
      <c r="H225" s="31" t="s">
        <v>10282</v>
      </c>
    </row>
    <row r="226" customFormat="false" ht="15" hidden="false" customHeight="false" outlineLevel="0" collapsed="false">
      <c r="A226" s="23" t="n">
        <f aca="false">IF(B226="","",225)</f>
        <v>225</v>
      </c>
      <c r="B226" s="26" t="n">
        <f aca="false">IF(안내!$C$9+224&gt;MAX(MAX(A타입_제작표!$U$2:$U$799),MAX(시편_시리즈!$Q$2:$Q$151)),"",안내!$C$9+224)</f>
        <v>46615</v>
      </c>
      <c r="C226" s="23" t="str">
        <f aca="false">IF(B226="","",CHOOSE(WEEKDAY(B226,2),"월","화","수","목","금","토","일"))</f>
        <v>월</v>
      </c>
      <c r="D226" s="24" t="str">
        <f aca="false">IF(B226="","",IFERROR(INDEX(A타입_제작표!$J$2:$J$799,MATCH("구약|"&amp;TEXT(B226,"yyyy-mm-dd"),A타입_제작표!$AQ$2:$AQ$799,0))&amp;"  "&amp;INDEX(A타입_제작표!$L$2:$L$799,MATCH("구약|"&amp;TEXT(B226,"yyyy-mm-dd"),A타입_제작표!$AQ$2:$AQ$799,0)),""))</f>
        <v>창 49:29-50:14  야곱의 장례</v>
      </c>
      <c r="E226" s="24" t="str">
        <f aca="false">IF(B226="","",IFERROR(INDEX(A타입_제작표!$J$2:$J$799,MATCH("신약|"&amp;TEXT(B226,"yyyy-mm-dd"),A타입_제작표!$AQ$2:$AQ$799,0))&amp;"  "&amp;INDEX(A타입_제작표!$L$2:$L$799,MATCH("신약|"&amp;TEXT(B226,"yyyy-mm-dd"),A타입_제작표!$AQ$2:$AQ$799,0)),""))</f>
        <v>마 24:32-51  그날과 그때는</v>
      </c>
      <c r="F226" s="24" t="str">
        <f aca="false">IF(B226="","",IFERROR("시편 "&amp;INDEX(시편_시리즈!$A$2:$A$151,MATCH("시편|"&amp;TEXT(B226,"yyyy-mm-dd"),시편_시리즈!$Y$2:$Y$151,0))&amp;"편  "&amp;INDEX(시편_시리즈!$G$2:$G$151,MATCH("시편|"&amp;TEXT(B226,"yyyy-mm-dd"),시편_시리즈!$Y$2:$Y$151,0)),""))</f>
        <v/>
      </c>
      <c r="G226" s="23" t="n">
        <f aca="false">IF(B226="","",(D226&lt;&gt;"")+(E226&lt;&gt;"")+(F226&lt;&gt;""))</f>
        <v>2</v>
      </c>
      <c r="H226" s="31" t="s">
        <v>10282</v>
      </c>
    </row>
    <row r="227" customFormat="false" ht="26.85" hidden="false" customHeight="false" outlineLevel="0" collapsed="false">
      <c r="A227" s="23" t="n">
        <f aca="false">IF(B227="","",226)</f>
        <v>226</v>
      </c>
      <c r="B227" s="26" t="n">
        <f aca="false">IF(안내!$C$9+225&gt;MAX(MAX(A타입_제작표!$U$2:$U$799),MAX(시편_시리즈!$Q$2:$Q$151)),"",안내!$C$9+225)</f>
        <v>46616</v>
      </c>
      <c r="C227" s="23" t="str">
        <f aca="false">IF(B227="","",CHOOSE(WEEKDAY(B227,2),"월","화","수","목","금","토","일"))</f>
        <v>화</v>
      </c>
      <c r="D227" s="24" t="str">
        <f aca="false">IF(B227="","",IFERROR(INDEX(A타입_제작표!$J$2:$J$799,MATCH("구약|"&amp;TEXT(B227,"yyyy-mm-dd"),A타입_제작표!$AQ$2:$AQ$799,0))&amp;"  "&amp;INDEX(A타입_제작표!$L$2:$L$799,MATCH("구약|"&amp;TEXT(B227,"yyyy-mm-dd"),A타입_제작표!$AQ$2:$AQ$799,0)),""))</f>
        <v>출 4:18-31  다시 애굽으로</v>
      </c>
      <c r="E227" s="24" t="str">
        <f aca="false">IF(B227="","",IFERROR(INDEX(A타입_제작표!$J$2:$J$799,MATCH("신약|"&amp;TEXT(B227,"yyyy-mm-dd"),A타입_제작표!$AQ$2:$AQ$799,0))&amp;"  "&amp;INDEX(A타입_제작표!$L$2:$L$799,MATCH("신약|"&amp;TEXT(B227,"yyyy-mm-dd"),A타입_제작표!$AQ$2:$AQ$799,0)),""))</f>
        <v/>
      </c>
      <c r="F227" s="24" t="str">
        <f aca="false">IF(B227="","",IFERROR("시편 "&amp;INDEX(시편_시리즈!$A$2:$A$151,MATCH("시편|"&amp;TEXT(B227,"yyyy-mm-dd"),시편_시리즈!$Y$2:$Y$151,0))&amp;"편  "&amp;INDEX(시편_시리즈!$G$2:$G$151,MATCH("시편|"&amp;TEXT(B227,"yyyy-mm-dd"),시편_시리즈!$Y$2:$Y$151,0)),""))</f>
        <v>시편 97편  여호와께서 다스리시니 땅은 즐거워하라</v>
      </c>
      <c r="G227" s="23" t="n">
        <f aca="false">IF(B227="","",(D227&lt;&gt;"")+(E227&lt;&gt;"")+(F227&lt;&gt;""))</f>
        <v>2</v>
      </c>
      <c r="H227" s="31" t="s">
        <v>10282</v>
      </c>
    </row>
    <row r="228" customFormat="false" ht="15" hidden="false" customHeight="false" outlineLevel="0" collapsed="false">
      <c r="A228" s="23" t="n">
        <f aca="false">IF(B228="","",227)</f>
        <v>227</v>
      </c>
      <c r="B228" s="26" t="n">
        <f aca="false">IF(안내!$C$9+226&gt;MAX(MAX(A타입_제작표!$U$2:$U$799),MAX(시편_시리즈!$Q$2:$Q$151)),"",안내!$C$9+226)</f>
        <v>46617</v>
      </c>
      <c r="C228" s="23" t="str">
        <f aca="false">IF(B228="","",CHOOSE(WEEKDAY(B228,2),"월","화","수","목","금","토","일"))</f>
        <v>수</v>
      </c>
      <c r="D228" s="24" t="str">
        <f aca="false">IF(B228="","",IFERROR(INDEX(A타입_제작표!$J$2:$J$799,MATCH("구약|"&amp;TEXT(B228,"yyyy-mm-dd"),A타입_제작표!$AQ$2:$AQ$799,0))&amp;"  "&amp;INDEX(A타입_제작표!$L$2:$L$799,MATCH("구약|"&amp;TEXT(B228,"yyyy-mm-dd"),A타입_제작표!$AQ$2:$AQ$799,0)),""))</f>
        <v>출 6:1-30  내가 여호와니라</v>
      </c>
      <c r="E228" s="24" t="str">
        <f aca="false">IF(B228="","",IFERROR(INDEX(A타입_제작표!$J$2:$J$799,MATCH("신약|"&amp;TEXT(B228,"yyyy-mm-dd"),A타입_제작표!$AQ$2:$AQ$799,0))&amp;"  "&amp;INDEX(A타입_제작표!$L$2:$L$799,MATCH("신약|"&amp;TEXT(B228,"yyyy-mm-dd"),A타입_제작표!$AQ$2:$AQ$799,0)),""))</f>
        <v>마 25:31-46  양과 염소</v>
      </c>
      <c r="F228" s="24" t="str">
        <f aca="false">IF(B228="","",IFERROR("시편 "&amp;INDEX(시편_시리즈!$A$2:$A$151,MATCH("시편|"&amp;TEXT(B228,"yyyy-mm-dd"),시편_시리즈!$Y$2:$Y$151,0))&amp;"편  "&amp;INDEX(시편_시리즈!$G$2:$G$151,MATCH("시편|"&amp;TEXT(B228,"yyyy-mm-dd"),시편_시리즈!$Y$2:$Y$151,0)),""))</f>
        <v/>
      </c>
      <c r="G228" s="23" t="n">
        <f aca="false">IF(B228="","",(D228&lt;&gt;"")+(E228&lt;&gt;"")+(F228&lt;&gt;""))</f>
        <v>2</v>
      </c>
      <c r="H228" s="31" t="s">
        <v>10282</v>
      </c>
    </row>
    <row r="229" customFormat="false" ht="15" hidden="false" customHeight="false" outlineLevel="0" collapsed="false">
      <c r="A229" s="23" t="n">
        <f aca="false">IF(B229="","",228)</f>
        <v>228</v>
      </c>
      <c r="B229" s="26" t="n">
        <f aca="false">IF(안내!$C$9+227&gt;MAX(MAX(A타입_제작표!$U$2:$U$799),MAX(시편_시리즈!$Q$2:$Q$151)),"",안내!$C$9+227)</f>
        <v>46618</v>
      </c>
      <c r="C229" s="23" t="str">
        <f aca="false">IF(B229="","",CHOOSE(WEEKDAY(B229,2),"월","화","수","목","금","토","일"))</f>
        <v>목</v>
      </c>
      <c r="D229" s="24" t="str">
        <f aca="false">IF(B229="","",IFERROR(INDEX(A타입_제작표!$J$2:$J$799,MATCH("구약|"&amp;TEXT(B229,"yyyy-mm-dd"),A타입_제작표!$AQ$2:$AQ$799,0))&amp;"  "&amp;INDEX(A타입_제작표!$L$2:$L$799,MATCH("구약|"&amp;TEXT(B229,"yyyy-mm-dd"),A타입_제작표!$AQ$2:$AQ$799,0)),""))</f>
        <v>출 8:16-32  이와 파리</v>
      </c>
      <c r="E229" s="24" t="str">
        <f aca="false">IF(B229="","",IFERROR(INDEX(A타입_제작표!$J$2:$J$799,MATCH("신약|"&amp;TEXT(B229,"yyyy-mm-dd"),A타입_제작표!$AQ$2:$AQ$799,0))&amp;"  "&amp;INDEX(A타입_제작표!$L$2:$L$799,MATCH("신약|"&amp;TEXT(B229,"yyyy-mm-dd"),A타입_제작표!$AQ$2:$AQ$799,0)),""))</f>
        <v/>
      </c>
      <c r="F229" s="24" t="str">
        <f aca="false">IF(B229="","",IFERROR("시편 "&amp;INDEX(시편_시리즈!$A$2:$A$151,MATCH("시편|"&amp;TEXT(B229,"yyyy-mm-dd"),시편_시리즈!$Y$2:$Y$151,0))&amp;"편  "&amp;INDEX(시편_시리즈!$G$2:$G$151,MATCH("시편|"&amp;TEXT(B229,"yyyy-mm-dd"),시편_시리즈!$Y$2:$Y$151,0)),""))</f>
        <v>시편 98편  즐거운 소리를 낼지어다</v>
      </c>
      <c r="G229" s="23" t="n">
        <f aca="false">IF(B229="","",(D229&lt;&gt;"")+(E229&lt;&gt;"")+(F229&lt;&gt;""))</f>
        <v>2</v>
      </c>
      <c r="H229" s="31" t="s">
        <v>10282</v>
      </c>
    </row>
    <row r="230" customFormat="false" ht="15" hidden="false" customHeight="false" outlineLevel="0" collapsed="false">
      <c r="A230" s="23" t="n">
        <f aca="false">IF(B230="","",229)</f>
        <v>229</v>
      </c>
      <c r="B230" s="26" t="n">
        <f aca="false">IF(안내!$C$9+228&gt;MAX(MAX(A타입_제작표!$U$2:$U$799),MAX(시편_시리즈!$Q$2:$Q$151)),"",안내!$C$9+228)</f>
        <v>46619</v>
      </c>
      <c r="C230" s="23" t="str">
        <f aca="false">IF(B230="","",CHOOSE(WEEKDAY(B230,2),"월","화","수","목","금","토","일"))</f>
        <v>금</v>
      </c>
      <c r="D230" s="24" t="str">
        <f aca="false">IF(B230="","",IFERROR(INDEX(A타입_제작표!$J$2:$J$799,MATCH("구약|"&amp;TEXT(B230,"yyyy-mm-dd"),A타입_제작표!$AQ$2:$AQ$799,0))&amp;"  "&amp;INDEX(A타입_제작표!$L$2:$L$799,MATCH("구약|"&amp;TEXT(B230,"yyyy-mm-dd"),A타입_제작표!$AQ$2:$AQ$799,0)),""))</f>
        <v>출 9:1-12  가축 돌림병과 악성 종기</v>
      </c>
      <c r="E230" s="24" t="str">
        <f aca="false">IF(B230="","",IFERROR(INDEX(A타입_제작표!$J$2:$J$799,MATCH("신약|"&amp;TEXT(B230,"yyyy-mm-dd"),A타입_제작표!$AQ$2:$AQ$799,0))&amp;"  "&amp;INDEX(A타입_제작표!$L$2:$L$799,MATCH("신약|"&amp;TEXT(B230,"yyyy-mm-dd"),A타입_제작표!$AQ$2:$AQ$799,0)),""))</f>
        <v>마 26:1-16  향유 옥합</v>
      </c>
      <c r="F230" s="24" t="str">
        <f aca="false">IF(B230="","",IFERROR("시편 "&amp;INDEX(시편_시리즈!$A$2:$A$151,MATCH("시편|"&amp;TEXT(B230,"yyyy-mm-dd"),시편_시리즈!$Y$2:$Y$151,0))&amp;"편  "&amp;INDEX(시편_시리즈!$G$2:$G$151,MATCH("시편|"&amp;TEXT(B230,"yyyy-mm-dd"),시편_시리즈!$Y$2:$Y$151,0)),""))</f>
        <v/>
      </c>
      <c r="G230" s="23" t="n">
        <f aca="false">IF(B230="","",(D230&lt;&gt;"")+(E230&lt;&gt;"")+(F230&lt;&gt;""))</f>
        <v>2</v>
      </c>
      <c r="H230" s="31" t="s">
        <v>10282</v>
      </c>
    </row>
    <row r="231" customFormat="false" ht="15" hidden="false" customHeight="false" outlineLevel="0" collapsed="false">
      <c r="A231" s="23" t="n">
        <f aca="false">IF(B231="","",230)</f>
        <v>230</v>
      </c>
      <c r="B231" s="26" t="n">
        <f aca="false">IF(안내!$C$9+229&gt;MAX(MAX(A타입_제작표!$U$2:$U$799),MAX(시편_시리즈!$Q$2:$Q$151)),"",안내!$C$9+229)</f>
        <v>46620</v>
      </c>
      <c r="C231" s="23" t="str">
        <f aca="false">IF(B231="","",CHOOSE(WEEKDAY(B231,2),"월","화","수","목","금","토","일"))</f>
        <v>토</v>
      </c>
      <c r="D231" s="24" t="str">
        <f aca="false">IF(B231="","",IFERROR(INDEX(A타입_제작표!$J$2:$J$799,MATCH("구약|"&amp;TEXT(B231,"yyyy-mm-dd"),A타입_제작표!$AQ$2:$AQ$799,0))&amp;"  "&amp;INDEX(A타입_제작표!$L$2:$L$799,MATCH("구약|"&amp;TEXT(B231,"yyyy-mm-dd"),A타입_제작표!$AQ$2:$AQ$799,0)),""))</f>
        <v>출 9:13-35  불덩이 섞인 우박</v>
      </c>
      <c r="E231" s="24" t="str">
        <f aca="false">IF(B231="","",IFERROR(INDEX(A타입_제작표!$J$2:$J$799,MATCH("신약|"&amp;TEXT(B231,"yyyy-mm-dd"),A타입_제작표!$AQ$2:$AQ$799,0))&amp;"  "&amp;INDEX(A타입_제작표!$L$2:$L$799,MATCH("신약|"&amp;TEXT(B231,"yyyy-mm-dd"),A타입_제작표!$AQ$2:$AQ$799,0)),""))</f>
        <v>막 1:1-15  복음의 시작</v>
      </c>
      <c r="F231" s="24" t="str">
        <f aca="false">IF(B231="","",IFERROR("시편 "&amp;INDEX(시편_시리즈!$A$2:$A$151,MATCH("시편|"&amp;TEXT(B231,"yyyy-mm-dd"),시편_시리즈!$Y$2:$Y$151,0))&amp;"편  "&amp;INDEX(시편_시리즈!$G$2:$G$151,MATCH("시편|"&amp;TEXT(B231,"yyyy-mm-dd"),시편_시리즈!$Y$2:$Y$151,0)),""))</f>
        <v/>
      </c>
      <c r="G231" s="23" t="n">
        <f aca="false">IF(B231="","",(D231&lt;&gt;"")+(E231&lt;&gt;"")+(F231&lt;&gt;""))</f>
        <v>2</v>
      </c>
      <c r="H231" s="31" t="s">
        <v>10282</v>
      </c>
    </row>
    <row r="232" customFormat="false" ht="15" hidden="false" customHeight="false" outlineLevel="0" collapsed="false">
      <c r="A232" s="23" t="n">
        <f aca="false">IF(B232="","",231)</f>
        <v>231</v>
      </c>
      <c r="B232" s="26" t="n">
        <f aca="false">IF(안내!$C$9+230&gt;MAX(MAX(A타입_제작표!$U$2:$U$799),MAX(시편_시리즈!$Q$2:$Q$151)),"",안내!$C$9+230)</f>
        <v>46621</v>
      </c>
      <c r="C232" s="23" t="str">
        <f aca="false">IF(B232="","",CHOOSE(WEEKDAY(B232,2),"월","화","수","목","금","토","일"))</f>
        <v>일</v>
      </c>
      <c r="D232" s="24" t="str">
        <f aca="false">IF(B232="","",IFERROR(INDEX(A타입_제작표!$J$2:$J$799,MATCH("구약|"&amp;TEXT(B232,"yyyy-mm-dd"),A타입_제작표!$AQ$2:$AQ$799,0))&amp;"  "&amp;INDEX(A타입_제작표!$L$2:$L$799,MATCH("구약|"&amp;TEXT(B232,"yyyy-mm-dd"),A타입_제작표!$AQ$2:$AQ$799,0)),""))</f>
        <v>출 10:1-20  메뚜기 떼</v>
      </c>
      <c r="E232" s="24" t="str">
        <f aca="false">IF(B232="","",IFERROR(INDEX(A타입_제작표!$J$2:$J$799,MATCH("신약|"&amp;TEXT(B232,"yyyy-mm-dd"),A타입_제작표!$AQ$2:$AQ$799,0))&amp;"  "&amp;INDEX(A타입_제작표!$L$2:$L$799,MATCH("신약|"&amp;TEXT(B232,"yyyy-mm-dd"),A타입_제작표!$AQ$2:$AQ$799,0)),""))</f>
        <v/>
      </c>
      <c r="F232" s="24" t="str">
        <f aca="false">IF(B232="","",IFERROR("시편 "&amp;INDEX(시편_시리즈!$A$2:$A$151,MATCH("시편|"&amp;TEXT(B232,"yyyy-mm-dd"),시편_시리즈!$Y$2:$Y$151,0))&amp;"편  "&amp;INDEX(시편_시리즈!$G$2:$G$151,MATCH("시편|"&amp;TEXT(B232,"yyyy-mm-dd"),시편_시리즈!$Y$2:$Y$151,0)),""))</f>
        <v>시편 99편  그는 거룩하시도다</v>
      </c>
      <c r="G232" s="23" t="n">
        <f aca="false">IF(B232="","",(D232&lt;&gt;"")+(E232&lt;&gt;"")+(F232&lt;&gt;""))</f>
        <v>2</v>
      </c>
      <c r="H232" s="31" t="s">
        <v>10282</v>
      </c>
    </row>
    <row r="233" customFormat="false" ht="15" hidden="false" customHeight="false" outlineLevel="0" collapsed="false">
      <c r="A233" s="23" t="n">
        <f aca="false">IF(B233="","",232)</f>
        <v>232</v>
      </c>
      <c r="B233" s="26" t="n">
        <f aca="false">IF(안내!$C$9+231&gt;MAX(MAX(A타입_제작표!$U$2:$U$799),MAX(시편_시리즈!$Q$2:$Q$151)),"",안내!$C$9+231)</f>
        <v>46622</v>
      </c>
      <c r="C233" s="23" t="str">
        <f aca="false">IF(B233="","",CHOOSE(WEEKDAY(B233,2),"월","화","수","목","금","토","일"))</f>
        <v>월</v>
      </c>
      <c r="D233" s="24" t="str">
        <f aca="false">IF(B233="","",IFERROR(INDEX(A타입_제작표!$J$2:$J$799,MATCH("구약|"&amp;TEXT(B233,"yyyy-mm-dd"),A타입_제작표!$AQ$2:$AQ$799,0))&amp;"  "&amp;INDEX(A타입_제작표!$L$2:$L$799,MATCH("구약|"&amp;TEXT(B233,"yyyy-mm-dd"),A타입_제작표!$AQ$2:$AQ$799,0)),""))</f>
        <v>출 10:21-29  사흘간의 흑암</v>
      </c>
      <c r="E233" s="24" t="str">
        <f aca="false">IF(B233="","",IFERROR(INDEX(A타입_제작표!$J$2:$J$799,MATCH("신약|"&amp;TEXT(B233,"yyyy-mm-dd"),A타입_제작표!$AQ$2:$AQ$799,0))&amp;"  "&amp;INDEX(A타입_제작표!$L$2:$L$799,MATCH("신약|"&amp;TEXT(B233,"yyyy-mm-dd"),A타입_제작표!$AQ$2:$AQ$799,0)),""))</f>
        <v>막 1:21-45  가버나움의 하루</v>
      </c>
      <c r="F233" s="24" t="str">
        <f aca="false">IF(B233="","",IFERROR("시편 "&amp;INDEX(시편_시리즈!$A$2:$A$151,MATCH("시편|"&amp;TEXT(B233,"yyyy-mm-dd"),시편_시리즈!$Y$2:$Y$151,0))&amp;"편  "&amp;INDEX(시편_시리즈!$G$2:$G$151,MATCH("시편|"&amp;TEXT(B233,"yyyy-mm-dd"),시편_시리즈!$Y$2:$Y$151,0)),""))</f>
        <v/>
      </c>
      <c r="G233" s="23" t="n">
        <f aca="false">IF(B233="","",(D233&lt;&gt;"")+(E233&lt;&gt;"")+(F233&lt;&gt;""))</f>
        <v>2</v>
      </c>
      <c r="H233" s="31" t="s">
        <v>10282</v>
      </c>
    </row>
    <row r="234" customFormat="false" ht="15" hidden="false" customHeight="false" outlineLevel="0" collapsed="false">
      <c r="A234" s="23" t="n">
        <f aca="false">IF(B234="","",233)</f>
        <v>233</v>
      </c>
      <c r="B234" s="26" t="n">
        <f aca="false">IF(안내!$C$9+232&gt;MAX(MAX(A타입_제작표!$U$2:$U$799),MAX(시편_시리즈!$Q$2:$Q$151)),"",안내!$C$9+232)</f>
        <v>46623</v>
      </c>
      <c r="C234" s="23" t="str">
        <f aca="false">IF(B234="","",CHOOSE(WEEKDAY(B234,2),"월","화","수","목","금","토","일"))</f>
        <v>화</v>
      </c>
      <c r="D234" s="24" t="str">
        <f aca="false">IF(B234="","",IFERROR(INDEX(A타입_제작표!$J$2:$J$799,MATCH("구약|"&amp;TEXT(B234,"yyyy-mm-dd"),A타입_제작표!$AQ$2:$AQ$799,0))&amp;"  "&amp;INDEX(A타입_제작표!$L$2:$L$799,MATCH("구약|"&amp;TEXT(B234,"yyyy-mm-dd"),A타입_제작표!$AQ$2:$AQ$799,0)),""))</f>
        <v>출 13:1-22  구름 기둥과 불 기둥</v>
      </c>
      <c r="E234" s="24" t="str">
        <f aca="false">IF(B234="","",IFERROR(INDEX(A타입_제작표!$J$2:$J$799,MATCH("신약|"&amp;TEXT(B234,"yyyy-mm-dd"),A타입_제작표!$AQ$2:$AQ$799,0))&amp;"  "&amp;INDEX(A타입_제작표!$L$2:$L$799,MATCH("신약|"&amp;TEXT(B234,"yyyy-mm-dd"),A타입_제작표!$AQ$2:$AQ$799,0)),""))</f>
        <v/>
      </c>
      <c r="F234" s="24" t="str">
        <f aca="false">IF(B234="","",IFERROR("시편 "&amp;INDEX(시편_시리즈!$A$2:$A$151,MATCH("시편|"&amp;TEXT(B234,"yyyy-mm-dd"),시편_시리즈!$Y$2:$Y$151,0))&amp;"편  "&amp;INDEX(시편_시리즈!$G$2:$G$151,MATCH("시편|"&amp;TEXT(B234,"yyyy-mm-dd"),시편_시리즈!$Y$2:$Y$151,0)),""))</f>
        <v>시편 100편  감사의 노래</v>
      </c>
      <c r="G234" s="23" t="n">
        <f aca="false">IF(B234="","",(D234&lt;&gt;"")+(E234&lt;&gt;"")+(F234&lt;&gt;""))</f>
        <v>2</v>
      </c>
      <c r="H234" s="31" t="s">
        <v>10282</v>
      </c>
    </row>
    <row r="235" customFormat="false" ht="15" hidden="false" customHeight="false" outlineLevel="0" collapsed="false">
      <c r="A235" s="23" t="n">
        <f aca="false">IF(B235="","",234)</f>
        <v>234</v>
      </c>
      <c r="B235" s="26" t="n">
        <f aca="false">IF(안내!$C$9+233&gt;MAX(MAX(A타입_제작표!$U$2:$U$799),MAX(시편_시리즈!$Q$2:$Q$151)),"",안내!$C$9+233)</f>
        <v>46624</v>
      </c>
      <c r="C235" s="23" t="str">
        <f aca="false">IF(B235="","",CHOOSE(WEEKDAY(B235,2),"월","화","수","목","금","토","일"))</f>
        <v>수</v>
      </c>
      <c r="D235" s="24" t="str">
        <f aca="false">IF(B235="","",IFERROR(INDEX(A타입_제작표!$J$2:$J$799,MATCH("구약|"&amp;TEXT(B235,"yyyy-mm-dd"),A타입_제작표!$AQ$2:$AQ$799,0))&amp;"  "&amp;INDEX(A타입_제작표!$L$2:$L$799,MATCH("구약|"&amp;TEXT(B235,"yyyy-mm-dd"),A타입_제작표!$AQ$2:$AQ$799,0)),""))</f>
        <v>출 15:22-27  쓴 물이 단물로</v>
      </c>
      <c r="E235" s="24" t="str">
        <f aca="false">IF(B235="","",IFERROR(INDEX(A타입_제작표!$J$2:$J$799,MATCH("신약|"&amp;TEXT(B235,"yyyy-mm-dd"),A타입_제작표!$AQ$2:$AQ$799,0))&amp;"  "&amp;INDEX(A타입_제작표!$L$2:$L$799,MATCH("신약|"&amp;TEXT(B235,"yyyy-mm-dd"),A타입_제작표!$AQ$2:$AQ$799,0)),""))</f>
        <v>막 4:35-5:20  돌아가서 전하라</v>
      </c>
      <c r="F235" s="24" t="str">
        <f aca="false">IF(B235="","",IFERROR("시편 "&amp;INDEX(시편_시리즈!$A$2:$A$151,MATCH("시편|"&amp;TEXT(B235,"yyyy-mm-dd"),시편_시리즈!$Y$2:$Y$151,0))&amp;"편  "&amp;INDEX(시편_시리즈!$G$2:$G$151,MATCH("시편|"&amp;TEXT(B235,"yyyy-mm-dd"),시편_시리즈!$Y$2:$Y$151,0)),""))</f>
        <v/>
      </c>
      <c r="G235" s="23" t="n">
        <f aca="false">IF(B235="","",(D235&lt;&gt;"")+(E235&lt;&gt;"")+(F235&lt;&gt;""))</f>
        <v>2</v>
      </c>
      <c r="H235" s="31" t="s">
        <v>10282</v>
      </c>
    </row>
    <row r="236" customFormat="false" ht="15" hidden="false" customHeight="false" outlineLevel="0" collapsed="false">
      <c r="A236" s="23" t="n">
        <f aca="false">IF(B236="","",235)</f>
        <v>235</v>
      </c>
      <c r="B236" s="26" t="n">
        <f aca="false">IF(안내!$C$9+234&gt;MAX(MAX(A타입_제작표!$U$2:$U$799),MAX(시편_시리즈!$Q$2:$Q$151)),"",안내!$C$9+234)</f>
        <v>46625</v>
      </c>
      <c r="C236" s="23" t="str">
        <f aca="false">IF(B236="","",CHOOSE(WEEKDAY(B236,2),"월","화","수","목","금","토","일"))</f>
        <v>목</v>
      </c>
      <c r="D236" s="24" t="str">
        <f aca="false">IF(B236="","",IFERROR(INDEX(A타입_제작표!$J$2:$J$799,MATCH("구약|"&amp;TEXT(B236,"yyyy-mm-dd"),A타입_제작표!$AQ$2:$AQ$799,0))&amp;"  "&amp;INDEX(A타입_제작표!$L$2:$L$799,MATCH("구약|"&amp;TEXT(B236,"yyyy-mm-dd"),A타입_제작표!$AQ$2:$AQ$799,0)),""))</f>
        <v>출 18:1-27  혼자 다 하려다 지친 리더</v>
      </c>
      <c r="E236" s="24" t="str">
        <f aca="false">IF(B236="","",IFERROR(INDEX(A타입_제작표!$J$2:$J$799,MATCH("신약|"&amp;TEXT(B236,"yyyy-mm-dd"),A타입_제작표!$AQ$2:$AQ$799,0))&amp;"  "&amp;INDEX(A타입_제작표!$L$2:$L$799,MATCH("신약|"&amp;TEXT(B236,"yyyy-mm-dd"),A타입_제작표!$AQ$2:$AQ$799,0)),""))</f>
        <v/>
      </c>
      <c r="F236" s="24" t="str">
        <f aca="false">IF(B236="","",IFERROR("시편 "&amp;INDEX(시편_시리즈!$A$2:$A$151,MATCH("시편|"&amp;TEXT(B236,"yyyy-mm-dd"),시편_시리즈!$Y$2:$Y$151,0))&amp;"편  "&amp;INDEX(시편_시리즈!$G$2:$G$151,MATCH("시편|"&amp;TEXT(B236,"yyyy-mm-dd"),시편_시리즈!$Y$2:$Y$151,0)),""))</f>
        <v>시편 101편  완전한 길을 주목하리니</v>
      </c>
      <c r="G236" s="23" t="n">
        <f aca="false">IF(B236="","",(D236&lt;&gt;"")+(E236&lt;&gt;"")+(F236&lt;&gt;""))</f>
        <v>2</v>
      </c>
      <c r="H236" s="31" t="s">
        <v>10282</v>
      </c>
    </row>
    <row r="237" customFormat="false" ht="15" hidden="false" customHeight="false" outlineLevel="0" collapsed="false">
      <c r="A237" s="23" t="n">
        <f aca="false">IF(B237="","",236)</f>
        <v>236</v>
      </c>
      <c r="B237" s="26" t="n">
        <f aca="false">IF(안내!$C$9+235&gt;MAX(MAX(A타입_제작표!$U$2:$U$799),MAX(시편_시리즈!$Q$2:$Q$151)),"",안내!$C$9+235)</f>
        <v>46626</v>
      </c>
      <c r="C237" s="23" t="str">
        <f aca="false">IF(B237="","",CHOOSE(WEEKDAY(B237,2),"월","화","수","목","금","토","일"))</f>
        <v>금</v>
      </c>
      <c r="D237" s="24" t="str">
        <f aca="false">IF(B237="","",IFERROR(INDEX(A타입_제작표!$J$2:$J$799,MATCH("구약|"&amp;TEXT(B237,"yyyy-mm-dd"),A타입_제작표!$AQ$2:$AQ$799,0))&amp;"  "&amp;INDEX(A타입_제작표!$L$2:$L$799,MATCH("구약|"&amp;TEXT(B237,"yyyy-mm-dd"),A타입_제작표!$AQ$2:$AQ$799,0)),""))</f>
        <v>출 20:18-23:33  약자를 지키는 법</v>
      </c>
      <c r="E237" s="24" t="str">
        <f aca="false">IF(B237="","",IFERROR(INDEX(A타입_제작표!$J$2:$J$799,MATCH("신약|"&amp;TEXT(B237,"yyyy-mm-dd"),A타입_제작표!$AQ$2:$AQ$799,0))&amp;"  "&amp;INDEX(A타입_제작표!$L$2:$L$799,MATCH("신약|"&amp;TEXT(B237,"yyyy-mm-dd"),A타입_제작표!$AQ$2:$AQ$799,0)),""))</f>
        <v>막 7:24-37  에바다</v>
      </c>
      <c r="F237" s="24" t="str">
        <f aca="false">IF(B237="","",IFERROR("시편 "&amp;INDEX(시편_시리즈!$A$2:$A$151,MATCH("시편|"&amp;TEXT(B237,"yyyy-mm-dd"),시편_시리즈!$Y$2:$Y$151,0))&amp;"편  "&amp;INDEX(시편_시리즈!$G$2:$G$151,MATCH("시편|"&amp;TEXT(B237,"yyyy-mm-dd"),시편_시리즈!$Y$2:$Y$151,0)),""))</f>
        <v/>
      </c>
      <c r="G237" s="23" t="n">
        <f aca="false">IF(B237="","",(D237&lt;&gt;"")+(E237&lt;&gt;"")+(F237&lt;&gt;""))</f>
        <v>2</v>
      </c>
      <c r="H237" s="31" t="s">
        <v>10282</v>
      </c>
    </row>
    <row r="238" customFormat="false" ht="15" hidden="false" customHeight="false" outlineLevel="0" collapsed="false">
      <c r="A238" s="23" t="n">
        <f aca="false">IF(B238="","",237)</f>
        <v>237</v>
      </c>
      <c r="B238" s="26" t="n">
        <f aca="false">IF(안내!$C$9+236&gt;MAX(MAX(A타입_제작표!$U$2:$U$799),MAX(시편_시리즈!$Q$2:$Q$151)),"",안내!$C$9+236)</f>
        <v>46627</v>
      </c>
      <c r="C238" s="23" t="str">
        <f aca="false">IF(B238="","",CHOOSE(WEEKDAY(B238,2),"월","화","수","목","금","토","일"))</f>
        <v>토</v>
      </c>
      <c r="D238" s="24" t="str">
        <f aca="false">IF(B238="","",IFERROR(INDEX(A타입_제작표!$J$2:$J$799,MATCH("구약|"&amp;TEXT(B238,"yyyy-mm-dd"),A타입_제작표!$AQ$2:$AQ$799,0))&amp;"  "&amp;INDEX(A타입_제작표!$L$2:$L$799,MATCH("구약|"&amp;TEXT(B238,"yyyy-mm-dd"),A타입_제작표!$AQ$2:$AQ$799,0)),""))</f>
        <v>출 24:1-18  피로 맺은 약속</v>
      </c>
      <c r="E238" s="24" t="str">
        <f aca="false">IF(B238="","",IFERROR(INDEX(A타입_제작표!$J$2:$J$799,MATCH("신약|"&amp;TEXT(B238,"yyyy-mm-dd"),A타입_제작표!$AQ$2:$AQ$799,0))&amp;"  "&amp;INDEX(A타입_제작표!$L$2:$L$799,MATCH("신약|"&amp;TEXT(B238,"yyyy-mm-dd"),A타입_제작표!$AQ$2:$AQ$799,0)),""))</f>
        <v>막 8:22-26  두 번 만져 주신 맹인</v>
      </c>
      <c r="F238" s="24" t="str">
        <f aca="false">IF(B238="","",IFERROR("시편 "&amp;INDEX(시편_시리즈!$A$2:$A$151,MATCH("시편|"&amp;TEXT(B238,"yyyy-mm-dd"),시편_시리즈!$Y$2:$Y$151,0))&amp;"편  "&amp;INDEX(시편_시리즈!$G$2:$G$151,MATCH("시편|"&amp;TEXT(B238,"yyyy-mm-dd"),시편_시리즈!$Y$2:$Y$151,0)),""))</f>
        <v/>
      </c>
      <c r="G238" s="23" t="n">
        <f aca="false">IF(B238="","",(D238&lt;&gt;"")+(E238&lt;&gt;"")+(F238&lt;&gt;""))</f>
        <v>2</v>
      </c>
      <c r="H238" s="31" t="s">
        <v>10282</v>
      </c>
    </row>
    <row r="239" customFormat="false" ht="15" hidden="false" customHeight="false" outlineLevel="0" collapsed="false">
      <c r="A239" s="23" t="n">
        <f aca="false">IF(B239="","",238)</f>
        <v>238</v>
      </c>
      <c r="B239" s="26" t="n">
        <f aca="false">IF(안내!$C$9+237&gt;MAX(MAX(A타입_제작표!$U$2:$U$799),MAX(시편_시리즈!$Q$2:$Q$151)),"",안내!$C$9+237)</f>
        <v>46628</v>
      </c>
      <c r="C239" s="23" t="str">
        <f aca="false">IF(B239="","",CHOOSE(WEEKDAY(B239,2),"월","화","수","목","금","토","일"))</f>
        <v>일</v>
      </c>
      <c r="D239" s="24" t="str">
        <f aca="false">IF(B239="","",IFERROR(INDEX(A타입_제작표!$J$2:$J$799,MATCH("구약|"&amp;TEXT(B239,"yyyy-mm-dd"),A타입_제작표!$AQ$2:$AQ$799,0))&amp;"  "&amp;INDEX(A타입_제작표!$L$2:$L$799,MATCH("구약|"&amp;TEXT(B239,"yyyy-mm-dd"),A타입_제작표!$AQ$2:$AQ$799,0)),""))</f>
        <v>출 28:1-29:46  대제사장의 옷</v>
      </c>
      <c r="E239" s="24" t="str">
        <f aca="false">IF(B239="","",IFERROR(INDEX(A타입_제작표!$J$2:$J$799,MATCH("신약|"&amp;TEXT(B239,"yyyy-mm-dd"),A타입_제작표!$AQ$2:$AQ$799,0))&amp;"  "&amp;INDEX(A타입_제작표!$L$2:$L$799,MATCH("신약|"&amp;TEXT(B239,"yyyy-mm-dd"),A타입_제작표!$AQ$2:$AQ$799,0)),""))</f>
        <v/>
      </c>
      <c r="F239" s="24" t="str">
        <f aca="false">IF(B239="","",IFERROR("시편 "&amp;INDEX(시편_시리즈!$A$2:$A$151,MATCH("시편|"&amp;TEXT(B239,"yyyy-mm-dd"),시편_시리즈!$Y$2:$Y$151,0))&amp;"편  "&amp;INDEX(시편_시리즈!$G$2:$G$151,MATCH("시편|"&amp;TEXT(B239,"yyyy-mm-dd"),시편_시리즈!$Y$2:$Y$151,0)),""))</f>
        <v>시편 102편  한결같으신 주</v>
      </c>
      <c r="G239" s="23" t="n">
        <f aca="false">IF(B239="","",(D239&lt;&gt;"")+(E239&lt;&gt;"")+(F239&lt;&gt;""))</f>
        <v>2</v>
      </c>
      <c r="H239" s="31" t="s">
        <v>10282</v>
      </c>
    </row>
    <row r="240" customFormat="false" ht="15" hidden="false" customHeight="false" outlineLevel="0" collapsed="false">
      <c r="A240" s="23" t="n">
        <f aca="false">IF(B240="","",239)</f>
        <v>239</v>
      </c>
      <c r="B240" s="26" t="n">
        <f aca="false">IF(안내!$C$9+238&gt;MAX(MAX(A타입_제작표!$U$2:$U$799),MAX(시편_시리즈!$Q$2:$Q$151)),"",안내!$C$9+238)</f>
        <v>46629</v>
      </c>
      <c r="C240" s="23" t="str">
        <f aca="false">IF(B240="","",CHOOSE(WEEKDAY(B240,2),"월","화","수","목","금","토","일"))</f>
        <v>월</v>
      </c>
      <c r="D240" s="24" t="str">
        <f aca="false">IF(B240="","",IFERROR(INDEX(A타입_제작표!$J$2:$J$799,MATCH("구약|"&amp;TEXT(B240,"yyyy-mm-dd"),A타입_제작표!$AQ$2:$AQ$799,0))&amp;"  "&amp;INDEX(A타입_제작표!$L$2:$L$799,MATCH("구약|"&amp;TEXT(B240,"yyyy-mm-dd"),A타입_제작표!$AQ$2:$AQ$799,0)),""))</f>
        <v>출 30:1-31:18  하나님이 부르신 기술자</v>
      </c>
      <c r="E240" s="24" t="str">
        <f aca="false">IF(B240="","",IFERROR(INDEX(A타입_제작표!$J$2:$J$799,MATCH("신약|"&amp;TEXT(B240,"yyyy-mm-dd"),A타입_제작표!$AQ$2:$AQ$799,0))&amp;"  "&amp;INDEX(A타입_제작표!$L$2:$L$799,MATCH("신약|"&amp;TEXT(B240,"yyyy-mm-dd"),A타입_제작표!$AQ$2:$AQ$799,0)),""))</f>
        <v>막 9:14-29  믿음 없는 나를 도와주소서</v>
      </c>
      <c r="F240" s="24" t="str">
        <f aca="false">IF(B240="","",IFERROR("시편 "&amp;INDEX(시편_시리즈!$A$2:$A$151,MATCH("시편|"&amp;TEXT(B240,"yyyy-mm-dd"),시편_시리즈!$Y$2:$Y$151,0))&amp;"편  "&amp;INDEX(시편_시리즈!$G$2:$G$151,MATCH("시편|"&amp;TEXT(B240,"yyyy-mm-dd"),시편_시리즈!$Y$2:$Y$151,0)),""))</f>
        <v/>
      </c>
      <c r="G240" s="23" t="n">
        <f aca="false">IF(B240="","",(D240&lt;&gt;"")+(E240&lt;&gt;"")+(F240&lt;&gt;""))</f>
        <v>2</v>
      </c>
      <c r="H240" s="31" t="s">
        <v>10282</v>
      </c>
    </row>
    <row r="241" customFormat="false" ht="15" hidden="false" customHeight="false" outlineLevel="0" collapsed="false">
      <c r="A241" s="23" t="n">
        <f aca="false">IF(B241="","",240)</f>
        <v>240</v>
      </c>
      <c r="B241" s="26" t="n">
        <f aca="false">IF(안내!$C$9+239&gt;MAX(MAX(A타입_제작표!$U$2:$U$799),MAX(시편_시리즈!$Q$2:$Q$151)),"",안내!$C$9+239)</f>
        <v>46630</v>
      </c>
      <c r="C241" s="23" t="str">
        <f aca="false">IF(B241="","",CHOOSE(WEEKDAY(B241,2),"월","화","수","목","금","토","일"))</f>
        <v>화</v>
      </c>
      <c r="D241" s="24" t="str">
        <f aca="false">IF(B241="","",IFERROR(INDEX(A타입_제작표!$J$2:$J$799,MATCH("구약|"&amp;TEXT(B241,"yyyy-mm-dd"),A타입_제작표!$AQ$2:$AQ$799,0))&amp;"  "&amp;INDEX(A타입_제작표!$L$2:$L$799,MATCH("구약|"&amp;TEXT(B241,"yyyy-mm-dd"),A타입_제작표!$AQ$2:$AQ$799,0)),""))</f>
        <v>출 32:15-35  깨어진 돌판</v>
      </c>
      <c r="E241" s="24" t="str">
        <f aca="false">IF(B241="","",IFERROR(INDEX(A타입_제작표!$J$2:$J$799,MATCH("신약|"&amp;TEXT(B241,"yyyy-mm-dd"),A타입_제작표!$AQ$2:$AQ$799,0))&amp;"  "&amp;INDEX(A타입_제작표!$L$2:$L$799,MATCH("신약|"&amp;TEXT(B241,"yyyy-mm-dd"),A타입_제작표!$AQ$2:$AQ$799,0)),""))</f>
        <v/>
      </c>
      <c r="F241" s="24" t="str">
        <f aca="false">IF(B241="","",IFERROR("시편 "&amp;INDEX(시편_시리즈!$A$2:$A$151,MATCH("시편|"&amp;TEXT(B241,"yyyy-mm-dd"),시편_시리즈!$Y$2:$Y$151,0))&amp;"편  "&amp;INDEX(시편_시리즈!$G$2:$G$151,MATCH("시편|"&amp;TEXT(B241,"yyyy-mm-dd"),시편_시리즈!$Y$2:$Y$151,0)),""))</f>
        <v>시편 103편  은택을 잊지 말라</v>
      </c>
      <c r="G241" s="23" t="n">
        <f aca="false">IF(B241="","",(D241&lt;&gt;"")+(E241&lt;&gt;"")+(F241&lt;&gt;""))</f>
        <v>2</v>
      </c>
      <c r="H241" s="31" t="s">
        <v>10282</v>
      </c>
    </row>
    <row r="242" customFormat="false" ht="15" hidden="false" customHeight="false" outlineLevel="0" collapsed="false">
      <c r="A242" s="23" t="n">
        <f aca="false">IF(B242="","",241)</f>
        <v>241</v>
      </c>
      <c r="B242" s="26" t="n">
        <f aca="false">IF(안내!$C$9+240&gt;MAX(MAX(A타입_제작표!$U$2:$U$799),MAX(시편_시리즈!$Q$2:$Q$151)),"",안내!$C$9+240)</f>
        <v>46631</v>
      </c>
      <c r="C242" s="23" t="str">
        <f aca="false">IF(B242="","",CHOOSE(WEEKDAY(B242,2),"월","화","수","목","금","토","일"))</f>
        <v>수</v>
      </c>
      <c r="D242" s="24" t="str">
        <f aca="false">IF(B242="","",IFERROR(INDEX(A타입_제작표!$J$2:$J$799,MATCH("구약|"&amp;TEXT(B242,"yyyy-mm-dd"),A타입_제작표!$AQ$2:$AQ$799,0))&amp;"  "&amp;INDEX(A타입_제작표!$L$2:$L$799,MATCH("구약|"&amp;TEXT(B242,"yyyy-mm-dd"),A타입_제작표!$AQ$2:$AQ$799,0)),""))</f>
        <v>출 33:1-23  주의 영광을 보여 주소서</v>
      </c>
      <c r="E242" s="24" t="str">
        <f aca="false">IF(B242="","",IFERROR(INDEX(A타입_제작표!$J$2:$J$799,MATCH("신약|"&amp;TEXT(B242,"yyyy-mm-dd"),A타입_제작표!$AQ$2:$AQ$799,0))&amp;"  "&amp;INDEX(A타입_제작표!$L$2:$L$799,MATCH("신약|"&amp;TEXT(B242,"yyyy-mm-dd"),A타입_제작표!$AQ$2:$AQ$799,0)),""))</f>
        <v>막 16:1-20  온 천하에 다니며</v>
      </c>
      <c r="F242" s="24" t="str">
        <f aca="false">IF(B242="","",IFERROR("시편 "&amp;INDEX(시편_시리즈!$A$2:$A$151,MATCH("시편|"&amp;TEXT(B242,"yyyy-mm-dd"),시편_시리즈!$Y$2:$Y$151,0))&amp;"편  "&amp;INDEX(시편_시리즈!$G$2:$G$151,MATCH("시편|"&amp;TEXT(B242,"yyyy-mm-dd"),시편_시리즈!$Y$2:$Y$151,0)),""))</f>
        <v/>
      </c>
      <c r="G242" s="23" t="n">
        <f aca="false">IF(B242="","",(D242&lt;&gt;"")+(E242&lt;&gt;"")+(F242&lt;&gt;""))</f>
        <v>2</v>
      </c>
      <c r="H242" s="31" t="s">
        <v>10282</v>
      </c>
    </row>
    <row r="243" customFormat="false" ht="15" hidden="false" customHeight="false" outlineLevel="0" collapsed="false">
      <c r="A243" s="23" t="n">
        <f aca="false">IF(B243="","",242)</f>
        <v>242</v>
      </c>
      <c r="B243" s="26" t="n">
        <f aca="false">IF(안내!$C$9+241&gt;MAX(MAX(A타입_제작표!$U$2:$U$799),MAX(시편_시리즈!$Q$2:$Q$151)),"",안내!$C$9+241)</f>
        <v>46632</v>
      </c>
      <c r="C243" s="23" t="str">
        <f aca="false">IF(B243="","",CHOOSE(WEEKDAY(B243,2),"월","화","수","목","금","토","일"))</f>
        <v>목</v>
      </c>
      <c r="D243" s="24" t="str">
        <f aca="false">IF(B243="","",IFERROR(INDEX(A타입_제작표!$J$2:$J$799,MATCH("구약|"&amp;TEXT(B243,"yyyy-mm-dd"),A타입_제작표!$AQ$2:$AQ$799,0))&amp;"  "&amp;INDEX(A타입_제작표!$L$2:$L$799,MATCH("구약|"&amp;TEXT(B243,"yyyy-mm-dd"),A타입_제작표!$AQ$2:$AQ$799,0)),""))</f>
        <v>출 34:1-35  빛나는 얼굴</v>
      </c>
      <c r="E243" s="24" t="str">
        <f aca="false">IF(B243="","",IFERROR(INDEX(A타입_제작표!$J$2:$J$799,MATCH("신약|"&amp;TEXT(B243,"yyyy-mm-dd"),A타입_제작표!$AQ$2:$AQ$799,0))&amp;"  "&amp;INDEX(A타입_제작표!$L$2:$L$799,MATCH("신약|"&amp;TEXT(B243,"yyyy-mm-dd"),A타입_제작표!$AQ$2:$AQ$799,0)),""))</f>
        <v/>
      </c>
      <c r="F243" s="24" t="str">
        <f aca="false">IF(B243="","",IFERROR("시편 "&amp;INDEX(시편_시리즈!$A$2:$A$151,MATCH("시편|"&amp;TEXT(B243,"yyyy-mm-dd"),시편_시리즈!$Y$2:$Y$151,0))&amp;"편  "&amp;INDEX(시편_시리즈!$G$2:$G$151,MATCH("시편|"&amp;TEXT(B243,"yyyy-mm-dd"),시편_시리즈!$Y$2:$Y$151,0)),""))</f>
        <v>시편 104편  창조를 노래하다</v>
      </c>
      <c r="G243" s="23" t="n">
        <f aca="false">IF(B243="","",(D243&lt;&gt;"")+(E243&lt;&gt;"")+(F243&lt;&gt;""))</f>
        <v>2</v>
      </c>
      <c r="H243" s="31" t="s">
        <v>10282</v>
      </c>
    </row>
    <row r="244" customFormat="false" ht="15" hidden="false" customHeight="false" outlineLevel="0" collapsed="false">
      <c r="A244" s="23" t="n">
        <f aca="false">IF(B244="","",243)</f>
        <v>243</v>
      </c>
      <c r="B244" s="26" t="n">
        <f aca="false">IF(안내!$C$9+242&gt;MAX(MAX(A타입_제작표!$U$2:$U$799),MAX(시편_시리즈!$Q$2:$Q$151)),"",안내!$C$9+242)</f>
        <v>46633</v>
      </c>
      <c r="C244" s="23" t="str">
        <f aca="false">IF(B244="","",CHOOSE(WEEKDAY(B244,2),"월","화","수","목","금","토","일"))</f>
        <v>금</v>
      </c>
      <c r="D244" s="24" t="str">
        <f aca="false">IF(B244="","",IFERROR(INDEX(A타입_제작표!$J$2:$J$799,MATCH("구약|"&amp;TEXT(B244,"yyyy-mm-dd"),A타입_제작표!$AQ$2:$AQ$799,0))&amp;"  "&amp;INDEX(A타입_제작표!$L$2:$L$799,MATCH("구약|"&amp;TEXT(B244,"yyyy-mm-dd"),A타입_제작표!$AQ$2:$AQ$799,0)),""))</f>
        <v>출 35:1-36:7  그만 가져오세요!</v>
      </c>
      <c r="E244" s="24" t="str">
        <f aca="false">IF(B244="","",IFERROR(INDEX(A타입_제작표!$J$2:$J$799,MATCH("신약|"&amp;TEXT(B244,"yyyy-mm-dd"),A타입_제작표!$AQ$2:$AQ$799,0))&amp;"  "&amp;INDEX(A타입_제작표!$L$2:$L$799,MATCH("신약|"&amp;TEXT(B244,"yyyy-mm-dd"),A타입_제작표!$AQ$2:$AQ$799,0)),""))</f>
        <v>눅 1:39-56  마리아의 찬가</v>
      </c>
      <c r="F244" s="24" t="str">
        <f aca="false">IF(B244="","",IFERROR("시편 "&amp;INDEX(시편_시리즈!$A$2:$A$151,MATCH("시편|"&amp;TEXT(B244,"yyyy-mm-dd"),시편_시리즈!$Y$2:$Y$151,0))&amp;"편  "&amp;INDEX(시편_시리즈!$G$2:$G$151,MATCH("시편|"&amp;TEXT(B244,"yyyy-mm-dd"),시편_시리즈!$Y$2:$Y$151,0)),""))</f>
        <v/>
      </c>
      <c r="G244" s="23" t="n">
        <f aca="false">IF(B244="","",(D244&lt;&gt;"")+(E244&lt;&gt;"")+(F244&lt;&gt;""))</f>
        <v>2</v>
      </c>
      <c r="H244" s="31" t="s">
        <v>10282</v>
      </c>
    </row>
    <row r="245" customFormat="false" ht="15" hidden="false" customHeight="false" outlineLevel="0" collapsed="false">
      <c r="A245" s="23" t="n">
        <f aca="false">IF(B245="","",244)</f>
        <v>244</v>
      </c>
      <c r="B245" s="26" t="n">
        <f aca="false">IF(안내!$C$9+243&gt;MAX(MAX(A타입_제작표!$U$2:$U$799),MAX(시편_시리즈!$Q$2:$Q$151)),"",안내!$C$9+243)</f>
        <v>46634</v>
      </c>
      <c r="C245" s="23" t="str">
        <f aca="false">IF(B245="","",CHOOSE(WEEKDAY(B245,2),"월","화","수","목","금","토","일"))</f>
        <v>토</v>
      </c>
      <c r="D245" s="24" t="str">
        <f aca="false">IF(B245="","",IFERROR(INDEX(A타입_제작표!$J$2:$J$799,MATCH("구약|"&amp;TEXT(B245,"yyyy-mm-dd"),A타입_제작표!$AQ$2:$AQ$799,0))&amp;"  "&amp;INDEX(A타입_제작표!$L$2:$L$799,MATCH("구약|"&amp;TEXT(B245,"yyyy-mm-dd"),A타입_제작표!$AQ$2:$AQ$799,0)),""))</f>
        <v>출 36:8-39:43  성막을 만들다</v>
      </c>
      <c r="E245" s="24" t="str">
        <f aca="false">IF(B245="","",IFERROR(INDEX(A타입_제작표!$J$2:$J$799,MATCH("신약|"&amp;TEXT(B245,"yyyy-mm-dd"),A타입_제작표!$AQ$2:$AQ$799,0))&amp;"  "&amp;INDEX(A타입_제작표!$L$2:$L$799,MATCH("신약|"&amp;TEXT(B245,"yyyy-mm-dd"),A타입_제작표!$AQ$2:$AQ$799,0)),""))</f>
        <v>눅 1:57-80  그의 이름은 요한</v>
      </c>
      <c r="F245" s="24" t="str">
        <f aca="false">IF(B245="","",IFERROR("시편 "&amp;INDEX(시편_시리즈!$A$2:$A$151,MATCH("시편|"&amp;TEXT(B245,"yyyy-mm-dd"),시편_시리즈!$Y$2:$Y$151,0))&amp;"편  "&amp;INDEX(시편_시리즈!$G$2:$G$151,MATCH("시편|"&amp;TEXT(B245,"yyyy-mm-dd"),시편_시리즈!$Y$2:$Y$151,0)),""))</f>
        <v/>
      </c>
      <c r="G245" s="23" t="n">
        <f aca="false">IF(B245="","",(D245&lt;&gt;"")+(E245&lt;&gt;"")+(F245&lt;&gt;""))</f>
        <v>2</v>
      </c>
      <c r="H245" s="31" t="s">
        <v>10282</v>
      </c>
    </row>
    <row r="246" customFormat="false" ht="26.85" hidden="false" customHeight="false" outlineLevel="0" collapsed="false">
      <c r="A246" s="23" t="n">
        <f aca="false">IF(B246="","",245)</f>
        <v>245</v>
      </c>
      <c r="B246" s="26" t="n">
        <f aca="false">IF(안내!$C$9+244&gt;MAX(MAX(A타입_제작표!$U$2:$U$799),MAX(시편_시리즈!$Q$2:$Q$151)),"",안내!$C$9+244)</f>
        <v>46635</v>
      </c>
      <c r="C246" s="23" t="str">
        <f aca="false">IF(B246="","",CHOOSE(WEEKDAY(B246,2),"월","화","수","목","금","토","일"))</f>
        <v>일</v>
      </c>
      <c r="D246" s="24" t="str">
        <f aca="false">IF(B246="","",IFERROR(INDEX(A타입_제작표!$J$2:$J$799,MATCH("구약|"&amp;TEXT(B246,"yyyy-mm-dd"),A타입_제작표!$AQ$2:$AQ$799,0))&amp;"  "&amp;INDEX(A타입_제작표!$L$2:$L$799,MATCH("구약|"&amp;TEXT(B246,"yyyy-mm-dd"),A타입_제작표!$AQ$2:$AQ$799,0)),""))</f>
        <v>레 1:1-3:17  왜 동물을 바쳤을까?</v>
      </c>
      <c r="E246" s="24" t="str">
        <f aca="false">IF(B246="","",IFERROR(INDEX(A타입_제작표!$J$2:$J$799,MATCH("신약|"&amp;TEXT(B246,"yyyy-mm-dd"),A타입_제작표!$AQ$2:$AQ$799,0))&amp;"  "&amp;INDEX(A타입_제작표!$L$2:$L$799,MATCH("신약|"&amp;TEXT(B246,"yyyy-mm-dd"),A타입_제작표!$AQ$2:$AQ$799,0)),""))</f>
        <v/>
      </c>
      <c r="F246" s="24" t="str">
        <f aca="false">IF(B246="","",IFERROR("시편 "&amp;INDEX(시편_시리즈!$A$2:$A$151,MATCH("시편|"&amp;TEXT(B246,"yyyy-mm-dd"),시편_시리즈!$Y$2:$Y$151,0))&amp;"편  "&amp;INDEX(시편_시리즈!$G$2:$G$151,MATCH("시편|"&amp;TEXT(B246,"yyyy-mm-dd"),시편_시리즈!$Y$2:$Y$151,0)),""))</f>
        <v>시편 105편  그가 행하신 일을 알게 하라</v>
      </c>
      <c r="G246" s="23" t="n">
        <f aca="false">IF(B246="","",(D246&lt;&gt;"")+(E246&lt;&gt;"")+(F246&lt;&gt;""))</f>
        <v>2</v>
      </c>
      <c r="H246" s="31" t="s">
        <v>10282</v>
      </c>
    </row>
    <row r="247" customFormat="false" ht="15" hidden="false" customHeight="false" outlineLevel="0" collapsed="false">
      <c r="A247" s="23" t="n">
        <f aca="false">IF(B247="","",246)</f>
        <v>246</v>
      </c>
      <c r="B247" s="26" t="n">
        <f aca="false">IF(안내!$C$9+245&gt;MAX(MAX(A타입_제작표!$U$2:$U$799),MAX(시편_시리즈!$Q$2:$Q$151)),"",안내!$C$9+245)</f>
        <v>46636</v>
      </c>
      <c r="C247" s="23" t="str">
        <f aca="false">IF(B247="","",CHOOSE(WEEKDAY(B247,2),"월","화","수","목","금","토","일"))</f>
        <v>월</v>
      </c>
      <c r="D247" s="24" t="str">
        <f aca="false">IF(B247="","",IFERROR(INDEX(A타입_제작표!$J$2:$J$799,MATCH("구약|"&amp;TEXT(B247,"yyyy-mm-dd"),A타입_제작표!$AQ$2:$AQ$799,0))&amp;"  "&amp;INDEX(A타입_제작표!$L$2:$L$799,MATCH("구약|"&amp;TEXT(B247,"yyyy-mm-dd"),A타입_제작표!$AQ$2:$AQ$799,0)),""))</f>
        <v>레 4:1-7:38  모르고 지은 죄도 죄일까?</v>
      </c>
      <c r="E247" s="24" t="str">
        <f aca="false">IF(B247="","",IFERROR(INDEX(A타입_제작표!$J$2:$J$799,MATCH("신약|"&amp;TEXT(B247,"yyyy-mm-dd"),A타입_제작표!$AQ$2:$AQ$799,0))&amp;"  "&amp;INDEX(A타입_제작표!$L$2:$L$799,MATCH("신약|"&amp;TEXT(B247,"yyyy-mm-dd"),A타입_제작표!$AQ$2:$AQ$799,0)),""))</f>
        <v>눅 2:21-40  시므온과 안나</v>
      </c>
      <c r="F247" s="24" t="str">
        <f aca="false">IF(B247="","",IFERROR("시편 "&amp;INDEX(시편_시리즈!$A$2:$A$151,MATCH("시편|"&amp;TEXT(B247,"yyyy-mm-dd"),시편_시리즈!$Y$2:$Y$151,0))&amp;"편  "&amp;INDEX(시편_시리즈!$G$2:$G$151,MATCH("시편|"&amp;TEXT(B247,"yyyy-mm-dd"),시편_시리즈!$Y$2:$Y$151,0)),""))</f>
        <v/>
      </c>
      <c r="G247" s="23" t="n">
        <f aca="false">IF(B247="","",(D247&lt;&gt;"")+(E247&lt;&gt;"")+(F247&lt;&gt;""))</f>
        <v>2</v>
      </c>
      <c r="H247" s="31" t="s">
        <v>10282</v>
      </c>
    </row>
    <row r="248" customFormat="false" ht="15" hidden="false" customHeight="false" outlineLevel="0" collapsed="false">
      <c r="A248" s="23" t="n">
        <f aca="false">IF(B248="","",247)</f>
        <v>247</v>
      </c>
      <c r="B248" s="26" t="n">
        <f aca="false">IF(안내!$C$9+246&gt;MAX(MAX(A타입_제작표!$U$2:$U$799),MAX(시편_시리즈!$Q$2:$Q$151)),"",안내!$C$9+246)</f>
        <v>46637</v>
      </c>
      <c r="C248" s="23" t="str">
        <f aca="false">IF(B248="","",CHOOSE(WEEKDAY(B248,2),"월","화","수","목","금","토","일"))</f>
        <v>화</v>
      </c>
      <c r="D248" s="24" t="str">
        <f aca="false">IF(B248="","",IFERROR(INDEX(A타입_제작표!$J$2:$J$799,MATCH("구약|"&amp;TEXT(B248,"yyyy-mm-dd"),A타입_제작표!$AQ$2:$AQ$799,0))&amp;"  "&amp;INDEX(A타입_제작표!$L$2:$L$799,MATCH("구약|"&amp;TEXT(B248,"yyyy-mm-dd"),A타입_제작표!$AQ$2:$AQ$799,0)),""))</f>
        <v>레 8:1-10:20  다른 불</v>
      </c>
      <c r="E248" s="24" t="str">
        <f aca="false">IF(B248="","",IFERROR(INDEX(A타입_제작표!$J$2:$J$799,MATCH("신약|"&amp;TEXT(B248,"yyyy-mm-dd"),A타입_제작표!$AQ$2:$AQ$799,0))&amp;"  "&amp;INDEX(A타입_제작표!$L$2:$L$799,MATCH("신약|"&amp;TEXT(B248,"yyyy-mm-dd"),A타입_제작표!$AQ$2:$AQ$799,0)),""))</f>
        <v/>
      </c>
      <c r="F248" s="24" t="str">
        <f aca="false">IF(B248="","",IFERROR("시편 "&amp;INDEX(시편_시리즈!$A$2:$A$151,MATCH("시편|"&amp;TEXT(B248,"yyyy-mm-dd"),시편_시리즈!$Y$2:$Y$151,0))&amp;"편  "&amp;INDEX(시편_시리즈!$G$2:$G$151,MATCH("시편|"&amp;TEXT(B248,"yyyy-mm-dd"),시편_시리즈!$Y$2:$Y$151,0)),""))</f>
        <v>시편 106편  그래도 구원하신 하나님</v>
      </c>
      <c r="G248" s="23" t="n">
        <f aca="false">IF(B248="","",(D248&lt;&gt;"")+(E248&lt;&gt;"")+(F248&lt;&gt;""))</f>
        <v>2</v>
      </c>
      <c r="H248" s="31" t="s">
        <v>10282</v>
      </c>
    </row>
    <row r="249" customFormat="false" ht="15" hidden="false" customHeight="false" outlineLevel="0" collapsed="false">
      <c r="A249" s="23" t="n">
        <f aca="false">IF(B249="","",248)</f>
        <v>248</v>
      </c>
      <c r="B249" s="26" t="n">
        <f aca="false">IF(안내!$C$9+247&gt;MAX(MAX(A타입_제작표!$U$2:$U$799),MAX(시편_시리즈!$Q$2:$Q$151)),"",안내!$C$9+247)</f>
        <v>46638</v>
      </c>
      <c r="C249" s="23" t="str">
        <f aca="false">IF(B249="","",CHOOSE(WEEKDAY(B249,2),"월","화","수","목","금","토","일"))</f>
        <v>수</v>
      </c>
      <c r="D249" s="24" t="str">
        <f aca="false">IF(B249="","",IFERROR(INDEX(A타입_제작표!$J$2:$J$799,MATCH("구약|"&amp;TEXT(B249,"yyyy-mm-dd"),A타입_제작표!$AQ$2:$AQ$799,0))&amp;"  "&amp;INDEX(A타입_제작표!$L$2:$L$799,MATCH("구약|"&amp;TEXT(B249,"yyyy-mm-dd"),A타입_제작표!$AQ$2:$AQ$799,0)),""))</f>
        <v>레 11:1-15:33  먹어도 되는 것, 안 되는 것</v>
      </c>
      <c r="E249" s="24" t="str">
        <f aca="false">IF(B249="","",IFERROR(INDEX(A타입_제작표!$J$2:$J$799,MATCH("신약|"&amp;TEXT(B249,"yyyy-mm-dd"),A타입_제작표!$AQ$2:$AQ$799,0))&amp;"  "&amp;INDEX(A타입_제작표!$L$2:$L$799,MATCH("신약|"&amp;TEXT(B249,"yyyy-mm-dd"),A타입_제작표!$AQ$2:$AQ$799,0)),""))</f>
        <v>눅 4:16-30  나사렛 회당</v>
      </c>
      <c r="F249" s="24" t="str">
        <f aca="false">IF(B249="","",IFERROR("시편 "&amp;INDEX(시편_시리즈!$A$2:$A$151,MATCH("시편|"&amp;TEXT(B249,"yyyy-mm-dd"),시편_시리즈!$Y$2:$Y$151,0))&amp;"편  "&amp;INDEX(시편_시리즈!$G$2:$G$151,MATCH("시편|"&amp;TEXT(B249,"yyyy-mm-dd"),시편_시리즈!$Y$2:$Y$151,0)),""))</f>
        <v/>
      </c>
      <c r="G249" s="23" t="n">
        <f aca="false">IF(B249="","",(D249&lt;&gt;"")+(E249&lt;&gt;"")+(F249&lt;&gt;""))</f>
        <v>2</v>
      </c>
      <c r="H249" s="31" t="s">
        <v>10282</v>
      </c>
    </row>
    <row r="250" customFormat="false" ht="15" hidden="false" customHeight="false" outlineLevel="0" collapsed="false">
      <c r="A250" s="23" t="n">
        <f aca="false">IF(B250="","",249)</f>
        <v>249</v>
      </c>
      <c r="B250" s="26" t="n">
        <f aca="false">IF(안내!$C$9+248&gt;MAX(MAX(A타입_제작표!$U$2:$U$799),MAX(시편_시리즈!$Q$2:$Q$151)),"",안내!$C$9+248)</f>
        <v>46639</v>
      </c>
      <c r="C250" s="23" t="str">
        <f aca="false">IF(B250="","",CHOOSE(WEEKDAY(B250,2),"월","화","수","목","금","토","일"))</f>
        <v>목</v>
      </c>
      <c r="D250" s="24" t="str">
        <f aca="false">IF(B250="","",IFERROR(INDEX(A타입_제작표!$J$2:$J$799,MATCH("구약|"&amp;TEXT(B250,"yyyy-mm-dd"),A타입_제작표!$AQ$2:$AQ$799,0))&amp;"  "&amp;INDEX(A타입_제작표!$L$2:$L$799,MATCH("구약|"&amp;TEXT(B250,"yyyy-mm-dd"),A타입_제작표!$AQ$2:$AQ$799,0)),""))</f>
        <v>레 17:1-18:30  피는 생명이다</v>
      </c>
      <c r="E250" s="24" t="str">
        <f aca="false">IF(B250="","",IFERROR(INDEX(A타입_제작표!$J$2:$J$799,MATCH("신약|"&amp;TEXT(B250,"yyyy-mm-dd"),A타입_제작표!$AQ$2:$AQ$799,0))&amp;"  "&amp;INDEX(A타입_제작표!$L$2:$L$799,MATCH("신약|"&amp;TEXT(B250,"yyyy-mm-dd"),A타입_제작표!$AQ$2:$AQ$799,0)),""))</f>
        <v/>
      </c>
      <c r="F250" s="24" t="str">
        <f aca="false">IF(B250="","",IFERROR("시편 "&amp;INDEX(시편_시리즈!$A$2:$A$151,MATCH("시편|"&amp;TEXT(B250,"yyyy-mm-dd"),시편_시리즈!$Y$2:$Y$151,0))&amp;"편  "&amp;INDEX(시편_시리즈!$G$2:$G$151,MATCH("시편|"&amp;TEXT(B250,"yyyy-mm-dd"),시편_시리즈!$Y$2:$Y$151,0)),""))</f>
        <v>시편 107편  여호와께 감사하라</v>
      </c>
      <c r="G250" s="23" t="n">
        <f aca="false">IF(B250="","",(D250&lt;&gt;"")+(E250&lt;&gt;"")+(F250&lt;&gt;""))</f>
        <v>2</v>
      </c>
      <c r="H250" s="31" t="s">
        <v>10282</v>
      </c>
    </row>
    <row r="251" customFormat="false" ht="15" hidden="false" customHeight="false" outlineLevel="0" collapsed="false">
      <c r="A251" s="23" t="n">
        <f aca="false">IF(B251="","",250)</f>
        <v>250</v>
      </c>
      <c r="B251" s="26" t="n">
        <f aca="false">IF(안내!$C$9+249&gt;MAX(MAX(A타입_제작표!$U$2:$U$799),MAX(시편_시리즈!$Q$2:$Q$151)),"",안내!$C$9+249)</f>
        <v>46640</v>
      </c>
      <c r="C251" s="23" t="str">
        <f aca="false">IF(B251="","",CHOOSE(WEEKDAY(B251,2),"월","화","수","목","금","토","일"))</f>
        <v>금</v>
      </c>
      <c r="D251" s="24" t="str">
        <f aca="false">IF(B251="","",IFERROR(INDEX(A타입_제작표!$J$2:$J$799,MATCH("구약|"&amp;TEXT(B251,"yyyy-mm-dd"),A타입_제작표!$AQ$2:$AQ$799,0))&amp;"  "&amp;INDEX(A타입_제작표!$L$2:$L$799,MATCH("구약|"&amp;TEXT(B251,"yyyy-mm-dd"),A타입_제작표!$AQ$2:$AQ$799,0)),""))</f>
        <v>레 19:1-37  네 이웃을 네 몸과 같이</v>
      </c>
      <c r="E251" s="24" t="str">
        <f aca="false">IF(B251="","",IFERROR(INDEX(A타입_제작표!$J$2:$J$799,MATCH("신약|"&amp;TEXT(B251,"yyyy-mm-dd"),A타입_제작표!$AQ$2:$AQ$799,0))&amp;"  "&amp;INDEX(A타입_제작표!$L$2:$L$799,MATCH("신약|"&amp;TEXT(B251,"yyyy-mm-dd"),A타입_제작표!$AQ$2:$AQ$799,0)),""))</f>
        <v>눅 7:11-17  울지 말라</v>
      </c>
      <c r="F251" s="24" t="str">
        <f aca="false">IF(B251="","",IFERROR("시편 "&amp;INDEX(시편_시리즈!$A$2:$A$151,MATCH("시편|"&amp;TEXT(B251,"yyyy-mm-dd"),시편_시리즈!$Y$2:$Y$151,0))&amp;"편  "&amp;INDEX(시편_시리즈!$G$2:$G$151,MATCH("시편|"&amp;TEXT(B251,"yyyy-mm-dd"),시편_시리즈!$Y$2:$Y$151,0)),""))</f>
        <v/>
      </c>
      <c r="G251" s="23" t="n">
        <f aca="false">IF(B251="","",(D251&lt;&gt;"")+(E251&lt;&gt;"")+(F251&lt;&gt;""))</f>
        <v>2</v>
      </c>
      <c r="H251" s="31" t="s">
        <v>10282</v>
      </c>
    </row>
    <row r="252" customFormat="false" ht="15" hidden="false" customHeight="false" outlineLevel="0" collapsed="false">
      <c r="A252" s="23" t="n">
        <f aca="false">IF(B252="","",251)</f>
        <v>251</v>
      </c>
      <c r="B252" s="26" t="n">
        <f aca="false">IF(안내!$C$9+250&gt;MAX(MAX(A타입_제작표!$U$2:$U$799),MAX(시편_시리즈!$Q$2:$Q$151)),"",안내!$C$9+250)</f>
        <v>46641</v>
      </c>
      <c r="C252" s="23" t="str">
        <f aca="false">IF(B252="","",CHOOSE(WEEKDAY(B252,2),"월","화","수","목","금","토","일"))</f>
        <v>토</v>
      </c>
      <c r="D252" s="24" t="str">
        <f aca="false">IF(B252="","",IFERROR(INDEX(A타입_제작표!$J$2:$J$799,MATCH("구약|"&amp;TEXT(B252,"yyyy-mm-dd"),A타입_제작표!$AQ$2:$AQ$799,0))&amp;"  "&amp;INDEX(A타입_제작표!$L$2:$L$799,MATCH("구약|"&amp;TEXT(B252,"yyyy-mm-dd"),A타입_제작표!$AQ$2:$AQ$799,0)),""))</f>
        <v>레 20:1-22:33  구별된 백성</v>
      </c>
      <c r="E252" s="24" t="str">
        <f aca="false">IF(B252="","",IFERROR(INDEX(A타입_제작표!$J$2:$J$799,MATCH("신약|"&amp;TEXT(B252,"yyyy-mm-dd"),A타입_제작표!$AQ$2:$AQ$799,0))&amp;"  "&amp;INDEX(A타입_제작표!$L$2:$L$799,MATCH("신약|"&amp;TEXT(B252,"yyyy-mm-dd"),A타입_제작표!$AQ$2:$AQ$799,0)),""))</f>
        <v>눅 7:36-50  눈물로 발을 씻긴 여인</v>
      </c>
      <c r="F252" s="24" t="str">
        <f aca="false">IF(B252="","",IFERROR("시편 "&amp;INDEX(시편_시리즈!$A$2:$A$151,MATCH("시편|"&amp;TEXT(B252,"yyyy-mm-dd"),시편_시리즈!$Y$2:$Y$151,0))&amp;"편  "&amp;INDEX(시편_시리즈!$G$2:$G$151,MATCH("시편|"&amp;TEXT(B252,"yyyy-mm-dd"),시편_시리즈!$Y$2:$Y$151,0)),""))</f>
        <v/>
      </c>
      <c r="G252" s="23" t="n">
        <f aca="false">IF(B252="","",(D252&lt;&gt;"")+(E252&lt;&gt;"")+(F252&lt;&gt;""))</f>
        <v>2</v>
      </c>
      <c r="H252" s="31" t="s">
        <v>10282</v>
      </c>
    </row>
    <row r="253" customFormat="false" ht="26.85" hidden="false" customHeight="false" outlineLevel="0" collapsed="false">
      <c r="A253" s="23" t="n">
        <f aca="false">IF(B253="","",252)</f>
        <v>252</v>
      </c>
      <c r="B253" s="26" t="n">
        <f aca="false">IF(안내!$C$9+251&gt;MAX(MAX(A타입_제작표!$U$2:$U$799),MAX(시편_시리즈!$Q$2:$Q$151)),"",안내!$C$9+251)</f>
        <v>46642</v>
      </c>
      <c r="C253" s="23" t="str">
        <f aca="false">IF(B253="","",CHOOSE(WEEKDAY(B253,2),"월","화","수","목","금","토","일"))</f>
        <v>일</v>
      </c>
      <c r="D253" s="24" t="str">
        <f aca="false">IF(B253="","",IFERROR(INDEX(A타입_제작표!$J$2:$J$799,MATCH("구약|"&amp;TEXT(B253,"yyyy-mm-dd"),A타입_제작표!$AQ$2:$AQ$799,0))&amp;"  "&amp;INDEX(A타입_제작표!$L$2:$L$799,MATCH("구약|"&amp;TEXT(B253,"yyyy-mm-dd"),A타입_제작표!$AQ$2:$AQ$799,0)),""))</f>
        <v>레 23:1-44  이스라엘의 일곱 절기</v>
      </c>
      <c r="E253" s="24" t="str">
        <f aca="false">IF(B253="","",IFERROR(INDEX(A타입_제작표!$J$2:$J$799,MATCH("신약|"&amp;TEXT(B253,"yyyy-mm-dd"),A타입_제작표!$AQ$2:$AQ$799,0))&amp;"  "&amp;INDEX(A타입_제작표!$L$2:$L$799,MATCH("신약|"&amp;TEXT(B253,"yyyy-mm-dd"),A타입_제작표!$AQ$2:$AQ$799,0)),""))</f>
        <v/>
      </c>
      <c r="F253" s="24" t="str">
        <f aca="false">IF(B253="","",IFERROR("시편 "&amp;INDEX(시편_시리즈!$A$2:$A$151,MATCH("시편|"&amp;TEXT(B253,"yyyy-mm-dd"),시편_시리즈!$Y$2:$Y$151,0))&amp;"편  "&amp;INDEX(시편_시리즈!$G$2:$G$151,MATCH("시편|"&amp;TEXT(B253,"yyyy-mm-dd"),시편_시리즈!$Y$2:$Y$151,0)),""))</f>
        <v>시편 108편  하늘 위에 높이 들리시며</v>
      </c>
      <c r="G253" s="23" t="n">
        <f aca="false">IF(B253="","",(D253&lt;&gt;"")+(E253&lt;&gt;"")+(F253&lt;&gt;""))</f>
        <v>2</v>
      </c>
      <c r="H253" s="31" t="s">
        <v>10282</v>
      </c>
    </row>
    <row r="254" customFormat="false" ht="15" hidden="false" customHeight="false" outlineLevel="0" collapsed="false">
      <c r="A254" s="23" t="n">
        <f aca="false">IF(B254="","",253)</f>
        <v>253</v>
      </c>
      <c r="B254" s="26" t="n">
        <f aca="false">IF(안내!$C$9+252&gt;MAX(MAX(A타입_제작표!$U$2:$U$799),MAX(시편_시리즈!$Q$2:$Q$151)),"",안내!$C$9+252)</f>
        <v>46643</v>
      </c>
      <c r="C254" s="23" t="str">
        <f aca="false">IF(B254="","",CHOOSE(WEEKDAY(B254,2),"월","화","수","목","금","토","일"))</f>
        <v>월</v>
      </c>
      <c r="D254" s="24" t="str">
        <f aca="false">IF(B254="","",IFERROR(INDEX(A타입_제작표!$J$2:$J$799,MATCH("구약|"&amp;TEXT(B254,"yyyy-mm-dd"),A타입_제작표!$AQ$2:$AQ$799,0))&amp;"  "&amp;INDEX(A타입_제작표!$L$2:$L$799,MATCH("구약|"&amp;TEXT(B254,"yyyy-mm-dd"),A타입_제작표!$AQ$2:$AQ$799,0)),""))</f>
        <v>레 24:1-23  등불과 진설병</v>
      </c>
      <c r="E254" s="24" t="str">
        <f aca="false">IF(B254="","",IFERROR(INDEX(A타입_제작표!$J$2:$J$799,MATCH("신약|"&amp;TEXT(B254,"yyyy-mm-dd"),A타입_제작표!$AQ$2:$AQ$799,0))&amp;"  "&amp;INDEX(A타입_제작표!$L$2:$L$799,MATCH("신약|"&amp;TEXT(B254,"yyyy-mm-dd"),A타입_제작표!$AQ$2:$AQ$799,0)),""))</f>
        <v>눅 11:1-13  강청하는 친구</v>
      </c>
      <c r="F254" s="24" t="str">
        <f aca="false">IF(B254="","",IFERROR("시편 "&amp;INDEX(시편_시리즈!$A$2:$A$151,MATCH("시편|"&amp;TEXT(B254,"yyyy-mm-dd"),시편_시리즈!$Y$2:$Y$151,0))&amp;"편  "&amp;INDEX(시편_시리즈!$G$2:$G$151,MATCH("시편|"&amp;TEXT(B254,"yyyy-mm-dd"),시편_시리즈!$Y$2:$Y$151,0)),""))</f>
        <v/>
      </c>
      <c r="G254" s="23" t="n">
        <f aca="false">IF(B254="","",(D254&lt;&gt;"")+(E254&lt;&gt;"")+(F254&lt;&gt;""))</f>
        <v>2</v>
      </c>
      <c r="H254" s="31" t="s">
        <v>10282</v>
      </c>
    </row>
    <row r="255" customFormat="false" ht="15" hidden="false" customHeight="false" outlineLevel="0" collapsed="false">
      <c r="A255" s="23" t="n">
        <f aca="false">IF(B255="","",254)</f>
        <v>254</v>
      </c>
      <c r="B255" s="26" t="n">
        <f aca="false">IF(안내!$C$9+253&gt;MAX(MAX(A타입_제작표!$U$2:$U$799),MAX(시편_시리즈!$Q$2:$Q$151)),"",안내!$C$9+253)</f>
        <v>46644</v>
      </c>
      <c r="C255" s="23" t="str">
        <f aca="false">IF(B255="","",CHOOSE(WEEKDAY(B255,2),"월","화","수","목","금","토","일"))</f>
        <v>화</v>
      </c>
      <c r="D255" s="24" t="str">
        <f aca="false">IF(B255="","",IFERROR(INDEX(A타입_제작표!$J$2:$J$799,MATCH("구약|"&amp;TEXT(B255,"yyyy-mm-dd"),A타입_제작표!$AQ$2:$AQ$799,0))&amp;"  "&amp;INDEX(A타입_제작표!$L$2:$L$799,MATCH("구약|"&amp;TEXT(B255,"yyyy-mm-dd"),A타입_제작표!$AQ$2:$AQ$799,0)),""))</f>
        <v>레 25:1-55  50년마다 모든 것이 돌아간다</v>
      </c>
      <c r="E255" s="24" t="str">
        <f aca="false">IF(B255="","",IFERROR(INDEX(A타입_제작표!$J$2:$J$799,MATCH("신약|"&amp;TEXT(B255,"yyyy-mm-dd"),A타입_제작표!$AQ$2:$AQ$799,0))&amp;"  "&amp;INDEX(A타입_제작표!$L$2:$L$799,MATCH("신약|"&amp;TEXT(B255,"yyyy-mm-dd"),A타입_제작표!$AQ$2:$AQ$799,0)),""))</f>
        <v/>
      </c>
      <c r="F255" s="24" t="str">
        <f aca="false">IF(B255="","",IFERROR("시편 "&amp;INDEX(시편_시리즈!$A$2:$A$151,MATCH("시편|"&amp;TEXT(B255,"yyyy-mm-dd"),시편_시리즈!$Y$2:$Y$151,0))&amp;"편  "&amp;INDEX(시편_시리즈!$G$2:$G$151,MATCH("시편|"&amp;TEXT(B255,"yyyy-mm-dd"),시편_시리즈!$Y$2:$Y$151,0)),""))</f>
        <v>시편 109편  나는 기도할 뿐이라</v>
      </c>
      <c r="G255" s="23" t="n">
        <f aca="false">IF(B255="","",(D255&lt;&gt;"")+(E255&lt;&gt;"")+(F255&lt;&gt;""))</f>
        <v>2</v>
      </c>
      <c r="H255" s="31" t="s">
        <v>10282</v>
      </c>
    </row>
    <row r="256" customFormat="false" ht="15" hidden="false" customHeight="false" outlineLevel="0" collapsed="false">
      <c r="A256" s="23" t="n">
        <f aca="false">IF(B256="","",255)</f>
        <v>255</v>
      </c>
      <c r="B256" s="26" t="n">
        <f aca="false">IF(안내!$C$9+254&gt;MAX(MAX(A타입_제작표!$U$2:$U$799),MAX(시편_시리즈!$Q$2:$Q$151)),"",안내!$C$9+254)</f>
        <v>46645</v>
      </c>
      <c r="C256" s="23" t="str">
        <f aca="false">IF(B256="","",CHOOSE(WEEKDAY(B256,2),"월","화","수","목","금","토","일"))</f>
        <v>수</v>
      </c>
      <c r="D256" s="24" t="str">
        <f aca="false">IF(B256="","",IFERROR(INDEX(A타입_제작표!$J$2:$J$799,MATCH("구약|"&amp;TEXT(B256,"yyyy-mm-dd"),A타입_제작표!$AQ$2:$AQ$799,0))&amp;"  "&amp;INDEX(A타입_제작표!$L$2:$L$799,MATCH("구약|"&amp;TEXT(B256,"yyyy-mm-dd"),A타입_제작표!$AQ$2:$AQ$799,0)),""))</f>
        <v>레 26:1-27:34  순종과 복</v>
      </c>
      <c r="E256" s="24" t="str">
        <f aca="false">IF(B256="","",IFERROR(INDEX(A타입_제작표!$J$2:$J$799,MATCH("신약|"&amp;TEXT(B256,"yyyy-mm-dd"),A타입_제작표!$AQ$2:$AQ$799,0))&amp;"  "&amp;INDEX(A타입_제작표!$L$2:$L$799,MATCH("신약|"&amp;TEXT(B256,"yyyy-mm-dd"),A타입_제작표!$AQ$2:$AQ$799,0)),""))</f>
        <v>눅 13:10-17  18년 동안 굽은 허리</v>
      </c>
      <c r="F256" s="24" t="str">
        <f aca="false">IF(B256="","",IFERROR("시편 "&amp;INDEX(시편_시리즈!$A$2:$A$151,MATCH("시편|"&amp;TEXT(B256,"yyyy-mm-dd"),시편_시리즈!$Y$2:$Y$151,0))&amp;"편  "&amp;INDEX(시편_시리즈!$G$2:$G$151,MATCH("시편|"&amp;TEXT(B256,"yyyy-mm-dd"),시편_시리즈!$Y$2:$Y$151,0)),""))</f>
        <v/>
      </c>
      <c r="G256" s="23" t="n">
        <f aca="false">IF(B256="","",(D256&lt;&gt;"")+(E256&lt;&gt;"")+(F256&lt;&gt;""))</f>
        <v>2</v>
      </c>
      <c r="H256" s="31" t="s">
        <v>10282</v>
      </c>
    </row>
    <row r="257" customFormat="false" ht="15" hidden="false" customHeight="false" outlineLevel="0" collapsed="false">
      <c r="A257" s="23" t="n">
        <f aca="false">IF(B257="","",256)</f>
        <v>256</v>
      </c>
      <c r="B257" s="26" t="n">
        <f aca="false">IF(안내!$C$9+255&gt;MAX(MAX(A타입_제작표!$U$2:$U$799),MAX(시편_시리즈!$Q$2:$Q$151)),"",안내!$C$9+255)</f>
        <v>46646</v>
      </c>
      <c r="C257" s="23" t="str">
        <f aca="false">IF(B257="","",CHOOSE(WEEKDAY(B257,2),"월","화","수","목","금","토","일"))</f>
        <v>목</v>
      </c>
      <c r="D257" s="24" t="str">
        <f aca="false">IF(B257="","",IFERROR(INDEX(A타입_제작표!$J$2:$J$799,MATCH("구약|"&amp;TEXT(B257,"yyyy-mm-dd"),A타입_제작표!$AQ$2:$AQ$799,0))&amp;"  "&amp;INDEX(A타입_제작표!$L$2:$L$799,MATCH("구약|"&amp;TEXT(B257,"yyyy-mm-dd"),A타입_제작표!$AQ$2:$AQ$799,0)),""))</f>
        <v>민 1:1-4:49  광야의 대형</v>
      </c>
      <c r="E257" s="24" t="str">
        <f aca="false">IF(B257="","",IFERROR(INDEX(A타입_제작표!$J$2:$J$799,MATCH("신약|"&amp;TEXT(B257,"yyyy-mm-dd"),A타입_제작표!$AQ$2:$AQ$799,0))&amp;"  "&amp;INDEX(A타입_제작표!$L$2:$L$799,MATCH("신약|"&amp;TEXT(B257,"yyyy-mm-dd"),A타입_제작표!$AQ$2:$AQ$799,0)),""))</f>
        <v/>
      </c>
      <c r="F257" s="24" t="str">
        <f aca="false">IF(B257="","",IFERROR("시편 "&amp;INDEX(시편_시리즈!$A$2:$A$151,MATCH("시편|"&amp;TEXT(B257,"yyyy-mm-dd"),시편_시리즈!$Y$2:$Y$151,0))&amp;"편  "&amp;INDEX(시편_시리즈!$G$2:$G$151,MATCH("시편|"&amp;TEXT(B257,"yyyy-mm-dd"),시편_시리즈!$Y$2:$Y$151,0)),""))</f>
        <v>시편 110편  내 우편에 앉으라</v>
      </c>
      <c r="G257" s="23" t="n">
        <f aca="false">IF(B257="","",(D257&lt;&gt;"")+(E257&lt;&gt;"")+(F257&lt;&gt;""))</f>
        <v>2</v>
      </c>
      <c r="H257" s="31" t="s">
        <v>10282</v>
      </c>
    </row>
    <row r="258" customFormat="false" ht="15" hidden="false" customHeight="false" outlineLevel="0" collapsed="false">
      <c r="A258" s="23" t="n">
        <f aca="false">IF(B258="","",257)</f>
        <v>257</v>
      </c>
      <c r="B258" s="26" t="n">
        <f aca="false">IF(안내!$C$9+256&gt;MAX(MAX(A타입_제작표!$U$2:$U$799),MAX(시편_시리즈!$Q$2:$Q$151)),"",안내!$C$9+256)</f>
        <v>46647</v>
      </c>
      <c r="C258" s="23" t="str">
        <f aca="false">IF(B258="","",CHOOSE(WEEKDAY(B258,2),"월","화","수","목","금","토","일"))</f>
        <v>금</v>
      </c>
      <c r="D258" s="24" t="str">
        <f aca="false">IF(B258="","",IFERROR(INDEX(A타입_제작표!$J$2:$J$799,MATCH("구약|"&amp;TEXT(B258,"yyyy-mm-dd"),A타입_제작표!$AQ$2:$AQ$799,0))&amp;"  "&amp;INDEX(A타입_제작표!$L$2:$L$799,MATCH("구약|"&amp;TEXT(B258,"yyyy-mm-dd"),A타입_제작표!$AQ$2:$AQ$799,0)),""))</f>
        <v>민 5:1-6:27  3천 년 된 축복기도</v>
      </c>
      <c r="E258" s="24" t="str">
        <f aca="false">IF(B258="","",IFERROR(INDEX(A타입_제작표!$J$2:$J$799,MATCH("신약|"&amp;TEXT(B258,"yyyy-mm-dd"),A타입_제작표!$AQ$2:$AQ$799,0))&amp;"  "&amp;INDEX(A타입_제작표!$L$2:$L$799,MATCH("신약|"&amp;TEXT(B258,"yyyy-mm-dd"),A타입_제작표!$AQ$2:$AQ$799,0)),""))</f>
        <v>눅 14:15-35  큰 잔치</v>
      </c>
      <c r="F258" s="24" t="str">
        <f aca="false">IF(B258="","",IFERROR("시편 "&amp;INDEX(시편_시리즈!$A$2:$A$151,MATCH("시편|"&amp;TEXT(B258,"yyyy-mm-dd"),시편_시리즈!$Y$2:$Y$151,0))&amp;"편  "&amp;INDEX(시편_시리즈!$G$2:$G$151,MATCH("시편|"&amp;TEXT(B258,"yyyy-mm-dd"),시편_시리즈!$Y$2:$Y$151,0)),""))</f>
        <v/>
      </c>
      <c r="G258" s="23" t="n">
        <f aca="false">IF(B258="","",(D258&lt;&gt;"")+(E258&lt;&gt;"")+(F258&lt;&gt;""))</f>
        <v>2</v>
      </c>
      <c r="H258" s="31" t="s">
        <v>10282</v>
      </c>
    </row>
    <row r="259" customFormat="false" ht="15" hidden="false" customHeight="false" outlineLevel="0" collapsed="false">
      <c r="A259" s="23" t="n">
        <f aca="false">IF(B259="","",258)</f>
        <v>258</v>
      </c>
      <c r="B259" s="26" t="n">
        <f aca="false">IF(안내!$C$9+257&gt;MAX(MAX(A타입_제작표!$U$2:$U$799),MAX(시편_시리즈!$Q$2:$Q$151)),"",안내!$C$9+257)</f>
        <v>46648</v>
      </c>
      <c r="C259" s="23" t="str">
        <f aca="false">IF(B259="","",CHOOSE(WEEKDAY(B259,2),"월","화","수","목","금","토","일"))</f>
        <v>토</v>
      </c>
      <c r="D259" s="24" t="str">
        <f aca="false">IF(B259="","",IFERROR(INDEX(A타입_제작표!$J$2:$J$799,MATCH("구약|"&amp;TEXT(B259,"yyyy-mm-dd"),A타입_제작표!$AQ$2:$AQ$799,0))&amp;"  "&amp;INDEX(A타입_제작표!$L$2:$L$799,MATCH("구약|"&amp;TEXT(B259,"yyyy-mm-dd"),A타입_제작표!$AQ$2:$AQ$799,0)),""))</f>
        <v>민 7:1-9:23  구름이 움직이면</v>
      </c>
      <c r="E259" s="24" t="str">
        <f aca="false">IF(B259="","",IFERROR(INDEX(A타입_제작표!$J$2:$J$799,MATCH("신약|"&amp;TEXT(B259,"yyyy-mm-dd"),A타입_제작표!$AQ$2:$AQ$799,0))&amp;"  "&amp;INDEX(A타입_제작표!$L$2:$L$799,MATCH("신약|"&amp;TEXT(B259,"yyyy-mm-dd"),A타입_제작표!$AQ$2:$AQ$799,0)),""))</f>
        <v>눅 16:19-31  부자와 나사로</v>
      </c>
      <c r="F259" s="24" t="str">
        <f aca="false">IF(B259="","",IFERROR("시편 "&amp;INDEX(시편_시리즈!$A$2:$A$151,MATCH("시편|"&amp;TEXT(B259,"yyyy-mm-dd"),시편_시리즈!$Y$2:$Y$151,0))&amp;"편  "&amp;INDEX(시편_시리즈!$G$2:$G$151,MATCH("시편|"&amp;TEXT(B259,"yyyy-mm-dd"),시편_시리즈!$Y$2:$Y$151,0)),""))</f>
        <v/>
      </c>
      <c r="G259" s="23" t="n">
        <f aca="false">IF(B259="","",(D259&lt;&gt;"")+(E259&lt;&gt;"")+(F259&lt;&gt;""))</f>
        <v>2</v>
      </c>
      <c r="H259" s="31" t="s">
        <v>10282</v>
      </c>
    </row>
    <row r="260" customFormat="false" ht="15" hidden="false" customHeight="false" outlineLevel="0" collapsed="false">
      <c r="A260" s="23" t="n">
        <f aca="false">IF(B260="","",259)</f>
        <v>259</v>
      </c>
      <c r="B260" s="26" t="n">
        <f aca="false">IF(안내!$C$9+258&gt;MAX(MAX(A타입_제작표!$U$2:$U$799),MAX(시편_시리즈!$Q$2:$Q$151)),"",안내!$C$9+258)</f>
        <v>46649</v>
      </c>
      <c r="C260" s="23" t="str">
        <f aca="false">IF(B260="","",CHOOSE(WEEKDAY(B260,2),"월","화","수","목","금","토","일"))</f>
        <v>일</v>
      </c>
      <c r="D260" s="24" t="str">
        <f aca="false">IF(B260="","",IFERROR(INDEX(A타입_제작표!$J$2:$J$799,MATCH("구약|"&amp;TEXT(B260,"yyyy-mm-dd"),A타입_제작표!$AQ$2:$AQ$799,0))&amp;"  "&amp;INDEX(A타입_제작표!$L$2:$L$799,MATCH("구약|"&amp;TEXT(B260,"yyyy-mm-dd"),A타입_제작표!$AQ$2:$AQ$799,0)),""))</f>
        <v>민 10:1-36  은 나팔과 출발</v>
      </c>
      <c r="E260" s="24" t="str">
        <f aca="false">IF(B260="","",IFERROR(INDEX(A타입_제작표!$J$2:$J$799,MATCH("신약|"&amp;TEXT(B260,"yyyy-mm-dd"),A타입_제작표!$AQ$2:$AQ$799,0))&amp;"  "&amp;INDEX(A타입_제작표!$L$2:$L$799,MATCH("신약|"&amp;TEXT(B260,"yyyy-mm-dd"),A타입_제작표!$AQ$2:$AQ$799,0)),""))</f>
        <v/>
      </c>
      <c r="F260" s="24" t="str">
        <f aca="false">IF(B260="","",IFERROR("시편 "&amp;INDEX(시편_시리즈!$A$2:$A$151,MATCH("시편|"&amp;TEXT(B260,"yyyy-mm-dd"),시편_시리즈!$Y$2:$Y$151,0))&amp;"편  "&amp;INDEX(시편_시리즈!$G$2:$G$151,MATCH("시편|"&amp;TEXT(B260,"yyyy-mm-dd"),시편_시리즈!$Y$2:$Y$151,0)),""))</f>
        <v>시편 111편  지혜의 근본</v>
      </c>
      <c r="G260" s="23" t="n">
        <f aca="false">IF(B260="","",(D260&lt;&gt;"")+(E260&lt;&gt;"")+(F260&lt;&gt;""))</f>
        <v>2</v>
      </c>
      <c r="H260" s="31" t="s">
        <v>10282</v>
      </c>
    </row>
    <row r="261" customFormat="false" ht="15" hidden="false" customHeight="false" outlineLevel="0" collapsed="false">
      <c r="A261" s="23" t="n">
        <f aca="false">IF(B261="","",260)</f>
        <v>260</v>
      </c>
      <c r="B261" s="26" t="n">
        <f aca="false">IF(안내!$C$9+259&gt;MAX(MAX(A타입_제작표!$U$2:$U$799),MAX(시편_시리즈!$Q$2:$Q$151)),"",안내!$C$9+259)</f>
        <v>46650</v>
      </c>
      <c r="C261" s="23" t="str">
        <f aca="false">IF(B261="","",CHOOSE(WEEKDAY(B261,2),"월","화","수","목","금","토","일"))</f>
        <v>월</v>
      </c>
      <c r="D261" s="24" t="str">
        <f aca="false">IF(B261="","",IFERROR(INDEX(A타입_제작표!$J$2:$J$799,MATCH("구약|"&amp;TEXT(B261,"yyyy-mm-dd"),A타입_제작표!$AQ$2:$AQ$799,0))&amp;"  "&amp;INDEX(A타입_제작표!$L$2:$L$799,MATCH("구약|"&amp;TEXT(B261,"yyyy-mm-dd"),A타입_제작표!$AQ$2:$AQ$799,0)),""))</f>
        <v>민 11:1-35  만나가 지겹다</v>
      </c>
      <c r="E261" s="24" t="str">
        <f aca="false">IF(B261="","",IFERROR(INDEX(A타입_제작표!$J$2:$J$799,MATCH("신약|"&amp;TEXT(B261,"yyyy-mm-dd"),A타입_제작표!$AQ$2:$AQ$799,0))&amp;"  "&amp;INDEX(A타입_제작표!$L$2:$L$799,MATCH("신약|"&amp;TEXT(B261,"yyyy-mm-dd"),A타입_제작표!$AQ$2:$AQ$799,0)),""))</f>
        <v>눅 22:39-46  땀이 핏방울같이</v>
      </c>
      <c r="F261" s="24" t="str">
        <f aca="false">IF(B261="","",IFERROR("시편 "&amp;INDEX(시편_시리즈!$A$2:$A$151,MATCH("시편|"&amp;TEXT(B261,"yyyy-mm-dd"),시편_시리즈!$Y$2:$Y$151,0))&amp;"편  "&amp;INDEX(시편_시리즈!$G$2:$G$151,MATCH("시편|"&amp;TEXT(B261,"yyyy-mm-dd"),시편_시리즈!$Y$2:$Y$151,0)),""))</f>
        <v/>
      </c>
      <c r="G261" s="23" t="n">
        <f aca="false">IF(B261="","",(D261&lt;&gt;"")+(E261&lt;&gt;"")+(F261&lt;&gt;""))</f>
        <v>2</v>
      </c>
      <c r="H261" s="31" t="s">
        <v>10282</v>
      </c>
    </row>
    <row r="262" customFormat="false" ht="15" hidden="false" customHeight="false" outlineLevel="0" collapsed="false">
      <c r="A262" s="23" t="n">
        <f aca="false">IF(B262="","",261)</f>
        <v>261</v>
      </c>
      <c r="B262" s="26" t="n">
        <f aca="false">IF(안내!$C$9+260&gt;MAX(MAX(A타입_제작표!$U$2:$U$799),MAX(시편_시리즈!$Q$2:$Q$151)),"",안내!$C$9+260)</f>
        <v>46651</v>
      </c>
      <c r="C262" s="23" t="str">
        <f aca="false">IF(B262="","",CHOOSE(WEEKDAY(B262,2),"월","화","수","목","금","토","일"))</f>
        <v>화</v>
      </c>
      <c r="D262" s="24" t="str">
        <f aca="false">IF(B262="","",IFERROR(INDEX(A타입_제작표!$J$2:$J$799,MATCH("구약|"&amp;TEXT(B262,"yyyy-mm-dd"),A타입_제작표!$AQ$2:$AQ$799,0))&amp;"  "&amp;INDEX(A타입_제작표!$L$2:$L$799,MATCH("구약|"&amp;TEXT(B262,"yyyy-mm-dd"),A타입_제작표!$AQ$2:$AQ$799,0)),""))</f>
        <v>민 12:1-16  모세를 비방한 누나</v>
      </c>
      <c r="E262" s="24" t="str">
        <f aca="false">IF(B262="","",IFERROR(INDEX(A타입_제작표!$J$2:$J$799,MATCH("신약|"&amp;TEXT(B262,"yyyy-mm-dd"),A타입_제작표!$AQ$2:$AQ$799,0))&amp;"  "&amp;INDEX(A타입_제작표!$L$2:$L$799,MATCH("신약|"&amp;TEXT(B262,"yyyy-mm-dd"),A타입_제작표!$AQ$2:$AQ$799,0)),""))</f>
        <v/>
      </c>
      <c r="F262" s="24" t="str">
        <f aca="false">IF(B262="","",IFERROR("시편 "&amp;INDEX(시편_시리즈!$A$2:$A$151,MATCH("시편|"&amp;TEXT(B262,"yyyy-mm-dd"),시편_시리즈!$Y$2:$Y$151,0))&amp;"편  "&amp;INDEX(시편_시리즈!$G$2:$G$151,MATCH("시편|"&amp;TEXT(B262,"yyyy-mm-dd"),시편_시리즈!$Y$2:$Y$151,0)),""))</f>
        <v>시편 112편  경외하는 자의 복</v>
      </c>
      <c r="G262" s="23" t="n">
        <f aca="false">IF(B262="","",(D262&lt;&gt;"")+(E262&lt;&gt;"")+(F262&lt;&gt;""))</f>
        <v>2</v>
      </c>
      <c r="H262" s="31" t="s">
        <v>10282</v>
      </c>
    </row>
    <row r="263" customFormat="false" ht="15" hidden="false" customHeight="false" outlineLevel="0" collapsed="false">
      <c r="A263" s="23" t="n">
        <f aca="false">IF(B263="","",262)</f>
        <v>262</v>
      </c>
      <c r="B263" s="26" t="n">
        <f aca="false">IF(안내!$C$9+261&gt;MAX(MAX(A타입_제작표!$U$2:$U$799),MAX(시편_시리즈!$Q$2:$Q$151)),"",안내!$C$9+261)</f>
        <v>46652</v>
      </c>
      <c r="C263" s="23" t="str">
        <f aca="false">IF(B263="","",CHOOSE(WEEKDAY(B263,2),"월","화","수","목","금","토","일"))</f>
        <v>수</v>
      </c>
      <c r="D263" s="24" t="str">
        <f aca="false">IF(B263="","",IFERROR(INDEX(A타입_제작표!$J$2:$J$799,MATCH("구약|"&amp;TEXT(B263,"yyyy-mm-dd"),A타입_제작표!$AQ$2:$AQ$799,0))&amp;"  "&amp;INDEX(A타입_제작표!$L$2:$L$799,MATCH("구약|"&amp;TEXT(B263,"yyyy-mm-dd"),A타입_제작표!$AQ$2:$AQ$799,0)),""))</f>
        <v>민 15:1-41  옷자락의 파란 끈</v>
      </c>
      <c r="E263" s="24" t="str">
        <f aca="false">IF(B263="","",IFERROR(INDEX(A타입_제작표!$J$2:$J$799,MATCH("신약|"&amp;TEXT(B263,"yyyy-mm-dd"),A타입_제작표!$AQ$2:$AQ$799,0))&amp;"  "&amp;INDEX(A타입_제작표!$L$2:$L$799,MATCH("신약|"&amp;TEXT(B263,"yyyy-mm-dd"),A타입_제작표!$AQ$2:$AQ$799,0)),""))</f>
        <v>요 1:19-51  하나님의 어린양</v>
      </c>
      <c r="F263" s="24" t="str">
        <f aca="false">IF(B263="","",IFERROR("시편 "&amp;INDEX(시편_시리즈!$A$2:$A$151,MATCH("시편|"&amp;TEXT(B263,"yyyy-mm-dd"),시편_시리즈!$Y$2:$Y$151,0))&amp;"편  "&amp;INDEX(시편_시리즈!$G$2:$G$151,MATCH("시편|"&amp;TEXT(B263,"yyyy-mm-dd"),시편_시리즈!$Y$2:$Y$151,0)),""))</f>
        <v/>
      </c>
      <c r="G263" s="23" t="n">
        <f aca="false">IF(B263="","",(D263&lt;&gt;"")+(E263&lt;&gt;"")+(F263&lt;&gt;""))</f>
        <v>2</v>
      </c>
      <c r="H263" s="31" t="s">
        <v>10282</v>
      </c>
    </row>
    <row r="264" customFormat="false" ht="26.85" hidden="false" customHeight="false" outlineLevel="0" collapsed="false">
      <c r="A264" s="23" t="n">
        <f aca="false">IF(B264="","",263)</f>
        <v>263</v>
      </c>
      <c r="B264" s="26" t="n">
        <f aca="false">IF(안내!$C$9+262&gt;MAX(MAX(A타입_제작표!$U$2:$U$799),MAX(시편_시리즈!$Q$2:$Q$151)),"",안내!$C$9+262)</f>
        <v>46653</v>
      </c>
      <c r="C264" s="23" t="str">
        <f aca="false">IF(B264="","",CHOOSE(WEEKDAY(B264,2),"월","화","수","목","금","토","일"))</f>
        <v>목</v>
      </c>
      <c r="D264" s="24" t="str">
        <f aca="false">IF(B264="","",IFERROR(INDEX(A타입_제작표!$J$2:$J$799,MATCH("구약|"&amp;TEXT(B264,"yyyy-mm-dd"),A타입_제작표!$AQ$2:$AQ$799,0))&amp;"  "&amp;INDEX(A타입_제작표!$L$2:$L$799,MATCH("구약|"&amp;TEXT(B264,"yyyy-mm-dd"),A타입_제작표!$AQ$2:$AQ$799,0)),""))</f>
        <v>민 16:1-50  고라의 반역</v>
      </c>
      <c r="E264" s="24" t="str">
        <f aca="false">IF(B264="","",IFERROR(INDEX(A타입_제작표!$J$2:$J$799,MATCH("신약|"&amp;TEXT(B264,"yyyy-mm-dd"),A타입_제작표!$AQ$2:$AQ$799,0))&amp;"  "&amp;INDEX(A타입_제작표!$L$2:$L$799,MATCH("신약|"&amp;TEXT(B264,"yyyy-mm-dd"),A타입_제작표!$AQ$2:$AQ$799,0)),""))</f>
        <v/>
      </c>
      <c r="F264" s="24" t="str">
        <f aca="false">IF(B264="","",IFERROR("시편 "&amp;INDEX(시편_시리즈!$A$2:$A$151,MATCH("시편|"&amp;TEXT(B264,"yyyy-mm-dd"),시편_시리즈!$Y$2:$Y$151,0))&amp;"편  "&amp;INDEX(시편_시리즈!$G$2:$G$151,MATCH("시편|"&amp;TEXT(B264,"yyyy-mm-dd"),시편_시리즈!$Y$2:$Y$151,0)),""))</f>
        <v>시편 113편  해 돋는 데부터 해 지는 데까지</v>
      </c>
      <c r="G264" s="23" t="n">
        <f aca="false">IF(B264="","",(D264&lt;&gt;"")+(E264&lt;&gt;"")+(F264&lt;&gt;""))</f>
        <v>2</v>
      </c>
      <c r="H264" s="31" t="s">
        <v>10282</v>
      </c>
    </row>
    <row r="265" customFormat="false" ht="15" hidden="false" customHeight="false" outlineLevel="0" collapsed="false">
      <c r="A265" s="23" t="n">
        <f aca="false">IF(B265="","",264)</f>
        <v>264</v>
      </c>
      <c r="B265" s="26" t="n">
        <f aca="false">IF(안내!$C$9+263&gt;MAX(MAX(A타입_제작표!$U$2:$U$799),MAX(시편_시리즈!$Q$2:$Q$151)),"",안내!$C$9+263)</f>
        <v>46654</v>
      </c>
      <c r="C265" s="23" t="str">
        <f aca="false">IF(B265="","",CHOOSE(WEEKDAY(B265,2),"월","화","수","목","금","토","일"))</f>
        <v>금</v>
      </c>
      <c r="D265" s="24" t="str">
        <f aca="false">IF(B265="","",IFERROR(INDEX(A타입_제작표!$J$2:$J$799,MATCH("구약|"&amp;TEXT(B265,"yyyy-mm-dd"),A타입_제작표!$AQ$2:$AQ$799,0))&amp;"  "&amp;INDEX(A타입_제작표!$L$2:$L$799,MATCH("구약|"&amp;TEXT(B265,"yyyy-mm-dd"),A타입_제작표!$AQ$2:$AQ$799,0)),""))</f>
        <v>민 17:1-13  싹 난 지팡이</v>
      </c>
      <c r="E265" s="24" t="str">
        <f aca="false">IF(B265="","",IFERROR(INDEX(A타입_제작표!$J$2:$J$799,MATCH("신약|"&amp;TEXT(B265,"yyyy-mm-dd"),A타입_제작표!$AQ$2:$AQ$799,0))&amp;"  "&amp;INDEX(A타입_제작표!$L$2:$L$799,MATCH("신약|"&amp;TEXT(B265,"yyyy-mm-dd"),A타입_제작표!$AQ$2:$AQ$799,0)),""))</f>
        <v>요 2:13-25  성전을 정결하게</v>
      </c>
      <c r="F265" s="24" t="str">
        <f aca="false">IF(B265="","",IFERROR("시편 "&amp;INDEX(시편_시리즈!$A$2:$A$151,MATCH("시편|"&amp;TEXT(B265,"yyyy-mm-dd"),시편_시리즈!$Y$2:$Y$151,0))&amp;"편  "&amp;INDEX(시편_시리즈!$G$2:$G$151,MATCH("시편|"&amp;TEXT(B265,"yyyy-mm-dd"),시편_시리즈!$Y$2:$Y$151,0)),""))</f>
        <v/>
      </c>
      <c r="G265" s="23" t="n">
        <f aca="false">IF(B265="","",(D265&lt;&gt;"")+(E265&lt;&gt;"")+(F265&lt;&gt;""))</f>
        <v>2</v>
      </c>
      <c r="H265" s="31" t="s">
        <v>10282</v>
      </c>
    </row>
    <row r="266" customFormat="false" ht="15" hidden="false" customHeight="false" outlineLevel="0" collapsed="false">
      <c r="A266" s="23" t="n">
        <f aca="false">IF(B266="","",265)</f>
        <v>265</v>
      </c>
      <c r="B266" s="26" t="n">
        <f aca="false">IF(안내!$C$9+264&gt;MAX(MAX(A타입_제작표!$U$2:$U$799),MAX(시편_시리즈!$Q$2:$Q$151)),"",안내!$C$9+264)</f>
        <v>46655</v>
      </c>
      <c r="C266" s="23" t="str">
        <f aca="false">IF(B266="","",CHOOSE(WEEKDAY(B266,2),"월","화","수","목","금","토","일"))</f>
        <v>토</v>
      </c>
      <c r="D266" s="24" t="str">
        <f aca="false">IF(B266="","",IFERROR(INDEX(A타입_제작표!$J$2:$J$799,MATCH("구약|"&amp;TEXT(B266,"yyyy-mm-dd"),A타입_제작표!$AQ$2:$AQ$799,0))&amp;"  "&amp;INDEX(A타입_제작표!$L$2:$L$799,MATCH("구약|"&amp;TEXT(B266,"yyyy-mm-dd"),A타입_제작표!$AQ$2:$AQ$799,0)),""))</f>
        <v>민 18:1-19:22  붉은 암송아지</v>
      </c>
      <c r="E266" s="24" t="str">
        <f aca="false">IF(B266="","",IFERROR(INDEX(A타입_제작표!$J$2:$J$799,MATCH("신약|"&amp;TEXT(B266,"yyyy-mm-dd"),A타입_제작표!$AQ$2:$AQ$799,0))&amp;"  "&amp;INDEX(A타입_제작표!$L$2:$L$799,MATCH("신약|"&amp;TEXT(B266,"yyyy-mm-dd"),A타입_제작표!$AQ$2:$AQ$799,0)),""))</f>
        <v>요 4:43-54  말씀만으로</v>
      </c>
      <c r="F266" s="24" t="str">
        <f aca="false">IF(B266="","",IFERROR("시편 "&amp;INDEX(시편_시리즈!$A$2:$A$151,MATCH("시편|"&amp;TEXT(B266,"yyyy-mm-dd"),시편_시리즈!$Y$2:$Y$151,0))&amp;"편  "&amp;INDEX(시편_시리즈!$G$2:$G$151,MATCH("시편|"&amp;TEXT(B266,"yyyy-mm-dd"),시편_시리즈!$Y$2:$Y$151,0)),""))</f>
        <v/>
      </c>
      <c r="G266" s="23" t="n">
        <f aca="false">IF(B266="","",(D266&lt;&gt;"")+(E266&lt;&gt;"")+(F266&lt;&gt;""))</f>
        <v>2</v>
      </c>
      <c r="H266" s="31" t="s">
        <v>10282</v>
      </c>
    </row>
    <row r="267" customFormat="false" ht="15" hidden="false" customHeight="false" outlineLevel="0" collapsed="false">
      <c r="A267" s="23" t="n">
        <f aca="false">IF(B267="","",266)</f>
        <v>266</v>
      </c>
      <c r="B267" s="26" t="n">
        <f aca="false">IF(안내!$C$9+265&gt;MAX(MAX(A타입_제작표!$U$2:$U$799),MAX(시편_시리즈!$Q$2:$Q$151)),"",안내!$C$9+265)</f>
        <v>46656</v>
      </c>
      <c r="C267" s="23" t="str">
        <f aca="false">IF(B267="","",CHOOSE(WEEKDAY(B267,2),"월","화","수","목","금","토","일"))</f>
        <v>일</v>
      </c>
      <c r="D267" s="24" t="str">
        <f aca="false">IF(B267="","",IFERROR(INDEX(A타입_제작표!$J$2:$J$799,MATCH("구약|"&amp;TEXT(B267,"yyyy-mm-dd"),A타입_제작표!$AQ$2:$AQ$799,0))&amp;"  "&amp;INDEX(A타입_제작표!$L$2:$L$799,MATCH("구약|"&amp;TEXT(B267,"yyyy-mm-dd"),A타입_제작표!$AQ$2:$AQ$799,0)),""))</f>
        <v>민 20:1-13  한 번의 분노</v>
      </c>
      <c r="E267" s="24" t="str">
        <f aca="false">IF(B267="","",IFERROR(INDEX(A타입_제작표!$J$2:$J$799,MATCH("신약|"&amp;TEXT(B267,"yyyy-mm-dd"),A타입_제작표!$AQ$2:$AQ$799,0))&amp;"  "&amp;INDEX(A타입_제작표!$L$2:$L$799,MATCH("신약|"&amp;TEXT(B267,"yyyy-mm-dd"),A타입_제작표!$AQ$2:$AQ$799,0)),""))</f>
        <v/>
      </c>
      <c r="F267" s="24" t="str">
        <f aca="false">IF(B267="","",IFERROR("시편 "&amp;INDEX(시편_시리즈!$A$2:$A$151,MATCH("시편|"&amp;TEXT(B267,"yyyy-mm-dd"),시편_시리즈!$Y$2:$Y$151,0))&amp;"편  "&amp;INDEX(시편_시리즈!$G$2:$G$151,MATCH("시편|"&amp;TEXT(B267,"yyyy-mm-dd"),시편_시리즈!$Y$2:$Y$151,0)),""))</f>
        <v>시편 114편  바다가 보고 도망하다</v>
      </c>
      <c r="G267" s="23" t="n">
        <f aca="false">IF(B267="","",(D267&lt;&gt;"")+(E267&lt;&gt;"")+(F267&lt;&gt;""))</f>
        <v>2</v>
      </c>
      <c r="H267" s="31" t="s">
        <v>10282</v>
      </c>
    </row>
    <row r="268" customFormat="false" ht="15" hidden="false" customHeight="false" outlineLevel="0" collapsed="false">
      <c r="A268" s="23" t="n">
        <f aca="false">IF(B268="","",267)</f>
        <v>267</v>
      </c>
      <c r="B268" s="26" t="n">
        <f aca="false">IF(안내!$C$9+266&gt;MAX(MAX(A타입_제작표!$U$2:$U$799),MAX(시편_시리즈!$Q$2:$Q$151)),"",안내!$C$9+266)</f>
        <v>46657</v>
      </c>
      <c r="C268" s="23" t="str">
        <f aca="false">IF(B268="","",CHOOSE(WEEKDAY(B268,2),"월","화","수","목","금","토","일"))</f>
        <v>월</v>
      </c>
      <c r="D268" s="24" t="str">
        <f aca="false">IF(B268="","",IFERROR(INDEX(A타입_제작표!$J$2:$J$799,MATCH("구약|"&amp;TEXT(B268,"yyyy-mm-dd"),A타입_제작표!$AQ$2:$AQ$799,0))&amp;"  "&amp;INDEX(A타입_제작표!$L$2:$L$799,MATCH("구약|"&amp;TEXT(B268,"yyyy-mm-dd"),A타입_제작표!$AQ$2:$AQ$799,0)),""))</f>
        <v>민 21:10-35  시혼과 옥을 이기다</v>
      </c>
      <c r="E268" s="24" t="str">
        <f aca="false">IF(B268="","",IFERROR(INDEX(A타입_제작표!$J$2:$J$799,MATCH("신약|"&amp;TEXT(B268,"yyyy-mm-dd"),A타입_제작표!$AQ$2:$AQ$799,0))&amp;"  "&amp;INDEX(A타입_제작표!$L$2:$L$799,MATCH("신약|"&amp;TEXT(B268,"yyyy-mm-dd"),A타입_제작표!$AQ$2:$AQ$799,0)),""))</f>
        <v>요 7:1-52  생수의 강</v>
      </c>
      <c r="F268" s="24" t="str">
        <f aca="false">IF(B268="","",IFERROR("시편 "&amp;INDEX(시편_시리즈!$A$2:$A$151,MATCH("시편|"&amp;TEXT(B268,"yyyy-mm-dd"),시편_시리즈!$Y$2:$Y$151,0))&amp;"편  "&amp;INDEX(시편_시리즈!$G$2:$G$151,MATCH("시편|"&amp;TEXT(B268,"yyyy-mm-dd"),시편_시리즈!$Y$2:$Y$151,0)),""))</f>
        <v/>
      </c>
      <c r="G268" s="23" t="n">
        <f aca="false">IF(B268="","",(D268&lt;&gt;"")+(E268&lt;&gt;"")+(F268&lt;&gt;""))</f>
        <v>2</v>
      </c>
      <c r="H268" s="31" t="s">
        <v>10282</v>
      </c>
    </row>
    <row r="269" customFormat="false" ht="26.85" hidden="false" customHeight="false" outlineLevel="0" collapsed="false">
      <c r="A269" s="23" t="n">
        <f aca="false">IF(B269="","",268)</f>
        <v>268</v>
      </c>
      <c r="B269" s="26" t="n">
        <f aca="false">IF(안내!$C$9+267&gt;MAX(MAX(A타입_제작표!$U$2:$U$799),MAX(시편_시리즈!$Q$2:$Q$151)),"",안내!$C$9+267)</f>
        <v>46658</v>
      </c>
      <c r="C269" s="23" t="str">
        <f aca="false">IF(B269="","",CHOOSE(WEEKDAY(B269,2),"월","화","수","목","금","토","일"))</f>
        <v>화</v>
      </c>
      <c r="D269" s="24" t="str">
        <f aca="false">IF(B269="","",IFERROR(INDEX(A타입_제작표!$J$2:$J$799,MATCH("구약|"&amp;TEXT(B269,"yyyy-mm-dd"),A타입_제작표!$AQ$2:$AQ$799,0))&amp;"  "&amp;INDEX(A타입_제작표!$L$2:$L$799,MATCH("구약|"&amp;TEXT(B269,"yyyy-mm-dd"),A타입_제작표!$AQ$2:$AQ$799,0)),""))</f>
        <v>민 23:1-24:25  저주하러 왔다가 축복하다</v>
      </c>
      <c r="E269" s="24" t="str">
        <f aca="false">IF(B269="","",IFERROR(INDEX(A타입_제작표!$J$2:$J$799,MATCH("신약|"&amp;TEXT(B269,"yyyy-mm-dd"),A타입_제작표!$AQ$2:$AQ$799,0))&amp;"  "&amp;INDEX(A타입_제작표!$L$2:$L$799,MATCH("신약|"&amp;TEXT(B269,"yyyy-mm-dd"),A타입_제작표!$AQ$2:$AQ$799,0)),""))</f>
        <v/>
      </c>
      <c r="F269" s="24" t="str">
        <f aca="false">IF(B269="","",IFERROR("시편 "&amp;INDEX(시편_시리즈!$A$2:$A$151,MATCH("시편|"&amp;TEXT(B269,"yyyy-mm-dd"),시편_시리즈!$Y$2:$Y$151,0))&amp;"편  "&amp;INDEX(시편_시리즈!$G$2:$G$151,MATCH("시편|"&amp;TEXT(B269,"yyyy-mm-dd"),시편_시리즈!$Y$2:$Y$151,0)),""))</f>
        <v>시편 115편  영광을 우리에게 돌리지 마옵소서</v>
      </c>
      <c r="G269" s="23" t="n">
        <f aca="false">IF(B269="","",(D269&lt;&gt;"")+(E269&lt;&gt;"")+(F269&lt;&gt;""))</f>
        <v>2</v>
      </c>
      <c r="H269" s="31" t="s">
        <v>10282</v>
      </c>
    </row>
    <row r="270" customFormat="false" ht="15" hidden="false" customHeight="false" outlineLevel="0" collapsed="false">
      <c r="A270" s="23" t="n">
        <f aca="false">IF(B270="","",269)</f>
        <v>269</v>
      </c>
      <c r="B270" s="26" t="n">
        <f aca="false">IF(안내!$C$9+268&gt;MAX(MAX(A타입_제작표!$U$2:$U$799),MAX(시편_시리즈!$Q$2:$Q$151)),"",안내!$C$9+268)</f>
        <v>46659</v>
      </c>
      <c r="C270" s="23" t="str">
        <f aca="false">IF(B270="","",CHOOSE(WEEKDAY(B270,2),"월","화","수","목","금","토","일"))</f>
        <v>수</v>
      </c>
      <c r="D270" s="24" t="str">
        <f aca="false">IF(B270="","",IFERROR(INDEX(A타입_제작표!$J$2:$J$799,MATCH("구약|"&amp;TEXT(B270,"yyyy-mm-dd"),A타입_제작표!$AQ$2:$AQ$799,0))&amp;"  "&amp;INDEX(A타입_제작표!$L$2:$L$799,MATCH("구약|"&amp;TEXT(B270,"yyyy-mm-dd"),A타입_제작표!$AQ$2:$AQ$799,0)),""))</f>
        <v>민 25:1-18  바알브올</v>
      </c>
      <c r="E270" s="24" t="str">
        <f aca="false">IF(B270="","",IFERROR(INDEX(A타입_제작표!$J$2:$J$799,MATCH("신약|"&amp;TEXT(B270,"yyyy-mm-dd"),A타입_제작표!$AQ$2:$AQ$799,0))&amp;"  "&amp;INDEX(A타입_제작표!$L$2:$L$799,MATCH("신약|"&amp;TEXT(B270,"yyyy-mm-dd"),A타입_제작표!$AQ$2:$AQ$799,0)),""))</f>
        <v>요 8:12-59  아브라함이 나기 전부터</v>
      </c>
      <c r="F270" s="24" t="str">
        <f aca="false">IF(B270="","",IFERROR("시편 "&amp;INDEX(시편_시리즈!$A$2:$A$151,MATCH("시편|"&amp;TEXT(B270,"yyyy-mm-dd"),시편_시리즈!$Y$2:$Y$151,0))&amp;"편  "&amp;INDEX(시편_시리즈!$G$2:$G$151,MATCH("시편|"&amp;TEXT(B270,"yyyy-mm-dd"),시편_시리즈!$Y$2:$Y$151,0)),""))</f>
        <v/>
      </c>
      <c r="G270" s="23" t="n">
        <f aca="false">IF(B270="","",(D270&lt;&gt;"")+(E270&lt;&gt;"")+(F270&lt;&gt;""))</f>
        <v>2</v>
      </c>
      <c r="H270" s="31" t="s">
        <v>10282</v>
      </c>
    </row>
    <row r="271" customFormat="false" ht="15" hidden="false" customHeight="false" outlineLevel="0" collapsed="false">
      <c r="A271" s="23" t="n">
        <f aca="false">IF(B271="","",270)</f>
        <v>270</v>
      </c>
      <c r="B271" s="26" t="n">
        <f aca="false">IF(안내!$C$9+269&gt;MAX(MAX(A타입_제작표!$U$2:$U$799),MAX(시편_시리즈!$Q$2:$Q$151)),"",안내!$C$9+269)</f>
        <v>46660</v>
      </c>
      <c r="C271" s="23" t="str">
        <f aca="false">IF(B271="","",CHOOSE(WEEKDAY(B271,2),"월","화","수","목","금","토","일"))</f>
        <v>목</v>
      </c>
      <c r="D271" s="24" t="str">
        <f aca="false">IF(B271="","",IFERROR(INDEX(A타입_제작표!$J$2:$J$799,MATCH("구약|"&amp;TEXT(B271,"yyyy-mm-dd"),A타입_제작표!$AQ$2:$AQ$799,0))&amp;"  "&amp;INDEX(A타입_제작표!$L$2:$L$799,MATCH("구약|"&amp;TEXT(B271,"yyyy-mm-dd"),A타입_제작표!$AQ$2:$AQ$799,0)),""))</f>
        <v>민 26:1-27:23  새 세대와 새 지도자</v>
      </c>
      <c r="E271" s="24" t="str">
        <f aca="false">IF(B271="","",IFERROR(INDEX(A타입_제작표!$J$2:$J$799,MATCH("신약|"&amp;TEXT(B271,"yyyy-mm-dd"),A타입_제작표!$AQ$2:$AQ$799,0))&amp;"  "&amp;INDEX(A타입_제작표!$L$2:$L$799,MATCH("신약|"&amp;TEXT(B271,"yyyy-mm-dd"),A타입_제작표!$AQ$2:$AQ$799,0)),""))</f>
        <v/>
      </c>
      <c r="F271" s="24" t="str">
        <f aca="false">IF(B271="","",IFERROR("시편 "&amp;INDEX(시편_시리즈!$A$2:$A$151,MATCH("시편|"&amp;TEXT(B271,"yyyy-mm-dd"),시편_시리즈!$Y$2:$Y$151,0))&amp;"편  "&amp;INDEX(시편_시리즈!$G$2:$G$151,MATCH("시편|"&amp;TEXT(B271,"yyyy-mm-dd"),시편_시리즈!$Y$2:$Y$151,0)),""))</f>
        <v>시편 116편  무엇으로 보답할까</v>
      </c>
      <c r="G271" s="23" t="n">
        <f aca="false">IF(B271="","",(D271&lt;&gt;"")+(E271&lt;&gt;"")+(F271&lt;&gt;""))</f>
        <v>2</v>
      </c>
      <c r="H271" s="31" t="s">
        <v>10282</v>
      </c>
    </row>
    <row r="272" customFormat="false" ht="15" hidden="false" customHeight="false" outlineLevel="0" collapsed="false">
      <c r="A272" s="23" t="n">
        <f aca="false">IF(B272="","",271)</f>
        <v>271</v>
      </c>
      <c r="B272" s="26" t="n">
        <f aca="false">IF(안내!$C$9+270&gt;MAX(MAX(A타입_제작표!$U$2:$U$799),MAX(시편_시리즈!$Q$2:$Q$151)),"",안내!$C$9+270)</f>
        <v>46661</v>
      </c>
      <c r="C272" s="23" t="str">
        <f aca="false">IF(B272="","",CHOOSE(WEEKDAY(B272,2),"월","화","수","목","금","토","일"))</f>
        <v>금</v>
      </c>
      <c r="D272" s="24" t="str">
        <f aca="false">IF(B272="","",IFERROR(INDEX(A타입_제작표!$J$2:$J$799,MATCH("구약|"&amp;TEXT(B272,"yyyy-mm-dd"),A타입_제작표!$AQ$2:$AQ$799,0))&amp;"  "&amp;INDEX(A타입_제작표!$L$2:$L$799,MATCH("구약|"&amp;TEXT(B272,"yyyy-mm-dd"),A타입_제작표!$AQ$2:$AQ$799,0)),""))</f>
        <v>민 28:1-30:16  날마다 드리는 예배</v>
      </c>
      <c r="E272" s="24" t="str">
        <f aca="false">IF(B272="","",IFERROR(INDEX(A타입_제작표!$J$2:$J$799,MATCH("신약|"&amp;TEXT(B272,"yyyy-mm-dd"),A타입_제작표!$AQ$2:$AQ$799,0))&amp;"  "&amp;INDEX(A타입_제작표!$L$2:$L$799,MATCH("신약|"&amp;TEXT(B272,"yyyy-mm-dd"),A타입_제작표!$AQ$2:$AQ$799,0)),""))</f>
        <v>요 11:45-12:11  나드 향유</v>
      </c>
      <c r="F272" s="24" t="str">
        <f aca="false">IF(B272="","",IFERROR("시편 "&amp;INDEX(시편_시리즈!$A$2:$A$151,MATCH("시편|"&amp;TEXT(B272,"yyyy-mm-dd"),시편_시리즈!$Y$2:$Y$151,0))&amp;"편  "&amp;INDEX(시편_시리즈!$G$2:$G$151,MATCH("시편|"&amp;TEXT(B272,"yyyy-mm-dd"),시편_시리즈!$Y$2:$Y$151,0)),""))</f>
        <v/>
      </c>
      <c r="G272" s="23" t="n">
        <f aca="false">IF(B272="","",(D272&lt;&gt;"")+(E272&lt;&gt;"")+(F272&lt;&gt;""))</f>
        <v>2</v>
      </c>
      <c r="H272" s="31" t="s">
        <v>10282</v>
      </c>
    </row>
    <row r="273" customFormat="false" ht="15" hidden="false" customHeight="false" outlineLevel="0" collapsed="false">
      <c r="A273" s="23" t="n">
        <f aca="false">IF(B273="","",272)</f>
        <v>272</v>
      </c>
      <c r="B273" s="26" t="n">
        <f aca="false">IF(안내!$C$9+271&gt;MAX(MAX(A타입_제작표!$U$2:$U$799),MAX(시편_시리즈!$Q$2:$Q$151)),"",안내!$C$9+271)</f>
        <v>46662</v>
      </c>
      <c r="C273" s="23" t="str">
        <f aca="false">IF(B273="","",CHOOSE(WEEKDAY(B273,2),"월","화","수","목","금","토","일"))</f>
        <v>토</v>
      </c>
      <c r="D273" s="24" t="str">
        <f aca="false">IF(B273="","",IFERROR(INDEX(A타입_제작표!$J$2:$J$799,MATCH("구약|"&amp;TEXT(B273,"yyyy-mm-dd"),A타입_제작표!$AQ$2:$AQ$799,0))&amp;"  "&amp;INDEX(A타입_제작표!$L$2:$L$799,MATCH("구약|"&amp;TEXT(B273,"yyyy-mm-dd"),A타입_제작표!$AQ$2:$AQ$799,0)),""))</f>
        <v>민 31:1-32:42  요단 동편의 두 지파 반</v>
      </c>
      <c r="E273" s="24" t="str">
        <f aca="false">IF(B273="","",IFERROR(INDEX(A타입_제작표!$J$2:$J$799,MATCH("신약|"&amp;TEXT(B273,"yyyy-mm-dd"),A타입_제작표!$AQ$2:$AQ$799,0))&amp;"  "&amp;INDEX(A타입_제작표!$L$2:$L$799,MATCH("신약|"&amp;TEXT(B273,"yyyy-mm-dd"),A타입_제작표!$AQ$2:$AQ$799,0)),""))</f>
        <v>요 12:12-50  한 알의 밀</v>
      </c>
      <c r="F273" s="24" t="str">
        <f aca="false">IF(B273="","",IFERROR("시편 "&amp;INDEX(시편_시리즈!$A$2:$A$151,MATCH("시편|"&amp;TEXT(B273,"yyyy-mm-dd"),시편_시리즈!$Y$2:$Y$151,0))&amp;"편  "&amp;INDEX(시편_시리즈!$G$2:$G$151,MATCH("시편|"&amp;TEXT(B273,"yyyy-mm-dd"),시편_시리즈!$Y$2:$Y$151,0)),""))</f>
        <v/>
      </c>
      <c r="G273" s="23" t="n">
        <f aca="false">IF(B273="","",(D273&lt;&gt;"")+(E273&lt;&gt;"")+(F273&lt;&gt;""))</f>
        <v>2</v>
      </c>
      <c r="H273" s="31" t="s">
        <v>10282</v>
      </c>
    </row>
    <row r="274" customFormat="false" ht="15" hidden="false" customHeight="false" outlineLevel="0" collapsed="false">
      <c r="A274" s="23" t="n">
        <f aca="false">IF(B274="","",273)</f>
        <v>273</v>
      </c>
      <c r="B274" s="26" t="n">
        <f aca="false">IF(안내!$C$9+272&gt;MAX(MAX(A타입_제작표!$U$2:$U$799),MAX(시편_시리즈!$Q$2:$Q$151)),"",안내!$C$9+272)</f>
        <v>46663</v>
      </c>
      <c r="C274" s="23" t="str">
        <f aca="false">IF(B274="","",CHOOSE(WEEKDAY(B274,2),"월","화","수","목","금","토","일"))</f>
        <v>일</v>
      </c>
      <c r="D274" s="24" t="str">
        <f aca="false">IF(B274="","",IFERROR(INDEX(A타입_제작표!$J$2:$J$799,MATCH("구약|"&amp;TEXT(B274,"yyyy-mm-dd"),A타입_제작표!$AQ$2:$AQ$799,0))&amp;"  "&amp;INDEX(A타입_제작표!$L$2:$L$799,MATCH("구약|"&amp;TEXT(B274,"yyyy-mm-dd"),A타입_제작표!$AQ$2:$AQ$799,0)),""))</f>
        <v>민 33:1-36:13  도피성</v>
      </c>
      <c r="E274" s="24" t="str">
        <f aca="false">IF(B274="","",IFERROR(INDEX(A타입_제작표!$J$2:$J$799,MATCH("신약|"&amp;TEXT(B274,"yyyy-mm-dd"),A타입_제작표!$AQ$2:$AQ$799,0))&amp;"  "&amp;INDEX(A타입_제작표!$L$2:$L$799,MATCH("신약|"&amp;TEXT(B274,"yyyy-mm-dd"),A타입_제작표!$AQ$2:$AQ$799,0)),""))</f>
        <v/>
      </c>
      <c r="F274" s="24" t="str">
        <f aca="false">IF(B274="","",IFERROR("시편 "&amp;INDEX(시편_시리즈!$A$2:$A$151,MATCH("시편|"&amp;TEXT(B274,"yyyy-mm-dd"),시편_시리즈!$Y$2:$Y$151,0))&amp;"편  "&amp;INDEX(시편_시리즈!$G$2:$G$151,MATCH("시편|"&amp;TEXT(B274,"yyyy-mm-dd"),시편_시리즈!$Y$2:$Y$151,0)),""))</f>
        <v>시편 117편  가장 짧은 시편</v>
      </c>
      <c r="G274" s="23" t="n">
        <f aca="false">IF(B274="","",(D274&lt;&gt;"")+(E274&lt;&gt;"")+(F274&lt;&gt;""))</f>
        <v>2</v>
      </c>
      <c r="H274" s="31" t="s">
        <v>10282</v>
      </c>
    </row>
    <row r="275" customFormat="false" ht="15" hidden="false" customHeight="false" outlineLevel="0" collapsed="false">
      <c r="A275" s="23" t="n">
        <f aca="false">IF(B275="","",274)</f>
        <v>274</v>
      </c>
      <c r="B275" s="26" t="n">
        <f aca="false">IF(안내!$C$9+273&gt;MAX(MAX(A타입_제작표!$U$2:$U$799),MAX(시편_시리즈!$Q$2:$Q$151)),"",안내!$C$9+273)</f>
        <v>46664</v>
      </c>
      <c r="C275" s="23" t="str">
        <f aca="false">IF(B275="","",CHOOSE(WEEKDAY(B275,2),"월","화","수","목","금","토","일"))</f>
        <v>월</v>
      </c>
      <c r="D275" s="24" t="str">
        <f aca="false">IF(B275="","",IFERROR(INDEX(A타입_제작표!$J$2:$J$799,MATCH("구약|"&amp;TEXT(B275,"yyyy-mm-dd"),A타입_제작표!$AQ$2:$AQ$799,0))&amp;"  "&amp;INDEX(A타입_제작표!$L$2:$L$799,MATCH("구약|"&amp;TEXT(B275,"yyyy-mm-dd"),A타입_제작표!$AQ$2:$AQ$799,0)),""))</f>
        <v>신 1:1-3:29  아버지가 아들을 안듯</v>
      </c>
      <c r="E275" s="24" t="str">
        <f aca="false">IF(B275="","",IFERROR(INDEX(A타입_제작표!$J$2:$J$799,MATCH("신약|"&amp;TEXT(B275,"yyyy-mm-dd"),A타입_제작표!$AQ$2:$AQ$799,0))&amp;"  "&amp;INDEX(A타입_제작표!$L$2:$L$799,MATCH("신약|"&amp;TEXT(B275,"yyyy-mm-dd"),A타입_제작표!$AQ$2:$AQ$799,0)),""))</f>
        <v>요 13:21-38  새 계명</v>
      </c>
      <c r="F275" s="24" t="str">
        <f aca="false">IF(B275="","",IFERROR("시편 "&amp;INDEX(시편_시리즈!$A$2:$A$151,MATCH("시편|"&amp;TEXT(B275,"yyyy-mm-dd"),시편_시리즈!$Y$2:$Y$151,0))&amp;"편  "&amp;INDEX(시편_시리즈!$G$2:$G$151,MATCH("시편|"&amp;TEXT(B275,"yyyy-mm-dd"),시편_시리즈!$Y$2:$Y$151,0)),""))</f>
        <v/>
      </c>
      <c r="G275" s="23" t="n">
        <f aca="false">IF(B275="","",(D275&lt;&gt;"")+(E275&lt;&gt;"")+(F275&lt;&gt;""))</f>
        <v>2</v>
      </c>
      <c r="H275" s="31" t="s">
        <v>10282</v>
      </c>
    </row>
    <row r="276" customFormat="false" ht="26.85" hidden="false" customHeight="false" outlineLevel="0" collapsed="false">
      <c r="A276" s="23" t="n">
        <f aca="false">IF(B276="","",275)</f>
        <v>275</v>
      </c>
      <c r="B276" s="26" t="n">
        <f aca="false">IF(안내!$C$9+274&gt;MAX(MAX(A타입_제작표!$U$2:$U$799),MAX(시편_시리즈!$Q$2:$Q$151)),"",안내!$C$9+274)</f>
        <v>46665</v>
      </c>
      <c r="C276" s="23" t="str">
        <f aca="false">IF(B276="","",CHOOSE(WEEKDAY(B276,2),"월","화","수","목","금","토","일"))</f>
        <v>화</v>
      </c>
      <c r="D276" s="24" t="str">
        <f aca="false">IF(B276="","",IFERROR(INDEX(A타입_제작표!$J$2:$J$799,MATCH("구약|"&amp;TEXT(B276,"yyyy-mm-dd"),A타입_제작표!$AQ$2:$AQ$799,0))&amp;"  "&amp;INDEX(A타입_제작표!$L$2:$L$799,MATCH("구약|"&amp;TEXT(B276,"yyyy-mm-dd"),A타입_제작표!$AQ$2:$AQ$799,0)),""))</f>
        <v>신 4:1-49  여호와 외에 다른 신은 없다</v>
      </c>
      <c r="E276" s="24" t="str">
        <f aca="false">IF(B276="","",IFERROR(INDEX(A타입_제작표!$J$2:$J$799,MATCH("신약|"&amp;TEXT(B276,"yyyy-mm-dd"),A타입_제작표!$AQ$2:$AQ$799,0))&amp;"  "&amp;INDEX(A타입_제작표!$L$2:$L$799,MATCH("신약|"&amp;TEXT(B276,"yyyy-mm-dd"),A타입_제작표!$AQ$2:$AQ$799,0)),""))</f>
        <v/>
      </c>
      <c r="F276" s="24" t="str">
        <f aca="false">IF(B276="","",IFERROR("시편 "&amp;INDEX(시편_시리즈!$A$2:$A$151,MATCH("시편|"&amp;TEXT(B276,"yyyy-mm-dd"),시편_시리즈!$Y$2:$Y$151,0))&amp;"편  "&amp;INDEX(시편_시리즈!$G$2:$G$151,MATCH("시편|"&amp;TEXT(B276,"yyyy-mm-dd"),시편_시리즈!$Y$2:$Y$151,0)),""))</f>
        <v>시편 118편  버린 돌이 머릿돌이 되다</v>
      </c>
      <c r="G276" s="23" t="n">
        <f aca="false">IF(B276="","",(D276&lt;&gt;"")+(E276&lt;&gt;"")+(F276&lt;&gt;""))</f>
        <v>2</v>
      </c>
      <c r="H276" s="31" t="s">
        <v>10282</v>
      </c>
    </row>
    <row r="277" customFormat="false" ht="15" hidden="false" customHeight="false" outlineLevel="0" collapsed="false">
      <c r="A277" s="23" t="n">
        <f aca="false">IF(B277="","",276)</f>
        <v>276</v>
      </c>
      <c r="B277" s="26" t="n">
        <f aca="false">IF(안내!$C$9+275&gt;MAX(MAX(A타입_제작표!$U$2:$U$799),MAX(시편_시리즈!$Q$2:$Q$151)),"",안내!$C$9+275)</f>
        <v>46666</v>
      </c>
      <c r="C277" s="23" t="str">
        <f aca="false">IF(B277="","",CHOOSE(WEEKDAY(B277,2),"월","화","수","목","금","토","일"))</f>
        <v>수</v>
      </c>
      <c r="D277" s="24" t="str">
        <f aca="false">IF(B277="","",IFERROR(INDEX(A타입_제작표!$J$2:$J$799,MATCH("구약|"&amp;TEXT(B277,"yyyy-mm-dd"),A타입_제작표!$AQ$2:$AQ$799,0))&amp;"  "&amp;INDEX(A타입_제작표!$L$2:$L$799,MATCH("구약|"&amp;TEXT(B277,"yyyy-mm-dd"),A타입_제작표!$AQ$2:$AQ$799,0)),""))</f>
        <v>신 5:1-33  다시 들려준 십계명</v>
      </c>
      <c r="E277" s="24" t="str">
        <f aca="false">IF(B277="","",IFERROR(INDEX(A타입_제작표!$J$2:$J$799,MATCH("신약|"&amp;TEXT(B277,"yyyy-mm-dd"),A타입_제작표!$AQ$2:$AQ$799,0))&amp;"  "&amp;INDEX(A타입_제작표!$L$2:$L$799,MATCH("신약|"&amp;TEXT(B277,"yyyy-mm-dd"),A타입_제작표!$AQ$2:$AQ$799,0)),""))</f>
        <v>요 16:1-33  세상을 이겼노라</v>
      </c>
      <c r="F277" s="24" t="str">
        <f aca="false">IF(B277="","",IFERROR("시편 "&amp;INDEX(시편_시리즈!$A$2:$A$151,MATCH("시편|"&amp;TEXT(B277,"yyyy-mm-dd"),시편_시리즈!$Y$2:$Y$151,0))&amp;"편  "&amp;INDEX(시편_시리즈!$G$2:$G$151,MATCH("시편|"&amp;TEXT(B277,"yyyy-mm-dd"),시편_시리즈!$Y$2:$Y$151,0)),""))</f>
        <v/>
      </c>
      <c r="G277" s="23" t="n">
        <f aca="false">IF(B277="","",(D277&lt;&gt;"")+(E277&lt;&gt;"")+(F277&lt;&gt;""))</f>
        <v>2</v>
      </c>
      <c r="H277" s="31" t="s">
        <v>10282</v>
      </c>
    </row>
    <row r="278" customFormat="false" ht="15" hidden="false" customHeight="false" outlineLevel="0" collapsed="false">
      <c r="A278" s="23" t="n">
        <f aca="false">IF(B278="","",277)</f>
        <v>277</v>
      </c>
      <c r="B278" s="26" t="n">
        <f aca="false">IF(안내!$C$9+276&gt;MAX(MAX(A타입_제작표!$U$2:$U$799),MAX(시편_시리즈!$Q$2:$Q$151)),"",안내!$C$9+276)</f>
        <v>46667</v>
      </c>
      <c r="C278" s="23" t="str">
        <f aca="false">IF(B278="","",CHOOSE(WEEKDAY(B278,2),"월","화","수","목","금","토","일"))</f>
        <v>목</v>
      </c>
      <c r="D278" s="24" t="str">
        <f aca="false">IF(B278="","",IFERROR(INDEX(A타입_제작표!$J$2:$J$799,MATCH("구약|"&amp;TEXT(B278,"yyyy-mm-dd"),A타입_제작표!$AQ$2:$AQ$799,0))&amp;"  "&amp;INDEX(A타입_제작표!$L$2:$L$799,MATCH("구약|"&amp;TEXT(B278,"yyyy-mm-dd"),A타입_제작표!$AQ$2:$AQ$799,0)),""))</f>
        <v>신 7:1-26  왜 우리를 택하셨을까?</v>
      </c>
      <c r="E278" s="24" t="str">
        <f aca="false">IF(B278="","",IFERROR(INDEX(A타입_제작표!$J$2:$J$799,MATCH("신약|"&amp;TEXT(B278,"yyyy-mm-dd"),A타입_제작표!$AQ$2:$AQ$799,0))&amp;"  "&amp;INDEX(A타입_제작표!$L$2:$L$799,MATCH("신약|"&amp;TEXT(B278,"yyyy-mm-dd"),A타입_제작표!$AQ$2:$AQ$799,0)),""))</f>
        <v/>
      </c>
      <c r="F278" s="24" t="str">
        <f aca="false">IF(B278="","",IFERROR("시편 "&amp;INDEX(시편_시리즈!$A$2:$A$151,MATCH("시편|"&amp;TEXT(B278,"yyyy-mm-dd"),시편_시리즈!$Y$2:$Y$151,0))&amp;"편  "&amp;INDEX(시편_시리즈!$G$2:$G$151,MATCH("시편|"&amp;TEXT(B278,"yyyy-mm-dd"),시편_시리즈!$Y$2:$Y$151,0)),""))</f>
        <v>시편 119편  내 발에 등이요</v>
      </c>
      <c r="G278" s="23" t="n">
        <f aca="false">IF(B278="","",(D278&lt;&gt;"")+(E278&lt;&gt;"")+(F278&lt;&gt;""))</f>
        <v>2</v>
      </c>
      <c r="H278" s="31" t="s">
        <v>10282</v>
      </c>
    </row>
    <row r="279" customFormat="false" ht="15" hidden="false" customHeight="false" outlineLevel="0" collapsed="false">
      <c r="A279" s="23" t="n">
        <f aca="false">IF(B279="","",278)</f>
        <v>278</v>
      </c>
      <c r="B279" s="26" t="n">
        <f aca="false">IF(안내!$C$9+277&gt;MAX(MAX(A타입_제작표!$U$2:$U$799),MAX(시편_시리즈!$Q$2:$Q$151)),"",안내!$C$9+277)</f>
        <v>46668</v>
      </c>
      <c r="C279" s="23" t="str">
        <f aca="false">IF(B279="","",CHOOSE(WEEKDAY(B279,2),"월","화","수","목","금","토","일"))</f>
        <v>금</v>
      </c>
      <c r="D279" s="24" t="str">
        <f aca="false">IF(B279="","",IFERROR(INDEX(A타입_제작표!$J$2:$J$799,MATCH("구약|"&amp;TEXT(B279,"yyyy-mm-dd"),A타입_제작표!$AQ$2:$AQ$799,0))&amp;"  "&amp;INDEX(A타입_제작표!$L$2:$L$799,MATCH("구약|"&amp;TEXT(B279,"yyyy-mm-dd"),A타입_제작표!$AQ$2:$AQ$799,0)),""))</f>
        <v>신 8:1-20  떡으로만 살지 않는다</v>
      </c>
      <c r="E279" s="24" t="str">
        <f aca="false">IF(B279="","",IFERROR(INDEX(A타입_제작표!$J$2:$J$799,MATCH("신약|"&amp;TEXT(B279,"yyyy-mm-dd"),A타입_제작표!$AQ$2:$AQ$799,0))&amp;"  "&amp;INDEX(A타입_제작표!$L$2:$L$799,MATCH("신약|"&amp;TEXT(B279,"yyyy-mm-dd"),A타입_제작표!$AQ$2:$AQ$799,0)),""))</f>
        <v>요 17:1-26  예수님의 기도</v>
      </c>
      <c r="F279" s="24" t="str">
        <f aca="false">IF(B279="","",IFERROR("시편 "&amp;INDEX(시편_시리즈!$A$2:$A$151,MATCH("시편|"&amp;TEXT(B279,"yyyy-mm-dd"),시편_시리즈!$Y$2:$Y$151,0))&amp;"편  "&amp;INDEX(시편_시리즈!$G$2:$G$151,MATCH("시편|"&amp;TEXT(B279,"yyyy-mm-dd"),시편_시리즈!$Y$2:$Y$151,0)),""))</f>
        <v/>
      </c>
      <c r="G279" s="23" t="n">
        <f aca="false">IF(B279="","",(D279&lt;&gt;"")+(E279&lt;&gt;"")+(F279&lt;&gt;""))</f>
        <v>2</v>
      </c>
      <c r="H279" s="31" t="s">
        <v>10282</v>
      </c>
    </row>
    <row r="280" customFormat="false" ht="15" hidden="false" customHeight="false" outlineLevel="0" collapsed="false">
      <c r="A280" s="23" t="n">
        <f aca="false">IF(B280="","",279)</f>
        <v>279</v>
      </c>
      <c r="B280" s="26" t="n">
        <f aca="false">IF(안내!$C$9+278&gt;MAX(MAX(A타입_제작표!$U$2:$U$799),MAX(시편_시리즈!$Q$2:$Q$151)),"",안내!$C$9+278)</f>
        <v>46669</v>
      </c>
      <c r="C280" s="23" t="str">
        <f aca="false">IF(B280="","",CHOOSE(WEEKDAY(B280,2),"월","화","수","목","금","토","일"))</f>
        <v>토</v>
      </c>
      <c r="D280" s="24" t="str">
        <f aca="false">IF(B280="","",IFERROR(INDEX(A타입_제작표!$J$2:$J$799,MATCH("구약|"&amp;TEXT(B280,"yyyy-mm-dd"),A타입_제작표!$AQ$2:$AQ$799,0))&amp;"  "&amp;INDEX(A타입_제작표!$L$2:$L$799,MATCH("구약|"&amp;TEXT(B280,"yyyy-mm-dd"),A타입_제작표!$AQ$2:$AQ$799,0)),""))</f>
        <v>신 9:1-11:32  너희가 의로워서가 아니다</v>
      </c>
      <c r="E280" s="24" t="str">
        <f aca="false">IF(B280="","",IFERROR(INDEX(A타입_제작표!$J$2:$J$799,MATCH("신약|"&amp;TEXT(B280,"yyyy-mm-dd"),A타입_제작표!$AQ$2:$AQ$799,0))&amp;"  "&amp;INDEX(A타입_제작표!$L$2:$L$799,MATCH("신약|"&amp;TEXT(B280,"yyyy-mm-dd"),A타입_제작표!$AQ$2:$AQ$799,0)),""))</f>
        <v>요 18:1-27  잡히신 예수님</v>
      </c>
      <c r="F280" s="24" t="str">
        <f aca="false">IF(B280="","",IFERROR("시편 "&amp;INDEX(시편_시리즈!$A$2:$A$151,MATCH("시편|"&amp;TEXT(B280,"yyyy-mm-dd"),시편_시리즈!$Y$2:$Y$151,0))&amp;"편  "&amp;INDEX(시편_시리즈!$G$2:$G$151,MATCH("시편|"&amp;TEXT(B280,"yyyy-mm-dd"),시편_시리즈!$Y$2:$Y$151,0)),""))</f>
        <v/>
      </c>
      <c r="G280" s="23" t="n">
        <f aca="false">IF(B280="","",(D280&lt;&gt;"")+(E280&lt;&gt;"")+(F280&lt;&gt;""))</f>
        <v>2</v>
      </c>
      <c r="H280" s="31" t="s">
        <v>10282</v>
      </c>
    </row>
    <row r="281" customFormat="false" ht="15" hidden="false" customHeight="false" outlineLevel="0" collapsed="false">
      <c r="A281" s="23" t="n">
        <f aca="false">IF(B281="","",280)</f>
        <v>280</v>
      </c>
      <c r="B281" s="26" t="n">
        <f aca="false">IF(안내!$C$9+279&gt;MAX(MAX(A타입_제작표!$U$2:$U$799),MAX(시편_시리즈!$Q$2:$Q$151)),"",안내!$C$9+279)</f>
        <v>46670</v>
      </c>
      <c r="C281" s="23" t="str">
        <f aca="false">IF(B281="","",CHOOSE(WEEKDAY(B281,2),"월","화","수","목","금","토","일"))</f>
        <v>일</v>
      </c>
      <c r="D281" s="24" t="str">
        <f aca="false">IF(B281="","",IFERROR(INDEX(A타입_제작표!$J$2:$J$799,MATCH("구약|"&amp;TEXT(B281,"yyyy-mm-dd"),A타입_제작표!$AQ$2:$AQ$799,0))&amp;"  "&amp;INDEX(A타입_제작표!$L$2:$L$799,MATCH("구약|"&amp;TEXT(B281,"yyyy-mm-dd"),A타입_제작표!$AQ$2:$AQ$799,0)),""))</f>
        <v>신 12:1-16:17  하나님이 택하신 곳에서</v>
      </c>
      <c r="E281" s="24" t="str">
        <f aca="false">IF(B281="","",IFERROR(INDEX(A타입_제작표!$J$2:$J$799,MATCH("신약|"&amp;TEXT(B281,"yyyy-mm-dd"),A타입_제작표!$AQ$2:$AQ$799,0))&amp;"  "&amp;INDEX(A타입_제작표!$L$2:$L$799,MATCH("신약|"&amp;TEXT(B281,"yyyy-mm-dd"),A타입_제작표!$AQ$2:$AQ$799,0)),""))</f>
        <v/>
      </c>
      <c r="F281" s="24" t="str">
        <f aca="false">IF(B281="","",IFERROR("시편 "&amp;INDEX(시편_시리즈!$A$2:$A$151,MATCH("시편|"&amp;TEXT(B281,"yyyy-mm-dd"),시편_시리즈!$Y$2:$Y$151,0))&amp;"편  "&amp;INDEX(시편_시리즈!$G$2:$G$151,MATCH("시편|"&amp;TEXT(B281,"yyyy-mm-dd"),시편_시리즈!$Y$2:$Y$151,0)),""))</f>
        <v>시편 120편  환난 중에 부르짖었더니</v>
      </c>
      <c r="G281" s="23" t="n">
        <f aca="false">IF(B281="","",(D281&lt;&gt;"")+(E281&lt;&gt;"")+(F281&lt;&gt;""))</f>
        <v>2</v>
      </c>
      <c r="H281" s="31" t="s">
        <v>10282</v>
      </c>
    </row>
    <row r="282" customFormat="false" ht="15" hidden="false" customHeight="false" outlineLevel="0" collapsed="false">
      <c r="A282" s="23" t="n">
        <f aca="false">IF(B282="","",281)</f>
        <v>281</v>
      </c>
      <c r="B282" s="26" t="n">
        <f aca="false">IF(안내!$C$9+280&gt;MAX(MAX(A타입_제작표!$U$2:$U$799),MAX(시편_시리즈!$Q$2:$Q$151)),"",안내!$C$9+280)</f>
        <v>46671</v>
      </c>
      <c r="C282" s="23" t="str">
        <f aca="false">IF(B282="","",CHOOSE(WEEKDAY(B282,2),"월","화","수","목","금","토","일"))</f>
        <v>월</v>
      </c>
      <c r="D282" s="24" t="str">
        <f aca="false">IF(B282="","",IFERROR(INDEX(A타입_제작표!$J$2:$J$799,MATCH("구약|"&amp;TEXT(B282,"yyyy-mm-dd"),A타입_제작표!$AQ$2:$AQ$799,0))&amp;"  "&amp;INDEX(A타입_제작표!$L$2:$L$799,MATCH("구약|"&amp;TEXT(B282,"yyyy-mm-dd"),A타입_제작표!$AQ$2:$AQ$799,0)),""))</f>
        <v>신 16:18-20:20  나 같은 선지자</v>
      </c>
      <c r="E282" s="24" t="str">
        <f aca="false">IF(B282="","",IFERROR(INDEX(A타입_제작표!$J$2:$J$799,MATCH("신약|"&amp;TEXT(B282,"yyyy-mm-dd"),A타입_제작표!$AQ$2:$AQ$799,0))&amp;"  "&amp;INDEX(A타입_제작표!$L$2:$L$799,MATCH("신약|"&amp;TEXT(B282,"yyyy-mm-dd"),A타입_제작표!$AQ$2:$AQ$799,0)),""))</f>
        <v>요 18:28-19:16  진리가 무엇이냐</v>
      </c>
      <c r="F282" s="24" t="str">
        <f aca="false">IF(B282="","",IFERROR("시편 "&amp;INDEX(시편_시리즈!$A$2:$A$151,MATCH("시편|"&amp;TEXT(B282,"yyyy-mm-dd"),시편_시리즈!$Y$2:$Y$151,0))&amp;"편  "&amp;INDEX(시편_시리즈!$G$2:$G$151,MATCH("시편|"&amp;TEXT(B282,"yyyy-mm-dd"),시편_시리즈!$Y$2:$Y$151,0)),""))</f>
        <v/>
      </c>
      <c r="G282" s="23" t="n">
        <f aca="false">IF(B282="","",(D282&lt;&gt;"")+(E282&lt;&gt;"")+(F282&lt;&gt;""))</f>
        <v>2</v>
      </c>
      <c r="H282" s="31" t="s">
        <v>10282</v>
      </c>
    </row>
    <row r="283" customFormat="false" ht="26.85" hidden="false" customHeight="false" outlineLevel="0" collapsed="false">
      <c r="A283" s="23" t="n">
        <f aca="false">IF(B283="","",282)</f>
        <v>282</v>
      </c>
      <c r="B283" s="26" t="n">
        <f aca="false">IF(안내!$C$9+281&gt;MAX(MAX(A타입_제작표!$U$2:$U$799),MAX(시편_시리즈!$Q$2:$Q$151)),"",안내!$C$9+281)</f>
        <v>46672</v>
      </c>
      <c r="C283" s="23" t="str">
        <f aca="false">IF(B283="","",CHOOSE(WEEKDAY(B283,2),"월","화","수","목","금","토","일"))</f>
        <v>화</v>
      </c>
      <c r="D283" s="24" t="str">
        <f aca="false">IF(B283="","",IFERROR(INDEX(A타입_제작표!$J$2:$J$799,MATCH("구약|"&amp;TEXT(B283,"yyyy-mm-dd"),A타입_제작표!$AQ$2:$AQ$799,0))&amp;"  "&amp;INDEX(A타입_제작표!$L$2:$L$799,MATCH("구약|"&amp;TEXT(B283,"yyyy-mm-dd"),A타입_제작표!$AQ$2:$AQ$799,0)),""))</f>
        <v>신 21:1-26:19  이삭을 남겨 두라</v>
      </c>
      <c r="E283" s="24" t="str">
        <f aca="false">IF(B283="","",IFERROR(INDEX(A타입_제작표!$J$2:$J$799,MATCH("신약|"&amp;TEXT(B283,"yyyy-mm-dd"),A타입_제작표!$AQ$2:$AQ$799,0))&amp;"  "&amp;INDEX(A타입_제작표!$L$2:$L$799,MATCH("신약|"&amp;TEXT(B283,"yyyy-mm-dd"),A타입_제작표!$AQ$2:$AQ$799,0)),""))</f>
        <v/>
      </c>
      <c r="F283" s="24" t="str">
        <f aca="false">IF(B283="","",IFERROR("시편 "&amp;INDEX(시편_시리즈!$A$2:$A$151,MATCH("시편|"&amp;TEXT(B283,"yyyy-mm-dd"),시편_시리즈!$Y$2:$Y$151,0))&amp;"편  "&amp;INDEX(시편_시리즈!$G$2:$G$151,MATCH("시편|"&amp;TEXT(B283,"yyyy-mm-dd"),시편_시리즈!$Y$2:$Y$151,0)),""))</f>
        <v>시편 121편  산을 향하여 눈을 들리라</v>
      </c>
      <c r="G283" s="23" t="n">
        <f aca="false">IF(B283="","",(D283&lt;&gt;"")+(E283&lt;&gt;"")+(F283&lt;&gt;""))</f>
        <v>2</v>
      </c>
      <c r="H283" s="31" t="s">
        <v>10282</v>
      </c>
    </row>
    <row r="284" customFormat="false" ht="15" hidden="false" customHeight="false" outlineLevel="0" collapsed="false">
      <c r="A284" s="23" t="n">
        <f aca="false">IF(B284="","",283)</f>
        <v>283</v>
      </c>
      <c r="B284" s="26" t="n">
        <f aca="false">IF(안내!$C$9+282&gt;MAX(MAX(A타입_제작표!$U$2:$U$799),MAX(시편_시리즈!$Q$2:$Q$151)),"",안내!$C$9+282)</f>
        <v>46673</v>
      </c>
      <c r="C284" s="23" t="str">
        <f aca="false">IF(B284="","",CHOOSE(WEEKDAY(B284,2),"월","화","수","목","금","토","일"))</f>
        <v>수</v>
      </c>
      <c r="D284" s="24" t="str">
        <f aca="false">IF(B284="","",IFERROR(INDEX(A타입_제작표!$J$2:$J$799,MATCH("구약|"&amp;TEXT(B284,"yyyy-mm-dd"),A타입_제작표!$AQ$2:$AQ$799,0))&amp;"  "&amp;INDEX(A타입_제작표!$L$2:$L$799,MATCH("구약|"&amp;TEXT(B284,"yyyy-mm-dd"),A타입_제작표!$AQ$2:$AQ$799,0)),""))</f>
        <v>신 27:1-28:68  축복과 저주</v>
      </c>
      <c r="E284" s="24" t="str">
        <f aca="false">IF(B284="","",IFERROR(INDEX(A타입_제작표!$J$2:$J$799,MATCH("신약|"&amp;TEXT(B284,"yyyy-mm-dd"),A타입_제작표!$AQ$2:$AQ$799,0))&amp;"  "&amp;INDEX(A타입_제작표!$L$2:$L$799,MATCH("신약|"&amp;TEXT(B284,"yyyy-mm-dd"),A타입_제작표!$AQ$2:$AQ$799,0)),""))</f>
        <v>행 1:12-26  기도하며 기다리다</v>
      </c>
      <c r="F284" s="24" t="str">
        <f aca="false">IF(B284="","",IFERROR("시편 "&amp;INDEX(시편_시리즈!$A$2:$A$151,MATCH("시편|"&amp;TEXT(B284,"yyyy-mm-dd"),시편_시리즈!$Y$2:$Y$151,0))&amp;"편  "&amp;INDEX(시편_시리즈!$G$2:$G$151,MATCH("시편|"&amp;TEXT(B284,"yyyy-mm-dd"),시편_시리즈!$Y$2:$Y$151,0)),""))</f>
        <v/>
      </c>
      <c r="G284" s="23" t="n">
        <f aca="false">IF(B284="","",(D284&lt;&gt;"")+(E284&lt;&gt;"")+(F284&lt;&gt;""))</f>
        <v>2</v>
      </c>
      <c r="H284" s="31" t="s">
        <v>10282</v>
      </c>
    </row>
    <row r="285" customFormat="false" ht="15" hidden="false" customHeight="false" outlineLevel="0" collapsed="false">
      <c r="A285" s="23" t="n">
        <f aca="false">IF(B285="","",284)</f>
        <v>284</v>
      </c>
      <c r="B285" s="26" t="n">
        <f aca="false">IF(안내!$C$9+283&gt;MAX(MAX(A타입_제작표!$U$2:$U$799),MAX(시편_시리즈!$Q$2:$Q$151)),"",안내!$C$9+283)</f>
        <v>46674</v>
      </c>
      <c r="C285" s="23" t="str">
        <f aca="false">IF(B285="","",CHOOSE(WEEKDAY(B285,2),"월","화","수","목","금","토","일"))</f>
        <v>목</v>
      </c>
      <c r="D285" s="24" t="str">
        <f aca="false">IF(B285="","",IFERROR(INDEX(A타입_제작표!$J$2:$J$799,MATCH("구약|"&amp;TEXT(B285,"yyyy-mm-dd"),A타입_제작표!$AQ$2:$AQ$799,0))&amp;"  "&amp;INDEX(A타입_제작표!$L$2:$L$799,MATCH("구약|"&amp;TEXT(B285,"yyyy-mm-dd"),A타입_제작표!$AQ$2:$AQ$799,0)),""))</f>
        <v>신 29:1-30:20  생명을 택하라</v>
      </c>
      <c r="E285" s="24" t="str">
        <f aca="false">IF(B285="","",IFERROR(INDEX(A타입_제작표!$J$2:$J$799,MATCH("신약|"&amp;TEXT(B285,"yyyy-mm-dd"),A타입_제작표!$AQ$2:$AQ$799,0))&amp;"  "&amp;INDEX(A타입_제작표!$L$2:$L$799,MATCH("신약|"&amp;TEXT(B285,"yyyy-mm-dd"),A타입_제작표!$AQ$2:$AQ$799,0)),""))</f>
        <v/>
      </c>
      <c r="F285" s="24" t="str">
        <f aca="false">IF(B285="","",IFERROR("시편 "&amp;INDEX(시편_시리즈!$A$2:$A$151,MATCH("시편|"&amp;TEXT(B285,"yyyy-mm-dd"),시편_시리즈!$Y$2:$Y$151,0))&amp;"편  "&amp;INDEX(시편_시리즈!$G$2:$G$151,MATCH("시편|"&amp;TEXT(B285,"yyyy-mm-dd"),시편_시리즈!$Y$2:$Y$151,0)),""))</f>
        <v>시편 122편  여호와의 집에 올라가자</v>
      </c>
      <c r="G285" s="23" t="n">
        <f aca="false">IF(B285="","",(D285&lt;&gt;"")+(E285&lt;&gt;"")+(F285&lt;&gt;""))</f>
        <v>2</v>
      </c>
      <c r="H285" s="31" t="s">
        <v>10282</v>
      </c>
    </row>
    <row r="286" customFormat="false" ht="15" hidden="false" customHeight="false" outlineLevel="0" collapsed="false">
      <c r="A286" s="23" t="n">
        <f aca="false">IF(B286="","",285)</f>
        <v>285</v>
      </c>
      <c r="B286" s="26" t="n">
        <f aca="false">IF(안내!$C$9+284&gt;MAX(MAX(A타입_제작표!$U$2:$U$799),MAX(시편_시리즈!$Q$2:$Q$151)),"",안내!$C$9+284)</f>
        <v>46675</v>
      </c>
      <c r="C286" s="23" t="str">
        <f aca="false">IF(B286="","",CHOOSE(WEEKDAY(B286,2),"월","화","수","목","금","토","일"))</f>
        <v>금</v>
      </c>
      <c r="D286" s="24" t="str">
        <f aca="false">IF(B286="","",IFERROR(INDEX(A타입_제작표!$J$2:$J$799,MATCH("구약|"&amp;TEXT(B286,"yyyy-mm-dd"),A타입_제작표!$AQ$2:$AQ$799,0))&amp;"  "&amp;INDEX(A타입_제작표!$L$2:$L$799,MATCH("구약|"&amp;TEXT(B286,"yyyy-mm-dd"),A타입_제작표!$AQ$2:$AQ$799,0)),""))</f>
        <v>신 31:1-32:52  강하고 담대하라</v>
      </c>
      <c r="E286" s="24" t="str">
        <f aca="false">IF(B286="","",IFERROR(INDEX(A타입_제작표!$J$2:$J$799,MATCH("신약|"&amp;TEXT(B286,"yyyy-mm-dd"),A타입_제작표!$AQ$2:$AQ$799,0))&amp;"  "&amp;INDEX(A타입_제작표!$L$2:$L$799,MATCH("신약|"&amp;TEXT(B286,"yyyy-mm-dd"),A타입_제작표!$AQ$2:$AQ$799,0)),""))</f>
        <v>행 5:1-16  아나니아와 삽비라</v>
      </c>
      <c r="F286" s="24" t="str">
        <f aca="false">IF(B286="","",IFERROR("시편 "&amp;INDEX(시편_시리즈!$A$2:$A$151,MATCH("시편|"&amp;TEXT(B286,"yyyy-mm-dd"),시편_시리즈!$Y$2:$Y$151,0))&amp;"편  "&amp;INDEX(시편_시리즈!$G$2:$G$151,MATCH("시편|"&amp;TEXT(B286,"yyyy-mm-dd"),시편_시리즈!$Y$2:$Y$151,0)),""))</f>
        <v/>
      </c>
      <c r="G286" s="23" t="n">
        <f aca="false">IF(B286="","",(D286&lt;&gt;"")+(E286&lt;&gt;"")+(F286&lt;&gt;""))</f>
        <v>2</v>
      </c>
      <c r="H286" s="31" t="s">
        <v>10282</v>
      </c>
    </row>
    <row r="287" customFormat="false" ht="15" hidden="false" customHeight="false" outlineLevel="0" collapsed="false">
      <c r="A287" s="23" t="n">
        <f aca="false">IF(B287="","",286)</f>
        <v>286</v>
      </c>
      <c r="B287" s="26" t="n">
        <f aca="false">IF(안내!$C$9+285&gt;MAX(MAX(A타입_제작표!$U$2:$U$799),MAX(시편_시리즈!$Q$2:$Q$151)),"",안내!$C$9+285)</f>
        <v>46676</v>
      </c>
      <c r="C287" s="23" t="str">
        <f aca="false">IF(B287="","",CHOOSE(WEEKDAY(B287,2),"월","화","수","목","금","토","일"))</f>
        <v>토</v>
      </c>
      <c r="D287" s="24" t="str">
        <f aca="false">IF(B287="","",IFERROR(INDEX(A타입_제작표!$J$2:$J$799,MATCH("구약|"&amp;TEXT(B287,"yyyy-mm-dd"),A타입_제작표!$AQ$2:$AQ$799,0))&amp;"  "&amp;INDEX(A타입_제작표!$L$2:$L$799,MATCH("구약|"&amp;TEXT(B287,"yyyy-mm-dd"),A타입_제작표!$AQ$2:$AQ$799,0)),""))</f>
        <v>수 5:1-15  여호와의 군대 대장</v>
      </c>
      <c r="E287" s="24" t="str">
        <f aca="false">IF(B287="","",IFERROR(INDEX(A타입_제작표!$J$2:$J$799,MATCH("신약|"&amp;TEXT(B287,"yyyy-mm-dd"),A타입_제작표!$AQ$2:$AQ$799,0))&amp;"  "&amp;INDEX(A타입_제작표!$L$2:$L$799,MATCH("신약|"&amp;TEXT(B287,"yyyy-mm-dd"),A타입_제작표!$AQ$2:$AQ$799,0)),""))</f>
        <v>행 5:17-42  사람보다 하나님께</v>
      </c>
      <c r="F287" s="24" t="str">
        <f aca="false">IF(B287="","",IFERROR("시편 "&amp;INDEX(시편_시리즈!$A$2:$A$151,MATCH("시편|"&amp;TEXT(B287,"yyyy-mm-dd"),시편_시리즈!$Y$2:$Y$151,0))&amp;"편  "&amp;INDEX(시편_시리즈!$G$2:$G$151,MATCH("시편|"&amp;TEXT(B287,"yyyy-mm-dd"),시편_시리즈!$Y$2:$Y$151,0)),""))</f>
        <v/>
      </c>
      <c r="G287" s="23" t="n">
        <f aca="false">IF(B287="","",(D287&lt;&gt;"")+(E287&lt;&gt;"")+(F287&lt;&gt;""))</f>
        <v>2</v>
      </c>
      <c r="H287" s="31" t="s">
        <v>10282</v>
      </c>
    </row>
    <row r="288" customFormat="false" ht="15" hidden="false" customHeight="false" outlineLevel="0" collapsed="false">
      <c r="A288" s="23" t="n">
        <f aca="false">IF(B288="","",287)</f>
        <v>287</v>
      </c>
      <c r="B288" s="26" t="n">
        <f aca="false">IF(안내!$C$9+286&gt;MAX(MAX(A타입_제작표!$U$2:$U$799),MAX(시편_시리즈!$Q$2:$Q$151)),"",안내!$C$9+286)</f>
        <v>46677</v>
      </c>
      <c r="C288" s="23" t="str">
        <f aca="false">IF(B288="","",CHOOSE(WEEKDAY(B288,2),"월","화","수","목","금","토","일"))</f>
        <v>일</v>
      </c>
      <c r="D288" s="24" t="str">
        <f aca="false">IF(B288="","",IFERROR(INDEX(A타입_제작표!$J$2:$J$799,MATCH("구약|"&amp;TEXT(B288,"yyyy-mm-dd"),A타입_제작표!$AQ$2:$AQ$799,0))&amp;"  "&amp;INDEX(A타입_제작표!$L$2:$L$799,MATCH("구약|"&amp;TEXT(B288,"yyyy-mm-dd"),A타입_제작표!$AQ$2:$AQ$799,0)),""))</f>
        <v>수 8:1-35  다시 일어서다</v>
      </c>
      <c r="E288" s="24" t="str">
        <f aca="false">IF(B288="","",IFERROR(INDEX(A타입_제작표!$J$2:$J$799,MATCH("신약|"&amp;TEXT(B288,"yyyy-mm-dd"),A타입_제작표!$AQ$2:$AQ$799,0))&amp;"  "&amp;INDEX(A타입_제작표!$L$2:$L$799,MATCH("신약|"&amp;TEXT(B288,"yyyy-mm-dd"),A타입_제작표!$AQ$2:$AQ$799,0)),""))</f>
        <v/>
      </c>
      <c r="F288" s="24" t="str">
        <f aca="false">IF(B288="","",IFERROR("시편 "&amp;INDEX(시편_시리즈!$A$2:$A$151,MATCH("시편|"&amp;TEXT(B288,"yyyy-mm-dd"),시편_시리즈!$Y$2:$Y$151,0))&amp;"편  "&amp;INDEX(시편_시리즈!$G$2:$G$151,MATCH("시편|"&amp;TEXT(B288,"yyyy-mm-dd"),시편_시리즈!$Y$2:$Y$151,0)),""))</f>
        <v>시편 123편  눈을 들어 주께</v>
      </c>
      <c r="G288" s="23" t="n">
        <f aca="false">IF(B288="","",(D288&lt;&gt;"")+(E288&lt;&gt;"")+(F288&lt;&gt;""))</f>
        <v>2</v>
      </c>
      <c r="H288" s="31" t="s">
        <v>10282</v>
      </c>
    </row>
    <row r="289" customFormat="false" ht="15" hidden="false" customHeight="false" outlineLevel="0" collapsed="false">
      <c r="A289" s="23" t="n">
        <f aca="false">IF(B289="","",288)</f>
        <v>288</v>
      </c>
      <c r="B289" s="26" t="n">
        <f aca="false">IF(안내!$C$9+287&gt;MAX(MAX(A타입_제작표!$U$2:$U$799),MAX(시편_시리즈!$Q$2:$Q$151)),"",안내!$C$9+287)</f>
        <v>46678</v>
      </c>
      <c r="C289" s="23" t="str">
        <f aca="false">IF(B289="","",CHOOSE(WEEKDAY(B289,2),"월","화","수","목","금","토","일"))</f>
        <v>월</v>
      </c>
      <c r="D289" s="24" t="str">
        <f aca="false">IF(B289="","",IFERROR(INDEX(A타입_제작표!$J$2:$J$799,MATCH("구약|"&amp;TEXT(B289,"yyyy-mm-dd"),A타입_제작표!$AQ$2:$AQ$799,0))&amp;"  "&amp;INDEX(A타입_제작표!$L$2:$L$799,MATCH("구약|"&amp;TEXT(B289,"yyyy-mm-dd"),A타입_제작표!$AQ$2:$AQ$799,0)),""))</f>
        <v>수 9:1-27  기브온의 속임수</v>
      </c>
      <c r="E289" s="24" t="str">
        <f aca="false">IF(B289="","",IFERROR(INDEX(A타입_제작표!$J$2:$J$799,MATCH("신약|"&amp;TEXT(B289,"yyyy-mm-dd"),A타입_제작표!$AQ$2:$AQ$799,0))&amp;"  "&amp;INDEX(A타입_제작표!$L$2:$L$799,MATCH("신약|"&amp;TEXT(B289,"yyyy-mm-dd"),A타입_제작표!$AQ$2:$AQ$799,0)),""))</f>
        <v>행 6:1-15  일곱 집사</v>
      </c>
      <c r="F289" s="24" t="str">
        <f aca="false">IF(B289="","",IFERROR("시편 "&amp;INDEX(시편_시리즈!$A$2:$A$151,MATCH("시편|"&amp;TEXT(B289,"yyyy-mm-dd"),시편_시리즈!$Y$2:$Y$151,0))&amp;"편  "&amp;INDEX(시편_시리즈!$G$2:$G$151,MATCH("시편|"&amp;TEXT(B289,"yyyy-mm-dd"),시편_시리즈!$Y$2:$Y$151,0)),""))</f>
        <v/>
      </c>
      <c r="G289" s="23" t="n">
        <f aca="false">IF(B289="","",(D289&lt;&gt;"")+(E289&lt;&gt;"")+(F289&lt;&gt;""))</f>
        <v>2</v>
      </c>
      <c r="H289" s="31" t="s">
        <v>10282</v>
      </c>
    </row>
    <row r="290" customFormat="false" ht="15" hidden="false" customHeight="false" outlineLevel="0" collapsed="false">
      <c r="A290" s="23" t="n">
        <f aca="false">IF(B290="","",289)</f>
        <v>289</v>
      </c>
      <c r="B290" s="26" t="n">
        <f aca="false">IF(안내!$C$9+288&gt;MAX(MAX(A타입_제작표!$U$2:$U$799),MAX(시편_시리즈!$Q$2:$Q$151)),"",안내!$C$9+288)</f>
        <v>46679</v>
      </c>
      <c r="C290" s="23" t="str">
        <f aca="false">IF(B290="","",CHOOSE(WEEKDAY(B290,2),"월","화","수","목","금","토","일"))</f>
        <v>화</v>
      </c>
      <c r="D290" s="24" t="str">
        <f aca="false">IF(B290="","",IFERROR(INDEX(A타입_제작표!$J$2:$J$799,MATCH("구약|"&amp;TEXT(B290,"yyyy-mm-dd"),A타입_제작표!$AQ$2:$AQ$799,0))&amp;"  "&amp;INDEX(A타입_제작표!$L$2:$L$799,MATCH("구약|"&amp;TEXT(B290,"yyyy-mm-dd"),A타입_제작표!$AQ$2:$AQ$799,0)),""))</f>
        <v>수 10:16-12:24  가나안 정복 전쟁</v>
      </c>
      <c r="E290" s="24" t="str">
        <f aca="false">IF(B290="","",IFERROR(INDEX(A타입_제작표!$J$2:$J$799,MATCH("신약|"&amp;TEXT(B290,"yyyy-mm-dd"),A타입_제작표!$AQ$2:$AQ$799,0))&amp;"  "&amp;INDEX(A타입_제작표!$L$2:$L$799,MATCH("신약|"&amp;TEXT(B290,"yyyy-mm-dd"),A타입_제작표!$AQ$2:$AQ$799,0)),""))</f>
        <v/>
      </c>
      <c r="F290" s="24" t="str">
        <f aca="false">IF(B290="","",IFERROR("시편 "&amp;INDEX(시편_시리즈!$A$2:$A$151,MATCH("시편|"&amp;TEXT(B290,"yyyy-mm-dd"),시편_시리즈!$Y$2:$Y$151,0))&amp;"편  "&amp;INDEX(시편_시리즈!$G$2:$G$151,MATCH("시편|"&amp;TEXT(B290,"yyyy-mm-dd"),시편_시리즈!$Y$2:$Y$151,0)),""))</f>
        <v>시편 124편  우리 편이 아니셨더라면</v>
      </c>
      <c r="G290" s="23" t="n">
        <f aca="false">IF(B290="","",(D290&lt;&gt;"")+(E290&lt;&gt;"")+(F290&lt;&gt;""))</f>
        <v>2</v>
      </c>
      <c r="H290" s="31" t="s">
        <v>10282</v>
      </c>
    </row>
    <row r="291" customFormat="false" ht="15" hidden="false" customHeight="false" outlineLevel="0" collapsed="false">
      <c r="A291" s="23" t="n">
        <f aca="false">IF(B291="","",290)</f>
        <v>290</v>
      </c>
      <c r="B291" s="26" t="n">
        <f aca="false">IF(안내!$C$9+289&gt;MAX(MAX(A타입_제작표!$U$2:$U$799),MAX(시편_시리즈!$Q$2:$Q$151)),"",안내!$C$9+289)</f>
        <v>46680</v>
      </c>
      <c r="C291" s="23" t="str">
        <f aca="false">IF(B291="","",CHOOSE(WEEKDAY(B291,2),"월","화","수","목","금","토","일"))</f>
        <v>수</v>
      </c>
      <c r="D291" s="24" t="str">
        <f aca="false">IF(B291="","",IFERROR(INDEX(A타입_제작표!$J$2:$J$799,MATCH("구약|"&amp;TEXT(B291,"yyyy-mm-dd"),A타입_제작표!$AQ$2:$AQ$799,0))&amp;"  "&amp;INDEX(A타입_제작표!$L$2:$L$799,MATCH("구약|"&amp;TEXT(B291,"yyyy-mm-dd"),A타입_제작표!$AQ$2:$AQ$799,0)),""))</f>
        <v>수 13:1-14:5  땅을 나누다</v>
      </c>
      <c r="E291" s="24" t="str">
        <f aca="false">IF(B291="","",IFERROR(INDEX(A타입_제작표!$J$2:$J$799,MATCH("신약|"&amp;TEXT(B291,"yyyy-mm-dd"),A타입_제작표!$AQ$2:$AQ$799,0))&amp;"  "&amp;INDEX(A타입_제작표!$L$2:$L$799,MATCH("신약|"&amp;TEXT(B291,"yyyy-mm-dd"),A타입_제작표!$AQ$2:$AQ$799,0)),""))</f>
        <v>행 8:1-25  사마리아의 기쁨</v>
      </c>
      <c r="F291" s="24" t="str">
        <f aca="false">IF(B291="","",IFERROR("시편 "&amp;INDEX(시편_시리즈!$A$2:$A$151,MATCH("시편|"&amp;TEXT(B291,"yyyy-mm-dd"),시편_시리즈!$Y$2:$Y$151,0))&amp;"편  "&amp;INDEX(시편_시리즈!$G$2:$G$151,MATCH("시편|"&amp;TEXT(B291,"yyyy-mm-dd"),시편_시리즈!$Y$2:$Y$151,0)),""))</f>
        <v/>
      </c>
      <c r="G291" s="23" t="n">
        <f aca="false">IF(B291="","",(D291&lt;&gt;"")+(E291&lt;&gt;"")+(F291&lt;&gt;""))</f>
        <v>2</v>
      </c>
      <c r="H291" s="31" t="s">
        <v>10282</v>
      </c>
    </row>
    <row r="292" customFormat="false" ht="15" hidden="false" customHeight="false" outlineLevel="0" collapsed="false">
      <c r="A292" s="23" t="n">
        <f aca="false">IF(B292="","",291)</f>
        <v>291</v>
      </c>
      <c r="B292" s="26" t="n">
        <f aca="false">IF(안내!$C$9+290&gt;MAX(MAX(A타입_제작표!$U$2:$U$799),MAX(시편_시리즈!$Q$2:$Q$151)),"",안내!$C$9+290)</f>
        <v>46681</v>
      </c>
      <c r="C292" s="23" t="str">
        <f aca="false">IF(B292="","",CHOOSE(WEEKDAY(B292,2),"월","화","수","목","금","토","일"))</f>
        <v>목</v>
      </c>
      <c r="D292" s="24" t="str">
        <f aca="false">IF(B292="","",IFERROR(INDEX(A타입_제작표!$J$2:$J$799,MATCH("구약|"&amp;TEXT(B292,"yyyy-mm-dd"),A타입_제작표!$AQ$2:$AQ$799,0))&amp;"  "&amp;INDEX(A타입_제작표!$L$2:$L$799,MATCH("구약|"&amp;TEXT(B292,"yyyy-mm-dd"),A타입_제작표!$AQ$2:$AQ$799,0)),""))</f>
        <v>수 14:6-15  85세 갈렙</v>
      </c>
      <c r="E292" s="24" t="str">
        <f aca="false">IF(B292="","",IFERROR(INDEX(A타입_제작표!$J$2:$J$799,MATCH("신약|"&amp;TEXT(B292,"yyyy-mm-dd"),A타입_제작표!$AQ$2:$AQ$799,0))&amp;"  "&amp;INDEX(A타입_제작표!$L$2:$L$799,MATCH("신약|"&amp;TEXT(B292,"yyyy-mm-dd"),A타입_제작표!$AQ$2:$AQ$799,0)),""))</f>
        <v/>
      </c>
      <c r="F292" s="24" t="str">
        <f aca="false">IF(B292="","",IFERROR("시편 "&amp;INDEX(시편_시리즈!$A$2:$A$151,MATCH("시편|"&amp;TEXT(B292,"yyyy-mm-dd"),시편_시리즈!$Y$2:$Y$151,0))&amp;"편  "&amp;INDEX(시편_시리즈!$G$2:$G$151,MATCH("시편|"&amp;TEXT(B292,"yyyy-mm-dd"),시편_시리즈!$Y$2:$Y$151,0)),""))</f>
        <v>시편 125편  흔들리지 않는 산</v>
      </c>
      <c r="G292" s="23" t="n">
        <f aca="false">IF(B292="","",(D292&lt;&gt;"")+(E292&lt;&gt;"")+(F292&lt;&gt;""))</f>
        <v>2</v>
      </c>
      <c r="H292" s="31" t="s">
        <v>10282</v>
      </c>
    </row>
    <row r="293" customFormat="false" ht="15" hidden="false" customHeight="false" outlineLevel="0" collapsed="false">
      <c r="A293" s="23" t="n">
        <f aca="false">IF(B293="","",292)</f>
        <v>292</v>
      </c>
      <c r="B293" s="26" t="n">
        <f aca="false">IF(안내!$C$9+291&gt;MAX(MAX(A타입_제작표!$U$2:$U$799),MAX(시편_시리즈!$Q$2:$Q$151)),"",안내!$C$9+291)</f>
        <v>46682</v>
      </c>
      <c r="C293" s="23" t="str">
        <f aca="false">IF(B293="","",CHOOSE(WEEKDAY(B293,2),"월","화","수","목","금","토","일"))</f>
        <v>금</v>
      </c>
      <c r="D293" s="24" t="str">
        <f aca="false">IF(B293="","",IFERROR(INDEX(A타입_제작표!$J$2:$J$799,MATCH("구약|"&amp;TEXT(B293,"yyyy-mm-dd"),A타입_제작표!$AQ$2:$AQ$799,0))&amp;"  "&amp;INDEX(A타입_제작표!$L$2:$L$799,MATCH("구약|"&amp;TEXT(B293,"yyyy-mm-dd"),A타입_제작표!$AQ$2:$AQ$799,0)),""))</f>
        <v>수 15:1-19:51  열두 지파의 기업</v>
      </c>
      <c r="E293" s="24" t="str">
        <f aca="false">IF(B293="","",IFERROR(INDEX(A타입_제작표!$J$2:$J$799,MATCH("신약|"&amp;TEXT(B293,"yyyy-mm-dd"),A타입_제작표!$AQ$2:$AQ$799,0))&amp;"  "&amp;INDEX(A타입_제작표!$L$2:$L$799,MATCH("신약|"&amp;TEXT(B293,"yyyy-mm-dd"),A타입_제작표!$AQ$2:$AQ$799,0)),""))</f>
        <v>행 9:20-31  변화된 사울</v>
      </c>
      <c r="F293" s="24" t="str">
        <f aca="false">IF(B293="","",IFERROR("시편 "&amp;INDEX(시편_시리즈!$A$2:$A$151,MATCH("시편|"&amp;TEXT(B293,"yyyy-mm-dd"),시편_시리즈!$Y$2:$Y$151,0))&amp;"편  "&amp;INDEX(시편_시리즈!$G$2:$G$151,MATCH("시편|"&amp;TEXT(B293,"yyyy-mm-dd"),시편_시리즈!$Y$2:$Y$151,0)),""))</f>
        <v/>
      </c>
      <c r="G293" s="23" t="n">
        <f aca="false">IF(B293="","",(D293&lt;&gt;"")+(E293&lt;&gt;"")+(F293&lt;&gt;""))</f>
        <v>2</v>
      </c>
      <c r="H293" s="31" t="s">
        <v>10282</v>
      </c>
    </row>
    <row r="294" customFormat="false" ht="15" hidden="false" customHeight="false" outlineLevel="0" collapsed="false">
      <c r="A294" s="23" t="n">
        <f aca="false">IF(B294="","",293)</f>
        <v>293</v>
      </c>
      <c r="B294" s="26" t="n">
        <f aca="false">IF(안내!$C$9+292&gt;MAX(MAX(A타입_제작표!$U$2:$U$799),MAX(시편_시리즈!$Q$2:$Q$151)),"",안내!$C$9+292)</f>
        <v>46683</v>
      </c>
      <c r="C294" s="23" t="str">
        <f aca="false">IF(B294="","",CHOOSE(WEEKDAY(B294,2),"월","화","수","목","금","토","일"))</f>
        <v>토</v>
      </c>
      <c r="D294" s="24" t="str">
        <f aca="false">IF(B294="","",IFERROR(INDEX(A타입_제작표!$J$2:$J$799,MATCH("구약|"&amp;TEXT(B294,"yyyy-mm-dd"),A타입_제작표!$AQ$2:$AQ$799,0))&amp;"  "&amp;INDEX(A타입_제작표!$L$2:$L$799,MATCH("구약|"&amp;TEXT(B294,"yyyy-mm-dd"),A타입_제작표!$AQ$2:$AQ$799,0)),""))</f>
        <v>수 20:1-21:45  하나도 남김없이</v>
      </c>
      <c r="E294" s="24" t="str">
        <f aca="false">IF(B294="","",IFERROR(INDEX(A타입_제작표!$J$2:$J$799,MATCH("신약|"&amp;TEXT(B294,"yyyy-mm-dd"),A타입_제작표!$AQ$2:$AQ$799,0))&amp;"  "&amp;INDEX(A타입_제작표!$L$2:$L$799,MATCH("신약|"&amp;TEXT(B294,"yyyy-mm-dd"),A타입_제작표!$AQ$2:$AQ$799,0)),""))</f>
        <v>행 9:32-43  다비다야 일어나라</v>
      </c>
      <c r="F294" s="24" t="str">
        <f aca="false">IF(B294="","",IFERROR("시편 "&amp;INDEX(시편_시리즈!$A$2:$A$151,MATCH("시편|"&amp;TEXT(B294,"yyyy-mm-dd"),시편_시리즈!$Y$2:$Y$151,0))&amp;"편  "&amp;INDEX(시편_시리즈!$G$2:$G$151,MATCH("시편|"&amp;TEXT(B294,"yyyy-mm-dd"),시편_시리즈!$Y$2:$Y$151,0)),""))</f>
        <v/>
      </c>
      <c r="G294" s="23" t="n">
        <f aca="false">IF(B294="","",(D294&lt;&gt;"")+(E294&lt;&gt;"")+(F294&lt;&gt;""))</f>
        <v>2</v>
      </c>
      <c r="H294" s="31" t="s">
        <v>10282</v>
      </c>
    </row>
    <row r="295" customFormat="false" ht="15" hidden="false" customHeight="false" outlineLevel="0" collapsed="false">
      <c r="A295" s="23" t="n">
        <f aca="false">IF(B295="","",294)</f>
        <v>294</v>
      </c>
      <c r="B295" s="26" t="n">
        <f aca="false">IF(안내!$C$9+293&gt;MAX(MAX(A타입_제작표!$U$2:$U$799),MAX(시편_시리즈!$Q$2:$Q$151)),"",안내!$C$9+293)</f>
        <v>46684</v>
      </c>
      <c r="C295" s="23" t="str">
        <f aca="false">IF(B295="","",CHOOSE(WEEKDAY(B295,2),"월","화","수","목","금","토","일"))</f>
        <v>일</v>
      </c>
      <c r="D295" s="24" t="str">
        <f aca="false">IF(B295="","",IFERROR(INDEX(A타입_제작표!$J$2:$J$799,MATCH("구약|"&amp;TEXT(B295,"yyyy-mm-dd"),A타입_제작표!$AQ$2:$AQ$799,0))&amp;"  "&amp;INDEX(A타입_제작표!$L$2:$L$799,MATCH("구약|"&amp;TEXT(B295,"yyyy-mm-dd"),A타입_제작표!$AQ$2:$AQ$799,0)),""))</f>
        <v>수 22:1-34  요단 강가의 큰 제단</v>
      </c>
      <c r="E295" s="24" t="str">
        <f aca="false">IF(B295="","",IFERROR(INDEX(A타입_제작표!$J$2:$J$799,MATCH("신약|"&amp;TEXT(B295,"yyyy-mm-dd"),A타입_제작표!$AQ$2:$AQ$799,0))&amp;"  "&amp;INDEX(A타입_제작표!$L$2:$L$799,MATCH("신약|"&amp;TEXT(B295,"yyyy-mm-dd"),A타입_제작표!$AQ$2:$AQ$799,0)),""))</f>
        <v/>
      </c>
      <c r="F295" s="24" t="str">
        <f aca="false">IF(B295="","",IFERROR("시편 "&amp;INDEX(시편_시리즈!$A$2:$A$151,MATCH("시편|"&amp;TEXT(B295,"yyyy-mm-dd"),시편_시리즈!$Y$2:$Y$151,0))&amp;"편  "&amp;INDEX(시편_시리즈!$G$2:$G$151,MATCH("시편|"&amp;TEXT(B295,"yyyy-mm-dd"),시편_시리즈!$Y$2:$Y$151,0)),""))</f>
        <v>시편 126편  눈물로 씨를 뿌리는 자</v>
      </c>
      <c r="G295" s="23" t="n">
        <f aca="false">IF(B295="","",(D295&lt;&gt;"")+(E295&lt;&gt;"")+(F295&lt;&gt;""))</f>
        <v>2</v>
      </c>
      <c r="H295" s="31" t="s">
        <v>10282</v>
      </c>
    </row>
    <row r="296" customFormat="false" ht="15" hidden="false" customHeight="false" outlineLevel="0" collapsed="false">
      <c r="A296" s="23" t="n">
        <f aca="false">IF(B296="","",295)</f>
        <v>295</v>
      </c>
      <c r="B296" s="26" t="n">
        <f aca="false">IF(안내!$C$9+294&gt;MAX(MAX(A타입_제작표!$U$2:$U$799),MAX(시편_시리즈!$Q$2:$Q$151)),"",안내!$C$9+294)</f>
        <v>46685</v>
      </c>
      <c r="C296" s="23" t="str">
        <f aca="false">IF(B296="","",CHOOSE(WEEKDAY(B296,2),"월","화","수","목","금","토","일"))</f>
        <v>월</v>
      </c>
      <c r="D296" s="24" t="str">
        <f aca="false">IF(B296="","",IFERROR(INDEX(A타입_제작표!$J$2:$J$799,MATCH("구약|"&amp;TEXT(B296,"yyyy-mm-dd"),A타입_제작표!$AQ$2:$AQ$799,0))&amp;"  "&amp;INDEX(A타입_제작표!$L$2:$L$799,MATCH("구약|"&amp;TEXT(B296,"yyyy-mm-dd"),A타입_제작표!$AQ$2:$AQ$799,0)),""))</f>
        <v>삿 1:1-2:5  끝내지 못한 정복</v>
      </c>
      <c r="E296" s="24" t="str">
        <f aca="false">IF(B296="","",IFERROR(INDEX(A타입_제작표!$J$2:$J$799,MATCH("신약|"&amp;TEXT(B296,"yyyy-mm-dd"),A타입_제작표!$AQ$2:$AQ$799,0))&amp;"  "&amp;INDEX(A타입_제작표!$L$2:$L$799,MATCH("신약|"&amp;TEXT(B296,"yyyy-mm-dd"),A타입_제작표!$AQ$2:$AQ$799,0)),""))</f>
        <v>행 11:1-30  그리스도인이라 불리다</v>
      </c>
      <c r="F296" s="24" t="str">
        <f aca="false">IF(B296="","",IFERROR("시편 "&amp;INDEX(시편_시리즈!$A$2:$A$151,MATCH("시편|"&amp;TEXT(B296,"yyyy-mm-dd"),시편_시리즈!$Y$2:$Y$151,0))&amp;"편  "&amp;INDEX(시편_시리즈!$G$2:$G$151,MATCH("시편|"&amp;TEXT(B296,"yyyy-mm-dd"),시편_시리즈!$Y$2:$Y$151,0)),""))</f>
        <v/>
      </c>
      <c r="G296" s="23" t="n">
        <f aca="false">IF(B296="","",(D296&lt;&gt;"")+(E296&lt;&gt;"")+(F296&lt;&gt;""))</f>
        <v>2</v>
      </c>
      <c r="H296" s="31" t="s">
        <v>10282</v>
      </c>
    </row>
    <row r="297" customFormat="false" ht="15" hidden="false" customHeight="false" outlineLevel="0" collapsed="false">
      <c r="A297" s="23" t="n">
        <f aca="false">IF(B297="","",296)</f>
        <v>296</v>
      </c>
      <c r="B297" s="26" t="n">
        <f aca="false">IF(안내!$C$9+295&gt;MAX(MAX(A타입_제작표!$U$2:$U$799),MAX(시편_시리즈!$Q$2:$Q$151)),"",안내!$C$9+295)</f>
        <v>46686</v>
      </c>
      <c r="C297" s="23" t="str">
        <f aca="false">IF(B297="","",CHOOSE(WEEKDAY(B297,2),"월","화","수","목","금","토","일"))</f>
        <v>화</v>
      </c>
      <c r="D297" s="24" t="str">
        <f aca="false">IF(B297="","",IFERROR(INDEX(A타입_제작표!$J$2:$J$799,MATCH("구약|"&amp;TEXT(B297,"yyyy-mm-dd"),A타입_제작표!$AQ$2:$AQ$799,0))&amp;"  "&amp;INDEX(A타입_제작표!$L$2:$L$799,MATCH("구약|"&amp;TEXT(B297,"yyyy-mm-dd"),A타입_제작표!$AQ$2:$AQ$799,0)),""))</f>
        <v>삿 2:6-3:6  여호와를 알지 못하는 세대</v>
      </c>
      <c r="E297" s="24" t="str">
        <f aca="false">IF(B297="","",IFERROR(INDEX(A타입_제작표!$J$2:$J$799,MATCH("신약|"&amp;TEXT(B297,"yyyy-mm-dd"),A타입_제작표!$AQ$2:$AQ$799,0))&amp;"  "&amp;INDEX(A타입_제작표!$L$2:$L$799,MATCH("신약|"&amp;TEXT(B297,"yyyy-mm-dd"),A타입_제작표!$AQ$2:$AQ$799,0)),""))</f>
        <v/>
      </c>
      <c r="F297" s="24" t="str">
        <f aca="false">IF(B297="","",IFERROR("시편 "&amp;INDEX(시편_시리즈!$A$2:$A$151,MATCH("시편|"&amp;TEXT(B297,"yyyy-mm-dd"),시편_시리즈!$Y$2:$Y$151,0))&amp;"편  "&amp;INDEX(시편_시리즈!$G$2:$G$151,MATCH("시편|"&amp;TEXT(B297,"yyyy-mm-dd"),시편_시리즈!$Y$2:$Y$151,0)),""))</f>
        <v>시편 127편  집을 세우시는 하나님</v>
      </c>
      <c r="G297" s="23" t="n">
        <f aca="false">IF(B297="","",(D297&lt;&gt;"")+(E297&lt;&gt;"")+(F297&lt;&gt;""))</f>
        <v>2</v>
      </c>
      <c r="H297" s="31" t="s">
        <v>10282</v>
      </c>
    </row>
    <row r="298" customFormat="false" ht="15" hidden="false" customHeight="false" outlineLevel="0" collapsed="false">
      <c r="A298" s="23" t="n">
        <f aca="false">IF(B298="","",297)</f>
        <v>297</v>
      </c>
      <c r="B298" s="26" t="n">
        <f aca="false">IF(안내!$C$9+296&gt;MAX(MAX(A타입_제작표!$U$2:$U$799),MAX(시편_시리즈!$Q$2:$Q$151)),"",안내!$C$9+296)</f>
        <v>46687</v>
      </c>
      <c r="C298" s="23" t="str">
        <f aca="false">IF(B298="","",CHOOSE(WEEKDAY(B298,2),"월","화","수","목","금","토","일"))</f>
        <v>수</v>
      </c>
      <c r="D298" s="24" t="str">
        <f aca="false">IF(B298="","",IFERROR(INDEX(A타입_제작표!$J$2:$J$799,MATCH("구약|"&amp;TEXT(B298,"yyyy-mm-dd"),A타입_제작표!$AQ$2:$AQ$799,0))&amp;"  "&amp;INDEX(A타입_제작표!$L$2:$L$799,MATCH("구약|"&amp;TEXT(B298,"yyyy-mm-dd"),A타입_제작표!$AQ$2:$AQ$799,0)),""))</f>
        <v>삿 3:7-31  왼손잡이 구원자</v>
      </c>
      <c r="E298" s="24" t="str">
        <f aca="false">IF(B298="","",IFERROR(INDEX(A타입_제작표!$J$2:$J$799,MATCH("신약|"&amp;TEXT(B298,"yyyy-mm-dd"),A타입_제작표!$AQ$2:$AQ$799,0))&amp;"  "&amp;INDEX(A타입_제작표!$L$2:$L$799,MATCH("신약|"&amp;TEXT(B298,"yyyy-mm-dd"),A타입_제작표!$AQ$2:$AQ$799,0)),""))</f>
        <v>행 13:13-52  이방인의 빛</v>
      </c>
      <c r="F298" s="24" t="str">
        <f aca="false">IF(B298="","",IFERROR("시편 "&amp;INDEX(시편_시리즈!$A$2:$A$151,MATCH("시편|"&amp;TEXT(B298,"yyyy-mm-dd"),시편_시리즈!$Y$2:$Y$151,0))&amp;"편  "&amp;INDEX(시편_시리즈!$G$2:$G$151,MATCH("시편|"&amp;TEXT(B298,"yyyy-mm-dd"),시편_시리즈!$Y$2:$Y$151,0)),""))</f>
        <v/>
      </c>
      <c r="G298" s="23" t="n">
        <f aca="false">IF(B298="","",(D298&lt;&gt;"")+(E298&lt;&gt;"")+(F298&lt;&gt;""))</f>
        <v>2</v>
      </c>
      <c r="H298" s="31" t="s">
        <v>10282</v>
      </c>
    </row>
    <row r="299" customFormat="false" ht="15" hidden="false" customHeight="false" outlineLevel="0" collapsed="false">
      <c r="A299" s="23" t="n">
        <f aca="false">IF(B299="","",298)</f>
        <v>298</v>
      </c>
      <c r="B299" s="26" t="n">
        <f aca="false">IF(안내!$C$9+297&gt;MAX(MAX(A타입_제작표!$U$2:$U$799),MAX(시편_시리즈!$Q$2:$Q$151)),"",안내!$C$9+297)</f>
        <v>46688</v>
      </c>
      <c r="C299" s="23" t="str">
        <f aca="false">IF(B299="","",CHOOSE(WEEKDAY(B299,2),"월","화","수","목","금","토","일"))</f>
        <v>목</v>
      </c>
      <c r="D299" s="24" t="str">
        <f aca="false">IF(B299="","",IFERROR(INDEX(A타입_제작표!$J$2:$J$799,MATCH("구약|"&amp;TEXT(B299,"yyyy-mm-dd"),A타입_제작표!$AQ$2:$AQ$799,0))&amp;"  "&amp;INDEX(A타입_제작표!$L$2:$L$799,MATCH("구약|"&amp;TEXT(B299,"yyyy-mm-dd"),A타입_제작표!$AQ$2:$AQ$799,0)),""))</f>
        <v>삿 5:1-31  드보라의 노래</v>
      </c>
      <c r="E299" s="24" t="str">
        <f aca="false">IF(B299="","",IFERROR(INDEX(A타입_제작표!$J$2:$J$799,MATCH("신약|"&amp;TEXT(B299,"yyyy-mm-dd"),A타입_제작표!$AQ$2:$AQ$799,0))&amp;"  "&amp;INDEX(A타입_제작표!$L$2:$L$799,MATCH("신약|"&amp;TEXT(B299,"yyyy-mm-dd"),A타입_제작표!$AQ$2:$AQ$799,0)),""))</f>
        <v/>
      </c>
      <c r="F299" s="24" t="str">
        <f aca="false">IF(B299="","",IFERROR("시편 "&amp;INDEX(시편_시리즈!$A$2:$A$151,MATCH("시편|"&amp;TEXT(B299,"yyyy-mm-dd"),시편_시리즈!$Y$2:$Y$151,0))&amp;"편  "&amp;INDEX(시편_시리즈!$G$2:$G$151,MATCH("시편|"&amp;TEXT(B299,"yyyy-mm-dd"),시편_시리즈!$Y$2:$Y$151,0)),""))</f>
        <v>시편 128편  복된 가정</v>
      </c>
      <c r="G299" s="23" t="n">
        <f aca="false">IF(B299="","",(D299&lt;&gt;"")+(E299&lt;&gt;"")+(F299&lt;&gt;""))</f>
        <v>2</v>
      </c>
      <c r="H299" s="31" t="s">
        <v>10282</v>
      </c>
    </row>
    <row r="300" customFormat="false" ht="15" hidden="false" customHeight="false" outlineLevel="0" collapsed="false">
      <c r="A300" s="23" t="n">
        <f aca="false">IF(B300="","",299)</f>
        <v>299</v>
      </c>
      <c r="B300" s="26" t="n">
        <f aca="false">IF(안내!$C$9+298&gt;MAX(MAX(A타입_제작표!$U$2:$U$799),MAX(시편_시리즈!$Q$2:$Q$151)),"",안내!$C$9+298)</f>
        <v>46689</v>
      </c>
      <c r="C300" s="23" t="str">
        <f aca="false">IF(B300="","",CHOOSE(WEEKDAY(B300,2),"월","화","수","목","금","토","일"))</f>
        <v>금</v>
      </c>
      <c r="D300" s="24" t="str">
        <f aca="false">IF(B300="","",IFERROR(INDEX(A타입_제작표!$J$2:$J$799,MATCH("구약|"&amp;TEXT(B300,"yyyy-mm-dd"),A타입_제작표!$AQ$2:$AQ$799,0))&amp;"  "&amp;INDEX(A타입_제작표!$L$2:$L$799,MATCH("구약|"&amp;TEXT(B300,"yyyy-mm-dd"),A타입_제작표!$AQ$2:$AQ$799,0)),""))</f>
        <v>삿 6:25-40  양털 시험</v>
      </c>
      <c r="E300" s="24" t="str">
        <f aca="false">IF(B300="","",IFERROR(INDEX(A타입_제작표!$J$2:$J$799,MATCH("신약|"&amp;TEXT(B300,"yyyy-mm-dd"),A타입_제작표!$AQ$2:$AQ$799,0))&amp;"  "&amp;INDEX(A타입_제작표!$L$2:$L$799,MATCH("신약|"&amp;TEXT(B300,"yyyy-mm-dd"),A타입_제작표!$AQ$2:$AQ$799,0)),""))</f>
        <v>행 14:1-28  신이라 불린 사도들</v>
      </c>
      <c r="F300" s="24" t="str">
        <f aca="false">IF(B300="","",IFERROR("시편 "&amp;INDEX(시편_시리즈!$A$2:$A$151,MATCH("시편|"&amp;TEXT(B300,"yyyy-mm-dd"),시편_시리즈!$Y$2:$Y$151,0))&amp;"편  "&amp;INDEX(시편_시리즈!$G$2:$G$151,MATCH("시편|"&amp;TEXT(B300,"yyyy-mm-dd"),시편_시리즈!$Y$2:$Y$151,0)),""))</f>
        <v/>
      </c>
      <c r="G300" s="23" t="n">
        <f aca="false">IF(B300="","",(D300&lt;&gt;"")+(E300&lt;&gt;"")+(F300&lt;&gt;""))</f>
        <v>2</v>
      </c>
      <c r="H300" s="31" t="s">
        <v>10282</v>
      </c>
    </row>
    <row r="301" customFormat="false" ht="15" hidden="false" customHeight="false" outlineLevel="0" collapsed="false">
      <c r="A301" s="23" t="n">
        <f aca="false">IF(B301="","",300)</f>
        <v>300</v>
      </c>
      <c r="B301" s="26" t="n">
        <f aca="false">IF(안내!$C$9+299&gt;MAX(MAX(A타입_제작표!$U$2:$U$799),MAX(시편_시리즈!$Q$2:$Q$151)),"",안내!$C$9+299)</f>
        <v>46690</v>
      </c>
      <c r="C301" s="23" t="str">
        <f aca="false">IF(B301="","",CHOOSE(WEEKDAY(B301,2),"월","화","수","목","금","토","일"))</f>
        <v>토</v>
      </c>
      <c r="D301" s="24" t="str">
        <f aca="false">IF(B301="","",IFERROR(INDEX(A타입_제작표!$J$2:$J$799,MATCH("구약|"&amp;TEXT(B301,"yyyy-mm-dd"),A타입_제작표!$AQ$2:$AQ$799,0))&amp;"  "&amp;INDEX(A타입_제작표!$L$2:$L$799,MATCH("구약|"&amp;TEXT(B301,"yyyy-mm-dd"),A타입_제작표!$AQ$2:$AQ$799,0)),""))</f>
        <v>삿 8:1-35  승리 후의 실수</v>
      </c>
      <c r="E301" s="24" t="str">
        <f aca="false">IF(B301="","",IFERROR(INDEX(A타입_제작표!$J$2:$J$799,MATCH("신약|"&amp;TEXT(B301,"yyyy-mm-dd"),A타입_제작표!$AQ$2:$AQ$799,0))&amp;"  "&amp;INDEX(A타입_제작표!$L$2:$L$799,MATCH("신약|"&amp;TEXT(B301,"yyyy-mm-dd"),A타입_제작표!$AQ$2:$AQ$799,0)),""))</f>
        <v>행 15:36-16:15  마게도냐 사람의 환상</v>
      </c>
      <c r="F301" s="24" t="str">
        <f aca="false">IF(B301="","",IFERROR("시편 "&amp;INDEX(시편_시리즈!$A$2:$A$151,MATCH("시편|"&amp;TEXT(B301,"yyyy-mm-dd"),시편_시리즈!$Y$2:$Y$151,0))&amp;"편  "&amp;INDEX(시편_시리즈!$G$2:$G$151,MATCH("시편|"&amp;TEXT(B301,"yyyy-mm-dd"),시편_시리즈!$Y$2:$Y$151,0)),""))</f>
        <v/>
      </c>
      <c r="G301" s="23" t="n">
        <f aca="false">IF(B301="","",(D301&lt;&gt;"")+(E301&lt;&gt;"")+(F301&lt;&gt;""))</f>
        <v>2</v>
      </c>
      <c r="H301" s="31" t="s">
        <v>10282</v>
      </c>
    </row>
    <row r="302" customFormat="false" ht="15" hidden="false" customHeight="false" outlineLevel="0" collapsed="false">
      <c r="A302" s="23" t="n">
        <f aca="false">IF(B302="","",301)</f>
        <v>301</v>
      </c>
      <c r="B302" s="26" t="n">
        <f aca="false">IF(안내!$C$9+300&gt;MAX(MAX(A타입_제작표!$U$2:$U$799),MAX(시편_시리즈!$Q$2:$Q$151)),"",안내!$C$9+300)</f>
        <v>46691</v>
      </c>
      <c r="C302" s="23" t="str">
        <f aca="false">IF(B302="","",CHOOSE(WEEKDAY(B302,2),"월","화","수","목","금","토","일"))</f>
        <v>일</v>
      </c>
      <c r="D302" s="24" t="str">
        <f aca="false">IF(B302="","",IFERROR(INDEX(A타입_제작표!$J$2:$J$799,MATCH("구약|"&amp;TEXT(B302,"yyyy-mm-dd"),A타입_제작표!$AQ$2:$AQ$799,0))&amp;"  "&amp;INDEX(A타입_제작표!$L$2:$L$799,MATCH("구약|"&amp;TEXT(B302,"yyyy-mm-dd"),A타입_제작표!$AQ$2:$AQ$799,0)),""))</f>
        <v>삿 9:1-57  가시나무 왕</v>
      </c>
      <c r="E302" s="24" t="str">
        <f aca="false">IF(B302="","",IFERROR(INDEX(A타입_제작표!$J$2:$J$799,MATCH("신약|"&amp;TEXT(B302,"yyyy-mm-dd"),A타입_제작표!$AQ$2:$AQ$799,0))&amp;"  "&amp;INDEX(A타입_제작표!$L$2:$L$799,MATCH("신약|"&amp;TEXT(B302,"yyyy-mm-dd"),A타입_제작표!$AQ$2:$AQ$799,0)),""))</f>
        <v/>
      </c>
      <c r="F302" s="24" t="str">
        <f aca="false">IF(B302="","",IFERROR("시편 "&amp;INDEX(시편_시리즈!$A$2:$A$151,MATCH("시편|"&amp;TEXT(B302,"yyyy-mm-dd"),시편_시리즈!$Y$2:$Y$151,0))&amp;"편  "&amp;INDEX(시편_시리즈!$G$2:$G$151,MATCH("시편|"&amp;TEXT(B302,"yyyy-mm-dd"),시편_시리즈!$Y$2:$Y$151,0)),""))</f>
        <v>시편 129편  등을 갈아도</v>
      </c>
      <c r="G302" s="23" t="n">
        <f aca="false">IF(B302="","",(D302&lt;&gt;"")+(E302&lt;&gt;"")+(F302&lt;&gt;""))</f>
        <v>2</v>
      </c>
      <c r="H302" s="31" t="s">
        <v>10282</v>
      </c>
    </row>
    <row r="303" customFormat="false" ht="15" hidden="false" customHeight="false" outlineLevel="0" collapsed="false">
      <c r="A303" s="23" t="n">
        <f aca="false">IF(B303="","",302)</f>
        <v>302</v>
      </c>
      <c r="B303" s="26" t="n">
        <f aca="false">IF(안내!$C$9+301&gt;MAX(MAX(A타입_제작표!$U$2:$U$799),MAX(시편_시리즈!$Q$2:$Q$151)),"",안내!$C$9+301)</f>
        <v>46692</v>
      </c>
      <c r="C303" s="23" t="str">
        <f aca="false">IF(B303="","",CHOOSE(WEEKDAY(B303,2),"월","화","수","목","금","토","일"))</f>
        <v>월</v>
      </c>
      <c r="D303" s="24" t="str">
        <f aca="false">IF(B303="","",IFERROR(INDEX(A타입_제작표!$J$2:$J$799,MATCH("구약|"&amp;TEXT(B303,"yyyy-mm-dd"),A타입_제작표!$AQ$2:$AQ$799,0))&amp;"  "&amp;INDEX(A타입_제작표!$L$2:$L$799,MATCH("구약|"&amp;TEXT(B303,"yyyy-mm-dd"),A타입_제작표!$AQ$2:$AQ$799,0)),""))</f>
        <v>삿 10:1-11:28  쫓겨난 아들 입다</v>
      </c>
      <c r="E303" s="24" t="str">
        <f aca="false">IF(B303="","",IFERROR(INDEX(A타입_제작표!$J$2:$J$799,MATCH("신약|"&amp;TEXT(B303,"yyyy-mm-dd"),A타입_제작표!$AQ$2:$AQ$799,0))&amp;"  "&amp;INDEX(A타입_제작표!$L$2:$L$799,MATCH("신약|"&amp;TEXT(B303,"yyyy-mm-dd"),A타입_제작표!$AQ$2:$AQ$799,0)),""))</f>
        <v>행 17:1-15  베뢰아 사람들</v>
      </c>
      <c r="F303" s="24" t="str">
        <f aca="false">IF(B303="","",IFERROR("시편 "&amp;INDEX(시편_시리즈!$A$2:$A$151,MATCH("시편|"&amp;TEXT(B303,"yyyy-mm-dd"),시편_시리즈!$Y$2:$Y$151,0))&amp;"편  "&amp;INDEX(시편_시리즈!$G$2:$G$151,MATCH("시편|"&amp;TEXT(B303,"yyyy-mm-dd"),시편_시리즈!$Y$2:$Y$151,0)),""))</f>
        <v/>
      </c>
      <c r="G303" s="23" t="n">
        <f aca="false">IF(B303="","",(D303&lt;&gt;"")+(E303&lt;&gt;"")+(F303&lt;&gt;""))</f>
        <v>2</v>
      </c>
      <c r="H303" s="31" t="s">
        <v>10282</v>
      </c>
    </row>
    <row r="304" customFormat="false" ht="15" hidden="false" customHeight="false" outlineLevel="0" collapsed="false">
      <c r="A304" s="23" t="n">
        <f aca="false">IF(B304="","",303)</f>
        <v>303</v>
      </c>
      <c r="B304" s="26" t="n">
        <f aca="false">IF(안내!$C$9+302&gt;MAX(MAX(A타입_제작표!$U$2:$U$799),MAX(시편_시리즈!$Q$2:$Q$151)),"",안내!$C$9+302)</f>
        <v>46693</v>
      </c>
      <c r="C304" s="23" t="str">
        <f aca="false">IF(B304="","",CHOOSE(WEEKDAY(B304,2),"월","화","수","목","금","토","일"))</f>
        <v>화</v>
      </c>
      <c r="D304" s="24" t="str">
        <f aca="false">IF(B304="","",IFERROR(INDEX(A타입_제작표!$J$2:$J$799,MATCH("구약|"&amp;TEXT(B304,"yyyy-mm-dd"),A타입_제작표!$AQ$2:$AQ$799,0))&amp;"  "&amp;INDEX(A타입_제작표!$L$2:$L$799,MATCH("구약|"&amp;TEXT(B304,"yyyy-mm-dd"),A타입_제작표!$AQ$2:$AQ$799,0)),""))</f>
        <v>삿 11:29-40  입다의 서원</v>
      </c>
      <c r="E304" s="24" t="str">
        <f aca="false">IF(B304="","",IFERROR(INDEX(A타입_제작표!$J$2:$J$799,MATCH("신약|"&amp;TEXT(B304,"yyyy-mm-dd"),A타입_제작표!$AQ$2:$AQ$799,0))&amp;"  "&amp;INDEX(A타입_제작표!$L$2:$L$799,MATCH("신약|"&amp;TEXT(B304,"yyyy-mm-dd"),A타입_제작표!$AQ$2:$AQ$799,0)),""))</f>
        <v/>
      </c>
      <c r="F304" s="24" t="str">
        <f aca="false">IF(B304="","",IFERROR("시편 "&amp;INDEX(시편_시리즈!$A$2:$A$151,MATCH("시편|"&amp;TEXT(B304,"yyyy-mm-dd"),시편_시리즈!$Y$2:$Y$151,0))&amp;"편  "&amp;INDEX(시편_시리즈!$G$2:$G$151,MATCH("시편|"&amp;TEXT(B304,"yyyy-mm-dd"),시편_시리즈!$Y$2:$Y$151,0)),""))</f>
        <v>시편 130편  깊은 곳에서</v>
      </c>
      <c r="G304" s="23" t="n">
        <f aca="false">IF(B304="","",(D304&lt;&gt;"")+(E304&lt;&gt;"")+(F304&lt;&gt;""))</f>
        <v>2</v>
      </c>
      <c r="H304" s="31" t="s">
        <v>10282</v>
      </c>
    </row>
    <row r="305" customFormat="false" ht="15" hidden="false" customHeight="false" outlineLevel="0" collapsed="false">
      <c r="A305" s="23" t="n">
        <f aca="false">IF(B305="","",304)</f>
        <v>304</v>
      </c>
      <c r="B305" s="26" t="n">
        <f aca="false">IF(안내!$C$9+303&gt;MAX(MAX(A타입_제작표!$U$2:$U$799),MAX(시편_시리즈!$Q$2:$Q$151)),"",안내!$C$9+303)</f>
        <v>46694</v>
      </c>
      <c r="C305" s="23" t="str">
        <f aca="false">IF(B305="","",CHOOSE(WEEKDAY(B305,2),"월","화","수","목","금","토","일"))</f>
        <v>수</v>
      </c>
      <c r="D305" s="24" t="str">
        <f aca="false">IF(B305="","",IFERROR(INDEX(A타입_제작표!$J$2:$J$799,MATCH("구약|"&amp;TEXT(B305,"yyyy-mm-dd"),A타입_제작표!$AQ$2:$AQ$799,0))&amp;"  "&amp;INDEX(A타입_제작표!$L$2:$L$799,MATCH("구약|"&amp;TEXT(B305,"yyyy-mm-dd"),A타입_제작표!$AQ$2:$AQ$799,0)),""))</f>
        <v>삿 12:1-15  쉽볼렛</v>
      </c>
      <c r="E305" s="24" t="str">
        <f aca="false">IF(B305="","",IFERROR(INDEX(A타입_제작표!$J$2:$J$799,MATCH("신약|"&amp;TEXT(B305,"yyyy-mm-dd"),A타입_제작표!$AQ$2:$AQ$799,0))&amp;"  "&amp;INDEX(A타입_제작표!$L$2:$L$799,MATCH("신약|"&amp;TEXT(B305,"yyyy-mm-dd"),A타입_제작표!$AQ$2:$AQ$799,0)),""))</f>
        <v>행 18:1-28  두려워하지 말라</v>
      </c>
      <c r="F305" s="24" t="str">
        <f aca="false">IF(B305="","",IFERROR("시편 "&amp;INDEX(시편_시리즈!$A$2:$A$151,MATCH("시편|"&amp;TEXT(B305,"yyyy-mm-dd"),시편_시리즈!$Y$2:$Y$151,0))&amp;"편  "&amp;INDEX(시편_시리즈!$G$2:$G$151,MATCH("시편|"&amp;TEXT(B305,"yyyy-mm-dd"),시편_시리즈!$Y$2:$Y$151,0)),""))</f>
        <v/>
      </c>
      <c r="G305" s="23" t="n">
        <f aca="false">IF(B305="","",(D305&lt;&gt;"")+(E305&lt;&gt;"")+(F305&lt;&gt;""))</f>
        <v>2</v>
      </c>
      <c r="H305" s="31" t="s">
        <v>10282</v>
      </c>
    </row>
    <row r="306" customFormat="false" ht="15" hidden="false" customHeight="false" outlineLevel="0" collapsed="false">
      <c r="A306" s="23" t="n">
        <f aca="false">IF(B306="","",305)</f>
        <v>305</v>
      </c>
      <c r="B306" s="26" t="n">
        <f aca="false">IF(안내!$C$9+304&gt;MAX(MAX(A타입_제작표!$U$2:$U$799),MAX(시편_시리즈!$Q$2:$Q$151)),"",안내!$C$9+304)</f>
        <v>46695</v>
      </c>
      <c r="C306" s="23" t="str">
        <f aca="false">IF(B306="","",CHOOSE(WEEKDAY(B306,2),"월","화","수","목","금","토","일"))</f>
        <v>목</v>
      </c>
      <c r="D306" s="24" t="str">
        <f aca="false">IF(B306="","",IFERROR(INDEX(A타입_제작표!$J$2:$J$799,MATCH("구약|"&amp;TEXT(B306,"yyyy-mm-dd"),A타입_제작표!$AQ$2:$AQ$799,0))&amp;"  "&amp;INDEX(A타입_제작표!$L$2:$L$799,MATCH("구약|"&amp;TEXT(B306,"yyyy-mm-dd"),A타입_제작표!$AQ$2:$AQ$799,0)),""))</f>
        <v>삿 14:1-20  사자와 수수께끼</v>
      </c>
      <c r="E306" s="24" t="str">
        <f aca="false">IF(B306="","",IFERROR(INDEX(A타입_제작표!$J$2:$J$799,MATCH("신약|"&amp;TEXT(B306,"yyyy-mm-dd"),A타입_제작표!$AQ$2:$AQ$799,0))&amp;"  "&amp;INDEX(A타입_제작표!$L$2:$L$799,MATCH("신약|"&amp;TEXT(B306,"yyyy-mm-dd"),A타입_제작표!$AQ$2:$AQ$799,0)),""))</f>
        <v/>
      </c>
      <c r="F306" s="24" t="str">
        <f aca="false">IF(B306="","",IFERROR("시편 "&amp;INDEX(시편_시리즈!$A$2:$A$151,MATCH("시편|"&amp;TEXT(B306,"yyyy-mm-dd"),시편_시리즈!$Y$2:$Y$151,0))&amp;"편  "&amp;INDEX(시편_시리즈!$G$2:$G$151,MATCH("시편|"&amp;TEXT(B306,"yyyy-mm-dd"),시편_시리즈!$Y$2:$Y$151,0)),""))</f>
        <v>시편 131편  젖 뗀 아이처럼</v>
      </c>
      <c r="G306" s="23" t="n">
        <f aca="false">IF(B306="","",(D306&lt;&gt;"")+(E306&lt;&gt;"")+(F306&lt;&gt;""))</f>
        <v>2</v>
      </c>
      <c r="H306" s="31" t="s">
        <v>10282</v>
      </c>
    </row>
    <row r="307" customFormat="false" ht="15" hidden="false" customHeight="false" outlineLevel="0" collapsed="false">
      <c r="A307" s="23" t="n">
        <f aca="false">IF(B307="","",306)</f>
        <v>306</v>
      </c>
      <c r="B307" s="26" t="n">
        <f aca="false">IF(안내!$C$9+305&gt;MAX(MAX(A타입_제작표!$U$2:$U$799),MAX(시편_시리즈!$Q$2:$Q$151)),"",안내!$C$9+305)</f>
        <v>46696</v>
      </c>
      <c r="C307" s="23" t="str">
        <f aca="false">IF(B307="","",CHOOSE(WEEKDAY(B307,2),"월","화","수","목","금","토","일"))</f>
        <v>금</v>
      </c>
      <c r="D307" s="24" t="str">
        <f aca="false">IF(B307="","",IFERROR(INDEX(A타입_제작표!$J$2:$J$799,MATCH("구약|"&amp;TEXT(B307,"yyyy-mm-dd"),A타입_제작표!$AQ$2:$AQ$799,0))&amp;"  "&amp;INDEX(A타입_제작표!$L$2:$L$799,MATCH("구약|"&amp;TEXT(B307,"yyyy-mm-dd"),A타입_제작표!$AQ$2:$AQ$799,0)),""))</f>
        <v>삿 15:1-20  나귀 턱뼈</v>
      </c>
      <c r="E307" s="24" t="str">
        <f aca="false">IF(B307="","",IFERROR(INDEX(A타입_제작표!$J$2:$J$799,MATCH("신약|"&amp;TEXT(B307,"yyyy-mm-dd"),A타입_제작표!$AQ$2:$AQ$799,0))&amp;"  "&amp;INDEX(A타입_제작표!$L$2:$L$799,MATCH("신약|"&amp;TEXT(B307,"yyyy-mm-dd"),A타입_제작표!$AQ$2:$AQ$799,0)),""))</f>
        <v>행 19:1-41  에베소의 소동</v>
      </c>
      <c r="F307" s="24" t="str">
        <f aca="false">IF(B307="","",IFERROR("시편 "&amp;INDEX(시편_시리즈!$A$2:$A$151,MATCH("시편|"&amp;TEXT(B307,"yyyy-mm-dd"),시편_시리즈!$Y$2:$Y$151,0))&amp;"편  "&amp;INDEX(시편_시리즈!$G$2:$G$151,MATCH("시편|"&amp;TEXT(B307,"yyyy-mm-dd"),시편_시리즈!$Y$2:$Y$151,0)),""))</f>
        <v/>
      </c>
      <c r="G307" s="23" t="n">
        <f aca="false">IF(B307="","",(D307&lt;&gt;"")+(E307&lt;&gt;"")+(F307&lt;&gt;""))</f>
        <v>2</v>
      </c>
      <c r="H307" s="31" t="s">
        <v>10282</v>
      </c>
    </row>
    <row r="308" customFormat="false" ht="15" hidden="false" customHeight="false" outlineLevel="0" collapsed="false">
      <c r="A308" s="23" t="n">
        <f aca="false">IF(B308="","",307)</f>
        <v>307</v>
      </c>
      <c r="B308" s="26" t="n">
        <f aca="false">IF(안내!$C$9+306&gt;MAX(MAX(A타입_제작표!$U$2:$U$799),MAX(시편_시리즈!$Q$2:$Q$151)),"",안내!$C$9+306)</f>
        <v>46697</v>
      </c>
      <c r="C308" s="23" t="str">
        <f aca="false">IF(B308="","",CHOOSE(WEEKDAY(B308,2),"월","화","수","목","금","토","일"))</f>
        <v>토</v>
      </c>
      <c r="D308" s="24" t="str">
        <f aca="false">IF(B308="","",IFERROR(INDEX(A타입_제작표!$J$2:$J$799,MATCH("구약|"&amp;TEXT(B308,"yyyy-mm-dd"),A타입_제작표!$AQ$2:$AQ$799,0))&amp;"  "&amp;INDEX(A타입_제작표!$L$2:$L$799,MATCH("구약|"&amp;TEXT(B308,"yyyy-mm-dd"),A타입_제작표!$AQ$2:$AQ$799,0)),""))</f>
        <v>삿 17:1-18:31  내 소견에 옳은 대로</v>
      </c>
      <c r="E308" s="24" t="str">
        <f aca="false">IF(B308="","",IFERROR(INDEX(A타입_제작표!$J$2:$J$799,MATCH("신약|"&amp;TEXT(B308,"yyyy-mm-dd"),A타입_제작표!$AQ$2:$AQ$799,0))&amp;"  "&amp;INDEX(A타입_제작표!$L$2:$L$799,MATCH("신약|"&amp;TEXT(B308,"yyyy-mm-dd"),A타입_제작표!$AQ$2:$AQ$799,0)),""))</f>
        <v>행 21:1-40  예루살렘으로</v>
      </c>
      <c r="F308" s="24" t="str">
        <f aca="false">IF(B308="","",IFERROR("시편 "&amp;INDEX(시편_시리즈!$A$2:$A$151,MATCH("시편|"&amp;TEXT(B308,"yyyy-mm-dd"),시편_시리즈!$Y$2:$Y$151,0))&amp;"편  "&amp;INDEX(시편_시리즈!$G$2:$G$151,MATCH("시편|"&amp;TEXT(B308,"yyyy-mm-dd"),시편_시리즈!$Y$2:$Y$151,0)),""))</f>
        <v/>
      </c>
      <c r="G308" s="23" t="n">
        <f aca="false">IF(B308="","",(D308&lt;&gt;"")+(E308&lt;&gt;"")+(F308&lt;&gt;""))</f>
        <v>2</v>
      </c>
      <c r="H308" s="31" t="s">
        <v>10282</v>
      </c>
    </row>
    <row r="309" customFormat="false" ht="15" hidden="false" customHeight="false" outlineLevel="0" collapsed="false">
      <c r="A309" s="23" t="n">
        <f aca="false">IF(B309="","",308)</f>
        <v>308</v>
      </c>
      <c r="B309" s="26" t="n">
        <f aca="false">IF(안내!$C$9+307&gt;MAX(MAX(A타입_제작표!$U$2:$U$799),MAX(시편_시리즈!$Q$2:$Q$151)),"",안내!$C$9+307)</f>
        <v>46698</v>
      </c>
      <c r="C309" s="23" t="str">
        <f aca="false">IF(B309="","",CHOOSE(WEEKDAY(B309,2),"월","화","수","목","금","토","일"))</f>
        <v>일</v>
      </c>
      <c r="D309" s="24" t="str">
        <f aca="false">IF(B309="","",IFERROR(INDEX(A타입_제작표!$J$2:$J$799,MATCH("구약|"&amp;TEXT(B309,"yyyy-mm-dd"),A타입_제작표!$AQ$2:$AQ$799,0))&amp;"  "&amp;INDEX(A타입_제작표!$L$2:$L$799,MATCH("구약|"&amp;TEXT(B309,"yyyy-mm-dd"),A타입_제작표!$AQ$2:$AQ$799,0)),""))</f>
        <v>삿 19:1-21:25  왕이 없던 시대의 비극</v>
      </c>
      <c r="E309" s="24" t="str">
        <f aca="false">IF(B309="","",IFERROR(INDEX(A타입_제작표!$J$2:$J$799,MATCH("신약|"&amp;TEXT(B309,"yyyy-mm-dd"),A타입_제작표!$AQ$2:$AQ$799,0))&amp;"  "&amp;INDEX(A타입_제작표!$L$2:$L$799,MATCH("신약|"&amp;TEXT(B309,"yyyy-mm-dd"),A타입_제작표!$AQ$2:$AQ$799,0)),""))</f>
        <v/>
      </c>
      <c r="F309" s="24" t="str">
        <f aca="false">IF(B309="","",IFERROR("시편 "&amp;INDEX(시편_시리즈!$A$2:$A$151,MATCH("시편|"&amp;TEXT(B309,"yyyy-mm-dd"),시편_시리즈!$Y$2:$Y$151,0))&amp;"편  "&amp;INDEX(시편_시리즈!$G$2:$G$151,MATCH("시편|"&amp;TEXT(B309,"yyyy-mm-dd"),시편_시리즈!$Y$2:$Y$151,0)),""))</f>
        <v>시편 132편  다윗의 맹세</v>
      </c>
      <c r="G309" s="23" t="n">
        <f aca="false">IF(B309="","",(D309&lt;&gt;"")+(E309&lt;&gt;"")+(F309&lt;&gt;""))</f>
        <v>2</v>
      </c>
      <c r="H309" s="31" t="s">
        <v>10282</v>
      </c>
    </row>
    <row r="310" customFormat="false" ht="15" hidden="false" customHeight="false" outlineLevel="0" collapsed="false">
      <c r="A310" s="23" t="n">
        <f aca="false">IF(B310="","",309)</f>
        <v>309</v>
      </c>
      <c r="B310" s="26" t="n">
        <f aca="false">IF(안내!$C$9+308&gt;MAX(MAX(A타입_제작표!$U$2:$U$799),MAX(시편_시리즈!$Q$2:$Q$151)),"",안내!$C$9+308)</f>
        <v>46699</v>
      </c>
      <c r="C310" s="23" t="str">
        <f aca="false">IF(B310="","",CHOOSE(WEEKDAY(B310,2),"월","화","수","목","금","토","일"))</f>
        <v>월</v>
      </c>
      <c r="D310" s="24" t="str">
        <f aca="false">IF(B310="","",IFERROR(INDEX(A타입_제작표!$J$2:$J$799,MATCH("구약|"&amp;TEXT(B310,"yyyy-mm-dd"),A타입_제작표!$AQ$2:$AQ$799,0))&amp;"  "&amp;INDEX(A타입_제작표!$L$2:$L$799,MATCH("구약|"&amp;TEXT(B310,"yyyy-mm-dd"),A타입_제작표!$AQ$2:$AQ$799,0)),""))</f>
        <v>룻 3:1-18  기업 무를 자</v>
      </c>
      <c r="E310" s="24" t="str">
        <f aca="false">IF(B310="","",IFERROR(INDEX(A타입_제작표!$J$2:$J$799,MATCH("신약|"&amp;TEXT(B310,"yyyy-mm-dd"),A타입_제작표!$AQ$2:$AQ$799,0))&amp;"  "&amp;INDEX(A타입_제작표!$L$2:$L$799,MATCH("신약|"&amp;TEXT(B310,"yyyy-mm-dd"),A타입_제작표!$AQ$2:$AQ$799,0)),""))</f>
        <v>행 22:1-30  바울의 간증</v>
      </c>
      <c r="F310" s="24" t="str">
        <f aca="false">IF(B310="","",IFERROR("시편 "&amp;INDEX(시편_시리즈!$A$2:$A$151,MATCH("시편|"&amp;TEXT(B310,"yyyy-mm-dd"),시편_시리즈!$Y$2:$Y$151,0))&amp;"편  "&amp;INDEX(시편_시리즈!$G$2:$G$151,MATCH("시편|"&amp;TEXT(B310,"yyyy-mm-dd"),시편_시리즈!$Y$2:$Y$151,0)),""))</f>
        <v/>
      </c>
      <c r="G310" s="23" t="n">
        <f aca="false">IF(B310="","",(D310&lt;&gt;"")+(E310&lt;&gt;"")+(F310&lt;&gt;""))</f>
        <v>2</v>
      </c>
      <c r="H310" s="31" t="s">
        <v>10282</v>
      </c>
    </row>
    <row r="311" customFormat="false" ht="15" hidden="false" customHeight="false" outlineLevel="0" collapsed="false">
      <c r="A311" s="23" t="n">
        <f aca="false">IF(B311="","",310)</f>
        <v>310</v>
      </c>
      <c r="B311" s="26" t="n">
        <f aca="false">IF(안내!$C$9+309&gt;MAX(MAX(A타입_제작표!$U$2:$U$799),MAX(시편_시리즈!$Q$2:$Q$151)),"",안내!$C$9+309)</f>
        <v>46700</v>
      </c>
      <c r="C311" s="23" t="str">
        <f aca="false">IF(B311="","",CHOOSE(WEEKDAY(B311,2),"월","화","수","목","금","토","일"))</f>
        <v>화</v>
      </c>
      <c r="D311" s="24" t="str">
        <f aca="false">IF(B311="","",IFERROR(INDEX(A타입_제작표!$J$2:$J$799,MATCH("구약|"&amp;TEXT(B311,"yyyy-mm-dd"),A타입_제작표!$AQ$2:$AQ$799,0))&amp;"  "&amp;INDEX(A타입_제작표!$L$2:$L$799,MATCH("구약|"&amp;TEXT(B311,"yyyy-mm-dd"),A타입_제작표!$AQ$2:$AQ$799,0)),""))</f>
        <v>삼상 2:1-36  한나의 노래와 엘리의 아들들</v>
      </c>
      <c r="E311" s="24" t="str">
        <f aca="false">IF(B311="","",IFERROR(INDEX(A타입_제작표!$J$2:$J$799,MATCH("신약|"&amp;TEXT(B311,"yyyy-mm-dd"),A타입_제작표!$AQ$2:$AQ$799,0))&amp;"  "&amp;INDEX(A타입_제작표!$L$2:$L$799,MATCH("신약|"&amp;TEXT(B311,"yyyy-mm-dd"),A타입_제작표!$AQ$2:$AQ$799,0)),""))</f>
        <v/>
      </c>
      <c r="F311" s="24" t="str">
        <f aca="false">IF(B311="","",IFERROR("시편 "&amp;INDEX(시편_시리즈!$A$2:$A$151,MATCH("시편|"&amp;TEXT(B311,"yyyy-mm-dd"),시편_시리즈!$Y$2:$Y$151,0))&amp;"편  "&amp;INDEX(시편_시리즈!$G$2:$G$151,MATCH("시편|"&amp;TEXT(B311,"yyyy-mm-dd"),시편_시리즈!$Y$2:$Y$151,0)),""))</f>
        <v>시편 133편  형제가 연합하여</v>
      </c>
      <c r="G311" s="23" t="n">
        <f aca="false">IF(B311="","",(D311&lt;&gt;"")+(E311&lt;&gt;"")+(F311&lt;&gt;""))</f>
        <v>2</v>
      </c>
      <c r="H311" s="31" t="s">
        <v>10282</v>
      </c>
    </row>
    <row r="312" customFormat="false" ht="15" hidden="false" customHeight="false" outlineLevel="0" collapsed="false">
      <c r="A312" s="23" t="n">
        <f aca="false">IF(B312="","",311)</f>
        <v>311</v>
      </c>
      <c r="B312" s="26" t="n">
        <f aca="false">IF(안내!$C$9+310&gt;MAX(MAX(A타입_제작표!$U$2:$U$799),MAX(시편_시리즈!$Q$2:$Q$151)),"",안내!$C$9+310)</f>
        <v>46701</v>
      </c>
      <c r="C312" s="23" t="str">
        <f aca="false">IF(B312="","",CHOOSE(WEEKDAY(B312,2),"월","화","수","목","금","토","일"))</f>
        <v>수</v>
      </c>
      <c r="D312" s="24" t="str">
        <f aca="false">IF(B312="","",IFERROR(INDEX(A타입_제작표!$J$2:$J$799,MATCH("구약|"&amp;TEXT(B312,"yyyy-mm-dd"),A타입_제작표!$AQ$2:$AQ$799,0))&amp;"  "&amp;INDEX(A타입_제작표!$L$2:$L$799,MATCH("구약|"&amp;TEXT(B312,"yyyy-mm-dd"),A타입_제작표!$AQ$2:$AQ$799,0)),""))</f>
        <v>삼상 5:1-6:21  쓰러진 다곤</v>
      </c>
      <c r="E312" s="24" t="str">
        <f aca="false">IF(B312="","",IFERROR(INDEX(A타입_제작표!$J$2:$J$799,MATCH("신약|"&amp;TEXT(B312,"yyyy-mm-dd"),A타입_제작표!$AQ$2:$AQ$799,0))&amp;"  "&amp;INDEX(A타입_제작표!$L$2:$L$799,MATCH("신약|"&amp;TEXT(B312,"yyyy-mm-dd"),A타입_제작표!$AQ$2:$AQ$799,0)),""))</f>
        <v>행 23:1-35  40명의 암살 음모</v>
      </c>
      <c r="F312" s="24" t="str">
        <f aca="false">IF(B312="","",IFERROR("시편 "&amp;INDEX(시편_시리즈!$A$2:$A$151,MATCH("시편|"&amp;TEXT(B312,"yyyy-mm-dd"),시편_시리즈!$Y$2:$Y$151,0))&amp;"편  "&amp;INDEX(시편_시리즈!$G$2:$G$151,MATCH("시편|"&amp;TEXT(B312,"yyyy-mm-dd"),시편_시리즈!$Y$2:$Y$151,0)),""))</f>
        <v/>
      </c>
      <c r="G312" s="23" t="n">
        <f aca="false">IF(B312="","",(D312&lt;&gt;"")+(E312&lt;&gt;"")+(F312&lt;&gt;""))</f>
        <v>2</v>
      </c>
      <c r="H312" s="31" t="s">
        <v>10282</v>
      </c>
    </row>
    <row r="313" customFormat="false" ht="26.85" hidden="false" customHeight="false" outlineLevel="0" collapsed="false">
      <c r="A313" s="23" t="n">
        <f aca="false">IF(B313="","",312)</f>
        <v>312</v>
      </c>
      <c r="B313" s="26" t="n">
        <f aca="false">IF(안내!$C$9+311&gt;MAX(MAX(A타입_제작표!$U$2:$U$799),MAX(시편_시리즈!$Q$2:$Q$151)),"",안내!$C$9+311)</f>
        <v>46702</v>
      </c>
      <c r="C313" s="23" t="str">
        <f aca="false">IF(B313="","",CHOOSE(WEEKDAY(B313,2),"월","화","수","목","금","토","일"))</f>
        <v>목</v>
      </c>
      <c r="D313" s="24" t="str">
        <f aca="false">IF(B313="","",IFERROR(INDEX(A타입_제작표!$J$2:$J$799,MATCH("구약|"&amp;TEXT(B313,"yyyy-mm-dd"),A타입_제작표!$AQ$2:$AQ$799,0))&amp;"  "&amp;INDEX(A타입_제작표!$L$2:$L$799,MATCH("구약|"&amp;TEXT(B313,"yyyy-mm-dd"),A타입_제작표!$AQ$2:$AQ$799,0)),""))</f>
        <v>삼상 7:1-17  에벤에셀</v>
      </c>
      <c r="E313" s="24" t="str">
        <f aca="false">IF(B313="","",IFERROR(INDEX(A타입_제작표!$J$2:$J$799,MATCH("신약|"&amp;TEXT(B313,"yyyy-mm-dd"),A타입_제작표!$AQ$2:$AQ$799,0))&amp;"  "&amp;INDEX(A타입_제작표!$L$2:$L$799,MATCH("신약|"&amp;TEXT(B313,"yyyy-mm-dd"),A타입_제작표!$AQ$2:$AQ$799,0)),""))</f>
        <v/>
      </c>
      <c r="F313" s="24" t="str">
        <f aca="false">IF(B313="","",IFERROR("시편 "&amp;INDEX(시편_시리즈!$A$2:$A$151,MATCH("시편|"&amp;TEXT(B313,"yyyy-mm-dd"),시편_시리즈!$Y$2:$Y$151,0))&amp;"편  "&amp;INDEX(시편_시리즈!$G$2:$G$151,MATCH("시편|"&amp;TEXT(B313,"yyyy-mm-dd"),시편_시리즈!$Y$2:$Y$151,0)),""))</f>
        <v>시편 134편  밤에 성전을 지키는 자들</v>
      </c>
      <c r="G313" s="23" t="n">
        <f aca="false">IF(B313="","",(D313&lt;&gt;"")+(E313&lt;&gt;"")+(F313&lt;&gt;""))</f>
        <v>2</v>
      </c>
      <c r="H313" s="31" t="s">
        <v>10282</v>
      </c>
    </row>
    <row r="314" customFormat="false" ht="15" hidden="false" customHeight="false" outlineLevel="0" collapsed="false">
      <c r="A314" s="23" t="n">
        <f aca="false">IF(B314="","",313)</f>
        <v>313</v>
      </c>
      <c r="B314" s="26" t="n">
        <f aca="false">IF(안내!$C$9+312&gt;MAX(MAX(A타입_제작표!$U$2:$U$799),MAX(시편_시리즈!$Q$2:$Q$151)),"",안내!$C$9+312)</f>
        <v>46703</v>
      </c>
      <c r="C314" s="23" t="str">
        <f aca="false">IF(B314="","",CHOOSE(WEEKDAY(B314,2),"월","화","수","목","금","토","일"))</f>
        <v>금</v>
      </c>
      <c r="D314" s="24" t="str">
        <f aca="false">IF(B314="","",IFERROR(INDEX(A타입_제작표!$J$2:$J$799,MATCH("구약|"&amp;TEXT(B314,"yyyy-mm-dd"),A타입_제작표!$AQ$2:$AQ$799,0))&amp;"  "&amp;INDEX(A타입_제작표!$L$2:$L$799,MATCH("구약|"&amp;TEXT(B314,"yyyy-mm-dd"),A타입_제작표!$AQ$2:$AQ$799,0)),""))</f>
        <v>삼상 11:1-12:25  사울의 첫 승리와 사무엘의 고별</v>
      </c>
      <c r="E314" s="24" t="str">
        <f aca="false">IF(B314="","",IFERROR(INDEX(A타입_제작표!$J$2:$J$799,MATCH("신약|"&amp;TEXT(B314,"yyyy-mm-dd"),A타입_제작표!$AQ$2:$AQ$799,0))&amp;"  "&amp;INDEX(A타입_제작표!$L$2:$L$799,MATCH("신약|"&amp;TEXT(B314,"yyyy-mm-dd"),A타입_제작표!$AQ$2:$AQ$799,0)),""))</f>
        <v>행 24:1-27  두려워 떤 총독</v>
      </c>
      <c r="F314" s="24" t="str">
        <f aca="false">IF(B314="","",IFERROR("시편 "&amp;INDEX(시편_시리즈!$A$2:$A$151,MATCH("시편|"&amp;TEXT(B314,"yyyy-mm-dd"),시편_시리즈!$Y$2:$Y$151,0))&amp;"편  "&amp;INDEX(시편_시리즈!$G$2:$G$151,MATCH("시편|"&amp;TEXT(B314,"yyyy-mm-dd"),시편_시리즈!$Y$2:$Y$151,0)),""))</f>
        <v/>
      </c>
      <c r="G314" s="23" t="n">
        <f aca="false">IF(B314="","",(D314&lt;&gt;"")+(E314&lt;&gt;"")+(F314&lt;&gt;""))</f>
        <v>2</v>
      </c>
      <c r="H314" s="31" t="s">
        <v>10282</v>
      </c>
    </row>
    <row r="315" customFormat="false" ht="15" hidden="false" customHeight="false" outlineLevel="0" collapsed="false">
      <c r="A315" s="23" t="n">
        <f aca="false">IF(B315="","",314)</f>
        <v>314</v>
      </c>
      <c r="B315" s="26" t="n">
        <f aca="false">IF(안내!$C$9+313&gt;MAX(MAX(A타입_제작표!$U$2:$U$799),MAX(시편_시리즈!$Q$2:$Q$151)),"",안내!$C$9+313)</f>
        <v>46704</v>
      </c>
      <c r="C315" s="23" t="str">
        <f aca="false">IF(B315="","",CHOOSE(WEEKDAY(B315,2),"월","화","수","목","금","토","일"))</f>
        <v>토</v>
      </c>
      <c r="D315" s="24" t="str">
        <f aca="false">IF(B315="","",IFERROR(INDEX(A타입_제작표!$J$2:$J$799,MATCH("구약|"&amp;TEXT(B315,"yyyy-mm-dd"),A타입_제작표!$AQ$2:$AQ$799,0))&amp;"  "&amp;INDEX(A타입_제작표!$L$2:$L$799,MATCH("구약|"&amp;TEXT(B315,"yyyy-mm-dd"),A타입_제작표!$AQ$2:$AQ$799,0)),""))</f>
        <v>삼상 13:1-23  기다리지 못한 왕</v>
      </c>
      <c r="E315" s="24" t="str">
        <f aca="false">IF(B315="","",IFERROR(INDEX(A타입_제작표!$J$2:$J$799,MATCH("신약|"&amp;TEXT(B315,"yyyy-mm-dd"),A타입_제작표!$AQ$2:$AQ$799,0))&amp;"  "&amp;INDEX(A타입_제작표!$L$2:$L$799,MATCH("신약|"&amp;TEXT(B315,"yyyy-mm-dd"),A타입_제작표!$AQ$2:$AQ$799,0)),""))</f>
        <v>행 25:1-26:32  거의 그리스도인이 되게</v>
      </c>
      <c r="F315" s="24" t="str">
        <f aca="false">IF(B315="","",IFERROR("시편 "&amp;INDEX(시편_시리즈!$A$2:$A$151,MATCH("시편|"&amp;TEXT(B315,"yyyy-mm-dd"),시편_시리즈!$Y$2:$Y$151,0))&amp;"편  "&amp;INDEX(시편_시리즈!$G$2:$G$151,MATCH("시편|"&amp;TEXT(B315,"yyyy-mm-dd"),시편_시리즈!$Y$2:$Y$151,0)),""))</f>
        <v/>
      </c>
      <c r="G315" s="23" t="n">
        <f aca="false">IF(B315="","",(D315&lt;&gt;"")+(E315&lt;&gt;"")+(F315&lt;&gt;""))</f>
        <v>2</v>
      </c>
      <c r="H315" s="31" t="s">
        <v>10282</v>
      </c>
    </row>
    <row r="316" customFormat="false" ht="15" hidden="false" customHeight="false" outlineLevel="0" collapsed="false">
      <c r="A316" s="23" t="n">
        <f aca="false">IF(B316="","",315)</f>
        <v>315</v>
      </c>
      <c r="B316" s="26" t="n">
        <f aca="false">IF(안내!$C$9+314&gt;MAX(MAX(A타입_제작표!$U$2:$U$799),MAX(시편_시리즈!$Q$2:$Q$151)),"",안내!$C$9+314)</f>
        <v>46705</v>
      </c>
      <c r="C316" s="23" t="str">
        <f aca="false">IF(B316="","",CHOOSE(WEEKDAY(B316,2),"월","화","수","목","금","토","일"))</f>
        <v>일</v>
      </c>
      <c r="D316" s="24" t="str">
        <f aca="false">IF(B316="","",IFERROR(INDEX(A타입_제작표!$J$2:$J$799,MATCH("구약|"&amp;TEXT(B316,"yyyy-mm-dd"),A타입_제작표!$AQ$2:$AQ$799,0))&amp;"  "&amp;INDEX(A타입_제작표!$L$2:$L$799,MATCH("구약|"&amp;TEXT(B316,"yyyy-mm-dd"),A타입_제작표!$AQ$2:$AQ$799,0)),""))</f>
        <v>삼상 14:1-52  요나단과 무기 든 소년</v>
      </c>
      <c r="E316" s="24" t="str">
        <f aca="false">IF(B316="","",IFERROR(INDEX(A타입_제작표!$J$2:$J$799,MATCH("신약|"&amp;TEXT(B316,"yyyy-mm-dd"),A타입_제작표!$AQ$2:$AQ$799,0))&amp;"  "&amp;INDEX(A타입_제작표!$L$2:$L$799,MATCH("신약|"&amp;TEXT(B316,"yyyy-mm-dd"),A타입_제작표!$AQ$2:$AQ$799,0)),""))</f>
        <v/>
      </c>
      <c r="F316" s="24" t="str">
        <f aca="false">IF(B316="","",IFERROR("시편 "&amp;INDEX(시편_시리즈!$A$2:$A$151,MATCH("시편|"&amp;TEXT(B316,"yyyy-mm-dd"),시편_시리즈!$Y$2:$Y$151,0))&amp;"편  "&amp;INDEX(시편_시리즈!$G$2:$G$151,MATCH("시편|"&amp;TEXT(B316,"yyyy-mm-dd"),시편_시리즈!$Y$2:$Y$151,0)),""))</f>
        <v>시편 135편  여호와는 선하시며</v>
      </c>
      <c r="G316" s="23" t="n">
        <f aca="false">IF(B316="","",(D316&lt;&gt;"")+(E316&lt;&gt;"")+(F316&lt;&gt;""))</f>
        <v>2</v>
      </c>
      <c r="H316" s="31" t="s">
        <v>10282</v>
      </c>
    </row>
    <row r="317" customFormat="false" ht="15" hidden="false" customHeight="false" outlineLevel="0" collapsed="false">
      <c r="A317" s="23" t="n">
        <f aca="false">IF(B317="","",316)</f>
        <v>316</v>
      </c>
      <c r="B317" s="26" t="n">
        <f aca="false">IF(안내!$C$9+315&gt;MAX(MAX(A타입_제작표!$U$2:$U$799),MAX(시편_시리즈!$Q$2:$Q$151)),"",안내!$C$9+315)</f>
        <v>46706</v>
      </c>
      <c r="C317" s="23" t="str">
        <f aca="false">IF(B317="","",CHOOSE(WEEKDAY(B317,2),"월","화","수","목","금","토","일"))</f>
        <v>월</v>
      </c>
      <c r="D317" s="24" t="str">
        <f aca="false">IF(B317="","",IFERROR(INDEX(A타입_제작표!$J$2:$J$799,MATCH("구약|"&amp;TEXT(B317,"yyyy-mm-dd"),A타입_제작표!$AQ$2:$AQ$799,0))&amp;"  "&amp;INDEX(A타입_제작표!$L$2:$L$799,MATCH("구약|"&amp;TEXT(B317,"yyyy-mm-dd"),A타입_제작표!$AQ$2:$AQ$799,0)),""))</f>
        <v>삼상 16:14-23  수금 타는 소년</v>
      </c>
      <c r="E317" s="24" t="str">
        <f aca="false">IF(B317="","",IFERROR(INDEX(A타입_제작표!$J$2:$J$799,MATCH("신약|"&amp;TEXT(B317,"yyyy-mm-dd"),A타입_제작표!$AQ$2:$AQ$799,0))&amp;"  "&amp;INDEX(A타입_제작표!$L$2:$L$799,MATCH("신약|"&amp;TEXT(B317,"yyyy-mm-dd"),A타입_제작표!$AQ$2:$AQ$799,0)),""))</f>
        <v>행 28:1-16  독사도 해치지 못하다</v>
      </c>
      <c r="F317" s="24" t="str">
        <f aca="false">IF(B317="","",IFERROR("시편 "&amp;INDEX(시편_시리즈!$A$2:$A$151,MATCH("시편|"&amp;TEXT(B317,"yyyy-mm-dd"),시편_시리즈!$Y$2:$Y$151,0))&amp;"편  "&amp;INDEX(시편_시리즈!$G$2:$G$151,MATCH("시편|"&amp;TEXT(B317,"yyyy-mm-dd"),시편_시리즈!$Y$2:$Y$151,0)),""))</f>
        <v/>
      </c>
      <c r="G317" s="23" t="n">
        <f aca="false">IF(B317="","",(D317&lt;&gt;"")+(E317&lt;&gt;"")+(F317&lt;&gt;""))</f>
        <v>2</v>
      </c>
      <c r="H317" s="31" t="s">
        <v>10282</v>
      </c>
    </row>
    <row r="318" customFormat="false" ht="26.85" hidden="false" customHeight="false" outlineLevel="0" collapsed="false">
      <c r="A318" s="23" t="n">
        <f aca="false">IF(B318="","",317)</f>
        <v>317</v>
      </c>
      <c r="B318" s="26" t="n">
        <f aca="false">IF(안내!$C$9+316&gt;MAX(MAX(A타입_제작표!$U$2:$U$799),MAX(시편_시리즈!$Q$2:$Q$151)),"",안내!$C$9+316)</f>
        <v>46707</v>
      </c>
      <c r="C318" s="23" t="str">
        <f aca="false">IF(B318="","",CHOOSE(WEEKDAY(B318,2),"월","화","수","목","금","토","일"))</f>
        <v>화</v>
      </c>
      <c r="D318" s="24" t="str">
        <f aca="false">IF(B318="","",IFERROR(INDEX(A타입_제작표!$J$2:$J$799,MATCH("구약|"&amp;TEXT(B318,"yyyy-mm-dd"),A타입_제작표!$AQ$2:$AQ$799,0))&amp;"  "&amp;INDEX(A타입_제작표!$L$2:$L$799,MATCH("구약|"&amp;TEXT(B318,"yyyy-mm-dd"),A타입_제작표!$AQ$2:$AQ$799,0)),""))</f>
        <v>삼상 19:1-24  창으로 도망치다</v>
      </c>
      <c r="E318" s="24" t="str">
        <f aca="false">IF(B318="","",IFERROR(INDEX(A타입_제작표!$J$2:$J$799,MATCH("신약|"&amp;TEXT(B318,"yyyy-mm-dd"),A타입_제작표!$AQ$2:$AQ$799,0))&amp;"  "&amp;INDEX(A타입_제작표!$L$2:$L$799,MATCH("신약|"&amp;TEXT(B318,"yyyy-mm-dd"),A타입_제작표!$AQ$2:$AQ$799,0)),""))</f>
        <v/>
      </c>
      <c r="F318" s="24" t="str">
        <f aca="false">IF(B318="","",IFERROR("시편 "&amp;INDEX(시편_시리즈!$A$2:$A$151,MATCH("시편|"&amp;TEXT(B318,"yyyy-mm-dd"),시편_시리즈!$Y$2:$Y$151,0))&amp;"편  "&amp;INDEX(시편_시리즈!$G$2:$G$151,MATCH("시편|"&amp;TEXT(B318,"yyyy-mm-dd"),시편_시리즈!$Y$2:$Y$151,0)),""))</f>
        <v>시편 136편  그 인자하심이 영원함이로다</v>
      </c>
      <c r="G318" s="23" t="n">
        <f aca="false">IF(B318="","",(D318&lt;&gt;"")+(E318&lt;&gt;"")+(F318&lt;&gt;""))</f>
        <v>2</v>
      </c>
      <c r="H318" s="31" t="s">
        <v>10282</v>
      </c>
    </row>
    <row r="319" customFormat="false" ht="15" hidden="false" customHeight="false" outlineLevel="0" collapsed="false">
      <c r="A319" s="23" t="n">
        <f aca="false">IF(B319="","",318)</f>
        <v>318</v>
      </c>
      <c r="B319" s="26" t="n">
        <f aca="false">IF(안내!$C$9+317&gt;MAX(MAX(A타입_제작표!$U$2:$U$799),MAX(시편_시리즈!$Q$2:$Q$151)),"",안내!$C$9+317)</f>
        <v>46708</v>
      </c>
      <c r="C319" s="23" t="str">
        <f aca="false">IF(B319="","",CHOOSE(WEEKDAY(B319,2),"월","화","수","목","금","토","일"))</f>
        <v>수</v>
      </c>
      <c r="D319" s="24" t="str">
        <f aca="false">IF(B319="","",IFERROR(INDEX(A타입_제작표!$J$2:$J$799,MATCH("구약|"&amp;TEXT(B319,"yyyy-mm-dd"),A타입_제작표!$AQ$2:$AQ$799,0))&amp;"  "&amp;INDEX(A타입_제작표!$L$2:$L$799,MATCH("구약|"&amp;TEXT(B319,"yyyy-mm-dd"),A타입_제작표!$AQ$2:$AQ$799,0)),""))</f>
        <v>삼상 21:1-22:23  놉과 아둘람 굴</v>
      </c>
      <c r="E319" s="24" t="str">
        <f aca="false">IF(B319="","",IFERROR(INDEX(A타입_제작표!$J$2:$J$799,MATCH("신약|"&amp;TEXT(B319,"yyyy-mm-dd"),A타입_제작표!$AQ$2:$AQ$799,0))&amp;"  "&amp;INDEX(A타입_제작표!$L$2:$L$799,MATCH("신약|"&amp;TEXT(B319,"yyyy-mm-dd"),A타입_제작표!$AQ$2:$AQ$799,0)),""))</f>
        <v>롬 1:1-17  복음은 하나님의 능력</v>
      </c>
      <c r="F319" s="24" t="str">
        <f aca="false">IF(B319="","",IFERROR("시편 "&amp;INDEX(시편_시리즈!$A$2:$A$151,MATCH("시편|"&amp;TEXT(B319,"yyyy-mm-dd"),시편_시리즈!$Y$2:$Y$151,0))&amp;"편  "&amp;INDEX(시편_시리즈!$G$2:$G$151,MATCH("시편|"&amp;TEXT(B319,"yyyy-mm-dd"),시편_시리즈!$Y$2:$Y$151,0)),""))</f>
        <v/>
      </c>
      <c r="G319" s="23" t="n">
        <f aca="false">IF(B319="","",(D319&lt;&gt;"")+(E319&lt;&gt;"")+(F319&lt;&gt;""))</f>
        <v>2</v>
      </c>
      <c r="H319" s="31" t="s">
        <v>10282</v>
      </c>
    </row>
    <row r="320" customFormat="false" ht="15" hidden="false" customHeight="false" outlineLevel="0" collapsed="false">
      <c r="A320" s="23" t="n">
        <f aca="false">IF(B320="","",319)</f>
        <v>319</v>
      </c>
      <c r="B320" s="26" t="n">
        <f aca="false">IF(안내!$C$9+318&gt;MAX(MAX(A타입_제작표!$U$2:$U$799),MAX(시편_시리즈!$Q$2:$Q$151)),"",안내!$C$9+318)</f>
        <v>46709</v>
      </c>
      <c r="C320" s="23" t="str">
        <f aca="false">IF(B320="","",CHOOSE(WEEKDAY(B320,2),"월","화","수","목","금","토","일"))</f>
        <v>목</v>
      </c>
      <c r="D320" s="24" t="str">
        <f aca="false">IF(B320="","",IFERROR(INDEX(A타입_제작표!$J$2:$J$799,MATCH("구약|"&amp;TEXT(B320,"yyyy-mm-dd"),A타입_제작표!$AQ$2:$AQ$799,0))&amp;"  "&amp;INDEX(A타입_제작표!$L$2:$L$799,MATCH("구약|"&amp;TEXT(B320,"yyyy-mm-dd"),A타입_제작표!$AQ$2:$AQ$799,0)),""))</f>
        <v>삼상 23:1-29  광야의 다윗</v>
      </c>
      <c r="E320" s="24" t="str">
        <f aca="false">IF(B320="","",IFERROR(INDEX(A타입_제작표!$J$2:$J$799,MATCH("신약|"&amp;TEXT(B320,"yyyy-mm-dd"),A타입_제작표!$AQ$2:$AQ$799,0))&amp;"  "&amp;INDEX(A타입_제작표!$L$2:$L$799,MATCH("신약|"&amp;TEXT(B320,"yyyy-mm-dd"),A타입_제작표!$AQ$2:$AQ$799,0)),""))</f>
        <v/>
      </c>
      <c r="F320" s="24" t="str">
        <f aca="false">IF(B320="","",IFERROR("시편 "&amp;INDEX(시편_시리즈!$A$2:$A$151,MATCH("시편|"&amp;TEXT(B320,"yyyy-mm-dd"),시편_시리즈!$Y$2:$Y$151,0))&amp;"편  "&amp;INDEX(시편_시리즈!$G$2:$G$151,MATCH("시편|"&amp;TEXT(B320,"yyyy-mm-dd"),시편_시리즈!$Y$2:$Y$151,0)),""))</f>
        <v>시편 137편  바벨론 강가에서</v>
      </c>
      <c r="G320" s="23" t="n">
        <f aca="false">IF(B320="","",(D320&lt;&gt;"")+(E320&lt;&gt;"")+(F320&lt;&gt;""))</f>
        <v>2</v>
      </c>
      <c r="H320" s="31" t="s">
        <v>10282</v>
      </c>
    </row>
    <row r="321" customFormat="false" ht="15" hidden="false" customHeight="false" outlineLevel="0" collapsed="false">
      <c r="A321" s="23" t="n">
        <f aca="false">IF(B321="","",320)</f>
        <v>320</v>
      </c>
      <c r="B321" s="26" t="n">
        <f aca="false">IF(안내!$C$9+319&gt;MAX(MAX(A타입_제작표!$U$2:$U$799),MAX(시편_시리즈!$Q$2:$Q$151)),"",안내!$C$9+319)</f>
        <v>46710</v>
      </c>
      <c r="C321" s="23" t="str">
        <f aca="false">IF(B321="","",CHOOSE(WEEKDAY(B321,2),"월","화","수","목","금","토","일"))</f>
        <v>금</v>
      </c>
      <c r="D321" s="24" t="str">
        <f aca="false">IF(B321="","",IFERROR(INDEX(A타입_제작표!$J$2:$J$799,MATCH("구약|"&amp;TEXT(B321,"yyyy-mm-dd"),A타입_제작표!$AQ$2:$AQ$799,0))&amp;"  "&amp;INDEX(A타입_제작표!$L$2:$L$799,MATCH("구약|"&amp;TEXT(B321,"yyyy-mm-dd"),A타입_제작표!$AQ$2:$AQ$799,0)),""))</f>
        <v>삼상 25:1-44  지혜로운 아비가일</v>
      </c>
      <c r="E321" s="24" t="str">
        <f aca="false">IF(B321="","",IFERROR(INDEX(A타입_제작표!$J$2:$J$799,MATCH("신약|"&amp;TEXT(B321,"yyyy-mm-dd"),A타입_제작표!$AQ$2:$AQ$799,0))&amp;"  "&amp;INDEX(A타입_제작표!$L$2:$L$799,MATCH("신약|"&amp;TEXT(B321,"yyyy-mm-dd"),A타입_제작표!$AQ$2:$AQ$799,0)),""))</f>
        <v>롬 1:18-3:20  의인은 없나니 하나도 없다</v>
      </c>
      <c r="F321" s="24" t="str">
        <f aca="false">IF(B321="","",IFERROR("시편 "&amp;INDEX(시편_시리즈!$A$2:$A$151,MATCH("시편|"&amp;TEXT(B321,"yyyy-mm-dd"),시편_시리즈!$Y$2:$Y$151,0))&amp;"편  "&amp;INDEX(시편_시리즈!$G$2:$G$151,MATCH("시편|"&amp;TEXT(B321,"yyyy-mm-dd"),시편_시리즈!$Y$2:$Y$151,0)),""))</f>
        <v/>
      </c>
      <c r="G321" s="23" t="n">
        <f aca="false">IF(B321="","",(D321&lt;&gt;"")+(E321&lt;&gt;"")+(F321&lt;&gt;""))</f>
        <v>2</v>
      </c>
      <c r="H321" s="31" t="s">
        <v>10282</v>
      </c>
    </row>
    <row r="322" customFormat="false" ht="15" hidden="false" customHeight="false" outlineLevel="0" collapsed="false">
      <c r="A322" s="23" t="n">
        <f aca="false">IF(B322="","",321)</f>
        <v>321</v>
      </c>
      <c r="B322" s="26" t="n">
        <f aca="false">IF(안내!$C$9+320&gt;MAX(MAX(A타입_제작표!$U$2:$U$799),MAX(시편_시리즈!$Q$2:$Q$151)),"",안내!$C$9+320)</f>
        <v>46711</v>
      </c>
      <c r="C322" s="23" t="str">
        <f aca="false">IF(B322="","",CHOOSE(WEEKDAY(B322,2),"월","화","수","목","금","토","일"))</f>
        <v>토</v>
      </c>
      <c r="D322" s="24" t="str">
        <f aca="false">IF(B322="","",IFERROR(INDEX(A타입_제작표!$J$2:$J$799,MATCH("구약|"&amp;TEXT(B322,"yyyy-mm-dd"),A타입_제작표!$AQ$2:$AQ$799,0))&amp;"  "&amp;INDEX(A타입_제작표!$L$2:$L$799,MATCH("구약|"&amp;TEXT(B322,"yyyy-mm-dd"),A타입_제작표!$AQ$2:$AQ$799,0)),""))</f>
        <v>삼상 26:1-25  다시 살려 준 사울</v>
      </c>
      <c r="E322" s="24" t="str">
        <f aca="false">IF(B322="","",IFERROR(INDEX(A타입_제작표!$J$2:$J$799,MATCH("신약|"&amp;TEXT(B322,"yyyy-mm-dd"),A타입_제작표!$AQ$2:$AQ$799,0))&amp;"  "&amp;INDEX(A타입_제작표!$L$2:$L$799,MATCH("신약|"&amp;TEXT(B322,"yyyy-mm-dd"),A타입_제작표!$AQ$2:$AQ$799,0)),""))</f>
        <v>롬 4:1-25  아브라함의 믿음</v>
      </c>
      <c r="F322" s="24" t="str">
        <f aca="false">IF(B322="","",IFERROR("시편 "&amp;INDEX(시편_시리즈!$A$2:$A$151,MATCH("시편|"&amp;TEXT(B322,"yyyy-mm-dd"),시편_시리즈!$Y$2:$Y$151,0))&amp;"편  "&amp;INDEX(시편_시리즈!$G$2:$G$151,MATCH("시편|"&amp;TEXT(B322,"yyyy-mm-dd"),시편_시리즈!$Y$2:$Y$151,0)),""))</f>
        <v/>
      </c>
      <c r="G322" s="23" t="n">
        <f aca="false">IF(B322="","",(D322&lt;&gt;"")+(E322&lt;&gt;"")+(F322&lt;&gt;""))</f>
        <v>2</v>
      </c>
      <c r="H322" s="31" t="s">
        <v>10282</v>
      </c>
    </row>
    <row r="323" customFormat="false" ht="26.85" hidden="false" customHeight="false" outlineLevel="0" collapsed="false">
      <c r="A323" s="23" t="n">
        <f aca="false">IF(B323="","",322)</f>
        <v>322</v>
      </c>
      <c r="B323" s="26" t="n">
        <f aca="false">IF(안내!$C$9+321&gt;MAX(MAX(A타입_제작표!$U$2:$U$799),MAX(시편_시리즈!$Q$2:$Q$151)),"",안내!$C$9+321)</f>
        <v>46712</v>
      </c>
      <c r="C323" s="23" t="str">
        <f aca="false">IF(B323="","",CHOOSE(WEEKDAY(B323,2),"월","화","수","목","금","토","일"))</f>
        <v>일</v>
      </c>
      <c r="D323" s="24" t="str">
        <f aca="false">IF(B323="","",IFERROR(INDEX(A타입_제작표!$J$2:$J$799,MATCH("구약|"&amp;TEXT(B323,"yyyy-mm-dd"),A타입_제작표!$AQ$2:$AQ$799,0))&amp;"  "&amp;INDEX(A타입_제작표!$L$2:$L$799,MATCH("구약|"&amp;TEXT(B323,"yyyy-mm-dd"),A타입_제작표!$AQ$2:$AQ$799,0)),""))</f>
        <v>삼상 27:1-28:2  적국으로 피한 다윗</v>
      </c>
      <c r="E323" s="24" t="str">
        <f aca="false">IF(B323="","",IFERROR(INDEX(A타입_제작표!$J$2:$J$799,MATCH("신약|"&amp;TEXT(B323,"yyyy-mm-dd"),A타입_제작표!$AQ$2:$AQ$799,0))&amp;"  "&amp;INDEX(A타입_제작표!$L$2:$L$799,MATCH("신약|"&amp;TEXT(B323,"yyyy-mm-dd"),A타입_제작표!$AQ$2:$AQ$799,0)),""))</f>
        <v/>
      </c>
      <c r="F323" s="24" t="str">
        <f aca="false">IF(B323="","",IFERROR("시편 "&amp;INDEX(시편_시리즈!$A$2:$A$151,MATCH("시편|"&amp;TEXT(B323,"yyyy-mm-dd"),시편_시리즈!$Y$2:$Y$151,0))&amp;"편  "&amp;INDEX(시편_시리즈!$G$2:$G$151,MATCH("시편|"&amp;TEXT(B323,"yyyy-mm-dd"),시편_시리즈!$Y$2:$Y$151,0)),""))</f>
        <v>시편 138편  간구하는 날에 응답하시고</v>
      </c>
      <c r="G323" s="23" t="n">
        <f aca="false">IF(B323="","",(D323&lt;&gt;"")+(E323&lt;&gt;"")+(F323&lt;&gt;""))</f>
        <v>2</v>
      </c>
      <c r="H323" s="31" t="s">
        <v>10282</v>
      </c>
    </row>
    <row r="324" customFormat="false" ht="15" hidden="false" customHeight="false" outlineLevel="0" collapsed="false">
      <c r="A324" s="23" t="n">
        <f aca="false">IF(B324="","",323)</f>
        <v>323</v>
      </c>
      <c r="B324" s="26" t="n">
        <f aca="false">IF(안내!$C$9+322&gt;MAX(MAX(A타입_제작표!$U$2:$U$799),MAX(시편_시리즈!$Q$2:$Q$151)),"",안내!$C$9+322)</f>
        <v>46713</v>
      </c>
      <c r="C324" s="23" t="str">
        <f aca="false">IF(B324="","",CHOOSE(WEEKDAY(B324,2),"월","화","수","목","금","토","일"))</f>
        <v>월</v>
      </c>
      <c r="D324" s="24" t="str">
        <f aca="false">IF(B324="","",IFERROR(INDEX(A타입_제작표!$J$2:$J$799,MATCH("구약|"&amp;TEXT(B324,"yyyy-mm-dd"),A타입_제작표!$AQ$2:$AQ$799,0))&amp;"  "&amp;INDEX(A타입_제작표!$L$2:$L$799,MATCH("구약|"&amp;TEXT(B324,"yyyy-mm-dd"),A타입_제작표!$AQ$2:$AQ$799,0)),""))</f>
        <v>삼상 28:3-25  엔돌의 신접한 여인</v>
      </c>
      <c r="E324" s="24" t="str">
        <f aca="false">IF(B324="","",IFERROR(INDEX(A타입_제작표!$J$2:$J$799,MATCH("신약|"&amp;TEXT(B324,"yyyy-mm-dd"),A타입_제작표!$AQ$2:$AQ$799,0))&amp;"  "&amp;INDEX(A타입_제작표!$L$2:$L$799,MATCH("신약|"&amp;TEXT(B324,"yyyy-mm-dd"),A타입_제작표!$AQ$2:$AQ$799,0)),""))</f>
        <v>롬 5:1-21  우리가 아직 죄인 되었을 때</v>
      </c>
      <c r="F324" s="24" t="str">
        <f aca="false">IF(B324="","",IFERROR("시편 "&amp;INDEX(시편_시리즈!$A$2:$A$151,MATCH("시편|"&amp;TEXT(B324,"yyyy-mm-dd"),시편_시리즈!$Y$2:$Y$151,0))&amp;"편  "&amp;INDEX(시편_시리즈!$G$2:$G$151,MATCH("시편|"&amp;TEXT(B324,"yyyy-mm-dd"),시편_시리즈!$Y$2:$Y$151,0)),""))</f>
        <v/>
      </c>
      <c r="G324" s="23" t="n">
        <f aca="false">IF(B324="","",(D324&lt;&gt;"")+(E324&lt;&gt;"")+(F324&lt;&gt;""))</f>
        <v>2</v>
      </c>
      <c r="H324" s="31" t="s">
        <v>10282</v>
      </c>
    </row>
    <row r="325" customFormat="false" ht="15" hidden="false" customHeight="false" outlineLevel="0" collapsed="false">
      <c r="A325" s="23" t="n">
        <f aca="false">IF(B325="","",324)</f>
        <v>324</v>
      </c>
      <c r="B325" s="26" t="n">
        <f aca="false">IF(안내!$C$9+323&gt;MAX(MAX(A타입_제작표!$U$2:$U$799),MAX(시편_시리즈!$Q$2:$Q$151)),"",안내!$C$9+323)</f>
        <v>46714</v>
      </c>
      <c r="C325" s="23" t="str">
        <f aca="false">IF(B325="","",CHOOSE(WEEKDAY(B325,2),"월","화","수","목","금","토","일"))</f>
        <v>화</v>
      </c>
      <c r="D325" s="24" t="str">
        <f aca="false">IF(B325="","",IFERROR(INDEX(A타입_제작표!$J$2:$J$799,MATCH("구약|"&amp;TEXT(B325,"yyyy-mm-dd"),A타입_제작표!$AQ$2:$AQ$799,0))&amp;"  "&amp;INDEX(A타입_제작표!$L$2:$L$799,MATCH("구약|"&amp;TEXT(B325,"yyyy-mm-dd"),A타입_제작표!$AQ$2:$AQ$799,0)),""))</f>
        <v>삼상 29:1-30:31  불타 버린 시글락</v>
      </c>
      <c r="E325" s="24" t="str">
        <f aca="false">IF(B325="","",IFERROR(INDEX(A타입_제작표!$J$2:$J$799,MATCH("신약|"&amp;TEXT(B325,"yyyy-mm-dd"),A타입_제작표!$AQ$2:$AQ$799,0))&amp;"  "&amp;INDEX(A타입_제작표!$L$2:$L$799,MATCH("신약|"&amp;TEXT(B325,"yyyy-mm-dd"),A타입_제작표!$AQ$2:$AQ$799,0)),""))</f>
        <v/>
      </c>
      <c r="F325" s="24" t="str">
        <f aca="false">IF(B325="","",IFERROR("시편 "&amp;INDEX(시편_시리즈!$A$2:$A$151,MATCH("시편|"&amp;TEXT(B325,"yyyy-mm-dd"),시편_시리즈!$Y$2:$Y$151,0))&amp;"편  "&amp;INDEX(시편_시리즈!$G$2:$G$151,MATCH("시편|"&amp;TEXT(B325,"yyyy-mm-dd"),시편_시리즈!$Y$2:$Y$151,0)),""))</f>
        <v>시편 139편  나를 아시는 하나님</v>
      </c>
      <c r="G325" s="23" t="n">
        <f aca="false">IF(B325="","",(D325&lt;&gt;"")+(E325&lt;&gt;"")+(F325&lt;&gt;""))</f>
        <v>2</v>
      </c>
      <c r="H325" s="31" t="s">
        <v>10282</v>
      </c>
    </row>
    <row r="326" customFormat="false" ht="15" hidden="false" customHeight="false" outlineLevel="0" collapsed="false">
      <c r="A326" s="23" t="n">
        <f aca="false">IF(B326="","",325)</f>
        <v>325</v>
      </c>
      <c r="B326" s="26" t="n">
        <f aca="false">IF(안내!$C$9+324&gt;MAX(MAX(A타입_제작표!$U$2:$U$799),MAX(시편_시리즈!$Q$2:$Q$151)),"",안내!$C$9+324)</f>
        <v>46715</v>
      </c>
      <c r="C326" s="23" t="str">
        <f aca="false">IF(B326="","",CHOOSE(WEEKDAY(B326,2),"월","화","수","목","금","토","일"))</f>
        <v>수</v>
      </c>
      <c r="D326" s="24" t="str">
        <f aca="false">IF(B326="","",IFERROR(INDEX(A타입_제작표!$J$2:$J$799,MATCH("구약|"&amp;TEXT(B326,"yyyy-mm-dd"),A타입_제작표!$AQ$2:$AQ$799,0))&amp;"  "&amp;INDEX(A타입_제작표!$L$2:$L$799,MATCH("구약|"&amp;TEXT(B326,"yyyy-mm-dd"),A타입_제작표!$AQ$2:$AQ$799,0)),""))</f>
        <v>삼상 31:1-13  사울의 마지막</v>
      </c>
      <c r="E326" s="24" t="str">
        <f aca="false">IF(B326="","",IFERROR(INDEX(A타입_제작표!$J$2:$J$799,MATCH("신약|"&amp;TEXT(B326,"yyyy-mm-dd"),A타입_제작표!$AQ$2:$AQ$799,0))&amp;"  "&amp;INDEX(A타입_제작표!$L$2:$L$799,MATCH("신약|"&amp;TEXT(B326,"yyyy-mm-dd"),A타입_제작표!$AQ$2:$AQ$799,0)),""))</f>
        <v>롬 6:1-23  죄의 삯과 하나님의 선물</v>
      </c>
      <c r="F326" s="24" t="str">
        <f aca="false">IF(B326="","",IFERROR("시편 "&amp;INDEX(시편_시리즈!$A$2:$A$151,MATCH("시편|"&amp;TEXT(B326,"yyyy-mm-dd"),시편_시리즈!$Y$2:$Y$151,0))&amp;"편  "&amp;INDEX(시편_시리즈!$G$2:$G$151,MATCH("시편|"&amp;TEXT(B326,"yyyy-mm-dd"),시편_시리즈!$Y$2:$Y$151,0)),""))</f>
        <v/>
      </c>
      <c r="G326" s="23" t="n">
        <f aca="false">IF(B326="","",(D326&lt;&gt;"")+(E326&lt;&gt;"")+(F326&lt;&gt;""))</f>
        <v>2</v>
      </c>
      <c r="H326" s="31" t="s">
        <v>10282</v>
      </c>
    </row>
    <row r="327" customFormat="false" ht="26.85" hidden="false" customHeight="false" outlineLevel="0" collapsed="false">
      <c r="A327" s="23" t="n">
        <f aca="false">IF(B327="","",326)</f>
        <v>326</v>
      </c>
      <c r="B327" s="26" t="n">
        <f aca="false">IF(안내!$C$9+325&gt;MAX(MAX(A타입_제작표!$U$2:$U$799),MAX(시편_시리즈!$Q$2:$Q$151)),"",안내!$C$9+325)</f>
        <v>46716</v>
      </c>
      <c r="C327" s="23" t="str">
        <f aca="false">IF(B327="","",CHOOSE(WEEKDAY(B327,2),"월","화","수","목","금","토","일"))</f>
        <v>목</v>
      </c>
      <c r="D327" s="24" t="str">
        <f aca="false">IF(B327="","",IFERROR(INDEX(A타입_제작표!$J$2:$J$799,MATCH("구약|"&amp;TEXT(B327,"yyyy-mm-dd"),A타입_제작표!$AQ$2:$AQ$799,0))&amp;"  "&amp;INDEX(A타입_제작표!$L$2:$L$799,MATCH("구약|"&amp;TEXT(B327,"yyyy-mm-dd"),A타입_제작표!$AQ$2:$AQ$799,0)),""))</f>
        <v>삼하 1:1-27  활의 노래</v>
      </c>
      <c r="E327" s="24" t="str">
        <f aca="false">IF(B327="","",IFERROR(INDEX(A타입_제작표!$J$2:$J$799,MATCH("신약|"&amp;TEXT(B327,"yyyy-mm-dd"),A타입_제작표!$AQ$2:$AQ$799,0))&amp;"  "&amp;INDEX(A타입_제작표!$L$2:$L$799,MATCH("신약|"&amp;TEXT(B327,"yyyy-mm-dd"),A타입_제작표!$AQ$2:$AQ$799,0)),""))</f>
        <v/>
      </c>
      <c r="F327" s="24" t="str">
        <f aca="false">IF(B327="","",IFERROR("시편 "&amp;INDEX(시편_시리즈!$A$2:$A$151,MATCH("시편|"&amp;TEXT(B327,"yyyy-mm-dd"),시편_시리즈!$Y$2:$Y$151,0))&amp;"편  "&amp;INDEX(시편_시리즈!$G$2:$G$151,MATCH("시편|"&amp;TEXT(B327,"yyyy-mm-dd"),시편_시리즈!$Y$2:$Y$151,0)),""))</f>
        <v>시편 140편  고난당하는 자를 변호하시는 주</v>
      </c>
      <c r="G327" s="23" t="n">
        <f aca="false">IF(B327="","",(D327&lt;&gt;"")+(E327&lt;&gt;"")+(F327&lt;&gt;""))</f>
        <v>2</v>
      </c>
      <c r="H327" s="31" t="s">
        <v>10282</v>
      </c>
    </row>
    <row r="328" customFormat="false" ht="15" hidden="false" customHeight="false" outlineLevel="0" collapsed="false">
      <c r="A328" s="23" t="n">
        <f aca="false">IF(B328="","",327)</f>
        <v>327</v>
      </c>
      <c r="B328" s="26" t="n">
        <f aca="false">IF(안내!$C$9+326&gt;MAX(MAX(A타입_제작표!$U$2:$U$799),MAX(시편_시리즈!$Q$2:$Q$151)),"",안내!$C$9+326)</f>
        <v>46717</v>
      </c>
      <c r="C328" s="23" t="str">
        <f aca="false">IF(B328="","",CHOOSE(WEEKDAY(B328,2),"월","화","수","목","금","토","일"))</f>
        <v>금</v>
      </c>
      <c r="D328" s="24" t="str">
        <f aca="false">IF(B328="","",IFERROR(INDEX(A타입_제작표!$J$2:$J$799,MATCH("구약|"&amp;TEXT(B328,"yyyy-mm-dd"),A타입_제작표!$AQ$2:$AQ$799,0))&amp;"  "&amp;INDEX(A타입_제작표!$L$2:$L$799,MATCH("구약|"&amp;TEXT(B328,"yyyy-mm-dd"),A타입_제작표!$AQ$2:$AQ$799,0)),""))</f>
        <v>삼하 2:1-11  올라가리이까</v>
      </c>
      <c r="E328" s="24" t="str">
        <f aca="false">IF(B328="","",IFERROR(INDEX(A타입_제작표!$J$2:$J$799,MATCH("신약|"&amp;TEXT(B328,"yyyy-mm-dd"),A타입_제작표!$AQ$2:$AQ$799,0))&amp;"  "&amp;INDEX(A타입_제작표!$L$2:$L$799,MATCH("신약|"&amp;TEXT(B328,"yyyy-mm-dd"),A타입_제작표!$AQ$2:$AQ$799,0)),""))</f>
        <v>롬 7:1-25  오호라 나는 곤고한 사람이로다</v>
      </c>
      <c r="F328" s="24" t="str">
        <f aca="false">IF(B328="","",IFERROR("시편 "&amp;INDEX(시편_시리즈!$A$2:$A$151,MATCH("시편|"&amp;TEXT(B328,"yyyy-mm-dd"),시편_시리즈!$Y$2:$Y$151,0))&amp;"편  "&amp;INDEX(시편_시리즈!$G$2:$G$151,MATCH("시편|"&amp;TEXT(B328,"yyyy-mm-dd"),시편_시리즈!$Y$2:$Y$151,0)),""))</f>
        <v/>
      </c>
      <c r="G328" s="23" t="n">
        <f aca="false">IF(B328="","",(D328&lt;&gt;"")+(E328&lt;&gt;"")+(F328&lt;&gt;""))</f>
        <v>2</v>
      </c>
      <c r="H328" s="31" t="s">
        <v>10282</v>
      </c>
    </row>
    <row r="329" customFormat="false" ht="15" hidden="false" customHeight="false" outlineLevel="0" collapsed="false">
      <c r="A329" s="23" t="n">
        <f aca="false">IF(B329="","",328)</f>
        <v>328</v>
      </c>
      <c r="B329" s="26" t="n">
        <f aca="false">IF(안내!$C$9+327&gt;MAX(MAX(A타입_제작표!$U$2:$U$799),MAX(시편_시리즈!$Q$2:$Q$151)),"",안내!$C$9+327)</f>
        <v>46718</v>
      </c>
      <c r="C329" s="23" t="str">
        <f aca="false">IF(B329="","",CHOOSE(WEEKDAY(B329,2),"월","화","수","목","금","토","일"))</f>
        <v>토</v>
      </c>
      <c r="D329" s="24" t="str">
        <f aca="false">IF(B329="","",IFERROR(INDEX(A타입_제작표!$J$2:$J$799,MATCH("구약|"&amp;TEXT(B329,"yyyy-mm-dd"),A타입_제작표!$AQ$2:$AQ$799,0))&amp;"  "&amp;INDEX(A타입_제작표!$L$2:$L$799,MATCH("구약|"&amp;TEXT(B329,"yyyy-mm-dd"),A타입_제작표!$AQ$2:$AQ$799,0)),""))</f>
        <v>삼하 2:12-3:39  내전과 아브넬</v>
      </c>
      <c r="E329" s="24" t="str">
        <f aca="false">IF(B329="","",IFERROR(INDEX(A타입_제작표!$J$2:$J$799,MATCH("신약|"&amp;TEXT(B329,"yyyy-mm-dd"),A타입_제작표!$AQ$2:$AQ$799,0))&amp;"  "&amp;INDEX(A타입_제작표!$L$2:$L$799,MATCH("신약|"&amp;TEXT(B329,"yyyy-mm-dd"),A타입_제작표!$AQ$2:$AQ$799,0)),""))</f>
        <v>롬 8:1-17  정죄함이 없나니</v>
      </c>
      <c r="F329" s="24" t="str">
        <f aca="false">IF(B329="","",IFERROR("시편 "&amp;INDEX(시편_시리즈!$A$2:$A$151,MATCH("시편|"&amp;TEXT(B329,"yyyy-mm-dd"),시편_시리즈!$Y$2:$Y$151,0))&amp;"편  "&amp;INDEX(시편_시리즈!$G$2:$G$151,MATCH("시편|"&amp;TEXT(B329,"yyyy-mm-dd"),시편_시리즈!$Y$2:$Y$151,0)),""))</f>
        <v/>
      </c>
      <c r="G329" s="23" t="n">
        <f aca="false">IF(B329="","",(D329&lt;&gt;"")+(E329&lt;&gt;"")+(F329&lt;&gt;""))</f>
        <v>2</v>
      </c>
      <c r="H329" s="31" t="s">
        <v>10282</v>
      </c>
    </row>
    <row r="330" customFormat="false" ht="15" hidden="false" customHeight="false" outlineLevel="0" collapsed="false">
      <c r="A330" s="23" t="n">
        <f aca="false">IF(B330="","",329)</f>
        <v>329</v>
      </c>
      <c r="B330" s="26" t="n">
        <f aca="false">IF(안내!$C$9+328&gt;MAX(MAX(A타입_제작표!$U$2:$U$799),MAX(시편_시리즈!$Q$2:$Q$151)),"",안내!$C$9+328)</f>
        <v>46719</v>
      </c>
      <c r="C330" s="23" t="str">
        <f aca="false">IF(B330="","",CHOOSE(WEEKDAY(B330,2),"월","화","수","목","금","토","일"))</f>
        <v>일</v>
      </c>
      <c r="D330" s="24" t="str">
        <f aca="false">IF(B330="","",IFERROR(INDEX(A타입_제작표!$J$2:$J$799,MATCH("구약|"&amp;TEXT(B330,"yyyy-mm-dd"),A타입_제작표!$AQ$2:$AQ$799,0))&amp;"  "&amp;INDEX(A타입_제작표!$L$2:$L$799,MATCH("구약|"&amp;TEXT(B330,"yyyy-mm-dd"),A타입_제작표!$AQ$2:$AQ$799,0)),""))</f>
        <v>삼하 4:1-12  이스보셋의 죽음</v>
      </c>
      <c r="E330" s="24" t="str">
        <f aca="false">IF(B330="","",IFERROR(INDEX(A타입_제작표!$J$2:$J$799,MATCH("신약|"&amp;TEXT(B330,"yyyy-mm-dd"),A타입_제작표!$AQ$2:$AQ$799,0))&amp;"  "&amp;INDEX(A타입_제작표!$L$2:$L$799,MATCH("신약|"&amp;TEXT(B330,"yyyy-mm-dd"),A타입_제작표!$AQ$2:$AQ$799,0)),""))</f>
        <v/>
      </c>
      <c r="F330" s="24" t="str">
        <f aca="false">IF(B330="","",IFERROR("시편 "&amp;INDEX(시편_시리즈!$A$2:$A$151,MATCH("시편|"&amp;TEXT(B330,"yyyy-mm-dd"),시편_시리즈!$Y$2:$Y$151,0))&amp;"편  "&amp;INDEX(시편_시리즈!$G$2:$G$151,MATCH("시편|"&amp;TEXT(B330,"yyyy-mm-dd"),시편_시리즈!$Y$2:$Y$151,0)),""))</f>
        <v>시편 141편  내 입에 파수꾼을</v>
      </c>
      <c r="G330" s="23" t="n">
        <f aca="false">IF(B330="","",(D330&lt;&gt;"")+(E330&lt;&gt;"")+(F330&lt;&gt;""))</f>
        <v>2</v>
      </c>
      <c r="H330" s="31" t="s">
        <v>10282</v>
      </c>
    </row>
    <row r="331" customFormat="false" ht="15" hidden="false" customHeight="false" outlineLevel="0" collapsed="false">
      <c r="A331" s="23" t="n">
        <f aca="false">IF(B331="","",330)</f>
        <v>330</v>
      </c>
      <c r="B331" s="26" t="n">
        <f aca="false">IF(안내!$C$9+329&gt;MAX(MAX(A타입_제작표!$U$2:$U$799),MAX(시편_시리즈!$Q$2:$Q$151)),"",안내!$C$9+329)</f>
        <v>46720</v>
      </c>
      <c r="C331" s="23" t="str">
        <f aca="false">IF(B331="","",CHOOSE(WEEKDAY(B331,2),"월","화","수","목","금","토","일"))</f>
        <v>월</v>
      </c>
      <c r="D331" s="24" t="str">
        <f aca="false">IF(B331="","",IFERROR(INDEX(A타입_제작표!$J$2:$J$799,MATCH("구약|"&amp;TEXT(B331,"yyyy-mm-dd"),A타입_제작표!$AQ$2:$AQ$799,0))&amp;"  "&amp;INDEX(A타입_제작표!$L$2:$L$799,MATCH("구약|"&amp;TEXT(B331,"yyyy-mm-dd"),A타입_제작표!$AQ$2:$AQ$799,0)),""))</f>
        <v>삼하 5:1-25  예루살렘 정복</v>
      </c>
      <c r="E331" s="24" t="str">
        <f aca="false">IF(B331="","",IFERROR(INDEX(A타입_제작표!$J$2:$J$799,MATCH("신약|"&amp;TEXT(B331,"yyyy-mm-dd"),A타입_제작표!$AQ$2:$AQ$799,0))&amp;"  "&amp;INDEX(A타입_제작표!$L$2:$L$799,MATCH("신약|"&amp;TEXT(B331,"yyyy-mm-dd"),A타입_제작표!$AQ$2:$AQ$799,0)),""))</f>
        <v>롬 9:1-11:36  하나님의 주권적 선택</v>
      </c>
      <c r="F331" s="24" t="str">
        <f aca="false">IF(B331="","",IFERROR("시편 "&amp;INDEX(시편_시리즈!$A$2:$A$151,MATCH("시편|"&amp;TEXT(B331,"yyyy-mm-dd"),시편_시리즈!$Y$2:$Y$151,0))&amp;"편  "&amp;INDEX(시편_시리즈!$G$2:$G$151,MATCH("시편|"&amp;TEXT(B331,"yyyy-mm-dd"),시편_시리즈!$Y$2:$Y$151,0)),""))</f>
        <v/>
      </c>
      <c r="G331" s="23" t="n">
        <f aca="false">IF(B331="","",(D331&lt;&gt;"")+(E331&lt;&gt;"")+(F331&lt;&gt;""))</f>
        <v>2</v>
      </c>
      <c r="H331" s="31" t="s">
        <v>10282</v>
      </c>
    </row>
    <row r="332" customFormat="false" ht="15" hidden="false" customHeight="false" outlineLevel="0" collapsed="false">
      <c r="A332" s="23" t="n">
        <f aca="false">IF(B332="","",331)</f>
        <v>331</v>
      </c>
      <c r="B332" s="26" t="n">
        <f aca="false">IF(안내!$C$9+330&gt;MAX(MAX(A타입_제작표!$U$2:$U$799),MAX(시편_시리즈!$Q$2:$Q$151)),"",안내!$C$9+330)</f>
        <v>46721</v>
      </c>
      <c r="C332" s="23" t="str">
        <f aca="false">IF(B332="","",CHOOSE(WEEKDAY(B332,2),"월","화","수","목","금","토","일"))</f>
        <v>화</v>
      </c>
      <c r="D332" s="24" t="str">
        <f aca="false">IF(B332="","",IFERROR(INDEX(A타입_제작표!$J$2:$J$799,MATCH("구약|"&amp;TEXT(B332,"yyyy-mm-dd"),A타입_제작표!$AQ$2:$AQ$799,0))&amp;"  "&amp;INDEX(A타입_제작표!$L$2:$L$799,MATCH("구약|"&amp;TEXT(B332,"yyyy-mm-dd"),A타입_제작표!$AQ$2:$AQ$799,0)),""))</f>
        <v>삼하 8:1-18  다윗의 승리</v>
      </c>
      <c r="E332" s="24" t="str">
        <f aca="false">IF(B332="","",IFERROR(INDEX(A타입_제작표!$J$2:$J$799,MATCH("신약|"&amp;TEXT(B332,"yyyy-mm-dd"),A타입_제작표!$AQ$2:$AQ$799,0))&amp;"  "&amp;INDEX(A타입_제작표!$L$2:$L$799,MATCH("신약|"&amp;TEXT(B332,"yyyy-mm-dd"),A타입_제작표!$AQ$2:$AQ$799,0)),""))</f>
        <v/>
      </c>
      <c r="F332" s="24" t="str">
        <f aca="false">IF(B332="","",IFERROR("시편 "&amp;INDEX(시편_시리즈!$A$2:$A$151,MATCH("시편|"&amp;TEXT(B332,"yyyy-mm-dd"),시편_시리즈!$Y$2:$Y$151,0))&amp;"편  "&amp;INDEX(시편_시리즈!$G$2:$G$151,MATCH("시편|"&amp;TEXT(B332,"yyyy-mm-dd"),시편_시리즈!$Y$2:$Y$151,0)),""))</f>
        <v>시편 142편  굴에서 드린 기도</v>
      </c>
      <c r="G332" s="23" t="n">
        <f aca="false">IF(B332="","",(D332&lt;&gt;"")+(E332&lt;&gt;"")+(F332&lt;&gt;""))</f>
        <v>2</v>
      </c>
      <c r="H332" s="31" t="s">
        <v>10282</v>
      </c>
    </row>
    <row r="333" customFormat="false" ht="15" hidden="false" customHeight="false" outlineLevel="0" collapsed="false">
      <c r="A333" s="23" t="n">
        <f aca="false">IF(B333="","",332)</f>
        <v>332</v>
      </c>
      <c r="B333" s="26" t="n">
        <f aca="false">IF(안내!$C$9+331&gt;MAX(MAX(A타입_제작표!$U$2:$U$799),MAX(시편_시리즈!$Q$2:$Q$151)),"",안내!$C$9+331)</f>
        <v>46722</v>
      </c>
      <c r="C333" s="23" t="str">
        <f aca="false">IF(B333="","",CHOOSE(WEEKDAY(B333,2),"월","화","수","목","금","토","일"))</f>
        <v>수</v>
      </c>
      <c r="D333" s="24" t="str">
        <f aca="false">IF(B333="","",IFERROR(INDEX(A타입_제작표!$J$2:$J$799,MATCH("구약|"&amp;TEXT(B333,"yyyy-mm-dd"),A타입_제작표!$AQ$2:$AQ$799,0))&amp;"  "&amp;INDEX(A타입_제작표!$L$2:$L$799,MATCH("구약|"&amp;TEXT(B333,"yyyy-mm-dd"),A타입_제작표!$AQ$2:$AQ$799,0)),""))</f>
        <v>삼하 10:1-19  암몬과의 전쟁</v>
      </c>
      <c r="E333" s="24" t="str">
        <f aca="false">IF(B333="","",IFERROR(INDEX(A타입_제작표!$J$2:$J$799,MATCH("신약|"&amp;TEXT(B333,"yyyy-mm-dd"),A타입_제작표!$AQ$2:$AQ$799,0))&amp;"  "&amp;INDEX(A타입_제작표!$L$2:$L$799,MATCH("신약|"&amp;TEXT(B333,"yyyy-mm-dd"),A타입_제작표!$AQ$2:$AQ$799,0)),""))</f>
        <v>롬 12:1-21  산 제물</v>
      </c>
      <c r="F333" s="24" t="str">
        <f aca="false">IF(B333="","",IFERROR("시편 "&amp;INDEX(시편_시리즈!$A$2:$A$151,MATCH("시편|"&amp;TEXT(B333,"yyyy-mm-dd"),시편_시리즈!$Y$2:$Y$151,0))&amp;"편  "&amp;INDEX(시편_시리즈!$G$2:$G$151,MATCH("시편|"&amp;TEXT(B333,"yyyy-mm-dd"),시편_시리즈!$Y$2:$Y$151,0)),""))</f>
        <v/>
      </c>
      <c r="G333" s="23" t="n">
        <f aca="false">IF(B333="","",(D333&lt;&gt;"")+(E333&lt;&gt;"")+(F333&lt;&gt;""))</f>
        <v>2</v>
      </c>
      <c r="H333" s="31" t="s">
        <v>10282</v>
      </c>
    </row>
    <row r="334" customFormat="false" ht="15" hidden="false" customHeight="false" outlineLevel="0" collapsed="false">
      <c r="A334" s="23" t="n">
        <f aca="false">IF(B334="","",333)</f>
        <v>333</v>
      </c>
      <c r="B334" s="26" t="n">
        <f aca="false">IF(안내!$C$9+332&gt;MAX(MAX(A타입_제작표!$U$2:$U$799),MAX(시편_시리즈!$Q$2:$Q$151)),"",안내!$C$9+332)</f>
        <v>46723</v>
      </c>
      <c r="C334" s="23" t="str">
        <f aca="false">IF(B334="","",CHOOSE(WEEKDAY(B334,2),"월","화","수","목","금","토","일"))</f>
        <v>목</v>
      </c>
      <c r="D334" s="24" t="str">
        <f aca="false">IF(B334="","",IFERROR(INDEX(A타입_제작표!$J$2:$J$799,MATCH("구약|"&amp;TEXT(B334,"yyyy-mm-dd"),A타입_제작표!$AQ$2:$AQ$799,0))&amp;"  "&amp;INDEX(A타입_제작표!$L$2:$L$799,MATCH("구약|"&amp;TEXT(B334,"yyyy-mm-dd"),A타입_제작표!$AQ$2:$AQ$799,0)),""))</f>
        <v>삼하 13:1-39  무너진 가정</v>
      </c>
      <c r="E334" s="24" t="str">
        <f aca="false">IF(B334="","",IFERROR(INDEX(A타입_제작표!$J$2:$J$799,MATCH("신약|"&amp;TEXT(B334,"yyyy-mm-dd"),A타입_제작표!$AQ$2:$AQ$799,0))&amp;"  "&amp;INDEX(A타입_제작표!$L$2:$L$799,MATCH("신약|"&amp;TEXT(B334,"yyyy-mm-dd"),A타입_제작표!$AQ$2:$AQ$799,0)),""))</f>
        <v/>
      </c>
      <c r="F334" s="24" t="str">
        <f aca="false">IF(B334="","",IFERROR("시편 "&amp;INDEX(시편_시리즈!$A$2:$A$151,MATCH("시편|"&amp;TEXT(B334,"yyyy-mm-dd"),시편_시리즈!$Y$2:$Y$151,0))&amp;"편  "&amp;INDEX(시편_시리즈!$G$2:$G$151,MATCH("시편|"&amp;TEXT(B334,"yyyy-mm-dd"),시편_시리즈!$Y$2:$Y$151,0)),""))</f>
        <v>시편 143편  아침에 듣게 하소서</v>
      </c>
      <c r="G334" s="23" t="n">
        <f aca="false">IF(B334="","",(D334&lt;&gt;"")+(E334&lt;&gt;"")+(F334&lt;&gt;""))</f>
        <v>2</v>
      </c>
      <c r="H334" s="31" t="s">
        <v>10282</v>
      </c>
    </row>
    <row r="335" customFormat="false" ht="15" hidden="false" customHeight="false" outlineLevel="0" collapsed="false">
      <c r="A335" s="23" t="n">
        <f aca="false">IF(B335="","",334)</f>
        <v>334</v>
      </c>
      <c r="B335" s="26" t="n">
        <f aca="false">IF(안내!$C$9+333&gt;MAX(MAX(A타입_제작표!$U$2:$U$799),MAX(시편_시리즈!$Q$2:$Q$151)),"",안내!$C$9+333)</f>
        <v>46724</v>
      </c>
      <c r="C335" s="23" t="str">
        <f aca="false">IF(B335="","",CHOOSE(WEEKDAY(B335,2),"월","화","수","목","금","토","일"))</f>
        <v>금</v>
      </c>
      <c r="D335" s="24" t="str">
        <f aca="false">IF(B335="","",IFERROR(INDEX(A타입_제작표!$J$2:$J$799,MATCH("구약|"&amp;TEXT(B335,"yyyy-mm-dd"),A타입_제작표!$AQ$2:$AQ$799,0))&amp;"  "&amp;INDEX(A타입_제작표!$L$2:$L$799,MATCH("구약|"&amp;TEXT(B335,"yyyy-mm-dd"),A타입_제작표!$AQ$2:$AQ$799,0)),""))</f>
        <v>삼하 14:1-33  돌아온 압살롬</v>
      </c>
      <c r="E335" s="24" t="str">
        <f aca="false">IF(B335="","",IFERROR(INDEX(A타입_제작표!$J$2:$J$799,MATCH("신약|"&amp;TEXT(B335,"yyyy-mm-dd"),A타입_제작표!$AQ$2:$AQ$799,0))&amp;"  "&amp;INDEX(A타입_제작표!$L$2:$L$799,MATCH("신약|"&amp;TEXT(B335,"yyyy-mm-dd"),A타입_제작표!$AQ$2:$AQ$799,0)),""))</f>
        <v>롬 13:1-14  사랑의 빚</v>
      </c>
      <c r="F335" s="24" t="str">
        <f aca="false">IF(B335="","",IFERROR("시편 "&amp;INDEX(시편_시리즈!$A$2:$A$151,MATCH("시편|"&amp;TEXT(B335,"yyyy-mm-dd"),시편_시리즈!$Y$2:$Y$151,0))&amp;"편  "&amp;INDEX(시편_시리즈!$G$2:$G$151,MATCH("시편|"&amp;TEXT(B335,"yyyy-mm-dd"),시편_시리즈!$Y$2:$Y$151,0)),""))</f>
        <v/>
      </c>
      <c r="G335" s="23" t="n">
        <f aca="false">IF(B335="","",(D335&lt;&gt;"")+(E335&lt;&gt;"")+(F335&lt;&gt;""))</f>
        <v>2</v>
      </c>
      <c r="H335" s="31" t="s">
        <v>10282</v>
      </c>
    </row>
    <row r="336" customFormat="false" ht="15" hidden="false" customHeight="false" outlineLevel="0" collapsed="false">
      <c r="A336" s="23" t="n">
        <f aca="false">IF(B336="","",335)</f>
        <v>335</v>
      </c>
      <c r="B336" s="26" t="n">
        <f aca="false">IF(안내!$C$9+334&gt;MAX(MAX(A타입_제작표!$U$2:$U$799),MAX(시편_시리즈!$Q$2:$Q$151)),"",안내!$C$9+334)</f>
        <v>46725</v>
      </c>
      <c r="C336" s="23" t="str">
        <f aca="false">IF(B336="","",CHOOSE(WEEKDAY(B336,2),"월","화","수","목","금","토","일"))</f>
        <v>토</v>
      </c>
      <c r="D336" s="24" t="str">
        <f aca="false">IF(B336="","",IFERROR(INDEX(A타입_제작표!$J$2:$J$799,MATCH("구약|"&amp;TEXT(B336,"yyyy-mm-dd"),A타입_제작표!$AQ$2:$AQ$799,0))&amp;"  "&amp;INDEX(A타입_제작표!$L$2:$L$799,MATCH("구약|"&amp;TEXT(B336,"yyyy-mm-dd"),A타입_제작표!$AQ$2:$AQ$799,0)),""))</f>
        <v>삼하 16:1-23  저주를 참은 왕</v>
      </c>
      <c r="E336" s="24" t="str">
        <f aca="false">IF(B336="","",IFERROR(INDEX(A타입_제작표!$J$2:$J$799,MATCH("신약|"&amp;TEXT(B336,"yyyy-mm-dd"),A타입_제작표!$AQ$2:$AQ$799,0))&amp;"  "&amp;INDEX(A타입_제작표!$L$2:$L$799,MATCH("신약|"&amp;TEXT(B336,"yyyy-mm-dd"),A타입_제작표!$AQ$2:$AQ$799,0)),""))</f>
        <v>롬 14:1-16:27  서로 받으라</v>
      </c>
      <c r="F336" s="24" t="str">
        <f aca="false">IF(B336="","",IFERROR("시편 "&amp;INDEX(시편_시리즈!$A$2:$A$151,MATCH("시편|"&amp;TEXT(B336,"yyyy-mm-dd"),시편_시리즈!$Y$2:$Y$151,0))&amp;"편  "&amp;INDEX(시편_시리즈!$G$2:$G$151,MATCH("시편|"&amp;TEXT(B336,"yyyy-mm-dd"),시편_시리즈!$Y$2:$Y$151,0)),""))</f>
        <v/>
      </c>
      <c r="G336" s="23" t="n">
        <f aca="false">IF(B336="","",(D336&lt;&gt;"")+(E336&lt;&gt;"")+(F336&lt;&gt;""))</f>
        <v>2</v>
      </c>
      <c r="H336" s="31" t="s">
        <v>10282</v>
      </c>
    </row>
    <row r="337" customFormat="false" ht="15" hidden="false" customHeight="false" outlineLevel="0" collapsed="false">
      <c r="A337" s="23" t="n">
        <f aca="false">IF(B337="","",336)</f>
        <v>336</v>
      </c>
      <c r="B337" s="26" t="n">
        <f aca="false">IF(안내!$C$9+335&gt;MAX(MAX(A타입_제작표!$U$2:$U$799),MAX(시편_시리즈!$Q$2:$Q$151)),"",안내!$C$9+335)</f>
        <v>46726</v>
      </c>
      <c r="C337" s="23" t="str">
        <f aca="false">IF(B337="","",CHOOSE(WEEKDAY(B337,2),"월","화","수","목","금","토","일"))</f>
        <v>일</v>
      </c>
      <c r="D337" s="24" t="str">
        <f aca="false">IF(B337="","",IFERROR(INDEX(A타입_제작표!$J$2:$J$799,MATCH("구약|"&amp;TEXT(B337,"yyyy-mm-dd"),A타입_제작표!$AQ$2:$AQ$799,0))&amp;"  "&amp;INDEX(A타입_제작표!$L$2:$L$799,MATCH("구약|"&amp;TEXT(B337,"yyyy-mm-dd"),A타입_제작표!$AQ$2:$AQ$799,0)),""))</f>
        <v>삼하 17:1-29  무너진 계략</v>
      </c>
      <c r="E337" s="24" t="str">
        <f aca="false">IF(B337="","",IFERROR(INDEX(A타입_제작표!$J$2:$J$799,MATCH("신약|"&amp;TEXT(B337,"yyyy-mm-dd"),A타입_제작표!$AQ$2:$AQ$799,0))&amp;"  "&amp;INDEX(A타입_제작표!$L$2:$L$799,MATCH("신약|"&amp;TEXT(B337,"yyyy-mm-dd"),A타입_제작표!$AQ$2:$AQ$799,0)),""))</f>
        <v/>
      </c>
      <c r="F337" s="24" t="str">
        <f aca="false">IF(B337="","",IFERROR("시편 "&amp;INDEX(시편_시리즈!$A$2:$A$151,MATCH("시편|"&amp;TEXT(B337,"yyyy-mm-dd"),시편_시리즈!$Y$2:$Y$151,0))&amp;"편  "&amp;INDEX(시편_시리즈!$G$2:$G$151,MATCH("시편|"&amp;TEXT(B337,"yyyy-mm-dd"),시편_시리즈!$Y$2:$Y$151,0)),""))</f>
        <v>시편 144편  싸우게 하시는 하나님</v>
      </c>
      <c r="G337" s="23" t="n">
        <f aca="false">IF(B337="","",(D337&lt;&gt;"")+(E337&lt;&gt;"")+(F337&lt;&gt;""))</f>
        <v>2</v>
      </c>
      <c r="H337" s="31" t="s">
        <v>10282</v>
      </c>
    </row>
    <row r="338" customFormat="false" ht="15" hidden="false" customHeight="false" outlineLevel="0" collapsed="false">
      <c r="A338" s="23" t="n">
        <f aca="false">IF(B338="","",337)</f>
        <v>337</v>
      </c>
      <c r="B338" s="26" t="n">
        <f aca="false">IF(안내!$C$9+336&gt;MAX(MAX(A타입_제작표!$U$2:$U$799),MAX(시편_시리즈!$Q$2:$Q$151)),"",안내!$C$9+336)</f>
        <v>46727</v>
      </c>
      <c r="C338" s="23" t="str">
        <f aca="false">IF(B338="","",CHOOSE(WEEKDAY(B338,2),"월","화","수","목","금","토","일"))</f>
        <v>월</v>
      </c>
      <c r="D338" s="24" t="str">
        <f aca="false">IF(B338="","",IFERROR(INDEX(A타입_제작표!$J$2:$J$799,MATCH("구약|"&amp;TEXT(B338,"yyyy-mm-dd"),A타입_제작표!$AQ$2:$AQ$799,0))&amp;"  "&amp;INDEX(A타입_제작표!$L$2:$L$799,MATCH("구약|"&amp;TEXT(B338,"yyyy-mm-dd"),A타입_제작표!$AQ$2:$AQ$799,0)),""))</f>
        <v>삼하 19:1-20:26  돌아온 왕, 흔들리는 나라</v>
      </c>
      <c r="E338" s="24" t="str">
        <f aca="false">IF(B338="","",IFERROR(INDEX(A타입_제작표!$J$2:$J$799,MATCH("신약|"&amp;TEXT(B338,"yyyy-mm-dd"),A타입_제작표!$AQ$2:$AQ$799,0))&amp;"  "&amp;INDEX(A타입_제작표!$L$2:$L$799,MATCH("신약|"&amp;TEXT(B338,"yyyy-mm-dd"),A타입_제작표!$AQ$2:$AQ$799,0)),""))</f>
        <v>고전 1:1-2:16  십자가의 도</v>
      </c>
      <c r="F338" s="24" t="str">
        <f aca="false">IF(B338="","",IFERROR("시편 "&amp;INDEX(시편_시리즈!$A$2:$A$151,MATCH("시편|"&amp;TEXT(B338,"yyyy-mm-dd"),시편_시리즈!$Y$2:$Y$151,0))&amp;"편  "&amp;INDEX(시편_시리즈!$G$2:$G$151,MATCH("시편|"&amp;TEXT(B338,"yyyy-mm-dd"),시편_시리즈!$Y$2:$Y$151,0)),""))</f>
        <v/>
      </c>
      <c r="G338" s="23" t="n">
        <f aca="false">IF(B338="","",(D338&lt;&gt;"")+(E338&lt;&gt;"")+(F338&lt;&gt;""))</f>
        <v>2</v>
      </c>
      <c r="H338" s="31" t="s">
        <v>10282</v>
      </c>
    </row>
    <row r="339" customFormat="false" ht="15" hidden="false" customHeight="false" outlineLevel="0" collapsed="false">
      <c r="A339" s="23" t="n">
        <f aca="false">IF(B339="","",338)</f>
        <v>338</v>
      </c>
      <c r="B339" s="26" t="n">
        <f aca="false">IF(안내!$C$9+337&gt;MAX(MAX(A타입_제작표!$U$2:$U$799),MAX(시편_시리즈!$Q$2:$Q$151)),"",안내!$C$9+337)</f>
        <v>46728</v>
      </c>
      <c r="C339" s="23" t="str">
        <f aca="false">IF(B339="","",CHOOSE(WEEKDAY(B339,2),"월","화","수","목","금","토","일"))</f>
        <v>화</v>
      </c>
      <c r="D339" s="24" t="str">
        <f aca="false">IF(B339="","",IFERROR(INDEX(A타입_제작표!$J$2:$J$799,MATCH("구약|"&amp;TEXT(B339,"yyyy-mm-dd"),A타입_제작표!$AQ$2:$AQ$799,0))&amp;"  "&amp;INDEX(A타입_제작표!$L$2:$L$799,MATCH("구약|"&amp;TEXT(B339,"yyyy-mm-dd"),A타입_제작표!$AQ$2:$AQ$799,0)),""))</f>
        <v>삼하 21:1-22:51  다윗의 감사 노래</v>
      </c>
      <c r="E339" s="24" t="str">
        <f aca="false">IF(B339="","",IFERROR(INDEX(A타입_제작표!$J$2:$J$799,MATCH("신약|"&amp;TEXT(B339,"yyyy-mm-dd"),A타입_제작표!$AQ$2:$AQ$799,0))&amp;"  "&amp;INDEX(A타입_제작표!$L$2:$L$799,MATCH("신약|"&amp;TEXT(B339,"yyyy-mm-dd"),A타입_제작표!$AQ$2:$AQ$799,0)),""))</f>
        <v/>
      </c>
      <c r="F339" s="24" t="str">
        <f aca="false">IF(B339="","",IFERROR("시편 "&amp;INDEX(시편_시리즈!$A$2:$A$151,MATCH("시편|"&amp;TEXT(B339,"yyyy-mm-dd"),시편_시리즈!$Y$2:$Y$151,0))&amp;"편  "&amp;INDEX(시편_시리즈!$G$2:$G$151,MATCH("시편|"&amp;TEXT(B339,"yyyy-mm-dd"),시편_시리즈!$Y$2:$Y$151,0)),""))</f>
        <v>시편 145편  대대로 찬양하라</v>
      </c>
      <c r="G339" s="23" t="n">
        <f aca="false">IF(B339="","",(D339&lt;&gt;"")+(E339&lt;&gt;"")+(F339&lt;&gt;""))</f>
        <v>2</v>
      </c>
      <c r="H339" s="31" t="s">
        <v>10282</v>
      </c>
    </row>
    <row r="340" customFormat="false" ht="15" hidden="false" customHeight="false" outlineLevel="0" collapsed="false">
      <c r="A340" s="23" t="n">
        <f aca="false">IF(B340="","",339)</f>
        <v>339</v>
      </c>
      <c r="B340" s="26" t="n">
        <f aca="false">IF(안내!$C$9+338&gt;MAX(MAX(A타입_제작표!$U$2:$U$799),MAX(시편_시리즈!$Q$2:$Q$151)),"",안내!$C$9+338)</f>
        <v>46729</v>
      </c>
      <c r="C340" s="23" t="str">
        <f aca="false">IF(B340="","",CHOOSE(WEEKDAY(B340,2),"월","화","수","목","금","토","일"))</f>
        <v>수</v>
      </c>
      <c r="D340" s="24" t="str">
        <f aca="false">IF(B340="","",IFERROR(INDEX(A타입_제작표!$J$2:$J$799,MATCH("구약|"&amp;TEXT(B340,"yyyy-mm-dd"),A타입_제작표!$AQ$2:$AQ$799,0))&amp;"  "&amp;INDEX(A타입_제작표!$L$2:$L$799,MATCH("구약|"&amp;TEXT(B340,"yyyy-mm-dd"),A타입_제작표!$AQ$2:$AQ$799,0)),""))</f>
        <v>삼하 23:1-24:25  값없이 드리지 않겠다</v>
      </c>
      <c r="E340" s="24" t="str">
        <f aca="false">IF(B340="","",IFERROR(INDEX(A타입_제작표!$J$2:$J$799,MATCH("신약|"&amp;TEXT(B340,"yyyy-mm-dd"),A타입_제작표!$AQ$2:$AQ$799,0))&amp;"  "&amp;INDEX(A타입_제작표!$L$2:$L$799,MATCH("신약|"&amp;TEXT(B340,"yyyy-mm-dd"),A타입_제작표!$AQ$2:$AQ$799,0)),""))</f>
        <v>고전 3:1-4:21  자라게 하시는 하나님</v>
      </c>
      <c r="F340" s="24" t="str">
        <f aca="false">IF(B340="","",IFERROR("시편 "&amp;INDEX(시편_시리즈!$A$2:$A$151,MATCH("시편|"&amp;TEXT(B340,"yyyy-mm-dd"),시편_시리즈!$Y$2:$Y$151,0))&amp;"편  "&amp;INDEX(시편_시리즈!$G$2:$G$151,MATCH("시편|"&amp;TEXT(B340,"yyyy-mm-dd"),시편_시리즈!$Y$2:$Y$151,0)),""))</f>
        <v/>
      </c>
      <c r="G340" s="23" t="n">
        <f aca="false">IF(B340="","",(D340&lt;&gt;"")+(E340&lt;&gt;"")+(F340&lt;&gt;""))</f>
        <v>2</v>
      </c>
      <c r="H340" s="31" t="s">
        <v>10282</v>
      </c>
    </row>
    <row r="341" customFormat="false" ht="15" hidden="false" customHeight="false" outlineLevel="0" collapsed="false">
      <c r="A341" s="23" t="n">
        <f aca="false">IF(B341="","",340)</f>
        <v>340</v>
      </c>
      <c r="B341" s="26" t="n">
        <f aca="false">IF(안내!$C$9+339&gt;MAX(MAX(A타입_제작표!$U$2:$U$799),MAX(시편_시리즈!$Q$2:$Q$151)),"",안내!$C$9+339)</f>
        <v>46730</v>
      </c>
      <c r="C341" s="23" t="str">
        <f aca="false">IF(B341="","",CHOOSE(WEEKDAY(B341,2),"월","화","수","목","금","토","일"))</f>
        <v>목</v>
      </c>
      <c r="D341" s="24" t="str">
        <f aca="false">IF(B341="","",IFERROR(INDEX(A타입_제작표!$J$2:$J$799,MATCH("구약|"&amp;TEXT(B341,"yyyy-mm-dd"),A타입_제작표!$AQ$2:$AQ$799,0))&amp;"  "&amp;INDEX(A타입_제작표!$L$2:$L$799,MATCH("구약|"&amp;TEXT(B341,"yyyy-mm-dd"),A타입_제작표!$AQ$2:$AQ$799,0)),""))</f>
        <v>왕상 1:1-53  누가 왕이 될까?</v>
      </c>
      <c r="E341" s="24" t="str">
        <f aca="false">IF(B341="","",IFERROR(INDEX(A타입_제작표!$J$2:$J$799,MATCH("신약|"&amp;TEXT(B341,"yyyy-mm-dd"),A타입_제작표!$AQ$2:$AQ$799,0))&amp;"  "&amp;INDEX(A타입_제작표!$L$2:$L$799,MATCH("신약|"&amp;TEXT(B341,"yyyy-mm-dd"),A타입_제작표!$AQ$2:$AQ$799,0)),""))</f>
        <v/>
      </c>
      <c r="F341" s="24" t="str">
        <f aca="false">IF(B341="","",IFERROR("시편 "&amp;INDEX(시편_시리즈!$A$2:$A$151,MATCH("시편|"&amp;TEXT(B341,"yyyy-mm-dd"),시편_시리즈!$Y$2:$Y$151,0))&amp;"편  "&amp;INDEX(시편_시리즈!$G$2:$G$151,MATCH("시편|"&amp;TEXT(B341,"yyyy-mm-dd"),시편_시리즈!$Y$2:$Y$151,0)),""))</f>
        <v>시편 146편  사람을 의지하지 말라</v>
      </c>
      <c r="G341" s="23" t="n">
        <f aca="false">IF(B341="","",(D341&lt;&gt;"")+(E341&lt;&gt;"")+(F341&lt;&gt;""))</f>
        <v>2</v>
      </c>
      <c r="H341" s="31" t="s">
        <v>10282</v>
      </c>
    </row>
    <row r="342" customFormat="false" ht="15" hidden="false" customHeight="false" outlineLevel="0" collapsed="false">
      <c r="A342" s="23" t="n">
        <f aca="false">IF(B342="","",341)</f>
        <v>341</v>
      </c>
      <c r="B342" s="26" t="n">
        <f aca="false">IF(안내!$C$9+340&gt;MAX(MAX(A타입_제작표!$U$2:$U$799),MAX(시편_시리즈!$Q$2:$Q$151)),"",안내!$C$9+340)</f>
        <v>46731</v>
      </c>
      <c r="C342" s="23" t="str">
        <f aca="false">IF(B342="","",CHOOSE(WEEKDAY(B342,2),"월","화","수","목","금","토","일"))</f>
        <v>금</v>
      </c>
      <c r="D342" s="24" t="str">
        <f aca="false">IF(B342="","",IFERROR(INDEX(A타입_제작표!$J$2:$J$799,MATCH("구약|"&amp;TEXT(B342,"yyyy-mm-dd"),A타입_제작표!$AQ$2:$AQ$799,0))&amp;"  "&amp;INDEX(A타입_제작표!$L$2:$L$799,MATCH("구약|"&amp;TEXT(B342,"yyyy-mm-dd"),A타입_제작표!$AQ$2:$AQ$799,0)),""))</f>
        <v>왕상 2:1-46  다윗의 유언</v>
      </c>
      <c r="E342" s="24" t="str">
        <f aca="false">IF(B342="","",IFERROR(INDEX(A타입_제작표!$J$2:$J$799,MATCH("신약|"&amp;TEXT(B342,"yyyy-mm-dd"),A타입_제작표!$AQ$2:$AQ$799,0))&amp;"  "&amp;INDEX(A타입_제작표!$L$2:$L$799,MATCH("신약|"&amp;TEXT(B342,"yyyy-mm-dd"),A타입_제작표!$AQ$2:$AQ$799,0)),""))</f>
        <v>고전 5:1-6:20  너희 몸은 성령의 전</v>
      </c>
      <c r="F342" s="24" t="str">
        <f aca="false">IF(B342="","",IFERROR("시편 "&amp;INDEX(시편_시리즈!$A$2:$A$151,MATCH("시편|"&amp;TEXT(B342,"yyyy-mm-dd"),시편_시리즈!$Y$2:$Y$151,0))&amp;"편  "&amp;INDEX(시편_시리즈!$G$2:$G$151,MATCH("시편|"&amp;TEXT(B342,"yyyy-mm-dd"),시편_시리즈!$Y$2:$Y$151,0)),""))</f>
        <v/>
      </c>
      <c r="G342" s="23" t="n">
        <f aca="false">IF(B342="","",(D342&lt;&gt;"")+(E342&lt;&gt;"")+(F342&lt;&gt;""))</f>
        <v>2</v>
      </c>
      <c r="H342" s="31" t="s">
        <v>10282</v>
      </c>
    </row>
    <row r="343" customFormat="false" ht="15" hidden="false" customHeight="false" outlineLevel="0" collapsed="false">
      <c r="A343" s="23" t="n">
        <f aca="false">IF(B343="","",342)</f>
        <v>342</v>
      </c>
      <c r="B343" s="26" t="n">
        <f aca="false">IF(안내!$C$9+341&gt;MAX(MAX(A타입_제작표!$U$2:$U$799),MAX(시편_시리즈!$Q$2:$Q$151)),"",안내!$C$9+341)</f>
        <v>46732</v>
      </c>
      <c r="C343" s="23" t="str">
        <f aca="false">IF(B343="","",CHOOSE(WEEKDAY(B343,2),"월","화","수","목","금","토","일"))</f>
        <v>토</v>
      </c>
      <c r="D343" s="24" t="str">
        <f aca="false">IF(B343="","",IFERROR(INDEX(A타입_제작표!$J$2:$J$799,MATCH("구약|"&amp;TEXT(B343,"yyyy-mm-dd"),A타입_제작표!$AQ$2:$AQ$799,0))&amp;"  "&amp;INDEX(A타입_제작표!$L$2:$L$799,MATCH("구약|"&amp;TEXT(B343,"yyyy-mm-dd"),A타입_제작표!$AQ$2:$AQ$799,0)),""))</f>
        <v>왕상 4:1-34  세상에서 가장 지혜로운 왕</v>
      </c>
      <c r="E343" s="24" t="str">
        <f aca="false">IF(B343="","",IFERROR(INDEX(A타입_제작표!$J$2:$J$799,MATCH("신약|"&amp;TEXT(B343,"yyyy-mm-dd"),A타입_제작표!$AQ$2:$AQ$799,0))&amp;"  "&amp;INDEX(A타입_제작표!$L$2:$L$799,MATCH("신약|"&amp;TEXT(B343,"yyyy-mm-dd"),A타입_제작표!$AQ$2:$AQ$799,0)),""))</f>
        <v>고전 7:1-40  결혼과 독신</v>
      </c>
      <c r="F343" s="24" t="str">
        <f aca="false">IF(B343="","",IFERROR("시편 "&amp;INDEX(시편_시리즈!$A$2:$A$151,MATCH("시편|"&amp;TEXT(B343,"yyyy-mm-dd"),시편_시리즈!$Y$2:$Y$151,0))&amp;"편  "&amp;INDEX(시편_시리즈!$G$2:$G$151,MATCH("시편|"&amp;TEXT(B343,"yyyy-mm-dd"),시편_시리즈!$Y$2:$Y$151,0)),""))</f>
        <v/>
      </c>
      <c r="G343" s="23" t="n">
        <f aca="false">IF(B343="","",(D343&lt;&gt;"")+(E343&lt;&gt;"")+(F343&lt;&gt;""))</f>
        <v>2</v>
      </c>
      <c r="H343" s="31" t="s">
        <v>10282</v>
      </c>
    </row>
    <row r="344" customFormat="false" ht="15" hidden="false" customHeight="false" outlineLevel="0" collapsed="false">
      <c r="A344" s="23" t="n">
        <f aca="false">IF(B344="","",343)</f>
        <v>343</v>
      </c>
      <c r="B344" s="26" t="n">
        <f aca="false">IF(안내!$C$9+342&gt;MAX(MAX(A타입_제작표!$U$2:$U$799),MAX(시편_시리즈!$Q$2:$Q$151)),"",안내!$C$9+342)</f>
        <v>46733</v>
      </c>
      <c r="C344" s="23" t="str">
        <f aca="false">IF(B344="","",CHOOSE(WEEKDAY(B344,2),"월","화","수","목","금","토","일"))</f>
        <v>일</v>
      </c>
      <c r="D344" s="24" t="str">
        <f aca="false">IF(B344="","",IFERROR(INDEX(A타입_제작표!$J$2:$J$799,MATCH("구약|"&amp;TEXT(B344,"yyyy-mm-dd"),A타입_제작표!$AQ$2:$AQ$799,0))&amp;"  "&amp;INDEX(A타입_제작표!$L$2:$L$799,MATCH("구약|"&amp;TEXT(B344,"yyyy-mm-dd"),A타입_제작표!$AQ$2:$AQ$799,0)),""))</f>
        <v>왕상 5:1-6:38  성전을 짓다</v>
      </c>
      <c r="E344" s="24" t="str">
        <f aca="false">IF(B344="","",IFERROR(INDEX(A타입_제작표!$J$2:$J$799,MATCH("신약|"&amp;TEXT(B344,"yyyy-mm-dd"),A타입_제작표!$AQ$2:$AQ$799,0))&amp;"  "&amp;INDEX(A타입_제작표!$L$2:$L$799,MATCH("신약|"&amp;TEXT(B344,"yyyy-mm-dd"),A타입_제작표!$AQ$2:$AQ$799,0)),""))</f>
        <v/>
      </c>
      <c r="F344" s="24" t="str">
        <f aca="false">IF(B344="","",IFERROR("시편 "&amp;INDEX(시편_시리즈!$A$2:$A$151,MATCH("시편|"&amp;TEXT(B344,"yyyy-mm-dd"),시편_시리즈!$Y$2:$Y$151,0))&amp;"편  "&amp;INDEX(시편_시리즈!$G$2:$G$151,MATCH("시편|"&amp;TEXT(B344,"yyyy-mm-dd"),시편_시리즈!$Y$2:$Y$151,0)),""))</f>
        <v>시편 147편  상심한 자를 고치시며</v>
      </c>
      <c r="G344" s="23" t="n">
        <f aca="false">IF(B344="","",(D344&lt;&gt;"")+(E344&lt;&gt;"")+(F344&lt;&gt;""))</f>
        <v>2</v>
      </c>
      <c r="H344" s="31" t="s">
        <v>10282</v>
      </c>
    </row>
    <row r="345" customFormat="false" ht="15" hidden="false" customHeight="false" outlineLevel="0" collapsed="false">
      <c r="A345" s="23" t="n">
        <f aca="false">IF(B345="","",344)</f>
        <v>344</v>
      </c>
      <c r="B345" s="26" t="n">
        <f aca="false">IF(안내!$C$9+343&gt;MAX(MAX(A타입_제작표!$U$2:$U$799),MAX(시편_시리즈!$Q$2:$Q$151)),"",안내!$C$9+343)</f>
        <v>46734</v>
      </c>
      <c r="C345" s="23" t="str">
        <f aca="false">IF(B345="","",CHOOSE(WEEKDAY(B345,2),"월","화","수","목","금","토","일"))</f>
        <v>월</v>
      </c>
      <c r="D345" s="24" t="str">
        <f aca="false">IF(B345="","",IFERROR(INDEX(A타입_제작표!$J$2:$J$799,MATCH("구약|"&amp;TEXT(B345,"yyyy-mm-dd"),A타입_제작표!$AQ$2:$AQ$799,0))&amp;"  "&amp;INDEX(A타입_제작표!$L$2:$L$799,MATCH("구약|"&amp;TEXT(B345,"yyyy-mm-dd"),A타입_제작표!$AQ$2:$AQ$799,0)),""))</f>
        <v>왕상 7:1-51  성전의 기구들</v>
      </c>
      <c r="E345" s="24" t="str">
        <f aca="false">IF(B345="","",IFERROR(INDEX(A타입_제작표!$J$2:$J$799,MATCH("신약|"&amp;TEXT(B345,"yyyy-mm-dd"),A타입_제작표!$AQ$2:$AQ$799,0))&amp;"  "&amp;INDEX(A타입_제작표!$L$2:$L$799,MATCH("신약|"&amp;TEXT(B345,"yyyy-mm-dd"),A타입_제작표!$AQ$2:$AQ$799,0)),""))</f>
        <v>고전 8:1-11:1  하나님의 영광을 위하여</v>
      </c>
      <c r="F345" s="24" t="str">
        <f aca="false">IF(B345="","",IFERROR("시편 "&amp;INDEX(시편_시리즈!$A$2:$A$151,MATCH("시편|"&amp;TEXT(B345,"yyyy-mm-dd"),시편_시리즈!$Y$2:$Y$151,0))&amp;"편  "&amp;INDEX(시편_시리즈!$G$2:$G$151,MATCH("시편|"&amp;TEXT(B345,"yyyy-mm-dd"),시편_시리즈!$Y$2:$Y$151,0)),""))</f>
        <v/>
      </c>
      <c r="G345" s="23" t="n">
        <f aca="false">IF(B345="","",(D345&lt;&gt;"")+(E345&lt;&gt;"")+(F345&lt;&gt;""))</f>
        <v>2</v>
      </c>
      <c r="H345" s="31" t="s">
        <v>10282</v>
      </c>
    </row>
    <row r="346" customFormat="false" ht="15" hidden="false" customHeight="false" outlineLevel="0" collapsed="false">
      <c r="A346" s="23" t="n">
        <f aca="false">IF(B346="","",345)</f>
        <v>345</v>
      </c>
      <c r="B346" s="26" t="n">
        <f aca="false">IF(안내!$C$9+344&gt;MAX(MAX(A타입_제작표!$U$2:$U$799),MAX(시편_시리즈!$Q$2:$Q$151)),"",안내!$C$9+344)</f>
        <v>46735</v>
      </c>
      <c r="C346" s="23" t="str">
        <f aca="false">IF(B346="","",CHOOSE(WEEKDAY(B346,2),"월","화","수","목","금","토","일"))</f>
        <v>화</v>
      </c>
      <c r="D346" s="24" t="str">
        <f aca="false">IF(B346="","",IFERROR(INDEX(A타입_제작표!$J$2:$J$799,MATCH("구약|"&amp;TEXT(B346,"yyyy-mm-dd"),A타입_제작표!$AQ$2:$AQ$799,0))&amp;"  "&amp;INDEX(A타입_제작표!$L$2:$L$799,MATCH("구약|"&amp;TEXT(B346,"yyyy-mm-dd"),A타입_제작표!$AQ$2:$AQ$799,0)),""))</f>
        <v>왕상 12:25-13:34  금송아지와 하나님의 사람</v>
      </c>
      <c r="E346" s="24" t="str">
        <f aca="false">IF(B346="","",IFERROR(INDEX(A타입_제작표!$J$2:$J$799,MATCH("신약|"&amp;TEXT(B346,"yyyy-mm-dd"),A타입_제작표!$AQ$2:$AQ$799,0))&amp;"  "&amp;INDEX(A타입_제작표!$L$2:$L$799,MATCH("신약|"&amp;TEXT(B346,"yyyy-mm-dd"),A타입_제작표!$AQ$2:$AQ$799,0)),""))</f>
        <v/>
      </c>
      <c r="F346" s="24" t="str">
        <f aca="false">IF(B346="","",IFERROR("시편 "&amp;INDEX(시편_시리즈!$A$2:$A$151,MATCH("시편|"&amp;TEXT(B346,"yyyy-mm-dd"),시편_시리즈!$Y$2:$Y$151,0))&amp;"편  "&amp;INDEX(시편_시리즈!$G$2:$G$151,MATCH("시편|"&amp;TEXT(B346,"yyyy-mm-dd"),시편_시리즈!$Y$2:$Y$151,0)),""))</f>
        <v>시편 148편  하늘에서 찬양하라</v>
      </c>
      <c r="G346" s="23" t="n">
        <f aca="false">IF(B346="","",(D346&lt;&gt;"")+(E346&lt;&gt;"")+(F346&lt;&gt;""))</f>
        <v>2</v>
      </c>
      <c r="H346" s="31" t="s">
        <v>10282</v>
      </c>
    </row>
    <row r="347" customFormat="false" ht="15" hidden="false" customHeight="false" outlineLevel="0" collapsed="false">
      <c r="A347" s="23" t="n">
        <f aca="false">IF(B347="","",346)</f>
        <v>346</v>
      </c>
      <c r="B347" s="26" t="n">
        <f aca="false">IF(안내!$C$9+345&gt;MAX(MAX(A타입_제작표!$U$2:$U$799),MAX(시편_시리즈!$Q$2:$Q$151)),"",안내!$C$9+345)</f>
        <v>46736</v>
      </c>
      <c r="C347" s="23" t="str">
        <f aca="false">IF(B347="","",CHOOSE(WEEKDAY(B347,2),"월","화","수","목","금","토","일"))</f>
        <v>수</v>
      </c>
      <c r="D347" s="24" t="str">
        <f aca="false">IF(B347="","",IFERROR(INDEX(A타입_제작표!$J$2:$J$799,MATCH("구약|"&amp;TEXT(B347,"yyyy-mm-dd"),A타입_제작표!$AQ$2:$AQ$799,0))&amp;"  "&amp;INDEX(A타입_제작표!$L$2:$L$799,MATCH("구약|"&amp;TEXT(B347,"yyyy-mm-dd"),A타입_제작표!$AQ$2:$AQ$799,0)),""))</f>
        <v>왕상 14:1-31  변장한 왕비</v>
      </c>
      <c r="E347" s="24" t="str">
        <f aca="false">IF(B347="","",IFERROR(INDEX(A타입_제작표!$J$2:$J$799,MATCH("신약|"&amp;TEXT(B347,"yyyy-mm-dd"),A타입_제작표!$AQ$2:$AQ$799,0))&amp;"  "&amp;INDEX(A타입_제작표!$L$2:$L$799,MATCH("신약|"&amp;TEXT(B347,"yyyy-mm-dd"),A타입_제작표!$AQ$2:$AQ$799,0)),""))</f>
        <v>고전 11:2-34  주의 만찬</v>
      </c>
      <c r="F347" s="24" t="str">
        <f aca="false">IF(B347="","",IFERROR("시편 "&amp;INDEX(시편_시리즈!$A$2:$A$151,MATCH("시편|"&amp;TEXT(B347,"yyyy-mm-dd"),시편_시리즈!$Y$2:$Y$151,0))&amp;"편  "&amp;INDEX(시편_시리즈!$G$2:$G$151,MATCH("시편|"&amp;TEXT(B347,"yyyy-mm-dd"),시편_시리즈!$Y$2:$Y$151,0)),""))</f>
        <v/>
      </c>
      <c r="G347" s="23" t="n">
        <f aca="false">IF(B347="","",(D347&lt;&gt;"")+(E347&lt;&gt;"")+(F347&lt;&gt;""))</f>
        <v>2</v>
      </c>
      <c r="H347" s="31" t="s">
        <v>10282</v>
      </c>
    </row>
    <row r="348" customFormat="false" ht="15" hidden="false" customHeight="false" outlineLevel="0" collapsed="false">
      <c r="A348" s="23" t="n">
        <f aca="false">IF(B348="","",347)</f>
        <v>347</v>
      </c>
      <c r="B348" s="26" t="n">
        <f aca="false">IF(안내!$C$9+346&gt;MAX(MAX(A타입_제작표!$U$2:$U$799),MAX(시편_시리즈!$Q$2:$Q$151)),"",안내!$C$9+346)</f>
        <v>46737</v>
      </c>
      <c r="C348" s="23" t="str">
        <f aca="false">IF(B348="","",CHOOSE(WEEKDAY(B348,2),"월","화","수","목","금","토","일"))</f>
        <v>목</v>
      </c>
      <c r="D348" s="24" t="str">
        <f aca="false">IF(B348="","",IFERROR(INDEX(A타입_제작표!$J$2:$J$799,MATCH("구약|"&amp;TEXT(B348,"yyyy-mm-dd"),A타입_제작표!$AQ$2:$AQ$799,0))&amp;"  "&amp;INDEX(A타입_제작표!$L$2:$L$799,MATCH("구약|"&amp;TEXT(B348,"yyyy-mm-dd"),A타입_제작표!$AQ$2:$AQ$799,0)),""))</f>
        <v>왕상 15:1-16:34  남과 북의 왕들</v>
      </c>
      <c r="E348" s="24" t="str">
        <f aca="false">IF(B348="","",IFERROR(INDEX(A타입_제작표!$J$2:$J$799,MATCH("신약|"&amp;TEXT(B348,"yyyy-mm-dd"),A타입_제작표!$AQ$2:$AQ$799,0))&amp;"  "&amp;INDEX(A타입_제작표!$L$2:$L$799,MATCH("신약|"&amp;TEXT(B348,"yyyy-mm-dd"),A타입_제작표!$AQ$2:$AQ$799,0)),""))</f>
        <v/>
      </c>
      <c r="F348" s="24" t="str">
        <f aca="false">IF(B348="","",IFERROR("시편 "&amp;INDEX(시편_시리즈!$A$2:$A$151,MATCH("시편|"&amp;TEXT(B348,"yyyy-mm-dd"),시편_시리즈!$Y$2:$Y$151,0))&amp;"편  "&amp;INDEX(시편_시리즈!$G$2:$G$151,MATCH("시편|"&amp;TEXT(B348,"yyyy-mm-dd"),시편_시리즈!$Y$2:$Y$151,0)),""))</f>
        <v>시편 149편  새 노래로 노래하며</v>
      </c>
      <c r="G348" s="23" t="n">
        <f aca="false">IF(B348="","",(D348&lt;&gt;"")+(E348&lt;&gt;"")+(F348&lt;&gt;""))</f>
        <v>2</v>
      </c>
      <c r="H348" s="31" t="s">
        <v>10282</v>
      </c>
    </row>
    <row r="349" customFormat="false" ht="15" hidden="false" customHeight="false" outlineLevel="0" collapsed="false">
      <c r="A349" s="23" t="n">
        <f aca="false">IF(B349="","",348)</f>
        <v>348</v>
      </c>
      <c r="B349" s="26" t="n">
        <f aca="false">IF(안내!$C$9+347&gt;MAX(MAX(A타입_제작표!$U$2:$U$799),MAX(시편_시리즈!$Q$2:$Q$151)),"",안내!$C$9+347)</f>
        <v>46738</v>
      </c>
      <c r="C349" s="23" t="str">
        <f aca="false">IF(B349="","",CHOOSE(WEEKDAY(B349,2),"월","화","수","목","금","토","일"))</f>
        <v>금</v>
      </c>
      <c r="D349" s="24" t="str">
        <f aca="false">IF(B349="","",IFERROR(INDEX(A타입_제작표!$J$2:$J$799,MATCH("구약|"&amp;TEXT(B349,"yyyy-mm-dd"),A타입_제작표!$AQ$2:$AQ$799,0))&amp;"  "&amp;INDEX(A타입_제작표!$L$2:$L$799,MATCH("구약|"&amp;TEXT(B349,"yyyy-mm-dd"),A타입_제작표!$AQ$2:$AQ$799,0)),""))</f>
        <v>왕상 20:1-43  산의 신이냐 골짜기의 신이냐</v>
      </c>
      <c r="E349" s="24" t="str">
        <f aca="false">IF(B349="","",IFERROR(INDEX(A타입_제작표!$J$2:$J$799,MATCH("신약|"&amp;TEXT(B349,"yyyy-mm-dd"),A타입_제작표!$AQ$2:$AQ$799,0))&amp;"  "&amp;INDEX(A타입_제작표!$L$2:$L$799,MATCH("신약|"&amp;TEXT(B349,"yyyy-mm-dd"),A타입_제작표!$AQ$2:$AQ$799,0)),""))</f>
        <v>고전 12:1-31  한 몸과 많은 지체</v>
      </c>
      <c r="F349" s="24" t="str">
        <f aca="false">IF(B349="","",IFERROR("시편 "&amp;INDEX(시편_시리즈!$A$2:$A$151,MATCH("시편|"&amp;TEXT(B349,"yyyy-mm-dd"),시편_시리즈!$Y$2:$Y$151,0))&amp;"편  "&amp;INDEX(시편_시리즈!$G$2:$G$151,MATCH("시편|"&amp;TEXT(B349,"yyyy-mm-dd"),시편_시리즈!$Y$2:$Y$151,0)),""))</f>
        <v/>
      </c>
      <c r="G349" s="23" t="n">
        <f aca="false">IF(B349="","",(D349&lt;&gt;"")+(E349&lt;&gt;"")+(F349&lt;&gt;""))</f>
        <v>2</v>
      </c>
      <c r="H349" s="31" t="s">
        <v>10282</v>
      </c>
    </row>
    <row r="350" customFormat="false" ht="15" hidden="false" customHeight="false" outlineLevel="0" collapsed="false">
      <c r="A350" s="23" t="n">
        <f aca="false">IF(B350="","",349)</f>
        <v>349</v>
      </c>
      <c r="B350" s="26" t="n">
        <f aca="false">IF(안내!$C$9+348&gt;MAX(MAX(A타입_제작표!$U$2:$U$799),MAX(시편_시리즈!$Q$2:$Q$151)),"",안내!$C$9+348)</f>
        <v>46739</v>
      </c>
      <c r="C350" s="23" t="str">
        <f aca="false">IF(B350="","",CHOOSE(WEEKDAY(B350,2),"월","화","수","목","금","토","일"))</f>
        <v>토</v>
      </c>
      <c r="D350" s="24" t="str">
        <f aca="false">IF(B350="","",IFERROR(INDEX(A타입_제작표!$J$2:$J$799,MATCH("구약|"&amp;TEXT(B350,"yyyy-mm-dd"),A타입_제작표!$AQ$2:$AQ$799,0))&amp;"  "&amp;INDEX(A타입_제작표!$L$2:$L$799,MATCH("구약|"&amp;TEXT(B350,"yyyy-mm-dd"),A타입_제작표!$AQ$2:$AQ$799,0)),""))</f>
        <v>왕상 21:1-29  나봇의 포도원</v>
      </c>
      <c r="E350" s="24" t="str">
        <f aca="false">IF(B350="","",IFERROR(INDEX(A타입_제작표!$J$2:$J$799,MATCH("신약|"&amp;TEXT(B350,"yyyy-mm-dd"),A타입_제작표!$AQ$2:$AQ$799,0))&amp;"  "&amp;INDEX(A타입_제작표!$L$2:$L$799,MATCH("신약|"&amp;TEXT(B350,"yyyy-mm-dd"),A타입_제작표!$AQ$2:$AQ$799,0)),""))</f>
        <v>고전 14:1-40  질서 있는 예배</v>
      </c>
      <c r="F350" s="24" t="str">
        <f aca="false">IF(B350="","",IFERROR("시편 "&amp;INDEX(시편_시리즈!$A$2:$A$151,MATCH("시편|"&amp;TEXT(B350,"yyyy-mm-dd"),시편_시리즈!$Y$2:$Y$151,0))&amp;"편  "&amp;INDEX(시편_시리즈!$G$2:$G$151,MATCH("시편|"&amp;TEXT(B350,"yyyy-mm-dd"),시편_시리즈!$Y$2:$Y$151,0)),""))</f>
        <v/>
      </c>
      <c r="G350" s="23" t="n">
        <f aca="false">IF(B350="","",(D350&lt;&gt;"")+(E350&lt;&gt;"")+(F350&lt;&gt;""))</f>
        <v>2</v>
      </c>
      <c r="H350" s="31" t="s">
        <v>10282</v>
      </c>
    </row>
    <row r="351" customFormat="false" ht="15" hidden="false" customHeight="false" outlineLevel="0" collapsed="false">
      <c r="A351" s="23" t="n">
        <f aca="false">IF(B351="","",350)</f>
        <v>350</v>
      </c>
      <c r="B351" s="26" t="n">
        <f aca="false">IF(안내!$C$9+349&gt;MAX(MAX(A타입_제작표!$U$2:$U$799),MAX(시편_시리즈!$Q$2:$Q$151)),"",안내!$C$9+349)</f>
        <v>46740</v>
      </c>
      <c r="C351" s="23" t="str">
        <f aca="false">IF(B351="","",CHOOSE(WEEKDAY(B351,2),"월","화","수","목","금","토","일"))</f>
        <v>일</v>
      </c>
      <c r="D351" s="24" t="str">
        <f aca="false">IF(B351="","",IFERROR(INDEX(A타입_제작표!$J$2:$J$799,MATCH("구약|"&amp;TEXT(B351,"yyyy-mm-dd"),A타입_제작표!$AQ$2:$AQ$799,0))&amp;"  "&amp;INDEX(A타입_제작표!$L$2:$L$799,MATCH("구약|"&amp;TEXT(B351,"yyyy-mm-dd"),A타입_제작표!$AQ$2:$AQ$799,0)),""))</f>
        <v>왕상 22:1-53  400 대 1</v>
      </c>
      <c r="E351" s="24" t="str">
        <f aca="false">IF(B351="","",IFERROR(INDEX(A타입_제작표!$J$2:$J$799,MATCH("신약|"&amp;TEXT(B351,"yyyy-mm-dd"),A타입_제작표!$AQ$2:$AQ$799,0))&amp;"  "&amp;INDEX(A타입_제작표!$L$2:$L$799,MATCH("신약|"&amp;TEXT(B351,"yyyy-mm-dd"),A타입_제작표!$AQ$2:$AQ$799,0)),""))</f>
        <v/>
      </c>
      <c r="F351" s="24" t="str">
        <f aca="false">IF(B351="","",IFERROR("시편 "&amp;INDEX(시편_시리즈!$A$2:$A$151,MATCH("시편|"&amp;TEXT(B351,"yyyy-mm-dd"),시편_시리즈!$Y$2:$Y$151,0))&amp;"편  "&amp;INDEX(시편_시리즈!$G$2:$G$151,MATCH("시편|"&amp;TEXT(B351,"yyyy-mm-dd"),시편_시리즈!$Y$2:$Y$151,0)),""))</f>
        <v>시편 150편  호흡이 있는 자마다</v>
      </c>
      <c r="G351" s="23" t="n">
        <f aca="false">IF(B351="","",(D351&lt;&gt;"")+(E351&lt;&gt;"")+(F351&lt;&gt;""))</f>
        <v>2</v>
      </c>
      <c r="H351" s="31" t="s">
        <v>10282</v>
      </c>
    </row>
    <row r="352" customFormat="false" ht="15" hidden="false" customHeight="false" outlineLevel="0" collapsed="false">
      <c r="A352" s="23" t="n">
        <f aca="false">IF(B352="","",351)</f>
        <v>351</v>
      </c>
      <c r="B352" s="26" t="n">
        <f aca="false">IF(안내!$C$9+350&gt;MAX(MAX(A타입_제작표!$U$2:$U$799),MAX(시편_시리즈!$Q$2:$Q$151)),"",안내!$C$9+350)</f>
        <v>46741</v>
      </c>
      <c r="C352" s="23" t="str">
        <f aca="false">IF(B352="","",CHOOSE(WEEKDAY(B352,2),"월","화","수","목","금","토","일"))</f>
        <v>월</v>
      </c>
      <c r="D352" s="24" t="str">
        <f aca="false">IF(B352="","",IFERROR(INDEX(A타입_제작표!$J$2:$J$799,MATCH("구약|"&amp;TEXT(B352,"yyyy-mm-dd"),A타입_제작표!$AQ$2:$AQ$799,0))&amp;"  "&amp;INDEX(A타입_제작표!$L$2:$L$799,MATCH("구약|"&amp;TEXT(B352,"yyyy-mm-dd"),A타입_제작표!$AQ$2:$AQ$799,0)),""))</f>
        <v>왕하 1:1-18  에그론의 신에게 묻다</v>
      </c>
      <c r="E352" s="24" t="str">
        <f aca="false">IF(B352="","",IFERROR(INDEX(A타입_제작표!$J$2:$J$799,MATCH("신약|"&amp;TEXT(B352,"yyyy-mm-dd"),A타입_제작표!$AQ$2:$AQ$799,0))&amp;"  "&amp;INDEX(A타입_제작표!$L$2:$L$799,MATCH("신약|"&amp;TEXT(B352,"yyyy-mm-dd"),A타입_제작표!$AQ$2:$AQ$799,0)),""))</f>
        <v>고후 1:1-2:17  위로의 하나님</v>
      </c>
      <c r="F352" s="24" t="str">
        <f aca="false">IF(B352="","",IFERROR("시편 "&amp;INDEX(시편_시리즈!$A$2:$A$151,MATCH("시편|"&amp;TEXT(B352,"yyyy-mm-dd"),시편_시리즈!$Y$2:$Y$151,0))&amp;"편  "&amp;INDEX(시편_시리즈!$G$2:$G$151,MATCH("시편|"&amp;TEXT(B352,"yyyy-mm-dd"),시편_시리즈!$Y$2:$Y$151,0)),""))</f>
        <v/>
      </c>
      <c r="G352" s="23" t="n">
        <f aca="false">IF(B352="","",(D352&lt;&gt;"")+(E352&lt;&gt;"")+(F352&lt;&gt;""))</f>
        <v>2</v>
      </c>
      <c r="H352" s="31" t="s">
        <v>10282</v>
      </c>
    </row>
    <row r="353" customFormat="false" ht="15" hidden="false" customHeight="false" outlineLevel="0" collapsed="false">
      <c r="A353" s="23" t="n">
        <f aca="false">IF(B353="","",352)</f>
        <v>352</v>
      </c>
      <c r="B353" s="26" t="n">
        <f aca="false">IF(안내!$C$9+351&gt;MAX(MAX(A타입_제작표!$U$2:$U$799),MAX(시편_시리즈!$Q$2:$Q$151)),"",안내!$C$9+351)</f>
        <v>46742</v>
      </c>
      <c r="C353" s="23" t="str">
        <f aca="false">IF(B353="","",CHOOSE(WEEKDAY(B353,2),"월","화","수","목","금","토","일"))</f>
        <v>화</v>
      </c>
      <c r="D353" s="24" t="str">
        <f aca="false">IF(B353="","",IFERROR(INDEX(A타입_제작표!$J$2:$J$799,MATCH("구약|"&amp;TEXT(B353,"yyyy-mm-dd"),A타입_제작표!$AQ$2:$AQ$799,0))&amp;"  "&amp;INDEX(A타입_제작표!$L$2:$L$799,MATCH("구약|"&amp;TEXT(B353,"yyyy-mm-dd"),A타입_제작표!$AQ$2:$AQ$799,0)),""))</f>
        <v>왕하 2:15-25  엘리사의 첫 기적</v>
      </c>
      <c r="E353" s="24" t="str">
        <f aca="false">IF(B353="","",IFERROR(INDEX(A타입_제작표!$J$2:$J$799,MATCH("신약|"&amp;TEXT(B353,"yyyy-mm-dd"),A타입_제작표!$AQ$2:$AQ$799,0))&amp;"  "&amp;INDEX(A타입_제작표!$L$2:$L$799,MATCH("신약|"&amp;TEXT(B353,"yyyy-mm-dd"),A타입_제작표!$AQ$2:$AQ$799,0)),""))</f>
        <v/>
      </c>
      <c r="F353" s="24" t="str">
        <f aca="false">IF(B353="","",IFERROR("시편 "&amp;INDEX(시편_시리즈!$A$2:$A$151,MATCH("시편|"&amp;TEXT(B353,"yyyy-mm-dd"),시편_시리즈!$Y$2:$Y$151,0))&amp;"편  "&amp;INDEX(시편_시리즈!$G$2:$G$151,MATCH("시편|"&amp;TEXT(B353,"yyyy-mm-dd"),시편_시리즈!$Y$2:$Y$151,0)),""))</f>
        <v/>
      </c>
      <c r="G353" s="23" t="n">
        <f aca="false">IF(B353="","",(D353&lt;&gt;"")+(E353&lt;&gt;"")+(F353&lt;&gt;""))</f>
        <v>1</v>
      </c>
      <c r="H353" s="31" t="s">
        <v>10282</v>
      </c>
    </row>
    <row r="354" customFormat="false" ht="15" hidden="false" customHeight="false" outlineLevel="0" collapsed="false">
      <c r="A354" s="23" t="n">
        <f aca="false">IF(B354="","",353)</f>
        <v>353</v>
      </c>
      <c r="B354" s="26" t="n">
        <f aca="false">IF(안내!$C$9+352&gt;MAX(MAX(A타입_제작표!$U$2:$U$799),MAX(시편_시리즈!$Q$2:$Q$151)),"",안내!$C$9+352)</f>
        <v>46743</v>
      </c>
      <c r="C354" s="23" t="str">
        <f aca="false">IF(B354="","",CHOOSE(WEEKDAY(B354,2),"월","화","수","목","금","토","일"))</f>
        <v>수</v>
      </c>
      <c r="D354" s="24" t="str">
        <f aca="false">IF(B354="","",IFERROR(INDEX(A타입_제작표!$J$2:$J$799,MATCH("구약|"&amp;TEXT(B354,"yyyy-mm-dd"),A타입_제작표!$AQ$2:$AQ$799,0))&amp;"  "&amp;INDEX(A타입_제작표!$L$2:$L$799,MATCH("구약|"&amp;TEXT(B354,"yyyy-mm-dd"),A타입_제작표!$AQ$2:$AQ$799,0)),""))</f>
        <v>왕하 3:1-27  골짜기에 물이 가득</v>
      </c>
      <c r="E354" s="24" t="str">
        <f aca="false">IF(B354="","",IFERROR(INDEX(A타입_제작표!$J$2:$J$799,MATCH("신약|"&amp;TEXT(B354,"yyyy-mm-dd"),A타입_제작표!$AQ$2:$AQ$799,0))&amp;"  "&amp;INDEX(A타입_제작표!$L$2:$L$799,MATCH("신약|"&amp;TEXT(B354,"yyyy-mm-dd"),A타입_제작표!$AQ$2:$AQ$799,0)),""))</f>
        <v>고후 3:1-4:18  질그릇 속의 보배</v>
      </c>
      <c r="F354" s="24" t="str">
        <f aca="false">IF(B354="","",IFERROR("시편 "&amp;INDEX(시편_시리즈!$A$2:$A$151,MATCH("시편|"&amp;TEXT(B354,"yyyy-mm-dd"),시편_시리즈!$Y$2:$Y$151,0))&amp;"편  "&amp;INDEX(시편_시리즈!$G$2:$G$151,MATCH("시편|"&amp;TEXT(B354,"yyyy-mm-dd"),시편_시리즈!$Y$2:$Y$151,0)),""))</f>
        <v/>
      </c>
      <c r="G354" s="23" t="n">
        <f aca="false">IF(B354="","",(D354&lt;&gt;"")+(E354&lt;&gt;"")+(F354&lt;&gt;""))</f>
        <v>2</v>
      </c>
      <c r="H354" s="31" t="s">
        <v>10282</v>
      </c>
    </row>
    <row r="355" customFormat="false" ht="15" hidden="false" customHeight="false" outlineLevel="0" collapsed="false">
      <c r="A355" s="23" t="n">
        <f aca="false">IF(B355="","",354)</f>
        <v>354</v>
      </c>
      <c r="B355" s="26" t="n">
        <f aca="false">IF(안내!$C$9+353&gt;MAX(MAX(A타입_제작표!$U$2:$U$799),MAX(시편_시리즈!$Q$2:$Q$151)),"",안내!$C$9+353)</f>
        <v>46744</v>
      </c>
      <c r="C355" s="23" t="str">
        <f aca="false">IF(B355="","",CHOOSE(WEEKDAY(B355,2),"월","화","수","목","금","토","일"))</f>
        <v>목</v>
      </c>
      <c r="D355" s="24" t="str">
        <f aca="false">IF(B355="","",IFERROR(INDEX(A타입_제작표!$J$2:$J$799,MATCH("구약|"&amp;TEXT(B355,"yyyy-mm-dd"),A타입_제작표!$AQ$2:$AQ$799,0))&amp;"  "&amp;INDEX(A타입_제작표!$L$2:$L$799,MATCH("구약|"&amp;TEXT(B355,"yyyy-mm-dd"),A타입_제작표!$AQ$2:$AQ$799,0)),""))</f>
        <v>왕하 4:1-7  과부의 기름병</v>
      </c>
      <c r="E355" s="24" t="str">
        <f aca="false">IF(B355="","",IFERROR(INDEX(A타입_제작표!$J$2:$J$799,MATCH("신약|"&amp;TEXT(B355,"yyyy-mm-dd"),A타입_제작표!$AQ$2:$AQ$799,0))&amp;"  "&amp;INDEX(A타입_제작표!$L$2:$L$799,MATCH("신약|"&amp;TEXT(B355,"yyyy-mm-dd"),A타입_제작표!$AQ$2:$AQ$799,0)),""))</f>
        <v/>
      </c>
      <c r="F355" s="24" t="str">
        <f aca="false">IF(B355="","",IFERROR("시편 "&amp;INDEX(시편_시리즈!$A$2:$A$151,MATCH("시편|"&amp;TEXT(B355,"yyyy-mm-dd"),시편_시리즈!$Y$2:$Y$151,0))&amp;"편  "&amp;INDEX(시편_시리즈!$G$2:$G$151,MATCH("시편|"&amp;TEXT(B355,"yyyy-mm-dd"),시편_시리즈!$Y$2:$Y$151,0)),""))</f>
        <v/>
      </c>
      <c r="G355" s="23" t="n">
        <f aca="false">IF(B355="","",(D355&lt;&gt;"")+(E355&lt;&gt;"")+(F355&lt;&gt;""))</f>
        <v>1</v>
      </c>
      <c r="H355" s="31" t="s">
        <v>10282</v>
      </c>
    </row>
    <row r="356" customFormat="false" ht="15" hidden="false" customHeight="false" outlineLevel="0" collapsed="false">
      <c r="A356" s="23" t="n">
        <f aca="false">IF(B356="","",355)</f>
        <v>355</v>
      </c>
      <c r="B356" s="26" t="n">
        <f aca="false">IF(안내!$C$9+354&gt;MAX(MAX(A타입_제작표!$U$2:$U$799),MAX(시편_시리즈!$Q$2:$Q$151)),"",안내!$C$9+354)</f>
        <v>46745</v>
      </c>
      <c r="C356" s="23" t="str">
        <f aca="false">IF(B356="","",CHOOSE(WEEKDAY(B356,2),"월","화","수","목","금","토","일"))</f>
        <v>금</v>
      </c>
      <c r="D356" s="24" t="str">
        <f aca="false">IF(B356="","",IFERROR(INDEX(A타입_제작표!$J$2:$J$799,MATCH("구약|"&amp;TEXT(B356,"yyyy-mm-dd"),A타입_제작표!$AQ$2:$AQ$799,0))&amp;"  "&amp;INDEX(A타입_제작표!$L$2:$L$799,MATCH("구약|"&amp;TEXT(B356,"yyyy-mm-dd"),A타입_제작표!$AQ$2:$AQ$799,0)),""))</f>
        <v>왕하 4:38-44  국 속의 독, 보리떡 20개</v>
      </c>
      <c r="E356" s="24" t="str">
        <f aca="false">IF(B356="","",IFERROR(INDEX(A타입_제작표!$J$2:$J$799,MATCH("신약|"&amp;TEXT(B356,"yyyy-mm-dd"),A타입_제작표!$AQ$2:$AQ$799,0))&amp;"  "&amp;INDEX(A타입_제작표!$L$2:$L$799,MATCH("신약|"&amp;TEXT(B356,"yyyy-mm-dd"),A타입_제작표!$AQ$2:$AQ$799,0)),""))</f>
        <v>고후 5:1-21  새로운 피조물</v>
      </c>
      <c r="F356" s="24" t="str">
        <f aca="false">IF(B356="","",IFERROR("시편 "&amp;INDEX(시편_시리즈!$A$2:$A$151,MATCH("시편|"&amp;TEXT(B356,"yyyy-mm-dd"),시편_시리즈!$Y$2:$Y$151,0))&amp;"편  "&amp;INDEX(시편_시리즈!$G$2:$G$151,MATCH("시편|"&amp;TEXT(B356,"yyyy-mm-dd"),시편_시리즈!$Y$2:$Y$151,0)),""))</f>
        <v/>
      </c>
      <c r="G356" s="23" t="n">
        <f aca="false">IF(B356="","",(D356&lt;&gt;"")+(E356&lt;&gt;"")+(F356&lt;&gt;""))</f>
        <v>2</v>
      </c>
      <c r="H356" s="31" t="s">
        <v>10282</v>
      </c>
    </row>
    <row r="357" customFormat="false" ht="15" hidden="false" customHeight="false" outlineLevel="0" collapsed="false">
      <c r="A357" s="23" t="n">
        <f aca="false">IF(B357="","",356)</f>
        <v>356</v>
      </c>
      <c r="B357" s="26" t="n">
        <f aca="false">IF(안내!$C$9+355&gt;MAX(MAX(A타입_제작표!$U$2:$U$799),MAX(시편_시리즈!$Q$2:$Q$151)),"",안내!$C$9+355)</f>
        <v>46746</v>
      </c>
      <c r="C357" s="23" t="str">
        <f aca="false">IF(B357="","",CHOOSE(WEEKDAY(B357,2),"월","화","수","목","금","토","일"))</f>
        <v>토</v>
      </c>
      <c r="D357" s="24" t="str">
        <f aca="false">IF(B357="","",IFERROR(INDEX(A타입_제작표!$J$2:$J$799,MATCH("구약|"&amp;TEXT(B357,"yyyy-mm-dd"),A타입_제작표!$AQ$2:$AQ$799,0))&amp;"  "&amp;INDEX(A타입_제작표!$L$2:$L$799,MATCH("구약|"&amp;TEXT(B357,"yyyy-mm-dd"),A타입_제작표!$AQ$2:$AQ$799,0)),""))</f>
        <v>왕하 5:20-27  게하시의 거짓말</v>
      </c>
      <c r="E357" s="24" t="str">
        <f aca="false">IF(B357="","",IFERROR(INDEX(A타입_제작표!$J$2:$J$799,MATCH("신약|"&amp;TEXT(B357,"yyyy-mm-dd"),A타입_제작표!$AQ$2:$AQ$799,0))&amp;"  "&amp;INDEX(A타입_제작표!$L$2:$L$799,MATCH("신약|"&amp;TEXT(B357,"yyyy-mm-dd"),A타입_제작표!$AQ$2:$AQ$799,0)),""))</f>
        <v>고후 6:1-7:16  지금은 구원의 날</v>
      </c>
      <c r="F357" s="24" t="str">
        <f aca="false">IF(B357="","",IFERROR("시편 "&amp;INDEX(시편_시리즈!$A$2:$A$151,MATCH("시편|"&amp;TEXT(B357,"yyyy-mm-dd"),시편_시리즈!$Y$2:$Y$151,0))&amp;"편  "&amp;INDEX(시편_시리즈!$G$2:$G$151,MATCH("시편|"&amp;TEXT(B357,"yyyy-mm-dd"),시편_시리즈!$Y$2:$Y$151,0)),""))</f>
        <v/>
      </c>
      <c r="G357" s="23" t="n">
        <f aca="false">IF(B357="","",(D357&lt;&gt;"")+(E357&lt;&gt;"")+(F357&lt;&gt;""))</f>
        <v>2</v>
      </c>
      <c r="H357" s="31" t="s">
        <v>10282</v>
      </c>
    </row>
    <row r="358" customFormat="false" ht="15" hidden="false" customHeight="false" outlineLevel="0" collapsed="false">
      <c r="A358" s="23" t="n">
        <f aca="false">IF(B358="","",357)</f>
        <v>357</v>
      </c>
      <c r="B358" s="26" t="n">
        <f aca="false">IF(안내!$C$9+356&gt;MAX(MAX(A타입_제작표!$U$2:$U$799),MAX(시편_시리즈!$Q$2:$Q$151)),"",안내!$C$9+356)</f>
        <v>46747</v>
      </c>
      <c r="C358" s="23" t="str">
        <f aca="false">IF(B358="","",CHOOSE(WEEKDAY(B358,2),"월","화","수","목","금","토","일"))</f>
        <v>일</v>
      </c>
      <c r="D358" s="24" t="str">
        <f aca="false">IF(B358="","",IFERROR(INDEX(A타입_제작표!$J$2:$J$799,MATCH("구약|"&amp;TEXT(B358,"yyyy-mm-dd"),A타입_제작표!$AQ$2:$AQ$799,0))&amp;"  "&amp;INDEX(A타입_제작표!$L$2:$L$799,MATCH("구약|"&amp;TEXT(B358,"yyyy-mm-dd"),A타입_제작표!$AQ$2:$AQ$799,0)),""))</f>
        <v>왕하 6:1-7  떠오른 도끼</v>
      </c>
      <c r="E358" s="24" t="str">
        <f aca="false">IF(B358="","",IFERROR(INDEX(A타입_제작표!$J$2:$J$799,MATCH("신약|"&amp;TEXT(B358,"yyyy-mm-dd"),A타입_제작표!$AQ$2:$AQ$799,0))&amp;"  "&amp;INDEX(A타입_제작표!$L$2:$L$799,MATCH("신약|"&amp;TEXT(B358,"yyyy-mm-dd"),A타입_제작표!$AQ$2:$AQ$799,0)),""))</f>
        <v/>
      </c>
      <c r="F358" s="24" t="str">
        <f aca="false">IF(B358="","",IFERROR("시편 "&amp;INDEX(시편_시리즈!$A$2:$A$151,MATCH("시편|"&amp;TEXT(B358,"yyyy-mm-dd"),시편_시리즈!$Y$2:$Y$151,0))&amp;"편  "&amp;INDEX(시편_시리즈!$G$2:$G$151,MATCH("시편|"&amp;TEXT(B358,"yyyy-mm-dd"),시편_시리즈!$Y$2:$Y$151,0)),""))</f>
        <v/>
      </c>
      <c r="G358" s="23" t="n">
        <f aca="false">IF(B358="","",(D358&lt;&gt;"")+(E358&lt;&gt;"")+(F358&lt;&gt;""))</f>
        <v>1</v>
      </c>
      <c r="H358" s="31" t="s">
        <v>10282</v>
      </c>
    </row>
    <row r="359" customFormat="false" ht="15" hidden="false" customHeight="false" outlineLevel="0" collapsed="false">
      <c r="A359" s="23" t="n">
        <f aca="false">IF(B359="","",358)</f>
        <v>358</v>
      </c>
      <c r="B359" s="26" t="n">
        <f aca="false">IF(안내!$C$9+357&gt;MAX(MAX(A타입_제작표!$U$2:$U$799),MAX(시편_시리즈!$Q$2:$Q$151)),"",안내!$C$9+357)</f>
        <v>46748</v>
      </c>
      <c r="C359" s="23" t="str">
        <f aca="false">IF(B359="","",CHOOSE(WEEKDAY(B359,2),"월","화","수","목","금","토","일"))</f>
        <v>월</v>
      </c>
      <c r="D359" s="24" t="str">
        <f aca="false">IF(B359="","",IFERROR(INDEX(A타입_제작표!$J$2:$J$799,MATCH("구약|"&amp;TEXT(B359,"yyyy-mm-dd"),A타입_제작표!$AQ$2:$AQ$799,0))&amp;"  "&amp;INDEX(A타입_제작표!$L$2:$L$799,MATCH("구약|"&amp;TEXT(B359,"yyyy-mm-dd"),A타입_제작표!$AQ$2:$AQ$799,0)),""))</f>
        <v>왕하 8:1-29  돌려받은 땅</v>
      </c>
      <c r="E359" s="24" t="str">
        <f aca="false">IF(B359="","",IFERROR(INDEX(A타입_제작표!$J$2:$J$799,MATCH("신약|"&amp;TEXT(B359,"yyyy-mm-dd"),A타입_제작표!$AQ$2:$AQ$799,0))&amp;"  "&amp;INDEX(A타입_제작표!$L$2:$L$799,MATCH("신약|"&amp;TEXT(B359,"yyyy-mm-dd"),A타입_제작표!$AQ$2:$AQ$799,0)),""))</f>
        <v>고후 8:1-9:15  즐겨 내는 자</v>
      </c>
      <c r="F359" s="24" t="str">
        <f aca="false">IF(B359="","",IFERROR("시편 "&amp;INDEX(시편_시리즈!$A$2:$A$151,MATCH("시편|"&amp;TEXT(B359,"yyyy-mm-dd"),시편_시리즈!$Y$2:$Y$151,0))&amp;"편  "&amp;INDEX(시편_시리즈!$G$2:$G$151,MATCH("시편|"&amp;TEXT(B359,"yyyy-mm-dd"),시편_시리즈!$Y$2:$Y$151,0)),""))</f>
        <v/>
      </c>
      <c r="G359" s="23" t="n">
        <f aca="false">IF(B359="","",(D359&lt;&gt;"")+(E359&lt;&gt;"")+(F359&lt;&gt;""))</f>
        <v>2</v>
      </c>
      <c r="H359" s="31" t="s">
        <v>10282</v>
      </c>
    </row>
    <row r="360" customFormat="false" ht="15" hidden="false" customHeight="false" outlineLevel="0" collapsed="false">
      <c r="A360" s="23" t="n">
        <f aca="false">IF(B360="","",359)</f>
        <v>359</v>
      </c>
      <c r="B360" s="26" t="n">
        <f aca="false">IF(안내!$C$9+358&gt;MAX(MAX(A타입_제작표!$U$2:$U$799),MAX(시편_시리즈!$Q$2:$Q$151)),"",안내!$C$9+358)</f>
        <v>46749</v>
      </c>
      <c r="C360" s="23" t="str">
        <f aca="false">IF(B360="","",CHOOSE(WEEKDAY(B360,2),"월","화","수","목","금","토","일"))</f>
        <v>화</v>
      </c>
      <c r="D360" s="24" t="str">
        <f aca="false">IF(B360="","",IFERROR(INDEX(A타입_제작표!$J$2:$J$799,MATCH("구약|"&amp;TEXT(B360,"yyyy-mm-dd"),A타입_제작표!$AQ$2:$AQ$799,0))&amp;"  "&amp;INDEX(A타입_제작표!$L$2:$L$799,MATCH("구약|"&amp;TEXT(B360,"yyyy-mm-dd"),A타입_제작표!$AQ$2:$AQ$799,0)),""))</f>
        <v>왕하 9:1-37  예후의 질주</v>
      </c>
      <c r="E360" s="24" t="str">
        <f aca="false">IF(B360="","",IFERROR(INDEX(A타입_제작표!$J$2:$J$799,MATCH("신약|"&amp;TEXT(B360,"yyyy-mm-dd"),A타입_제작표!$AQ$2:$AQ$799,0))&amp;"  "&amp;INDEX(A타입_제작표!$L$2:$L$799,MATCH("신약|"&amp;TEXT(B360,"yyyy-mm-dd"),A타입_제작표!$AQ$2:$AQ$799,0)),""))</f>
        <v/>
      </c>
      <c r="F360" s="24" t="str">
        <f aca="false">IF(B360="","",IFERROR("시편 "&amp;INDEX(시편_시리즈!$A$2:$A$151,MATCH("시편|"&amp;TEXT(B360,"yyyy-mm-dd"),시편_시리즈!$Y$2:$Y$151,0))&amp;"편  "&amp;INDEX(시편_시리즈!$G$2:$G$151,MATCH("시편|"&amp;TEXT(B360,"yyyy-mm-dd"),시편_시리즈!$Y$2:$Y$151,0)),""))</f>
        <v/>
      </c>
      <c r="G360" s="23" t="n">
        <f aca="false">IF(B360="","",(D360&lt;&gt;"")+(E360&lt;&gt;"")+(F360&lt;&gt;""))</f>
        <v>1</v>
      </c>
      <c r="H360" s="31" t="s">
        <v>10282</v>
      </c>
    </row>
    <row r="361" customFormat="false" ht="15" hidden="false" customHeight="false" outlineLevel="0" collapsed="false">
      <c r="A361" s="23" t="n">
        <f aca="false">IF(B361="","",360)</f>
        <v>360</v>
      </c>
      <c r="B361" s="26" t="n">
        <f aca="false">IF(안내!$C$9+359&gt;MAX(MAX(A타입_제작표!$U$2:$U$799),MAX(시편_시리즈!$Q$2:$Q$151)),"",안내!$C$9+359)</f>
        <v>46750</v>
      </c>
      <c r="C361" s="23" t="str">
        <f aca="false">IF(B361="","",CHOOSE(WEEKDAY(B361,2),"월","화","수","목","금","토","일"))</f>
        <v>수</v>
      </c>
      <c r="D361" s="24" t="str">
        <f aca="false">IF(B361="","",IFERROR(INDEX(A타입_제작표!$J$2:$J$799,MATCH("구약|"&amp;TEXT(B361,"yyyy-mm-dd"),A타입_제작표!$AQ$2:$AQ$799,0))&amp;"  "&amp;INDEX(A타입_제작표!$L$2:$L$799,MATCH("구약|"&amp;TEXT(B361,"yyyy-mm-dd"),A타입_제작표!$AQ$2:$AQ$799,0)),""))</f>
        <v>왕하 10:1-36  반쪽짜리 개혁</v>
      </c>
      <c r="E361" s="24" t="str">
        <f aca="false">IF(B361="","",IFERROR(INDEX(A타입_제작표!$J$2:$J$799,MATCH("신약|"&amp;TEXT(B361,"yyyy-mm-dd"),A타입_제작표!$AQ$2:$AQ$799,0))&amp;"  "&amp;INDEX(A타입_제작표!$L$2:$L$799,MATCH("신약|"&amp;TEXT(B361,"yyyy-mm-dd"),A타입_제작표!$AQ$2:$AQ$799,0)),""))</f>
        <v>고후 10:1-13:13  내 은혜가 네게 족하도다</v>
      </c>
      <c r="F361" s="24" t="str">
        <f aca="false">IF(B361="","",IFERROR("시편 "&amp;INDEX(시편_시리즈!$A$2:$A$151,MATCH("시편|"&amp;TEXT(B361,"yyyy-mm-dd"),시편_시리즈!$Y$2:$Y$151,0))&amp;"편  "&amp;INDEX(시편_시리즈!$G$2:$G$151,MATCH("시편|"&amp;TEXT(B361,"yyyy-mm-dd"),시편_시리즈!$Y$2:$Y$151,0)),""))</f>
        <v/>
      </c>
      <c r="G361" s="23" t="n">
        <f aca="false">IF(B361="","",(D361&lt;&gt;"")+(E361&lt;&gt;"")+(F361&lt;&gt;""))</f>
        <v>2</v>
      </c>
      <c r="H361" s="31" t="s">
        <v>10282</v>
      </c>
    </row>
    <row r="362" customFormat="false" ht="15" hidden="false" customHeight="false" outlineLevel="0" collapsed="false">
      <c r="A362" s="23" t="n">
        <f aca="false">IF(B362="","",361)</f>
        <v>361</v>
      </c>
      <c r="B362" s="26" t="n">
        <f aca="false">IF(안내!$C$9+360&gt;MAX(MAX(A타입_제작표!$U$2:$U$799),MAX(시편_시리즈!$Q$2:$Q$151)),"",안내!$C$9+360)</f>
        <v>46751</v>
      </c>
      <c r="C362" s="23" t="str">
        <f aca="false">IF(B362="","",CHOOSE(WEEKDAY(B362,2),"월","화","수","목","금","토","일"))</f>
        <v>목</v>
      </c>
      <c r="D362" s="24" t="str">
        <f aca="false">IF(B362="","",IFERROR(INDEX(A타입_제작표!$J$2:$J$799,MATCH("구약|"&amp;TEXT(B362,"yyyy-mm-dd"),A타입_제작표!$AQ$2:$AQ$799,0))&amp;"  "&amp;INDEX(A타입_제작표!$L$2:$L$799,MATCH("구약|"&amp;TEXT(B362,"yyyy-mm-dd"),A타입_제작표!$AQ$2:$AQ$799,0)),""))</f>
        <v>왕하 12:1-21  성전을 수리하다</v>
      </c>
      <c r="E362" s="24" t="str">
        <f aca="false">IF(B362="","",IFERROR(INDEX(A타입_제작표!$J$2:$J$799,MATCH("신약|"&amp;TEXT(B362,"yyyy-mm-dd"),A타입_제작표!$AQ$2:$AQ$799,0))&amp;"  "&amp;INDEX(A타입_제작표!$L$2:$L$799,MATCH("신약|"&amp;TEXT(B362,"yyyy-mm-dd"),A타입_제작표!$AQ$2:$AQ$799,0)),""))</f>
        <v/>
      </c>
      <c r="F362" s="24" t="str">
        <f aca="false">IF(B362="","",IFERROR("시편 "&amp;INDEX(시편_시리즈!$A$2:$A$151,MATCH("시편|"&amp;TEXT(B362,"yyyy-mm-dd"),시편_시리즈!$Y$2:$Y$151,0))&amp;"편  "&amp;INDEX(시편_시리즈!$G$2:$G$151,MATCH("시편|"&amp;TEXT(B362,"yyyy-mm-dd"),시편_시리즈!$Y$2:$Y$151,0)),""))</f>
        <v/>
      </c>
      <c r="G362" s="23" t="n">
        <f aca="false">IF(B362="","",(D362&lt;&gt;"")+(E362&lt;&gt;"")+(F362&lt;&gt;""))</f>
        <v>1</v>
      </c>
      <c r="H362" s="31" t="s">
        <v>10282</v>
      </c>
    </row>
    <row r="363" customFormat="false" ht="15" hidden="false" customHeight="false" outlineLevel="0" collapsed="false">
      <c r="A363" s="23" t="n">
        <f aca="false">IF(B363="","",362)</f>
        <v>362</v>
      </c>
      <c r="B363" s="26" t="n">
        <f aca="false">IF(안내!$C$9+361&gt;MAX(MAX(A타입_제작표!$U$2:$U$799),MAX(시편_시리즈!$Q$2:$Q$151)),"",안내!$C$9+361)</f>
        <v>46752</v>
      </c>
      <c r="C363" s="23" t="str">
        <f aca="false">IF(B363="","",CHOOSE(WEEKDAY(B363,2),"월","화","수","목","금","토","일"))</f>
        <v>금</v>
      </c>
      <c r="D363" s="24" t="str">
        <f aca="false">IF(B363="","",IFERROR(INDEX(A타입_제작표!$J$2:$J$799,MATCH("구약|"&amp;TEXT(B363,"yyyy-mm-dd"),A타입_제작표!$AQ$2:$AQ$799,0))&amp;"  "&amp;INDEX(A타입_제작표!$L$2:$L$799,MATCH("구약|"&amp;TEXT(B363,"yyyy-mm-dd"),A타입_제작표!$AQ$2:$AQ$799,0)),""))</f>
        <v>왕하 13:1-25  엘리사의 뼈</v>
      </c>
      <c r="E363" s="24" t="str">
        <f aca="false">IF(B363="","",IFERROR(INDEX(A타입_제작표!$J$2:$J$799,MATCH("신약|"&amp;TEXT(B363,"yyyy-mm-dd"),A타입_제작표!$AQ$2:$AQ$799,0))&amp;"  "&amp;INDEX(A타입_제작표!$L$2:$L$799,MATCH("신약|"&amp;TEXT(B363,"yyyy-mm-dd"),A타입_제작표!$AQ$2:$AQ$799,0)),""))</f>
        <v>갈 1:1-2:21  다른 복음은 없다</v>
      </c>
      <c r="F363" s="24" t="str">
        <f aca="false">IF(B363="","",IFERROR("시편 "&amp;INDEX(시편_시리즈!$A$2:$A$151,MATCH("시편|"&amp;TEXT(B363,"yyyy-mm-dd"),시편_시리즈!$Y$2:$Y$151,0))&amp;"편  "&amp;INDEX(시편_시리즈!$G$2:$G$151,MATCH("시편|"&amp;TEXT(B363,"yyyy-mm-dd"),시편_시리즈!$Y$2:$Y$151,0)),""))</f>
        <v/>
      </c>
      <c r="G363" s="23" t="n">
        <f aca="false">IF(B363="","",(D363&lt;&gt;"")+(E363&lt;&gt;"")+(F363&lt;&gt;""))</f>
        <v>2</v>
      </c>
      <c r="H363" s="31" t="s">
        <v>10282</v>
      </c>
    </row>
    <row r="364" customFormat="false" ht="15" hidden="false" customHeight="false" outlineLevel="0" collapsed="false">
      <c r="A364" s="23" t="n">
        <f aca="false">IF(B364="","",363)</f>
        <v>363</v>
      </c>
      <c r="B364" s="26" t="n">
        <f aca="false">IF(안내!$C$9+362&gt;MAX(MAX(A타입_제작표!$U$2:$U$799),MAX(시편_시리즈!$Q$2:$Q$151)),"",안내!$C$9+362)</f>
        <v>46753</v>
      </c>
      <c r="C364" s="23" t="str">
        <f aca="false">IF(B364="","",CHOOSE(WEEKDAY(B364,2),"월","화","수","목","금","토","일"))</f>
        <v>토</v>
      </c>
      <c r="D364" s="24" t="str">
        <f aca="false">IF(B364="","",IFERROR(INDEX(A타입_제작표!$J$2:$J$799,MATCH("구약|"&amp;TEXT(B364,"yyyy-mm-dd"),A타입_제작표!$AQ$2:$AQ$799,0))&amp;"  "&amp;INDEX(A타입_제작표!$L$2:$L$799,MATCH("구약|"&amp;TEXT(B364,"yyyy-mm-dd"),A타입_제작표!$AQ$2:$AQ$799,0)),""))</f>
        <v>왕하 14:1-16:20  흔들리는 두 왕국</v>
      </c>
      <c r="E364" s="24" t="str">
        <f aca="false">IF(B364="","",IFERROR(INDEX(A타입_제작표!$J$2:$J$799,MATCH("신약|"&amp;TEXT(B364,"yyyy-mm-dd"),A타입_제작표!$AQ$2:$AQ$799,0))&amp;"  "&amp;INDEX(A타입_제작표!$L$2:$L$799,MATCH("신약|"&amp;TEXT(B364,"yyyy-mm-dd"),A타입_제작표!$AQ$2:$AQ$799,0)),""))</f>
        <v>갈 3:1-4:31  율법의 저주에서</v>
      </c>
      <c r="F364" s="24" t="str">
        <f aca="false">IF(B364="","",IFERROR("시편 "&amp;INDEX(시편_시리즈!$A$2:$A$151,MATCH("시편|"&amp;TEXT(B364,"yyyy-mm-dd"),시편_시리즈!$Y$2:$Y$151,0))&amp;"편  "&amp;INDEX(시편_시리즈!$G$2:$G$151,MATCH("시편|"&amp;TEXT(B364,"yyyy-mm-dd"),시편_시리즈!$Y$2:$Y$151,0)),""))</f>
        <v/>
      </c>
      <c r="G364" s="23" t="n">
        <f aca="false">IF(B364="","",(D364&lt;&gt;"")+(E364&lt;&gt;"")+(F364&lt;&gt;""))</f>
        <v>2</v>
      </c>
      <c r="H364" s="31" t="s">
        <v>10282</v>
      </c>
    </row>
    <row r="365" customFormat="false" ht="15" hidden="false" customHeight="false" outlineLevel="0" collapsed="false">
      <c r="A365" s="23" t="n">
        <f aca="false">IF(B365="","",364)</f>
        <v>364</v>
      </c>
      <c r="B365" s="26" t="n">
        <f aca="false">IF(안내!$C$9+363&gt;MAX(MAX(A타입_제작표!$U$2:$U$799),MAX(시편_시리즈!$Q$2:$Q$151)),"",안내!$C$9+363)</f>
        <v>46754</v>
      </c>
      <c r="C365" s="23" t="str">
        <f aca="false">IF(B365="","",CHOOSE(WEEKDAY(B365,2),"월","화","수","목","금","토","일"))</f>
        <v>일</v>
      </c>
      <c r="D365" s="24" t="str">
        <f aca="false">IF(B365="","",IFERROR(INDEX(A타입_제작표!$J$2:$J$799,MATCH("구약|"&amp;TEXT(B365,"yyyy-mm-dd"),A타입_제작표!$AQ$2:$AQ$799,0))&amp;"  "&amp;INDEX(A타입_제작표!$L$2:$L$799,MATCH("구약|"&amp;TEXT(B365,"yyyy-mm-dd"),A타입_제작표!$AQ$2:$AQ$799,0)),""))</f>
        <v>왕하 18:1-37  히스기야와 랍사게</v>
      </c>
      <c r="E365" s="24" t="str">
        <f aca="false">IF(B365="","",IFERROR(INDEX(A타입_제작표!$J$2:$J$799,MATCH("신약|"&amp;TEXT(B365,"yyyy-mm-dd"),A타입_제작표!$AQ$2:$AQ$799,0))&amp;"  "&amp;INDEX(A타입_제작표!$L$2:$L$799,MATCH("신약|"&amp;TEXT(B365,"yyyy-mm-dd"),A타입_제작표!$AQ$2:$AQ$799,0)),""))</f>
        <v/>
      </c>
      <c r="F365" s="24" t="str">
        <f aca="false">IF(B365="","",IFERROR("시편 "&amp;INDEX(시편_시리즈!$A$2:$A$151,MATCH("시편|"&amp;TEXT(B365,"yyyy-mm-dd"),시편_시리즈!$Y$2:$Y$151,0))&amp;"편  "&amp;INDEX(시편_시리즈!$G$2:$G$151,MATCH("시편|"&amp;TEXT(B365,"yyyy-mm-dd"),시편_시리즈!$Y$2:$Y$151,0)),""))</f>
        <v/>
      </c>
      <c r="G365" s="23" t="n">
        <f aca="false">IF(B365="","",(D365&lt;&gt;"")+(E365&lt;&gt;"")+(F365&lt;&gt;""))</f>
        <v>1</v>
      </c>
      <c r="H365" s="31" t="s">
        <v>10282</v>
      </c>
    </row>
    <row r="366" customFormat="false" ht="15" hidden="false" customHeight="false" outlineLevel="0" collapsed="false">
      <c r="A366" s="23" t="n">
        <f aca="false">IF(B366="","",365)</f>
        <v>365</v>
      </c>
      <c r="B366" s="26" t="n">
        <f aca="false">IF(안내!$C$9+364&gt;MAX(MAX(A타입_제작표!$U$2:$U$799),MAX(시편_시리즈!$Q$2:$Q$151)),"",안내!$C$9+364)</f>
        <v>46755</v>
      </c>
      <c r="C366" s="23" t="str">
        <f aca="false">IF(B366="","",CHOOSE(WEEKDAY(B366,2),"월","화","수","목","금","토","일"))</f>
        <v>월</v>
      </c>
      <c r="D366" s="24" t="str">
        <f aca="false">IF(B366="","",IFERROR(INDEX(A타입_제작표!$J$2:$J$799,MATCH("구약|"&amp;TEXT(B366,"yyyy-mm-dd"),A타입_제작표!$AQ$2:$AQ$799,0))&amp;"  "&amp;INDEX(A타입_제작표!$L$2:$L$799,MATCH("구약|"&amp;TEXT(B366,"yyyy-mm-dd"),A타입_제작표!$AQ$2:$AQ$799,0)),""))</f>
        <v>왕하 20:1-21  생명 15년 연장</v>
      </c>
      <c r="E366" s="24" t="str">
        <f aca="false">IF(B366="","",IFERROR(INDEX(A타입_제작표!$J$2:$J$799,MATCH("신약|"&amp;TEXT(B366,"yyyy-mm-dd"),A타입_제작표!$AQ$2:$AQ$799,0))&amp;"  "&amp;INDEX(A타입_제작표!$L$2:$L$799,MATCH("신약|"&amp;TEXT(B366,"yyyy-mm-dd"),A타입_제작표!$AQ$2:$AQ$799,0)),""))</f>
        <v>갈 5:1-15  자유를 주셨으니</v>
      </c>
      <c r="F366" s="24" t="str">
        <f aca="false">IF(B366="","",IFERROR("시편 "&amp;INDEX(시편_시리즈!$A$2:$A$151,MATCH("시편|"&amp;TEXT(B366,"yyyy-mm-dd"),시편_시리즈!$Y$2:$Y$151,0))&amp;"편  "&amp;INDEX(시편_시리즈!$G$2:$G$151,MATCH("시편|"&amp;TEXT(B366,"yyyy-mm-dd"),시편_시리즈!$Y$2:$Y$151,0)),""))</f>
        <v/>
      </c>
      <c r="G366" s="23" t="n">
        <f aca="false">IF(B366="","",(D366&lt;&gt;"")+(E366&lt;&gt;"")+(F366&lt;&gt;""))</f>
        <v>2</v>
      </c>
      <c r="H366" s="31" t="s">
        <v>10282</v>
      </c>
    </row>
    <row r="367" customFormat="false" ht="15" hidden="false" customHeight="false" outlineLevel="0" collapsed="false">
      <c r="A367" s="23" t="n">
        <f aca="false">IF(B367="","",366)</f>
        <v>366</v>
      </c>
      <c r="B367" s="26" t="n">
        <f aca="false">IF(안내!$C$9+365&gt;MAX(MAX(A타입_제작표!$U$2:$U$799),MAX(시편_시리즈!$Q$2:$Q$151)),"",안내!$C$9+365)</f>
        <v>46756</v>
      </c>
      <c r="C367" s="23" t="str">
        <f aca="false">IF(B367="","",CHOOSE(WEEKDAY(B367,2),"월","화","수","목","금","토","일"))</f>
        <v>화</v>
      </c>
      <c r="D367" s="24" t="str">
        <f aca="false">IF(B367="","",IFERROR(INDEX(A타입_제작표!$J$2:$J$799,MATCH("구약|"&amp;TEXT(B367,"yyyy-mm-dd"),A타입_제작표!$AQ$2:$AQ$799,0))&amp;"  "&amp;INDEX(A타입_제작표!$L$2:$L$799,MATCH("구약|"&amp;TEXT(B367,"yyyy-mm-dd"),A타입_제작표!$AQ$2:$AQ$799,0)),""))</f>
        <v>왕하 21:1-26  가장 악한 왕 므낫세</v>
      </c>
      <c r="E367" s="24" t="str">
        <f aca="false">IF(B367="","",IFERROR(INDEX(A타입_제작표!$J$2:$J$799,MATCH("신약|"&amp;TEXT(B367,"yyyy-mm-dd"),A타입_제작표!$AQ$2:$AQ$799,0))&amp;"  "&amp;INDEX(A타입_제작표!$L$2:$L$799,MATCH("신약|"&amp;TEXT(B367,"yyyy-mm-dd"),A타입_제작표!$AQ$2:$AQ$799,0)),""))</f>
        <v/>
      </c>
      <c r="F367" s="24" t="str">
        <f aca="false">IF(B367="","",IFERROR("시편 "&amp;INDEX(시편_시리즈!$A$2:$A$151,MATCH("시편|"&amp;TEXT(B367,"yyyy-mm-dd"),시편_시리즈!$Y$2:$Y$151,0))&amp;"편  "&amp;INDEX(시편_시리즈!$G$2:$G$151,MATCH("시편|"&amp;TEXT(B367,"yyyy-mm-dd"),시편_시리즈!$Y$2:$Y$151,0)),""))</f>
        <v/>
      </c>
      <c r="G367" s="23" t="n">
        <f aca="false">IF(B367="","",(D367&lt;&gt;"")+(E367&lt;&gt;"")+(F367&lt;&gt;""))</f>
        <v>1</v>
      </c>
      <c r="H367" s="31" t="s">
        <v>10282</v>
      </c>
    </row>
    <row r="368" customFormat="false" ht="15" hidden="false" customHeight="false" outlineLevel="0" collapsed="false">
      <c r="A368" s="23" t="n">
        <f aca="false">IF(B368="","",367)</f>
        <v>367</v>
      </c>
      <c r="B368" s="26" t="n">
        <f aca="false">IF(안내!$C$9+366&gt;MAX(MAX(A타입_제작표!$U$2:$U$799),MAX(시편_시리즈!$Q$2:$Q$151)),"",안내!$C$9+366)</f>
        <v>46757</v>
      </c>
      <c r="C368" s="23" t="str">
        <f aca="false">IF(B368="","",CHOOSE(WEEKDAY(B368,2),"월","화","수","목","금","토","일"))</f>
        <v>수</v>
      </c>
      <c r="D368" s="24" t="str">
        <f aca="false">IF(B368="","",IFERROR(INDEX(A타입_제작표!$J$2:$J$799,MATCH("구약|"&amp;TEXT(B368,"yyyy-mm-dd"),A타입_제작표!$AQ$2:$AQ$799,0))&amp;"  "&amp;INDEX(A타입_제작표!$L$2:$L$799,MATCH("구약|"&amp;TEXT(B368,"yyyy-mm-dd"),A타입_제작표!$AQ$2:$AQ$799,0)),""))</f>
        <v>왕하 23:1-30  요시야의 개혁</v>
      </c>
      <c r="E368" s="24" t="str">
        <f aca="false">IF(B368="","",IFERROR(INDEX(A타입_제작표!$J$2:$J$799,MATCH("신약|"&amp;TEXT(B368,"yyyy-mm-dd"),A타입_제작표!$AQ$2:$AQ$799,0))&amp;"  "&amp;INDEX(A타입_제작표!$L$2:$L$799,MATCH("신약|"&amp;TEXT(B368,"yyyy-mm-dd"),A타입_제작표!$AQ$2:$AQ$799,0)),""))</f>
        <v>갈 6:1-18  짐을 서로 지라</v>
      </c>
      <c r="F368" s="24" t="str">
        <f aca="false">IF(B368="","",IFERROR("시편 "&amp;INDEX(시편_시리즈!$A$2:$A$151,MATCH("시편|"&amp;TEXT(B368,"yyyy-mm-dd"),시편_시리즈!$Y$2:$Y$151,0))&amp;"편  "&amp;INDEX(시편_시리즈!$G$2:$G$151,MATCH("시편|"&amp;TEXT(B368,"yyyy-mm-dd"),시편_시리즈!$Y$2:$Y$151,0)),""))</f>
        <v/>
      </c>
      <c r="G368" s="23" t="n">
        <f aca="false">IF(B368="","",(D368&lt;&gt;"")+(E368&lt;&gt;"")+(F368&lt;&gt;""))</f>
        <v>2</v>
      </c>
      <c r="H368" s="31" t="s">
        <v>10282</v>
      </c>
    </row>
    <row r="369" customFormat="false" ht="15" hidden="false" customHeight="false" outlineLevel="0" collapsed="false">
      <c r="A369" s="23" t="n">
        <f aca="false">IF(B369="","",368)</f>
        <v>368</v>
      </c>
      <c r="B369" s="26" t="n">
        <f aca="false">IF(안내!$C$9+367&gt;MAX(MAX(A타입_제작표!$U$2:$U$799),MAX(시편_시리즈!$Q$2:$Q$151)),"",안내!$C$9+367)</f>
        <v>46758</v>
      </c>
      <c r="C369" s="23" t="str">
        <f aca="false">IF(B369="","",CHOOSE(WEEKDAY(B369,2),"월","화","수","목","금","토","일"))</f>
        <v>목</v>
      </c>
      <c r="D369" s="24" t="str">
        <f aca="false">IF(B369="","",IFERROR(INDEX(A타입_제작표!$J$2:$J$799,MATCH("구약|"&amp;TEXT(B369,"yyyy-mm-dd"),A타입_제작표!$AQ$2:$AQ$799,0))&amp;"  "&amp;INDEX(A타입_제작표!$L$2:$L$799,MATCH("구약|"&amp;TEXT(B369,"yyyy-mm-dd"),A타입_제작표!$AQ$2:$AQ$799,0)),""))</f>
        <v>왕하 23:31-24:20  무너지는 유다</v>
      </c>
      <c r="E369" s="24" t="str">
        <f aca="false">IF(B369="","",IFERROR(INDEX(A타입_제작표!$J$2:$J$799,MATCH("신약|"&amp;TEXT(B369,"yyyy-mm-dd"),A타입_제작표!$AQ$2:$AQ$799,0))&amp;"  "&amp;INDEX(A타입_제작표!$L$2:$L$799,MATCH("신약|"&amp;TEXT(B369,"yyyy-mm-dd"),A타입_제작표!$AQ$2:$AQ$799,0)),""))</f>
        <v/>
      </c>
      <c r="F369" s="24" t="str">
        <f aca="false">IF(B369="","",IFERROR("시편 "&amp;INDEX(시편_시리즈!$A$2:$A$151,MATCH("시편|"&amp;TEXT(B369,"yyyy-mm-dd"),시편_시리즈!$Y$2:$Y$151,0))&amp;"편  "&amp;INDEX(시편_시리즈!$G$2:$G$151,MATCH("시편|"&amp;TEXT(B369,"yyyy-mm-dd"),시편_시리즈!$Y$2:$Y$151,0)),""))</f>
        <v/>
      </c>
      <c r="G369" s="23" t="n">
        <f aca="false">IF(B369="","",(D369&lt;&gt;"")+(E369&lt;&gt;"")+(F369&lt;&gt;""))</f>
        <v>1</v>
      </c>
      <c r="H369" s="31" t="s">
        <v>10282</v>
      </c>
    </row>
    <row r="370" customFormat="false" ht="15" hidden="false" customHeight="false" outlineLevel="0" collapsed="false">
      <c r="A370" s="23" t="n">
        <f aca="false">IF(B370="","",369)</f>
        <v>369</v>
      </c>
      <c r="B370" s="26" t="n">
        <f aca="false">IF(안내!$C$9+368&gt;MAX(MAX(A타입_제작표!$U$2:$U$799),MAX(시편_시리즈!$Q$2:$Q$151)),"",안내!$C$9+368)</f>
        <v>46759</v>
      </c>
      <c r="C370" s="23" t="str">
        <f aca="false">IF(B370="","",CHOOSE(WEEKDAY(B370,2),"월","화","수","목","금","토","일"))</f>
        <v>금</v>
      </c>
      <c r="D370" s="24" t="str">
        <f aca="false">IF(B370="","",IFERROR(INDEX(A타입_제작표!$J$2:$J$799,MATCH("구약|"&amp;TEXT(B370,"yyyy-mm-dd"),A타입_제작표!$AQ$2:$AQ$799,0))&amp;"  "&amp;INDEX(A타입_제작표!$L$2:$L$799,MATCH("구약|"&amp;TEXT(B370,"yyyy-mm-dd"),A타입_제작표!$AQ$2:$AQ$799,0)),""))</f>
        <v>대상 1:1-9:44  아담부터 시작하는 족보</v>
      </c>
      <c r="E370" s="24" t="str">
        <f aca="false">IF(B370="","",IFERROR(INDEX(A타입_제작표!$J$2:$J$799,MATCH("신약|"&amp;TEXT(B370,"yyyy-mm-dd"),A타입_제작표!$AQ$2:$AQ$799,0))&amp;"  "&amp;INDEX(A타입_제작표!$L$2:$L$799,MATCH("신약|"&amp;TEXT(B370,"yyyy-mm-dd"),A타입_제작표!$AQ$2:$AQ$799,0)),""))</f>
        <v>엡 1:1-23  창세 전에</v>
      </c>
      <c r="F370" s="24" t="str">
        <f aca="false">IF(B370="","",IFERROR("시편 "&amp;INDEX(시편_시리즈!$A$2:$A$151,MATCH("시편|"&amp;TEXT(B370,"yyyy-mm-dd"),시편_시리즈!$Y$2:$Y$151,0))&amp;"편  "&amp;INDEX(시편_시리즈!$G$2:$G$151,MATCH("시편|"&amp;TEXT(B370,"yyyy-mm-dd"),시편_시리즈!$Y$2:$Y$151,0)),""))</f>
        <v/>
      </c>
      <c r="G370" s="23" t="n">
        <f aca="false">IF(B370="","",(D370&lt;&gt;"")+(E370&lt;&gt;"")+(F370&lt;&gt;""))</f>
        <v>2</v>
      </c>
      <c r="H370" s="31" t="s">
        <v>10282</v>
      </c>
    </row>
    <row r="371" customFormat="false" ht="15" hidden="false" customHeight="false" outlineLevel="0" collapsed="false">
      <c r="A371" s="23" t="n">
        <f aca="false">IF(B371="","",370)</f>
        <v>370</v>
      </c>
      <c r="B371" s="26" t="n">
        <f aca="false">IF(안내!$C$9+369&gt;MAX(MAX(A타입_제작표!$U$2:$U$799),MAX(시편_시리즈!$Q$2:$Q$151)),"",안내!$C$9+369)</f>
        <v>46760</v>
      </c>
      <c r="C371" s="23" t="str">
        <f aca="false">IF(B371="","",CHOOSE(WEEKDAY(B371,2),"월","화","수","목","금","토","일"))</f>
        <v>토</v>
      </c>
      <c r="D371" s="24" t="str">
        <f aca="false">IF(B371="","",IFERROR(INDEX(A타입_제작표!$J$2:$J$799,MATCH("구약|"&amp;TEXT(B371,"yyyy-mm-dd"),A타입_제작표!$AQ$2:$AQ$799,0))&amp;"  "&amp;INDEX(A타입_제작표!$L$2:$L$799,MATCH("구약|"&amp;TEXT(B371,"yyyy-mm-dd"),A타입_제작표!$AQ$2:$AQ$799,0)),""))</f>
        <v>대상 4:9-10  야베스의 기도</v>
      </c>
      <c r="E371" s="24" t="str">
        <f aca="false">IF(B371="","",IFERROR(INDEX(A타입_제작표!$J$2:$J$799,MATCH("신약|"&amp;TEXT(B371,"yyyy-mm-dd"),A타입_제작표!$AQ$2:$AQ$799,0))&amp;"  "&amp;INDEX(A타입_제작표!$L$2:$L$799,MATCH("신약|"&amp;TEXT(B371,"yyyy-mm-dd"),A타입_제작표!$AQ$2:$AQ$799,0)),""))</f>
        <v>엡 2:11-3:21  막힌 담을 허시고</v>
      </c>
      <c r="F371" s="24" t="str">
        <f aca="false">IF(B371="","",IFERROR("시편 "&amp;INDEX(시편_시리즈!$A$2:$A$151,MATCH("시편|"&amp;TEXT(B371,"yyyy-mm-dd"),시편_시리즈!$Y$2:$Y$151,0))&amp;"편  "&amp;INDEX(시편_시리즈!$G$2:$G$151,MATCH("시편|"&amp;TEXT(B371,"yyyy-mm-dd"),시편_시리즈!$Y$2:$Y$151,0)),""))</f>
        <v/>
      </c>
      <c r="G371" s="23" t="n">
        <f aca="false">IF(B371="","",(D371&lt;&gt;"")+(E371&lt;&gt;"")+(F371&lt;&gt;""))</f>
        <v>2</v>
      </c>
      <c r="H371" s="31" t="s">
        <v>10282</v>
      </c>
    </row>
    <row r="372" customFormat="false" ht="15" hidden="false" customHeight="false" outlineLevel="0" collapsed="false">
      <c r="A372" s="23" t="n">
        <f aca="false">IF(B372="","",371)</f>
        <v>371</v>
      </c>
      <c r="B372" s="26" t="n">
        <f aca="false">IF(안내!$C$9+370&gt;MAX(MAX(A타입_제작표!$U$2:$U$799),MAX(시편_시리즈!$Q$2:$Q$151)),"",안내!$C$9+370)</f>
        <v>46761</v>
      </c>
      <c r="C372" s="23" t="str">
        <f aca="false">IF(B372="","",CHOOSE(WEEKDAY(B372,2),"월","화","수","목","금","토","일"))</f>
        <v>일</v>
      </c>
      <c r="D372" s="24" t="str">
        <f aca="false">IF(B372="","",IFERROR(INDEX(A타입_제작표!$J$2:$J$799,MATCH("구약|"&amp;TEXT(B372,"yyyy-mm-dd"),A타입_제작표!$AQ$2:$AQ$799,0))&amp;"  "&amp;INDEX(A타입_제작표!$L$2:$L$799,MATCH("구약|"&amp;TEXT(B372,"yyyy-mm-dd"),A타입_제작표!$AQ$2:$AQ$799,0)),""))</f>
        <v>대상 10:1-12:40  다윗에게 모인 용사들</v>
      </c>
      <c r="E372" s="24" t="str">
        <f aca="false">IF(B372="","",IFERROR(INDEX(A타입_제작표!$J$2:$J$799,MATCH("신약|"&amp;TEXT(B372,"yyyy-mm-dd"),A타입_제작표!$AQ$2:$AQ$799,0))&amp;"  "&amp;INDEX(A타입_제작표!$L$2:$L$799,MATCH("신약|"&amp;TEXT(B372,"yyyy-mm-dd"),A타입_제작표!$AQ$2:$AQ$799,0)),""))</f>
        <v/>
      </c>
      <c r="F372" s="24" t="str">
        <f aca="false">IF(B372="","",IFERROR("시편 "&amp;INDEX(시편_시리즈!$A$2:$A$151,MATCH("시편|"&amp;TEXT(B372,"yyyy-mm-dd"),시편_시리즈!$Y$2:$Y$151,0))&amp;"편  "&amp;INDEX(시편_시리즈!$G$2:$G$151,MATCH("시편|"&amp;TEXT(B372,"yyyy-mm-dd"),시편_시리즈!$Y$2:$Y$151,0)),""))</f>
        <v/>
      </c>
      <c r="G372" s="23" t="n">
        <f aca="false">IF(B372="","",(D372&lt;&gt;"")+(E372&lt;&gt;"")+(F372&lt;&gt;""))</f>
        <v>1</v>
      </c>
      <c r="H372" s="31" t="s">
        <v>10282</v>
      </c>
    </row>
    <row r="373" customFormat="false" ht="15" hidden="false" customHeight="false" outlineLevel="0" collapsed="false">
      <c r="A373" s="23" t="n">
        <f aca="false">IF(B373="","",372)</f>
        <v>372</v>
      </c>
      <c r="B373" s="26" t="n">
        <f aca="false">IF(안내!$C$9+371&gt;MAX(MAX(A타입_제작표!$U$2:$U$799),MAX(시편_시리즈!$Q$2:$Q$151)),"",안내!$C$9+371)</f>
        <v>46762</v>
      </c>
      <c r="C373" s="23" t="str">
        <f aca="false">IF(B373="","",CHOOSE(WEEKDAY(B373,2),"월","화","수","목","금","토","일"))</f>
        <v>월</v>
      </c>
      <c r="D373" s="24" t="str">
        <f aca="false">IF(B373="","",IFERROR(INDEX(A타입_제작표!$J$2:$J$799,MATCH("구약|"&amp;TEXT(B373,"yyyy-mm-dd"),A타입_제작표!$AQ$2:$AQ$799,0))&amp;"  "&amp;INDEX(A타입_제작표!$L$2:$L$799,MATCH("구약|"&amp;TEXT(B373,"yyyy-mm-dd"),A타입_제작표!$AQ$2:$AQ$799,0)),""))</f>
        <v>대상 13:1-16:43  언약궤를 맞이하다</v>
      </c>
      <c r="E373" s="24" t="str">
        <f aca="false">IF(B373="","",IFERROR(INDEX(A타입_제작표!$J$2:$J$799,MATCH("신약|"&amp;TEXT(B373,"yyyy-mm-dd"),A타입_제작표!$AQ$2:$AQ$799,0))&amp;"  "&amp;INDEX(A타입_제작표!$L$2:$L$799,MATCH("신약|"&amp;TEXT(B373,"yyyy-mm-dd"),A타입_제작표!$AQ$2:$AQ$799,0)),""))</f>
        <v>엡 4:1-32  하나 됨을 힘써 지키라</v>
      </c>
      <c r="F373" s="24" t="str">
        <f aca="false">IF(B373="","",IFERROR("시편 "&amp;INDEX(시편_시리즈!$A$2:$A$151,MATCH("시편|"&amp;TEXT(B373,"yyyy-mm-dd"),시편_시리즈!$Y$2:$Y$151,0))&amp;"편  "&amp;INDEX(시편_시리즈!$G$2:$G$151,MATCH("시편|"&amp;TEXT(B373,"yyyy-mm-dd"),시편_시리즈!$Y$2:$Y$151,0)),""))</f>
        <v/>
      </c>
      <c r="G373" s="23" t="n">
        <f aca="false">IF(B373="","",(D373&lt;&gt;"")+(E373&lt;&gt;"")+(F373&lt;&gt;""))</f>
        <v>2</v>
      </c>
      <c r="H373" s="31" t="s">
        <v>10282</v>
      </c>
    </row>
    <row r="374" customFormat="false" ht="15" hidden="false" customHeight="false" outlineLevel="0" collapsed="false">
      <c r="A374" s="23" t="n">
        <f aca="false">IF(B374="","",373)</f>
        <v>373</v>
      </c>
      <c r="B374" s="26" t="n">
        <f aca="false">IF(안내!$C$9+372&gt;MAX(MAX(A타입_제작표!$U$2:$U$799),MAX(시편_시리즈!$Q$2:$Q$151)),"",안내!$C$9+372)</f>
        <v>46763</v>
      </c>
      <c r="C374" s="23" t="str">
        <f aca="false">IF(B374="","",CHOOSE(WEEKDAY(B374,2),"월","화","수","목","금","토","일"))</f>
        <v>화</v>
      </c>
      <c r="D374" s="24" t="str">
        <f aca="false">IF(B374="","",IFERROR(INDEX(A타입_제작표!$J$2:$J$799,MATCH("구약|"&amp;TEXT(B374,"yyyy-mm-dd"),A타입_제작표!$AQ$2:$AQ$799,0))&amp;"  "&amp;INDEX(A타입_제작표!$L$2:$L$799,MATCH("구약|"&amp;TEXT(B374,"yyyy-mm-dd"),A타입_제작표!$AQ$2:$AQ$799,0)),""))</f>
        <v>대상 17:1-21:30  오르난의 타작마당</v>
      </c>
      <c r="E374" s="24" t="str">
        <f aca="false">IF(B374="","",IFERROR(INDEX(A타입_제작표!$J$2:$J$799,MATCH("신약|"&amp;TEXT(B374,"yyyy-mm-dd"),A타입_제작표!$AQ$2:$AQ$799,0))&amp;"  "&amp;INDEX(A타입_제작표!$L$2:$L$799,MATCH("신약|"&amp;TEXT(B374,"yyyy-mm-dd"),A타입_제작표!$AQ$2:$AQ$799,0)),""))</f>
        <v/>
      </c>
      <c r="F374" s="24" t="str">
        <f aca="false">IF(B374="","",IFERROR("시편 "&amp;INDEX(시편_시리즈!$A$2:$A$151,MATCH("시편|"&amp;TEXT(B374,"yyyy-mm-dd"),시편_시리즈!$Y$2:$Y$151,0))&amp;"편  "&amp;INDEX(시편_시리즈!$G$2:$G$151,MATCH("시편|"&amp;TEXT(B374,"yyyy-mm-dd"),시편_시리즈!$Y$2:$Y$151,0)),""))</f>
        <v/>
      </c>
      <c r="G374" s="23" t="n">
        <f aca="false">IF(B374="","",(D374&lt;&gt;"")+(E374&lt;&gt;"")+(F374&lt;&gt;""))</f>
        <v>1</v>
      </c>
      <c r="H374" s="31" t="s">
        <v>10282</v>
      </c>
    </row>
    <row r="375" customFormat="false" ht="15" hidden="false" customHeight="false" outlineLevel="0" collapsed="false">
      <c r="A375" s="23" t="n">
        <f aca="false">IF(B375="","",374)</f>
        <v>374</v>
      </c>
      <c r="B375" s="26" t="n">
        <f aca="false">IF(안내!$C$9+373&gt;MAX(MAX(A타입_제작표!$U$2:$U$799),MAX(시편_시리즈!$Q$2:$Q$151)),"",안내!$C$9+373)</f>
        <v>46764</v>
      </c>
      <c r="C375" s="23" t="str">
        <f aca="false">IF(B375="","",CHOOSE(WEEKDAY(B375,2),"월","화","수","목","금","토","일"))</f>
        <v>수</v>
      </c>
      <c r="D375" s="24" t="str">
        <f aca="false">IF(B375="","",IFERROR(INDEX(A타입_제작표!$J$2:$J$799,MATCH("구약|"&amp;TEXT(B375,"yyyy-mm-dd"),A타입_제작표!$AQ$2:$AQ$799,0))&amp;"  "&amp;INDEX(A타입_제작표!$L$2:$L$799,MATCH("구약|"&amp;TEXT(B375,"yyyy-mm-dd"),A타입_제작표!$AQ$2:$AQ$799,0)),""))</f>
        <v>대상 22:1-27:34  성전을 준비하는 다윗</v>
      </c>
      <c r="E375" s="24" t="str">
        <f aca="false">IF(B375="","",IFERROR(INDEX(A타입_제작표!$J$2:$J$799,MATCH("신약|"&amp;TEXT(B375,"yyyy-mm-dd"),A타입_제작표!$AQ$2:$AQ$799,0))&amp;"  "&amp;INDEX(A타입_제작표!$L$2:$L$799,MATCH("신약|"&amp;TEXT(B375,"yyyy-mm-dd"),A타입_제작표!$AQ$2:$AQ$799,0)),""))</f>
        <v>엡 5:1-6:9  빛의 자녀</v>
      </c>
      <c r="F375" s="24" t="str">
        <f aca="false">IF(B375="","",IFERROR("시편 "&amp;INDEX(시편_시리즈!$A$2:$A$151,MATCH("시편|"&amp;TEXT(B375,"yyyy-mm-dd"),시편_시리즈!$Y$2:$Y$151,0))&amp;"편  "&amp;INDEX(시편_시리즈!$G$2:$G$151,MATCH("시편|"&amp;TEXT(B375,"yyyy-mm-dd"),시편_시리즈!$Y$2:$Y$151,0)),""))</f>
        <v/>
      </c>
      <c r="G375" s="23" t="n">
        <f aca="false">IF(B375="","",(D375&lt;&gt;"")+(E375&lt;&gt;"")+(F375&lt;&gt;""))</f>
        <v>2</v>
      </c>
      <c r="H375" s="31" t="s">
        <v>10282</v>
      </c>
    </row>
    <row r="376" customFormat="false" ht="15" hidden="false" customHeight="false" outlineLevel="0" collapsed="false">
      <c r="A376" s="23" t="n">
        <f aca="false">IF(B376="","",375)</f>
        <v>375</v>
      </c>
      <c r="B376" s="26" t="n">
        <f aca="false">IF(안내!$C$9+374&gt;MAX(MAX(A타입_제작표!$U$2:$U$799),MAX(시편_시리즈!$Q$2:$Q$151)),"",안내!$C$9+374)</f>
        <v>46765</v>
      </c>
      <c r="C376" s="23" t="str">
        <f aca="false">IF(B376="","",CHOOSE(WEEKDAY(B376,2),"월","화","수","목","금","토","일"))</f>
        <v>목</v>
      </c>
      <c r="D376" s="24" t="str">
        <f aca="false">IF(B376="","",IFERROR(INDEX(A타입_제작표!$J$2:$J$799,MATCH("구약|"&amp;TEXT(B376,"yyyy-mm-dd"),A타입_제작표!$AQ$2:$AQ$799,0))&amp;"  "&amp;INDEX(A타입_제작표!$L$2:$L$799,MATCH("구약|"&amp;TEXT(B376,"yyyy-mm-dd"),A타입_제작표!$AQ$2:$AQ$799,0)),""))</f>
        <v>대상 28:1-29:30  나라와 권세가 주께 있사오니</v>
      </c>
      <c r="E376" s="24" t="str">
        <f aca="false">IF(B376="","",IFERROR(INDEX(A타입_제작표!$J$2:$J$799,MATCH("신약|"&amp;TEXT(B376,"yyyy-mm-dd"),A타입_제작표!$AQ$2:$AQ$799,0))&amp;"  "&amp;INDEX(A타입_제작표!$L$2:$L$799,MATCH("신약|"&amp;TEXT(B376,"yyyy-mm-dd"),A타입_제작표!$AQ$2:$AQ$799,0)),""))</f>
        <v/>
      </c>
      <c r="F376" s="24" t="str">
        <f aca="false">IF(B376="","",IFERROR("시편 "&amp;INDEX(시편_시리즈!$A$2:$A$151,MATCH("시편|"&amp;TEXT(B376,"yyyy-mm-dd"),시편_시리즈!$Y$2:$Y$151,0))&amp;"편  "&amp;INDEX(시편_시리즈!$G$2:$G$151,MATCH("시편|"&amp;TEXT(B376,"yyyy-mm-dd"),시편_시리즈!$Y$2:$Y$151,0)),""))</f>
        <v/>
      </c>
      <c r="G376" s="23" t="n">
        <f aca="false">IF(B376="","",(D376&lt;&gt;"")+(E376&lt;&gt;"")+(F376&lt;&gt;""))</f>
        <v>1</v>
      </c>
      <c r="H376" s="31" t="s">
        <v>10282</v>
      </c>
    </row>
    <row r="377" customFormat="false" ht="15" hidden="false" customHeight="false" outlineLevel="0" collapsed="false">
      <c r="A377" s="23" t="n">
        <f aca="false">IF(B377="","",376)</f>
        <v>376</v>
      </c>
      <c r="B377" s="26" t="n">
        <f aca="false">IF(안내!$C$9+375&gt;MAX(MAX(A타입_제작표!$U$2:$U$799),MAX(시편_시리즈!$Q$2:$Q$151)),"",안내!$C$9+375)</f>
        <v>46766</v>
      </c>
      <c r="C377" s="23" t="str">
        <f aca="false">IF(B377="","",CHOOSE(WEEKDAY(B377,2),"월","화","수","목","금","토","일"))</f>
        <v>금</v>
      </c>
      <c r="D377" s="24" t="str">
        <f aca="false">IF(B377="","",IFERROR(INDEX(A타입_제작표!$J$2:$J$799,MATCH("구약|"&amp;TEXT(B377,"yyyy-mm-dd"),A타입_제작표!$AQ$2:$AQ$799,0))&amp;"  "&amp;INDEX(A타입_제작표!$L$2:$L$799,MATCH("구약|"&amp;TEXT(B377,"yyyy-mm-dd"),A타입_제작표!$AQ$2:$AQ$799,0)),""))</f>
        <v>대하 1:1-9:31  내 백성이 스스로 낮추고</v>
      </c>
      <c r="E377" s="24" t="str">
        <f aca="false">IF(B377="","",IFERROR(INDEX(A타입_제작표!$J$2:$J$799,MATCH("신약|"&amp;TEXT(B377,"yyyy-mm-dd"),A타입_제작표!$AQ$2:$AQ$799,0))&amp;"  "&amp;INDEX(A타입_제작표!$L$2:$L$799,MATCH("신약|"&amp;TEXT(B377,"yyyy-mm-dd"),A타입_제작표!$AQ$2:$AQ$799,0)),""))</f>
        <v>빌 1:1-30  사는 것이 그리스도</v>
      </c>
      <c r="F377" s="24" t="str">
        <f aca="false">IF(B377="","",IFERROR("시편 "&amp;INDEX(시편_시리즈!$A$2:$A$151,MATCH("시편|"&amp;TEXT(B377,"yyyy-mm-dd"),시편_시리즈!$Y$2:$Y$151,0))&amp;"편  "&amp;INDEX(시편_시리즈!$G$2:$G$151,MATCH("시편|"&amp;TEXT(B377,"yyyy-mm-dd"),시편_시리즈!$Y$2:$Y$151,0)),""))</f>
        <v/>
      </c>
      <c r="G377" s="23" t="n">
        <f aca="false">IF(B377="","",(D377&lt;&gt;"")+(E377&lt;&gt;"")+(F377&lt;&gt;""))</f>
        <v>2</v>
      </c>
      <c r="H377" s="31" t="s">
        <v>10282</v>
      </c>
    </row>
    <row r="378" customFormat="false" ht="15" hidden="false" customHeight="false" outlineLevel="0" collapsed="false">
      <c r="A378" s="23" t="n">
        <f aca="false">IF(B378="","",377)</f>
        <v>377</v>
      </c>
      <c r="B378" s="26" t="n">
        <f aca="false">IF(안내!$C$9+376&gt;MAX(MAX(A타입_제작표!$U$2:$U$799),MAX(시편_시리즈!$Q$2:$Q$151)),"",안내!$C$9+376)</f>
        <v>46767</v>
      </c>
      <c r="C378" s="23" t="str">
        <f aca="false">IF(B378="","",CHOOSE(WEEKDAY(B378,2),"월","화","수","목","금","토","일"))</f>
        <v>토</v>
      </c>
      <c r="D378" s="24" t="str">
        <f aca="false">IF(B378="","",IFERROR(INDEX(A타입_제작표!$J$2:$J$799,MATCH("구약|"&amp;TEXT(B378,"yyyy-mm-dd"),A타입_제작표!$AQ$2:$AQ$799,0))&amp;"  "&amp;INDEX(A타입_제작표!$L$2:$L$799,MATCH("구약|"&amp;TEXT(B378,"yyyy-mm-dd"),A타입_제작표!$AQ$2:$AQ$799,0)),""))</f>
        <v>대하 10:1-19:11  온 땅을 두루 살피시는 하나님</v>
      </c>
      <c r="E378" s="24" t="str">
        <f aca="false">IF(B378="","",IFERROR(INDEX(A타입_제작표!$J$2:$J$799,MATCH("신약|"&amp;TEXT(B378,"yyyy-mm-dd"),A타입_제작표!$AQ$2:$AQ$799,0))&amp;"  "&amp;INDEX(A타입_제작표!$L$2:$L$799,MATCH("신약|"&amp;TEXT(B378,"yyyy-mm-dd"),A타입_제작표!$AQ$2:$AQ$799,0)),""))</f>
        <v>빌 2:1-30  그리스도의 마음</v>
      </c>
      <c r="F378" s="24" t="str">
        <f aca="false">IF(B378="","",IFERROR("시편 "&amp;INDEX(시편_시리즈!$A$2:$A$151,MATCH("시편|"&amp;TEXT(B378,"yyyy-mm-dd"),시편_시리즈!$Y$2:$Y$151,0))&amp;"편  "&amp;INDEX(시편_시리즈!$G$2:$G$151,MATCH("시편|"&amp;TEXT(B378,"yyyy-mm-dd"),시편_시리즈!$Y$2:$Y$151,0)),""))</f>
        <v/>
      </c>
      <c r="G378" s="23" t="n">
        <f aca="false">IF(B378="","",(D378&lt;&gt;"")+(E378&lt;&gt;"")+(F378&lt;&gt;""))</f>
        <v>2</v>
      </c>
      <c r="H378" s="31" t="s">
        <v>10282</v>
      </c>
    </row>
    <row r="379" customFormat="false" ht="15" hidden="false" customHeight="false" outlineLevel="0" collapsed="false">
      <c r="A379" s="23" t="n">
        <f aca="false">IF(B379="","",378)</f>
        <v>378</v>
      </c>
      <c r="B379" s="26" t="n">
        <f aca="false">IF(안내!$C$9+377&gt;MAX(MAX(A타입_제작표!$U$2:$U$799),MAX(시편_시리즈!$Q$2:$Q$151)),"",안내!$C$9+377)</f>
        <v>46768</v>
      </c>
      <c r="C379" s="23" t="str">
        <f aca="false">IF(B379="","",CHOOSE(WEEKDAY(B379,2),"월","화","수","목","금","토","일"))</f>
        <v>일</v>
      </c>
      <c r="D379" s="24" t="str">
        <f aca="false">IF(B379="","",IFERROR(INDEX(A타입_제작표!$J$2:$J$799,MATCH("구약|"&amp;TEXT(B379,"yyyy-mm-dd"),A타입_제작표!$AQ$2:$AQ$799,0))&amp;"  "&amp;INDEX(A타입_제작표!$L$2:$L$799,MATCH("구약|"&amp;TEXT(B379,"yyyy-mm-dd"),A타입_제작표!$AQ$2:$AQ$799,0)),""))</f>
        <v>대하 20:31-28:27  교만해진 왕들</v>
      </c>
      <c r="E379" s="24" t="str">
        <f aca="false">IF(B379="","",IFERROR(INDEX(A타입_제작표!$J$2:$J$799,MATCH("신약|"&amp;TEXT(B379,"yyyy-mm-dd"),A타입_제작표!$AQ$2:$AQ$799,0))&amp;"  "&amp;INDEX(A타입_제작표!$L$2:$L$799,MATCH("신약|"&amp;TEXT(B379,"yyyy-mm-dd"),A타입_제작표!$AQ$2:$AQ$799,0)),""))</f>
        <v/>
      </c>
      <c r="F379" s="24" t="str">
        <f aca="false">IF(B379="","",IFERROR("시편 "&amp;INDEX(시편_시리즈!$A$2:$A$151,MATCH("시편|"&amp;TEXT(B379,"yyyy-mm-dd"),시편_시리즈!$Y$2:$Y$151,0))&amp;"편  "&amp;INDEX(시편_시리즈!$G$2:$G$151,MATCH("시편|"&amp;TEXT(B379,"yyyy-mm-dd"),시편_시리즈!$Y$2:$Y$151,0)),""))</f>
        <v/>
      </c>
      <c r="G379" s="23" t="n">
        <f aca="false">IF(B379="","",(D379&lt;&gt;"")+(E379&lt;&gt;"")+(F379&lt;&gt;""))</f>
        <v>1</v>
      </c>
      <c r="H379" s="31" t="s">
        <v>10282</v>
      </c>
    </row>
    <row r="380" customFormat="false" ht="15" hidden="false" customHeight="false" outlineLevel="0" collapsed="false">
      <c r="A380" s="23" t="n">
        <f aca="false">IF(B380="","",379)</f>
        <v>379</v>
      </c>
      <c r="B380" s="26" t="n">
        <f aca="false">IF(안내!$C$9+378&gt;MAX(MAX(A타입_제작표!$U$2:$U$799),MAX(시편_시리즈!$Q$2:$Q$151)),"",안내!$C$9+378)</f>
        <v>46769</v>
      </c>
      <c r="C380" s="23" t="str">
        <f aca="false">IF(B380="","",CHOOSE(WEEKDAY(B380,2),"월","화","수","목","금","토","일"))</f>
        <v>월</v>
      </c>
      <c r="D380" s="24" t="str">
        <f aca="false">IF(B380="","",IFERROR(INDEX(A타입_제작표!$J$2:$J$799,MATCH("구약|"&amp;TEXT(B380,"yyyy-mm-dd"),A타입_제작표!$AQ$2:$AQ$799,0))&amp;"  "&amp;INDEX(A타입_제작표!$L$2:$L$799,MATCH("구약|"&amp;TEXT(B380,"yyyy-mm-dd"),A타입_제작표!$AQ$2:$AQ$799,0)),""))</f>
        <v>대하 29:1-32:33  히스기야의 유월절</v>
      </c>
      <c r="E380" s="24" t="str">
        <f aca="false">IF(B380="","",IFERROR(INDEX(A타입_제작표!$J$2:$J$799,MATCH("신약|"&amp;TEXT(B380,"yyyy-mm-dd"),A타입_제작표!$AQ$2:$AQ$799,0))&amp;"  "&amp;INDEX(A타입_제작표!$L$2:$L$799,MATCH("신약|"&amp;TEXT(B380,"yyyy-mm-dd"),A타입_제작표!$AQ$2:$AQ$799,0)),""))</f>
        <v>빌 3:1-21  푯대를 향하여</v>
      </c>
      <c r="F380" s="24" t="str">
        <f aca="false">IF(B380="","",IFERROR("시편 "&amp;INDEX(시편_시리즈!$A$2:$A$151,MATCH("시편|"&amp;TEXT(B380,"yyyy-mm-dd"),시편_시리즈!$Y$2:$Y$151,0))&amp;"편  "&amp;INDEX(시편_시리즈!$G$2:$G$151,MATCH("시편|"&amp;TEXT(B380,"yyyy-mm-dd"),시편_시리즈!$Y$2:$Y$151,0)),""))</f>
        <v/>
      </c>
      <c r="G380" s="23" t="n">
        <f aca="false">IF(B380="","",(D380&lt;&gt;"")+(E380&lt;&gt;"")+(F380&lt;&gt;""))</f>
        <v>2</v>
      </c>
      <c r="H380" s="31" t="s">
        <v>10282</v>
      </c>
    </row>
    <row r="381" customFormat="false" ht="15" hidden="false" customHeight="false" outlineLevel="0" collapsed="false">
      <c r="A381" s="23" t="n">
        <f aca="false">IF(B381="","",380)</f>
        <v>380</v>
      </c>
      <c r="B381" s="26" t="n">
        <f aca="false">IF(안내!$C$9+379&gt;MAX(MAX(A타입_제작표!$U$2:$U$799),MAX(시편_시리즈!$Q$2:$Q$151)),"",안내!$C$9+379)</f>
        <v>46770</v>
      </c>
      <c r="C381" s="23" t="str">
        <f aca="false">IF(B381="","",CHOOSE(WEEKDAY(B381,2),"월","화","수","목","금","토","일"))</f>
        <v>화</v>
      </c>
      <c r="D381" s="24" t="str">
        <f aca="false">IF(B381="","",IFERROR(INDEX(A타입_제작표!$J$2:$J$799,MATCH("구약|"&amp;TEXT(B381,"yyyy-mm-dd"),A타입_제작표!$AQ$2:$AQ$799,0))&amp;"  "&amp;INDEX(A타입_제작표!$L$2:$L$799,MATCH("구약|"&amp;TEXT(B381,"yyyy-mm-dd"),A타입_제작표!$AQ$2:$AQ$799,0)),""))</f>
        <v>대하 33:21-35:27  어려서부터 하나님을 찾은 왕</v>
      </c>
      <c r="E381" s="24" t="str">
        <f aca="false">IF(B381="","",IFERROR(INDEX(A타입_제작표!$J$2:$J$799,MATCH("신약|"&amp;TEXT(B381,"yyyy-mm-dd"),A타입_제작표!$AQ$2:$AQ$799,0))&amp;"  "&amp;INDEX(A타입_제작표!$L$2:$L$799,MATCH("신약|"&amp;TEXT(B381,"yyyy-mm-dd"),A타입_제작표!$AQ$2:$AQ$799,0)),""))</f>
        <v/>
      </c>
      <c r="F381" s="24" t="str">
        <f aca="false">IF(B381="","",IFERROR("시편 "&amp;INDEX(시편_시리즈!$A$2:$A$151,MATCH("시편|"&amp;TEXT(B381,"yyyy-mm-dd"),시편_시리즈!$Y$2:$Y$151,0))&amp;"편  "&amp;INDEX(시편_시리즈!$G$2:$G$151,MATCH("시편|"&amp;TEXT(B381,"yyyy-mm-dd"),시편_시리즈!$Y$2:$Y$151,0)),""))</f>
        <v/>
      </c>
      <c r="G381" s="23" t="n">
        <f aca="false">IF(B381="","",(D381&lt;&gt;"")+(E381&lt;&gt;"")+(F381&lt;&gt;""))</f>
        <v>1</v>
      </c>
      <c r="H381" s="31" t="s">
        <v>10282</v>
      </c>
    </row>
    <row r="382" customFormat="false" ht="15" hidden="false" customHeight="false" outlineLevel="0" collapsed="false">
      <c r="A382" s="23" t="n">
        <f aca="false">IF(B382="","",381)</f>
        <v>381</v>
      </c>
      <c r="B382" s="26" t="n">
        <f aca="false">IF(안내!$C$9+380&gt;MAX(MAX(A타입_제작표!$U$2:$U$799),MAX(시편_시리즈!$Q$2:$Q$151)),"",안내!$C$9+380)</f>
        <v>46771</v>
      </c>
      <c r="C382" s="23" t="str">
        <f aca="false">IF(B382="","",CHOOSE(WEEKDAY(B382,2),"월","화","수","목","금","토","일"))</f>
        <v>수</v>
      </c>
      <c r="D382" s="24" t="str">
        <f aca="false">IF(B382="","",IFERROR(INDEX(A타입_제작표!$J$2:$J$799,MATCH("구약|"&amp;TEXT(B382,"yyyy-mm-dd"),A타입_제작표!$AQ$2:$AQ$799,0))&amp;"  "&amp;INDEX(A타입_제작표!$L$2:$L$799,MATCH("구약|"&amp;TEXT(B382,"yyyy-mm-dd"),A타입_제작표!$AQ$2:$AQ$799,0)),""))</f>
        <v>대하 36:1-23  무너짐과 새로운 시작</v>
      </c>
      <c r="E382" s="24" t="str">
        <f aca="false">IF(B382="","",IFERROR(INDEX(A타입_제작표!$J$2:$J$799,MATCH("신약|"&amp;TEXT(B382,"yyyy-mm-dd"),A타입_제작표!$AQ$2:$AQ$799,0))&amp;"  "&amp;INDEX(A타입_제작표!$L$2:$L$799,MATCH("신약|"&amp;TEXT(B382,"yyyy-mm-dd"),A타입_제작표!$AQ$2:$AQ$799,0)),""))</f>
        <v>빌 4:1-23  모든 것을 할 수 있다</v>
      </c>
      <c r="F382" s="24" t="str">
        <f aca="false">IF(B382="","",IFERROR("시편 "&amp;INDEX(시편_시리즈!$A$2:$A$151,MATCH("시편|"&amp;TEXT(B382,"yyyy-mm-dd"),시편_시리즈!$Y$2:$Y$151,0))&amp;"편  "&amp;INDEX(시편_시리즈!$G$2:$G$151,MATCH("시편|"&amp;TEXT(B382,"yyyy-mm-dd"),시편_시리즈!$Y$2:$Y$151,0)),""))</f>
        <v/>
      </c>
      <c r="G382" s="23" t="n">
        <f aca="false">IF(B382="","",(D382&lt;&gt;"")+(E382&lt;&gt;"")+(F382&lt;&gt;""))</f>
        <v>2</v>
      </c>
      <c r="H382" s="31" t="s">
        <v>10282</v>
      </c>
    </row>
    <row r="383" customFormat="false" ht="15" hidden="false" customHeight="false" outlineLevel="0" collapsed="false">
      <c r="A383" s="23" t="n">
        <f aca="false">IF(B383="","",382)</f>
        <v>382</v>
      </c>
      <c r="B383" s="26" t="n">
        <f aca="false">IF(안내!$C$9+381&gt;MAX(MAX(A타입_제작표!$U$2:$U$799),MAX(시편_시리즈!$Q$2:$Q$151)),"",안내!$C$9+381)</f>
        <v>46772</v>
      </c>
      <c r="C383" s="23" t="str">
        <f aca="false">IF(B383="","",CHOOSE(WEEKDAY(B383,2),"월","화","수","목","금","토","일"))</f>
        <v>목</v>
      </c>
      <c r="D383" s="24" t="str">
        <f aca="false">IF(B383="","",IFERROR(INDEX(A타입_제작표!$J$2:$J$799,MATCH("구약|"&amp;TEXT(B383,"yyyy-mm-dd"),A타입_제작표!$AQ$2:$AQ$799,0))&amp;"  "&amp;INDEX(A타입_제작표!$L$2:$L$799,MATCH("구약|"&amp;TEXT(B383,"yyyy-mm-dd"),A타입_제작표!$AQ$2:$AQ$799,0)),""))</f>
        <v>스 2:1-70  돌아온 사람들의 명단</v>
      </c>
      <c r="E383" s="24" t="str">
        <f aca="false">IF(B383="","",IFERROR(INDEX(A타입_제작표!$J$2:$J$799,MATCH("신약|"&amp;TEXT(B383,"yyyy-mm-dd"),A타입_제작표!$AQ$2:$AQ$799,0))&amp;"  "&amp;INDEX(A타입_제작표!$L$2:$L$799,MATCH("신약|"&amp;TEXT(B383,"yyyy-mm-dd"),A타입_제작표!$AQ$2:$AQ$799,0)),""))</f>
        <v/>
      </c>
      <c r="F383" s="24" t="str">
        <f aca="false">IF(B383="","",IFERROR("시편 "&amp;INDEX(시편_시리즈!$A$2:$A$151,MATCH("시편|"&amp;TEXT(B383,"yyyy-mm-dd"),시편_시리즈!$Y$2:$Y$151,0))&amp;"편  "&amp;INDEX(시편_시리즈!$G$2:$G$151,MATCH("시편|"&amp;TEXT(B383,"yyyy-mm-dd"),시편_시리즈!$Y$2:$Y$151,0)),""))</f>
        <v/>
      </c>
      <c r="G383" s="23" t="n">
        <f aca="false">IF(B383="","",(D383&lt;&gt;"")+(E383&lt;&gt;"")+(F383&lt;&gt;""))</f>
        <v>1</v>
      </c>
      <c r="H383" s="31" t="s">
        <v>10282</v>
      </c>
    </row>
    <row r="384" customFormat="false" ht="15" hidden="false" customHeight="false" outlineLevel="0" collapsed="false">
      <c r="A384" s="23" t="n">
        <f aca="false">IF(B384="","",383)</f>
        <v>383</v>
      </c>
      <c r="B384" s="26" t="n">
        <f aca="false">IF(안내!$C$9+382&gt;MAX(MAX(A타입_제작표!$U$2:$U$799),MAX(시편_시리즈!$Q$2:$Q$151)),"",안내!$C$9+382)</f>
        <v>46773</v>
      </c>
      <c r="C384" s="23" t="str">
        <f aca="false">IF(B384="","",CHOOSE(WEEKDAY(B384,2),"월","화","수","목","금","토","일"))</f>
        <v>금</v>
      </c>
      <c r="D384" s="24" t="str">
        <f aca="false">IF(B384="","",IFERROR(INDEX(A타입_제작표!$J$2:$J$799,MATCH("구약|"&amp;TEXT(B384,"yyyy-mm-dd"),A타입_제작표!$AQ$2:$AQ$799,0))&amp;"  "&amp;INDEX(A타입_제작표!$L$2:$L$799,MATCH("구약|"&amp;TEXT(B384,"yyyy-mm-dd"),A타입_제작표!$AQ$2:$AQ$799,0)),""))</f>
        <v>스 4:1-24  멈춰 버린 공사</v>
      </c>
      <c r="E384" s="24" t="str">
        <f aca="false">IF(B384="","",IFERROR(INDEX(A타입_제작표!$J$2:$J$799,MATCH("신약|"&amp;TEXT(B384,"yyyy-mm-dd"),A타입_제작표!$AQ$2:$AQ$799,0))&amp;"  "&amp;INDEX(A타입_제작표!$L$2:$L$799,MATCH("신약|"&amp;TEXT(B384,"yyyy-mm-dd"),A타입_제작표!$AQ$2:$AQ$799,0)),""))</f>
        <v>골 1:1-29  만물보다 먼저</v>
      </c>
      <c r="F384" s="24" t="str">
        <f aca="false">IF(B384="","",IFERROR("시편 "&amp;INDEX(시편_시리즈!$A$2:$A$151,MATCH("시편|"&amp;TEXT(B384,"yyyy-mm-dd"),시편_시리즈!$Y$2:$Y$151,0))&amp;"편  "&amp;INDEX(시편_시리즈!$G$2:$G$151,MATCH("시편|"&amp;TEXT(B384,"yyyy-mm-dd"),시편_시리즈!$Y$2:$Y$151,0)),""))</f>
        <v/>
      </c>
      <c r="G384" s="23" t="n">
        <f aca="false">IF(B384="","",(D384&lt;&gt;"")+(E384&lt;&gt;"")+(F384&lt;&gt;""))</f>
        <v>2</v>
      </c>
      <c r="H384" s="31" t="s">
        <v>10282</v>
      </c>
    </row>
    <row r="385" customFormat="false" ht="15" hidden="false" customHeight="false" outlineLevel="0" collapsed="false">
      <c r="A385" s="23" t="n">
        <f aca="false">IF(B385="","",384)</f>
        <v>384</v>
      </c>
      <c r="B385" s="26" t="n">
        <f aca="false">IF(안내!$C$9+383&gt;MAX(MAX(A타입_제작표!$U$2:$U$799),MAX(시편_시리즈!$Q$2:$Q$151)),"",안내!$C$9+383)</f>
        <v>46774</v>
      </c>
      <c r="C385" s="23" t="str">
        <f aca="false">IF(B385="","",CHOOSE(WEEKDAY(B385,2),"월","화","수","목","금","토","일"))</f>
        <v>토</v>
      </c>
      <c r="D385" s="24" t="str">
        <f aca="false">IF(B385="","",IFERROR(INDEX(A타입_제작표!$J$2:$J$799,MATCH("구약|"&amp;TEXT(B385,"yyyy-mm-dd"),A타입_제작표!$AQ$2:$AQ$799,0))&amp;"  "&amp;INDEX(A타입_제작표!$L$2:$L$799,MATCH("구약|"&amp;TEXT(B385,"yyyy-mm-dd"),A타입_제작표!$AQ$2:$AQ$799,0)),""))</f>
        <v>스 5:1-6:22  성전 완공</v>
      </c>
      <c r="E385" s="24" t="str">
        <f aca="false">IF(B385="","",IFERROR(INDEX(A타입_제작표!$J$2:$J$799,MATCH("신약|"&amp;TEXT(B385,"yyyy-mm-dd"),A타입_제작표!$AQ$2:$AQ$799,0))&amp;"  "&amp;INDEX(A타입_제작표!$L$2:$L$799,MATCH("신약|"&amp;TEXT(B385,"yyyy-mm-dd"),A타입_제작표!$AQ$2:$AQ$799,0)),""))</f>
        <v>골 2:1-23  헛된 속임수를 조심하라</v>
      </c>
      <c r="F385" s="24" t="str">
        <f aca="false">IF(B385="","",IFERROR("시편 "&amp;INDEX(시편_시리즈!$A$2:$A$151,MATCH("시편|"&amp;TEXT(B385,"yyyy-mm-dd"),시편_시리즈!$Y$2:$Y$151,0))&amp;"편  "&amp;INDEX(시편_시리즈!$G$2:$G$151,MATCH("시편|"&amp;TEXT(B385,"yyyy-mm-dd"),시편_시리즈!$Y$2:$Y$151,0)),""))</f>
        <v/>
      </c>
      <c r="G385" s="23" t="n">
        <f aca="false">IF(B385="","",(D385&lt;&gt;"")+(E385&lt;&gt;"")+(F385&lt;&gt;""))</f>
        <v>2</v>
      </c>
      <c r="H385" s="31" t="s">
        <v>10282</v>
      </c>
    </row>
    <row r="386" customFormat="false" ht="15" hidden="false" customHeight="false" outlineLevel="0" collapsed="false">
      <c r="A386" s="23" t="n">
        <f aca="false">IF(B386="","",385)</f>
        <v>385</v>
      </c>
      <c r="B386" s="26" t="n">
        <f aca="false">IF(안내!$C$9+384&gt;MAX(MAX(A타입_제작표!$U$2:$U$799),MAX(시편_시리즈!$Q$2:$Q$151)),"",안내!$C$9+384)</f>
        <v>46775</v>
      </c>
      <c r="C386" s="23" t="str">
        <f aca="false">IF(B386="","",CHOOSE(WEEKDAY(B386,2),"월","화","수","목","금","토","일"))</f>
        <v>일</v>
      </c>
      <c r="D386" s="24" t="str">
        <f aca="false">IF(B386="","",IFERROR(INDEX(A타입_제작표!$J$2:$J$799,MATCH("구약|"&amp;TEXT(B386,"yyyy-mm-dd"),A타입_제작표!$AQ$2:$AQ$799,0))&amp;"  "&amp;INDEX(A타입_제작표!$L$2:$L$799,MATCH("구약|"&amp;TEXT(B386,"yyyy-mm-dd"),A타입_제작표!$AQ$2:$AQ$799,0)),""))</f>
        <v>스 7:1-28  말씀을 연구한 학자</v>
      </c>
      <c r="E386" s="24" t="str">
        <f aca="false">IF(B386="","",IFERROR(INDEX(A타입_제작표!$J$2:$J$799,MATCH("신약|"&amp;TEXT(B386,"yyyy-mm-dd"),A타입_제작표!$AQ$2:$AQ$799,0))&amp;"  "&amp;INDEX(A타입_제작표!$L$2:$L$799,MATCH("신약|"&amp;TEXT(B386,"yyyy-mm-dd"),A타입_제작표!$AQ$2:$AQ$799,0)),""))</f>
        <v/>
      </c>
      <c r="F386" s="24" t="str">
        <f aca="false">IF(B386="","",IFERROR("시편 "&amp;INDEX(시편_시리즈!$A$2:$A$151,MATCH("시편|"&amp;TEXT(B386,"yyyy-mm-dd"),시편_시리즈!$Y$2:$Y$151,0))&amp;"편  "&amp;INDEX(시편_시리즈!$G$2:$G$151,MATCH("시편|"&amp;TEXT(B386,"yyyy-mm-dd"),시편_시리즈!$Y$2:$Y$151,0)),""))</f>
        <v/>
      </c>
      <c r="G386" s="23" t="n">
        <f aca="false">IF(B386="","",(D386&lt;&gt;"")+(E386&lt;&gt;"")+(F386&lt;&gt;""))</f>
        <v>1</v>
      </c>
      <c r="H386" s="31" t="s">
        <v>10282</v>
      </c>
    </row>
    <row r="387" customFormat="false" ht="15" hidden="false" customHeight="false" outlineLevel="0" collapsed="false">
      <c r="A387" s="23" t="n">
        <f aca="false">IF(B387="","",386)</f>
        <v>386</v>
      </c>
      <c r="B387" s="26" t="n">
        <f aca="false">IF(안내!$C$9+385&gt;MAX(MAX(A타입_제작표!$U$2:$U$799),MAX(시편_시리즈!$Q$2:$Q$151)),"",안내!$C$9+385)</f>
        <v>46776</v>
      </c>
      <c r="C387" s="23" t="str">
        <f aca="false">IF(B387="","",CHOOSE(WEEKDAY(B387,2),"월","화","수","목","금","토","일"))</f>
        <v>월</v>
      </c>
      <c r="D387" s="24" t="str">
        <f aca="false">IF(B387="","",IFERROR(INDEX(A타입_제작표!$J$2:$J$799,MATCH("구약|"&amp;TEXT(B387,"yyyy-mm-dd"),A타입_제작표!$AQ$2:$AQ$799,0))&amp;"  "&amp;INDEX(A타입_제작표!$L$2:$L$799,MATCH("구약|"&amp;TEXT(B387,"yyyy-mm-dd"),A타입_제작표!$AQ$2:$AQ$799,0)),""))</f>
        <v>스 8:1-36  군대 대신 금식</v>
      </c>
      <c r="E387" s="24" t="str">
        <f aca="false">IF(B387="","",IFERROR(INDEX(A타입_제작표!$J$2:$J$799,MATCH("신약|"&amp;TEXT(B387,"yyyy-mm-dd"),A타입_제작표!$AQ$2:$AQ$799,0))&amp;"  "&amp;INDEX(A타입_제작표!$L$2:$L$799,MATCH("신약|"&amp;TEXT(B387,"yyyy-mm-dd"),A타입_제작표!$AQ$2:$AQ$799,0)),""))</f>
        <v>골 3:1-17  위의 것을 찾으라</v>
      </c>
      <c r="F387" s="24" t="str">
        <f aca="false">IF(B387="","",IFERROR("시편 "&amp;INDEX(시편_시리즈!$A$2:$A$151,MATCH("시편|"&amp;TEXT(B387,"yyyy-mm-dd"),시편_시리즈!$Y$2:$Y$151,0))&amp;"편  "&amp;INDEX(시편_시리즈!$G$2:$G$151,MATCH("시편|"&amp;TEXT(B387,"yyyy-mm-dd"),시편_시리즈!$Y$2:$Y$151,0)),""))</f>
        <v/>
      </c>
      <c r="G387" s="23" t="n">
        <f aca="false">IF(B387="","",(D387&lt;&gt;"")+(E387&lt;&gt;"")+(F387&lt;&gt;""))</f>
        <v>2</v>
      </c>
      <c r="H387" s="31" t="s">
        <v>10282</v>
      </c>
    </row>
    <row r="388" customFormat="false" ht="15" hidden="false" customHeight="false" outlineLevel="0" collapsed="false">
      <c r="A388" s="23" t="n">
        <f aca="false">IF(B388="","",387)</f>
        <v>387</v>
      </c>
      <c r="B388" s="26" t="n">
        <f aca="false">IF(안내!$C$9+386&gt;MAX(MAX(A타입_제작표!$U$2:$U$799),MAX(시편_시리즈!$Q$2:$Q$151)),"",안내!$C$9+386)</f>
        <v>46777</v>
      </c>
      <c r="C388" s="23" t="str">
        <f aca="false">IF(B388="","",CHOOSE(WEEKDAY(B388,2),"월","화","수","목","금","토","일"))</f>
        <v>화</v>
      </c>
      <c r="D388" s="24" t="str">
        <f aca="false">IF(B388="","",IFERROR(INDEX(A타입_제작표!$J$2:$J$799,MATCH("구약|"&amp;TEXT(B388,"yyyy-mm-dd"),A타입_제작표!$AQ$2:$AQ$799,0))&amp;"  "&amp;INDEX(A타입_제작표!$L$2:$L$799,MATCH("구약|"&amp;TEXT(B388,"yyyy-mm-dd"),A타입_제작표!$AQ$2:$AQ$799,0)),""))</f>
        <v>스 9:1-10:44  에스라의 회개 기도</v>
      </c>
      <c r="E388" s="24" t="str">
        <f aca="false">IF(B388="","",IFERROR(INDEX(A타입_제작표!$J$2:$J$799,MATCH("신약|"&amp;TEXT(B388,"yyyy-mm-dd"),A타입_제작표!$AQ$2:$AQ$799,0))&amp;"  "&amp;INDEX(A타입_제작표!$L$2:$L$799,MATCH("신약|"&amp;TEXT(B388,"yyyy-mm-dd"),A타입_제작표!$AQ$2:$AQ$799,0)),""))</f>
        <v/>
      </c>
      <c r="F388" s="24" t="str">
        <f aca="false">IF(B388="","",IFERROR("시편 "&amp;INDEX(시편_시리즈!$A$2:$A$151,MATCH("시편|"&amp;TEXT(B388,"yyyy-mm-dd"),시편_시리즈!$Y$2:$Y$151,0))&amp;"편  "&amp;INDEX(시편_시리즈!$G$2:$G$151,MATCH("시편|"&amp;TEXT(B388,"yyyy-mm-dd"),시편_시리즈!$Y$2:$Y$151,0)),""))</f>
        <v/>
      </c>
      <c r="G388" s="23" t="n">
        <f aca="false">IF(B388="","",(D388&lt;&gt;"")+(E388&lt;&gt;"")+(F388&lt;&gt;""))</f>
        <v>1</v>
      </c>
      <c r="H388" s="31" t="s">
        <v>10282</v>
      </c>
    </row>
    <row r="389" customFormat="false" ht="15" hidden="false" customHeight="false" outlineLevel="0" collapsed="false">
      <c r="A389" s="23" t="n">
        <f aca="false">IF(B389="","",388)</f>
        <v>388</v>
      </c>
      <c r="B389" s="26" t="n">
        <f aca="false">IF(안내!$C$9+387&gt;MAX(MAX(A타입_제작표!$U$2:$U$799),MAX(시편_시리즈!$Q$2:$Q$151)),"",안내!$C$9+387)</f>
        <v>46778</v>
      </c>
      <c r="C389" s="23" t="str">
        <f aca="false">IF(B389="","",CHOOSE(WEEKDAY(B389,2),"월","화","수","목","금","토","일"))</f>
        <v>수</v>
      </c>
      <c r="D389" s="24" t="str">
        <f aca="false">IF(B389="","",IFERROR(INDEX(A타입_제작표!$J$2:$J$799,MATCH("구약|"&amp;TEXT(B389,"yyyy-mm-dd"),A타입_제작표!$AQ$2:$AQ$799,0))&amp;"  "&amp;INDEX(A타입_제작표!$L$2:$L$799,MATCH("구약|"&amp;TEXT(B389,"yyyy-mm-dd"),A타입_제작표!$AQ$2:$AQ$799,0)),""))</f>
        <v>느 3:1-32  각자 맡은 구간</v>
      </c>
      <c r="E389" s="24" t="str">
        <f aca="false">IF(B389="","",IFERROR(INDEX(A타입_제작표!$J$2:$J$799,MATCH("신약|"&amp;TEXT(B389,"yyyy-mm-dd"),A타입_제작표!$AQ$2:$AQ$799,0))&amp;"  "&amp;INDEX(A타입_제작표!$L$2:$L$799,MATCH("신약|"&amp;TEXT(B389,"yyyy-mm-dd"),A타입_제작표!$AQ$2:$AQ$799,0)),""))</f>
        <v>골 3:18-4:18  주께 하듯 하라</v>
      </c>
      <c r="F389" s="24" t="str">
        <f aca="false">IF(B389="","",IFERROR("시편 "&amp;INDEX(시편_시리즈!$A$2:$A$151,MATCH("시편|"&amp;TEXT(B389,"yyyy-mm-dd"),시편_시리즈!$Y$2:$Y$151,0))&amp;"편  "&amp;INDEX(시편_시리즈!$G$2:$G$151,MATCH("시편|"&amp;TEXT(B389,"yyyy-mm-dd"),시편_시리즈!$Y$2:$Y$151,0)),""))</f>
        <v/>
      </c>
      <c r="G389" s="23" t="n">
        <f aca="false">IF(B389="","",(D389&lt;&gt;"")+(E389&lt;&gt;"")+(F389&lt;&gt;""))</f>
        <v>2</v>
      </c>
      <c r="H389" s="31" t="s">
        <v>10282</v>
      </c>
    </row>
    <row r="390" customFormat="false" ht="15" hidden="false" customHeight="false" outlineLevel="0" collapsed="false">
      <c r="A390" s="23" t="n">
        <f aca="false">IF(B390="","",389)</f>
        <v>389</v>
      </c>
      <c r="B390" s="26" t="n">
        <f aca="false">IF(안내!$C$9+388&gt;MAX(MAX(A타입_제작표!$U$2:$U$799),MAX(시편_시리즈!$Q$2:$Q$151)),"",안내!$C$9+388)</f>
        <v>46779</v>
      </c>
      <c r="C390" s="23" t="str">
        <f aca="false">IF(B390="","",CHOOSE(WEEKDAY(B390,2),"월","화","수","목","금","토","일"))</f>
        <v>목</v>
      </c>
      <c r="D390" s="24" t="str">
        <f aca="false">IF(B390="","",IFERROR(INDEX(A타입_제작표!$J$2:$J$799,MATCH("구약|"&amp;TEXT(B390,"yyyy-mm-dd"),A타입_제작표!$AQ$2:$AQ$799,0))&amp;"  "&amp;INDEX(A타입_제작표!$L$2:$L$799,MATCH("구약|"&amp;TEXT(B390,"yyyy-mm-dd"),A타입_제작표!$AQ$2:$AQ$799,0)),""))</f>
        <v>느 5:1-19  가난한 형제의 눈물</v>
      </c>
      <c r="E390" s="24" t="str">
        <f aca="false">IF(B390="","",IFERROR(INDEX(A타입_제작표!$J$2:$J$799,MATCH("신약|"&amp;TEXT(B390,"yyyy-mm-dd"),A타입_제작표!$AQ$2:$AQ$799,0))&amp;"  "&amp;INDEX(A타입_제작표!$L$2:$L$799,MATCH("신약|"&amp;TEXT(B390,"yyyy-mm-dd"),A타입_제작표!$AQ$2:$AQ$799,0)),""))</f>
        <v/>
      </c>
      <c r="F390" s="24" t="str">
        <f aca="false">IF(B390="","",IFERROR("시편 "&amp;INDEX(시편_시리즈!$A$2:$A$151,MATCH("시편|"&amp;TEXT(B390,"yyyy-mm-dd"),시편_시리즈!$Y$2:$Y$151,0))&amp;"편  "&amp;INDEX(시편_시리즈!$G$2:$G$151,MATCH("시편|"&amp;TEXT(B390,"yyyy-mm-dd"),시편_시리즈!$Y$2:$Y$151,0)),""))</f>
        <v/>
      </c>
      <c r="G390" s="23" t="n">
        <f aca="false">IF(B390="","",(D390&lt;&gt;"")+(E390&lt;&gt;"")+(F390&lt;&gt;""))</f>
        <v>1</v>
      </c>
      <c r="H390" s="31" t="s">
        <v>10282</v>
      </c>
    </row>
    <row r="391" customFormat="false" ht="15" hidden="false" customHeight="false" outlineLevel="0" collapsed="false">
      <c r="A391" s="23" t="n">
        <f aca="false">IF(B391="","",390)</f>
        <v>390</v>
      </c>
      <c r="B391" s="26" t="n">
        <f aca="false">IF(안내!$C$9+389&gt;MAX(MAX(A타입_제작표!$U$2:$U$799),MAX(시편_시리즈!$Q$2:$Q$151)),"",안내!$C$9+389)</f>
        <v>46780</v>
      </c>
      <c r="C391" s="23" t="str">
        <f aca="false">IF(B391="","",CHOOSE(WEEKDAY(B391,2),"월","화","수","목","금","토","일"))</f>
        <v>금</v>
      </c>
      <c r="D391" s="24" t="str">
        <f aca="false">IF(B391="","",IFERROR(INDEX(A타입_제작표!$J$2:$J$799,MATCH("구약|"&amp;TEXT(B391,"yyyy-mm-dd"),A타입_제작표!$AQ$2:$AQ$799,0))&amp;"  "&amp;INDEX(A타입_제작표!$L$2:$L$799,MATCH("구약|"&amp;TEXT(B391,"yyyy-mm-dd"),A타입_제작표!$AQ$2:$AQ$799,0)),""))</f>
        <v>느 6:1-19  52일 만의 완성</v>
      </c>
      <c r="E391" s="24" t="str">
        <f aca="false">IF(B391="","",IFERROR(INDEX(A타입_제작표!$J$2:$J$799,MATCH("신약|"&amp;TEXT(B391,"yyyy-mm-dd"),A타입_제작표!$AQ$2:$AQ$799,0))&amp;"  "&amp;INDEX(A타입_제작표!$L$2:$L$799,MATCH("신약|"&amp;TEXT(B391,"yyyy-mm-dd"),A타입_제작표!$AQ$2:$AQ$799,0)),""))</f>
        <v>살전 1:1-3:13  본이 된 교회</v>
      </c>
      <c r="F391" s="24" t="str">
        <f aca="false">IF(B391="","",IFERROR("시편 "&amp;INDEX(시편_시리즈!$A$2:$A$151,MATCH("시편|"&amp;TEXT(B391,"yyyy-mm-dd"),시편_시리즈!$Y$2:$Y$151,0))&amp;"편  "&amp;INDEX(시편_시리즈!$G$2:$G$151,MATCH("시편|"&amp;TEXT(B391,"yyyy-mm-dd"),시편_시리즈!$Y$2:$Y$151,0)),""))</f>
        <v/>
      </c>
      <c r="G391" s="23" t="n">
        <f aca="false">IF(B391="","",(D391&lt;&gt;"")+(E391&lt;&gt;"")+(F391&lt;&gt;""))</f>
        <v>2</v>
      </c>
      <c r="H391" s="31" t="s">
        <v>10282</v>
      </c>
    </row>
    <row r="392" customFormat="false" ht="15" hidden="false" customHeight="false" outlineLevel="0" collapsed="false">
      <c r="A392" s="23" t="n">
        <f aca="false">IF(B392="","",391)</f>
        <v>391</v>
      </c>
      <c r="B392" s="26" t="n">
        <f aca="false">IF(안내!$C$9+390&gt;MAX(MAX(A타입_제작표!$U$2:$U$799),MAX(시편_시리즈!$Q$2:$Q$151)),"",안내!$C$9+390)</f>
        <v>46781</v>
      </c>
      <c r="C392" s="23" t="str">
        <f aca="false">IF(B392="","",CHOOSE(WEEKDAY(B392,2),"월","화","수","목","금","토","일"))</f>
        <v>토</v>
      </c>
      <c r="D392" s="24" t="str">
        <f aca="false">IF(B392="","",IFERROR(INDEX(A타입_제작표!$J$2:$J$799,MATCH("구약|"&amp;TEXT(B392,"yyyy-mm-dd"),A타입_제작표!$AQ$2:$AQ$799,0))&amp;"  "&amp;INDEX(A타입_제작표!$L$2:$L$799,MATCH("구약|"&amp;TEXT(B392,"yyyy-mm-dd"),A타입_제작표!$AQ$2:$AQ$799,0)),""))</f>
        <v>느 9:1-10:39  역사를 돌아보는 기도</v>
      </c>
      <c r="E392" s="24" t="str">
        <f aca="false">IF(B392="","",IFERROR(INDEX(A타입_제작표!$J$2:$J$799,MATCH("신약|"&amp;TEXT(B392,"yyyy-mm-dd"),A타입_제작표!$AQ$2:$AQ$799,0))&amp;"  "&amp;INDEX(A타입_제작표!$L$2:$L$799,MATCH("신약|"&amp;TEXT(B392,"yyyy-mm-dd"),A타입_제작표!$AQ$2:$AQ$799,0)),""))</f>
        <v>살전 4:1-5:11  주께서 강림하실 때</v>
      </c>
      <c r="F392" s="24" t="str">
        <f aca="false">IF(B392="","",IFERROR("시편 "&amp;INDEX(시편_시리즈!$A$2:$A$151,MATCH("시편|"&amp;TEXT(B392,"yyyy-mm-dd"),시편_시리즈!$Y$2:$Y$151,0))&amp;"편  "&amp;INDEX(시편_시리즈!$G$2:$G$151,MATCH("시편|"&amp;TEXT(B392,"yyyy-mm-dd"),시편_시리즈!$Y$2:$Y$151,0)),""))</f>
        <v/>
      </c>
      <c r="G392" s="23" t="n">
        <f aca="false">IF(B392="","",(D392&lt;&gt;"")+(E392&lt;&gt;"")+(F392&lt;&gt;""))</f>
        <v>2</v>
      </c>
      <c r="H392" s="31" t="s">
        <v>10282</v>
      </c>
    </row>
    <row r="393" customFormat="false" ht="15" hidden="false" customHeight="false" outlineLevel="0" collapsed="false">
      <c r="A393" s="23" t="n">
        <f aca="false">IF(B393="","",392)</f>
        <v>392</v>
      </c>
      <c r="B393" s="26" t="n">
        <f aca="false">IF(안내!$C$9+391&gt;MAX(MAX(A타입_제작표!$U$2:$U$799),MAX(시편_시리즈!$Q$2:$Q$151)),"",안내!$C$9+391)</f>
        <v>46782</v>
      </c>
      <c r="C393" s="23" t="str">
        <f aca="false">IF(B393="","",CHOOSE(WEEKDAY(B393,2),"월","화","수","목","금","토","일"))</f>
        <v>일</v>
      </c>
      <c r="D393" s="24" t="str">
        <f aca="false">IF(B393="","",IFERROR(INDEX(A타입_제작표!$J$2:$J$799,MATCH("구약|"&amp;TEXT(B393,"yyyy-mm-dd"),A타입_제작표!$AQ$2:$AQ$799,0))&amp;"  "&amp;INDEX(A타입_제작표!$L$2:$L$799,MATCH("구약|"&amp;TEXT(B393,"yyyy-mm-dd"),A타입_제작표!$AQ$2:$AQ$799,0)),""))</f>
        <v>느 11:1-13:31  봉헌의 기쁨과 다시 하는 개혁</v>
      </c>
      <c r="E393" s="24" t="str">
        <f aca="false">IF(B393="","",IFERROR(INDEX(A타입_제작표!$J$2:$J$799,MATCH("신약|"&amp;TEXT(B393,"yyyy-mm-dd"),A타입_제작표!$AQ$2:$AQ$799,0))&amp;"  "&amp;INDEX(A타입_제작표!$L$2:$L$799,MATCH("신약|"&amp;TEXT(B393,"yyyy-mm-dd"),A타입_제작표!$AQ$2:$AQ$799,0)),""))</f>
        <v/>
      </c>
      <c r="F393" s="24" t="str">
        <f aca="false">IF(B393="","",IFERROR("시편 "&amp;INDEX(시편_시리즈!$A$2:$A$151,MATCH("시편|"&amp;TEXT(B393,"yyyy-mm-dd"),시편_시리즈!$Y$2:$Y$151,0))&amp;"편  "&amp;INDEX(시편_시리즈!$G$2:$G$151,MATCH("시편|"&amp;TEXT(B393,"yyyy-mm-dd"),시편_시리즈!$Y$2:$Y$151,0)),""))</f>
        <v/>
      </c>
      <c r="G393" s="23" t="n">
        <f aca="false">IF(B393="","",(D393&lt;&gt;"")+(E393&lt;&gt;"")+(F393&lt;&gt;""))</f>
        <v>1</v>
      </c>
      <c r="H393" s="31" t="s">
        <v>10282</v>
      </c>
    </row>
    <row r="394" customFormat="false" ht="15" hidden="false" customHeight="false" outlineLevel="0" collapsed="false">
      <c r="A394" s="23" t="n">
        <f aca="false">IF(B394="","",393)</f>
        <v>393</v>
      </c>
      <c r="B394" s="26" t="n">
        <f aca="false">IF(안내!$C$9+392&gt;MAX(MAX(A타입_제작표!$U$2:$U$799),MAX(시편_시리즈!$Q$2:$Q$151)),"",안내!$C$9+392)</f>
        <v>46783</v>
      </c>
      <c r="C394" s="23" t="str">
        <f aca="false">IF(B394="","",CHOOSE(WEEKDAY(B394,2),"월","화","수","목","금","토","일"))</f>
        <v>월</v>
      </c>
      <c r="D394" s="24" t="str">
        <f aca="false">IF(B394="","",IFERROR(INDEX(A타입_제작표!$J$2:$J$799,MATCH("구약|"&amp;TEXT(B394,"yyyy-mm-dd"),A타입_제작표!$AQ$2:$AQ$799,0))&amp;"  "&amp;INDEX(A타입_제작표!$L$2:$L$799,MATCH("구약|"&amp;TEXT(B394,"yyyy-mm-dd"),A타입_제작표!$AQ$2:$AQ$799,0)),""))</f>
        <v>에 1:1-22  거절한 왕비</v>
      </c>
      <c r="E394" s="24" t="str">
        <f aca="false">IF(B394="","",IFERROR(INDEX(A타입_제작표!$J$2:$J$799,MATCH("신약|"&amp;TEXT(B394,"yyyy-mm-dd"),A타입_제작표!$AQ$2:$AQ$799,0))&amp;"  "&amp;INDEX(A타입_제작표!$L$2:$L$799,MATCH("신약|"&amp;TEXT(B394,"yyyy-mm-dd"),A타입_제작표!$AQ$2:$AQ$799,0)),""))</f>
        <v>살전 5:12-28  항상 기뻐하라</v>
      </c>
      <c r="F394" s="24" t="str">
        <f aca="false">IF(B394="","",IFERROR("시편 "&amp;INDEX(시편_시리즈!$A$2:$A$151,MATCH("시편|"&amp;TEXT(B394,"yyyy-mm-dd"),시편_시리즈!$Y$2:$Y$151,0))&amp;"편  "&amp;INDEX(시편_시리즈!$G$2:$G$151,MATCH("시편|"&amp;TEXT(B394,"yyyy-mm-dd"),시편_시리즈!$Y$2:$Y$151,0)),""))</f>
        <v/>
      </c>
      <c r="G394" s="23" t="n">
        <f aca="false">IF(B394="","",(D394&lt;&gt;"")+(E394&lt;&gt;"")+(F394&lt;&gt;""))</f>
        <v>2</v>
      </c>
      <c r="H394" s="31" t="s">
        <v>10282</v>
      </c>
    </row>
    <row r="395" customFormat="false" ht="15" hidden="false" customHeight="false" outlineLevel="0" collapsed="false">
      <c r="A395" s="23" t="n">
        <f aca="false">IF(B395="","",394)</f>
        <v>394</v>
      </c>
      <c r="B395" s="26" t="n">
        <f aca="false">IF(안내!$C$9+393&gt;MAX(MAX(A타입_제작표!$U$2:$U$799),MAX(시편_시리즈!$Q$2:$Q$151)),"",안내!$C$9+393)</f>
        <v>46784</v>
      </c>
      <c r="C395" s="23" t="str">
        <f aca="false">IF(B395="","",CHOOSE(WEEKDAY(B395,2),"월","화","수","목","금","토","일"))</f>
        <v>화</v>
      </c>
      <c r="D395" s="24" t="str">
        <f aca="false">IF(B395="","",IFERROR(INDEX(A타입_제작표!$J$2:$J$799,MATCH("구약|"&amp;TEXT(B395,"yyyy-mm-dd"),A타입_제작표!$AQ$2:$AQ$799,0))&amp;"  "&amp;INDEX(A타입_제작표!$L$2:$L$799,MATCH("구약|"&amp;TEXT(B395,"yyyy-mm-dd"),A타입_제작표!$AQ$2:$AQ$799,0)),""))</f>
        <v>에 2:19-23  기록된 충성</v>
      </c>
      <c r="E395" s="24" t="str">
        <f aca="false">IF(B395="","",IFERROR(INDEX(A타입_제작표!$J$2:$J$799,MATCH("신약|"&amp;TEXT(B395,"yyyy-mm-dd"),A타입_제작표!$AQ$2:$AQ$799,0))&amp;"  "&amp;INDEX(A타입_제작표!$L$2:$L$799,MATCH("신약|"&amp;TEXT(B395,"yyyy-mm-dd"),A타입_제작표!$AQ$2:$AQ$799,0)),""))</f>
        <v/>
      </c>
      <c r="F395" s="24" t="str">
        <f aca="false">IF(B395="","",IFERROR("시편 "&amp;INDEX(시편_시리즈!$A$2:$A$151,MATCH("시편|"&amp;TEXT(B395,"yyyy-mm-dd"),시편_시리즈!$Y$2:$Y$151,0))&amp;"편  "&amp;INDEX(시편_시리즈!$G$2:$G$151,MATCH("시편|"&amp;TEXT(B395,"yyyy-mm-dd"),시편_시리즈!$Y$2:$Y$151,0)),""))</f>
        <v/>
      </c>
      <c r="G395" s="23" t="n">
        <f aca="false">IF(B395="","",(D395&lt;&gt;"")+(E395&lt;&gt;"")+(F395&lt;&gt;""))</f>
        <v>1</v>
      </c>
      <c r="H395" s="31" t="s">
        <v>10282</v>
      </c>
    </row>
    <row r="396" customFormat="false" ht="15" hidden="false" customHeight="false" outlineLevel="0" collapsed="false">
      <c r="A396" s="23" t="n">
        <f aca="false">IF(B396="","",395)</f>
        <v>395</v>
      </c>
      <c r="B396" s="26" t="n">
        <f aca="false">IF(안내!$C$9+394&gt;MAX(MAX(A타입_제작표!$U$2:$U$799),MAX(시편_시리즈!$Q$2:$Q$151)),"",안내!$C$9+394)</f>
        <v>46785</v>
      </c>
      <c r="C396" s="23" t="str">
        <f aca="false">IF(B396="","",CHOOSE(WEEKDAY(B396,2),"월","화","수","목","금","토","일"))</f>
        <v>수</v>
      </c>
      <c r="D396" s="24" t="str">
        <f aca="false">IF(B396="","",IFERROR(INDEX(A타입_제작표!$J$2:$J$799,MATCH("구약|"&amp;TEXT(B396,"yyyy-mm-dd"),A타입_제작표!$AQ$2:$AQ$799,0))&amp;"  "&amp;INDEX(A타입_제작표!$L$2:$L$799,MATCH("구약|"&amp;TEXT(B396,"yyyy-mm-dd"),A타입_제작표!$AQ$2:$AQ$799,0)),""))</f>
        <v>에 5:1-14  왕 앞으로</v>
      </c>
      <c r="E396" s="24" t="str">
        <f aca="false">IF(B396="","",IFERROR(INDEX(A타입_제작표!$J$2:$J$799,MATCH("신약|"&amp;TEXT(B396,"yyyy-mm-dd"),A타입_제작표!$AQ$2:$AQ$799,0))&amp;"  "&amp;INDEX(A타입_제작표!$L$2:$L$799,MATCH("신약|"&amp;TEXT(B396,"yyyy-mm-dd"),A타입_제작표!$AQ$2:$AQ$799,0)),""))</f>
        <v>살후 1:1-2:17  미혹되지 말라</v>
      </c>
      <c r="F396" s="24" t="str">
        <f aca="false">IF(B396="","",IFERROR("시편 "&amp;INDEX(시편_시리즈!$A$2:$A$151,MATCH("시편|"&amp;TEXT(B396,"yyyy-mm-dd"),시편_시리즈!$Y$2:$Y$151,0))&amp;"편  "&amp;INDEX(시편_시리즈!$G$2:$G$151,MATCH("시편|"&amp;TEXT(B396,"yyyy-mm-dd"),시편_시리즈!$Y$2:$Y$151,0)),""))</f>
        <v/>
      </c>
      <c r="G396" s="23" t="n">
        <f aca="false">IF(B396="","",(D396&lt;&gt;"")+(E396&lt;&gt;"")+(F396&lt;&gt;""))</f>
        <v>2</v>
      </c>
      <c r="H396" s="31" t="s">
        <v>10282</v>
      </c>
    </row>
    <row r="397" customFormat="false" ht="15" hidden="false" customHeight="false" outlineLevel="0" collapsed="false">
      <c r="A397" s="23" t="n">
        <f aca="false">IF(B397="","",396)</f>
        <v>396</v>
      </c>
      <c r="B397" s="26" t="n">
        <f aca="false">IF(안내!$C$9+395&gt;MAX(MAX(A타입_제작표!$U$2:$U$799),MAX(시편_시리즈!$Q$2:$Q$151)),"",안내!$C$9+395)</f>
        <v>46786</v>
      </c>
      <c r="C397" s="23" t="str">
        <f aca="false">IF(B397="","",CHOOSE(WEEKDAY(B397,2),"월","화","수","목","금","토","일"))</f>
        <v>목</v>
      </c>
      <c r="D397" s="24" t="str">
        <f aca="false">IF(B397="","",IFERROR(INDEX(A타입_제작표!$J$2:$J$799,MATCH("구약|"&amp;TEXT(B397,"yyyy-mm-dd"),A타입_제작표!$AQ$2:$AQ$799,0))&amp;"  "&amp;INDEX(A타입_제작표!$L$2:$L$799,MATCH("구약|"&amp;TEXT(B397,"yyyy-mm-dd"),A타입_제작표!$AQ$2:$AQ$799,0)),""))</f>
        <v>에 8:1-17  새로운 조서</v>
      </c>
      <c r="E397" s="24" t="str">
        <f aca="false">IF(B397="","",IFERROR(INDEX(A타입_제작표!$J$2:$J$799,MATCH("신약|"&amp;TEXT(B397,"yyyy-mm-dd"),A타입_제작표!$AQ$2:$AQ$799,0))&amp;"  "&amp;INDEX(A타입_제작표!$L$2:$L$799,MATCH("신약|"&amp;TEXT(B397,"yyyy-mm-dd"),A타입_제작표!$AQ$2:$AQ$799,0)),""))</f>
        <v/>
      </c>
      <c r="F397" s="24" t="str">
        <f aca="false">IF(B397="","",IFERROR("시편 "&amp;INDEX(시편_시리즈!$A$2:$A$151,MATCH("시편|"&amp;TEXT(B397,"yyyy-mm-dd"),시편_시리즈!$Y$2:$Y$151,0))&amp;"편  "&amp;INDEX(시편_시리즈!$G$2:$G$151,MATCH("시편|"&amp;TEXT(B397,"yyyy-mm-dd"),시편_시리즈!$Y$2:$Y$151,0)),""))</f>
        <v/>
      </c>
      <c r="G397" s="23" t="n">
        <f aca="false">IF(B397="","",(D397&lt;&gt;"")+(E397&lt;&gt;"")+(F397&lt;&gt;""))</f>
        <v>1</v>
      </c>
      <c r="H397" s="31" t="s">
        <v>10282</v>
      </c>
    </row>
    <row r="398" customFormat="false" ht="15" hidden="false" customHeight="false" outlineLevel="0" collapsed="false">
      <c r="A398" s="23" t="n">
        <f aca="false">IF(B398="","",397)</f>
        <v>397</v>
      </c>
      <c r="B398" s="26" t="n">
        <f aca="false">IF(안내!$C$9+396&gt;MAX(MAX(A타입_제작표!$U$2:$U$799),MAX(시편_시리즈!$Q$2:$Q$151)),"",안내!$C$9+396)</f>
        <v>46787</v>
      </c>
      <c r="C398" s="23" t="str">
        <f aca="false">IF(B398="","",CHOOSE(WEEKDAY(B398,2),"월","화","수","목","금","토","일"))</f>
        <v>금</v>
      </c>
      <c r="D398" s="24" t="str">
        <f aca="false">IF(B398="","",IFERROR(INDEX(A타입_제작표!$J$2:$J$799,MATCH("구약|"&amp;TEXT(B398,"yyyy-mm-dd"),A타입_제작표!$AQ$2:$AQ$799,0))&amp;"  "&amp;INDEX(A타입_제작표!$L$2:$L$799,MATCH("구약|"&amp;TEXT(B398,"yyyy-mm-dd"),A타입_제작표!$AQ$2:$AQ$799,0)),""))</f>
        <v>에 9:1-10:3  부림절</v>
      </c>
      <c r="E398" s="24" t="str">
        <f aca="false">IF(B398="","",IFERROR(INDEX(A타입_제작표!$J$2:$J$799,MATCH("신약|"&amp;TEXT(B398,"yyyy-mm-dd"),A타입_제작표!$AQ$2:$AQ$799,0))&amp;"  "&amp;INDEX(A타입_제작표!$L$2:$L$799,MATCH("신약|"&amp;TEXT(B398,"yyyy-mm-dd"),A타입_제작표!$AQ$2:$AQ$799,0)),""))</f>
        <v>살후 3:1-18  일하기 싫어하거든</v>
      </c>
      <c r="F398" s="24" t="str">
        <f aca="false">IF(B398="","",IFERROR("시편 "&amp;INDEX(시편_시리즈!$A$2:$A$151,MATCH("시편|"&amp;TEXT(B398,"yyyy-mm-dd"),시편_시리즈!$Y$2:$Y$151,0))&amp;"편  "&amp;INDEX(시편_시리즈!$G$2:$G$151,MATCH("시편|"&amp;TEXT(B398,"yyyy-mm-dd"),시편_시리즈!$Y$2:$Y$151,0)),""))</f>
        <v/>
      </c>
      <c r="G398" s="23" t="n">
        <f aca="false">IF(B398="","",(D398&lt;&gt;"")+(E398&lt;&gt;"")+(F398&lt;&gt;""))</f>
        <v>2</v>
      </c>
      <c r="H398" s="31" t="s">
        <v>10282</v>
      </c>
    </row>
    <row r="399" customFormat="false" ht="15" hidden="false" customHeight="false" outlineLevel="0" collapsed="false">
      <c r="A399" s="23" t="n">
        <f aca="false">IF(B399="","",398)</f>
        <v>398</v>
      </c>
      <c r="B399" s="26" t="n">
        <f aca="false">IF(안내!$C$9+397&gt;MAX(MAX(A타입_제작표!$U$2:$U$799),MAX(시편_시리즈!$Q$2:$Q$151)),"",안내!$C$9+397)</f>
        <v>46788</v>
      </c>
      <c r="C399" s="23" t="str">
        <f aca="false">IF(B399="","",CHOOSE(WEEKDAY(B399,2),"월","화","수","목","금","토","일"))</f>
        <v>토</v>
      </c>
      <c r="D399" s="24" t="str">
        <f aca="false">IF(B399="","",IFERROR(INDEX(A타입_제작표!$J$2:$J$799,MATCH("구약|"&amp;TEXT(B399,"yyyy-mm-dd"),A타입_제작표!$AQ$2:$AQ$799,0))&amp;"  "&amp;INDEX(A타입_제작표!$L$2:$L$799,MATCH("구약|"&amp;TEXT(B399,"yyyy-mm-dd"),A타입_제작표!$AQ$2:$AQ$799,0)),""))</f>
        <v>욥 3:1-26  욥의 탄식</v>
      </c>
      <c r="E399" s="24" t="str">
        <f aca="false">IF(B399="","",IFERROR(INDEX(A타입_제작표!$J$2:$J$799,MATCH("신약|"&amp;TEXT(B399,"yyyy-mm-dd"),A타입_제작표!$AQ$2:$AQ$799,0))&amp;"  "&amp;INDEX(A타입_제작표!$L$2:$L$799,MATCH("신약|"&amp;TEXT(B399,"yyyy-mm-dd"),A타입_제작표!$AQ$2:$AQ$799,0)),""))</f>
        <v>딤전 1:1-20  죄인 중에 내가 괴수니라</v>
      </c>
      <c r="F399" s="24" t="str">
        <f aca="false">IF(B399="","",IFERROR("시편 "&amp;INDEX(시편_시리즈!$A$2:$A$151,MATCH("시편|"&amp;TEXT(B399,"yyyy-mm-dd"),시편_시리즈!$Y$2:$Y$151,0))&amp;"편  "&amp;INDEX(시편_시리즈!$G$2:$G$151,MATCH("시편|"&amp;TEXT(B399,"yyyy-mm-dd"),시편_시리즈!$Y$2:$Y$151,0)),""))</f>
        <v/>
      </c>
      <c r="G399" s="23" t="n">
        <f aca="false">IF(B399="","",(D399&lt;&gt;"")+(E399&lt;&gt;"")+(F399&lt;&gt;""))</f>
        <v>2</v>
      </c>
      <c r="H399" s="31" t="s">
        <v>10282</v>
      </c>
    </row>
    <row r="400" customFormat="false" ht="15" hidden="false" customHeight="false" outlineLevel="0" collapsed="false">
      <c r="A400" s="23" t="n">
        <f aca="false">IF(B400="","",399)</f>
        <v>399</v>
      </c>
      <c r="B400" s="26" t="n">
        <f aca="false">IF(안내!$C$9+398&gt;MAX(MAX(A타입_제작표!$U$2:$U$799),MAX(시편_시리즈!$Q$2:$Q$151)),"",안내!$C$9+398)</f>
        <v>46789</v>
      </c>
      <c r="C400" s="23" t="str">
        <f aca="false">IF(B400="","",CHOOSE(WEEKDAY(B400,2),"월","화","수","목","금","토","일"))</f>
        <v>일</v>
      </c>
      <c r="D400" s="24" t="str">
        <f aca="false">IF(B400="","",IFERROR(INDEX(A타입_제작표!$J$2:$J$799,MATCH("구약|"&amp;TEXT(B400,"yyyy-mm-dd"),A타입_제작표!$AQ$2:$AQ$799,0))&amp;"  "&amp;INDEX(A타입_제작표!$L$2:$L$799,MATCH("구약|"&amp;TEXT(B400,"yyyy-mm-dd"),A타입_제작표!$AQ$2:$AQ$799,0)),""))</f>
        <v>욥 4:1-14:22  네가 죄를 지어서 그래</v>
      </c>
      <c r="E400" s="24" t="str">
        <f aca="false">IF(B400="","",IFERROR(INDEX(A타입_제작표!$J$2:$J$799,MATCH("신약|"&amp;TEXT(B400,"yyyy-mm-dd"),A타입_제작표!$AQ$2:$AQ$799,0))&amp;"  "&amp;INDEX(A타입_제작표!$L$2:$L$799,MATCH("신약|"&amp;TEXT(B400,"yyyy-mm-dd"),A타입_제작표!$AQ$2:$AQ$799,0)),""))</f>
        <v/>
      </c>
      <c r="F400" s="24" t="str">
        <f aca="false">IF(B400="","",IFERROR("시편 "&amp;INDEX(시편_시리즈!$A$2:$A$151,MATCH("시편|"&amp;TEXT(B400,"yyyy-mm-dd"),시편_시리즈!$Y$2:$Y$151,0))&amp;"편  "&amp;INDEX(시편_시리즈!$G$2:$G$151,MATCH("시편|"&amp;TEXT(B400,"yyyy-mm-dd"),시편_시리즈!$Y$2:$Y$151,0)),""))</f>
        <v/>
      </c>
      <c r="G400" s="23" t="n">
        <f aca="false">IF(B400="","",(D400&lt;&gt;"")+(E400&lt;&gt;"")+(F400&lt;&gt;""))</f>
        <v>1</v>
      </c>
      <c r="H400" s="31" t="s">
        <v>10282</v>
      </c>
    </row>
    <row r="401" customFormat="false" ht="15" hidden="false" customHeight="false" outlineLevel="0" collapsed="false">
      <c r="A401" s="23" t="n">
        <f aca="false">IF(B401="","",400)</f>
        <v>400</v>
      </c>
      <c r="B401" s="26" t="n">
        <f aca="false">IF(안내!$C$9+399&gt;MAX(MAX(A타입_제작표!$U$2:$U$799),MAX(시편_시리즈!$Q$2:$Q$151)),"",안내!$C$9+399)</f>
        <v>46790</v>
      </c>
      <c r="C401" s="23" t="str">
        <f aca="false">IF(B401="","",CHOOSE(WEEKDAY(B401,2),"월","화","수","목","금","토","일"))</f>
        <v>월</v>
      </c>
      <c r="D401" s="24" t="str">
        <f aca="false">IF(B401="","",IFERROR(INDEX(A타입_제작표!$J$2:$J$799,MATCH("구약|"&amp;TEXT(B401,"yyyy-mm-dd"),A타입_제작표!$AQ$2:$AQ$799,0))&amp;"  "&amp;INDEX(A타입_제작표!$L$2:$L$799,MATCH("구약|"&amp;TEXT(B401,"yyyy-mm-dd"),A타입_제작표!$AQ$2:$AQ$799,0)),""))</f>
        <v>욥 15:1-21:34  나의 대속자가 살아 계시니</v>
      </c>
      <c r="E401" s="24" t="str">
        <f aca="false">IF(B401="","",IFERROR(INDEX(A타입_제작표!$J$2:$J$799,MATCH("신약|"&amp;TEXT(B401,"yyyy-mm-dd"),A타입_제작표!$AQ$2:$AQ$799,0))&amp;"  "&amp;INDEX(A타입_제작표!$L$2:$L$799,MATCH("신약|"&amp;TEXT(B401,"yyyy-mm-dd"),A타입_제작표!$AQ$2:$AQ$799,0)),""))</f>
        <v>딤전 2:1-3:16  유일한 중보자</v>
      </c>
      <c r="F401" s="24" t="str">
        <f aca="false">IF(B401="","",IFERROR("시편 "&amp;INDEX(시편_시리즈!$A$2:$A$151,MATCH("시편|"&amp;TEXT(B401,"yyyy-mm-dd"),시편_시리즈!$Y$2:$Y$151,0))&amp;"편  "&amp;INDEX(시편_시리즈!$G$2:$G$151,MATCH("시편|"&amp;TEXT(B401,"yyyy-mm-dd"),시편_시리즈!$Y$2:$Y$151,0)),""))</f>
        <v/>
      </c>
      <c r="G401" s="23" t="n">
        <f aca="false">IF(B401="","",(D401&lt;&gt;"")+(E401&lt;&gt;"")+(F401&lt;&gt;""))</f>
        <v>2</v>
      </c>
      <c r="H401" s="31" t="s">
        <v>10282</v>
      </c>
    </row>
    <row r="402" customFormat="false" ht="15" hidden="false" customHeight="false" outlineLevel="0" collapsed="false">
      <c r="A402" s="23" t="n">
        <f aca="false">IF(B402="","",401)</f>
        <v>401</v>
      </c>
      <c r="B402" s="26" t="n">
        <f aca="false">IF(안내!$C$9+400&gt;MAX(MAX(A타입_제작표!$U$2:$U$799),MAX(시편_시리즈!$Q$2:$Q$151)),"",안내!$C$9+400)</f>
        <v>46791</v>
      </c>
      <c r="C402" s="23" t="str">
        <f aca="false">IF(B402="","",CHOOSE(WEEKDAY(B402,2),"월","화","수","목","금","토","일"))</f>
        <v>화</v>
      </c>
      <c r="D402" s="24" t="str">
        <f aca="false">IF(B402="","",IFERROR(INDEX(A타입_제작표!$J$2:$J$799,MATCH("구약|"&amp;TEXT(B402,"yyyy-mm-dd"),A타입_제작표!$AQ$2:$AQ$799,0))&amp;"  "&amp;INDEX(A타입_제작표!$L$2:$L$799,MATCH("구약|"&amp;TEXT(B402,"yyyy-mm-dd"),A타입_제작표!$AQ$2:$AQ$799,0)),""))</f>
        <v>욥 22:1-31:40  정금같이 나오리라</v>
      </c>
      <c r="E402" s="24" t="str">
        <f aca="false">IF(B402="","",IFERROR(INDEX(A타입_제작표!$J$2:$J$799,MATCH("신약|"&amp;TEXT(B402,"yyyy-mm-dd"),A타입_제작표!$AQ$2:$AQ$799,0))&amp;"  "&amp;INDEX(A타입_제작표!$L$2:$L$799,MATCH("신약|"&amp;TEXT(B402,"yyyy-mm-dd"),A타입_제작표!$AQ$2:$AQ$799,0)),""))</f>
        <v/>
      </c>
      <c r="F402" s="24" t="str">
        <f aca="false">IF(B402="","",IFERROR("시편 "&amp;INDEX(시편_시리즈!$A$2:$A$151,MATCH("시편|"&amp;TEXT(B402,"yyyy-mm-dd"),시편_시리즈!$Y$2:$Y$151,0))&amp;"편  "&amp;INDEX(시편_시리즈!$G$2:$G$151,MATCH("시편|"&amp;TEXT(B402,"yyyy-mm-dd"),시편_시리즈!$Y$2:$Y$151,0)),""))</f>
        <v/>
      </c>
      <c r="G402" s="23" t="n">
        <f aca="false">IF(B402="","",(D402&lt;&gt;"")+(E402&lt;&gt;"")+(F402&lt;&gt;""))</f>
        <v>1</v>
      </c>
      <c r="H402" s="31" t="s">
        <v>10282</v>
      </c>
    </row>
    <row r="403" customFormat="false" ht="15" hidden="false" customHeight="false" outlineLevel="0" collapsed="false">
      <c r="A403" s="23" t="n">
        <f aca="false">IF(B403="","",402)</f>
        <v>402</v>
      </c>
      <c r="B403" s="26" t="n">
        <f aca="false">IF(안내!$C$9+401&gt;MAX(MAX(A타입_제작표!$U$2:$U$799),MAX(시편_시리즈!$Q$2:$Q$151)),"",안내!$C$9+401)</f>
        <v>46792</v>
      </c>
      <c r="C403" s="23" t="str">
        <f aca="false">IF(B403="","",CHOOSE(WEEKDAY(B403,2),"월","화","수","목","금","토","일"))</f>
        <v>수</v>
      </c>
      <c r="D403" s="24" t="str">
        <f aca="false">IF(B403="","",IFERROR(INDEX(A타입_제작표!$J$2:$J$799,MATCH("구약|"&amp;TEXT(B403,"yyyy-mm-dd"),A타입_제작표!$AQ$2:$AQ$799,0))&amp;"  "&amp;INDEX(A타입_제작표!$L$2:$L$799,MATCH("구약|"&amp;TEXT(B403,"yyyy-mm-dd"),A타입_제작표!$AQ$2:$AQ$799,0)),""))</f>
        <v>욥 32:1-37:24  젊은 엘리후</v>
      </c>
      <c r="E403" s="24" t="str">
        <f aca="false">IF(B403="","",IFERROR(INDEX(A타입_제작표!$J$2:$J$799,MATCH("신약|"&amp;TEXT(B403,"yyyy-mm-dd"),A타입_제작표!$AQ$2:$AQ$799,0))&amp;"  "&amp;INDEX(A타입_제작표!$L$2:$L$799,MATCH("신약|"&amp;TEXT(B403,"yyyy-mm-dd"),A타입_제작표!$AQ$2:$AQ$799,0)),""))</f>
        <v>딤전 4:1-16  연소함을 업신여기지 못하게</v>
      </c>
      <c r="F403" s="24" t="str">
        <f aca="false">IF(B403="","",IFERROR("시편 "&amp;INDEX(시편_시리즈!$A$2:$A$151,MATCH("시편|"&amp;TEXT(B403,"yyyy-mm-dd"),시편_시리즈!$Y$2:$Y$151,0))&amp;"편  "&amp;INDEX(시편_시리즈!$G$2:$G$151,MATCH("시편|"&amp;TEXT(B403,"yyyy-mm-dd"),시편_시리즈!$Y$2:$Y$151,0)),""))</f>
        <v/>
      </c>
      <c r="G403" s="23" t="n">
        <f aca="false">IF(B403="","",(D403&lt;&gt;"")+(E403&lt;&gt;"")+(F403&lt;&gt;""))</f>
        <v>2</v>
      </c>
      <c r="H403" s="31" t="s">
        <v>10282</v>
      </c>
    </row>
    <row r="404" customFormat="false" ht="15" hidden="false" customHeight="false" outlineLevel="0" collapsed="false">
      <c r="A404" s="23" t="n">
        <f aca="false">IF(B404="","",403)</f>
        <v>403</v>
      </c>
      <c r="B404" s="26" t="n">
        <f aca="false">IF(안내!$C$9+402&gt;MAX(MAX(A타입_제작표!$U$2:$U$799),MAX(시편_시리즈!$Q$2:$Q$151)),"",안내!$C$9+402)</f>
        <v>46793</v>
      </c>
      <c r="C404" s="23" t="str">
        <f aca="false">IF(B404="","",CHOOSE(WEEKDAY(B404,2),"월","화","수","목","금","토","일"))</f>
        <v>목</v>
      </c>
      <c r="D404" s="24" t="str">
        <f aca="false">IF(B404="","",IFERROR(INDEX(A타입_제작표!$J$2:$J$799,MATCH("구약|"&amp;TEXT(B404,"yyyy-mm-dd"),A타입_제작표!$AQ$2:$AQ$799,0))&amp;"  "&amp;INDEX(A타입_제작표!$L$2:$L$799,MATCH("구약|"&amp;TEXT(B404,"yyyy-mm-dd"),A타입_제작표!$AQ$2:$AQ$799,0)),""))</f>
        <v>욥 40:6-42:6  이제는 눈으로 주를 뵈옵나이다</v>
      </c>
      <c r="E404" s="24" t="str">
        <f aca="false">IF(B404="","",IFERROR(INDEX(A타입_제작표!$J$2:$J$799,MATCH("신약|"&amp;TEXT(B404,"yyyy-mm-dd"),A타입_제작표!$AQ$2:$AQ$799,0))&amp;"  "&amp;INDEX(A타입_제작표!$L$2:$L$799,MATCH("신약|"&amp;TEXT(B404,"yyyy-mm-dd"),A타입_제작표!$AQ$2:$AQ$799,0)),""))</f>
        <v/>
      </c>
      <c r="F404" s="24" t="str">
        <f aca="false">IF(B404="","",IFERROR("시편 "&amp;INDEX(시편_시리즈!$A$2:$A$151,MATCH("시편|"&amp;TEXT(B404,"yyyy-mm-dd"),시편_시리즈!$Y$2:$Y$151,0))&amp;"편  "&amp;INDEX(시편_시리즈!$G$2:$G$151,MATCH("시편|"&amp;TEXT(B404,"yyyy-mm-dd"),시편_시리즈!$Y$2:$Y$151,0)),""))</f>
        <v/>
      </c>
      <c r="G404" s="23" t="n">
        <f aca="false">IF(B404="","",(D404&lt;&gt;"")+(E404&lt;&gt;"")+(F404&lt;&gt;""))</f>
        <v>1</v>
      </c>
      <c r="H404" s="31" t="s">
        <v>10282</v>
      </c>
    </row>
    <row r="405" customFormat="false" ht="15" hidden="false" customHeight="false" outlineLevel="0" collapsed="false">
      <c r="A405" s="23" t="n">
        <f aca="false">IF(B405="","",404)</f>
        <v>404</v>
      </c>
      <c r="B405" s="26" t="n">
        <f aca="false">IF(안내!$C$9+403&gt;MAX(MAX(A타입_제작표!$U$2:$U$799),MAX(시편_시리즈!$Q$2:$Q$151)),"",안내!$C$9+403)</f>
        <v>46794</v>
      </c>
      <c r="C405" s="23" t="str">
        <f aca="false">IF(B405="","",CHOOSE(WEEKDAY(B405,2),"월","화","수","목","금","토","일"))</f>
        <v>금</v>
      </c>
      <c r="D405" s="24" t="str">
        <f aca="false">IF(B405="","",IFERROR(INDEX(A타입_제작표!$J$2:$J$799,MATCH("구약|"&amp;TEXT(B405,"yyyy-mm-dd"),A타입_제작표!$AQ$2:$AQ$799,0))&amp;"  "&amp;INDEX(A타입_제작표!$L$2:$L$799,MATCH("구약|"&amp;TEXT(B405,"yyyy-mm-dd"),A타입_제작표!$AQ$2:$AQ$799,0)),""))</f>
        <v>시편 2편  하나님의 아들</v>
      </c>
      <c r="E405" s="24" t="str">
        <f aca="false">IF(B405="","",IFERROR(INDEX(A타입_제작표!$J$2:$J$799,MATCH("신약|"&amp;TEXT(B405,"yyyy-mm-dd"),A타입_제작표!$AQ$2:$AQ$799,0))&amp;"  "&amp;INDEX(A타입_제작표!$L$2:$L$799,MATCH("신약|"&amp;TEXT(B405,"yyyy-mm-dd"),A타입_제작표!$AQ$2:$AQ$799,0)),""))</f>
        <v>딤전 5:1-6:21  자족하는 마음</v>
      </c>
      <c r="F405" s="24" t="str">
        <f aca="false">IF(B405="","",IFERROR("시편 "&amp;INDEX(시편_시리즈!$A$2:$A$151,MATCH("시편|"&amp;TEXT(B405,"yyyy-mm-dd"),시편_시리즈!$Y$2:$Y$151,0))&amp;"편  "&amp;INDEX(시편_시리즈!$G$2:$G$151,MATCH("시편|"&amp;TEXT(B405,"yyyy-mm-dd"),시편_시리즈!$Y$2:$Y$151,0)),""))</f>
        <v/>
      </c>
      <c r="G405" s="23" t="n">
        <f aca="false">IF(B405="","",(D405&lt;&gt;"")+(E405&lt;&gt;"")+(F405&lt;&gt;""))</f>
        <v>2</v>
      </c>
      <c r="H405" s="31" t="s">
        <v>10282</v>
      </c>
    </row>
    <row r="406" customFormat="false" ht="15" hidden="false" customHeight="false" outlineLevel="0" collapsed="false">
      <c r="A406" s="23" t="n">
        <f aca="false">IF(B406="","",405)</f>
        <v>405</v>
      </c>
      <c r="B406" s="26" t="n">
        <f aca="false">IF(안내!$C$9+404&gt;MAX(MAX(A타입_제작표!$U$2:$U$799),MAX(시편_시리즈!$Q$2:$Q$151)),"",안내!$C$9+404)</f>
        <v>46795</v>
      </c>
      <c r="C406" s="23" t="str">
        <f aca="false">IF(B406="","",CHOOSE(WEEKDAY(B406,2),"월","화","수","목","금","토","일"))</f>
        <v>토</v>
      </c>
      <c r="D406" s="24" t="str">
        <f aca="false">IF(B406="","",IFERROR(INDEX(A타입_제작표!$J$2:$J$799,MATCH("구약|"&amp;TEXT(B406,"yyyy-mm-dd"),A타입_제작표!$AQ$2:$AQ$799,0))&amp;"  "&amp;INDEX(A타입_제작표!$L$2:$L$799,MATCH("구약|"&amp;TEXT(B406,"yyyy-mm-dd"),A타입_제작표!$AQ$2:$AQ$799,0)),""))</f>
        <v>시편 8편  사람이 무엇이기에</v>
      </c>
      <c r="E406" s="24" t="str">
        <f aca="false">IF(B406="","",IFERROR(INDEX(A타입_제작표!$J$2:$J$799,MATCH("신약|"&amp;TEXT(B406,"yyyy-mm-dd"),A타입_제작표!$AQ$2:$AQ$799,0))&amp;"  "&amp;INDEX(A타입_제작표!$L$2:$L$799,MATCH("신약|"&amp;TEXT(B406,"yyyy-mm-dd"),A타입_제작표!$AQ$2:$AQ$799,0)),""))</f>
        <v>딤후 1:1-18  두려워하는 마음이 아니요</v>
      </c>
      <c r="F406" s="24" t="str">
        <f aca="false">IF(B406="","",IFERROR("시편 "&amp;INDEX(시편_시리즈!$A$2:$A$151,MATCH("시편|"&amp;TEXT(B406,"yyyy-mm-dd"),시편_시리즈!$Y$2:$Y$151,0))&amp;"편  "&amp;INDEX(시편_시리즈!$G$2:$G$151,MATCH("시편|"&amp;TEXT(B406,"yyyy-mm-dd"),시편_시리즈!$Y$2:$Y$151,0)),""))</f>
        <v/>
      </c>
      <c r="G406" s="23" t="n">
        <f aca="false">IF(B406="","",(D406&lt;&gt;"")+(E406&lt;&gt;"")+(F406&lt;&gt;""))</f>
        <v>2</v>
      </c>
      <c r="H406" s="31" t="s">
        <v>10282</v>
      </c>
    </row>
    <row r="407" customFormat="false" ht="15" hidden="false" customHeight="false" outlineLevel="0" collapsed="false">
      <c r="A407" s="23" t="n">
        <f aca="false">IF(B407="","",406)</f>
        <v>406</v>
      </c>
      <c r="B407" s="26" t="n">
        <f aca="false">IF(안내!$C$9+405&gt;MAX(MAX(A타입_제작표!$U$2:$U$799),MAX(시편_시리즈!$Q$2:$Q$151)),"",안내!$C$9+405)</f>
        <v>46796</v>
      </c>
      <c r="C407" s="23" t="str">
        <f aca="false">IF(B407="","",CHOOSE(WEEKDAY(B407,2),"월","화","수","목","금","토","일"))</f>
        <v>일</v>
      </c>
      <c r="D407" s="24" t="str">
        <f aca="false">IF(B407="","",IFERROR(INDEX(A타입_제작표!$J$2:$J$799,MATCH("구약|"&amp;TEXT(B407,"yyyy-mm-dd"),A타입_제작표!$AQ$2:$AQ$799,0))&amp;"  "&amp;INDEX(A타입_제작표!$L$2:$L$799,MATCH("구약|"&amp;TEXT(B407,"yyyy-mm-dd"),A타입_제작표!$AQ$2:$AQ$799,0)),""))</f>
        <v>시편 19편  하늘이 말하고 있다</v>
      </c>
      <c r="E407" s="24" t="str">
        <f aca="false">IF(B407="","",IFERROR(INDEX(A타입_제작표!$J$2:$J$799,MATCH("신약|"&amp;TEXT(B407,"yyyy-mm-dd"),A타입_제작표!$AQ$2:$AQ$799,0))&amp;"  "&amp;INDEX(A타입_제작표!$L$2:$L$799,MATCH("신약|"&amp;TEXT(B407,"yyyy-mm-dd"),A타입_제작표!$AQ$2:$AQ$799,0)),""))</f>
        <v/>
      </c>
      <c r="F407" s="24" t="str">
        <f aca="false">IF(B407="","",IFERROR("시편 "&amp;INDEX(시편_시리즈!$A$2:$A$151,MATCH("시편|"&amp;TEXT(B407,"yyyy-mm-dd"),시편_시리즈!$Y$2:$Y$151,0))&amp;"편  "&amp;INDEX(시편_시리즈!$G$2:$G$151,MATCH("시편|"&amp;TEXT(B407,"yyyy-mm-dd"),시편_시리즈!$Y$2:$Y$151,0)),""))</f>
        <v/>
      </c>
      <c r="G407" s="23" t="n">
        <f aca="false">IF(B407="","",(D407&lt;&gt;"")+(E407&lt;&gt;"")+(F407&lt;&gt;""))</f>
        <v>1</v>
      </c>
      <c r="H407" s="31" t="s">
        <v>10282</v>
      </c>
    </row>
    <row r="408" customFormat="false" ht="15" hidden="false" customHeight="false" outlineLevel="0" collapsed="false">
      <c r="A408" s="23" t="n">
        <f aca="false">IF(B408="","",407)</f>
        <v>407</v>
      </c>
      <c r="B408" s="26" t="n">
        <f aca="false">IF(안내!$C$9+406&gt;MAX(MAX(A타입_제작표!$U$2:$U$799),MAX(시편_시리즈!$Q$2:$Q$151)),"",안내!$C$9+406)</f>
        <v>46797</v>
      </c>
      <c r="C408" s="23" t="str">
        <f aca="false">IF(B408="","",CHOOSE(WEEKDAY(B408,2),"월","화","수","목","금","토","일"))</f>
        <v>월</v>
      </c>
      <c r="D408" s="24" t="str">
        <f aca="false">IF(B408="","",IFERROR(INDEX(A타입_제작표!$J$2:$J$799,MATCH("구약|"&amp;TEXT(B408,"yyyy-mm-dd"),A타입_제작표!$AQ$2:$AQ$799,0))&amp;"  "&amp;INDEX(A타입_제작표!$L$2:$L$799,MATCH("구약|"&amp;TEXT(B408,"yyyy-mm-dd"),A타입_제작표!$AQ$2:$AQ$799,0)),""))</f>
        <v>시편 27편  여호와는 나의 빛</v>
      </c>
      <c r="E408" s="24" t="str">
        <f aca="false">IF(B408="","",IFERROR(INDEX(A타입_제작표!$J$2:$J$799,MATCH("신약|"&amp;TEXT(B408,"yyyy-mm-dd"),A타입_제작표!$AQ$2:$AQ$799,0))&amp;"  "&amp;INDEX(A타입_제작표!$L$2:$L$799,MATCH("신약|"&amp;TEXT(B408,"yyyy-mm-dd"),A타입_제작표!$AQ$2:$AQ$799,0)),""))</f>
        <v>딤후 2:1-26  진리의 말씀을 옳게 분별하며</v>
      </c>
      <c r="F408" s="24" t="str">
        <f aca="false">IF(B408="","",IFERROR("시편 "&amp;INDEX(시편_시리즈!$A$2:$A$151,MATCH("시편|"&amp;TEXT(B408,"yyyy-mm-dd"),시편_시리즈!$Y$2:$Y$151,0))&amp;"편  "&amp;INDEX(시편_시리즈!$G$2:$G$151,MATCH("시편|"&amp;TEXT(B408,"yyyy-mm-dd"),시편_시리즈!$Y$2:$Y$151,0)),""))</f>
        <v/>
      </c>
      <c r="G408" s="23" t="n">
        <f aca="false">IF(B408="","",(D408&lt;&gt;"")+(E408&lt;&gt;"")+(F408&lt;&gt;""))</f>
        <v>2</v>
      </c>
      <c r="H408" s="31" t="s">
        <v>10282</v>
      </c>
    </row>
    <row r="409" customFormat="false" ht="15" hidden="false" customHeight="false" outlineLevel="0" collapsed="false">
      <c r="A409" s="23" t="n">
        <f aca="false">IF(B409="","",408)</f>
        <v>408</v>
      </c>
      <c r="B409" s="26" t="n">
        <f aca="false">IF(안내!$C$9+407&gt;MAX(MAX(A타입_제작표!$U$2:$U$799),MAX(시편_시리즈!$Q$2:$Q$151)),"",안내!$C$9+407)</f>
        <v>46798</v>
      </c>
      <c r="C409" s="23" t="str">
        <f aca="false">IF(B409="","",CHOOSE(WEEKDAY(B409,2),"월","화","수","목","금","토","일"))</f>
        <v>화</v>
      </c>
      <c r="D409" s="24" t="str">
        <f aca="false">IF(B409="","",IFERROR(INDEX(A타입_제작표!$J$2:$J$799,MATCH("구약|"&amp;TEXT(B409,"yyyy-mm-dd"),A타입_제작표!$AQ$2:$AQ$799,0))&amp;"  "&amp;INDEX(A타입_제작표!$L$2:$L$799,MATCH("구약|"&amp;TEXT(B409,"yyyy-mm-dd"),A타입_제작표!$AQ$2:$AQ$799,0)),""))</f>
        <v>시편 32편  용서받은 사람의 기쁨</v>
      </c>
      <c r="E409" s="24" t="str">
        <f aca="false">IF(B409="","",IFERROR(INDEX(A타입_제작표!$J$2:$J$799,MATCH("신약|"&amp;TEXT(B409,"yyyy-mm-dd"),A타입_제작표!$AQ$2:$AQ$799,0))&amp;"  "&amp;INDEX(A타입_제작표!$L$2:$L$799,MATCH("신약|"&amp;TEXT(B409,"yyyy-mm-dd"),A타입_제작표!$AQ$2:$AQ$799,0)),""))</f>
        <v/>
      </c>
      <c r="F409" s="24" t="str">
        <f aca="false">IF(B409="","",IFERROR("시편 "&amp;INDEX(시편_시리즈!$A$2:$A$151,MATCH("시편|"&amp;TEXT(B409,"yyyy-mm-dd"),시편_시리즈!$Y$2:$Y$151,0))&amp;"편  "&amp;INDEX(시편_시리즈!$G$2:$G$151,MATCH("시편|"&amp;TEXT(B409,"yyyy-mm-dd"),시편_시리즈!$Y$2:$Y$151,0)),""))</f>
        <v/>
      </c>
      <c r="G409" s="23" t="n">
        <f aca="false">IF(B409="","",(D409&lt;&gt;"")+(E409&lt;&gt;"")+(F409&lt;&gt;""))</f>
        <v>1</v>
      </c>
      <c r="H409" s="31" t="s">
        <v>10282</v>
      </c>
    </row>
    <row r="410" customFormat="false" ht="15" hidden="false" customHeight="false" outlineLevel="0" collapsed="false">
      <c r="A410" s="23" t="n">
        <f aca="false">IF(B410="","",409)</f>
        <v>409</v>
      </c>
      <c r="B410" s="26" t="n">
        <f aca="false">IF(안내!$C$9+408&gt;MAX(MAX(A타입_제작표!$U$2:$U$799),MAX(시편_시리즈!$Q$2:$Q$151)),"",안내!$C$9+408)</f>
        <v>46799</v>
      </c>
      <c r="C410" s="23" t="str">
        <f aca="false">IF(B410="","",CHOOSE(WEEKDAY(B410,2),"월","화","수","목","금","토","일"))</f>
        <v>수</v>
      </c>
      <c r="D410" s="24" t="str">
        <f aca="false">IF(B410="","",IFERROR(INDEX(A타입_제작표!$J$2:$J$799,MATCH("구약|"&amp;TEXT(B410,"yyyy-mm-dd"),A타입_제작표!$AQ$2:$AQ$799,0))&amp;"  "&amp;INDEX(A타입_제작표!$L$2:$L$799,MATCH("구약|"&amp;TEXT(B410,"yyyy-mm-dd"),A타입_제작표!$AQ$2:$AQ$799,0)),""))</f>
        <v>시편 42편  사슴이 시냇물을 찾듯</v>
      </c>
      <c r="E410" s="24" t="str">
        <f aca="false">IF(B410="","",IFERROR(INDEX(A타입_제작표!$J$2:$J$799,MATCH("신약|"&amp;TEXT(B410,"yyyy-mm-dd"),A타입_제작표!$AQ$2:$AQ$799,0))&amp;"  "&amp;INDEX(A타입_제작표!$L$2:$L$799,MATCH("신약|"&amp;TEXT(B410,"yyyy-mm-dd"),A타입_제작표!$AQ$2:$AQ$799,0)),""))</f>
        <v>딤후 3:1-4:22  모든 성경은 하나님의 감동으로</v>
      </c>
      <c r="F410" s="24" t="str">
        <f aca="false">IF(B410="","",IFERROR("시편 "&amp;INDEX(시편_시리즈!$A$2:$A$151,MATCH("시편|"&amp;TEXT(B410,"yyyy-mm-dd"),시편_시리즈!$Y$2:$Y$151,0))&amp;"편  "&amp;INDEX(시편_시리즈!$G$2:$G$151,MATCH("시편|"&amp;TEXT(B410,"yyyy-mm-dd"),시편_시리즈!$Y$2:$Y$151,0)),""))</f>
        <v/>
      </c>
      <c r="G410" s="23" t="n">
        <f aca="false">IF(B410="","",(D410&lt;&gt;"")+(E410&lt;&gt;"")+(F410&lt;&gt;""))</f>
        <v>2</v>
      </c>
      <c r="H410" s="31" t="s">
        <v>10282</v>
      </c>
    </row>
    <row r="411" customFormat="false" ht="15" hidden="false" customHeight="false" outlineLevel="0" collapsed="false">
      <c r="A411" s="23" t="n">
        <f aca="false">IF(B411="","",410)</f>
        <v>410</v>
      </c>
      <c r="B411" s="26" t="n">
        <f aca="false">IF(안내!$C$9+409&gt;MAX(MAX(A타입_제작표!$U$2:$U$799),MAX(시편_시리즈!$Q$2:$Q$151)),"",안내!$C$9+409)</f>
        <v>46800</v>
      </c>
      <c r="C411" s="23" t="str">
        <f aca="false">IF(B411="","",CHOOSE(WEEKDAY(B411,2),"월","화","수","목","금","토","일"))</f>
        <v>목</v>
      </c>
      <c r="D411" s="24" t="str">
        <f aca="false">IF(B411="","",IFERROR(INDEX(A타입_제작표!$J$2:$J$799,MATCH("구약|"&amp;TEXT(B411,"yyyy-mm-dd"),A타입_제작표!$AQ$2:$AQ$799,0))&amp;"  "&amp;INDEX(A타입_제작표!$L$2:$L$799,MATCH("구약|"&amp;TEXT(B411,"yyyy-mm-dd"),A타입_제작표!$AQ$2:$AQ$799,0)),""))</f>
        <v>시편 46편  하나님은 우리의 피난처</v>
      </c>
      <c r="E411" s="24" t="str">
        <f aca="false">IF(B411="","",IFERROR(INDEX(A타입_제작표!$J$2:$J$799,MATCH("신약|"&amp;TEXT(B411,"yyyy-mm-dd"),A타입_제작표!$AQ$2:$AQ$799,0))&amp;"  "&amp;INDEX(A타입_제작표!$L$2:$L$799,MATCH("신약|"&amp;TEXT(B411,"yyyy-mm-dd"),A타입_제작표!$AQ$2:$AQ$799,0)),""))</f>
        <v/>
      </c>
      <c r="F411" s="24" t="str">
        <f aca="false">IF(B411="","",IFERROR("시편 "&amp;INDEX(시편_시리즈!$A$2:$A$151,MATCH("시편|"&amp;TEXT(B411,"yyyy-mm-dd"),시편_시리즈!$Y$2:$Y$151,0))&amp;"편  "&amp;INDEX(시편_시리즈!$G$2:$G$151,MATCH("시편|"&amp;TEXT(B411,"yyyy-mm-dd"),시편_시리즈!$Y$2:$Y$151,0)),""))</f>
        <v/>
      </c>
      <c r="G411" s="23" t="n">
        <f aca="false">IF(B411="","",(D411&lt;&gt;"")+(E411&lt;&gt;"")+(F411&lt;&gt;""))</f>
        <v>1</v>
      </c>
      <c r="H411" s="31" t="s">
        <v>10282</v>
      </c>
    </row>
    <row r="412" customFormat="false" ht="15" hidden="false" customHeight="false" outlineLevel="0" collapsed="false">
      <c r="A412" s="23" t="n">
        <f aca="false">IF(B412="","",411)</f>
        <v>411</v>
      </c>
      <c r="B412" s="26" t="n">
        <f aca="false">IF(안내!$C$9+410&gt;MAX(MAX(A타입_제작표!$U$2:$U$799),MAX(시편_시리즈!$Q$2:$Q$151)),"",안내!$C$9+410)</f>
        <v>46801</v>
      </c>
      <c r="C412" s="23" t="str">
        <f aca="false">IF(B412="","",CHOOSE(WEEKDAY(B412,2),"월","화","수","목","금","토","일"))</f>
        <v>금</v>
      </c>
      <c r="D412" s="24" t="str">
        <f aca="false">IF(B412="","",IFERROR(INDEX(A타입_제작표!$J$2:$J$799,MATCH("구약|"&amp;TEXT(B412,"yyyy-mm-dd"),A타입_제작표!$AQ$2:$AQ$799,0))&amp;"  "&amp;INDEX(A타입_제작표!$L$2:$L$799,MATCH("구약|"&amp;TEXT(B412,"yyyy-mm-dd"),A타입_제작표!$AQ$2:$AQ$799,0)),""))</f>
        <v>시편 62편  잠잠히 하나님만</v>
      </c>
      <c r="E412" s="24" t="str">
        <f aca="false">IF(B412="","",IFERROR(INDEX(A타입_제작표!$J$2:$J$799,MATCH("신약|"&amp;TEXT(B412,"yyyy-mm-dd"),A타입_제작표!$AQ$2:$AQ$799,0))&amp;"  "&amp;INDEX(A타입_제작표!$L$2:$L$799,MATCH("신약|"&amp;TEXT(B412,"yyyy-mm-dd"),A타입_제작표!$AQ$2:$AQ$799,0)),""))</f>
        <v>딛 1:1-16  바른 교훈을 지키는 사람</v>
      </c>
      <c r="F412" s="24" t="str">
        <f aca="false">IF(B412="","",IFERROR("시편 "&amp;INDEX(시편_시리즈!$A$2:$A$151,MATCH("시편|"&amp;TEXT(B412,"yyyy-mm-dd"),시편_시리즈!$Y$2:$Y$151,0))&amp;"편  "&amp;INDEX(시편_시리즈!$G$2:$G$151,MATCH("시편|"&amp;TEXT(B412,"yyyy-mm-dd"),시편_시리즈!$Y$2:$Y$151,0)),""))</f>
        <v/>
      </c>
      <c r="G412" s="23" t="n">
        <f aca="false">IF(B412="","",(D412&lt;&gt;"")+(E412&lt;&gt;"")+(F412&lt;&gt;""))</f>
        <v>2</v>
      </c>
      <c r="H412" s="31" t="s">
        <v>10282</v>
      </c>
    </row>
    <row r="413" customFormat="false" ht="15" hidden="false" customHeight="false" outlineLevel="0" collapsed="false">
      <c r="A413" s="23" t="n">
        <f aca="false">IF(B413="","",412)</f>
        <v>412</v>
      </c>
      <c r="B413" s="26" t="n">
        <f aca="false">IF(안내!$C$9+411&gt;MAX(MAX(A타입_제작표!$U$2:$U$799),MAX(시편_시리즈!$Q$2:$Q$151)),"",안내!$C$9+411)</f>
        <v>46802</v>
      </c>
      <c r="C413" s="23" t="str">
        <f aca="false">IF(B413="","",CHOOSE(WEEKDAY(B413,2),"월","화","수","목","금","토","일"))</f>
        <v>토</v>
      </c>
      <c r="D413" s="24" t="str">
        <f aca="false">IF(B413="","",IFERROR(INDEX(A타입_제작표!$J$2:$J$799,MATCH("구약|"&amp;TEXT(B413,"yyyy-mm-dd"),A타입_제작표!$AQ$2:$AQ$799,0))&amp;"  "&amp;INDEX(A타입_제작표!$L$2:$L$799,MATCH("구약|"&amp;TEXT(B413,"yyyy-mm-dd"),A타입_제작표!$AQ$2:$AQ$799,0)),""))</f>
        <v>시편 63편  광야에서 부른 노래</v>
      </c>
      <c r="E413" s="24" t="str">
        <f aca="false">IF(B413="","",IFERROR(INDEX(A타입_제작표!$J$2:$J$799,MATCH("신약|"&amp;TEXT(B413,"yyyy-mm-dd"),A타입_제작표!$AQ$2:$AQ$799,0))&amp;"  "&amp;INDEX(A타입_제작표!$L$2:$L$799,MATCH("신약|"&amp;TEXT(B413,"yyyy-mm-dd"),A타입_제작표!$AQ$2:$AQ$799,0)),""))</f>
        <v>딛 2:1-3:15  은혜가 나타나</v>
      </c>
      <c r="F413" s="24" t="str">
        <f aca="false">IF(B413="","",IFERROR("시편 "&amp;INDEX(시편_시리즈!$A$2:$A$151,MATCH("시편|"&amp;TEXT(B413,"yyyy-mm-dd"),시편_시리즈!$Y$2:$Y$151,0))&amp;"편  "&amp;INDEX(시편_시리즈!$G$2:$G$151,MATCH("시편|"&amp;TEXT(B413,"yyyy-mm-dd"),시편_시리즈!$Y$2:$Y$151,0)),""))</f>
        <v/>
      </c>
      <c r="G413" s="23" t="n">
        <f aca="false">IF(B413="","",(D413&lt;&gt;"")+(E413&lt;&gt;"")+(F413&lt;&gt;""))</f>
        <v>2</v>
      </c>
      <c r="H413" s="31" t="s">
        <v>10282</v>
      </c>
    </row>
    <row r="414" customFormat="false" ht="15" hidden="false" customHeight="false" outlineLevel="0" collapsed="false">
      <c r="A414" s="23" t="n">
        <f aca="false">IF(B414="","",413)</f>
        <v>413</v>
      </c>
      <c r="B414" s="26" t="n">
        <f aca="false">IF(안내!$C$9+412&gt;MAX(MAX(A타입_제작표!$U$2:$U$799),MAX(시편_시리즈!$Q$2:$Q$151)),"",안내!$C$9+412)</f>
        <v>46803</v>
      </c>
      <c r="C414" s="23" t="str">
        <f aca="false">IF(B414="","",CHOOSE(WEEKDAY(B414,2),"월","화","수","목","금","토","일"))</f>
        <v>일</v>
      </c>
      <c r="D414" s="24" t="str">
        <f aca="false">IF(B414="","",IFERROR(INDEX(A타입_제작표!$J$2:$J$799,MATCH("구약|"&amp;TEXT(B414,"yyyy-mm-dd"),A타입_제작표!$AQ$2:$AQ$799,0))&amp;"  "&amp;INDEX(A타입_제작표!$L$2:$L$799,MATCH("구약|"&amp;TEXT(B414,"yyyy-mm-dd"),A타입_제작표!$AQ$2:$AQ$799,0)),""))</f>
        <v>시편 73편  악인이 잘되는 것 같을 때</v>
      </c>
      <c r="E414" s="24" t="str">
        <f aca="false">IF(B414="","",IFERROR(INDEX(A타입_제작표!$J$2:$J$799,MATCH("신약|"&amp;TEXT(B414,"yyyy-mm-dd"),A타입_제작표!$AQ$2:$AQ$799,0))&amp;"  "&amp;INDEX(A타입_제작표!$L$2:$L$799,MATCH("신약|"&amp;TEXT(B414,"yyyy-mm-dd"),A타입_제작표!$AQ$2:$AQ$799,0)),""))</f>
        <v/>
      </c>
      <c r="F414" s="24" t="str">
        <f aca="false">IF(B414="","",IFERROR("시편 "&amp;INDEX(시편_시리즈!$A$2:$A$151,MATCH("시편|"&amp;TEXT(B414,"yyyy-mm-dd"),시편_시리즈!$Y$2:$Y$151,0))&amp;"편  "&amp;INDEX(시편_시리즈!$G$2:$G$151,MATCH("시편|"&amp;TEXT(B414,"yyyy-mm-dd"),시편_시리즈!$Y$2:$Y$151,0)),""))</f>
        <v/>
      </c>
      <c r="G414" s="23" t="n">
        <f aca="false">IF(B414="","",(D414&lt;&gt;"")+(E414&lt;&gt;"")+(F414&lt;&gt;""))</f>
        <v>1</v>
      </c>
      <c r="H414" s="31" t="s">
        <v>10282</v>
      </c>
    </row>
    <row r="415" customFormat="false" ht="15" hidden="false" customHeight="false" outlineLevel="0" collapsed="false">
      <c r="A415" s="23" t="n">
        <f aca="false">IF(B415="","",414)</f>
        <v>414</v>
      </c>
      <c r="B415" s="26" t="n">
        <f aca="false">IF(안내!$C$9+413&gt;MAX(MAX(A타입_제작표!$U$2:$U$799),MAX(시편_시리즈!$Q$2:$Q$151)),"",안내!$C$9+413)</f>
        <v>46804</v>
      </c>
      <c r="C415" s="23" t="str">
        <f aca="false">IF(B415="","",CHOOSE(WEEKDAY(B415,2),"월","화","수","목","금","토","일"))</f>
        <v>월</v>
      </c>
      <c r="D415" s="24" t="str">
        <f aca="false">IF(B415="","",IFERROR(INDEX(A타입_제작표!$J$2:$J$799,MATCH("구약|"&amp;TEXT(B415,"yyyy-mm-dd"),A타입_제작표!$AQ$2:$AQ$799,0))&amp;"  "&amp;INDEX(A타입_제작표!$L$2:$L$799,MATCH("구약|"&amp;TEXT(B415,"yyyy-mm-dd"),A타입_제작표!$AQ$2:$AQ$799,0)),""))</f>
        <v>시편 84편  주의 집에서의 하루</v>
      </c>
      <c r="E415" s="24" t="str">
        <f aca="false">IF(B415="","",IFERROR(INDEX(A타입_제작표!$J$2:$J$799,MATCH("신약|"&amp;TEXT(B415,"yyyy-mm-dd"),A타입_제작표!$AQ$2:$AQ$799,0))&amp;"  "&amp;INDEX(A타입_제작표!$L$2:$L$799,MATCH("신약|"&amp;TEXT(B415,"yyyy-mm-dd"),A타입_제작표!$AQ$2:$AQ$799,0)),""))</f>
        <v>몬 1:1-25  도망친 노예 오네시모</v>
      </c>
      <c r="F415" s="24" t="str">
        <f aca="false">IF(B415="","",IFERROR("시편 "&amp;INDEX(시편_시리즈!$A$2:$A$151,MATCH("시편|"&amp;TEXT(B415,"yyyy-mm-dd"),시편_시리즈!$Y$2:$Y$151,0))&amp;"편  "&amp;INDEX(시편_시리즈!$G$2:$G$151,MATCH("시편|"&amp;TEXT(B415,"yyyy-mm-dd"),시편_시리즈!$Y$2:$Y$151,0)),""))</f>
        <v/>
      </c>
      <c r="G415" s="23" t="n">
        <f aca="false">IF(B415="","",(D415&lt;&gt;"")+(E415&lt;&gt;"")+(F415&lt;&gt;""))</f>
        <v>2</v>
      </c>
      <c r="H415" s="31" t="s">
        <v>10282</v>
      </c>
    </row>
    <row r="416" customFormat="false" ht="15" hidden="false" customHeight="false" outlineLevel="0" collapsed="false">
      <c r="A416" s="23" t="n">
        <f aca="false">IF(B416="","",415)</f>
        <v>415</v>
      </c>
      <c r="B416" s="26" t="n">
        <f aca="false">IF(안내!$C$9+414&gt;MAX(MAX(A타입_제작표!$U$2:$U$799),MAX(시편_시리즈!$Q$2:$Q$151)),"",안내!$C$9+414)</f>
        <v>46805</v>
      </c>
      <c r="C416" s="23" t="str">
        <f aca="false">IF(B416="","",CHOOSE(WEEKDAY(B416,2),"월","화","수","목","금","토","일"))</f>
        <v>화</v>
      </c>
      <c r="D416" s="24" t="str">
        <f aca="false">IF(B416="","",IFERROR(INDEX(A타입_제작표!$J$2:$J$799,MATCH("구약|"&amp;TEXT(B416,"yyyy-mm-dd"),A타입_제작표!$AQ$2:$AQ$799,0))&amp;"  "&amp;INDEX(A타입_제작표!$L$2:$L$799,MATCH("구약|"&amp;TEXT(B416,"yyyy-mm-dd"),A타입_제작표!$AQ$2:$AQ$799,0)),""))</f>
        <v>시편 89편  영원한 언약</v>
      </c>
      <c r="E416" s="24" t="str">
        <f aca="false">IF(B416="","",IFERROR(INDEX(A타입_제작표!$J$2:$J$799,MATCH("신약|"&amp;TEXT(B416,"yyyy-mm-dd"),A타입_제작표!$AQ$2:$AQ$799,0))&amp;"  "&amp;INDEX(A타입_제작표!$L$2:$L$799,MATCH("신약|"&amp;TEXT(B416,"yyyy-mm-dd"),A타입_제작표!$AQ$2:$AQ$799,0)),""))</f>
        <v/>
      </c>
      <c r="F416" s="24" t="str">
        <f aca="false">IF(B416="","",IFERROR("시편 "&amp;INDEX(시편_시리즈!$A$2:$A$151,MATCH("시편|"&amp;TEXT(B416,"yyyy-mm-dd"),시편_시리즈!$Y$2:$Y$151,0))&amp;"편  "&amp;INDEX(시편_시리즈!$G$2:$G$151,MATCH("시편|"&amp;TEXT(B416,"yyyy-mm-dd"),시편_시리즈!$Y$2:$Y$151,0)),""))</f>
        <v/>
      </c>
      <c r="G416" s="23" t="n">
        <f aca="false">IF(B416="","",(D416&lt;&gt;"")+(E416&lt;&gt;"")+(F416&lt;&gt;""))</f>
        <v>1</v>
      </c>
      <c r="H416" s="31" t="s">
        <v>10282</v>
      </c>
    </row>
    <row r="417" customFormat="false" ht="15" hidden="false" customHeight="false" outlineLevel="0" collapsed="false">
      <c r="A417" s="23" t="n">
        <f aca="false">IF(B417="","",416)</f>
        <v>416</v>
      </c>
      <c r="B417" s="26" t="n">
        <f aca="false">IF(안내!$C$9+415&gt;MAX(MAX(A타입_제작표!$U$2:$U$799),MAX(시편_시리즈!$Q$2:$Q$151)),"",안내!$C$9+415)</f>
        <v>46806</v>
      </c>
      <c r="C417" s="23" t="str">
        <f aca="false">IF(B417="","",CHOOSE(WEEKDAY(B417,2),"월","화","수","목","금","토","일"))</f>
        <v>수</v>
      </c>
      <c r="D417" s="24" t="str">
        <f aca="false">IF(B417="","",IFERROR(INDEX(A타입_제작표!$J$2:$J$799,MATCH("구약|"&amp;TEXT(B417,"yyyy-mm-dd"),A타입_제작표!$AQ$2:$AQ$799,0))&amp;"  "&amp;INDEX(A타입_제작표!$L$2:$L$799,MATCH("구약|"&amp;TEXT(B417,"yyyy-mm-dd"),A타입_제작표!$AQ$2:$AQ$799,0)),""))</f>
        <v>시편 90편  우리의 날 계수함을 가르치소서</v>
      </c>
      <c r="E417" s="24" t="str">
        <f aca="false">IF(B417="","",IFERROR(INDEX(A타입_제작표!$J$2:$J$799,MATCH("신약|"&amp;TEXT(B417,"yyyy-mm-dd"),A타입_제작표!$AQ$2:$AQ$799,0))&amp;"  "&amp;INDEX(A타입_제작표!$L$2:$L$799,MATCH("신약|"&amp;TEXT(B417,"yyyy-mm-dd"),A타입_제작표!$AQ$2:$AQ$799,0)),""))</f>
        <v>히 1:1-2:18  천사보다 뛰어나신 아들</v>
      </c>
      <c r="F417" s="24" t="str">
        <f aca="false">IF(B417="","",IFERROR("시편 "&amp;INDEX(시편_시리즈!$A$2:$A$151,MATCH("시편|"&amp;TEXT(B417,"yyyy-mm-dd"),시편_시리즈!$Y$2:$Y$151,0))&amp;"편  "&amp;INDEX(시편_시리즈!$G$2:$G$151,MATCH("시편|"&amp;TEXT(B417,"yyyy-mm-dd"),시편_시리즈!$Y$2:$Y$151,0)),""))</f>
        <v/>
      </c>
      <c r="G417" s="23" t="n">
        <f aca="false">IF(B417="","",(D417&lt;&gt;"")+(E417&lt;&gt;"")+(F417&lt;&gt;""))</f>
        <v>2</v>
      </c>
      <c r="H417" s="31" t="s">
        <v>10282</v>
      </c>
    </row>
    <row r="418" customFormat="false" ht="15" hidden="false" customHeight="false" outlineLevel="0" collapsed="false">
      <c r="A418" s="23" t="n">
        <f aca="false">IF(B418="","",417)</f>
        <v>417</v>
      </c>
      <c r="B418" s="26" t="n">
        <f aca="false">IF(안내!$C$9+416&gt;MAX(MAX(A타입_제작표!$U$2:$U$799),MAX(시편_시리즈!$Q$2:$Q$151)),"",안내!$C$9+416)</f>
        <v>46807</v>
      </c>
      <c r="C418" s="23" t="str">
        <f aca="false">IF(B418="","",CHOOSE(WEEKDAY(B418,2),"월","화","수","목","금","토","일"))</f>
        <v>목</v>
      </c>
      <c r="D418" s="24" t="str">
        <f aca="false">IF(B418="","",IFERROR(INDEX(A타입_제작표!$J$2:$J$799,MATCH("구약|"&amp;TEXT(B418,"yyyy-mm-dd"),A타입_제작표!$AQ$2:$AQ$799,0))&amp;"  "&amp;INDEX(A타입_제작표!$L$2:$L$799,MATCH("구약|"&amp;TEXT(B418,"yyyy-mm-dd"),A타입_제작표!$AQ$2:$AQ$799,0)),""))</f>
        <v>시편 91편  전능자의 그늘 아래</v>
      </c>
      <c r="E418" s="24" t="str">
        <f aca="false">IF(B418="","",IFERROR(INDEX(A타입_제작표!$J$2:$J$799,MATCH("신약|"&amp;TEXT(B418,"yyyy-mm-dd"),A타입_제작표!$AQ$2:$AQ$799,0))&amp;"  "&amp;INDEX(A타입_제작표!$L$2:$L$799,MATCH("신약|"&amp;TEXT(B418,"yyyy-mm-dd"),A타입_제작표!$AQ$2:$AQ$799,0)),""))</f>
        <v/>
      </c>
      <c r="F418" s="24" t="str">
        <f aca="false">IF(B418="","",IFERROR("시편 "&amp;INDEX(시편_시리즈!$A$2:$A$151,MATCH("시편|"&amp;TEXT(B418,"yyyy-mm-dd"),시편_시리즈!$Y$2:$Y$151,0))&amp;"편  "&amp;INDEX(시편_시리즈!$G$2:$G$151,MATCH("시편|"&amp;TEXT(B418,"yyyy-mm-dd"),시편_시리즈!$Y$2:$Y$151,0)),""))</f>
        <v/>
      </c>
      <c r="G418" s="23" t="n">
        <f aca="false">IF(B418="","",(D418&lt;&gt;"")+(E418&lt;&gt;"")+(F418&lt;&gt;""))</f>
        <v>1</v>
      </c>
      <c r="H418" s="31" t="s">
        <v>10282</v>
      </c>
    </row>
    <row r="419" customFormat="false" ht="15" hidden="false" customHeight="false" outlineLevel="0" collapsed="false">
      <c r="A419" s="23" t="n">
        <f aca="false">IF(B419="","",418)</f>
        <v>418</v>
      </c>
      <c r="B419" s="26" t="n">
        <f aca="false">IF(안내!$C$9+417&gt;MAX(MAX(A타입_제작표!$U$2:$U$799),MAX(시편_시리즈!$Q$2:$Q$151)),"",안내!$C$9+417)</f>
        <v>46808</v>
      </c>
      <c r="C419" s="23" t="str">
        <f aca="false">IF(B419="","",CHOOSE(WEEKDAY(B419,2),"월","화","수","목","금","토","일"))</f>
        <v>금</v>
      </c>
      <c r="D419" s="24" t="str">
        <f aca="false">IF(B419="","",IFERROR(INDEX(A타입_제작표!$J$2:$J$799,MATCH("구약|"&amp;TEXT(B419,"yyyy-mm-dd"),A타입_제작표!$AQ$2:$AQ$799,0))&amp;"  "&amp;INDEX(A타입_제작표!$L$2:$L$799,MATCH("구약|"&amp;TEXT(B419,"yyyy-mm-dd"),A타입_제작표!$AQ$2:$AQ$799,0)),""))</f>
        <v>시편 95편  오라 우리가 경배하자</v>
      </c>
      <c r="E419" s="24" t="str">
        <f aca="false">IF(B419="","",IFERROR(INDEX(A타입_제작표!$J$2:$J$799,MATCH("신약|"&amp;TEXT(B419,"yyyy-mm-dd"),A타입_제작표!$AQ$2:$AQ$799,0))&amp;"  "&amp;INDEX(A타입_제작표!$L$2:$L$799,MATCH("신약|"&amp;TEXT(B419,"yyyy-mm-dd"),A타입_제작표!$AQ$2:$AQ$799,0)),""))</f>
        <v>히 3:1-4:13  살아 있는 말씀</v>
      </c>
      <c r="F419" s="24" t="str">
        <f aca="false">IF(B419="","",IFERROR("시편 "&amp;INDEX(시편_시리즈!$A$2:$A$151,MATCH("시편|"&amp;TEXT(B419,"yyyy-mm-dd"),시편_시리즈!$Y$2:$Y$151,0))&amp;"편  "&amp;INDEX(시편_시리즈!$G$2:$G$151,MATCH("시편|"&amp;TEXT(B419,"yyyy-mm-dd"),시편_시리즈!$Y$2:$Y$151,0)),""))</f>
        <v/>
      </c>
      <c r="G419" s="23" t="n">
        <f aca="false">IF(B419="","",(D419&lt;&gt;"")+(E419&lt;&gt;"")+(F419&lt;&gt;""))</f>
        <v>2</v>
      </c>
      <c r="H419" s="31" t="s">
        <v>10282</v>
      </c>
    </row>
    <row r="420" customFormat="false" ht="15" hidden="false" customHeight="false" outlineLevel="0" collapsed="false">
      <c r="A420" s="23" t="n">
        <f aca="false">IF(B420="","",419)</f>
        <v>419</v>
      </c>
      <c r="B420" s="26" t="n">
        <f aca="false">IF(안내!$C$9+418&gt;MAX(MAX(A타입_제작표!$U$2:$U$799),MAX(시편_시리즈!$Q$2:$Q$151)),"",안내!$C$9+418)</f>
        <v>46809</v>
      </c>
      <c r="C420" s="23" t="str">
        <f aca="false">IF(B420="","",CHOOSE(WEEKDAY(B420,2),"월","화","수","목","금","토","일"))</f>
        <v>토</v>
      </c>
      <c r="D420" s="24" t="str">
        <f aca="false">IF(B420="","",IFERROR(INDEX(A타입_제작표!$J$2:$J$799,MATCH("구약|"&amp;TEXT(B420,"yyyy-mm-dd"),A타입_제작표!$AQ$2:$AQ$799,0))&amp;"  "&amp;INDEX(A타입_제작표!$L$2:$L$799,MATCH("구약|"&amp;TEXT(B420,"yyyy-mm-dd"),A타입_제작표!$AQ$2:$AQ$799,0)),""))</f>
        <v>시편 100편  감사의 노래</v>
      </c>
      <c r="E420" s="24" t="str">
        <f aca="false">IF(B420="","",IFERROR(INDEX(A타입_제작표!$J$2:$J$799,MATCH("신약|"&amp;TEXT(B420,"yyyy-mm-dd"),A타입_제작표!$AQ$2:$AQ$799,0))&amp;"  "&amp;INDEX(A타입_제작표!$L$2:$L$799,MATCH("신약|"&amp;TEXT(B420,"yyyy-mm-dd"),A타입_제작표!$AQ$2:$AQ$799,0)),""))</f>
        <v>히 4:14-5:10  큰 대제사장</v>
      </c>
      <c r="F420" s="24" t="str">
        <f aca="false">IF(B420="","",IFERROR("시편 "&amp;INDEX(시편_시리즈!$A$2:$A$151,MATCH("시편|"&amp;TEXT(B420,"yyyy-mm-dd"),시편_시리즈!$Y$2:$Y$151,0))&amp;"편  "&amp;INDEX(시편_시리즈!$G$2:$G$151,MATCH("시편|"&amp;TEXT(B420,"yyyy-mm-dd"),시편_시리즈!$Y$2:$Y$151,0)),""))</f>
        <v/>
      </c>
      <c r="G420" s="23" t="n">
        <f aca="false">IF(B420="","",(D420&lt;&gt;"")+(E420&lt;&gt;"")+(F420&lt;&gt;""))</f>
        <v>2</v>
      </c>
      <c r="H420" s="31" t="s">
        <v>10282</v>
      </c>
    </row>
    <row r="421" customFormat="false" ht="15" hidden="false" customHeight="false" outlineLevel="0" collapsed="false">
      <c r="A421" s="23" t="n">
        <f aca="false">IF(B421="","",420)</f>
        <v>420</v>
      </c>
      <c r="B421" s="26" t="n">
        <f aca="false">IF(안내!$C$9+419&gt;MAX(MAX(A타입_제작표!$U$2:$U$799),MAX(시편_시리즈!$Q$2:$Q$151)),"",안내!$C$9+419)</f>
        <v>46810</v>
      </c>
      <c r="C421" s="23" t="str">
        <f aca="false">IF(B421="","",CHOOSE(WEEKDAY(B421,2),"월","화","수","목","금","토","일"))</f>
        <v>일</v>
      </c>
      <c r="D421" s="24" t="str">
        <f aca="false">IF(B421="","",IFERROR(INDEX(A타입_제작표!$J$2:$J$799,MATCH("구약|"&amp;TEXT(B421,"yyyy-mm-dd"),A타입_제작표!$AQ$2:$AQ$799,0))&amp;"  "&amp;INDEX(A타입_제작표!$L$2:$L$799,MATCH("구약|"&amp;TEXT(B421,"yyyy-mm-dd"),A타입_제작표!$AQ$2:$AQ$799,0)),""))</f>
        <v>시편 103편  은택을 잊지 말라</v>
      </c>
      <c r="E421" s="24" t="str">
        <f aca="false">IF(B421="","",IFERROR(INDEX(A타입_제작표!$J$2:$J$799,MATCH("신약|"&amp;TEXT(B421,"yyyy-mm-dd"),A타입_제작표!$AQ$2:$AQ$799,0))&amp;"  "&amp;INDEX(A타입_제작표!$L$2:$L$799,MATCH("신약|"&amp;TEXT(B421,"yyyy-mm-dd"),A타입_제작표!$AQ$2:$AQ$799,0)),""))</f>
        <v/>
      </c>
      <c r="F421" s="24" t="str">
        <f aca="false">IF(B421="","",IFERROR("시편 "&amp;INDEX(시편_시리즈!$A$2:$A$151,MATCH("시편|"&amp;TEXT(B421,"yyyy-mm-dd"),시편_시리즈!$Y$2:$Y$151,0))&amp;"편  "&amp;INDEX(시편_시리즈!$G$2:$G$151,MATCH("시편|"&amp;TEXT(B421,"yyyy-mm-dd"),시편_시리즈!$Y$2:$Y$151,0)),""))</f>
        <v/>
      </c>
      <c r="G421" s="23" t="n">
        <f aca="false">IF(B421="","",(D421&lt;&gt;"")+(E421&lt;&gt;"")+(F421&lt;&gt;""))</f>
        <v>1</v>
      </c>
      <c r="H421" s="31" t="s">
        <v>10282</v>
      </c>
    </row>
    <row r="422" customFormat="false" ht="15" hidden="false" customHeight="false" outlineLevel="0" collapsed="false">
      <c r="A422" s="23" t="n">
        <f aca="false">IF(B422="","",421)</f>
        <v>421</v>
      </c>
      <c r="B422" s="26" t="n">
        <f aca="false">IF(안내!$C$9+420&gt;MAX(MAX(A타입_제작표!$U$2:$U$799),MAX(시편_시리즈!$Q$2:$Q$151)),"",안내!$C$9+420)</f>
        <v>46811</v>
      </c>
      <c r="C422" s="23" t="str">
        <f aca="false">IF(B422="","",CHOOSE(WEEKDAY(B422,2),"월","화","수","목","금","토","일"))</f>
        <v>월</v>
      </c>
      <c r="D422" s="24" t="str">
        <f aca="false">IF(B422="","",IFERROR(INDEX(A타입_제작표!$J$2:$J$799,MATCH("구약|"&amp;TEXT(B422,"yyyy-mm-dd"),A타입_제작표!$AQ$2:$AQ$799,0))&amp;"  "&amp;INDEX(A타입_제작표!$L$2:$L$799,MATCH("구약|"&amp;TEXT(B422,"yyyy-mm-dd"),A타입_제작표!$AQ$2:$AQ$799,0)),""))</f>
        <v>시편 104편  창조를 노래하다</v>
      </c>
      <c r="E422" s="24" t="str">
        <f aca="false">IF(B422="","",IFERROR(INDEX(A타입_제작표!$J$2:$J$799,MATCH("신약|"&amp;TEXT(B422,"yyyy-mm-dd"),A타입_제작표!$AQ$2:$AQ$799,0))&amp;"  "&amp;INDEX(A타입_제작표!$L$2:$L$799,MATCH("신약|"&amp;TEXT(B422,"yyyy-mm-dd"),A타입_제작표!$AQ$2:$AQ$799,0)),""))</f>
        <v>히 5:11-6:20  영혼의 닻</v>
      </c>
      <c r="F422" s="24" t="str">
        <f aca="false">IF(B422="","",IFERROR("시편 "&amp;INDEX(시편_시리즈!$A$2:$A$151,MATCH("시편|"&amp;TEXT(B422,"yyyy-mm-dd"),시편_시리즈!$Y$2:$Y$151,0))&amp;"편  "&amp;INDEX(시편_시리즈!$G$2:$G$151,MATCH("시편|"&amp;TEXT(B422,"yyyy-mm-dd"),시편_시리즈!$Y$2:$Y$151,0)),""))</f>
        <v/>
      </c>
      <c r="G422" s="23" t="n">
        <f aca="false">IF(B422="","",(D422&lt;&gt;"")+(E422&lt;&gt;"")+(F422&lt;&gt;""))</f>
        <v>2</v>
      </c>
      <c r="H422" s="31" t="s">
        <v>10282</v>
      </c>
    </row>
    <row r="423" customFormat="false" ht="15" hidden="false" customHeight="false" outlineLevel="0" collapsed="false">
      <c r="A423" s="23" t="n">
        <f aca="false">IF(B423="","",422)</f>
        <v>422</v>
      </c>
      <c r="B423" s="26" t="n">
        <f aca="false">IF(안내!$C$9+421&gt;MAX(MAX(A타입_제작표!$U$2:$U$799),MAX(시편_시리즈!$Q$2:$Q$151)),"",안내!$C$9+421)</f>
        <v>46812</v>
      </c>
      <c r="C423" s="23" t="str">
        <f aca="false">IF(B423="","",CHOOSE(WEEKDAY(B423,2),"월","화","수","목","금","토","일"))</f>
        <v>화</v>
      </c>
      <c r="D423" s="24" t="str">
        <f aca="false">IF(B423="","",IFERROR(INDEX(A타입_제작표!$J$2:$J$799,MATCH("구약|"&amp;TEXT(B423,"yyyy-mm-dd"),A타입_제작표!$AQ$2:$AQ$799,0))&amp;"  "&amp;INDEX(A타입_제작표!$L$2:$L$799,MATCH("구약|"&amp;TEXT(B423,"yyyy-mm-dd"),A타입_제작표!$AQ$2:$AQ$799,0)),""))</f>
        <v>시편 106편  그래도 구원하신 하나님</v>
      </c>
      <c r="E423" s="24" t="str">
        <f aca="false">IF(B423="","",IFERROR(INDEX(A타입_제작표!$J$2:$J$799,MATCH("신약|"&amp;TEXT(B423,"yyyy-mm-dd"),A타입_제작표!$AQ$2:$AQ$799,0))&amp;"  "&amp;INDEX(A타입_제작표!$L$2:$L$799,MATCH("신약|"&amp;TEXT(B423,"yyyy-mm-dd"),A타입_제작표!$AQ$2:$AQ$799,0)),""))</f>
        <v/>
      </c>
      <c r="F423" s="24" t="str">
        <f aca="false">IF(B423="","",IFERROR("시편 "&amp;INDEX(시편_시리즈!$A$2:$A$151,MATCH("시편|"&amp;TEXT(B423,"yyyy-mm-dd"),시편_시리즈!$Y$2:$Y$151,0))&amp;"편  "&amp;INDEX(시편_시리즈!$G$2:$G$151,MATCH("시편|"&amp;TEXT(B423,"yyyy-mm-dd"),시편_시리즈!$Y$2:$Y$151,0)),""))</f>
        <v/>
      </c>
      <c r="G423" s="23" t="n">
        <f aca="false">IF(B423="","",(D423&lt;&gt;"")+(E423&lt;&gt;"")+(F423&lt;&gt;""))</f>
        <v>1</v>
      </c>
      <c r="H423" s="31" t="s">
        <v>10282</v>
      </c>
    </row>
    <row r="424" customFormat="false" ht="15" hidden="false" customHeight="false" outlineLevel="0" collapsed="false">
      <c r="A424" s="23" t="n">
        <f aca="false">IF(B424="","",423)</f>
        <v>423</v>
      </c>
      <c r="B424" s="26" t="n">
        <f aca="false">IF(안내!$C$9+422&gt;MAX(MAX(A타입_제작표!$U$2:$U$799),MAX(시편_시리즈!$Q$2:$Q$151)),"",안내!$C$9+422)</f>
        <v>46813</v>
      </c>
      <c r="C424" s="23" t="str">
        <f aca="false">IF(B424="","",CHOOSE(WEEKDAY(B424,2),"월","화","수","목","금","토","일"))</f>
        <v>수</v>
      </c>
      <c r="D424" s="24" t="str">
        <f aca="false">IF(B424="","",IFERROR(INDEX(A타입_제작표!$J$2:$J$799,MATCH("구약|"&amp;TEXT(B424,"yyyy-mm-dd"),A타입_제작표!$AQ$2:$AQ$799,0))&amp;"  "&amp;INDEX(A타입_제작표!$L$2:$L$799,MATCH("구약|"&amp;TEXT(B424,"yyyy-mm-dd"),A타입_제작표!$AQ$2:$AQ$799,0)),""))</f>
        <v>시편 110편  내 우편에 앉으라</v>
      </c>
      <c r="E424" s="24" t="str">
        <f aca="false">IF(B424="","",IFERROR(INDEX(A타입_제작표!$J$2:$J$799,MATCH("신약|"&amp;TEXT(B424,"yyyy-mm-dd"),A타입_제작표!$AQ$2:$AQ$799,0))&amp;"  "&amp;INDEX(A타입_제작표!$L$2:$L$799,MATCH("신약|"&amp;TEXT(B424,"yyyy-mm-dd"),A타입_제작표!$AQ$2:$AQ$799,0)),""))</f>
        <v>히 7:1-28  멜기세덱의 반차</v>
      </c>
      <c r="F424" s="24" t="str">
        <f aca="false">IF(B424="","",IFERROR("시편 "&amp;INDEX(시편_시리즈!$A$2:$A$151,MATCH("시편|"&amp;TEXT(B424,"yyyy-mm-dd"),시편_시리즈!$Y$2:$Y$151,0))&amp;"편  "&amp;INDEX(시편_시리즈!$G$2:$G$151,MATCH("시편|"&amp;TEXT(B424,"yyyy-mm-dd"),시편_시리즈!$Y$2:$Y$151,0)),""))</f>
        <v/>
      </c>
      <c r="G424" s="23" t="n">
        <f aca="false">IF(B424="","",(D424&lt;&gt;"")+(E424&lt;&gt;"")+(F424&lt;&gt;""))</f>
        <v>2</v>
      </c>
      <c r="H424" s="31" t="s">
        <v>10282</v>
      </c>
    </row>
    <row r="425" customFormat="false" ht="15" hidden="false" customHeight="false" outlineLevel="0" collapsed="false">
      <c r="A425" s="23" t="n">
        <f aca="false">IF(B425="","",424)</f>
        <v>424</v>
      </c>
      <c r="B425" s="26" t="n">
        <f aca="false">IF(안내!$C$9+423&gt;MAX(MAX(A타입_제작표!$U$2:$U$799),MAX(시편_시리즈!$Q$2:$Q$151)),"",안내!$C$9+423)</f>
        <v>46814</v>
      </c>
      <c r="C425" s="23" t="str">
        <f aca="false">IF(B425="","",CHOOSE(WEEKDAY(B425,2),"월","화","수","목","금","토","일"))</f>
        <v>목</v>
      </c>
      <c r="D425" s="24" t="str">
        <f aca="false">IF(B425="","",IFERROR(INDEX(A타입_제작표!$J$2:$J$799,MATCH("구약|"&amp;TEXT(B425,"yyyy-mm-dd"),A타입_제작표!$AQ$2:$AQ$799,0))&amp;"  "&amp;INDEX(A타입_제작표!$L$2:$L$799,MATCH("구약|"&amp;TEXT(B425,"yyyy-mm-dd"),A타입_제작표!$AQ$2:$AQ$799,0)),""))</f>
        <v>시편 121편  산을 향하여 눈을 들리라</v>
      </c>
      <c r="E425" s="24" t="str">
        <f aca="false">IF(B425="","",IFERROR(INDEX(A타입_제작표!$J$2:$J$799,MATCH("신약|"&amp;TEXT(B425,"yyyy-mm-dd"),A타입_제작표!$AQ$2:$AQ$799,0))&amp;"  "&amp;INDEX(A타입_제작표!$L$2:$L$799,MATCH("신약|"&amp;TEXT(B425,"yyyy-mm-dd"),A타입_제작표!$AQ$2:$AQ$799,0)),""))</f>
        <v/>
      </c>
      <c r="F425" s="24" t="str">
        <f aca="false">IF(B425="","",IFERROR("시편 "&amp;INDEX(시편_시리즈!$A$2:$A$151,MATCH("시편|"&amp;TEXT(B425,"yyyy-mm-dd"),시편_시리즈!$Y$2:$Y$151,0))&amp;"편  "&amp;INDEX(시편_시리즈!$G$2:$G$151,MATCH("시편|"&amp;TEXT(B425,"yyyy-mm-dd"),시편_시리즈!$Y$2:$Y$151,0)),""))</f>
        <v/>
      </c>
      <c r="G425" s="23" t="n">
        <f aca="false">IF(B425="","",(D425&lt;&gt;"")+(E425&lt;&gt;"")+(F425&lt;&gt;""))</f>
        <v>1</v>
      </c>
      <c r="H425" s="31" t="s">
        <v>10282</v>
      </c>
    </row>
    <row r="426" customFormat="false" ht="15" hidden="false" customHeight="false" outlineLevel="0" collapsed="false">
      <c r="A426" s="23" t="n">
        <f aca="false">IF(B426="","",425)</f>
        <v>425</v>
      </c>
      <c r="B426" s="26" t="n">
        <f aca="false">IF(안내!$C$9+424&gt;MAX(MAX(A타입_제작표!$U$2:$U$799),MAX(시편_시리즈!$Q$2:$Q$151)),"",안내!$C$9+424)</f>
        <v>46815</v>
      </c>
      <c r="C426" s="23" t="str">
        <f aca="false">IF(B426="","",CHOOSE(WEEKDAY(B426,2),"월","화","수","목","금","토","일"))</f>
        <v>금</v>
      </c>
      <c r="D426" s="24" t="str">
        <f aca="false">IF(B426="","",IFERROR(INDEX(A타입_제작표!$J$2:$J$799,MATCH("구약|"&amp;TEXT(B426,"yyyy-mm-dd"),A타입_제작표!$AQ$2:$AQ$799,0))&amp;"  "&amp;INDEX(A타입_제작표!$L$2:$L$799,MATCH("구약|"&amp;TEXT(B426,"yyyy-mm-dd"),A타입_제작표!$AQ$2:$AQ$799,0)),""))</f>
        <v>시편 126편  눈물로 씨를 뿌리는 자</v>
      </c>
      <c r="E426" s="24" t="str">
        <f aca="false">IF(B426="","",IFERROR(INDEX(A타입_제작표!$J$2:$J$799,MATCH("신약|"&amp;TEXT(B426,"yyyy-mm-dd"),A타입_제작표!$AQ$2:$AQ$799,0))&amp;"  "&amp;INDEX(A타입_제작표!$L$2:$L$799,MATCH("신약|"&amp;TEXT(B426,"yyyy-mm-dd"),A타입_제작표!$AQ$2:$AQ$799,0)),""))</f>
        <v>히 8:1-10:18  단번에</v>
      </c>
      <c r="F426" s="24" t="str">
        <f aca="false">IF(B426="","",IFERROR("시편 "&amp;INDEX(시편_시리즈!$A$2:$A$151,MATCH("시편|"&amp;TEXT(B426,"yyyy-mm-dd"),시편_시리즈!$Y$2:$Y$151,0))&amp;"편  "&amp;INDEX(시편_시리즈!$G$2:$G$151,MATCH("시편|"&amp;TEXT(B426,"yyyy-mm-dd"),시편_시리즈!$Y$2:$Y$151,0)),""))</f>
        <v/>
      </c>
      <c r="G426" s="23" t="n">
        <f aca="false">IF(B426="","",(D426&lt;&gt;"")+(E426&lt;&gt;"")+(F426&lt;&gt;""))</f>
        <v>2</v>
      </c>
      <c r="H426" s="31" t="s">
        <v>10282</v>
      </c>
    </row>
    <row r="427" customFormat="false" ht="15" hidden="false" customHeight="false" outlineLevel="0" collapsed="false">
      <c r="A427" s="23" t="n">
        <f aca="false">IF(B427="","",426)</f>
        <v>426</v>
      </c>
      <c r="B427" s="26" t="n">
        <f aca="false">IF(안내!$C$9+425&gt;MAX(MAX(A타입_제작표!$U$2:$U$799),MAX(시편_시리즈!$Q$2:$Q$151)),"",안내!$C$9+425)</f>
        <v>46816</v>
      </c>
      <c r="C427" s="23" t="str">
        <f aca="false">IF(B427="","",CHOOSE(WEEKDAY(B427,2),"월","화","수","목","금","토","일"))</f>
        <v>토</v>
      </c>
      <c r="D427" s="24" t="str">
        <f aca="false">IF(B427="","",IFERROR(INDEX(A타입_제작표!$J$2:$J$799,MATCH("구약|"&amp;TEXT(B427,"yyyy-mm-dd"),A타입_제작표!$AQ$2:$AQ$799,0))&amp;"  "&amp;INDEX(A타입_제작표!$L$2:$L$799,MATCH("구약|"&amp;TEXT(B427,"yyyy-mm-dd"),A타입_제작표!$AQ$2:$AQ$799,0)),""))</f>
        <v>시편 133편  형제가 연합하여</v>
      </c>
      <c r="E427" s="24" t="str">
        <f aca="false">IF(B427="","",IFERROR(INDEX(A타입_제작표!$J$2:$J$799,MATCH("신약|"&amp;TEXT(B427,"yyyy-mm-dd"),A타입_제작표!$AQ$2:$AQ$799,0))&amp;"  "&amp;INDEX(A타입_제작표!$L$2:$L$799,MATCH("신약|"&amp;TEXT(B427,"yyyy-mm-dd"),A타입_제작표!$AQ$2:$AQ$799,0)),""))</f>
        <v>히 10:19-39  모이기를 폐하지 말고</v>
      </c>
      <c r="F427" s="24" t="str">
        <f aca="false">IF(B427="","",IFERROR("시편 "&amp;INDEX(시편_시리즈!$A$2:$A$151,MATCH("시편|"&amp;TEXT(B427,"yyyy-mm-dd"),시편_시리즈!$Y$2:$Y$151,0))&amp;"편  "&amp;INDEX(시편_시리즈!$G$2:$G$151,MATCH("시편|"&amp;TEXT(B427,"yyyy-mm-dd"),시편_시리즈!$Y$2:$Y$151,0)),""))</f>
        <v/>
      </c>
      <c r="G427" s="23" t="n">
        <f aca="false">IF(B427="","",(D427&lt;&gt;"")+(E427&lt;&gt;"")+(F427&lt;&gt;""))</f>
        <v>2</v>
      </c>
      <c r="H427" s="31" t="s">
        <v>10282</v>
      </c>
    </row>
    <row r="428" customFormat="false" ht="15" hidden="false" customHeight="false" outlineLevel="0" collapsed="false">
      <c r="A428" s="23" t="n">
        <f aca="false">IF(B428="","",427)</f>
        <v>427</v>
      </c>
      <c r="B428" s="26" t="n">
        <f aca="false">IF(안내!$C$9+426&gt;MAX(MAX(A타입_제작표!$U$2:$U$799),MAX(시편_시리즈!$Q$2:$Q$151)),"",안내!$C$9+426)</f>
        <v>46817</v>
      </c>
      <c r="C428" s="23" t="str">
        <f aca="false">IF(B428="","",CHOOSE(WEEKDAY(B428,2),"월","화","수","목","금","토","일"))</f>
        <v>일</v>
      </c>
      <c r="D428" s="24" t="str">
        <f aca="false">IF(B428="","",IFERROR(INDEX(A타입_제작표!$J$2:$J$799,MATCH("구약|"&amp;TEXT(B428,"yyyy-mm-dd"),A타입_제작표!$AQ$2:$AQ$799,0))&amp;"  "&amp;INDEX(A타입_제작표!$L$2:$L$799,MATCH("구약|"&amp;TEXT(B428,"yyyy-mm-dd"),A타입_제작표!$AQ$2:$AQ$799,0)),""))</f>
        <v>시편 145편  대대로 찬양하라</v>
      </c>
      <c r="E428" s="24" t="str">
        <f aca="false">IF(B428="","",IFERROR(INDEX(A타입_제작표!$J$2:$J$799,MATCH("신약|"&amp;TEXT(B428,"yyyy-mm-dd"),A타입_제작표!$AQ$2:$AQ$799,0))&amp;"  "&amp;INDEX(A타입_제작표!$L$2:$L$799,MATCH("신약|"&amp;TEXT(B428,"yyyy-mm-dd"),A타입_제작표!$AQ$2:$AQ$799,0)),""))</f>
        <v/>
      </c>
      <c r="F428" s="24" t="str">
        <f aca="false">IF(B428="","",IFERROR("시편 "&amp;INDEX(시편_시리즈!$A$2:$A$151,MATCH("시편|"&amp;TEXT(B428,"yyyy-mm-dd"),시편_시리즈!$Y$2:$Y$151,0))&amp;"편  "&amp;INDEX(시편_시리즈!$G$2:$G$151,MATCH("시편|"&amp;TEXT(B428,"yyyy-mm-dd"),시편_시리즈!$Y$2:$Y$151,0)),""))</f>
        <v/>
      </c>
      <c r="G428" s="23" t="n">
        <f aca="false">IF(B428="","",(D428&lt;&gt;"")+(E428&lt;&gt;"")+(F428&lt;&gt;""))</f>
        <v>1</v>
      </c>
      <c r="H428" s="31" t="s">
        <v>10282</v>
      </c>
    </row>
    <row r="429" customFormat="false" ht="15" hidden="false" customHeight="false" outlineLevel="0" collapsed="false">
      <c r="A429" s="23" t="n">
        <f aca="false">IF(B429="","",428)</f>
        <v>428</v>
      </c>
      <c r="B429" s="26" t="n">
        <f aca="false">IF(안내!$C$9+427&gt;MAX(MAX(A타입_제작표!$U$2:$U$799),MAX(시편_시리즈!$Q$2:$Q$151)),"",안내!$C$9+427)</f>
        <v>46818</v>
      </c>
      <c r="C429" s="23" t="str">
        <f aca="false">IF(B429="","",CHOOSE(WEEKDAY(B429,2),"월","화","수","목","금","토","일"))</f>
        <v>월</v>
      </c>
      <c r="D429" s="24" t="str">
        <f aca="false">IF(B429="","",IFERROR(INDEX(A타입_제작표!$J$2:$J$799,MATCH("구약|"&amp;TEXT(B429,"yyyy-mm-dd"),A타입_제작표!$AQ$2:$AQ$799,0))&amp;"  "&amp;INDEX(A타입_제작표!$L$2:$L$799,MATCH("구약|"&amp;TEXT(B429,"yyyy-mm-dd"),A타입_제작표!$AQ$2:$AQ$799,0)),""))</f>
        <v>시편 150편  호흡이 있는 자마다</v>
      </c>
      <c r="E429" s="24" t="str">
        <f aca="false">IF(B429="","",IFERROR(INDEX(A타입_제작표!$J$2:$J$799,MATCH("신약|"&amp;TEXT(B429,"yyyy-mm-dd"),A타입_제작표!$AQ$2:$AQ$799,0))&amp;"  "&amp;INDEX(A타입_제작표!$L$2:$L$799,MATCH("신약|"&amp;TEXT(B429,"yyyy-mm-dd"),A타입_제작표!$AQ$2:$AQ$799,0)),""))</f>
        <v>히 12:1-29  믿음의 주요 또 온전하게 하시는 이</v>
      </c>
      <c r="F429" s="24" t="str">
        <f aca="false">IF(B429="","",IFERROR("시편 "&amp;INDEX(시편_시리즈!$A$2:$A$151,MATCH("시편|"&amp;TEXT(B429,"yyyy-mm-dd"),시편_시리즈!$Y$2:$Y$151,0))&amp;"편  "&amp;INDEX(시편_시리즈!$G$2:$G$151,MATCH("시편|"&amp;TEXT(B429,"yyyy-mm-dd"),시편_시리즈!$Y$2:$Y$151,0)),""))</f>
        <v/>
      </c>
      <c r="G429" s="23" t="n">
        <f aca="false">IF(B429="","",(D429&lt;&gt;"")+(E429&lt;&gt;"")+(F429&lt;&gt;""))</f>
        <v>2</v>
      </c>
      <c r="H429" s="31" t="s">
        <v>10282</v>
      </c>
    </row>
    <row r="430" customFormat="false" ht="15" hidden="false" customHeight="false" outlineLevel="0" collapsed="false">
      <c r="A430" s="23" t="n">
        <f aca="false">IF(B430="","",429)</f>
        <v>429</v>
      </c>
      <c r="B430" s="26" t="n">
        <f aca="false">IF(안내!$C$9+428&gt;MAX(MAX(A타입_제작표!$U$2:$U$799),MAX(시편_시리즈!$Q$2:$Q$151)),"",안내!$C$9+428)</f>
        <v>46819</v>
      </c>
      <c r="C430" s="23" t="str">
        <f aca="false">IF(B430="","",CHOOSE(WEEKDAY(B430,2),"월","화","수","목","금","토","일"))</f>
        <v>화</v>
      </c>
      <c r="D430" s="24" t="str">
        <f aca="false">IF(B430="","",IFERROR(INDEX(A타입_제작표!$J$2:$J$799,MATCH("구약|"&amp;TEXT(B430,"yyyy-mm-dd"),A타입_제작표!$AQ$2:$AQ$799,0))&amp;"  "&amp;INDEX(A타입_제작표!$L$2:$L$799,MATCH("구약|"&amp;TEXT(B430,"yyyy-mm-dd"),A타입_제작표!$AQ$2:$AQ$799,0)),""))</f>
        <v>잠 2:1-4:27  네 길을 인도하시리라</v>
      </c>
      <c r="E430" s="24" t="str">
        <f aca="false">IF(B430="","",IFERROR(INDEX(A타입_제작표!$J$2:$J$799,MATCH("신약|"&amp;TEXT(B430,"yyyy-mm-dd"),A타입_제작표!$AQ$2:$AQ$799,0))&amp;"  "&amp;INDEX(A타입_제작표!$L$2:$L$799,MATCH("신약|"&amp;TEXT(B430,"yyyy-mm-dd"),A타입_제작표!$AQ$2:$AQ$799,0)),""))</f>
        <v/>
      </c>
      <c r="F430" s="24" t="str">
        <f aca="false">IF(B430="","",IFERROR("시편 "&amp;INDEX(시편_시리즈!$A$2:$A$151,MATCH("시편|"&amp;TEXT(B430,"yyyy-mm-dd"),시편_시리즈!$Y$2:$Y$151,0))&amp;"편  "&amp;INDEX(시편_시리즈!$G$2:$G$151,MATCH("시편|"&amp;TEXT(B430,"yyyy-mm-dd"),시편_시리즈!$Y$2:$Y$151,0)),""))</f>
        <v/>
      </c>
      <c r="G430" s="23" t="n">
        <f aca="false">IF(B430="","",(D430&lt;&gt;"")+(E430&lt;&gt;"")+(F430&lt;&gt;""))</f>
        <v>1</v>
      </c>
      <c r="H430" s="31" t="s">
        <v>10282</v>
      </c>
    </row>
    <row r="431" customFormat="false" ht="15" hidden="false" customHeight="false" outlineLevel="0" collapsed="false">
      <c r="A431" s="23" t="n">
        <f aca="false">IF(B431="","",430)</f>
        <v>430</v>
      </c>
      <c r="B431" s="26" t="n">
        <f aca="false">IF(안내!$C$9+429&gt;MAX(MAX(A타입_제작표!$U$2:$U$799),MAX(시편_시리즈!$Q$2:$Q$151)),"",안내!$C$9+429)</f>
        <v>46820</v>
      </c>
      <c r="C431" s="23" t="str">
        <f aca="false">IF(B431="","",CHOOSE(WEEKDAY(B431,2),"월","화","수","목","금","토","일"))</f>
        <v>수</v>
      </c>
      <c r="D431" s="24" t="str">
        <f aca="false">IF(B431="","",IFERROR(INDEX(A타입_제작표!$J$2:$J$799,MATCH("구약|"&amp;TEXT(B431,"yyyy-mm-dd"),A타입_제작표!$AQ$2:$AQ$799,0))&amp;"  "&amp;INDEX(A타입_제작표!$L$2:$L$799,MATCH("구약|"&amp;TEXT(B431,"yyyy-mm-dd"),A타입_제작표!$AQ$2:$AQ$799,0)),""))</f>
        <v>잠 5:1-7:27  개미에게 배우라</v>
      </c>
      <c r="E431" s="24" t="str">
        <f aca="false">IF(B431="","",IFERROR(INDEX(A타입_제작표!$J$2:$J$799,MATCH("신약|"&amp;TEXT(B431,"yyyy-mm-dd"),A타입_제작표!$AQ$2:$AQ$799,0))&amp;"  "&amp;INDEX(A타입_제작표!$L$2:$L$799,MATCH("신약|"&amp;TEXT(B431,"yyyy-mm-dd"),A타입_제작표!$AQ$2:$AQ$799,0)),""))</f>
        <v>히 13:1-25  어제나 오늘이나 영원토록</v>
      </c>
      <c r="F431" s="24" t="str">
        <f aca="false">IF(B431="","",IFERROR("시편 "&amp;INDEX(시편_시리즈!$A$2:$A$151,MATCH("시편|"&amp;TEXT(B431,"yyyy-mm-dd"),시편_시리즈!$Y$2:$Y$151,0))&amp;"편  "&amp;INDEX(시편_시리즈!$G$2:$G$151,MATCH("시편|"&amp;TEXT(B431,"yyyy-mm-dd"),시편_시리즈!$Y$2:$Y$151,0)),""))</f>
        <v/>
      </c>
      <c r="G431" s="23" t="n">
        <f aca="false">IF(B431="","",(D431&lt;&gt;"")+(E431&lt;&gt;"")+(F431&lt;&gt;""))</f>
        <v>2</v>
      </c>
      <c r="H431" s="31" t="s">
        <v>10282</v>
      </c>
    </row>
    <row r="432" customFormat="false" ht="15" hidden="false" customHeight="false" outlineLevel="0" collapsed="false">
      <c r="A432" s="23" t="n">
        <f aca="false">IF(B432="","",431)</f>
        <v>431</v>
      </c>
      <c r="B432" s="26" t="n">
        <f aca="false">IF(안내!$C$9+430&gt;MAX(MAX(A타입_제작표!$U$2:$U$799),MAX(시편_시리즈!$Q$2:$Q$151)),"",안내!$C$9+430)</f>
        <v>46821</v>
      </c>
      <c r="C432" s="23" t="str">
        <f aca="false">IF(B432="","",CHOOSE(WEEKDAY(B432,2),"월","화","수","목","금","토","일"))</f>
        <v>목</v>
      </c>
      <c r="D432" s="24" t="str">
        <f aca="false">IF(B432="","",IFERROR(INDEX(A타입_제작표!$J$2:$J$799,MATCH("구약|"&amp;TEXT(B432,"yyyy-mm-dd"),A타입_제작표!$AQ$2:$AQ$799,0))&amp;"  "&amp;INDEX(A타입_제작표!$L$2:$L$799,MATCH("구약|"&amp;TEXT(B432,"yyyy-mm-dd"),A타입_제작표!$AQ$2:$AQ$799,0)),""))</f>
        <v>잠 8:1-9:18  지혜가 부른다</v>
      </c>
      <c r="E432" s="24" t="str">
        <f aca="false">IF(B432="","",IFERROR(INDEX(A타입_제작표!$J$2:$J$799,MATCH("신약|"&amp;TEXT(B432,"yyyy-mm-dd"),A타입_제작표!$AQ$2:$AQ$799,0))&amp;"  "&amp;INDEX(A타입_제작표!$L$2:$L$799,MATCH("신약|"&amp;TEXT(B432,"yyyy-mm-dd"),A타입_제작표!$AQ$2:$AQ$799,0)),""))</f>
        <v/>
      </c>
      <c r="F432" s="24" t="str">
        <f aca="false">IF(B432="","",IFERROR("시편 "&amp;INDEX(시편_시리즈!$A$2:$A$151,MATCH("시편|"&amp;TEXT(B432,"yyyy-mm-dd"),시편_시리즈!$Y$2:$Y$151,0))&amp;"편  "&amp;INDEX(시편_시리즈!$G$2:$G$151,MATCH("시편|"&amp;TEXT(B432,"yyyy-mm-dd"),시편_시리즈!$Y$2:$Y$151,0)),""))</f>
        <v/>
      </c>
      <c r="G432" s="23" t="n">
        <f aca="false">IF(B432="","",(D432&lt;&gt;"")+(E432&lt;&gt;"")+(F432&lt;&gt;""))</f>
        <v>1</v>
      </c>
      <c r="H432" s="31" t="s">
        <v>10282</v>
      </c>
    </row>
    <row r="433" customFormat="false" ht="15" hidden="false" customHeight="false" outlineLevel="0" collapsed="false">
      <c r="A433" s="23" t="n">
        <f aca="false">IF(B433="","",432)</f>
        <v>432</v>
      </c>
      <c r="B433" s="26" t="n">
        <f aca="false">IF(안내!$C$9+431&gt;MAX(MAX(A타입_제작표!$U$2:$U$799),MAX(시편_시리즈!$Q$2:$Q$151)),"",안내!$C$9+431)</f>
        <v>46822</v>
      </c>
      <c r="C433" s="23" t="str">
        <f aca="false">IF(B433="","",CHOOSE(WEEKDAY(B433,2),"월","화","수","목","금","토","일"))</f>
        <v>금</v>
      </c>
      <c r="D433" s="24" t="str">
        <f aca="false">IF(B433="","",IFERROR(INDEX(A타입_제작표!$J$2:$J$799,MATCH("구약|"&amp;TEXT(B433,"yyyy-mm-dd"),A타입_제작표!$AQ$2:$AQ$799,0))&amp;"  "&amp;INDEX(A타입_제작표!$L$2:$L$799,MATCH("구약|"&amp;TEXT(B433,"yyyy-mm-dd"),A타입_제작표!$AQ$2:$AQ$799,0)),""))</f>
        <v>잠 10:1-15:33  말 한마디의 힘</v>
      </c>
      <c r="E433" s="24" t="str">
        <f aca="false">IF(B433="","",IFERROR(INDEX(A타입_제작표!$J$2:$J$799,MATCH("신약|"&amp;TEXT(B433,"yyyy-mm-dd"),A타입_제작표!$AQ$2:$AQ$799,0))&amp;"  "&amp;INDEX(A타입_제작표!$L$2:$L$799,MATCH("신약|"&amp;TEXT(B433,"yyyy-mm-dd"),A타입_제작표!$AQ$2:$AQ$799,0)),""))</f>
        <v>약 1:1-18  시험을 기쁘게</v>
      </c>
      <c r="F433" s="24" t="str">
        <f aca="false">IF(B433="","",IFERROR("시편 "&amp;INDEX(시편_시리즈!$A$2:$A$151,MATCH("시편|"&amp;TEXT(B433,"yyyy-mm-dd"),시편_시리즈!$Y$2:$Y$151,0))&amp;"편  "&amp;INDEX(시편_시리즈!$G$2:$G$151,MATCH("시편|"&amp;TEXT(B433,"yyyy-mm-dd"),시편_시리즈!$Y$2:$Y$151,0)),""))</f>
        <v/>
      </c>
      <c r="G433" s="23" t="n">
        <f aca="false">IF(B433="","",(D433&lt;&gt;"")+(E433&lt;&gt;"")+(F433&lt;&gt;""))</f>
        <v>2</v>
      </c>
      <c r="H433" s="31" t="s">
        <v>10282</v>
      </c>
    </row>
    <row r="434" customFormat="false" ht="15" hidden="false" customHeight="false" outlineLevel="0" collapsed="false">
      <c r="A434" s="23" t="n">
        <f aca="false">IF(B434="","",433)</f>
        <v>433</v>
      </c>
      <c r="B434" s="26" t="n">
        <f aca="false">IF(안내!$C$9+432&gt;MAX(MAX(A타입_제작표!$U$2:$U$799),MAX(시편_시리즈!$Q$2:$Q$151)),"",안내!$C$9+432)</f>
        <v>46823</v>
      </c>
      <c r="C434" s="23" t="str">
        <f aca="false">IF(B434="","",CHOOSE(WEEKDAY(B434,2),"월","화","수","목","금","토","일"))</f>
        <v>토</v>
      </c>
      <c r="D434" s="24" t="str">
        <f aca="false">IF(B434="","",IFERROR(INDEX(A타입_제작표!$J$2:$J$799,MATCH("구약|"&amp;TEXT(B434,"yyyy-mm-dd"),A타입_제작표!$AQ$2:$AQ$799,0))&amp;"  "&amp;INDEX(A타입_제작표!$L$2:$L$799,MATCH("구약|"&amp;TEXT(B434,"yyyy-mm-dd"),A타입_제작표!$AQ$2:$AQ$799,0)),""))</f>
        <v>잠 16:1-22:16  사람이 계획해도</v>
      </c>
      <c r="E434" s="24" t="str">
        <f aca="false">IF(B434="","",IFERROR(INDEX(A타입_제작표!$J$2:$J$799,MATCH("신약|"&amp;TEXT(B434,"yyyy-mm-dd"),A타입_제작표!$AQ$2:$AQ$799,0))&amp;"  "&amp;INDEX(A타입_제작표!$L$2:$L$799,MATCH("신약|"&amp;TEXT(B434,"yyyy-mm-dd"),A타입_제작표!$AQ$2:$AQ$799,0)),""))</f>
        <v>약 1:19-27  듣기는 속히</v>
      </c>
      <c r="F434" s="24" t="str">
        <f aca="false">IF(B434="","",IFERROR("시편 "&amp;INDEX(시편_시리즈!$A$2:$A$151,MATCH("시편|"&amp;TEXT(B434,"yyyy-mm-dd"),시편_시리즈!$Y$2:$Y$151,0))&amp;"편  "&amp;INDEX(시편_시리즈!$G$2:$G$151,MATCH("시편|"&amp;TEXT(B434,"yyyy-mm-dd"),시편_시리즈!$Y$2:$Y$151,0)),""))</f>
        <v/>
      </c>
      <c r="G434" s="23" t="n">
        <f aca="false">IF(B434="","",(D434&lt;&gt;"")+(E434&lt;&gt;"")+(F434&lt;&gt;""))</f>
        <v>2</v>
      </c>
      <c r="H434" s="31" t="s">
        <v>10282</v>
      </c>
    </row>
    <row r="435" customFormat="false" ht="15" hidden="false" customHeight="false" outlineLevel="0" collapsed="false">
      <c r="A435" s="23" t="n">
        <f aca="false">IF(B435="","",434)</f>
        <v>434</v>
      </c>
      <c r="B435" s="26" t="n">
        <f aca="false">IF(안내!$C$9+433&gt;MAX(MAX(A타입_제작표!$U$2:$U$799),MAX(시편_시리즈!$Q$2:$Q$151)),"",안내!$C$9+433)</f>
        <v>46824</v>
      </c>
      <c r="C435" s="23" t="str">
        <f aca="false">IF(B435="","",CHOOSE(WEEKDAY(B435,2),"월","화","수","목","금","토","일"))</f>
        <v>일</v>
      </c>
      <c r="D435" s="24" t="str">
        <f aca="false">IF(B435="","",IFERROR(INDEX(A타입_제작표!$J$2:$J$799,MATCH("구약|"&amp;TEXT(B435,"yyyy-mm-dd"),A타입_제작표!$AQ$2:$AQ$799,0))&amp;"  "&amp;INDEX(A타입_제작표!$L$2:$L$799,MATCH("구약|"&amp;TEXT(B435,"yyyy-mm-dd"),A타입_제작표!$AQ$2:$AQ$799,0)),""))</f>
        <v>잠 22:17-24:34  일곱 번 넘어져도</v>
      </c>
      <c r="E435" s="24" t="str">
        <f aca="false">IF(B435="","",IFERROR(INDEX(A타입_제작표!$J$2:$J$799,MATCH("신약|"&amp;TEXT(B435,"yyyy-mm-dd"),A타입_제작표!$AQ$2:$AQ$799,0))&amp;"  "&amp;INDEX(A타입_제작표!$L$2:$L$799,MATCH("신약|"&amp;TEXT(B435,"yyyy-mm-dd"),A타입_제작표!$AQ$2:$AQ$799,0)),""))</f>
        <v/>
      </c>
      <c r="F435" s="24" t="str">
        <f aca="false">IF(B435="","",IFERROR("시편 "&amp;INDEX(시편_시리즈!$A$2:$A$151,MATCH("시편|"&amp;TEXT(B435,"yyyy-mm-dd"),시편_시리즈!$Y$2:$Y$151,0))&amp;"편  "&amp;INDEX(시편_시리즈!$G$2:$G$151,MATCH("시편|"&amp;TEXT(B435,"yyyy-mm-dd"),시편_시리즈!$Y$2:$Y$151,0)),""))</f>
        <v/>
      </c>
      <c r="G435" s="23" t="n">
        <f aca="false">IF(B435="","",(D435&lt;&gt;"")+(E435&lt;&gt;"")+(F435&lt;&gt;""))</f>
        <v>1</v>
      </c>
      <c r="H435" s="31" t="s">
        <v>10282</v>
      </c>
    </row>
    <row r="436" customFormat="false" ht="15" hidden="false" customHeight="false" outlineLevel="0" collapsed="false">
      <c r="A436" s="23" t="n">
        <f aca="false">IF(B436="","",435)</f>
        <v>435</v>
      </c>
      <c r="B436" s="26" t="n">
        <f aca="false">IF(안내!$C$9+434&gt;MAX(MAX(A타입_제작표!$U$2:$U$799),MAX(시편_시리즈!$Q$2:$Q$151)),"",안내!$C$9+434)</f>
        <v>46825</v>
      </c>
      <c r="C436" s="23" t="str">
        <f aca="false">IF(B436="","",CHOOSE(WEEKDAY(B436,2),"월","화","수","목","금","토","일"))</f>
        <v>월</v>
      </c>
      <c r="D436" s="24" t="str">
        <f aca="false">IF(B436="","",IFERROR(INDEX(A타입_제작표!$J$2:$J$799,MATCH("구약|"&amp;TEXT(B436,"yyyy-mm-dd"),A타입_제작표!$AQ$2:$AQ$799,0))&amp;"  "&amp;INDEX(A타입_제작표!$L$2:$L$799,MATCH("구약|"&amp;TEXT(B436,"yyyy-mm-dd"),A타입_제작표!$AQ$2:$AQ$799,0)),""))</f>
        <v>잠 25:1-29:27  원수에게 빵을</v>
      </c>
      <c r="E436" s="24" t="str">
        <f aca="false">IF(B436="","",IFERROR(INDEX(A타입_제작표!$J$2:$J$799,MATCH("신약|"&amp;TEXT(B436,"yyyy-mm-dd"),A타입_제작표!$AQ$2:$AQ$799,0))&amp;"  "&amp;INDEX(A타입_제작표!$L$2:$L$799,MATCH("신약|"&amp;TEXT(B436,"yyyy-mm-dd"),A타입_제작표!$AQ$2:$AQ$799,0)),""))</f>
        <v>약 2:1-26  행함이 없는 믿음</v>
      </c>
      <c r="F436" s="24" t="str">
        <f aca="false">IF(B436="","",IFERROR("시편 "&amp;INDEX(시편_시리즈!$A$2:$A$151,MATCH("시편|"&amp;TEXT(B436,"yyyy-mm-dd"),시편_시리즈!$Y$2:$Y$151,0))&amp;"편  "&amp;INDEX(시편_시리즈!$G$2:$G$151,MATCH("시편|"&amp;TEXT(B436,"yyyy-mm-dd"),시편_시리즈!$Y$2:$Y$151,0)),""))</f>
        <v/>
      </c>
      <c r="G436" s="23" t="n">
        <f aca="false">IF(B436="","",(D436&lt;&gt;"")+(E436&lt;&gt;"")+(F436&lt;&gt;""))</f>
        <v>2</v>
      </c>
      <c r="H436" s="31" t="s">
        <v>10282</v>
      </c>
    </row>
    <row r="437" customFormat="false" ht="15" hidden="false" customHeight="false" outlineLevel="0" collapsed="false">
      <c r="A437" s="23" t="n">
        <f aca="false">IF(B437="","",436)</f>
        <v>436</v>
      </c>
      <c r="B437" s="26" t="n">
        <f aca="false">IF(안내!$C$9+435&gt;MAX(MAX(A타입_제작표!$U$2:$U$799),MAX(시편_시리즈!$Q$2:$Q$151)),"",안내!$C$9+435)</f>
        <v>46826</v>
      </c>
      <c r="C437" s="23" t="str">
        <f aca="false">IF(B437="","",CHOOSE(WEEKDAY(B437,2),"월","화","수","목","금","토","일"))</f>
        <v>화</v>
      </c>
      <c r="D437" s="24" t="str">
        <f aca="false">IF(B437="","",IFERROR(INDEX(A타입_제작표!$J$2:$J$799,MATCH("구약|"&amp;TEXT(B437,"yyyy-mm-dd"),A타입_제작표!$AQ$2:$AQ$799,0))&amp;"  "&amp;INDEX(A타입_제작표!$L$2:$L$799,MATCH("구약|"&amp;TEXT(B437,"yyyy-mm-dd"),A타입_제작표!$AQ$2:$AQ$799,0)),""))</f>
        <v>잠 30:1-31:31  여호와를 경외하는 여자</v>
      </c>
      <c r="E437" s="24" t="str">
        <f aca="false">IF(B437="","",IFERROR(INDEX(A타입_제작표!$J$2:$J$799,MATCH("신약|"&amp;TEXT(B437,"yyyy-mm-dd"),A타입_제작표!$AQ$2:$AQ$799,0))&amp;"  "&amp;INDEX(A타입_제작표!$L$2:$L$799,MATCH("신약|"&amp;TEXT(B437,"yyyy-mm-dd"),A타입_제작표!$AQ$2:$AQ$799,0)),""))</f>
        <v/>
      </c>
      <c r="F437" s="24" t="str">
        <f aca="false">IF(B437="","",IFERROR("시편 "&amp;INDEX(시편_시리즈!$A$2:$A$151,MATCH("시편|"&amp;TEXT(B437,"yyyy-mm-dd"),시편_시리즈!$Y$2:$Y$151,0))&amp;"편  "&amp;INDEX(시편_시리즈!$G$2:$G$151,MATCH("시편|"&amp;TEXT(B437,"yyyy-mm-dd"),시편_시리즈!$Y$2:$Y$151,0)),""))</f>
        <v/>
      </c>
      <c r="G437" s="23" t="n">
        <f aca="false">IF(B437="","",(D437&lt;&gt;"")+(E437&lt;&gt;"")+(F437&lt;&gt;""))</f>
        <v>1</v>
      </c>
      <c r="H437" s="31" t="s">
        <v>10282</v>
      </c>
    </row>
    <row r="438" customFormat="false" ht="15" hidden="false" customHeight="false" outlineLevel="0" collapsed="false">
      <c r="A438" s="23" t="n">
        <f aca="false">IF(B438="","",437)</f>
        <v>437</v>
      </c>
      <c r="B438" s="26" t="n">
        <f aca="false">IF(안내!$C$9+436&gt;MAX(MAX(A타입_제작표!$U$2:$U$799),MAX(시편_시리즈!$Q$2:$Q$151)),"",안내!$C$9+436)</f>
        <v>46827</v>
      </c>
      <c r="C438" s="23" t="str">
        <f aca="false">IF(B438="","",CHOOSE(WEEKDAY(B438,2),"월","화","수","목","금","토","일"))</f>
        <v>수</v>
      </c>
      <c r="D438" s="24" t="str">
        <f aca="false">IF(B438="","",IFERROR(INDEX(A타입_제작표!$J$2:$J$799,MATCH("구약|"&amp;TEXT(B438,"yyyy-mm-dd"),A타입_제작표!$AQ$2:$AQ$799,0))&amp;"  "&amp;INDEX(A타입_제작표!$L$2:$L$799,MATCH("구약|"&amp;TEXT(B438,"yyyy-mm-dd"),A타입_제작표!$AQ$2:$AQ$799,0)),""))</f>
        <v>전 1:1-2:26  헛되고 헛되다</v>
      </c>
      <c r="E438" s="24" t="str">
        <f aca="false">IF(B438="","",IFERROR(INDEX(A타입_제작표!$J$2:$J$799,MATCH("신약|"&amp;TEXT(B438,"yyyy-mm-dd"),A타입_제작표!$AQ$2:$AQ$799,0))&amp;"  "&amp;INDEX(A타입_제작표!$L$2:$L$799,MATCH("신약|"&amp;TEXT(B438,"yyyy-mm-dd"),A타입_제작표!$AQ$2:$AQ$799,0)),""))</f>
        <v>약 3:1-18  혀의 힘</v>
      </c>
      <c r="F438" s="24" t="str">
        <f aca="false">IF(B438="","",IFERROR("시편 "&amp;INDEX(시편_시리즈!$A$2:$A$151,MATCH("시편|"&amp;TEXT(B438,"yyyy-mm-dd"),시편_시리즈!$Y$2:$Y$151,0))&amp;"편  "&amp;INDEX(시편_시리즈!$G$2:$G$151,MATCH("시편|"&amp;TEXT(B438,"yyyy-mm-dd"),시편_시리즈!$Y$2:$Y$151,0)),""))</f>
        <v/>
      </c>
      <c r="G438" s="23" t="n">
        <f aca="false">IF(B438="","",(D438&lt;&gt;"")+(E438&lt;&gt;"")+(F438&lt;&gt;""))</f>
        <v>2</v>
      </c>
      <c r="H438" s="31" t="s">
        <v>10282</v>
      </c>
    </row>
    <row r="439" customFormat="false" ht="15" hidden="false" customHeight="false" outlineLevel="0" collapsed="false">
      <c r="A439" s="23" t="n">
        <f aca="false">IF(B439="","",438)</f>
        <v>438</v>
      </c>
      <c r="B439" s="26" t="n">
        <f aca="false">IF(안내!$C$9+437&gt;MAX(MAX(A타입_제작표!$U$2:$U$799),MAX(시편_시리즈!$Q$2:$Q$151)),"",안내!$C$9+437)</f>
        <v>46828</v>
      </c>
      <c r="C439" s="23" t="str">
        <f aca="false">IF(B439="","",CHOOSE(WEEKDAY(B439,2),"월","화","수","목","금","토","일"))</f>
        <v>목</v>
      </c>
      <c r="D439" s="24" t="str">
        <f aca="false">IF(B439="","",IFERROR(INDEX(A타입_제작표!$J$2:$J$799,MATCH("구약|"&amp;TEXT(B439,"yyyy-mm-dd"),A타입_제작표!$AQ$2:$AQ$799,0))&amp;"  "&amp;INDEX(A타입_제작표!$L$2:$L$799,MATCH("구약|"&amp;TEXT(B439,"yyyy-mm-dd"),A타입_제작표!$AQ$2:$AQ$799,0)),""))</f>
        <v>전 4:1-6:12  세 겹 줄</v>
      </c>
      <c r="E439" s="24" t="str">
        <f aca="false">IF(B439="","",IFERROR(INDEX(A타입_제작표!$J$2:$J$799,MATCH("신약|"&amp;TEXT(B439,"yyyy-mm-dd"),A타입_제작표!$AQ$2:$AQ$799,0))&amp;"  "&amp;INDEX(A타입_제작표!$L$2:$L$799,MATCH("신약|"&amp;TEXT(B439,"yyyy-mm-dd"),A타입_제작표!$AQ$2:$AQ$799,0)),""))</f>
        <v/>
      </c>
      <c r="F439" s="24" t="str">
        <f aca="false">IF(B439="","",IFERROR("시편 "&amp;INDEX(시편_시리즈!$A$2:$A$151,MATCH("시편|"&amp;TEXT(B439,"yyyy-mm-dd"),시편_시리즈!$Y$2:$Y$151,0))&amp;"편  "&amp;INDEX(시편_시리즈!$G$2:$G$151,MATCH("시편|"&amp;TEXT(B439,"yyyy-mm-dd"),시편_시리즈!$Y$2:$Y$151,0)),""))</f>
        <v/>
      </c>
      <c r="G439" s="23" t="n">
        <f aca="false">IF(B439="","",(D439&lt;&gt;"")+(E439&lt;&gt;"")+(F439&lt;&gt;""))</f>
        <v>1</v>
      </c>
      <c r="H439" s="31" t="s">
        <v>10282</v>
      </c>
    </row>
    <row r="440" customFormat="false" ht="15" hidden="false" customHeight="false" outlineLevel="0" collapsed="false">
      <c r="A440" s="23" t="n">
        <f aca="false">IF(B440="","",439)</f>
        <v>439</v>
      </c>
      <c r="B440" s="26" t="n">
        <f aca="false">IF(안내!$C$9+438&gt;MAX(MAX(A타입_제작표!$U$2:$U$799),MAX(시편_시리즈!$Q$2:$Q$151)),"",안내!$C$9+438)</f>
        <v>46829</v>
      </c>
      <c r="C440" s="23" t="str">
        <f aca="false">IF(B440="","",CHOOSE(WEEKDAY(B440,2),"월","화","수","목","금","토","일"))</f>
        <v>금</v>
      </c>
      <c r="D440" s="24" t="str">
        <f aca="false">IF(B440="","",IFERROR(INDEX(A타입_제작표!$J$2:$J$799,MATCH("구약|"&amp;TEXT(B440,"yyyy-mm-dd"),A타입_제작표!$AQ$2:$AQ$799,0))&amp;"  "&amp;INDEX(A타입_제작표!$L$2:$L$799,MATCH("구약|"&amp;TEXT(B440,"yyyy-mm-dd"),A타입_제작표!$AQ$2:$AQ$799,0)),""))</f>
        <v>전 7:1-11:6  형통한 날과 곤고한 날</v>
      </c>
      <c r="E440" s="24" t="str">
        <f aca="false">IF(B440="","",IFERROR(INDEX(A타입_제작표!$J$2:$J$799,MATCH("신약|"&amp;TEXT(B440,"yyyy-mm-dd"),A타입_제작표!$AQ$2:$AQ$799,0))&amp;"  "&amp;INDEX(A타입_제작표!$L$2:$L$799,MATCH("신약|"&amp;TEXT(B440,"yyyy-mm-dd"),A타입_제작표!$AQ$2:$AQ$799,0)),""))</f>
        <v>약 4:1-5:20  하나님을 가까이하라</v>
      </c>
      <c r="F440" s="24" t="str">
        <f aca="false">IF(B440="","",IFERROR("시편 "&amp;INDEX(시편_시리즈!$A$2:$A$151,MATCH("시편|"&amp;TEXT(B440,"yyyy-mm-dd"),시편_시리즈!$Y$2:$Y$151,0))&amp;"편  "&amp;INDEX(시편_시리즈!$G$2:$G$151,MATCH("시편|"&amp;TEXT(B440,"yyyy-mm-dd"),시편_시리즈!$Y$2:$Y$151,0)),""))</f>
        <v/>
      </c>
      <c r="G440" s="23" t="n">
        <f aca="false">IF(B440="","",(D440&lt;&gt;"")+(E440&lt;&gt;"")+(F440&lt;&gt;""))</f>
        <v>2</v>
      </c>
      <c r="H440" s="31" t="s">
        <v>10282</v>
      </c>
    </row>
    <row r="441" customFormat="false" ht="15" hidden="false" customHeight="false" outlineLevel="0" collapsed="false">
      <c r="A441" s="23" t="n">
        <f aca="false">IF(B441="","",440)</f>
        <v>440</v>
      </c>
      <c r="B441" s="26" t="n">
        <f aca="false">IF(안내!$C$9+439&gt;MAX(MAX(A타입_제작표!$U$2:$U$799),MAX(시편_시리즈!$Q$2:$Q$151)),"",안내!$C$9+439)</f>
        <v>46830</v>
      </c>
      <c r="C441" s="23" t="str">
        <f aca="false">IF(B441="","",CHOOSE(WEEKDAY(B441,2),"월","화","수","목","금","토","일"))</f>
        <v>토</v>
      </c>
      <c r="D441" s="24" t="str">
        <f aca="false">IF(B441="","",IFERROR(INDEX(A타입_제작표!$J$2:$J$799,MATCH("구약|"&amp;TEXT(B441,"yyyy-mm-dd"),A타입_제작표!$AQ$2:$AQ$799,0))&amp;"  "&amp;INDEX(A타입_제작표!$L$2:$L$799,MATCH("구약|"&amp;TEXT(B441,"yyyy-mm-dd"),A타입_제작표!$AQ$2:$AQ$799,0)),""))</f>
        <v>전 11:7-12:14  청년의 때에</v>
      </c>
      <c r="E441" s="24" t="str">
        <f aca="false">IF(B441="","",IFERROR(INDEX(A타입_제작표!$J$2:$J$799,MATCH("신약|"&amp;TEXT(B441,"yyyy-mm-dd"),A타입_제작표!$AQ$2:$AQ$799,0))&amp;"  "&amp;INDEX(A타입_제작표!$L$2:$L$799,MATCH("신약|"&amp;TEXT(B441,"yyyy-mm-dd"),A타입_제작표!$AQ$2:$AQ$799,0)),""))</f>
        <v>벧전 1:1-25  산 소망</v>
      </c>
      <c r="F441" s="24" t="str">
        <f aca="false">IF(B441="","",IFERROR("시편 "&amp;INDEX(시편_시리즈!$A$2:$A$151,MATCH("시편|"&amp;TEXT(B441,"yyyy-mm-dd"),시편_시리즈!$Y$2:$Y$151,0))&amp;"편  "&amp;INDEX(시편_시리즈!$G$2:$G$151,MATCH("시편|"&amp;TEXT(B441,"yyyy-mm-dd"),시편_시리즈!$Y$2:$Y$151,0)),""))</f>
        <v/>
      </c>
      <c r="G441" s="23" t="n">
        <f aca="false">IF(B441="","",(D441&lt;&gt;"")+(E441&lt;&gt;"")+(F441&lt;&gt;""))</f>
        <v>2</v>
      </c>
      <c r="H441" s="31" t="s">
        <v>10282</v>
      </c>
    </row>
    <row r="442" customFormat="false" ht="15" hidden="false" customHeight="false" outlineLevel="0" collapsed="false">
      <c r="A442" s="23" t="n">
        <f aca="false">IF(B442="","",441)</f>
        <v>441</v>
      </c>
      <c r="B442" s="26" t="n">
        <f aca="false">IF(안내!$C$9+440&gt;MAX(MAX(A타입_제작표!$U$2:$U$799),MAX(시편_시리즈!$Q$2:$Q$151)),"",안내!$C$9+440)</f>
        <v>46831</v>
      </c>
      <c r="C442" s="23" t="str">
        <f aca="false">IF(B442="","",CHOOSE(WEEKDAY(B442,2),"월","화","수","목","금","토","일"))</f>
        <v>일</v>
      </c>
      <c r="D442" s="24" t="str">
        <f aca="false">IF(B442="","",IFERROR(INDEX(A타입_제작표!$J$2:$J$799,MATCH("구약|"&amp;TEXT(B442,"yyyy-mm-dd"),A타입_제작표!$AQ$2:$AQ$799,0))&amp;"  "&amp;INDEX(A타입_제작표!$L$2:$L$799,MATCH("구약|"&amp;TEXT(B442,"yyyy-mm-dd"),A타입_제작표!$AQ$2:$AQ$799,0)),""))</f>
        <v>아 1:1-3:5  사랑의 깃발</v>
      </c>
      <c r="E442" s="24" t="str">
        <f aca="false">IF(B442="","",IFERROR(INDEX(A타입_제작표!$J$2:$J$799,MATCH("신약|"&amp;TEXT(B442,"yyyy-mm-dd"),A타입_제작표!$AQ$2:$AQ$799,0))&amp;"  "&amp;INDEX(A타입_제작표!$L$2:$L$799,MATCH("신약|"&amp;TEXT(B442,"yyyy-mm-dd"),A타입_제작표!$AQ$2:$AQ$799,0)),""))</f>
        <v/>
      </c>
      <c r="F442" s="24" t="str">
        <f aca="false">IF(B442="","",IFERROR("시편 "&amp;INDEX(시편_시리즈!$A$2:$A$151,MATCH("시편|"&amp;TEXT(B442,"yyyy-mm-dd"),시편_시리즈!$Y$2:$Y$151,0))&amp;"편  "&amp;INDEX(시편_시리즈!$G$2:$G$151,MATCH("시편|"&amp;TEXT(B442,"yyyy-mm-dd"),시편_시리즈!$Y$2:$Y$151,0)),""))</f>
        <v/>
      </c>
      <c r="G442" s="23" t="n">
        <f aca="false">IF(B442="","",(D442&lt;&gt;"")+(E442&lt;&gt;"")+(F442&lt;&gt;""))</f>
        <v>1</v>
      </c>
      <c r="H442" s="31" t="s">
        <v>10282</v>
      </c>
    </row>
    <row r="443" customFormat="false" ht="15" hidden="false" customHeight="false" outlineLevel="0" collapsed="false">
      <c r="A443" s="23" t="n">
        <f aca="false">IF(B443="","",442)</f>
        <v>442</v>
      </c>
      <c r="B443" s="26" t="n">
        <f aca="false">IF(안내!$C$9+441&gt;MAX(MAX(A타입_제작표!$U$2:$U$799),MAX(시편_시리즈!$Q$2:$Q$151)),"",안내!$C$9+441)</f>
        <v>46832</v>
      </c>
      <c r="C443" s="23" t="str">
        <f aca="false">IF(B443="","",CHOOSE(WEEKDAY(B443,2),"월","화","수","목","금","토","일"))</f>
        <v>월</v>
      </c>
      <c r="D443" s="24" t="str">
        <f aca="false">IF(B443="","",IFERROR(INDEX(A타입_제작표!$J$2:$J$799,MATCH("구약|"&amp;TEXT(B443,"yyyy-mm-dd"),A타입_제작표!$AQ$2:$AQ$799,0))&amp;"  "&amp;INDEX(A타입_제작표!$L$2:$L$799,MATCH("구약|"&amp;TEXT(B443,"yyyy-mm-dd"),A타입_제작표!$AQ$2:$AQ$799,0)),""))</f>
        <v>아 3:6-5:1  혼인날</v>
      </c>
      <c r="E443" s="24" t="str">
        <f aca="false">IF(B443="","",IFERROR(INDEX(A타입_제작표!$J$2:$J$799,MATCH("신약|"&amp;TEXT(B443,"yyyy-mm-dd"),A타입_제작표!$AQ$2:$AQ$799,0))&amp;"  "&amp;INDEX(A타입_제작표!$L$2:$L$799,MATCH("신약|"&amp;TEXT(B443,"yyyy-mm-dd"),A타입_제작표!$AQ$2:$AQ$799,0)),""))</f>
        <v>벧전 2:1-25  왕 같은 제사장</v>
      </c>
      <c r="F443" s="24" t="str">
        <f aca="false">IF(B443="","",IFERROR("시편 "&amp;INDEX(시편_시리즈!$A$2:$A$151,MATCH("시편|"&amp;TEXT(B443,"yyyy-mm-dd"),시편_시리즈!$Y$2:$Y$151,0))&amp;"편  "&amp;INDEX(시편_시리즈!$G$2:$G$151,MATCH("시편|"&amp;TEXT(B443,"yyyy-mm-dd"),시편_시리즈!$Y$2:$Y$151,0)),""))</f>
        <v/>
      </c>
      <c r="G443" s="23" t="n">
        <f aca="false">IF(B443="","",(D443&lt;&gt;"")+(E443&lt;&gt;"")+(F443&lt;&gt;""))</f>
        <v>2</v>
      </c>
      <c r="H443" s="31" t="s">
        <v>10282</v>
      </c>
    </row>
    <row r="444" customFormat="false" ht="15" hidden="false" customHeight="false" outlineLevel="0" collapsed="false">
      <c r="A444" s="23" t="n">
        <f aca="false">IF(B444="","",443)</f>
        <v>443</v>
      </c>
      <c r="B444" s="26" t="n">
        <f aca="false">IF(안내!$C$9+442&gt;MAX(MAX(A타입_제작표!$U$2:$U$799),MAX(시편_시리즈!$Q$2:$Q$151)),"",안내!$C$9+442)</f>
        <v>46833</v>
      </c>
      <c r="C444" s="23" t="str">
        <f aca="false">IF(B444="","",CHOOSE(WEEKDAY(B444,2),"월","화","수","목","금","토","일"))</f>
        <v>화</v>
      </c>
      <c r="D444" s="24" t="str">
        <f aca="false">IF(B444="","",IFERROR(INDEX(A타입_제작표!$J$2:$J$799,MATCH("구약|"&amp;TEXT(B444,"yyyy-mm-dd"),A타입_제작표!$AQ$2:$AQ$799,0))&amp;"  "&amp;INDEX(A타입_제작표!$L$2:$L$799,MATCH("구약|"&amp;TEXT(B444,"yyyy-mm-dd"),A타입_제작표!$AQ$2:$AQ$799,0)),""))</f>
        <v>아 5:2-8:14  사랑은 죽음같이 강하다</v>
      </c>
      <c r="E444" s="24" t="str">
        <f aca="false">IF(B444="","",IFERROR(INDEX(A타입_제작표!$J$2:$J$799,MATCH("신약|"&amp;TEXT(B444,"yyyy-mm-dd"),A타입_제작표!$AQ$2:$AQ$799,0))&amp;"  "&amp;INDEX(A타입_제작표!$L$2:$L$799,MATCH("신약|"&amp;TEXT(B444,"yyyy-mm-dd"),A타입_제작표!$AQ$2:$AQ$799,0)),""))</f>
        <v/>
      </c>
      <c r="F444" s="24" t="str">
        <f aca="false">IF(B444="","",IFERROR("시편 "&amp;INDEX(시편_시리즈!$A$2:$A$151,MATCH("시편|"&amp;TEXT(B444,"yyyy-mm-dd"),시편_시리즈!$Y$2:$Y$151,0))&amp;"편  "&amp;INDEX(시편_시리즈!$G$2:$G$151,MATCH("시편|"&amp;TEXT(B444,"yyyy-mm-dd"),시편_시리즈!$Y$2:$Y$151,0)),""))</f>
        <v/>
      </c>
      <c r="G444" s="23" t="n">
        <f aca="false">IF(B444="","",(D444&lt;&gt;"")+(E444&lt;&gt;"")+(F444&lt;&gt;""))</f>
        <v>1</v>
      </c>
      <c r="H444" s="31" t="s">
        <v>10282</v>
      </c>
    </row>
    <row r="445" customFormat="false" ht="15" hidden="false" customHeight="false" outlineLevel="0" collapsed="false">
      <c r="A445" s="23" t="n">
        <f aca="false">IF(B445="","",444)</f>
        <v>444</v>
      </c>
      <c r="B445" s="26" t="n">
        <f aca="false">IF(안내!$C$9+443&gt;MAX(MAX(A타입_제작표!$U$2:$U$799),MAX(시편_시리즈!$Q$2:$Q$151)),"",안내!$C$9+443)</f>
        <v>46834</v>
      </c>
      <c r="C445" s="23" t="str">
        <f aca="false">IF(B445="","",CHOOSE(WEEKDAY(B445,2),"월","화","수","목","금","토","일"))</f>
        <v>수</v>
      </c>
      <c r="D445" s="24" t="str">
        <f aca="false">IF(B445="","",IFERROR(INDEX(A타입_제작표!$J$2:$J$799,MATCH("구약|"&amp;TEXT(B445,"yyyy-mm-dd"),A타입_제작표!$AQ$2:$AQ$799,0))&amp;"  "&amp;INDEX(A타입_제작표!$L$2:$L$799,MATCH("구약|"&amp;TEXT(B445,"yyyy-mm-dd"),A타입_제작표!$AQ$2:$AQ$799,0)),""))</f>
        <v>사 1:1-31  주홍 같은 죄도</v>
      </c>
      <c r="E445" s="24" t="str">
        <f aca="false">IF(B445="","",IFERROR(INDEX(A타입_제작표!$J$2:$J$799,MATCH("신약|"&amp;TEXT(B445,"yyyy-mm-dd"),A타입_제작표!$AQ$2:$AQ$799,0))&amp;"  "&amp;INDEX(A타입_제작표!$L$2:$L$799,MATCH("신약|"&amp;TEXT(B445,"yyyy-mm-dd"),A타입_제작표!$AQ$2:$AQ$799,0)),""))</f>
        <v>벧전 3:1-22  소망에 관한 이유</v>
      </c>
      <c r="F445" s="24" t="str">
        <f aca="false">IF(B445="","",IFERROR("시편 "&amp;INDEX(시편_시리즈!$A$2:$A$151,MATCH("시편|"&amp;TEXT(B445,"yyyy-mm-dd"),시편_시리즈!$Y$2:$Y$151,0))&amp;"편  "&amp;INDEX(시편_시리즈!$G$2:$G$151,MATCH("시편|"&amp;TEXT(B445,"yyyy-mm-dd"),시편_시리즈!$Y$2:$Y$151,0)),""))</f>
        <v/>
      </c>
      <c r="G445" s="23" t="n">
        <f aca="false">IF(B445="","",(D445&lt;&gt;"")+(E445&lt;&gt;"")+(F445&lt;&gt;""))</f>
        <v>2</v>
      </c>
      <c r="H445" s="31" t="s">
        <v>10282</v>
      </c>
    </row>
    <row r="446" customFormat="false" ht="15" hidden="false" customHeight="false" outlineLevel="0" collapsed="false">
      <c r="A446" s="23" t="n">
        <f aca="false">IF(B446="","",445)</f>
        <v>445</v>
      </c>
      <c r="B446" s="26" t="n">
        <f aca="false">IF(안내!$C$9+444&gt;MAX(MAX(A타입_제작표!$U$2:$U$799),MAX(시편_시리즈!$Q$2:$Q$151)),"",안내!$C$9+444)</f>
        <v>46835</v>
      </c>
      <c r="C446" s="23" t="str">
        <f aca="false">IF(B446="","",CHOOSE(WEEKDAY(B446,2),"월","화","수","목","금","토","일"))</f>
        <v>목</v>
      </c>
      <c r="D446" s="24" t="str">
        <f aca="false">IF(B446="","",IFERROR(INDEX(A타입_제작표!$J$2:$J$799,MATCH("구약|"&amp;TEXT(B446,"yyyy-mm-dd"),A타입_제작표!$AQ$2:$AQ$799,0))&amp;"  "&amp;INDEX(A타입_제작표!$L$2:$L$799,MATCH("구약|"&amp;TEXT(B446,"yyyy-mm-dd"),A타입_제작표!$AQ$2:$AQ$799,0)),""))</f>
        <v>사 2:1-5:30  칼을 쳐서 보습으로</v>
      </c>
      <c r="E446" s="24" t="str">
        <f aca="false">IF(B446="","",IFERROR(INDEX(A타입_제작표!$J$2:$J$799,MATCH("신약|"&amp;TEXT(B446,"yyyy-mm-dd"),A타입_제작표!$AQ$2:$AQ$799,0))&amp;"  "&amp;INDEX(A타입_제작표!$L$2:$L$799,MATCH("신약|"&amp;TEXT(B446,"yyyy-mm-dd"),A타입_제작표!$AQ$2:$AQ$799,0)),""))</f>
        <v/>
      </c>
      <c r="F446" s="24" t="str">
        <f aca="false">IF(B446="","",IFERROR("시편 "&amp;INDEX(시편_시리즈!$A$2:$A$151,MATCH("시편|"&amp;TEXT(B446,"yyyy-mm-dd"),시편_시리즈!$Y$2:$Y$151,0))&amp;"편  "&amp;INDEX(시편_시리즈!$G$2:$G$151,MATCH("시편|"&amp;TEXT(B446,"yyyy-mm-dd"),시편_시리즈!$Y$2:$Y$151,0)),""))</f>
        <v/>
      </c>
      <c r="G446" s="23" t="n">
        <f aca="false">IF(B446="","",(D446&lt;&gt;"")+(E446&lt;&gt;"")+(F446&lt;&gt;""))</f>
        <v>1</v>
      </c>
      <c r="H446" s="31" t="s">
        <v>10282</v>
      </c>
    </row>
    <row r="447" customFormat="false" ht="15" hidden="false" customHeight="false" outlineLevel="0" collapsed="false">
      <c r="A447" s="23" t="n">
        <f aca="false">IF(B447="","",446)</f>
        <v>446</v>
      </c>
      <c r="B447" s="26" t="n">
        <f aca="false">IF(안내!$C$9+445&gt;MAX(MAX(A타입_제작표!$U$2:$U$799),MAX(시편_시리즈!$Q$2:$Q$151)),"",안내!$C$9+445)</f>
        <v>46836</v>
      </c>
      <c r="C447" s="23" t="str">
        <f aca="false">IF(B447="","",CHOOSE(WEEKDAY(B447,2),"월","화","수","목","금","토","일"))</f>
        <v>금</v>
      </c>
      <c r="D447" s="24" t="str">
        <f aca="false">IF(B447="","",IFERROR(INDEX(A타입_제작표!$J$2:$J$799,MATCH("구약|"&amp;TEXT(B447,"yyyy-mm-dd"),A타입_제작표!$AQ$2:$AQ$799,0))&amp;"  "&amp;INDEX(A타입_제작표!$L$2:$L$799,MATCH("구약|"&amp;TEXT(B447,"yyyy-mm-dd"),A타입_제작표!$AQ$2:$AQ$799,0)),""))</f>
        <v>사 9:8-10:34  하나님의 몽둥이</v>
      </c>
      <c r="E447" s="24" t="str">
        <f aca="false">IF(B447="","",IFERROR(INDEX(A타입_제작표!$J$2:$J$799,MATCH("신약|"&amp;TEXT(B447,"yyyy-mm-dd"),A타입_제작표!$AQ$2:$AQ$799,0))&amp;"  "&amp;INDEX(A타입_제작표!$L$2:$L$799,MATCH("신약|"&amp;TEXT(B447,"yyyy-mm-dd"),A타입_제작표!$AQ$2:$AQ$799,0)),""))</f>
        <v>벧전 4:1-5:14  염려를 맡기라</v>
      </c>
      <c r="F447" s="24" t="str">
        <f aca="false">IF(B447="","",IFERROR("시편 "&amp;INDEX(시편_시리즈!$A$2:$A$151,MATCH("시편|"&amp;TEXT(B447,"yyyy-mm-dd"),시편_시리즈!$Y$2:$Y$151,0))&amp;"편  "&amp;INDEX(시편_시리즈!$G$2:$G$151,MATCH("시편|"&amp;TEXT(B447,"yyyy-mm-dd"),시편_시리즈!$Y$2:$Y$151,0)),""))</f>
        <v/>
      </c>
      <c r="G447" s="23" t="n">
        <f aca="false">IF(B447="","",(D447&lt;&gt;"")+(E447&lt;&gt;"")+(F447&lt;&gt;""))</f>
        <v>2</v>
      </c>
      <c r="H447" s="31" t="s">
        <v>10282</v>
      </c>
    </row>
    <row r="448" customFormat="false" ht="15" hidden="false" customHeight="false" outlineLevel="0" collapsed="false">
      <c r="A448" s="23" t="n">
        <f aca="false">IF(B448="","",447)</f>
        <v>447</v>
      </c>
      <c r="B448" s="26" t="n">
        <f aca="false">IF(안내!$C$9+446&gt;MAX(MAX(A타입_제작표!$U$2:$U$799),MAX(시편_시리즈!$Q$2:$Q$151)),"",안내!$C$9+446)</f>
        <v>46837</v>
      </c>
      <c r="C448" s="23" t="str">
        <f aca="false">IF(B448="","",CHOOSE(WEEKDAY(B448,2),"월","화","수","목","금","토","일"))</f>
        <v>토</v>
      </c>
      <c r="D448" s="24" t="str">
        <f aca="false">IF(B448="","",IFERROR(INDEX(A타입_제작표!$J$2:$J$799,MATCH("구약|"&amp;TEXT(B448,"yyyy-mm-dd"),A타입_제작표!$AQ$2:$AQ$799,0))&amp;"  "&amp;INDEX(A타입_제작표!$L$2:$L$799,MATCH("구약|"&amp;TEXT(B448,"yyyy-mm-dd"),A타입_제작표!$AQ$2:$AQ$799,0)),""))</f>
        <v>사 11:1-16  이새의 줄기</v>
      </c>
      <c r="E448" s="24" t="str">
        <f aca="false">IF(B448="","",IFERROR(INDEX(A타입_제작표!$J$2:$J$799,MATCH("신약|"&amp;TEXT(B448,"yyyy-mm-dd"),A타입_제작표!$AQ$2:$AQ$799,0))&amp;"  "&amp;INDEX(A타입_제작표!$L$2:$L$799,MATCH("신약|"&amp;TEXT(B448,"yyyy-mm-dd"),A타입_제작표!$AQ$2:$AQ$799,0)),""))</f>
        <v>벧후 1:1-21  사사로이 풀 것이 아니니</v>
      </c>
      <c r="F448" s="24" t="str">
        <f aca="false">IF(B448="","",IFERROR("시편 "&amp;INDEX(시편_시리즈!$A$2:$A$151,MATCH("시편|"&amp;TEXT(B448,"yyyy-mm-dd"),시편_시리즈!$Y$2:$Y$151,0))&amp;"편  "&amp;INDEX(시편_시리즈!$G$2:$G$151,MATCH("시편|"&amp;TEXT(B448,"yyyy-mm-dd"),시편_시리즈!$Y$2:$Y$151,0)),""))</f>
        <v/>
      </c>
      <c r="G448" s="23" t="n">
        <f aca="false">IF(B448="","",(D448&lt;&gt;"")+(E448&lt;&gt;"")+(F448&lt;&gt;""))</f>
        <v>2</v>
      </c>
      <c r="H448" s="31" t="s">
        <v>10282</v>
      </c>
    </row>
    <row r="449" customFormat="false" ht="15" hidden="false" customHeight="false" outlineLevel="0" collapsed="false">
      <c r="A449" s="23" t="n">
        <f aca="false">IF(B449="","",448)</f>
        <v>448</v>
      </c>
      <c r="B449" s="26" t="n">
        <f aca="false">IF(안내!$C$9+447&gt;MAX(MAX(A타입_제작표!$U$2:$U$799),MAX(시편_시리즈!$Q$2:$Q$151)),"",안내!$C$9+447)</f>
        <v>46838</v>
      </c>
      <c r="C449" s="23" t="str">
        <f aca="false">IF(B449="","",CHOOSE(WEEKDAY(B449,2),"월","화","수","목","금","토","일"))</f>
        <v>일</v>
      </c>
      <c r="D449" s="24" t="str">
        <f aca="false">IF(B449="","",IFERROR(INDEX(A타입_제작표!$J$2:$J$799,MATCH("구약|"&amp;TEXT(B449,"yyyy-mm-dd"),A타입_제작표!$AQ$2:$AQ$799,0))&amp;"  "&amp;INDEX(A타입_제작표!$L$2:$L$799,MATCH("구약|"&amp;TEXT(B449,"yyyy-mm-dd"),A타입_제작표!$AQ$2:$AQ$799,0)),""))</f>
        <v>사 12:1-6  구원의 우물</v>
      </c>
      <c r="E449" s="24" t="str">
        <f aca="false">IF(B449="","",IFERROR(INDEX(A타입_제작표!$J$2:$J$799,MATCH("신약|"&amp;TEXT(B449,"yyyy-mm-dd"),A타입_제작표!$AQ$2:$AQ$799,0))&amp;"  "&amp;INDEX(A타입_제작표!$L$2:$L$799,MATCH("신약|"&amp;TEXT(B449,"yyyy-mm-dd"),A타입_제작표!$AQ$2:$AQ$799,0)),""))</f>
        <v/>
      </c>
      <c r="F449" s="24" t="str">
        <f aca="false">IF(B449="","",IFERROR("시편 "&amp;INDEX(시편_시리즈!$A$2:$A$151,MATCH("시편|"&amp;TEXT(B449,"yyyy-mm-dd"),시편_시리즈!$Y$2:$Y$151,0))&amp;"편  "&amp;INDEX(시편_시리즈!$G$2:$G$151,MATCH("시편|"&amp;TEXT(B449,"yyyy-mm-dd"),시편_시리즈!$Y$2:$Y$151,0)),""))</f>
        <v/>
      </c>
      <c r="G449" s="23" t="n">
        <f aca="false">IF(B449="","",(D449&lt;&gt;"")+(E449&lt;&gt;"")+(F449&lt;&gt;""))</f>
        <v>1</v>
      </c>
      <c r="H449" s="31" t="s">
        <v>10282</v>
      </c>
    </row>
    <row r="450" customFormat="false" ht="15" hidden="false" customHeight="false" outlineLevel="0" collapsed="false">
      <c r="A450" s="23" t="n">
        <f aca="false">IF(B450="","",449)</f>
        <v>449</v>
      </c>
      <c r="B450" s="26" t="n">
        <f aca="false">IF(안내!$C$9+448&gt;MAX(MAX(A타입_제작표!$U$2:$U$799),MAX(시편_시리즈!$Q$2:$Q$151)),"",안내!$C$9+448)</f>
        <v>46839</v>
      </c>
      <c r="C450" s="23" t="str">
        <f aca="false">IF(B450="","",CHOOSE(WEEKDAY(B450,2),"월","화","수","목","금","토","일"))</f>
        <v>월</v>
      </c>
      <c r="D450" s="24" t="str">
        <f aca="false">IF(B450="","",IFERROR(INDEX(A타입_제작표!$J$2:$J$799,MATCH("구약|"&amp;TEXT(B450,"yyyy-mm-dd"),A타입_제작표!$AQ$2:$AQ$799,0))&amp;"  "&amp;INDEX(A타입_제작표!$L$2:$L$799,MATCH("구약|"&amp;TEXT(B450,"yyyy-mm-dd"),A타입_제작표!$AQ$2:$AQ$799,0)),""))</f>
        <v>사 13:1-23:18  열방을 향한 예언</v>
      </c>
      <c r="E450" s="24" t="str">
        <f aca="false">IF(B450="","",IFERROR(INDEX(A타입_제작표!$J$2:$J$799,MATCH("신약|"&amp;TEXT(B450,"yyyy-mm-dd"),A타입_제작표!$AQ$2:$AQ$799,0))&amp;"  "&amp;INDEX(A타입_제작표!$L$2:$L$799,MATCH("신약|"&amp;TEXT(B450,"yyyy-mm-dd"),A타입_제작표!$AQ$2:$AQ$799,0)),""))</f>
        <v>벧후 2:1-22  거짓 선생들</v>
      </c>
      <c r="F450" s="24" t="str">
        <f aca="false">IF(B450="","",IFERROR("시편 "&amp;INDEX(시편_시리즈!$A$2:$A$151,MATCH("시편|"&amp;TEXT(B450,"yyyy-mm-dd"),시편_시리즈!$Y$2:$Y$151,0))&amp;"편  "&amp;INDEX(시편_시리즈!$G$2:$G$151,MATCH("시편|"&amp;TEXT(B450,"yyyy-mm-dd"),시편_시리즈!$Y$2:$Y$151,0)),""))</f>
        <v/>
      </c>
      <c r="G450" s="23" t="n">
        <f aca="false">IF(B450="","",(D450&lt;&gt;"")+(E450&lt;&gt;"")+(F450&lt;&gt;""))</f>
        <v>2</v>
      </c>
      <c r="H450" s="31" t="s">
        <v>10282</v>
      </c>
    </row>
    <row r="451" customFormat="false" ht="15" hidden="false" customHeight="false" outlineLevel="0" collapsed="false">
      <c r="A451" s="23" t="n">
        <f aca="false">IF(B451="","",450)</f>
        <v>450</v>
      </c>
      <c r="B451" s="26" t="n">
        <f aca="false">IF(안내!$C$9+449&gt;MAX(MAX(A타입_제작표!$U$2:$U$799),MAX(시편_시리즈!$Q$2:$Q$151)),"",안내!$C$9+449)</f>
        <v>46840</v>
      </c>
      <c r="C451" s="23" t="str">
        <f aca="false">IF(B451="","",CHOOSE(WEEKDAY(B451,2),"월","화","수","목","금","토","일"))</f>
        <v>화</v>
      </c>
      <c r="D451" s="24" t="str">
        <f aca="false">IF(B451="","",IFERROR(INDEX(A타입_제작표!$J$2:$J$799,MATCH("구약|"&amp;TEXT(B451,"yyyy-mm-dd"),A타입_제작표!$AQ$2:$AQ$799,0))&amp;"  "&amp;INDEX(A타입_제작표!$L$2:$L$799,MATCH("구약|"&amp;TEXT(B451,"yyyy-mm-dd"),A타입_제작표!$AQ$2:$AQ$799,0)),""))</f>
        <v>사 24:1-27:13  사망을 멸하시리라</v>
      </c>
      <c r="E451" s="24" t="str">
        <f aca="false">IF(B451="","",IFERROR(INDEX(A타입_제작표!$J$2:$J$799,MATCH("신약|"&amp;TEXT(B451,"yyyy-mm-dd"),A타입_제작표!$AQ$2:$AQ$799,0))&amp;"  "&amp;INDEX(A타입_제작표!$L$2:$L$799,MATCH("신약|"&amp;TEXT(B451,"yyyy-mm-dd"),A타입_제작표!$AQ$2:$AQ$799,0)),""))</f>
        <v/>
      </c>
      <c r="F451" s="24" t="str">
        <f aca="false">IF(B451="","",IFERROR("시편 "&amp;INDEX(시편_시리즈!$A$2:$A$151,MATCH("시편|"&amp;TEXT(B451,"yyyy-mm-dd"),시편_시리즈!$Y$2:$Y$151,0))&amp;"편  "&amp;INDEX(시편_시리즈!$G$2:$G$151,MATCH("시편|"&amp;TEXT(B451,"yyyy-mm-dd"),시편_시리즈!$Y$2:$Y$151,0)),""))</f>
        <v/>
      </c>
      <c r="G451" s="23" t="n">
        <f aca="false">IF(B451="","",(D451&lt;&gt;"")+(E451&lt;&gt;"")+(F451&lt;&gt;""))</f>
        <v>1</v>
      </c>
      <c r="H451" s="31" t="s">
        <v>10282</v>
      </c>
    </row>
    <row r="452" customFormat="false" ht="15" hidden="false" customHeight="false" outlineLevel="0" collapsed="false">
      <c r="A452" s="23" t="n">
        <f aca="false">IF(B452="","",451)</f>
        <v>451</v>
      </c>
      <c r="B452" s="26" t="n">
        <f aca="false">IF(안내!$C$9+450&gt;MAX(MAX(A타입_제작표!$U$2:$U$799),MAX(시편_시리즈!$Q$2:$Q$151)),"",안내!$C$9+450)</f>
        <v>46841</v>
      </c>
      <c r="C452" s="23" t="str">
        <f aca="false">IF(B452="","",CHOOSE(WEEKDAY(B452,2),"월","화","수","목","금","토","일"))</f>
        <v>수</v>
      </c>
      <c r="D452" s="24" t="str">
        <f aca="false">IF(B452="","",IFERROR(INDEX(A타입_제작표!$J$2:$J$799,MATCH("구약|"&amp;TEXT(B452,"yyyy-mm-dd"),A타입_제작표!$AQ$2:$AQ$799,0))&amp;"  "&amp;INDEX(A타입_제작표!$L$2:$L$799,MATCH("구약|"&amp;TEXT(B452,"yyyy-mm-dd"),A타입_제작표!$AQ$2:$AQ$799,0)),""))</f>
        <v>사 28:1-33:24  시온의 기촛돌</v>
      </c>
      <c r="E452" s="24" t="str">
        <f aca="false">IF(B452="","",IFERROR(INDEX(A타입_제작표!$J$2:$J$799,MATCH("신약|"&amp;TEXT(B452,"yyyy-mm-dd"),A타입_제작표!$AQ$2:$AQ$799,0))&amp;"  "&amp;INDEX(A타입_제작표!$L$2:$L$799,MATCH("신약|"&amp;TEXT(B452,"yyyy-mm-dd"),A타입_제작표!$AQ$2:$AQ$799,0)),""))</f>
        <v>벧후 3:1-18  천 년이 하루 같고</v>
      </c>
      <c r="F452" s="24" t="str">
        <f aca="false">IF(B452="","",IFERROR("시편 "&amp;INDEX(시편_시리즈!$A$2:$A$151,MATCH("시편|"&amp;TEXT(B452,"yyyy-mm-dd"),시편_시리즈!$Y$2:$Y$151,0))&amp;"편  "&amp;INDEX(시편_시리즈!$G$2:$G$151,MATCH("시편|"&amp;TEXT(B452,"yyyy-mm-dd"),시편_시리즈!$Y$2:$Y$151,0)),""))</f>
        <v/>
      </c>
      <c r="G452" s="23" t="n">
        <f aca="false">IF(B452="","",(D452&lt;&gt;"")+(E452&lt;&gt;"")+(F452&lt;&gt;""))</f>
        <v>2</v>
      </c>
      <c r="H452" s="31" t="s">
        <v>10282</v>
      </c>
    </row>
    <row r="453" customFormat="false" ht="15" hidden="false" customHeight="false" outlineLevel="0" collapsed="false">
      <c r="A453" s="23" t="n">
        <f aca="false">IF(B453="","",452)</f>
        <v>452</v>
      </c>
      <c r="B453" s="26" t="n">
        <f aca="false">IF(안내!$C$9+451&gt;MAX(MAX(A타입_제작표!$U$2:$U$799),MAX(시편_시리즈!$Q$2:$Q$151)),"",안내!$C$9+451)</f>
        <v>46842</v>
      </c>
      <c r="C453" s="23" t="str">
        <f aca="false">IF(B453="","",CHOOSE(WEEKDAY(B453,2),"월","화","수","목","금","토","일"))</f>
        <v>목</v>
      </c>
      <c r="D453" s="24" t="str">
        <f aca="false">IF(B453="","",IFERROR(INDEX(A타입_제작표!$J$2:$J$799,MATCH("구약|"&amp;TEXT(B453,"yyyy-mm-dd"),A타입_제작표!$AQ$2:$AQ$799,0))&amp;"  "&amp;INDEX(A타입_제작표!$L$2:$L$799,MATCH("구약|"&amp;TEXT(B453,"yyyy-mm-dd"),A타입_제작표!$AQ$2:$AQ$799,0)),""))</f>
        <v>사 34:1-35:10  사막에 꽃이 핀다</v>
      </c>
      <c r="E453" s="24" t="str">
        <f aca="false">IF(B453="","",IFERROR(INDEX(A타입_제작표!$J$2:$J$799,MATCH("신약|"&amp;TEXT(B453,"yyyy-mm-dd"),A타입_제작표!$AQ$2:$AQ$799,0))&amp;"  "&amp;INDEX(A타입_제작표!$L$2:$L$799,MATCH("신약|"&amp;TEXT(B453,"yyyy-mm-dd"),A타입_제작표!$AQ$2:$AQ$799,0)),""))</f>
        <v/>
      </c>
      <c r="F453" s="24" t="str">
        <f aca="false">IF(B453="","",IFERROR("시편 "&amp;INDEX(시편_시리즈!$A$2:$A$151,MATCH("시편|"&amp;TEXT(B453,"yyyy-mm-dd"),시편_시리즈!$Y$2:$Y$151,0))&amp;"편  "&amp;INDEX(시편_시리즈!$G$2:$G$151,MATCH("시편|"&amp;TEXT(B453,"yyyy-mm-dd"),시편_시리즈!$Y$2:$Y$151,0)),""))</f>
        <v/>
      </c>
      <c r="G453" s="23" t="n">
        <f aca="false">IF(B453="","",(D453&lt;&gt;"")+(E453&lt;&gt;"")+(F453&lt;&gt;""))</f>
        <v>1</v>
      </c>
      <c r="H453" s="31" t="s">
        <v>10282</v>
      </c>
    </row>
    <row r="454" customFormat="false" ht="15" hidden="false" customHeight="false" outlineLevel="0" collapsed="false">
      <c r="A454" s="23" t="n">
        <f aca="false">IF(B454="","",453)</f>
        <v>453</v>
      </c>
      <c r="B454" s="26" t="n">
        <f aca="false">IF(안내!$C$9+452&gt;MAX(MAX(A타입_제작표!$U$2:$U$799),MAX(시편_시리즈!$Q$2:$Q$151)),"",안내!$C$9+452)</f>
        <v>46843</v>
      </c>
      <c r="C454" s="23" t="str">
        <f aca="false">IF(B454="","",CHOOSE(WEEKDAY(B454,2),"월","화","수","목","금","토","일"))</f>
        <v>금</v>
      </c>
      <c r="D454" s="24" t="str">
        <f aca="false">IF(B454="","",IFERROR(INDEX(A타입_제작표!$J$2:$J$799,MATCH("구약|"&amp;TEXT(B454,"yyyy-mm-dd"),A타입_제작표!$AQ$2:$AQ$799,0))&amp;"  "&amp;INDEX(A타입_제작표!$L$2:$L$799,MATCH("구약|"&amp;TEXT(B454,"yyyy-mm-dd"),A타입_제작표!$AQ$2:$AQ$799,0)),""))</f>
        <v>사 36:1-37:38  산헤립 앞에서의 기도</v>
      </c>
      <c r="E454" s="24" t="str">
        <f aca="false">IF(B454="","",IFERROR(INDEX(A타입_제작표!$J$2:$J$799,MATCH("신약|"&amp;TEXT(B454,"yyyy-mm-dd"),A타입_제작표!$AQ$2:$AQ$799,0))&amp;"  "&amp;INDEX(A타입_제작표!$L$2:$L$799,MATCH("신약|"&amp;TEXT(B454,"yyyy-mm-dd"),A타입_제작표!$AQ$2:$AQ$799,0)),""))</f>
        <v>요일 1:1-2:14  빛 가운데 행하면</v>
      </c>
      <c r="F454" s="24" t="str">
        <f aca="false">IF(B454="","",IFERROR("시편 "&amp;INDEX(시편_시리즈!$A$2:$A$151,MATCH("시편|"&amp;TEXT(B454,"yyyy-mm-dd"),시편_시리즈!$Y$2:$Y$151,0))&amp;"편  "&amp;INDEX(시편_시리즈!$G$2:$G$151,MATCH("시편|"&amp;TEXT(B454,"yyyy-mm-dd"),시편_시리즈!$Y$2:$Y$151,0)),""))</f>
        <v/>
      </c>
      <c r="G454" s="23" t="n">
        <f aca="false">IF(B454="","",(D454&lt;&gt;"")+(E454&lt;&gt;"")+(F454&lt;&gt;""))</f>
        <v>2</v>
      </c>
      <c r="H454" s="31" t="s">
        <v>10282</v>
      </c>
    </row>
    <row r="455" customFormat="false" ht="15" hidden="false" customHeight="false" outlineLevel="0" collapsed="false">
      <c r="A455" s="23" t="n">
        <f aca="false">IF(B455="","",454)</f>
        <v>454</v>
      </c>
      <c r="B455" s="26" t="n">
        <f aca="false">IF(안내!$C$9+453&gt;MAX(MAX(A타입_제작표!$U$2:$U$799),MAX(시편_시리즈!$Q$2:$Q$151)),"",안내!$C$9+453)</f>
        <v>46844</v>
      </c>
      <c r="C455" s="23" t="str">
        <f aca="false">IF(B455="","",CHOOSE(WEEKDAY(B455,2),"월","화","수","목","금","토","일"))</f>
        <v>토</v>
      </c>
      <c r="D455" s="24" t="str">
        <f aca="false">IF(B455="","",IFERROR(INDEX(A타입_제작표!$J$2:$J$799,MATCH("구약|"&amp;TEXT(B455,"yyyy-mm-dd"),A타입_제작표!$AQ$2:$AQ$799,0))&amp;"  "&amp;INDEX(A타입_제작표!$L$2:$L$799,MATCH("구약|"&amp;TEXT(B455,"yyyy-mm-dd"),A타입_제작표!$AQ$2:$AQ$799,0)),""))</f>
        <v>사 38:1-39:8  병든 왕의 기도와 실수</v>
      </c>
      <c r="E455" s="24" t="str">
        <f aca="false">IF(B455="","",IFERROR(INDEX(A타입_제작표!$J$2:$J$799,MATCH("신약|"&amp;TEXT(B455,"yyyy-mm-dd"),A타입_제작표!$AQ$2:$AQ$799,0))&amp;"  "&amp;INDEX(A타입_제작표!$L$2:$L$799,MATCH("신약|"&amp;TEXT(B455,"yyyy-mm-dd"),A타입_제작표!$AQ$2:$AQ$799,0)),""))</f>
        <v>요일 2:15-3:24  하나님의 자녀라 일컬음을</v>
      </c>
      <c r="F455" s="24" t="str">
        <f aca="false">IF(B455="","",IFERROR("시편 "&amp;INDEX(시편_시리즈!$A$2:$A$151,MATCH("시편|"&amp;TEXT(B455,"yyyy-mm-dd"),시편_시리즈!$Y$2:$Y$151,0))&amp;"편  "&amp;INDEX(시편_시리즈!$G$2:$G$151,MATCH("시편|"&amp;TEXT(B455,"yyyy-mm-dd"),시편_시리즈!$Y$2:$Y$151,0)),""))</f>
        <v/>
      </c>
      <c r="G455" s="23" t="n">
        <f aca="false">IF(B455="","",(D455&lt;&gt;"")+(E455&lt;&gt;"")+(F455&lt;&gt;""))</f>
        <v>2</v>
      </c>
      <c r="H455" s="31" t="s">
        <v>10282</v>
      </c>
    </row>
    <row r="456" customFormat="false" ht="15" hidden="false" customHeight="false" outlineLevel="0" collapsed="false">
      <c r="A456" s="23" t="n">
        <f aca="false">IF(B456="","",455)</f>
        <v>455</v>
      </c>
      <c r="B456" s="26" t="n">
        <f aca="false">IF(안내!$C$9+454&gt;MAX(MAX(A타입_제작표!$U$2:$U$799),MAX(시편_시리즈!$Q$2:$Q$151)),"",안내!$C$9+454)</f>
        <v>46845</v>
      </c>
      <c r="C456" s="23" t="str">
        <f aca="false">IF(B456="","",CHOOSE(WEEKDAY(B456,2),"월","화","수","목","금","토","일"))</f>
        <v>일</v>
      </c>
      <c r="D456" s="24" t="str">
        <f aca="false">IF(B456="","",IFERROR(INDEX(A타입_제작표!$J$2:$J$799,MATCH("구약|"&amp;TEXT(B456,"yyyy-mm-dd"),A타입_제작표!$AQ$2:$AQ$799,0))&amp;"  "&amp;INDEX(A타입_제작표!$L$2:$L$799,MATCH("구약|"&amp;TEXT(B456,"yyyy-mm-dd"),A타입_제작표!$AQ$2:$AQ$799,0)),""))</f>
        <v>사 40:1-11  위로하라 내 백성을</v>
      </c>
      <c r="E456" s="24" t="str">
        <f aca="false">IF(B456="","",IFERROR(INDEX(A타입_제작표!$J$2:$J$799,MATCH("신약|"&amp;TEXT(B456,"yyyy-mm-dd"),A타입_제작표!$AQ$2:$AQ$799,0))&amp;"  "&amp;INDEX(A타입_제작표!$L$2:$L$799,MATCH("신약|"&amp;TEXT(B456,"yyyy-mm-dd"),A타입_제작표!$AQ$2:$AQ$799,0)),""))</f>
        <v/>
      </c>
      <c r="F456" s="24" t="str">
        <f aca="false">IF(B456="","",IFERROR("시편 "&amp;INDEX(시편_시리즈!$A$2:$A$151,MATCH("시편|"&amp;TEXT(B456,"yyyy-mm-dd"),시편_시리즈!$Y$2:$Y$151,0))&amp;"편  "&amp;INDEX(시편_시리즈!$G$2:$G$151,MATCH("시편|"&amp;TEXT(B456,"yyyy-mm-dd"),시편_시리즈!$Y$2:$Y$151,0)),""))</f>
        <v/>
      </c>
      <c r="G456" s="23" t="n">
        <f aca="false">IF(B456="","",(D456&lt;&gt;"")+(E456&lt;&gt;"")+(F456&lt;&gt;""))</f>
        <v>1</v>
      </c>
      <c r="H456" s="31" t="s">
        <v>10282</v>
      </c>
    </row>
    <row r="457" customFormat="false" ht="15" hidden="false" customHeight="false" outlineLevel="0" collapsed="false">
      <c r="A457" s="23" t="n">
        <f aca="false">IF(B457="","",456)</f>
        <v>456</v>
      </c>
      <c r="B457" s="26" t="n">
        <f aca="false">IF(안내!$C$9+455&gt;MAX(MAX(A타입_제작표!$U$2:$U$799),MAX(시편_시리즈!$Q$2:$Q$151)),"",안내!$C$9+455)</f>
        <v>46846</v>
      </c>
      <c r="C457" s="23" t="str">
        <f aca="false">IF(B457="","",CHOOSE(WEEKDAY(B457,2),"월","화","수","목","금","토","일"))</f>
        <v>월</v>
      </c>
      <c r="D457" s="24" t="str">
        <f aca="false">IF(B457="","",IFERROR(INDEX(A타입_제작표!$J$2:$J$799,MATCH("구약|"&amp;TEXT(B457,"yyyy-mm-dd"),A타입_제작표!$AQ$2:$AQ$799,0))&amp;"  "&amp;INDEX(A타입_제작표!$L$2:$L$799,MATCH("구약|"&amp;TEXT(B457,"yyyy-mm-dd"),A타입_제작표!$AQ$2:$AQ$799,0)),""))</f>
        <v>사 41:1-44:23  두려워하지 말라</v>
      </c>
      <c r="E457" s="24" t="str">
        <f aca="false">IF(B457="","",IFERROR(INDEX(A타입_제작표!$J$2:$J$799,MATCH("신약|"&amp;TEXT(B457,"yyyy-mm-dd"),A타입_제작표!$AQ$2:$AQ$799,0))&amp;"  "&amp;INDEX(A타입_제작표!$L$2:$L$799,MATCH("신약|"&amp;TEXT(B457,"yyyy-mm-dd"),A타입_제작표!$AQ$2:$AQ$799,0)),""))</f>
        <v>요일 4:1-21  하나님은 사랑이시라</v>
      </c>
      <c r="F457" s="24" t="str">
        <f aca="false">IF(B457="","",IFERROR("시편 "&amp;INDEX(시편_시리즈!$A$2:$A$151,MATCH("시편|"&amp;TEXT(B457,"yyyy-mm-dd"),시편_시리즈!$Y$2:$Y$151,0))&amp;"편  "&amp;INDEX(시편_시리즈!$G$2:$G$151,MATCH("시편|"&amp;TEXT(B457,"yyyy-mm-dd"),시편_시리즈!$Y$2:$Y$151,0)),""))</f>
        <v/>
      </c>
      <c r="G457" s="23" t="n">
        <f aca="false">IF(B457="","",(D457&lt;&gt;"")+(E457&lt;&gt;"")+(F457&lt;&gt;""))</f>
        <v>2</v>
      </c>
      <c r="H457" s="31" t="s">
        <v>10282</v>
      </c>
    </row>
    <row r="458" customFormat="false" ht="15" hidden="false" customHeight="false" outlineLevel="0" collapsed="false">
      <c r="A458" s="23" t="n">
        <f aca="false">IF(B458="","",457)</f>
        <v>457</v>
      </c>
      <c r="B458" s="26" t="n">
        <f aca="false">IF(안내!$C$9+456&gt;MAX(MAX(A타입_제작표!$U$2:$U$799),MAX(시편_시리즈!$Q$2:$Q$151)),"",안내!$C$9+456)</f>
        <v>46847</v>
      </c>
      <c r="C458" s="23" t="str">
        <f aca="false">IF(B458="","",CHOOSE(WEEKDAY(B458,2),"월","화","수","목","금","토","일"))</f>
        <v>화</v>
      </c>
      <c r="D458" s="24" t="str">
        <f aca="false">IF(B458="","",IFERROR(INDEX(A타입_제작표!$J$2:$J$799,MATCH("구약|"&amp;TEXT(B458,"yyyy-mm-dd"),A타입_제작표!$AQ$2:$AQ$799,0))&amp;"  "&amp;INDEX(A타입_제작표!$L$2:$L$799,MATCH("구약|"&amp;TEXT(B458,"yyyy-mm-dd"),A타입_제작표!$AQ$2:$AQ$799,0)),""))</f>
        <v>사 44:24-45:25  이름이 미리 불린 왕</v>
      </c>
      <c r="E458" s="24" t="str">
        <f aca="false">IF(B458="","",IFERROR(INDEX(A타입_제작표!$J$2:$J$799,MATCH("신약|"&amp;TEXT(B458,"yyyy-mm-dd"),A타입_제작표!$AQ$2:$AQ$799,0))&amp;"  "&amp;INDEX(A타입_제작표!$L$2:$L$799,MATCH("신약|"&amp;TEXT(B458,"yyyy-mm-dd"),A타입_제작표!$AQ$2:$AQ$799,0)),""))</f>
        <v/>
      </c>
      <c r="F458" s="24" t="str">
        <f aca="false">IF(B458="","",IFERROR("시편 "&amp;INDEX(시편_시리즈!$A$2:$A$151,MATCH("시편|"&amp;TEXT(B458,"yyyy-mm-dd"),시편_시리즈!$Y$2:$Y$151,0))&amp;"편  "&amp;INDEX(시편_시리즈!$G$2:$G$151,MATCH("시편|"&amp;TEXT(B458,"yyyy-mm-dd"),시편_시리즈!$Y$2:$Y$151,0)),""))</f>
        <v/>
      </c>
      <c r="G458" s="23" t="n">
        <f aca="false">IF(B458="","",(D458&lt;&gt;"")+(E458&lt;&gt;"")+(F458&lt;&gt;""))</f>
        <v>1</v>
      </c>
      <c r="H458" s="31" t="s">
        <v>10282</v>
      </c>
    </row>
    <row r="459" customFormat="false" ht="15" hidden="false" customHeight="false" outlineLevel="0" collapsed="false">
      <c r="A459" s="23" t="n">
        <f aca="false">IF(B459="","",458)</f>
        <v>458</v>
      </c>
      <c r="B459" s="26" t="n">
        <f aca="false">IF(안내!$C$9+457&gt;MAX(MAX(A타입_제작표!$U$2:$U$799),MAX(시편_시리즈!$Q$2:$Q$151)),"",안내!$C$9+457)</f>
        <v>46848</v>
      </c>
      <c r="C459" s="23" t="str">
        <f aca="false">IF(B459="","",CHOOSE(WEEKDAY(B459,2),"월","화","수","목","금","토","일"))</f>
        <v>수</v>
      </c>
      <c r="D459" s="24" t="str">
        <f aca="false">IF(B459="","",IFERROR(INDEX(A타입_제작표!$J$2:$J$799,MATCH("구약|"&amp;TEXT(B459,"yyyy-mm-dd"),A타입_제작표!$AQ$2:$AQ$799,0))&amp;"  "&amp;INDEX(A타입_제작표!$L$2:$L$799,MATCH("구약|"&amp;TEXT(B459,"yyyy-mm-dd"),A타입_제작표!$AQ$2:$AQ$799,0)),""))</f>
        <v>사 46:1-48:22  백발이 되기까지</v>
      </c>
      <c r="E459" s="24" t="str">
        <f aca="false">IF(B459="","",IFERROR(INDEX(A타입_제작표!$J$2:$J$799,MATCH("신약|"&amp;TEXT(B459,"yyyy-mm-dd"),A타입_제작표!$AQ$2:$AQ$799,0))&amp;"  "&amp;INDEX(A타입_제작표!$L$2:$L$799,MATCH("신약|"&amp;TEXT(B459,"yyyy-mm-dd"),A타입_제작표!$AQ$2:$AQ$799,0)),""))</f>
        <v>요일 5:1-21  영생이 있음을 알게</v>
      </c>
      <c r="F459" s="24" t="str">
        <f aca="false">IF(B459="","",IFERROR("시편 "&amp;INDEX(시편_시리즈!$A$2:$A$151,MATCH("시편|"&amp;TEXT(B459,"yyyy-mm-dd"),시편_시리즈!$Y$2:$Y$151,0))&amp;"편  "&amp;INDEX(시편_시리즈!$G$2:$G$151,MATCH("시편|"&amp;TEXT(B459,"yyyy-mm-dd"),시편_시리즈!$Y$2:$Y$151,0)),""))</f>
        <v/>
      </c>
      <c r="G459" s="23" t="n">
        <f aca="false">IF(B459="","",(D459&lt;&gt;"")+(E459&lt;&gt;"")+(F459&lt;&gt;""))</f>
        <v>2</v>
      </c>
      <c r="H459" s="31" t="s">
        <v>10282</v>
      </c>
    </row>
    <row r="460" customFormat="false" ht="15" hidden="false" customHeight="false" outlineLevel="0" collapsed="false">
      <c r="A460" s="23" t="n">
        <f aca="false">IF(B460="","",459)</f>
        <v>459</v>
      </c>
      <c r="B460" s="26" t="n">
        <f aca="false">IF(안내!$C$9+458&gt;MAX(MAX(A타입_제작표!$U$2:$U$799),MAX(시편_시리즈!$Q$2:$Q$151)),"",안내!$C$9+458)</f>
        <v>46849</v>
      </c>
      <c r="C460" s="23" t="str">
        <f aca="false">IF(B460="","",CHOOSE(WEEKDAY(B460,2),"월","화","수","목","금","토","일"))</f>
        <v>목</v>
      </c>
      <c r="D460" s="24" t="str">
        <f aca="false">IF(B460="","",IFERROR(INDEX(A타입_제작표!$J$2:$J$799,MATCH("구약|"&amp;TEXT(B460,"yyyy-mm-dd"),A타입_제작표!$AQ$2:$AQ$799,0))&amp;"  "&amp;INDEX(A타입_제작표!$L$2:$L$799,MATCH("구약|"&amp;TEXT(B460,"yyyy-mm-dd"),A타입_제작표!$AQ$2:$AQ$799,0)),""))</f>
        <v>사 49:1-50:11  이방의 빛</v>
      </c>
      <c r="E460" s="24" t="str">
        <f aca="false">IF(B460="","",IFERROR(INDEX(A타입_제작표!$J$2:$J$799,MATCH("신약|"&amp;TEXT(B460,"yyyy-mm-dd"),A타입_제작표!$AQ$2:$AQ$799,0))&amp;"  "&amp;INDEX(A타입_제작표!$L$2:$L$799,MATCH("신약|"&amp;TEXT(B460,"yyyy-mm-dd"),A타입_제작표!$AQ$2:$AQ$799,0)),""))</f>
        <v/>
      </c>
      <c r="F460" s="24" t="str">
        <f aca="false">IF(B460="","",IFERROR("시편 "&amp;INDEX(시편_시리즈!$A$2:$A$151,MATCH("시편|"&amp;TEXT(B460,"yyyy-mm-dd"),시편_시리즈!$Y$2:$Y$151,0))&amp;"편  "&amp;INDEX(시편_시리즈!$G$2:$G$151,MATCH("시편|"&amp;TEXT(B460,"yyyy-mm-dd"),시편_시리즈!$Y$2:$Y$151,0)),""))</f>
        <v/>
      </c>
      <c r="G460" s="23" t="n">
        <f aca="false">IF(B460="","",(D460&lt;&gt;"")+(E460&lt;&gt;"")+(F460&lt;&gt;""))</f>
        <v>1</v>
      </c>
      <c r="H460" s="31" t="s">
        <v>10282</v>
      </c>
    </row>
    <row r="461" customFormat="false" ht="15" hidden="false" customHeight="false" outlineLevel="0" collapsed="false">
      <c r="A461" s="23" t="n">
        <f aca="false">IF(B461="","",460)</f>
        <v>460</v>
      </c>
      <c r="B461" s="26" t="n">
        <f aca="false">IF(안내!$C$9+459&gt;MAX(MAX(A타입_제작표!$U$2:$U$799),MAX(시편_시리즈!$Q$2:$Q$151)),"",안내!$C$9+459)</f>
        <v>46850</v>
      </c>
      <c r="C461" s="23" t="str">
        <f aca="false">IF(B461="","",CHOOSE(WEEKDAY(B461,2),"월","화","수","목","금","토","일"))</f>
        <v>금</v>
      </c>
      <c r="D461" s="24" t="str">
        <f aca="false">IF(B461="","",IFERROR(INDEX(A타입_제작표!$J$2:$J$799,MATCH("구약|"&amp;TEXT(B461,"yyyy-mm-dd"),A타입_제작표!$AQ$2:$AQ$799,0))&amp;"  "&amp;INDEX(A타입_제작표!$L$2:$L$799,MATCH("구약|"&amp;TEXT(B461,"yyyy-mm-dd"),A타입_제작표!$AQ$2:$AQ$799,0)),""))</f>
        <v>사 51:1-52:12  좋은 소식을 전하는 발</v>
      </c>
      <c r="E461" s="24" t="str">
        <f aca="false">IF(B461="","",IFERROR(INDEX(A타입_제작표!$J$2:$J$799,MATCH("신약|"&amp;TEXT(B461,"yyyy-mm-dd"),A타입_제작표!$AQ$2:$AQ$799,0))&amp;"  "&amp;INDEX(A타입_제작표!$L$2:$L$799,MATCH("신약|"&amp;TEXT(B461,"yyyy-mm-dd"),A타입_제작표!$AQ$2:$AQ$799,0)),""))</f>
        <v>요이 1:1-13  진리 안에서 행하라</v>
      </c>
      <c r="F461" s="24" t="str">
        <f aca="false">IF(B461="","",IFERROR("시편 "&amp;INDEX(시편_시리즈!$A$2:$A$151,MATCH("시편|"&amp;TEXT(B461,"yyyy-mm-dd"),시편_시리즈!$Y$2:$Y$151,0))&amp;"편  "&amp;INDEX(시편_시리즈!$G$2:$G$151,MATCH("시편|"&amp;TEXT(B461,"yyyy-mm-dd"),시편_시리즈!$Y$2:$Y$151,0)),""))</f>
        <v/>
      </c>
      <c r="G461" s="23" t="n">
        <f aca="false">IF(B461="","",(D461&lt;&gt;"")+(E461&lt;&gt;"")+(F461&lt;&gt;""))</f>
        <v>2</v>
      </c>
      <c r="H461" s="31" t="s">
        <v>10282</v>
      </c>
    </row>
    <row r="462" customFormat="false" ht="15" hidden="false" customHeight="false" outlineLevel="0" collapsed="false">
      <c r="A462" s="23" t="n">
        <f aca="false">IF(B462="","",461)</f>
        <v>461</v>
      </c>
      <c r="B462" s="26" t="n">
        <f aca="false">IF(안내!$C$9+460&gt;MAX(MAX(A타입_제작표!$U$2:$U$799),MAX(시편_시리즈!$Q$2:$Q$151)),"",안내!$C$9+460)</f>
        <v>46851</v>
      </c>
      <c r="C462" s="23" t="str">
        <f aca="false">IF(B462="","",CHOOSE(WEEKDAY(B462,2),"월","화","수","목","금","토","일"))</f>
        <v>토</v>
      </c>
      <c r="D462" s="24" t="str">
        <f aca="false">IF(B462="","",IFERROR(INDEX(A타입_제작표!$J$2:$J$799,MATCH("구약|"&amp;TEXT(B462,"yyyy-mm-dd"),A타입_제작표!$AQ$2:$AQ$799,0))&amp;"  "&amp;INDEX(A타입_제작표!$L$2:$L$799,MATCH("구약|"&amp;TEXT(B462,"yyyy-mm-dd"),A타입_제작표!$AQ$2:$AQ$799,0)),""))</f>
        <v>사 54:1-55:13  값없이 와서 사라</v>
      </c>
      <c r="E462" s="24" t="str">
        <f aca="false">IF(B462="","",IFERROR(INDEX(A타입_제작표!$J$2:$J$799,MATCH("신약|"&amp;TEXT(B462,"yyyy-mm-dd"),A타입_제작표!$AQ$2:$AQ$799,0))&amp;"  "&amp;INDEX(A타입_제작표!$L$2:$L$799,MATCH("신약|"&amp;TEXT(B462,"yyyy-mm-dd"),A타입_제작표!$AQ$2:$AQ$799,0)),""))</f>
        <v>요삼 1:1-15  선한 것을 본받으라</v>
      </c>
      <c r="F462" s="24" t="str">
        <f aca="false">IF(B462="","",IFERROR("시편 "&amp;INDEX(시편_시리즈!$A$2:$A$151,MATCH("시편|"&amp;TEXT(B462,"yyyy-mm-dd"),시편_시리즈!$Y$2:$Y$151,0))&amp;"편  "&amp;INDEX(시편_시리즈!$G$2:$G$151,MATCH("시편|"&amp;TEXT(B462,"yyyy-mm-dd"),시편_시리즈!$Y$2:$Y$151,0)),""))</f>
        <v/>
      </c>
      <c r="G462" s="23" t="n">
        <f aca="false">IF(B462="","",(D462&lt;&gt;"")+(E462&lt;&gt;"")+(F462&lt;&gt;""))</f>
        <v>2</v>
      </c>
      <c r="H462" s="31" t="s">
        <v>10282</v>
      </c>
    </row>
    <row r="463" customFormat="false" ht="15" hidden="false" customHeight="false" outlineLevel="0" collapsed="false">
      <c r="A463" s="23" t="n">
        <f aca="false">IF(B463="","",462)</f>
        <v>462</v>
      </c>
      <c r="B463" s="26" t="n">
        <f aca="false">IF(안내!$C$9+461&gt;MAX(MAX(A타입_제작표!$U$2:$U$799),MAX(시편_시리즈!$Q$2:$Q$151)),"",안내!$C$9+461)</f>
        <v>46852</v>
      </c>
      <c r="C463" s="23" t="str">
        <f aca="false">IF(B463="","",CHOOSE(WEEKDAY(B463,2),"월","화","수","목","금","토","일"))</f>
        <v>일</v>
      </c>
      <c r="D463" s="24" t="str">
        <f aca="false">IF(B463="","",IFERROR(INDEX(A타입_제작표!$J$2:$J$799,MATCH("구약|"&amp;TEXT(B463,"yyyy-mm-dd"),A타입_제작표!$AQ$2:$AQ$799,0))&amp;"  "&amp;INDEX(A타입_제작표!$L$2:$L$799,MATCH("구약|"&amp;TEXT(B463,"yyyy-mm-dd"),A타입_제작표!$AQ$2:$AQ$799,0)),""))</f>
        <v>사 56:1-59:21  참된 금식</v>
      </c>
      <c r="E463" s="24" t="str">
        <f aca="false">IF(B463="","",IFERROR(INDEX(A타입_제작표!$J$2:$J$799,MATCH("신약|"&amp;TEXT(B463,"yyyy-mm-dd"),A타입_제작표!$AQ$2:$AQ$799,0))&amp;"  "&amp;INDEX(A타입_제작표!$L$2:$L$799,MATCH("신약|"&amp;TEXT(B463,"yyyy-mm-dd"),A타입_제작표!$AQ$2:$AQ$799,0)),""))</f>
        <v/>
      </c>
      <c r="F463" s="24" t="str">
        <f aca="false">IF(B463="","",IFERROR("시편 "&amp;INDEX(시편_시리즈!$A$2:$A$151,MATCH("시편|"&amp;TEXT(B463,"yyyy-mm-dd"),시편_시리즈!$Y$2:$Y$151,0))&amp;"편  "&amp;INDEX(시편_시리즈!$G$2:$G$151,MATCH("시편|"&amp;TEXT(B463,"yyyy-mm-dd"),시편_시리즈!$Y$2:$Y$151,0)),""))</f>
        <v/>
      </c>
      <c r="G463" s="23" t="n">
        <f aca="false">IF(B463="","",(D463&lt;&gt;"")+(E463&lt;&gt;"")+(F463&lt;&gt;""))</f>
        <v>1</v>
      </c>
      <c r="H463" s="31" t="s">
        <v>10282</v>
      </c>
    </row>
    <row r="464" customFormat="false" ht="15" hidden="false" customHeight="false" outlineLevel="0" collapsed="false">
      <c r="A464" s="23" t="n">
        <f aca="false">IF(B464="","",463)</f>
        <v>463</v>
      </c>
      <c r="B464" s="26" t="n">
        <f aca="false">IF(안내!$C$9+462&gt;MAX(MAX(A타입_제작표!$U$2:$U$799),MAX(시편_시리즈!$Q$2:$Q$151)),"",안내!$C$9+462)</f>
        <v>46853</v>
      </c>
      <c r="C464" s="23" t="str">
        <f aca="false">IF(B464="","",CHOOSE(WEEKDAY(B464,2),"월","화","수","목","금","토","일"))</f>
        <v>월</v>
      </c>
      <c r="D464" s="24" t="str">
        <f aca="false">IF(B464="","",IFERROR(INDEX(A타입_제작표!$J$2:$J$799,MATCH("구약|"&amp;TEXT(B464,"yyyy-mm-dd"),A타입_제작표!$AQ$2:$AQ$799,0))&amp;"  "&amp;INDEX(A타입_제작표!$L$2:$L$799,MATCH("구약|"&amp;TEXT(B464,"yyyy-mm-dd"),A타입_제작표!$AQ$2:$AQ$799,0)),""))</f>
        <v>사 60:1-62:12  일어나 빛을 발하라</v>
      </c>
      <c r="E464" s="24" t="str">
        <f aca="false">IF(B464="","",IFERROR(INDEX(A타입_제작표!$J$2:$J$799,MATCH("신약|"&amp;TEXT(B464,"yyyy-mm-dd"),A타입_제작표!$AQ$2:$AQ$799,0))&amp;"  "&amp;INDEX(A타입_제작표!$L$2:$L$799,MATCH("신약|"&amp;TEXT(B464,"yyyy-mm-dd"),A타입_제작표!$AQ$2:$AQ$799,0)),""))</f>
        <v>유 1:1-25  믿음의 도를 위하여 싸우라</v>
      </c>
      <c r="F464" s="24" t="str">
        <f aca="false">IF(B464="","",IFERROR("시편 "&amp;INDEX(시편_시리즈!$A$2:$A$151,MATCH("시편|"&amp;TEXT(B464,"yyyy-mm-dd"),시편_시리즈!$Y$2:$Y$151,0))&amp;"편  "&amp;INDEX(시편_시리즈!$G$2:$G$151,MATCH("시편|"&amp;TEXT(B464,"yyyy-mm-dd"),시편_시리즈!$Y$2:$Y$151,0)),""))</f>
        <v/>
      </c>
      <c r="G464" s="23" t="n">
        <f aca="false">IF(B464="","",(D464&lt;&gt;"")+(E464&lt;&gt;"")+(F464&lt;&gt;""))</f>
        <v>2</v>
      </c>
      <c r="H464" s="31" t="s">
        <v>10282</v>
      </c>
    </row>
    <row r="465" customFormat="false" ht="15" hidden="false" customHeight="false" outlineLevel="0" collapsed="false">
      <c r="A465" s="23" t="n">
        <f aca="false">IF(B465="","",464)</f>
        <v>464</v>
      </c>
      <c r="B465" s="26" t="n">
        <f aca="false">IF(안내!$C$9+463&gt;MAX(MAX(A타입_제작표!$U$2:$U$799),MAX(시편_시리즈!$Q$2:$Q$151)),"",안내!$C$9+463)</f>
        <v>46854</v>
      </c>
      <c r="C465" s="23" t="str">
        <f aca="false">IF(B465="","",CHOOSE(WEEKDAY(B465,2),"월","화","수","목","금","토","일"))</f>
        <v>화</v>
      </c>
      <c r="D465" s="24" t="str">
        <f aca="false">IF(B465="","",IFERROR(INDEX(A타입_제작표!$J$2:$J$799,MATCH("구약|"&amp;TEXT(B465,"yyyy-mm-dd"),A타입_제작표!$AQ$2:$AQ$799,0))&amp;"  "&amp;INDEX(A타입_제작표!$L$2:$L$799,MATCH("구약|"&amp;TEXT(B465,"yyyy-mm-dd"),A타입_제작표!$AQ$2:$AQ$799,0)),""))</f>
        <v>사 63:1-66:24  새 하늘과 새 땅</v>
      </c>
      <c r="E465" s="24" t="str">
        <f aca="false">IF(B465="","",IFERROR(INDEX(A타입_제작표!$J$2:$J$799,MATCH("신약|"&amp;TEXT(B465,"yyyy-mm-dd"),A타입_제작표!$AQ$2:$AQ$799,0))&amp;"  "&amp;INDEX(A타입_제작표!$L$2:$L$799,MATCH("신약|"&amp;TEXT(B465,"yyyy-mm-dd"),A타입_제작표!$AQ$2:$AQ$799,0)),""))</f>
        <v/>
      </c>
      <c r="F465" s="24" t="str">
        <f aca="false">IF(B465="","",IFERROR("시편 "&amp;INDEX(시편_시리즈!$A$2:$A$151,MATCH("시편|"&amp;TEXT(B465,"yyyy-mm-dd"),시편_시리즈!$Y$2:$Y$151,0))&amp;"편  "&amp;INDEX(시편_시리즈!$G$2:$G$151,MATCH("시편|"&amp;TEXT(B465,"yyyy-mm-dd"),시편_시리즈!$Y$2:$Y$151,0)),""))</f>
        <v/>
      </c>
      <c r="G465" s="23" t="n">
        <f aca="false">IF(B465="","",(D465&lt;&gt;"")+(E465&lt;&gt;"")+(F465&lt;&gt;""))</f>
        <v>1</v>
      </c>
      <c r="H465" s="31" t="s">
        <v>10282</v>
      </c>
    </row>
    <row r="466" customFormat="false" ht="15" hidden="false" customHeight="false" outlineLevel="0" collapsed="false">
      <c r="A466" s="23" t="n">
        <f aca="false">IF(B466="","",465)</f>
        <v>465</v>
      </c>
      <c r="B466" s="26" t="n">
        <f aca="false">IF(안내!$C$9+464&gt;MAX(MAX(A타입_제작표!$U$2:$U$799),MAX(시편_시리즈!$Q$2:$Q$151)),"",안내!$C$9+464)</f>
        <v>46855</v>
      </c>
      <c r="C466" s="23" t="str">
        <f aca="false">IF(B466="","",CHOOSE(WEEKDAY(B466,2),"월","화","수","목","금","토","일"))</f>
        <v>수</v>
      </c>
      <c r="D466" s="24" t="str">
        <f aca="false">IF(B466="","",IFERROR(INDEX(A타입_제작표!$J$2:$J$799,MATCH("구약|"&amp;TEXT(B466,"yyyy-mm-dd"),A타입_제작표!$AQ$2:$AQ$799,0))&amp;"  "&amp;INDEX(A타입_제작표!$L$2:$L$799,MATCH("구약|"&amp;TEXT(B466,"yyyy-mm-dd"),A타입_제작표!$AQ$2:$AQ$799,0)),""))</f>
        <v>렘 2:1-6:30  터진 웅덩이</v>
      </c>
      <c r="E466" s="24" t="str">
        <f aca="false">IF(B466="","",IFERROR(INDEX(A타입_제작표!$J$2:$J$799,MATCH("신약|"&amp;TEXT(B466,"yyyy-mm-dd"),A타입_제작표!$AQ$2:$AQ$799,0))&amp;"  "&amp;INDEX(A타입_제작표!$L$2:$L$799,MATCH("신약|"&amp;TEXT(B466,"yyyy-mm-dd"),A타입_제작표!$AQ$2:$AQ$799,0)),""))</f>
        <v>계 1:1-8  읽는 자와 듣는 자는 복이 있다</v>
      </c>
      <c r="F466" s="24" t="str">
        <f aca="false">IF(B466="","",IFERROR("시편 "&amp;INDEX(시편_시리즈!$A$2:$A$151,MATCH("시편|"&amp;TEXT(B466,"yyyy-mm-dd"),시편_시리즈!$Y$2:$Y$151,0))&amp;"편  "&amp;INDEX(시편_시리즈!$G$2:$G$151,MATCH("시편|"&amp;TEXT(B466,"yyyy-mm-dd"),시편_시리즈!$Y$2:$Y$151,0)),""))</f>
        <v/>
      </c>
      <c r="G466" s="23" t="n">
        <f aca="false">IF(B466="","",(D466&lt;&gt;"")+(E466&lt;&gt;"")+(F466&lt;&gt;""))</f>
        <v>2</v>
      </c>
      <c r="H466" s="31" t="s">
        <v>10282</v>
      </c>
    </row>
    <row r="467" customFormat="false" ht="15" hidden="false" customHeight="false" outlineLevel="0" collapsed="false">
      <c r="A467" s="23" t="n">
        <f aca="false">IF(B467="","",466)</f>
        <v>466</v>
      </c>
      <c r="B467" s="26" t="n">
        <f aca="false">IF(안내!$C$9+465&gt;MAX(MAX(A타입_제작표!$U$2:$U$799),MAX(시편_시리즈!$Q$2:$Q$151)),"",안내!$C$9+465)</f>
        <v>46856</v>
      </c>
      <c r="C467" s="23" t="str">
        <f aca="false">IF(B467="","",CHOOSE(WEEKDAY(B467,2),"월","화","수","목","금","토","일"))</f>
        <v>목</v>
      </c>
      <c r="D467" s="24" t="str">
        <f aca="false">IF(B467="","",IFERROR(INDEX(A타입_제작표!$J$2:$J$799,MATCH("구약|"&amp;TEXT(B467,"yyyy-mm-dd"),A타입_제작표!$AQ$2:$AQ$799,0))&amp;"  "&amp;INDEX(A타입_제작표!$L$2:$L$799,MATCH("구약|"&amp;TEXT(B467,"yyyy-mm-dd"),A타입_제작표!$AQ$2:$AQ$799,0)),""))</f>
        <v>렘 7:1-8:3  성전 문 앞의 설교</v>
      </c>
      <c r="E467" s="24" t="str">
        <f aca="false">IF(B467="","",IFERROR(INDEX(A타입_제작표!$J$2:$J$799,MATCH("신약|"&amp;TEXT(B467,"yyyy-mm-dd"),A타입_제작표!$AQ$2:$AQ$799,0))&amp;"  "&amp;INDEX(A타입_제작표!$L$2:$L$799,MATCH("신약|"&amp;TEXT(B467,"yyyy-mm-dd"),A타입_제작표!$AQ$2:$AQ$799,0)),""))</f>
        <v/>
      </c>
      <c r="F467" s="24" t="str">
        <f aca="false">IF(B467="","",IFERROR("시편 "&amp;INDEX(시편_시리즈!$A$2:$A$151,MATCH("시편|"&amp;TEXT(B467,"yyyy-mm-dd"),시편_시리즈!$Y$2:$Y$151,0))&amp;"편  "&amp;INDEX(시편_시리즈!$G$2:$G$151,MATCH("시편|"&amp;TEXT(B467,"yyyy-mm-dd"),시편_시리즈!$Y$2:$Y$151,0)),""))</f>
        <v/>
      </c>
      <c r="G467" s="23" t="n">
        <f aca="false">IF(B467="","",(D467&lt;&gt;"")+(E467&lt;&gt;"")+(F467&lt;&gt;""))</f>
        <v>1</v>
      </c>
      <c r="H467" s="31" t="s">
        <v>10282</v>
      </c>
    </row>
    <row r="468" customFormat="false" ht="15" hidden="false" customHeight="false" outlineLevel="0" collapsed="false">
      <c r="A468" s="23" t="n">
        <f aca="false">IF(B468="","",467)</f>
        <v>467</v>
      </c>
      <c r="B468" s="26" t="n">
        <f aca="false">IF(안내!$C$9+466&gt;MAX(MAX(A타입_제작표!$U$2:$U$799),MAX(시편_시리즈!$Q$2:$Q$151)),"",안내!$C$9+466)</f>
        <v>46857</v>
      </c>
      <c r="C468" s="23" t="str">
        <f aca="false">IF(B468="","",CHOOSE(WEEKDAY(B468,2),"월","화","수","목","금","토","일"))</f>
        <v>금</v>
      </c>
      <c r="D468" s="24" t="str">
        <f aca="false">IF(B468="","",IFERROR(INDEX(A타입_제작표!$J$2:$J$799,MATCH("구약|"&amp;TEXT(B468,"yyyy-mm-dd"),A타입_제작표!$AQ$2:$AQ$799,0))&amp;"  "&amp;INDEX(A타입_제작표!$L$2:$L$799,MATCH("구약|"&amp;TEXT(B468,"yyyy-mm-dd"),A타입_제작표!$AQ$2:$AQ$799,0)),""))</f>
        <v>렘 8:4-10:25  길르앗에는 유향이 없는가</v>
      </c>
      <c r="E468" s="24" t="str">
        <f aca="false">IF(B468="","",IFERROR(INDEX(A타입_제작표!$J$2:$J$799,MATCH("신약|"&amp;TEXT(B468,"yyyy-mm-dd"),A타입_제작표!$AQ$2:$AQ$799,0))&amp;"  "&amp;INDEX(A타입_제작표!$L$2:$L$799,MATCH("신약|"&amp;TEXT(B468,"yyyy-mm-dd"),A타입_제작표!$AQ$2:$AQ$799,0)),""))</f>
        <v>계 1:9-20  일곱 금 촛대 사이의 인자</v>
      </c>
      <c r="F468" s="24" t="str">
        <f aca="false">IF(B468="","",IFERROR("시편 "&amp;INDEX(시편_시리즈!$A$2:$A$151,MATCH("시편|"&amp;TEXT(B468,"yyyy-mm-dd"),시편_시리즈!$Y$2:$Y$151,0))&amp;"편  "&amp;INDEX(시편_시리즈!$G$2:$G$151,MATCH("시편|"&amp;TEXT(B468,"yyyy-mm-dd"),시편_시리즈!$Y$2:$Y$151,0)),""))</f>
        <v/>
      </c>
      <c r="G468" s="23" t="n">
        <f aca="false">IF(B468="","",(D468&lt;&gt;"")+(E468&lt;&gt;"")+(F468&lt;&gt;""))</f>
        <v>2</v>
      </c>
      <c r="H468" s="31" t="s">
        <v>10282</v>
      </c>
    </row>
    <row r="469" customFormat="false" ht="15" hidden="false" customHeight="false" outlineLevel="0" collapsed="false">
      <c r="A469" s="23" t="n">
        <f aca="false">IF(B469="","",468)</f>
        <v>468</v>
      </c>
      <c r="B469" s="26" t="n">
        <f aca="false">IF(안내!$C$9+467&gt;MAX(MAX(A타입_제작표!$U$2:$U$799),MAX(시편_시리즈!$Q$2:$Q$151)),"",안내!$C$9+467)</f>
        <v>46858</v>
      </c>
      <c r="C469" s="23" t="str">
        <f aca="false">IF(B469="","",CHOOSE(WEEKDAY(B469,2),"월","화","수","목","금","토","일"))</f>
        <v>토</v>
      </c>
      <c r="D469" s="24" t="str">
        <f aca="false">IF(B469="","",IFERROR(INDEX(A타입_제작표!$J$2:$J$799,MATCH("구약|"&amp;TEXT(B469,"yyyy-mm-dd"),A타입_제작표!$AQ$2:$AQ$799,0))&amp;"  "&amp;INDEX(A타입_제작표!$L$2:$L$799,MATCH("구약|"&amp;TEXT(B469,"yyyy-mm-dd"),A타입_제작표!$AQ$2:$AQ$799,0)),""))</f>
        <v>렘 11:1-12:17  고향 사람들의 음모</v>
      </c>
      <c r="E469" s="24" t="str">
        <f aca="false">IF(B469="","",IFERROR(INDEX(A타입_제작표!$J$2:$J$799,MATCH("신약|"&amp;TEXT(B469,"yyyy-mm-dd"),A타입_제작표!$AQ$2:$AQ$799,0))&amp;"  "&amp;INDEX(A타입_제작표!$L$2:$L$799,MATCH("신약|"&amp;TEXT(B469,"yyyy-mm-dd"),A타입_제작표!$AQ$2:$AQ$799,0)),""))</f>
        <v>계 2:1-17  처음 사랑을 버렸다</v>
      </c>
      <c r="F469" s="24" t="str">
        <f aca="false">IF(B469="","",IFERROR("시편 "&amp;INDEX(시편_시리즈!$A$2:$A$151,MATCH("시편|"&amp;TEXT(B469,"yyyy-mm-dd"),시편_시리즈!$Y$2:$Y$151,0))&amp;"편  "&amp;INDEX(시편_시리즈!$G$2:$G$151,MATCH("시편|"&amp;TEXT(B469,"yyyy-mm-dd"),시편_시리즈!$Y$2:$Y$151,0)),""))</f>
        <v/>
      </c>
      <c r="G469" s="23" t="n">
        <f aca="false">IF(B469="","",(D469&lt;&gt;"")+(E469&lt;&gt;"")+(F469&lt;&gt;""))</f>
        <v>2</v>
      </c>
      <c r="H469" s="31" t="s">
        <v>10282</v>
      </c>
    </row>
    <row r="470" customFormat="false" ht="15" hidden="false" customHeight="false" outlineLevel="0" collapsed="false">
      <c r="A470" s="23" t="n">
        <f aca="false">IF(B470="","",469)</f>
        <v>469</v>
      </c>
      <c r="B470" s="26" t="n">
        <f aca="false">IF(안내!$C$9+468&gt;MAX(MAX(A타입_제작표!$U$2:$U$799),MAX(시편_시리즈!$Q$2:$Q$151)),"",안내!$C$9+468)</f>
        <v>46859</v>
      </c>
      <c r="C470" s="23" t="str">
        <f aca="false">IF(B470="","",CHOOSE(WEEKDAY(B470,2),"월","화","수","목","금","토","일"))</f>
        <v>일</v>
      </c>
      <c r="D470" s="24" t="str">
        <f aca="false">IF(B470="","",IFERROR(INDEX(A타입_제작표!$J$2:$J$799,MATCH("구약|"&amp;TEXT(B470,"yyyy-mm-dd"),A타입_제작표!$AQ$2:$AQ$799,0))&amp;"  "&amp;INDEX(A타입_제작표!$L$2:$L$799,MATCH("구약|"&amp;TEXT(B470,"yyyy-mm-dd"),A타입_제작표!$AQ$2:$AQ$799,0)),""))</f>
        <v>렘 13:1-27  썩은 띠</v>
      </c>
      <c r="E470" s="24" t="str">
        <f aca="false">IF(B470="","",IFERROR(INDEX(A타입_제작표!$J$2:$J$799,MATCH("신약|"&amp;TEXT(B470,"yyyy-mm-dd"),A타입_제작표!$AQ$2:$AQ$799,0))&amp;"  "&amp;INDEX(A타입_제작표!$L$2:$L$799,MATCH("신약|"&amp;TEXT(B470,"yyyy-mm-dd"),A타입_제작표!$AQ$2:$AQ$799,0)),""))</f>
        <v/>
      </c>
      <c r="F470" s="24" t="str">
        <f aca="false">IF(B470="","",IFERROR("시편 "&amp;INDEX(시편_시리즈!$A$2:$A$151,MATCH("시편|"&amp;TEXT(B470,"yyyy-mm-dd"),시편_시리즈!$Y$2:$Y$151,0))&amp;"편  "&amp;INDEX(시편_시리즈!$G$2:$G$151,MATCH("시편|"&amp;TEXT(B470,"yyyy-mm-dd"),시편_시리즈!$Y$2:$Y$151,0)),""))</f>
        <v/>
      </c>
      <c r="G470" s="23" t="n">
        <f aca="false">IF(B470="","",(D470&lt;&gt;"")+(E470&lt;&gt;"")+(F470&lt;&gt;""))</f>
        <v>1</v>
      </c>
      <c r="H470" s="31" t="s">
        <v>10282</v>
      </c>
    </row>
    <row r="471" customFormat="false" ht="15" hidden="false" customHeight="false" outlineLevel="0" collapsed="false">
      <c r="A471" s="23" t="n">
        <f aca="false">IF(B471="","",470)</f>
        <v>470</v>
      </c>
      <c r="B471" s="26" t="n">
        <f aca="false">IF(안내!$C$9+469&gt;MAX(MAX(A타입_제작표!$U$2:$U$799),MAX(시편_시리즈!$Q$2:$Q$151)),"",안내!$C$9+469)</f>
        <v>46860</v>
      </c>
      <c r="C471" s="23" t="str">
        <f aca="false">IF(B471="","",CHOOSE(WEEKDAY(B471,2),"월","화","수","목","금","토","일"))</f>
        <v>월</v>
      </c>
      <c r="D471" s="24" t="str">
        <f aca="false">IF(B471="","",IFERROR(INDEX(A타입_제작표!$J$2:$J$799,MATCH("구약|"&amp;TEXT(B471,"yyyy-mm-dd"),A타입_제작표!$AQ$2:$AQ$799,0))&amp;"  "&amp;INDEX(A타입_제작표!$L$2:$L$799,MATCH("구약|"&amp;TEXT(B471,"yyyy-mm-dd"),A타입_제작표!$AQ$2:$AQ$799,0)),""))</f>
        <v>렘 14:1-17:27  만물보다 거짓된 마음</v>
      </c>
      <c r="E471" s="24" t="str">
        <f aca="false">IF(B471="","",IFERROR(INDEX(A타입_제작표!$J$2:$J$799,MATCH("신약|"&amp;TEXT(B471,"yyyy-mm-dd"),A타입_제작표!$AQ$2:$AQ$799,0))&amp;"  "&amp;INDEX(A타입_제작표!$L$2:$L$799,MATCH("신약|"&amp;TEXT(B471,"yyyy-mm-dd"),A타입_제작표!$AQ$2:$AQ$799,0)),""))</f>
        <v>계 2:18-3:6  흰옷을 입고 나와 함께</v>
      </c>
      <c r="F471" s="24" t="str">
        <f aca="false">IF(B471="","",IFERROR("시편 "&amp;INDEX(시편_시리즈!$A$2:$A$151,MATCH("시편|"&amp;TEXT(B471,"yyyy-mm-dd"),시편_시리즈!$Y$2:$Y$151,0))&amp;"편  "&amp;INDEX(시편_시리즈!$G$2:$G$151,MATCH("시편|"&amp;TEXT(B471,"yyyy-mm-dd"),시편_시리즈!$Y$2:$Y$151,0)),""))</f>
        <v/>
      </c>
      <c r="G471" s="23" t="n">
        <f aca="false">IF(B471="","",(D471&lt;&gt;"")+(E471&lt;&gt;"")+(F471&lt;&gt;""))</f>
        <v>2</v>
      </c>
      <c r="H471" s="31" t="s">
        <v>10282</v>
      </c>
    </row>
    <row r="472" customFormat="false" ht="15" hidden="false" customHeight="false" outlineLevel="0" collapsed="false">
      <c r="A472" s="23" t="n">
        <f aca="false">IF(B472="","",471)</f>
        <v>471</v>
      </c>
      <c r="B472" s="26" t="n">
        <f aca="false">IF(안내!$C$9+470&gt;MAX(MAX(A타입_제작표!$U$2:$U$799),MAX(시편_시리즈!$Q$2:$Q$151)),"",안내!$C$9+470)</f>
        <v>46861</v>
      </c>
      <c r="C472" s="23" t="str">
        <f aca="false">IF(B472="","",CHOOSE(WEEKDAY(B472,2),"월","화","수","목","금","토","일"))</f>
        <v>화</v>
      </c>
      <c r="D472" s="24" t="str">
        <f aca="false">IF(B472="","",IFERROR(INDEX(A타입_제작표!$J$2:$J$799,MATCH("구약|"&amp;TEXT(B472,"yyyy-mm-dd"),A타입_제작표!$AQ$2:$AQ$799,0))&amp;"  "&amp;INDEX(A타입_제작표!$L$2:$L$799,MATCH("구약|"&amp;TEXT(B472,"yyyy-mm-dd"),A타입_제작표!$AQ$2:$AQ$799,0)),""))</f>
        <v>렘 19:1-20:18  뼈 속의 불</v>
      </c>
      <c r="E472" s="24" t="str">
        <f aca="false">IF(B472="","",IFERROR(INDEX(A타입_제작표!$J$2:$J$799,MATCH("신약|"&amp;TEXT(B472,"yyyy-mm-dd"),A타입_제작표!$AQ$2:$AQ$799,0))&amp;"  "&amp;INDEX(A타입_제작표!$L$2:$L$799,MATCH("신약|"&amp;TEXT(B472,"yyyy-mm-dd"),A타입_제작표!$AQ$2:$AQ$799,0)),""))</f>
        <v/>
      </c>
      <c r="F472" s="24" t="str">
        <f aca="false">IF(B472="","",IFERROR("시편 "&amp;INDEX(시편_시리즈!$A$2:$A$151,MATCH("시편|"&amp;TEXT(B472,"yyyy-mm-dd"),시편_시리즈!$Y$2:$Y$151,0))&amp;"편  "&amp;INDEX(시편_시리즈!$G$2:$G$151,MATCH("시편|"&amp;TEXT(B472,"yyyy-mm-dd"),시편_시리즈!$Y$2:$Y$151,0)),""))</f>
        <v/>
      </c>
      <c r="G472" s="23" t="n">
        <f aca="false">IF(B472="","",(D472&lt;&gt;"")+(E472&lt;&gt;"")+(F472&lt;&gt;""))</f>
        <v>1</v>
      </c>
      <c r="H472" s="31" t="s">
        <v>10282</v>
      </c>
    </row>
    <row r="473" customFormat="false" ht="15" hidden="false" customHeight="false" outlineLevel="0" collapsed="false">
      <c r="A473" s="23" t="n">
        <f aca="false">IF(B473="","",472)</f>
        <v>472</v>
      </c>
      <c r="B473" s="26" t="n">
        <f aca="false">IF(안내!$C$9+471&gt;MAX(MAX(A타입_제작표!$U$2:$U$799),MAX(시편_시리즈!$Q$2:$Q$151)),"",안내!$C$9+471)</f>
        <v>46862</v>
      </c>
      <c r="C473" s="23" t="str">
        <f aca="false">IF(B473="","",CHOOSE(WEEKDAY(B473,2),"월","화","수","목","금","토","일"))</f>
        <v>수</v>
      </c>
      <c r="D473" s="24" t="str">
        <f aca="false">IF(B473="","",IFERROR(INDEX(A타입_제작표!$J$2:$J$799,MATCH("구약|"&amp;TEXT(B473,"yyyy-mm-dd"),A타입_제작표!$AQ$2:$AQ$799,0))&amp;"  "&amp;INDEX(A타입_제작표!$L$2:$L$799,MATCH("구약|"&amp;TEXT(B473,"yyyy-mm-dd"),A타입_제작표!$AQ$2:$AQ$799,0)),""))</f>
        <v>렘 21:1-25:38  70년의 예언과 의로운 가지</v>
      </c>
      <c r="E473" s="24" t="str">
        <f aca="false">IF(B473="","",IFERROR(INDEX(A타입_제작표!$J$2:$J$799,MATCH("신약|"&amp;TEXT(B473,"yyyy-mm-dd"),A타입_제작표!$AQ$2:$AQ$799,0))&amp;"  "&amp;INDEX(A타입_제작표!$L$2:$L$799,MATCH("신약|"&amp;TEXT(B473,"yyyy-mm-dd"),A타입_제작표!$AQ$2:$AQ$799,0)),""))</f>
        <v>계 4:1-11  하늘 보좌</v>
      </c>
      <c r="F473" s="24" t="str">
        <f aca="false">IF(B473="","",IFERROR("시편 "&amp;INDEX(시편_시리즈!$A$2:$A$151,MATCH("시편|"&amp;TEXT(B473,"yyyy-mm-dd"),시편_시리즈!$Y$2:$Y$151,0))&amp;"편  "&amp;INDEX(시편_시리즈!$G$2:$G$151,MATCH("시편|"&amp;TEXT(B473,"yyyy-mm-dd"),시편_시리즈!$Y$2:$Y$151,0)),""))</f>
        <v/>
      </c>
      <c r="G473" s="23" t="n">
        <f aca="false">IF(B473="","",(D473&lt;&gt;"")+(E473&lt;&gt;"")+(F473&lt;&gt;""))</f>
        <v>2</v>
      </c>
      <c r="H473" s="31" t="s">
        <v>10282</v>
      </c>
    </row>
    <row r="474" customFormat="false" ht="15" hidden="false" customHeight="false" outlineLevel="0" collapsed="false">
      <c r="A474" s="23" t="n">
        <f aca="false">IF(B474="","",473)</f>
        <v>473</v>
      </c>
      <c r="B474" s="26" t="n">
        <f aca="false">IF(안내!$C$9+472&gt;MAX(MAX(A타입_제작표!$U$2:$U$799),MAX(시편_시리즈!$Q$2:$Q$151)),"",안내!$C$9+472)</f>
        <v>46863</v>
      </c>
      <c r="C474" s="23" t="str">
        <f aca="false">IF(B474="","",CHOOSE(WEEKDAY(B474,2),"월","화","수","목","금","토","일"))</f>
        <v>목</v>
      </c>
      <c r="D474" s="24" t="str">
        <f aca="false">IF(B474="","",IFERROR(INDEX(A타입_제작표!$J$2:$J$799,MATCH("구약|"&amp;TEXT(B474,"yyyy-mm-dd"),A타입_제작표!$AQ$2:$AQ$799,0))&amp;"  "&amp;INDEX(A타입_제작표!$L$2:$L$799,MATCH("구약|"&amp;TEXT(B474,"yyyy-mm-dd"),A타입_제작표!$AQ$2:$AQ$799,0)),""))</f>
        <v>렘 26:1-24  죽음의 위기</v>
      </c>
      <c r="E474" s="24" t="str">
        <f aca="false">IF(B474="","",IFERROR(INDEX(A타입_제작표!$J$2:$J$799,MATCH("신약|"&amp;TEXT(B474,"yyyy-mm-dd"),A타입_제작표!$AQ$2:$AQ$799,0))&amp;"  "&amp;INDEX(A타입_제작표!$L$2:$L$799,MATCH("신약|"&amp;TEXT(B474,"yyyy-mm-dd"),A타입_제작표!$AQ$2:$AQ$799,0)),""))</f>
        <v/>
      </c>
      <c r="F474" s="24" t="str">
        <f aca="false">IF(B474="","",IFERROR("시편 "&amp;INDEX(시편_시리즈!$A$2:$A$151,MATCH("시편|"&amp;TEXT(B474,"yyyy-mm-dd"),시편_시리즈!$Y$2:$Y$151,0))&amp;"편  "&amp;INDEX(시편_시리즈!$G$2:$G$151,MATCH("시편|"&amp;TEXT(B474,"yyyy-mm-dd"),시편_시리즈!$Y$2:$Y$151,0)),""))</f>
        <v/>
      </c>
      <c r="G474" s="23" t="n">
        <f aca="false">IF(B474="","",(D474&lt;&gt;"")+(E474&lt;&gt;"")+(F474&lt;&gt;""))</f>
        <v>1</v>
      </c>
      <c r="H474" s="31" t="s">
        <v>10282</v>
      </c>
    </row>
    <row r="475" customFormat="false" ht="15" hidden="false" customHeight="false" outlineLevel="0" collapsed="false">
      <c r="A475" s="23" t="n">
        <f aca="false">IF(B475="","",474)</f>
        <v>474</v>
      </c>
      <c r="B475" s="26" t="n">
        <f aca="false">IF(안내!$C$9+473&gt;MAX(MAX(A타입_제작표!$U$2:$U$799),MAX(시편_시리즈!$Q$2:$Q$151)),"",안내!$C$9+473)</f>
        <v>46864</v>
      </c>
      <c r="C475" s="23" t="str">
        <f aca="false">IF(B475="","",CHOOSE(WEEKDAY(B475,2),"월","화","수","목","금","토","일"))</f>
        <v>금</v>
      </c>
      <c r="D475" s="24" t="str">
        <f aca="false">IF(B475="","",IFERROR(INDEX(A타입_제작표!$J$2:$J$799,MATCH("구약|"&amp;TEXT(B475,"yyyy-mm-dd"),A타입_제작표!$AQ$2:$AQ$799,0))&amp;"  "&amp;INDEX(A타입_제작표!$L$2:$L$799,MATCH("구약|"&amp;TEXT(B475,"yyyy-mm-dd"),A타입_제작표!$AQ$2:$AQ$799,0)),""))</f>
        <v>렘 27:1-28:17  멍에를 멘 선지자</v>
      </c>
      <c r="E475" s="24" t="str">
        <f aca="false">IF(B475="","",IFERROR(INDEX(A타입_제작표!$J$2:$J$799,MATCH("신약|"&amp;TEXT(B475,"yyyy-mm-dd"),A타입_제작표!$AQ$2:$AQ$799,0))&amp;"  "&amp;INDEX(A타입_제작표!$L$2:$L$799,MATCH("신약|"&amp;TEXT(B475,"yyyy-mm-dd"),A타입_제작표!$AQ$2:$AQ$799,0)),""))</f>
        <v>계 6:1-17  여섯 인</v>
      </c>
      <c r="F475" s="24" t="str">
        <f aca="false">IF(B475="","",IFERROR("시편 "&amp;INDEX(시편_시리즈!$A$2:$A$151,MATCH("시편|"&amp;TEXT(B475,"yyyy-mm-dd"),시편_시리즈!$Y$2:$Y$151,0))&amp;"편  "&amp;INDEX(시편_시리즈!$G$2:$G$151,MATCH("시편|"&amp;TEXT(B475,"yyyy-mm-dd"),시편_시리즈!$Y$2:$Y$151,0)),""))</f>
        <v/>
      </c>
      <c r="G475" s="23" t="n">
        <f aca="false">IF(B475="","",(D475&lt;&gt;"")+(E475&lt;&gt;"")+(F475&lt;&gt;""))</f>
        <v>2</v>
      </c>
      <c r="H475" s="31" t="s">
        <v>10282</v>
      </c>
    </row>
    <row r="476" customFormat="false" ht="15" hidden="false" customHeight="false" outlineLevel="0" collapsed="false">
      <c r="A476" s="23" t="n">
        <f aca="false">IF(B476="","",475)</f>
        <v>475</v>
      </c>
      <c r="B476" s="26" t="n">
        <f aca="false">IF(안내!$C$9+474&gt;MAX(MAX(A타입_제작표!$U$2:$U$799),MAX(시편_시리즈!$Q$2:$Q$151)),"",안내!$C$9+474)</f>
        <v>46865</v>
      </c>
      <c r="C476" s="23" t="str">
        <f aca="false">IF(B476="","",CHOOSE(WEEKDAY(B476,2),"월","화","수","목","금","토","일"))</f>
        <v>토</v>
      </c>
      <c r="D476" s="24" t="str">
        <f aca="false">IF(B476="","",IFERROR(INDEX(A타입_제작표!$J$2:$J$799,MATCH("구약|"&amp;TEXT(B476,"yyyy-mm-dd"),A타입_제작표!$AQ$2:$AQ$799,0))&amp;"  "&amp;INDEX(A타입_제작표!$L$2:$L$799,MATCH("구약|"&amp;TEXT(B476,"yyyy-mm-dd"),A타입_제작표!$AQ$2:$AQ$799,0)),""))</f>
        <v>렘 29:1-32  포로들에게 보낸 편지</v>
      </c>
      <c r="E476" s="24" t="str">
        <f aca="false">IF(B476="","",IFERROR(INDEX(A타입_제작표!$J$2:$J$799,MATCH("신약|"&amp;TEXT(B476,"yyyy-mm-dd"),A타입_제작표!$AQ$2:$AQ$799,0))&amp;"  "&amp;INDEX(A타입_제작표!$L$2:$L$799,MATCH("신약|"&amp;TEXT(B476,"yyyy-mm-dd"),A타입_제작표!$AQ$2:$AQ$799,0)),""))</f>
        <v>계 7:1-17  흰옷 입은 큰 무리</v>
      </c>
      <c r="F476" s="24" t="str">
        <f aca="false">IF(B476="","",IFERROR("시편 "&amp;INDEX(시편_시리즈!$A$2:$A$151,MATCH("시편|"&amp;TEXT(B476,"yyyy-mm-dd"),시편_시리즈!$Y$2:$Y$151,0))&amp;"편  "&amp;INDEX(시편_시리즈!$G$2:$G$151,MATCH("시편|"&amp;TEXT(B476,"yyyy-mm-dd"),시편_시리즈!$Y$2:$Y$151,0)),""))</f>
        <v/>
      </c>
      <c r="G476" s="23" t="n">
        <f aca="false">IF(B476="","",(D476&lt;&gt;"")+(E476&lt;&gt;"")+(F476&lt;&gt;""))</f>
        <v>2</v>
      </c>
      <c r="H476" s="31" t="s">
        <v>10282</v>
      </c>
    </row>
    <row r="477" customFormat="false" ht="15" hidden="false" customHeight="false" outlineLevel="0" collapsed="false">
      <c r="A477" s="23" t="n">
        <f aca="false">IF(B477="","",476)</f>
        <v>476</v>
      </c>
      <c r="B477" s="26" t="n">
        <f aca="false">IF(안내!$C$9+475&gt;MAX(MAX(A타입_제작표!$U$2:$U$799),MAX(시편_시리즈!$Q$2:$Q$151)),"",안내!$C$9+475)</f>
        <v>46866</v>
      </c>
      <c r="C477" s="23" t="str">
        <f aca="false">IF(B477="","",CHOOSE(WEEKDAY(B477,2),"월","화","수","목","금","토","일"))</f>
        <v>일</v>
      </c>
      <c r="D477" s="24" t="str">
        <f aca="false">IF(B477="","",IFERROR(INDEX(A타입_제작표!$J$2:$J$799,MATCH("구약|"&amp;TEXT(B477,"yyyy-mm-dd"),A타입_제작표!$AQ$2:$AQ$799,0))&amp;"  "&amp;INDEX(A타입_제작표!$L$2:$L$799,MATCH("구약|"&amp;TEXT(B477,"yyyy-mm-dd"),A타입_제작표!$AQ$2:$AQ$799,0)),""))</f>
        <v>렘 32:1-44  무너지는 나라에서 밭을 사다</v>
      </c>
      <c r="E477" s="24" t="str">
        <f aca="false">IF(B477="","",IFERROR(INDEX(A타입_제작표!$J$2:$J$799,MATCH("신약|"&amp;TEXT(B477,"yyyy-mm-dd"),A타입_제작표!$AQ$2:$AQ$799,0))&amp;"  "&amp;INDEX(A타입_제작표!$L$2:$L$799,MATCH("신약|"&amp;TEXT(B477,"yyyy-mm-dd"),A타입_제작표!$AQ$2:$AQ$799,0)),""))</f>
        <v/>
      </c>
      <c r="F477" s="24" t="str">
        <f aca="false">IF(B477="","",IFERROR("시편 "&amp;INDEX(시편_시리즈!$A$2:$A$151,MATCH("시편|"&amp;TEXT(B477,"yyyy-mm-dd"),시편_시리즈!$Y$2:$Y$151,0))&amp;"편  "&amp;INDEX(시편_시리즈!$G$2:$G$151,MATCH("시편|"&amp;TEXT(B477,"yyyy-mm-dd"),시편_시리즈!$Y$2:$Y$151,0)),""))</f>
        <v/>
      </c>
      <c r="G477" s="23" t="n">
        <f aca="false">IF(B477="","",(D477&lt;&gt;"")+(E477&lt;&gt;"")+(F477&lt;&gt;""))</f>
        <v>1</v>
      </c>
      <c r="H477" s="31" t="s">
        <v>10282</v>
      </c>
    </row>
    <row r="478" customFormat="false" ht="15" hidden="false" customHeight="false" outlineLevel="0" collapsed="false">
      <c r="A478" s="23" t="n">
        <f aca="false">IF(B478="","",477)</f>
        <v>477</v>
      </c>
      <c r="B478" s="26" t="n">
        <f aca="false">IF(안내!$C$9+476&gt;MAX(MAX(A타입_제작표!$U$2:$U$799),MAX(시편_시리즈!$Q$2:$Q$151)),"",안내!$C$9+476)</f>
        <v>46867</v>
      </c>
      <c r="C478" s="23" t="str">
        <f aca="false">IF(B478="","",CHOOSE(WEEKDAY(B478,2),"월","화","수","목","금","토","일"))</f>
        <v>월</v>
      </c>
      <c r="D478" s="24" t="str">
        <f aca="false">IF(B478="","",IFERROR(INDEX(A타입_제작표!$J$2:$J$799,MATCH("구약|"&amp;TEXT(B478,"yyyy-mm-dd"),A타입_제작표!$AQ$2:$AQ$799,0))&amp;"  "&amp;INDEX(A타입_제작표!$L$2:$L$799,MATCH("구약|"&amp;TEXT(B478,"yyyy-mm-dd"),A타입_제작표!$AQ$2:$AQ$799,0)),""))</f>
        <v>렘 33:1-26  부르짖으라</v>
      </c>
      <c r="E478" s="24" t="str">
        <f aca="false">IF(B478="","",IFERROR(INDEX(A타입_제작표!$J$2:$J$799,MATCH("신약|"&amp;TEXT(B478,"yyyy-mm-dd"),A타입_제작표!$AQ$2:$AQ$799,0))&amp;"  "&amp;INDEX(A타입_제작표!$L$2:$L$799,MATCH("신약|"&amp;TEXT(B478,"yyyy-mm-dd"),A타입_제작표!$AQ$2:$AQ$799,0)),""))</f>
        <v>계 8:1-9:21  일곱 나팔</v>
      </c>
      <c r="F478" s="24" t="str">
        <f aca="false">IF(B478="","",IFERROR("시편 "&amp;INDEX(시편_시리즈!$A$2:$A$151,MATCH("시편|"&amp;TEXT(B478,"yyyy-mm-dd"),시편_시리즈!$Y$2:$Y$151,0))&amp;"편  "&amp;INDEX(시편_시리즈!$G$2:$G$151,MATCH("시편|"&amp;TEXT(B478,"yyyy-mm-dd"),시편_시리즈!$Y$2:$Y$151,0)),""))</f>
        <v/>
      </c>
      <c r="G478" s="23" t="n">
        <f aca="false">IF(B478="","",(D478&lt;&gt;"")+(E478&lt;&gt;"")+(F478&lt;&gt;""))</f>
        <v>2</v>
      </c>
      <c r="H478" s="31" t="s">
        <v>10282</v>
      </c>
    </row>
    <row r="479" customFormat="false" ht="15" hidden="false" customHeight="false" outlineLevel="0" collapsed="false">
      <c r="A479" s="23" t="n">
        <f aca="false">IF(B479="","",478)</f>
        <v>478</v>
      </c>
      <c r="B479" s="26" t="n">
        <f aca="false">IF(안내!$C$9+477&gt;MAX(MAX(A타입_제작표!$U$2:$U$799),MAX(시편_시리즈!$Q$2:$Q$151)),"",안내!$C$9+477)</f>
        <v>46868</v>
      </c>
      <c r="C479" s="23" t="str">
        <f aca="false">IF(B479="","",CHOOSE(WEEKDAY(B479,2),"월","화","수","목","금","토","일"))</f>
        <v>화</v>
      </c>
      <c r="D479" s="24" t="str">
        <f aca="false">IF(B479="","",IFERROR(INDEX(A타입_제작표!$J$2:$J$799,MATCH("구약|"&amp;TEXT(B479,"yyyy-mm-dd"),A타입_제작표!$AQ$2:$AQ$799,0))&amp;"  "&amp;INDEX(A타입_제작표!$L$2:$L$799,MATCH("구약|"&amp;TEXT(B479,"yyyy-mm-dd"),A타입_제작표!$AQ$2:$AQ$799,0)),""))</f>
        <v>렘 34:1-36:32  불태운 두루마리</v>
      </c>
      <c r="E479" s="24" t="str">
        <f aca="false">IF(B479="","",IFERROR(INDEX(A타입_제작표!$J$2:$J$799,MATCH("신약|"&amp;TEXT(B479,"yyyy-mm-dd"),A타입_제작표!$AQ$2:$AQ$799,0))&amp;"  "&amp;INDEX(A타입_제작표!$L$2:$L$799,MATCH("신약|"&amp;TEXT(B479,"yyyy-mm-dd"),A타입_제작표!$AQ$2:$AQ$799,0)),""))</f>
        <v/>
      </c>
      <c r="F479" s="24" t="str">
        <f aca="false">IF(B479="","",IFERROR("시편 "&amp;INDEX(시편_시리즈!$A$2:$A$151,MATCH("시편|"&amp;TEXT(B479,"yyyy-mm-dd"),시편_시리즈!$Y$2:$Y$151,0))&amp;"편  "&amp;INDEX(시편_시리즈!$G$2:$G$151,MATCH("시편|"&amp;TEXT(B479,"yyyy-mm-dd"),시편_시리즈!$Y$2:$Y$151,0)),""))</f>
        <v/>
      </c>
      <c r="G479" s="23" t="n">
        <f aca="false">IF(B479="","",(D479&lt;&gt;"")+(E479&lt;&gt;"")+(F479&lt;&gt;""))</f>
        <v>1</v>
      </c>
      <c r="H479" s="31" t="s">
        <v>10282</v>
      </c>
    </row>
    <row r="480" customFormat="false" ht="26.85" hidden="false" customHeight="false" outlineLevel="0" collapsed="false">
      <c r="A480" s="23" t="n">
        <f aca="false">IF(B480="","",479)</f>
        <v>479</v>
      </c>
      <c r="B480" s="26" t="n">
        <f aca="false">IF(안내!$C$9+478&gt;MAX(MAX(A타입_제작표!$U$2:$U$799),MAX(시편_시리즈!$Q$2:$Q$151)),"",안내!$C$9+478)</f>
        <v>46869</v>
      </c>
      <c r="C480" s="23" t="str">
        <f aca="false">IF(B480="","",CHOOSE(WEEKDAY(B480,2),"월","화","수","목","금","토","일"))</f>
        <v>수</v>
      </c>
      <c r="D480" s="24" t="str">
        <f aca="false">IF(B480="","",IFERROR(INDEX(A타입_제작표!$J$2:$J$799,MATCH("구약|"&amp;TEXT(B480,"yyyy-mm-dd"),A타입_제작표!$AQ$2:$AQ$799,0))&amp;"  "&amp;INDEX(A타입_제작표!$L$2:$L$799,MATCH("구약|"&amp;TEXT(B480,"yyyy-mm-dd"),A타입_제작표!$AQ$2:$AQ$799,0)),""))</f>
        <v>렘 39:1-41:18  예루살렘 함락</v>
      </c>
      <c r="E480" s="24" t="str">
        <f aca="false">IF(B480="","",IFERROR(INDEX(A타입_제작표!$J$2:$J$799,MATCH("신약|"&amp;TEXT(B480,"yyyy-mm-dd"),A타입_제작표!$AQ$2:$AQ$799,0))&amp;"  "&amp;INDEX(A타입_제작표!$L$2:$L$799,MATCH("신약|"&amp;TEXT(B480,"yyyy-mm-dd"),A타입_제작표!$AQ$2:$AQ$799,0)),""))</f>
        <v>계 10:1-11:19  세상 나라가 그리스도의 나라가 되다</v>
      </c>
      <c r="F480" s="24" t="str">
        <f aca="false">IF(B480="","",IFERROR("시편 "&amp;INDEX(시편_시리즈!$A$2:$A$151,MATCH("시편|"&amp;TEXT(B480,"yyyy-mm-dd"),시편_시리즈!$Y$2:$Y$151,0))&amp;"편  "&amp;INDEX(시편_시리즈!$G$2:$G$151,MATCH("시편|"&amp;TEXT(B480,"yyyy-mm-dd"),시편_시리즈!$Y$2:$Y$151,0)),""))</f>
        <v/>
      </c>
      <c r="G480" s="23" t="n">
        <f aca="false">IF(B480="","",(D480&lt;&gt;"")+(E480&lt;&gt;"")+(F480&lt;&gt;""))</f>
        <v>2</v>
      </c>
      <c r="H480" s="31" t="s">
        <v>10282</v>
      </c>
    </row>
    <row r="481" customFormat="false" ht="15" hidden="false" customHeight="false" outlineLevel="0" collapsed="false">
      <c r="A481" s="23" t="n">
        <f aca="false">IF(B481="","",480)</f>
        <v>480</v>
      </c>
      <c r="B481" s="26" t="n">
        <f aca="false">IF(안내!$C$9+479&gt;MAX(MAX(A타입_제작표!$U$2:$U$799),MAX(시편_시리즈!$Q$2:$Q$151)),"",안내!$C$9+479)</f>
        <v>46870</v>
      </c>
      <c r="C481" s="23" t="str">
        <f aca="false">IF(B481="","",CHOOSE(WEEKDAY(B481,2),"월","화","수","목","금","토","일"))</f>
        <v>목</v>
      </c>
      <c r="D481" s="24" t="str">
        <f aca="false">IF(B481="","",IFERROR(INDEX(A타입_제작표!$J$2:$J$799,MATCH("구약|"&amp;TEXT(B481,"yyyy-mm-dd"),A타입_제작표!$AQ$2:$AQ$799,0))&amp;"  "&amp;INDEX(A타입_제작표!$L$2:$L$799,MATCH("구약|"&amp;TEXT(B481,"yyyy-mm-dd"),A타입_제작표!$AQ$2:$AQ$799,0)),""))</f>
        <v>렘 42:1-52:34  애굽으로 간 남은 자들</v>
      </c>
      <c r="E481" s="24" t="str">
        <f aca="false">IF(B481="","",IFERROR(INDEX(A타입_제작표!$J$2:$J$799,MATCH("신약|"&amp;TEXT(B481,"yyyy-mm-dd"),A타입_제작표!$AQ$2:$AQ$799,0))&amp;"  "&amp;INDEX(A타입_제작표!$L$2:$L$799,MATCH("신약|"&amp;TEXT(B481,"yyyy-mm-dd"),A타입_제작표!$AQ$2:$AQ$799,0)),""))</f>
        <v/>
      </c>
      <c r="F481" s="24" t="str">
        <f aca="false">IF(B481="","",IFERROR("시편 "&amp;INDEX(시편_시리즈!$A$2:$A$151,MATCH("시편|"&amp;TEXT(B481,"yyyy-mm-dd"),시편_시리즈!$Y$2:$Y$151,0))&amp;"편  "&amp;INDEX(시편_시리즈!$G$2:$G$151,MATCH("시편|"&amp;TEXT(B481,"yyyy-mm-dd"),시편_시리즈!$Y$2:$Y$151,0)),""))</f>
        <v/>
      </c>
      <c r="G481" s="23" t="n">
        <f aca="false">IF(B481="","",(D481&lt;&gt;"")+(E481&lt;&gt;"")+(F481&lt;&gt;""))</f>
        <v>1</v>
      </c>
      <c r="H481" s="31" t="s">
        <v>10282</v>
      </c>
    </row>
    <row r="482" customFormat="false" ht="15" hidden="false" customHeight="false" outlineLevel="0" collapsed="false">
      <c r="A482" s="23" t="n">
        <f aca="false">IF(B482="","",481)</f>
        <v>481</v>
      </c>
      <c r="B482" s="26" t="n">
        <f aca="false">IF(안내!$C$9+480&gt;MAX(MAX(A타입_제작표!$U$2:$U$799),MAX(시편_시리즈!$Q$2:$Q$151)),"",안내!$C$9+480)</f>
        <v>46871</v>
      </c>
      <c r="C482" s="23" t="str">
        <f aca="false">IF(B482="","",CHOOSE(WEEKDAY(B482,2),"월","화","수","목","금","토","일"))</f>
        <v>금</v>
      </c>
      <c r="D482" s="24" t="str">
        <f aca="false">IF(B482="","",IFERROR(INDEX(A타입_제작표!$J$2:$J$799,MATCH("구약|"&amp;TEXT(B482,"yyyy-mm-dd"),A타입_제작표!$AQ$2:$AQ$799,0))&amp;"  "&amp;INDEX(A타입_제작표!$L$2:$L$799,MATCH("구약|"&amp;TEXT(B482,"yyyy-mm-dd"),A타입_제작표!$AQ$2:$AQ$799,0)),""))</f>
        <v>애 1:1-2:22  슬프다 이 성이여</v>
      </c>
      <c r="E482" s="24" t="str">
        <f aca="false">IF(B482="","",IFERROR(INDEX(A타입_제작표!$J$2:$J$799,MATCH("신약|"&amp;TEXT(B482,"yyyy-mm-dd"),A타입_제작표!$AQ$2:$AQ$799,0))&amp;"  "&amp;INDEX(A타입_제작표!$L$2:$L$799,MATCH("신약|"&amp;TEXT(B482,"yyyy-mm-dd"),A타입_제작표!$AQ$2:$AQ$799,0)),""))</f>
        <v>계 12:1-17  여자와 용</v>
      </c>
      <c r="F482" s="24" t="str">
        <f aca="false">IF(B482="","",IFERROR("시편 "&amp;INDEX(시편_시리즈!$A$2:$A$151,MATCH("시편|"&amp;TEXT(B482,"yyyy-mm-dd"),시편_시리즈!$Y$2:$Y$151,0))&amp;"편  "&amp;INDEX(시편_시리즈!$G$2:$G$151,MATCH("시편|"&amp;TEXT(B482,"yyyy-mm-dd"),시편_시리즈!$Y$2:$Y$151,0)),""))</f>
        <v/>
      </c>
      <c r="G482" s="23" t="n">
        <f aca="false">IF(B482="","",(D482&lt;&gt;"")+(E482&lt;&gt;"")+(F482&lt;&gt;""))</f>
        <v>2</v>
      </c>
      <c r="H482" s="31" t="s">
        <v>10282</v>
      </c>
    </row>
    <row r="483" customFormat="false" ht="15" hidden="false" customHeight="false" outlineLevel="0" collapsed="false">
      <c r="A483" s="23" t="n">
        <f aca="false">IF(B483="","",482)</f>
        <v>482</v>
      </c>
      <c r="B483" s="26" t="n">
        <f aca="false">IF(안내!$C$9+481&gt;MAX(MAX(A타입_제작표!$U$2:$U$799),MAX(시편_시리즈!$Q$2:$Q$151)),"",안내!$C$9+481)</f>
        <v>46872</v>
      </c>
      <c r="C483" s="23" t="str">
        <f aca="false">IF(B483="","",CHOOSE(WEEKDAY(B483,2),"월","화","수","목","금","토","일"))</f>
        <v>토</v>
      </c>
      <c r="D483" s="24" t="str">
        <f aca="false">IF(B483="","",IFERROR(INDEX(A타입_제작표!$J$2:$J$799,MATCH("구약|"&amp;TEXT(B483,"yyyy-mm-dd"),A타입_제작표!$AQ$2:$AQ$799,0))&amp;"  "&amp;INDEX(A타입_제작표!$L$2:$L$799,MATCH("구약|"&amp;TEXT(B483,"yyyy-mm-dd"),A타입_제작표!$AQ$2:$AQ$799,0)),""))</f>
        <v>애 4:1-5:22  우리를 돌이키소서</v>
      </c>
      <c r="E483" s="24" t="str">
        <f aca="false">IF(B483="","",IFERROR(INDEX(A타입_제작표!$J$2:$J$799,MATCH("신약|"&amp;TEXT(B483,"yyyy-mm-dd"),A타입_제작표!$AQ$2:$AQ$799,0))&amp;"  "&amp;INDEX(A타입_제작표!$L$2:$L$799,MATCH("신약|"&amp;TEXT(B483,"yyyy-mm-dd"),A타입_제작표!$AQ$2:$AQ$799,0)),""))</f>
        <v>계 13:1-18  두 짐승과 666</v>
      </c>
      <c r="F483" s="24" t="str">
        <f aca="false">IF(B483="","",IFERROR("시편 "&amp;INDEX(시편_시리즈!$A$2:$A$151,MATCH("시편|"&amp;TEXT(B483,"yyyy-mm-dd"),시편_시리즈!$Y$2:$Y$151,0))&amp;"편  "&amp;INDEX(시편_시리즈!$G$2:$G$151,MATCH("시편|"&amp;TEXT(B483,"yyyy-mm-dd"),시편_시리즈!$Y$2:$Y$151,0)),""))</f>
        <v/>
      </c>
      <c r="G483" s="23" t="n">
        <f aca="false">IF(B483="","",(D483&lt;&gt;"")+(E483&lt;&gt;"")+(F483&lt;&gt;""))</f>
        <v>2</v>
      </c>
      <c r="H483" s="31" t="s">
        <v>10282</v>
      </c>
    </row>
    <row r="484" customFormat="false" ht="15" hidden="false" customHeight="false" outlineLevel="0" collapsed="false">
      <c r="A484" s="23" t="n">
        <f aca="false">IF(B484="","",483)</f>
        <v>483</v>
      </c>
      <c r="B484" s="26" t="n">
        <f aca="false">IF(안내!$C$9+482&gt;MAX(MAX(A타입_제작표!$U$2:$U$799),MAX(시편_시리즈!$Q$2:$Q$151)),"",안내!$C$9+482)</f>
        <v>46873</v>
      </c>
      <c r="C484" s="23" t="str">
        <f aca="false">IF(B484="","",CHOOSE(WEEKDAY(B484,2),"월","화","수","목","금","토","일"))</f>
        <v>일</v>
      </c>
      <c r="D484" s="24" t="str">
        <f aca="false">IF(B484="","",IFERROR(INDEX(A타입_제작표!$J$2:$J$799,MATCH("구약|"&amp;TEXT(B484,"yyyy-mm-dd"),A타입_제작표!$AQ$2:$AQ$799,0))&amp;"  "&amp;INDEX(A타입_제작표!$L$2:$L$799,MATCH("구약|"&amp;TEXT(B484,"yyyy-mm-dd"),A타입_제작표!$AQ$2:$AQ$799,0)),""))</f>
        <v>겔 1:1-28  그발 강가의 환상</v>
      </c>
      <c r="E484" s="24" t="str">
        <f aca="false">IF(B484="","",IFERROR(INDEX(A타입_제작표!$J$2:$J$799,MATCH("신약|"&amp;TEXT(B484,"yyyy-mm-dd"),A타입_제작표!$AQ$2:$AQ$799,0))&amp;"  "&amp;INDEX(A타입_제작표!$L$2:$L$799,MATCH("신약|"&amp;TEXT(B484,"yyyy-mm-dd"),A타입_제작표!$AQ$2:$AQ$799,0)),""))</f>
        <v/>
      </c>
      <c r="F484" s="24" t="str">
        <f aca="false">IF(B484="","",IFERROR("시편 "&amp;INDEX(시편_시리즈!$A$2:$A$151,MATCH("시편|"&amp;TEXT(B484,"yyyy-mm-dd"),시편_시리즈!$Y$2:$Y$151,0))&amp;"편  "&amp;INDEX(시편_시리즈!$G$2:$G$151,MATCH("시편|"&amp;TEXT(B484,"yyyy-mm-dd"),시편_시리즈!$Y$2:$Y$151,0)),""))</f>
        <v/>
      </c>
      <c r="G484" s="23" t="n">
        <f aca="false">IF(B484="","",(D484&lt;&gt;"")+(E484&lt;&gt;"")+(F484&lt;&gt;""))</f>
        <v>1</v>
      </c>
      <c r="H484" s="31" t="s">
        <v>10282</v>
      </c>
    </row>
    <row r="485" customFormat="false" ht="15" hidden="false" customHeight="false" outlineLevel="0" collapsed="false">
      <c r="A485" s="23" t="n">
        <f aca="false">IF(B485="","",484)</f>
        <v>484</v>
      </c>
      <c r="B485" s="26" t="n">
        <f aca="false">IF(안내!$C$9+483&gt;MAX(MAX(A타입_제작표!$U$2:$U$799),MAX(시편_시리즈!$Q$2:$Q$151)),"",안내!$C$9+483)</f>
        <v>46874</v>
      </c>
      <c r="C485" s="23" t="str">
        <f aca="false">IF(B485="","",CHOOSE(WEEKDAY(B485,2),"월","화","수","목","금","토","일"))</f>
        <v>월</v>
      </c>
      <c r="D485" s="24" t="str">
        <f aca="false">IF(B485="","",IFERROR(INDEX(A타입_제작표!$J$2:$J$799,MATCH("구약|"&amp;TEXT(B485,"yyyy-mm-dd"),A타입_제작표!$AQ$2:$AQ$799,0))&amp;"  "&amp;INDEX(A타입_제작표!$L$2:$L$799,MATCH("구약|"&amp;TEXT(B485,"yyyy-mm-dd"),A타입_제작표!$AQ$2:$AQ$799,0)),""))</f>
        <v>겔 2:1-3:27  두루마리를 먹다</v>
      </c>
      <c r="E485" s="24" t="str">
        <f aca="false">IF(B485="","",IFERROR(INDEX(A타입_제작표!$J$2:$J$799,MATCH("신약|"&amp;TEXT(B485,"yyyy-mm-dd"),A타입_제작표!$AQ$2:$AQ$799,0))&amp;"  "&amp;INDEX(A타입_제작표!$L$2:$L$799,MATCH("신약|"&amp;TEXT(B485,"yyyy-mm-dd"),A타입_제작표!$AQ$2:$AQ$799,0)),""))</f>
        <v>계 14:1-20  주 안에서 죽는 자들은 복이 있도다</v>
      </c>
      <c r="F485" s="24" t="str">
        <f aca="false">IF(B485="","",IFERROR("시편 "&amp;INDEX(시편_시리즈!$A$2:$A$151,MATCH("시편|"&amp;TEXT(B485,"yyyy-mm-dd"),시편_시리즈!$Y$2:$Y$151,0))&amp;"편  "&amp;INDEX(시편_시리즈!$G$2:$G$151,MATCH("시편|"&amp;TEXT(B485,"yyyy-mm-dd"),시편_시리즈!$Y$2:$Y$151,0)),""))</f>
        <v/>
      </c>
      <c r="G485" s="23" t="n">
        <f aca="false">IF(B485="","",(D485&lt;&gt;"")+(E485&lt;&gt;"")+(F485&lt;&gt;""))</f>
        <v>2</v>
      </c>
      <c r="H485" s="31" t="s">
        <v>10282</v>
      </c>
    </row>
    <row r="486" customFormat="false" ht="15" hidden="false" customHeight="false" outlineLevel="0" collapsed="false">
      <c r="A486" s="23" t="n">
        <f aca="false">IF(B486="","",485)</f>
        <v>485</v>
      </c>
      <c r="B486" s="26" t="n">
        <f aca="false">IF(안내!$C$9+484&gt;MAX(MAX(A타입_제작표!$U$2:$U$799),MAX(시편_시리즈!$Q$2:$Q$151)),"",안내!$C$9+484)</f>
        <v>46875</v>
      </c>
      <c r="C486" s="23" t="str">
        <f aca="false">IF(B486="","",CHOOSE(WEEKDAY(B486,2),"월","화","수","목","금","토","일"))</f>
        <v>화</v>
      </c>
      <c r="D486" s="24" t="str">
        <f aca="false">IF(B486="","",IFERROR(INDEX(A타입_제작표!$J$2:$J$799,MATCH("구약|"&amp;TEXT(B486,"yyyy-mm-dd"),A타입_제작표!$AQ$2:$AQ$799,0))&amp;"  "&amp;INDEX(A타입_제작표!$L$2:$L$799,MATCH("구약|"&amp;TEXT(B486,"yyyy-mm-dd"),A타입_제작표!$AQ$2:$AQ$799,0)),""))</f>
        <v>겔 4:1-7:27  390일 동안 누운 선지자</v>
      </c>
      <c r="E486" s="24" t="str">
        <f aca="false">IF(B486="","",IFERROR(INDEX(A타입_제작표!$J$2:$J$799,MATCH("신약|"&amp;TEXT(B486,"yyyy-mm-dd"),A타입_제작표!$AQ$2:$AQ$799,0))&amp;"  "&amp;INDEX(A타입_제작표!$L$2:$L$799,MATCH("신약|"&amp;TEXT(B486,"yyyy-mm-dd"),A타입_제작표!$AQ$2:$AQ$799,0)),""))</f>
        <v/>
      </c>
      <c r="F486" s="24" t="str">
        <f aca="false">IF(B486="","",IFERROR("시편 "&amp;INDEX(시편_시리즈!$A$2:$A$151,MATCH("시편|"&amp;TEXT(B486,"yyyy-mm-dd"),시편_시리즈!$Y$2:$Y$151,0))&amp;"편  "&amp;INDEX(시편_시리즈!$G$2:$G$151,MATCH("시편|"&amp;TEXT(B486,"yyyy-mm-dd"),시편_시리즈!$Y$2:$Y$151,0)),""))</f>
        <v/>
      </c>
      <c r="G486" s="23" t="n">
        <f aca="false">IF(B486="","",(D486&lt;&gt;"")+(E486&lt;&gt;"")+(F486&lt;&gt;""))</f>
        <v>1</v>
      </c>
      <c r="H486" s="31" t="s">
        <v>10282</v>
      </c>
    </row>
    <row r="487" customFormat="false" ht="15" hidden="false" customHeight="false" outlineLevel="0" collapsed="false">
      <c r="A487" s="23" t="n">
        <f aca="false">IF(B487="","",486)</f>
        <v>486</v>
      </c>
      <c r="B487" s="26" t="n">
        <f aca="false">IF(안내!$C$9+485&gt;MAX(MAX(A타입_제작표!$U$2:$U$799),MAX(시편_시리즈!$Q$2:$Q$151)),"",안내!$C$9+485)</f>
        <v>46876</v>
      </c>
      <c r="C487" s="23" t="str">
        <f aca="false">IF(B487="","",CHOOSE(WEEKDAY(B487,2),"월","화","수","목","금","토","일"))</f>
        <v>수</v>
      </c>
      <c r="D487" s="24" t="str">
        <f aca="false">IF(B487="","",IFERROR(INDEX(A타입_제작표!$J$2:$J$799,MATCH("구약|"&amp;TEXT(B487,"yyyy-mm-dd"),A타입_제작표!$AQ$2:$AQ$799,0))&amp;"  "&amp;INDEX(A타입_제작표!$L$2:$L$799,MATCH("구약|"&amp;TEXT(B487,"yyyy-mm-dd"),A타입_제작표!$AQ$2:$AQ$799,0)),""))</f>
        <v>겔 8:1-11:25  성전을 떠나는 영광</v>
      </c>
      <c r="E487" s="24" t="str">
        <f aca="false">IF(B487="","",IFERROR(INDEX(A타입_제작표!$J$2:$J$799,MATCH("신약|"&amp;TEXT(B487,"yyyy-mm-dd"),A타입_제작표!$AQ$2:$AQ$799,0))&amp;"  "&amp;INDEX(A타입_제작표!$L$2:$L$799,MATCH("신약|"&amp;TEXT(B487,"yyyy-mm-dd"),A타입_제작표!$AQ$2:$AQ$799,0)),""))</f>
        <v>계 15:1-16:21  모세의 노래, 어린양의 노래</v>
      </c>
      <c r="F487" s="24" t="str">
        <f aca="false">IF(B487="","",IFERROR("시편 "&amp;INDEX(시편_시리즈!$A$2:$A$151,MATCH("시편|"&amp;TEXT(B487,"yyyy-mm-dd"),시편_시리즈!$Y$2:$Y$151,0))&amp;"편  "&amp;INDEX(시편_시리즈!$G$2:$G$151,MATCH("시편|"&amp;TEXT(B487,"yyyy-mm-dd"),시편_시리즈!$Y$2:$Y$151,0)),""))</f>
        <v/>
      </c>
      <c r="G487" s="23" t="n">
        <f aca="false">IF(B487="","",(D487&lt;&gt;"")+(E487&lt;&gt;"")+(F487&lt;&gt;""))</f>
        <v>2</v>
      </c>
      <c r="H487" s="31" t="s">
        <v>10282</v>
      </c>
    </row>
    <row r="488" customFormat="false" ht="15" hidden="false" customHeight="false" outlineLevel="0" collapsed="false">
      <c r="A488" s="23" t="n">
        <f aca="false">IF(B488="","",487)</f>
        <v>487</v>
      </c>
      <c r="B488" s="26" t="n">
        <f aca="false">IF(안내!$C$9+486&gt;MAX(MAX(A타입_제작표!$U$2:$U$799),MAX(시편_시리즈!$Q$2:$Q$151)),"",안내!$C$9+486)</f>
        <v>46877</v>
      </c>
      <c r="C488" s="23" t="str">
        <f aca="false">IF(B488="","",CHOOSE(WEEKDAY(B488,2),"월","화","수","목","금","토","일"))</f>
        <v>목</v>
      </c>
      <c r="D488" s="24" t="str">
        <f aca="false">IF(B488="","",IFERROR(INDEX(A타입_제작표!$J$2:$J$799,MATCH("구약|"&amp;TEXT(B488,"yyyy-mm-dd"),A타입_제작표!$AQ$2:$AQ$799,0))&amp;"  "&amp;INDEX(A타입_제작표!$L$2:$L$799,MATCH("구약|"&amp;TEXT(B488,"yyyy-mm-dd"),A타입_제작표!$AQ$2:$AQ$799,0)),""))</f>
        <v>겔 12:1-17:24  낮은 나무를 높이시는 하나님</v>
      </c>
      <c r="E488" s="24" t="str">
        <f aca="false">IF(B488="","",IFERROR(INDEX(A타입_제작표!$J$2:$J$799,MATCH("신약|"&amp;TEXT(B488,"yyyy-mm-dd"),A타입_제작표!$AQ$2:$AQ$799,0))&amp;"  "&amp;INDEX(A타입_제작표!$L$2:$L$799,MATCH("신약|"&amp;TEXT(B488,"yyyy-mm-dd"),A타입_제작표!$AQ$2:$AQ$799,0)),""))</f>
        <v/>
      </c>
      <c r="F488" s="24" t="str">
        <f aca="false">IF(B488="","",IFERROR("시편 "&amp;INDEX(시편_시리즈!$A$2:$A$151,MATCH("시편|"&amp;TEXT(B488,"yyyy-mm-dd"),시편_시리즈!$Y$2:$Y$151,0))&amp;"편  "&amp;INDEX(시편_시리즈!$G$2:$G$151,MATCH("시편|"&amp;TEXT(B488,"yyyy-mm-dd"),시편_시리즈!$Y$2:$Y$151,0)),""))</f>
        <v/>
      </c>
      <c r="G488" s="23" t="n">
        <f aca="false">IF(B488="","",(D488&lt;&gt;"")+(E488&lt;&gt;"")+(F488&lt;&gt;""))</f>
        <v>1</v>
      </c>
      <c r="H488" s="31" t="s">
        <v>10282</v>
      </c>
    </row>
    <row r="489" customFormat="false" ht="15" hidden="false" customHeight="false" outlineLevel="0" collapsed="false">
      <c r="A489" s="23" t="n">
        <f aca="false">IF(B489="","",488)</f>
        <v>488</v>
      </c>
      <c r="B489" s="26" t="n">
        <f aca="false">IF(안내!$C$9+487&gt;MAX(MAX(A타입_제작표!$U$2:$U$799),MAX(시편_시리즈!$Q$2:$Q$151)),"",안내!$C$9+487)</f>
        <v>46878</v>
      </c>
      <c r="C489" s="23" t="str">
        <f aca="false">IF(B489="","",CHOOSE(WEEKDAY(B489,2),"월","화","수","목","금","토","일"))</f>
        <v>금</v>
      </c>
      <c r="D489" s="24" t="str">
        <f aca="false">IF(B489="","",IFERROR(INDEX(A타입_제작표!$J$2:$J$799,MATCH("구약|"&amp;TEXT(B489,"yyyy-mm-dd"),A타입_제작표!$AQ$2:$AQ$799,0))&amp;"  "&amp;INDEX(A타입_제작표!$L$2:$L$799,MATCH("구약|"&amp;TEXT(B489,"yyyy-mm-dd"),A타입_제작표!$AQ$2:$AQ$799,0)),""))</f>
        <v>겔 18:1-32  각자의 책임</v>
      </c>
      <c r="E489" s="24" t="str">
        <f aca="false">IF(B489="","",IFERROR(INDEX(A타입_제작표!$J$2:$J$799,MATCH("신약|"&amp;TEXT(B489,"yyyy-mm-dd"),A타입_제작표!$AQ$2:$AQ$799,0))&amp;"  "&amp;INDEX(A타입_제작표!$L$2:$L$799,MATCH("신약|"&amp;TEXT(B489,"yyyy-mm-dd"),A타입_제작표!$AQ$2:$AQ$799,0)),""))</f>
        <v>계 17:1-18:24  바벨론에서 나오라</v>
      </c>
      <c r="F489" s="24" t="str">
        <f aca="false">IF(B489="","",IFERROR("시편 "&amp;INDEX(시편_시리즈!$A$2:$A$151,MATCH("시편|"&amp;TEXT(B489,"yyyy-mm-dd"),시편_시리즈!$Y$2:$Y$151,0))&amp;"편  "&amp;INDEX(시편_시리즈!$G$2:$G$151,MATCH("시편|"&amp;TEXT(B489,"yyyy-mm-dd"),시편_시리즈!$Y$2:$Y$151,0)),""))</f>
        <v/>
      </c>
      <c r="G489" s="23" t="n">
        <f aca="false">IF(B489="","",(D489&lt;&gt;"")+(E489&lt;&gt;"")+(F489&lt;&gt;""))</f>
        <v>2</v>
      </c>
      <c r="H489" s="31" t="s">
        <v>10282</v>
      </c>
    </row>
    <row r="490" customFormat="false" ht="15" hidden="false" customHeight="false" outlineLevel="0" collapsed="false">
      <c r="A490" s="23" t="n">
        <f aca="false">IF(B490="","",489)</f>
        <v>489</v>
      </c>
      <c r="B490" s="26" t="n">
        <f aca="false">IF(안내!$C$9+488&gt;MAX(MAX(A타입_제작표!$U$2:$U$799),MAX(시편_시리즈!$Q$2:$Q$151)),"",안내!$C$9+488)</f>
        <v>46879</v>
      </c>
      <c r="C490" s="23" t="str">
        <f aca="false">IF(B490="","",CHOOSE(WEEKDAY(B490,2),"월","화","수","목","금","토","일"))</f>
        <v>토</v>
      </c>
      <c r="D490" s="24" t="str">
        <f aca="false">IF(B490="","",IFERROR(INDEX(A타입_제작표!$J$2:$J$799,MATCH("구약|"&amp;TEXT(B490,"yyyy-mm-dd"),A타입_제작표!$AQ$2:$AQ$799,0))&amp;"  "&amp;INDEX(A타입_제작표!$L$2:$L$799,MATCH("구약|"&amp;TEXT(B490,"yyyy-mm-dd"),A타입_제작표!$AQ$2:$AQ$799,0)),""))</f>
        <v>겔 19:1-24:27  아내를 잃은 선지자</v>
      </c>
      <c r="E490" s="24" t="str">
        <f aca="false">IF(B490="","",IFERROR(INDEX(A타입_제작표!$J$2:$J$799,MATCH("신약|"&amp;TEXT(B490,"yyyy-mm-dd"),A타입_제작표!$AQ$2:$AQ$799,0))&amp;"  "&amp;INDEX(A타입_제작표!$L$2:$L$799,MATCH("신약|"&amp;TEXT(B490,"yyyy-mm-dd"),A타입_제작표!$AQ$2:$AQ$799,0)),""))</f>
        <v>계 19:11-21  백마 탄 자</v>
      </c>
      <c r="F490" s="24" t="str">
        <f aca="false">IF(B490="","",IFERROR("시편 "&amp;INDEX(시편_시리즈!$A$2:$A$151,MATCH("시편|"&amp;TEXT(B490,"yyyy-mm-dd"),시편_시리즈!$Y$2:$Y$151,0))&amp;"편  "&amp;INDEX(시편_시리즈!$G$2:$G$151,MATCH("시편|"&amp;TEXT(B490,"yyyy-mm-dd"),시편_시리즈!$Y$2:$Y$151,0)),""))</f>
        <v/>
      </c>
      <c r="G490" s="23" t="n">
        <f aca="false">IF(B490="","",(D490&lt;&gt;"")+(E490&lt;&gt;"")+(F490&lt;&gt;""))</f>
        <v>2</v>
      </c>
      <c r="H490" s="31" t="s">
        <v>10282</v>
      </c>
    </row>
    <row r="491" customFormat="false" ht="15" hidden="false" customHeight="false" outlineLevel="0" collapsed="false">
      <c r="A491" s="23" t="n">
        <f aca="false">IF(B491="","",490)</f>
        <v>490</v>
      </c>
      <c r="B491" s="26" t="n">
        <f aca="false">IF(안내!$C$9+489&gt;MAX(MAX(A타입_제작표!$U$2:$U$799),MAX(시편_시리즈!$Q$2:$Q$151)),"",안내!$C$9+489)</f>
        <v>46880</v>
      </c>
      <c r="C491" s="23" t="str">
        <f aca="false">IF(B491="","",CHOOSE(WEEKDAY(B491,2),"월","화","수","목","금","토","일"))</f>
        <v>일</v>
      </c>
      <c r="D491" s="24" t="str">
        <f aca="false">IF(B491="","",IFERROR(INDEX(A타입_제작표!$J$2:$J$799,MATCH("구약|"&amp;TEXT(B491,"yyyy-mm-dd"),A타입_제작표!$AQ$2:$AQ$799,0))&amp;"  "&amp;INDEX(A타입_제작표!$L$2:$L$799,MATCH("구약|"&amp;TEXT(B491,"yyyy-mm-dd"),A타입_제작표!$AQ$2:$AQ$799,0)),""))</f>
        <v>겔 25:1-32:32  열방을 향한 심판</v>
      </c>
      <c r="E491" s="24" t="str">
        <f aca="false">IF(B491="","",IFERROR(INDEX(A타입_제작표!$J$2:$J$799,MATCH("신약|"&amp;TEXT(B491,"yyyy-mm-dd"),A타입_제작표!$AQ$2:$AQ$799,0))&amp;"  "&amp;INDEX(A타입_제작표!$L$2:$L$799,MATCH("신약|"&amp;TEXT(B491,"yyyy-mm-dd"),A타입_제작표!$AQ$2:$AQ$799,0)),""))</f>
        <v/>
      </c>
      <c r="F491" s="24" t="str">
        <f aca="false">IF(B491="","",IFERROR("시편 "&amp;INDEX(시편_시리즈!$A$2:$A$151,MATCH("시편|"&amp;TEXT(B491,"yyyy-mm-dd"),시편_시리즈!$Y$2:$Y$151,0))&amp;"편  "&amp;INDEX(시편_시리즈!$G$2:$G$151,MATCH("시편|"&amp;TEXT(B491,"yyyy-mm-dd"),시편_시리즈!$Y$2:$Y$151,0)),""))</f>
        <v/>
      </c>
      <c r="G491" s="23" t="n">
        <f aca="false">IF(B491="","",(D491&lt;&gt;"")+(E491&lt;&gt;"")+(F491&lt;&gt;""))</f>
        <v>1</v>
      </c>
      <c r="H491" s="31" t="s">
        <v>10282</v>
      </c>
    </row>
    <row r="492" customFormat="false" ht="15" hidden="false" customHeight="false" outlineLevel="0" collapsed="false">
      <c r="A492" s="23" t="n">
        <f aca="false">IF(B492="","",491)</f>
        <v>491</v>
      </c>
      <c r="B492" s="26" t="n">
        <f aca="false">IF(안내!$C$9+490&gt;MAX(MAX(A타입_제작표!$U$2:$U$799),MAX(시편_시리즈!$Q$2:$Q$151)),"",안내!$C$9+490)</f>
        <v>46881</v>
      </c>
      <c r="C492" s="23" t="str">
        <f aca="false">IF(B492="","",CHOOSE(WEEKDAY(B492,2),"월","화","수","목","금","토","일"))</f>
        <v>월</v>
      </c>
      <c r="D492" s="24" t="str">
        <f aca="false">IF(B492="","",IFERROR(INDEX(A타입_제작표!$J$2:$J$799,MATCH("구약|"&amp;TEXT(B492,"yyyy-mm-dd"),A타입_제작표!$AQ$2:$AQ$799,0))&amp;"  "&amp;INDEX(A타입_제작표!$L$2:$L$799,MATCH("구약|"&amp;TEXT(B492,"yyyy-mm-dd"),A타입_제작표!$AQ$2:$AQ$799,0)),""))</f>
        <v>겔 33:1-33  파수꾼의 책임</v>
      </c>
      <c r="E492" s="24" t="str">
        <f aca="false">IF(B492="","",IFERROR(INDEX(A타입_제작표!$J$2:$J$799,MATCH("신약|"&amp;TEXT(B492,"yyyy-mm-dd"),A타입_제작표!$AQ$2:$AQ$799,0))&amp;"  "&amp;INDEX(A타입_제작표!$L$2:$L$799,MATCH("신약|"&amp;TEXT(B492,"yyyy-mm-dd"),A타입_제작표!$AQ$2:$AQ$799,0)),""))</f>
        <v>계 20:1-15  천 년과 흰 보좌 심판</v>
      </c>
      <c r="F492" s="24" t="str">
        <f aca="false">IF(B492="","",IFERROR("시편 "&amp;INDEX(시편_시리즈!$A$2:$A$151,MATCH("시편|"&amp;TEXT(B492,"yyyy-mm-dd"),시편_시리즈!$Y$2:$Y$151,0))&amp;"편  "&amp;INDEX(시편_시리즈!$G$2:$G$151,MATCH("시편|"&amp;TEXT(B492,"yyyy-mm-dd"),시편_시리즈!$Y$2:$Y$151,0)),""))</f>
        <v/>
      </c>
      <c r="G492" s="23" t="n">
        <f aca="false">IF(B492="","",(D492&lt;&gt;"")+(E492&lt;&gt;"")+(F492&lt;&gt;""))</f>
        <v>2</v>
      </c>
      <c r="H492" s="31" t="s">
        <v>10282</v>
      </c>
    </row>
    <row r="493" customFormat="false" ht="15" hidden="false" customHeight="false" outlineLevel="0" collapsed="false">
      <c r="A493" s="23" t="n">
        <f aca="false">IF(B493="","",492)</f>
        <v>492</v>
      </c>
      <c r="B493" s="26" t="n">
        <f aca="false">IF(안내!$C$9+491&gt;MAX(MAX(A타입_제작표!$U$2:$U$799),MAX(시편_시리즈!$Q$2:$Q$151)),"",안내!$C$9+491)</f>
        <v>46882</v>
      </c>
      <c r="C493" s="23" t="str">
        <f aca="false">IF(B493="","",CHOOSE(WEEKDAY(B493,2),"월","화","수","목","금","토","일"))</f>
        <v>화</v>
      </c>
      <c r="D493" s="24" t="str">
        <f aca="false">IF(B493="","",IFERROR(INDEX(A타입_제작표!$J$2:$J$799,MATCH("구약|"&amp;TEXT(B493,"yyyy-mm-dd"),A타입_제작표!$AQ$2:$AQ$799,0))&amp;"  "&amp;INDEX(A타입_제작표!$L$2:$L$799,MATCH("구약|"&amp;TEXT(B493,"yyyy-mm-dd"),A타입_제작표!$AQ$2:$AQ$799,0)),""))</f>
        <v>겔 34:1-35:15  참 목자</v>
      </c>
      <c r="E493" s="24" t="str">
        <f aca="false">IF(B493="","",IFERROR(INDEX(A타입_제작표!$J$2:$J$799,MATCH("신약|"&amp;TEXT(B493,"yyyy-mm-dd"),A타입_제작표!$AQ$2:$AQ$799,0))&amp;"  "&amp;INDEX(A타입_제작표!$L$2:$L$799,MATCH("신약|"&amp;TEXT(B493,"yyyy-mm-dd"),A타입_제작표!$AQ$2:$AQ$799,0)),""))</f>
        <v/>
      </c>
      <c r="F493" s="24" t="str">
        <f aca="false">IF(B493="","",IFERROR("시편 "&amp;INDEX(시편_시리즈!$A$2:$A$151,MATCH("시편|"&amp;TEXT(B493,"yyyy-mm-dd"),시편_시리즈!$Y$2:$Y$151,0))&amp;"편  "&amp;INDEX(시편_시리즈!$G$2:$G$151,MATCH("시편|"&amp;TEXT(B493,"yyyy-mm-dd"),시편_시리즈!$Y$2:$Y$151,0)),""))</f>
        <v/>
      </c>
      <c r="G493" s="23" t="n">
        <f aca="false">IF(B493="","",(D493&lt;&gt;"")+(E493&lt;&gt;"")+(F493&lt;&gt;""))</f>
        <v>1</v>
      </c>
      <c r="H493" s="31" t="s">
        <v>10282</v>
      </c>
    </row>
    <row r="494" customFormat="false" ht="15" hidden="false" customHeight="false" outlineLevel="0" collapsed="false">
      <c r="A494" s="23" t="n">
        <f aca="false">IF(B494="","",493)</f>
        <v>493</v>
      </c>
      <c r="B494" s="26" t="n">
        <f aca="false">IF(안내!$C$9+492&gt;MAX(MAX(A타입_제작표!$U$2:$U$799),MAX(시편_시리즈!$Q$2:$Q$151)),"",안내!$C$9+492)</f>
        <v>46883</v>
      </c>
      <c r="C494" s="23" t="str">
        <f aca="false">IF(B494="","",CHOOSE(WEEKDAY(B494,2),"월","화","수","목","금","토","일"))</f>
        <v>수</v>
      </c>
      <c r="D494" s="24" t="str">
        <f aca="false">IF(B494="","",IFERROR(INDEX(A타입_제작표!$J$2:$J$799,MATCH("구약|"&amp;TEXT(B494,"yyyy-mm-dd"),A타입_제작표!$AQ$2:$AQ$799,0))&amp;"  "&amp;INDEX(A타입_제작표!$L$2:$L$799,MATCH("구약|"&amp;TEXT(B494,"yyyy-mm-dd"),A타입_제작표!$AQ$2:$AQ$799,0)),""))</f>
        <v>겔 36:1-38  새 마음</v>
      </c>
      <c r="E494" s="24" t="str">
        <f aca="false">IF(B494="","",IFERROR(INDEX(A타입_제작표!$J$2:$J$799,MATCH("신약|"&amp;TEXT(B494,"yyyy-mm-dd"),A타입_제작표!$AQ$2:$AQ$799,0))&amp;"  "&amp;INDEX(A타입_제작표!$L$2:$L$799,MATCH("신약|"&amp;TEXT(B494,"yyyy-mm-dd"),A타입_제작표!$AQ$2:$AQ$799,0)),""))</f>
        <v/>
      </c>
      <c r="F494" s="24" t="str">
        <f aca="false">IF(B494="","",IFERROR("시편 "&amp;INDEX(시편_시리즈!$A$2:$A$151,MATCH("시편|"&amp;TEXT(B494,"yyyy-mm-dd"),시편_시리즈!$Y$2:$Y$151,0))&amp;"편  "&amp;INDEX(시편_시리즈!$G$2:$G$151,MATCH("시편|"&amp;TEXT(B494,"yyyy-mm-dd"),시편_시리즈!$Y$2:$Y$151,0)),""))</f>
        <v/>
      </c>
      <c r="G494" s="23" t="n">
        <f aca="false">IF(B494="","",(D494&lt;&gt;"")+(E494&lt;&gt;"")+(F494&lt;&gt;""))</f>
        <v>1</v>
      </c>
      <c r="H494" s="31" t="s">
        <v>10282</v>
      </c>
    </row>
    <row r="495" customFormat="false" ht="15" hidden="false" customHeight="false" outlineLevel="0" collapsed="false">
      <c r="A495" s="23" t="n">
        <f aca="false">IF(B495="","",494)</f>
        <v>494</v>
      </c>
      <c r="B495" s="26" t="n">
        <f aca="false">IF(안내!$C$9+493&gt;MAX(MAX(A타입_제작표!$U$2:$U$799),MAX(시편_시리즈!$Q$2:$Q$151)),"",안내!$C$9+493)</f>
        <v>46884</v>
      </c>
      <c r="C495" s="23" t="str">
        <f aca="false">IF(B495="","",CHOOSE(WEEKDAY(B495,2),"월","화","수","목","금","토","일"))</f>
        <v>목</v>
      </c>
      <c r="D495" s="24" t="str">
        <f aca="false">IF(B495="","",IFERROR(INDEX(A타입_제작표!$J$2:$J$799,MATCH("구약|"&amp;TEXT(B495,"yyyy-mm-dd"),A타입_제작표!$AQ$2:$AQ$799,0))&amp;"  "&amp;INDEX(A타입_제작표!$L$2:$L$799,MATCH("구약|"&amp;TEXT(B495,"yyyy-mm-dd"),A타입_제작표!$AQ$2:$AQ$799,0)),""))</f>
        <v>겔 37:15-39:29  두 막대기와 곡</v>
      </c>
      <c r="E495" s="24" t="str">
        <f aca="false">IF(B495="","",IFERROR(INDEX(A타입_제작표!$J$2:$J$799,MATCH("신약|"&amp;TEXT(B495,"yyyy-mm-dd"),A타입_제작표!$AQ$2:$AQ$799,0))&amp;"  "&amp;INDEX(A타입_제작표!$L$2:$L$799,MATCH("신약|"&amp;TEXT(B495,"yyyy-mm-dd"),A타입_제작표!$AQ$2:$AQ$799,0)),""))</f>
        <v/>
      </c>
      <c r="F495" s="24" t="str">
        <f aca="false">IF(B495="","",IFERROR("시편 "&amp;INDEX(시편_시리즈!$A$2:$A$151,MATCH("시편|"&amp;TEXT(B495,"yyyy-mm-dd"),시편_시리즈!$Y$2:$Y$151,0))&amp;"편  "&amp;INDEX(시편_시리즈!$G$2:$G$151,MATCH("시편|"&amp;TEXT(B495,"yyyy-mm-dd"),시편_시리즈!$Y$2:$Y$151,0)),""))</f>
        <v/>
      </c>
      <c r="G495" s="23" t="n">
        <f aca="false">IF(B495="","",(D495&lt;&gt;"")+(E495&lt;&gt;"")+(F495&lt;&gt;""))</f>
        <v>1</v>
      </c>
      <c r="H495" s="31" t="s">
        <v>10282</v>
      </c>
    </row>
    <row r="496" customFormat="false" ht="15" hidden="false" customHeight="false" outlineLevel="0" collapsed="false">
      <c r="A496" s="23" t="n">
        <f aca="false">IF(B496="","",495)</f>
        <v>495</v>
      </c>
      <c r="B496" s="26" t="n">
        <f aca="false">IF(안내!$C$9+494&gt;MAX(MAX(A타입_제작표!$U$2:$U$799),MAX(시편_시리즈!$Q$2:$Q$151)),"",안내!$C$9+494)</f>
        <v>46885</v>
      </c>
      <c r="C496" s="23" t="str">
        <f aca="false">IF(B496="","",CHOOSE(WEEKDAY(B496,2),"월","화","수","목","금","토","일"))</f>
        <v>금</v>
      </c>
      <c r="D496" s="24" t="str">
        <f aca="false">IF(B496="","",IFERROR(INDEX(A타입_제작표!$J$2:$J$799,MATCH("구약|"&amp;TEXT(B496,"yyyy-mm-dd"),A타입_제작표!$AQ$2:$AQ$799,0))&amp;"  "&amp;INDEX(A타입_제작표!$L$2:$L$799,MATCH("구약|"&amp;TEXT(B496,"yyyy-mm-dd"),A타입_제작표!$AQ$2:$AQ$799,0)),""))</f>
        <v>겔 40:1-48:35  생명수 강</v>
      </c>
      <c r="E496" s="24" t="str">
        <f aca="false">IF(B496="","",IFERROR(INDEX(A타입_제작표!$J$2:$J$799,MATCH("신약|"&amp;TEXT(B496,"yyyy-mm-dd"),A타입_제작표!$AQ$2:$AQ$799,0))&amp;"  "&amp;INDEX(A타입_제작표!$L$2:$L$799,MATCH("신약|"&amp;TEXT(B496,"yyyy-mm-dd"),A타입_제작표!$AQ$2:$AQ$799,0)),""))</f>
        <v/>
      </c>
      <c r="F496" s="24" t="str">
        <f aca="false">IF(B496="","",IFERROR("시편 "&amp;INDEX(시편_시리즈!$A$2:$A$151,MATCH("시편|"&amp;TEXT(B496,"yyyy-mm-dd"),시편_시리즈!$Y$2:$Y$151,0))&amp;"편  "&amp;INDEX(시편_시리즈!$G$2:$G$151,MATCH("시편|"&amp;TEXT(B496,"yyyy-mm-dd"),시편_시리즈!$Y$2:$Y$151,0)),""))</f>
        <v/>
      </c>
      <c r="G496" s="23" t="n">
        <f aca="false">IF(B496="","",(D496&lt;&gt;"")+(E496&lt;&gt;"")+(F496&lt;&gt;""))</f>
        <v>1</v>
      </c>
      <c r="H496" s="31" t="s">
        <v>10282</v>
      </c>
    </row>
    <row r="497" customFormat="false" ht="15" hidden="false" customHeight="false" outlineLevel="0" collapsed="false">
      <c r="A497" s="23" t="n">
        <f aca="false">IF(B497="","",496)</f>
        <v>496</v>
      </c>
      <c r="B497" s="26" t="n">
        <f aca="false">IF(안내!$C$9+495&gt;MAX(MAX(A타입_제작표!$U$2:$U$799),MAX(시편_시리즈!$Q$2:$Q$151)),"",안내!$C$9+495)</f>
        <v>46886</v>
      </c>
      <c r="C497" s="23" t="str">
        <f aca="false">IF(B497="","",CHOOSE(WEEKDAY(B497,2),"월","화","수","목","금","토","일"))</f>
        <v>토</v>
      </c>
      <c r="D497" s="24" t="str">
        <f aca="false">IF(B497="","",IFERROR(INDEX(A타입_제작표!$J$2:$J$799,MATCH("구약|"&amp;TEXT(B497,"yyyy-mm-dd"),A타입_제작표!$AQ$2:$AQ$799,0))&amp;"  "&amp;INDEX(A타입_제작표!$L$2:$L$799,MATCH("구약|"&amp;TEXT(B497,"yyyy-mm-dd"),A타입_제작표!$AQ$2:$AQ$799,0)),""))</f>
        <v>단 2:1-30  아무도 풀 수 없는 꿈</v>
      </c>
      <c r="E497" s="24" t="str">
        <f aca="false">IF(B497="","",IFERROR(INDEX(A타입_제작표!$J$2:$J$799,MATCH("신약|"&amp;TEXT(B497,"yyyy-mm-dd"),A타입_제작표!$AQ$2:$AQ$799,0))&amp;"  "&amp;INDEX(A타입_제작표!$L$2:$L$799,MATCH("신약|"&amp;TEXT(B497,"yyyy-mm-dd"),A타입_제작표!$AQ$2:$AQ$799,0)),""))</f>
        <v/>
      </c>
      <c r="F497" s="24" t="str">
        <f aca="false">IF(B497="","",IFERROR("시편 "&amp;INDEX(시편_시리즈!$A$2:$A$151,MATCH("시편|"&amp;TEXT(B497,"yyyy-mm-dd"),시편_시리즈!$Y$2:$Y$151,0))&amp;"편  "&amp;INDEX(시편_시리즈!$G$2:$G$151,MATCH("시편|"&amp;TEXT(B497,"yyyy-mm-dd"),시편_시리즈!$Y$2:$Y$151,0)),""))</f>
        <v/>
      </c>
      <c r="G497" s="23" t="n">
        <f aca="false">IF(B497="","",(D497&lt;&gt;"")+(E497&lt;&gt;"")+(F497&lt;&gt;""))</f>
        <v>1</v>
      </c>
      <c r="H497" s="31" t="s">
        <v>10282</v>
      </c>
    </row>
    <row r="498" customFormat="false" ht="15" hidden="false" customHeight="false" outlineLevel="0" collapsed="false">
      <c r="A498" s="23" t="n">
        <f aca="false">IF(B498="","",497)</f>
        <v>497</v>
      </c>
      <c r="B498" s="26" t="n">
        <f aca="false">IF(안내!$C$9+496&gt;MAX(MAX(A타입_제작표!$U$2:$U$799),MAX(시편_시리즈!$Q$2:$Q$151)),"",안내!$C$9+496)</f>
        <v>46887</v>
      </c>
      <c r="C498" s="23" t="str">
        <f aca="false">IF(B498="","",CHOOSE(WEEKDAY(B498,2),"월","화","수","목","금","토","일"))</f>
        <v>일</v>
      </c>
      <c r="D498" s="24" t="str">
        <f aca="false">IF(B498="","",IFERROR(INDEX(A타입_제작표!$J$2:$J$799,MATCH("구약|"&amp;TEXT(B498,"yyyy-mm-dd"),A타입_제작표!$AQ$2:$AQ$799,0))&amp;"  "&amp;INDEX(A타입_제작표!$L$2:$L$799,MATCH("구약|"&amp;TEXT(B498,"yyyy-mm-dd"),A타입_제작표!$AQ$2:$AQ$799,0)),""))</f>
        <v>단 2:31-49  거대한 신상과 뜨인 돌</v>
      </c>
      <c r="E498" s="24" t="str">
        <f aca="false">IF(B498="","",IFERROR(INDEX(A타입_제작표!$J$2:$J$799,MATCH("신약|"&amp;TEXT(B498,"yyyy-mm-dd"),A타입_제작표!$AQ$2:$AQ$799,0))&amp;"  "&amp;INDEX(A타입_제작표!$L$2:$L$799,MATCH("신약|"&amp;TEXT(B498,"yyyy-mm-dd"),A타입_제작표!$AQ$2:$AQ$799,0)),""))</f>
        <v/>
      </c>
      <c r="F498" s="24" t="str">
        <f aca="false">IF(B498="","",IFERROR("시편 "&amp;INDEX(시편_시리즈!$A$2:$A$151,MATCH("시편|"&amp;TEXT(B498,"yyyy-mm-dd"),시편_시리즈!$Y$2:$Y$151,0))&amp;"편  "&amp;INDEX(시편_시리즈!$G$2:$G$151,MATCH("시편|"&amp;TEXT(B498,"yyyy-mm-dd"),시편_시리즈!$Y$2:$Y$151,0)),""))</f>
        <v/>
      </c>
      <c r="G498" s="23" t="n">
        <f aca="false">IF(B498="","",(D498&lt;&gt;"")+(E498&lt;&gt;"")+(F498&lt;&gt;""))</f>
        <v>1</v>
      </c>
      <c r="H498" s="31" t="s">
        <v>10282</v>
      </c>
    </row>
    <row r="499" customFormat="false" ht="15" hidden="false" customHeight="false" outlineLevel="0" collapsed="false">
      <c r="A499" s="23" t="n">
        <f aca="false">IF(B499="","",498)</f>
        <v>498</v>
      </c>
      <c r="B499" s="26" t="n">
        <f aca="false">IF(안내!$C$9+497&gt;MAX(MAX(A타입_제작표!$U$2:$U$799),MAX(시편_시리즈!$Q$2:$Q$151)),"",안내!$C$9+497)</f>
        <v>46888</v>
      </c>
      <c r="C499" s="23" t="str">
        <f aca="false">IF(B499="","",CHOOSE(WEEKDAY(B499,2),"월","화","수","목","금","토","일"))</f>
        <v>월</v>
      </c>
      <c r="D499" s="24" t="str">
        <f aca="false">IF(B499="","",IFERROR(INDEX(A타입_제작표!$J$2:$J$799,MATCH("구약|"&amp;TEXT(B499,"yyyy-mm-dd"),A타입_제작표!$AQ$2:$AQ$799,0))&amp;"  "&amp;INDEX(A타입_제작표!$L$2:$L$799,MATCH("구약|"&amp;TEXT(B499,"yyyy-mm-dd"),A타입_제작표!$AQ$2:$AQ$799,0)),""))</f>
        <v>단 7:1-28  네 짐승과 인자 같은 이</v>
      </c>
      <c r="E499" s="24" t="str">
        <f aca="false">IF(B499="","",IFERROR(INDEX(A타입_제작표!$J$2:$J$799,MATCH("신약|"&amp;TEXT(B499,"yyyy-mm-dd"),A타입_제작표!$AQ$2:$AQ$799,0))&amp;"  "&amp;INDEX(A타입_제작표!$L$2:$L$799,MATCH("신약|"&amp;TEXT(B499,"yyyy-mm-dd"),A타입_제작표!$AQ$2:$AQ$799,0)),""))</f>
        <v/>
      </c>
      <c r="F499" s="24" t="str">
        <f aca="false">IF(B499="","",IFERROR("시편 "&amp;INDEX(시편_시리즈!$A$2:$A$151,MATCH("시편|"&amp;TEXT(B499,"yyyy-mm-dd"),시편_시리즈!$Y$2:$Y$151,0))&amp;"편  "&amp;INDEX(시편_시리즈!$G$2:$G$151,MATCH("시편|"&amp;TEXT(B499,"yyyy-mm-dd"),시편_시리즈!$Y$2:$Y$151,0)),""))</f>
        <v/>
      </c>
      <c r="G499" s="23" t="n">
        <f aca="false">IF(B499="","",(D499&lt;&gt;"")+(E499&lt;&gt;"")+(F499&lt;&gt;""))</f>
        <v>1</v>
      </c>
      <c r="H499" s="31" t="s">
        <v>10282</v>
      </c>
    </row>
    <row r="500" customFormat="false" ht="15" hidden="false" customHeight="false" outlineLevel="0" collapsed="false">
      <c r="A500" s="23" t="n">
        <f aca="false">IF(B500="","",499)</f>
        <v>499</v>
      </c>
      <c r="B500" s="26" t="n">
        <f aca="false">IF(안내!$C$9+498&gt;MAX(MAX(A타입_제작표!$U$2:$U$799),MAX(시편_시리즈!$Q$2:$Q$151)),"",안내!$C$9+498)</f>
        <v>46889</v>
      </c>
      <c r="C500" s="23" t="str">
        <f aca="false">IF(B500="","",CHOOSE(WEEKDAY(B500,2),"월","화","수","목","금","토","일"))</f>
        <v>화</v>
      </c>
      <c r="D500" s="24" t="str">
        <f aca="false">IF(B500="","",IFERROR(INDEX(A타입_제작표!$J$2:$J$799,MATCH("구약|"&amp;TEXT(B500,"yyyy-mm-dd"),A타입_제작표!$AQ$2:$AQ$799,0))&amp;"  "&amp;INDEX(A타입_제작표!$L$2:$L$799,MATCH("구약|"&amp;TEXT(B500,"yyyy-mm-dd"),A타입_제작표!$AQ$2:$AQ$799,0)),""))</f>
        <v>단 8:1-27  숫양과 숫염소</v>
      </c>
      <c r="E500" s="24" t="str">
        <f aca="false">IF(B500="","",IFERROR(INDEX(A타입_제작표!$J$2:$J$799,MATCH("신약|"&amp;TEXT(B500,"yyyy-mm-dd"),A타입_제작표!$AQ$2:$AQ$799,0))&amp;"  "&amp;INDEX(A타입_제작표!$L$2:$L$799,MATCH("신약|"&amp;TEXT(B500,"yyyy-mm-dd"),A타입_제작표!$AQ$2:$AQ$799,0)),""))</f>
        <v/>
      </c>
      <c r="F500" s="24" t="str">
        <f aca="false">IF(B500="","",IFERROR("시편 "&amp;INDEX(시편_시리즈!$A$2:$A$151,MATCH("시편|"&amp;TEXT(B500,"yyyy-mm-dd"),시편_시리즈!$Y$2:$Y$151,0))&amp;"편  "&amp;INDEX(시편_시리즈!$G$2:$G$151,MATCH("시편|"&amp;TEXT(B500,"yyyy-mm-dd"),시편_시리즈!$Y$2:$Y$151,0)),""))</f>
        <v/>
      </c>
      <c r="G500" s="23" t="n">
        <f aca="false">IF(B500="","",(D500&lt;&gt;"")+(E500&lt;&gt;"")+(F500&lt;&gt;""))</f>
        <v>1</v>
      </c>
      <c r="H500" s="31" t="s">
        <v>10282</v>
      </c>
    </row>
    <row r="501" customFormat="false" ht="15" hidden="false" customHeight="false" outlineLevel="0" collapsed="false">
      <c r="A501" s="23" t="n">
        <f aca="false">IF(B501="","",500)</f>
        <v>500</v>
      </c>
      <c r="B501" s="26" t="n">
        <f aca="false">IF(안내!$C$9+499&gt;MAX(MAX(A타입_제작표!$U$2:$U$799),MAX(시편_시리즈!$Q$2:$Q$151)),"",안내!$C$9+499)</f>
        <v>46890</v>
      </c>
      <c r="C501" s="23" t="str">
        <f aca="false">IF(B501="","",CHOOSE(WEEKDAY(B501,2),"월","화","수","목","금","토","일"))</f>
        <v>수</v>
      </c>
      <c r="D501" s="24" t="str">
        <f aca="false">IF(B501="","",IFERROR(INDEX(A타입_제작표!$J$2:$J$799,MATCH("구약|"&amp;TEXT(B501,"yyyy-mm-dd"),A타입_제작표!$AQ$2:$AQ$799,0))&amp;"  "&amp;INDEX(A타입_제작표!$L$2:$L$799,MATCH("구약|"&amp;TEXT(B501,"yyyy-mm-dd"),A타입_제작표!$AQ$2:$AQ$799,0)),""))</f>
        <v>단 9:1-27  다니엘의 회개 기도</v>
      </c>
      <c r="E501" s="24" t="str">
        <f aca="false">IF(B501="","",IFERROR(INDEX(A타입_제작표!$J$2:$J$799,MATCH("신약|"&amp;TEXT(B501,"yyyy-mm-dd"),A타입_제작표!$AQ$2:$AQ$799,0))&amp;"  "&amp;INDEX(A타입_제작표!$L$2:$L$799,MATCH("신약|"&amp;TEXT(B501,"yyyy-mm-dd"),A타입_제작표!$AQ$2:$AQ$799,0)),""))</f>
        <v/>
      </c>
      <c r="F501" s="24" t="str">
        <f aca="false">IF(B501="","",IFERROR("시편 "&amp;INDEX(시편_시리즈!$A$2:$A$151,MATCH("시편|"&amp;TEXT(B501,"yyyy-mm-dd"),시편_시리즈!$Y$2:$Y$151,0))&amp;"편  "&amp;INDEX(시편_시리즈!$G$2:$G$151,MATCH("시편|"&amp;TEXT(B501,"yyyy-mm-dd"),시편_시리즈!$Y$2:$Y$151,0)),""))</f>
        <v/>
      </c>
      <c r="G501" s="23" t="n">
        <f aca="false">IF(B501="","",(D501&lt;&gt;"")+(E501&lt;&gt;"")+(F501&lt;&gt;""))</f>
        <v>1</v>
      </c>
      <c r="H501" s="31" t="s">
        <v>10282</v>
      </c>
    </row>
    <row r="502" customFormat="false" ht="15" hidden="false" customHeight="false" outlineLevel="0" collapsed="false">
      <c r="A502" s="23" t="n">
        <f aca="false">IF(B502="","",501)</f>
        <v>501</v>
      </c>
      <c r="B502" s="26" t="n">
        <f aca="false">IF(안내!$C$9+500&gt;MAX(MAX(A타입_제작표!$U$2:$U$799),MAX(시편_시리즈!$Q$2:$Q$151)),"",안내!$C$9+500)</f>
        <v>46891</v>
      </c>
      <c r="C502" s="23" t="str">
        <f aca="false">IF(B502="","",CHOOSE(WEEKDAY(B502,2),"월","화","수","목","금","토","일"))</f>
        <v>목</v>
      </c>
      <c r="D502" s="24" t="str">
        <f aca="false">IF(B502="","",IFERROR(INDEX(A타입_제작표!$J$2:$J$799,MATCH("구약|"&amp;TEXT(B502,"yyyy-mm-dd"),A타입_제작표!$AQ$2:$AQ$799,0))&amp;"  "&amp;INDEX(A타입_제작표!$L$2:$L$799,MATCH("구약|"&amp;TEXT(B502,"yyyy-mm-dd"),A타입_제작표!$AQ$2:$AQ$799,0)),""))</f>
        <v>단 10:1-12:13  별처럼 빛나리라</v>
      </c>
      <c r="E502" s="24" t="str">
        <f aca="false">IF(B502="","",IFERROR(INDEX(A타입_제작표!$J$2:$J$799,MATCH("신약|"&amp;TEXT(B502,"yyyy-mm-dd"),A타입_제작표!$AQ$2:$AQ$799,0))&amp;"  "&amp;INDEX(A타입_제작표!$L$2:$L$799,MATCH("신약|"&amp;TEXT(B502,"yyyy-mm-dd"),A타입_제작표!$AQ$2:$AQ$799,0)),""))</f>
        <v/>
      </c>
      <c r="F502" s="24" t="str">
        <f aca="false">IF(B502="","",IFERROR("시편 "&amp;INDEX(시편_시리즈!$A$2:$A$151,MATCH("시편|"&amp;TEXT(B502,"yyyy-mm-dd"),시편_시리즈!$Y$2:$Y$151,0))&amp;"편  "&amp;INDEX(시편_시리즈!$G$2:$G$151,MATCH("시편|"&amp;TEXT(B502,"yyyy-mm-dd"),시편_시리즈!$Y$2:$Y$151,0)),""))</f>
        <v/>
      </c>
      <c r="G502" s="23" t="n">
        <f aca="false">IF(B502="","",(D502&lt;&gt;"")+(E502&lt;&gt;"")+(F502&lt;&gt;""))</f>
        <v>1</v>
      </c>
      <c r="H502" s="31" t="s">
        <v>10282</v>
      </c>
    </row>
    <row r="503" customFormat="false" ht="15" hidden="false" customHeight="false" outlineLevel="0" collapsed="false">
      <c r="A503" s="23" t="n">
        <f aca="false">IF(B503="","",502)</f>
        <v>502</v>
      </c>
      <c r="B503" s="26" t="n">
        <f aca="false">IF(안내!$C$9+501&gt;MAX(MAX(A타입_제작표!$U$2:$U$799),MAX(시편_시리즈!$Q$2:$Q$151)),"",안내!$C$9+501)</f>
        <v>46892</v>
      </c>
      <c r="C503" s="23" t="str">
        <f aca="false">IF(B503="","",CHOOSE(WEEKDAY(B503,2),"월","화","수","목","금","토","일"))</f>
        <v>금</v>
      </c>
      <c r="D503" s="24" t="str">
        <f aca="false">IF(B503="","",IFERROR(INDEX(A타입_제작표!$J$2:$J$799,MATCH("구약|"&amp;TEXT(B503,"yyyy-mm-dd"),A타입_제작표!$AQ$2:$AQ$799,0))&amp;"  "&amp;INDEX(A타입_제작표!$L$2:$L$799,MATCH("구약|"&amp;TEXT(B503,"yyyy-mm-dd"),A타입_제작표!$AQ$2:$AQ$799,0)),""))</f>
        <v>호 1:1-2:23  돌아오지 않는 아내</v>
      </c>
      <c r="E503" s="24" t="str">
        <f aca="false">IF(B503="","",IFERROR(INDEX(A타입_제작표!$J$2:$J$799,MATCH("신약|"&amp;TEXT(B503,"yyyy-mm-dd"),A타입_제작표!$AQ$2:$AQ$799,0))&amp;"  "&amp;INDEX(A타입_제작표!$L$2:$L$799,MATCH("신약|"&amp;TEXT(B503,"yyyy-mm-dd"),A타입_제작표!$AQ$2:$AQ$799,0)),""))</f>
        <v/>
      </c>
      <c r="F503" s="24" t="str">
        <f aca="false">IF(B503="","",IFERROR("시편 "&amp;INDEX(시편_시리즈!$A$2:$A$151,MATCH("시편|"&amp;TEXT(B503,"yyyy-mm-dd"),시편_시리즈!$Y$2:$Y$151,0))&amp;"편  "&amp;INDEX(시편_시리즈!$G$2:$G$151,MATCH("시편|"&amp;TEXT(B503,"yyyy-mm-dd"),시편_시리즈!$Y$2:$Y$151,0)),""))</f>
        <v/>
      </c>
      <c r="G503" s="23" t="n">
        <f aca="false">IF(B503="","",(D503&lt;&gt;"")+(E503&lt;&gt;"")+(F503&lt;&gt;""))</f>
        <v>1</v>
      </c>
      <c r="H503" s="31" t="s">
        <v>10282</v>
      </c>
    </row>
    <row r="504" customFormat="false" ht="15" hidden="false" customHeight="false" outlineLevel="0" collapsed="false">
      <c r="A504" s="23" t="n">
        <f aca="false">IF(B504="","",503)</f>
        <v>503</v>
      </c>
      <c r="B504" s="26" t="n">
        <f aca="false">IF(안내!$C$9+502&gt;MAX(MAX(A타입_제작표!$U$2:$U$799),MAX(시편_시리즈!$Q$2:$Q$151)),"",안내!$C$9+502)</f>
        <v>46893</v>
      </c>
      <c r="C504" s="23" t="str">
        <f aca="false">IF(B504="","",CHOOSE(WEEKDAY(B504,2),"월","화","수","목","금","토","일"))</f>
        <v>토</v>
      </c>
      <c r="D504" s="24" t="str">
        <f aca="false">IF(B504="","",IFERROR(INDEX(A타입_제작표!$J$2:$J$799,MATCH("구약|"&amp;TEXT(B504,"yyyy-mm-dd"),A타입_제작표!$AQ$2:$AQ$799,0))&amp;"  "&amp;INDEX(A타입_제작표!$L$2:$L$799,MATCH("구약|"&amp;TEXT(B504,"yyyy-mm-dd"),A타입_제작표!$AQ$2:$AQ$799,0)),""))</f>
        <v>호 3:1-5  다시 사 오다</v>
      </c>
      <c r="E504" s="24" t="str">
        <f aca="false">IF(B504="","",IFERROR(INDEX(A타입_제작표!$J$2:$J$799,MATCH("신약|"&amp;TEXT(B504,"yyyy-mm-dd"),A타입_제작표!$AQ$2:$AQ$799,0))&amp;"  "&amp;INDEX(A타입_제작표!$L$2:$L$799,MATCH("신약|"&amp;TEXT(B504,"yyyy-mm-dd"),A타입_제작표!$AQ$2:$AQ$799,0)),""))</f>
        <v/>
      </c>
      <c r="F504" s="24" t="str">
        <f aca="false">IF(B504="","",IFERROR("시편 "&amp;INDEX(시편_시리즈!$A$2:$A$151,MATCH("시편|"&amp;TEXT(B504,"yyyy-mm-dd"),시편_시리즈!$Y$2:$Y$151,0))&amp;"편  "&amp;INDEX(시편_시리즈!$G$2:$G$151,MATCH("시편|"&amp;TEXT(B504,"yyyy-mm-dd"),시편_시리즈!$Y$2:$Y$151,0)),""))</f>
        <v/>
      </c>
      <c r="G504" s="23" t="n">
        <f aca="false">IF(B504="","",(D504&lt;&gt;"")+(E504&lt;&gt;"")+(F504&lt;&gt;""))</f>
        <v>1</v>
      </c>
      <c r="H504" s="31" t="s">
        <v>10282</v>
      </c>
    </row>
    <row r="505" customFormat="false" ht="15" hidden="false" customHeight="false" outlineLevel="0" collapsed="false">
      <c r="A505" s="23" t="n">
        <f aca="false">IF(B505="","",504)</f>
        <v>504</v>
      </c>
      <c r="B505" s="26" t="n">
        <f aca="false">IF(안내!$C$9+503&gt;MAX(MAX(A타입_제작표!$U$2:$U$799),MAX(시편_시리즈!$Q$2:$Q$151)),"",안내!$C$9+503)</f>
        <v>46894</v>
      </c>
      <c r="C505" s="23" t="str">
        <f aca="false">IF(B505="","",CHOOSE(WEEKDAY(B505,2),"월","화","수","목","금","토","일"))</f>
        <v>일</v>
      </c>
      <c r="D505" s="24" t="str">
        <f aca="false">IF(B505="","",IFERROR(INDEX(A타입_제작표!$J$2:$J$799,MATCH("구약|"&amp;TEXT(B505,"yyyy-mm-dd"),A타입_제작표!$AQ$2:$AQ$799,0))&amp;"  "&amp;INDEX(A타입_제작표!$L$2:$L$799,MATCH("구약|"&amp;TEXT(B505,"yyyy-mm-dd"),A타입_제작표!$AQ$2:$AQ$799,0)),""))</f>
        <v>호 4:1-10:15  여호와를 알자</v>
      </c>
      <c r="E505" s="24" t="str">
        <f aca="false">IF(B505="","",IFERROR(INDEX(A타입_제작표!$J$2:$J$799,MATCH("신약|"&amp;TEXT(B505,"yyyy-mm-dd"),A타입_제작표!$AQ$2:$AQ$799,0))&amp;"  "&amp;INDEX(A타입_제작표!$L$2:$L$799,MATCH("신약|"&amp;TEXT(B505,"yyyy-mm-dd"),A타입_제작표!$AQ$2:$AQ$799,0)),""))</f>
        <v/>
      </c>
      <c r="F505" s="24" t="str">
        <f aca="false">IF(B505="","",IFERROR("시편 "&amp;INDEX(시편_시리즈!$A$2:$A$151,MATCH("시편|"&amp;TEXT(B505,"yyyy-mm-dd"),시편_시리즈!$Y$2:$Y$151,0))&amp;"편  "&amp;INDEX(시편_시리즈!$G$2:$G$151,MATCH("시편|"&amp;TEXT(B505,"yyyy-mm-dd"),시편_시리즈!$Y$2:$Y$151,0)),""))</f>
        <v/>
      </c>
      <c r="G505" s="23" t="n">
        <f aca="false">IF(B505="","",(D505&lt;&gt;"")+(E505&lt;&gt;"")+(F505&lt;&gt;""))</f>
        <v>1</v>
      </c>
      <c r="H505" s="31" t="s">
        <v>10282</v>
      </c>
    </row>
    <row r="506" customFormat="false" ht="15" hidden="false" customHeight="false" outlineLevel="0" collapsed="false">
      <c r="A506" s="23" t="n">
        <f aca="false">IF(B506="","",505)</f>
        <v>505</v>
      </c>
      <c r="B506" s="26" t="n">
        <f aca="false">IF(안내!$C$9+504&gt;MAX(MAX(A타입_제작표!$U$2:$U$799),MAX(시편_시리즈!$Q$2:$Q$151)),"",안내!$C$9+504)</f>
        <v>46895</v>
      </c>
      <c r="C506" s="23" t="str">
        <f aca="false">IF(B506="","",CHOOSE(WEEKDAY(B506,2),"월","화","수","목","금","토","일"))</f>
        <v>월</v>
      </c>
      <c r="D506" s="24" t="str">
        <f aca="false">IF(B506="","",IFERROR(INDEX(A타입_제작표!$J$2:$J$799,MATCH("구약|"&amp;TEXT(B506,"yyyy-mm-dd"),A타입_제작표!$AQ$2:$AQ$799,0))&amp;"  "&amp;INDEX(A타입_제작표!$L$2:$L$799,MATCH("구약|"&amp;TEXT(B506,"yyyy-mm-dd"),A타입_제작표!$AQ$2:$AQ$799,0)),""))</f>
        <v>호 11:1-14:9  내가 어찌 너를 놓겠느냐</v>
      </c>
      <c r="E506" s="24" t="str">
        <f aca="false">IF(B506="","",IFERROR(INDEX(A타입_제작표!$J$2:$J$799,MATCH("신약|"&amp;TEXT(B506,"yyyy-mm-dd"),A타입_제작표!$AQ$2:$AQ$799,0))&amp;"  "&amp;INDEX(A타입_제작표!$L$2:$L$799,MATCH("신약|"&amp;TEXT(B506,"yyyy-mm-dd"),A타입_제작표!$AQ$2:$AQ$799,0)),""))</f>
        <v/>
      </c>
      <c r="F506" s="24" t="str">
        <f aca="false">IF(B506="","",IFERROR("시편 "&amp;INDEX(시편_시리즈!$A$2:$A$151,MATCH("시편|"&amp;TEXT(B506,"yyyy-mm-dd"),시편_시리즈!$Y$2:$Y$151,0))&amp;"편  "&amp;INDEX(시편_시리즈!$G$2:$G$151,MATCH("시편|"&amp;TEXT(B506,"yyyy-mm-dd"),시편_시리즈!$Y$2:$Y$151,0)),""))</f>
        <v/>
      </c>
      <c r="G506" s="23" t="n">
        <f aca="false">IF(B506="","",(D506&lt;&gt;"")+(E506&lt;&gt;"")+(F506&lt;&gt;""))</f>
        <v>1</v>
      </c>
      <c r="H506" s="31" t="s">
        <v>10282</v>
      </c>
    </row>
    <row r="507" customFormat="false" ht="15" hidden="false" customHeight="false" outlineLevel="0" collapsed="false">
      <c r="A507" s="23" t="n">
        <f aca="false">IF(B507="","",506)</f>
        <v>506</v>
      </c>
      <c r="B507" s="26" t="n">
        <f aca="false">IF(안내!$C$9+505&gt;MAX(MAX(A타입_제작표!$U$2:$U$799),MAX(시편_시리즈!$Q$2:$Q$151)),"",안내!$C$9+505)</f>
        <v>46896</v>
      </c>
      <c r="C507" s="23" t="str">
        <f aca="false">IF(B507="","",CHOOSE(WEEKDAY(B507,2),"월","화","수","목","금","토","일"))</f>
        <v>화</v>
      </c>
      <c r="D507" s="24" t="str">
        <f aca="false">IF(B507="","",IFERROR(INDEX(A타입_제작표!$J$2:$J$799,MATCH("구약|"&amp;TEXT(B507,"yyyy-mm-dd"),A타입_제작표!$AQ$2:$AQ$799,0))&amp;"  "&amp;INDEX(A타입_제작표!$L$2:$L$799,MATCH("구약|"&amp;TEXT(B507,"yyyy-mm-dd"),A타입_제작표!$AQ$2:$AQ$799,0)),""))</f>
        <v>욜 1:1-2:17  메뚜기 군대</v>
      </c>
      <c r="E507" s="24" t="str">
        <f aca="false">IF(B507="","",IFERROR(INDEX(A타입_제작표!$J$2:$J$799,MATCH("신약|"&amp;TEXT(B507,"yyyy-mm-dd"),A타입_제작표!$AQ$2:$AQ$799,0))&amp;"  "&amp;INDEX(A타입_제작표!$L$2:$L$799,MATCH("신약|"&amp;TEXT(B507,"yyyy-mm-dd"),A타입_제작표!$AQ$2:$AQ$799,0)),""))</f>
        <v/>
      </c>
      <c r="F507" s="24" t="str">
        <f aca="false">IF(B507="","",IFERROR("시편 "&amp;INDEX(시편_시리즈!$A$2:$A$151,MATCH("시편|"&amp;TEXT(B507,"yyyy-mm-dd"),시편_시리즈!$Y$2:$Y$151,0))&amp;"편  "&amp;INDEX(시편_시리즈!$G$2:$G$151,MATCH("시편|"&amp;TEXT(B507,"yyyy-mm-dd"),시편_시리즈!$Y$2:$Y$151,0)),""))</f>
        <v/>
      </c>
      <c r="G507" s="23" t="n">
        <f aca="false">IF(B507="","",(D507&lt;&gt;"")+(E507&lt;&gt;"")+(F507&lt;&gt;""))</f>
        <v>1</v>
      </c>
      <c r="H507" s="31" t="s">
        <v>10282</v>
      </c>
    </row>
    <row r="508" customFormat="false" ht="15" hidden="false" customHeight="false" outlineLevel="0" collapsed="false">
      <c r="A508" s="23" t="n">
        <f aca="false">IF(B508="","",507)</f>
        <v>507</v>
      </c>
      <c r="B508" s="26" t="n">
        <f aca="false">IF(안내!$C$9+506&gt;MAX(MAX(A타입_제작표!$U$2:$U$799),MAX(시편_시리즈!$Q$2:$Q$151)),"",안내!$C$9+506)</f>
        <v>46897</v>
      </c>
      <c r="C508" s="23" t="str">
        <f aca="false">IF(B508="","",CHOOSE(WEEKDAY(B508,2),"월","화","수","목","금","토","일"))</f>
        <v>수</v>
      </c>
      <c r="D508" s="24" t="str">
        <f aca="false">IF(B508="","",IFERROR(INDEX(A타입_제작표!$J$2:$J$799,MATCH("구약|"&amp;TEXT(B508,"yyyy-mm-dd"),A타입_제작표!$AQ$2:$AQ$799,0))&amp;"  "&amp;INDEX(A타입_제작표!$L$2:$L$799,MATCH("구약|"&amp;TEXT(B508,"yyyy-mm-dd"),A타입_제작표!$AQ$2:$AQ$799,0)),""))</f>
        <v>욜 2:18-32  내 영을 부어 주리라</v>
      </c>
      <c r="E508" s="24" t="str">
        <f aca="false">IF(B508="","",IFERROR(INDEX(A타입_제작표!$J$2:$J$799,MATCH("신약|"&amp;TEXT(B508,"yyyy-mm-dd"),A타입_제작표!$AQ$2:$AQ$799,0))&amp;"  "&amp;INDEX(A타입_제작표!$L$2:$L$799,MATCH("신약|"&amp;TEXT(B508,"yyyy-mm-dd"),A타입_제작표!$AQ$2:$AQ$799,0)),""))</f>
        <v/>
      </c>
      <c r="F508" s="24" t="str">
        <f aca="false">IF(B508="","",IFERROR("시편 "&amp;INDEX(시편_시리즈!$A$2:$A$151,MATCH("시편|"&amp;TEXT(B508,"yyyy-mm-dd"),시편_시리즈!$Y$2:$Y$151,0))&amp;"편  "&amp;INDEX(시편_시리즈!$G$2:$G$151,MATCH("시편|"&amp;TEXT(B508,"yyyy-mm-dd"),시편_시리즈!$Y$2:$Y$151,0)),""))</f>
        <v/>
      </c>
      <c r="G508" s="23" t="n">
        <f aca="false">IF(B508="","",(D508&lt;&gt;"")+(E508&lt;&gt;"")+(F508&lt;&gt;""))</f>
        <v>1</v>
      </c>
      <c r="H508" s="31" t="s">
        <v>10282</v>
      </c>
    </row>
    <row r="509" customFormat="false" ht="15" hidden="false" customHeight="false" outlineLevel="0" collapsed="false">
      <c r="A509" s="23" t="n">
        <f aca="false">IF(B509="","",508)</f>
        <v>508</v>
      </c>
      <c r="B509" s="26" t="n">
        <f aca="false">IF(안내!$C$9+507&gt;MAX(MAX(A타입_제작표!$U$2:$U$799),MAX(시편_시리즈!$Q$2:$Q$151)),"",안내!$C$9+507)</f>
        <v>46898</v>
      </c>
      <c r="C509" s="23" t="str">
        <f aca="false">IF(B509="","",CHOOSE(WEEKDAY(B509,2),"월","화","수","목","금","토","일"))</f>
        <v>목</v>
      </c>
      <c r="D509" s="24" t="str">
        <f aca="false">IF(B509="","",IFERROR(INDEX(A타입_제작표!$J$2:$J$799,MATCH("구약|"&amp;TEXT(B509,"yyyy-mm-dd"),A타입_제작표!$AQ$2:$AQ$799,0))&amp;"  "&amp;INDEX(A타입_제작표!$L$2:$L$799,MATCH("구약|"&amp;TEXT(B509,"yyyy-mm-dd"),A타입_제작표!$AQ$2:$AQ$799,0)),""))</f>
        <v>욜 3:1-21  판결의 골짜기</v>
      </c>
      <c r="E509" s="24" t="str">
        <f aca="false">IF(B509="","",IFERROR(INDEX(A타입_제작표!$J$2:$J$799,MATCH("신약|"&amp;TEXT(B509,"yyyy-mm-dd"),A타입_제작표!$AQ$2:$AQ$799,0))&amp;"  "&amp;INDEX(A타입_제작표!$L$2:$L$799,MATCH("신약|"&amp;TEXT(B509,"yyyy-mm-dd"),A타입_제작표!$AQ$2:$AQ$799,0)),""))</f>
        <v/>
      </c>
      <c r="F509" s="24" t="str">
        <f aca="false">IF(B509="","",IFERROR("시편 "&amp;INDEX(시편_시리즈!$A$2:$A$151,MATCH("시편|"&amp;TEXT(B509,"yyyy-mm-dd"),시편_시리즈!$Y$2:$Y$151,0))&amp;"편  "&amp;INDEX(시편_시리즈!$G$2:$G$151,MATCH("시편|"&amp;TEXT(B509,"yyyy-mm-dd"),시편_시리즈!$Y$2:$Y$151,0)),""))</f>
        <v/>
      </c>
      <c r="G509" s="23" t="n">
        <f aca="false">IF(B509="","",(D509&lt;&gt;"")+(E509&lt;&gt;"")+(F509&lt;&gt;""))</f>
        <v>1</v>
      </c>
      <c r="H509" s="31" t="s">
        <v>10282</v>
      </c>
    </row>
    <row r="510" customFormat="false" ht="15" hidden="false" customHeight="false" outlineLevel="0" collapsed="false">
      <c r="A510" s="23" t="n">
        <f aca="false">IF(B510="","",509)</f>
        <v>509</v>
      </c>
      <c r="B510" s="26" t="n">
        <f aca="false">IF(안내!$C$9+508&gt;MAX(MAX(A타입_제작표!$U$2:$U$799),MAX(시편_시리즈!$Q$2:$Q$151)),"",안내!$C$9+508)</f>
        <v>46899</v>
      </c>
      <c r="C510" s="23" t="str">
        <f aca="false">IF(B510="","",CHOOSE(WEEKDAY(B510,2),"월","화","수","목","금","토","일"))</f>
        <v>금</v>
      </c>
      <c r="D510" s="24" t="str">
        <f aca="false">IF(B510="","",IFERROR(INDEX(A타입_제작표!$J$2:$J$799,MATCH("구약|"&amp;TEXT(B510,"yyyy-mm-dd"),A타입_제작표!$AQ$2:$AQ$799,0))&amp;"  "&amp;INDEX(A타입_제작표!$L$2:$L$799,MATCH("구약|"&amp;TEXT(B510,"yyyy-mm-dd"),A타입_제작표!$AQ$2:$AQ$799,0)),""))</f>
        <v>암 1:1-2:16  사자가 부르짖을 때</v>
      </c>
      <c r="E510" s="24" t="str">
        <f aca="false">IF(B510="","",IFERROR(INDEX(A타입_제작표!$J$2:$J$799,MATCH("신약|"&amp;TEXT(B510,"yyyy-mm-dd"),A타입_제작표!$AQ$2:$AQ$799,0))&amp;"  "&amp;INDEX(A타입_제작표!$L$2:$L$799,MATCH("신약|"&amp;TEXT(B510,"yyyy-mm-dd"),A타입_제작표!$AQ$2:$AQ$799,0)),""))</f>
        <v/>
      </c>
      <c r="F510" s="24" t="str">
        <f aca="false">IF(B510="","",IFERROR("시편 "&amp;INDEX(시편_시리즈!$A$2:$A$151,MATCH("시편|"&amp;TEXT(B510,"yyyy-mm-dd"),시편_시리즈!$Y$2:$Y$151,0))&amp;"편  "&amp;INDEX(시편_시리즈!$G$2:$G$151,MATCH("시편|"&amp;TEXT(B510,"yyyy-mm-dd"),시편_시리즈!$Y$2:$Y$151,0)),""))</f>
        <v/>
      </c>
      <c r="G510" s="23" t="n">
        <f aca="false">IF(B510="","",(D510&lt;&gt;"")+(E510&lt;&gt;"")+(F510&lt;&gt;""))</f>
        <v>1</v>
      </c>
      <c r="H510" s="31" t="s">
        <v>10282</v>
      </c>
    </row>
    <row r="511" customFormat="false" ht="15" hidden="false" customHeight="false" outlineLevel="0" collapsed="false">
      <c r="A511" s="23" t="n">
        <f aca="false">IF(B511="","",510)</f>
        <v>510</v>
      </c>
      <c r="B511" s="26" t="n">
        <f aca="false">IF(안내!$C$9+509&gt;MAX(MAX(A타입_제작표!$U$2:$U$799),MAX(시편_시리즈!$Q$2:$Q$151)),"",안내!$C$9+509)</f>
        <v>46900</v>
      </c>
      <c r="C511" s="23" t="str">
        <f aca="false">IF(B511="","",CHOOSE(WEEKDAY(B511,2),"월","화","수","목","금","토","일"))</f>
        <v>토</v>
      </c>
      <c r="D511" s="24" t="str">
        <f aca="false">IF(B511="","",IFERROR(INDEX(A타입_제작표!$J$2:$J$799,MATCH("구약|"&amp;TEXT(B511,"yyyy-mm-dd"),A타입_제작표!$AQ$2:$AQ$799,0))&amp;"  "&amp;INDEX(A타입_제작표!$L$2:$L$799,MATCH("구약|"&amp;TEXT(B511,"yyyy-mm-dd"),A타입_제작표!$AQ$2:$AQ$799,0)),""))</f>
        <v>암 3:1-6:14  정의를 물같이</v>
      </c>
      <c r="E511" s="24" t="str">
        <f aca="false">IF(B511="","",IFERROR(INDEX(A타입_제작표!$J$2:$J$799,MATCH("신약|"&amp;TEXT(B511,"yyyy-mm-dd"),A타입_제작표!$AQ$2:$AQ$799,0))&amp;"  "&amp;INDEX(A타입_제작표!$L$2:$L$799,MATCH("신약|"&amp;TEXT(B511,"yyyy-mm-dd"),A타입_제작표!$AQ$2:$AQ$799,0)),""))</f>
        <v/>
      </c>
      <c r="F511" s="24" t="str">
        <f aca="false">IF(B511="","",IFERROR("시편 "&amp;INDEX(시편_시리즈!$A$2:$A$151,MATCH("시편|"&amp;TEXT(B511,"yyyy-mm-dd"),시편_시리즈!$Y$2:$Y$151,0))&amp;"편  "&amp;INDEX(시편_시리즈!$G$2:$G$151,MATCH("시편|"&amp;TEXT(B511,"yyyy-mm-dd"),시편_시리즈!$Y$2:$Y$151,0)),""))</f>
        <v/>
      </c>
      <c r="G511" s="23" t="n">
        <f aca="false">IF(B511="","",(D511&lt;&gt;"")+(E511&lt;&gt;"")+(F511&lt;&gt;""))</f>
        <v>1</v>
      </c>
      <c r="H511" s="31" t="s">
        <v>10282</v>
      </c>
    </row>
    <row r="512" customFormat="false" ht="15" hidden="false" customHeight="false" outlineLevel="0" collapsed="false">
      <c r="A512" s="23" t="n">
        <f aca="false">IF(B512="","",511)</f>
        <v>511</v>
      </c>
      <c r="B512" s="26" t="n">
        <f aca="false">IF(안내!$C$9+510&gt;MAX(MAX(A타입_제작표!$U$2:$U$799),MAX(시편_시리즈!$Q$2:$Q$151)),"",안내!$C$9+510)</f>
        <v>46901</v>
      </c>
      <c r="C512" s="23" t="str">
        <f aca="false">IF(B512="","",CHOOSE(WEEKDAY(B512,2),"월","화","수","목","금","토","일"))</f>
        <v>일</v>
      </c>
      <c r="D512" s="24" t="str">
        <f aca="false">IF(B512="","",IFERROR(INDEX(A타입_제작표!$J$2:$J$799,MATCH("구약|"&amp;TEXT(B512,"yyyy-mm-dd"),A타입_제작표!$AQ$2:$AQ$799,0))&amp;"  "&amp;INDEX(A타입_제작표!$L$2:$L$799,MATCH("구약|"&amp;TEXT(B512,"yyyy-mm-dd"),A타입_제작표!$AQ$2:$AQ$799,0)),""))</f>
        <v>암 7:1-17  다림줄</v>
      </c>
      <c r="E512" s="24" t="str">
        <f aca="false">IF(B512="","",IFERROR(INDEX(A타입_제작표!$J$2:$J$799,MATCH("신약|"&amp;TEXT(B512,"yyyy-mm-dd"),A타입_제작표!$AQ$2:$AQ$799,0))&amp;"  "&amp;INDEX(A타입_제작표!$L$2:$L$799,MATCH("신약|"&amp;TEXT(B512,"yyyy-mm-dd"),A타입_제작표!$AQ$2:$AQ$799,0)),""))</f>
        <v/>
      </c>
      <c r="F512" s="24" t="str">
        <f aca="false">IF(B512="","",IFERROR("시편 "&amp;INDEX(시편_시리즈!$A$2:$A$151,MATCH("시편|"&amp;TEXT(B512,"yyyy-mm-dd"),시편_시리즈!$Y$2:$Y$151,0))&amp;"편  "&amp;INDEX(시편_시리즈!$G$2:$G$151,MATCH("시편|"&amp;TEXT(B512,"yyyy-mm-dd"),시편_시리즈!$Y$2:$Y$151,0)),""))</f>
        <v/>
      </c>
      <c r="G512" s="23" t="n">
        <f aca="false">IF(B512="","",(D512&lt;&gt;"")+(E512&lt;&gt;"")+(F512&lt;&gt;""))</f>
        <v>1</v>
      </c>
      <c r="H512" s="31" t="s">
        <v>10282</v>
      </c>
    </row>
    <row r="513" customFormat="false" ht="15" hidden="false" customHeight="false" outlineLevel="0" collapsed="false">
      <c r="A513" s="23" t="n">
        <f aca="false">IF(B513="","",512)</f>
        <v>512</v>
      </c>
      <c r="B513" s="26" t="n">
        <f aca="false">IF(안내!$C$9+511&gt;MAX(MAX(A타입_제작표!$U$2:$U$799),MAX(시편_시리즈!$Q$2:$Q$151)),"",안내!$C$9+511)</f>
        <v>46902</v>
      </c>
      <c r="C513" s="23" t="str">
        <f aca="false">IF(B513="","",CHOOSE(WEEKDAY(B513,2),"월","화","수","목","금","토","일"))</f>
        <v>월</v>
      </c>
      <c r="D513" s="24" t="str">
        <f aca="false">IF(B513="","",IFERROR(INDEX(A타입_제작표!$J$2:$J$799,MATCH("구약|"&amp;TEXT(B513,"yyyy-mm-dd"),A타입_제작표!$AQ$2:$AQ$799,0))&amp;"  "&amp;INDEX(A타입_제작표!$L$2:$L$799,MATCH("구약|"&amp;TEXT(B513,"yyyy-mm-dd"),A타입_제작표!$AQ$2:$AQ$799,0)),""))</f>
        <v>암 8:1-9:15  말씀의 기근</v>
      </c>
      <c r="E513" s="24" t="str">
        <f aca="false">IF(B513="","",IFERROR(INDEX(A타입_제작표!$J$2:$J$799,MATCH("신약|"&amp;TEXT(B513,"yyyy-mm-dd"),A타입_제작표!$AQ$2:$AQ$799,0))&amp;"  "&amp;INDEX(A타입_제작표!$L$2:$L$799,MATCH("신약|"&amp;TEXT(B513,"yyyy-mm-dd"),A타입_제작표!$AQ$2:$AQ$799,0)),""))</f>
        <v/>
      </c>
      <c r="F513" s="24" t="str">
        <f aca="false">IF(B513="","",IFERROR("시편 "&amp;INDEX(시편_시리즈!$A$2:$A$151,MATCH("시편|"&amp;TEXT(B513,"yyyy-mm-dd"),시편_시리즈!$Y$2:$Y$151,0))&amp;"편  "&amp;INDEX(시편_시리즈!$G$2:$G$151,MATCH("시편|"&amp;TEXT(B513,"yyyy-mm-dd"),시편_시리즈!$Y$2:$Y$151,0)),""))</f>
        <v/>
      </c>
      <c r="G513" s="23" t="n">
        <f aca="false">IF(B513="","",(D513&lt;&gt;"")+(E513&lt;&gt;"")+(F513&lt;&gt;""))</f>
        <v>1</v>
      </c>
      <c r="H513" s="31" t="s">
        <v>10282</v>
      </c>
    </row>
    <row r="514" customFormat="false" ht="15" hidden="false" customHeight="false" outlineLevel="0" collapsed="false">
      <c r="A514" s="23" t="n">
        <f aca="false">IF(B514="","",513)</f>
        <v>513</v>
      </c>
      <c r="B514" s="26" t="n">
        <f aca="false">IF(안내!$C$9+512&gt;MAX(MAX(A타입_제작표!$U$2:$U$799),MAX(시편_시리즈!$Q$2:$Q$151)),"",안내!$C$9+512)</f>
        <v>46903</v>
      </c>
      <c r="C514" s="23" t="str">
        <f aca="false">IF(B514="","",CHOOSE(WEEKDAY(B514,2),"월","화","수","목","금","토","일"))</f>
        <v>화</v>
      </c>
      <c r="D514" s="24" t="str">
        <f aca="false">IF(B514="","",IFERROR(INDEX(A타입_제작표!$J$2:$J$799,MATCH("구약|"&amp;TEXT(B514,"yyyy-mm-dd"),A타입_제작표!$AQ$2:$AQ$799,0))&amp;"  "&amp;INDEX(A타입_제작표!$L$2:$L$799,MATCH("구약|"&amp;TEXT(B514,"yyyy-mm-dd"),A타입_제작표!$AQ$2:$AQ$799,0)),""))</f>
        <v>옵 1:1-21  독수리처럼 높아도</v>
      </c>
      <c r="E514" s="24" t="str">
        <f aca="false">IF(B514="","",IFERROR(INDEX(A타입_제작표!$J$2:$J$799,MATCH("신약|"&amp;TEXT(B514,"yyyy-mm-dd"),A타입_제작표!$AQ$2:$AQ$799,0))&amp;"  "&amp;INDEX(A타입_제작표!$L$2:$L$799,MATCH("신약|"&amp;TEXT(B514,"yyyy-mm-dd"),A타입_제작표!$AQ$2:$AQ$799,0)),""))</f>
        <v/>
      </c>
      <c r="F514" s="24" t="str">
        <f aca="false">IF(B514="","",IFERROR("시편 "&amp;INDEX(시편_시리즈!$A$2:$A$151,MATCH("시편|"&amp;TEXT(B514,"yyyy-mm-dd"),시편_시리즈!$Y$2:$Y$151,0))&amp;"편  "&amp;INDEX(시편_시리즈!$G$2:$G$151,MATCH("시편|"&amp;TEXT(B514,"yyyy-mm-dd"),시편_시리즈!$Y$2:$Y$151,0)),""))</f>
        <v/>
      </c>
      <c r="G514" s="23" t="n">
        <f aca="false">IF(B514="","",(D514&lt;&gt;"")+(E514&lt;&gt;"")+(F514&lt;&gt;""))</f>
        <v>1</v>
      </c>
      <c r="H514" s="31" t="s">
        <v>10282</v>
      </c>
    </row>
    <row r="515" customFormat="false" ht="15" hidden="false" customHeight="false" outlineLevel="0" collapsed="false">
      <c r="A515" s="23" t="n">
        <f aca="false">IF(B515="","",514)</f>
        <v>514</v>
      </c>
      <c r="B515" s="26" t="n">
        <f aca="false">IF(안내!$C$9+513&gt;MAX(MAX(A타입_제작표!$U$2:$U$799),MAX(시편_시리즈!$Q$2:$Q$151)),"",안내!$C$9+513)</f>
        <v>46904</v>
      </c>
      <c r="C515" s="23" t="str">
        <f aca="false">IF(B515="","",CHOOSE(WEEKDAY(B515,2),"월","화","수","목","금","토","일"))</f>
        <v>수</v>
      </c>
      <c r="D515" s="24" t="str">
        <f aca="false">IF(B515="","",IFERROR(INDEX(A타입_제작표!$J$2:$J$799,MATCH("구약|"&amp;TEXT(B515,"yyyy-mm-dd"),A타입_제작표!$AQ$2:$AQ$799,0))&amp;"  "&amp;INDEX(A타입_제작표!$L$2:$L$799,MATCH("구약|"&amp;TEXT(B515,"yyyy-mm-dd"),A타입_제작표!$AQ$2:$AQ$799,0)),""))</f>
        <v>미 1:1-3:12  권력자들을 향한 외침</v>
      </c>
      <c r="E515" s="24" t="str">
        <f aca="false">IF(B515="","",IFERROR(INDEX(A타입_제작표!$J$2:$J$799,MATCH("신약|"&amp;TEXT(B515,"yyyy-mm-dd"),A타입_제작표!$AQ$2:$AQ$799,0))&amp;"  "&amp;INDEX(A타입_제작표!$L$2:$L$799,MATCH("신약|"&amp;TEXT(B515,"yyyy-mm-dd"),A타입_제작표!$AQ$2:$AQ$799,0)),""))</f>
        <v/>
      </c>
      <c r="F515" s="24" t="str">
        <f aca="false">IF(B515="","",IFERROR("시편 "&amp;INDEX(시편_시리즈!$A$2:$A$151,MATCH("시편|"&amp;TEXT(B515,"yyyy-mm-dd"),시편_시리즈!$Y$2:$Y$151,0))&amp;"편  "&amp;INDEX(시편_시리즈!$G$2:$G$151,MATCH("시편|"&amp;TEXT(B515,"yyyy-mm-dd"),시편_시리즈!$Y$2:$Y$151,0)),""))</f>
        <v/>
      </c>
      <c r="G515" s="23" t="n">
        <f aca="false">IF(B515="","",(D515&lt;&gt;"")+(E515&lt;&gt;"")+(F515&lt;&gt;""))</f>
        <v>1</v>
      </c>
      <c r="H515" s="31" t="s">
        <v>10282</v>
      </c>
    </row>
    <row r="516" customFormat="false" ht="15" hidden="false" customHeight="false" outlineLevel="0" collapsed="false">
      <c r="A516" s="23" t="n">
        <f aca="false">IF(B516="","",515)</f>
        <v>515</v>
      </c>
      <c r="B516" s="26" t="n">
        <f aca="false">IF(안내!$C$9+514&gt;MAX(MAX(A타입_제작표!$U$2:$U$799),MAX(시편_시리즈!$Q$2:$Q$151)),"",안내!$C$9+514)</f>
        <v>46905</v>
      </c>
      <c r="C516" s="23" t="str">
        <f aca="false">IF(B516="","",CHOOSE(WEEKDAY(B516,2),"월","화","수","목","금","토","일"))</f>
        <v>목</v>
      </c>
      <c r="D516" s="24" t="str">
        <f aca="false">IF(B516="","",IFERROR(INDEX(A타입_제작표!$J$2:$J$799,MATCH("구약|"&amp;TEXT(B516,"yyyy-mm-dd"),A타입_제작표!$AQ$2:$AQ$799,0))&amp;"  "&amp;INDEX(A타입_제작표!$L$2:$L$799,MATCH("구약|"&amp;TEXT(B516,"yyyy-mm-dd"),A타입_제작표!$AQ$2:$AQ$799,0)),""))</f>
        <v>미 6:1-7:20  오직 정의와 인자</v>
      </c>
      <c r="E516" s="24" t="str">
        <f aca="false">IF(B516="","",IFERROR(INDEX(A타입_제작표!$J$2:$J$799,MATCH("신약|"&amp;TEXT(B516,"yyyy-mm-dd"),A타입_제작표!$AQ$2:$AQ$799,0))&amp;"  "&amp;INDEX(A타입_제작표!$L$2:$L$799,MATCH("신약|"&amp;TEXT(B516,"yyyy-mm-dd"),A타입_제작표!$AQ$2:$AQ$799,0)),""))</f>
        <v/>
      </c>
      <c r="F516" s="24" t="str">
        <f aca="false">IF(B516="","",IFERROR("시편 "&amp;INDEX(시편_시리즈!$A$2:$A$151,MATCH("시편|"&amp;TEXT(B516,"yyyy-mm-dd"),시편_시리즈!$Y$2:$Y$151,0))&amp;"편  "&amp;INDEX(시편_시리즈!$G$2:$G$151,MATCH("시편|"&amp;TEXT(B516,"yyyy-mm-dd"),시편_시리즈!$Y$2:$Y$151,0)),""))</f>
        <v/>
      </c>
      <c r="G516" s="23" t="n">
        <f aca="false">IF(B516="","",(D516&lt;&gt;"")+(E516&lt;&gt;"")+(F516&lt;&gt;""))</f>
        <v>1</v>
      </c>
      <c r="H516" s="31" t="s">
        <v>10282</v>
      </c>
    </row>
    <row r="517" customFormat="false" ht="15" hidden="false" customHeight="false" outlineLevel="0" collapsed="false">
      <c r="A517" s="23" t="n">
        <f aca="false">IF(B517="","",516)</f>
        <v>516</v>
      </c>
      <c r="B517" s="26" t="n">
        <f aca="false">IF(안내!$C$9+515&gt;MAX(MAX(A타입_제작표!$U$2:$U$799),MAX(시편_시리즈!$Q$2:$Q$151)),"",안내!$C$9+515)</f>
        <v>46906</v>
      </c>
      <c r="C517" s="23" t="str">
        <f aca="false">IF(B517="","",CHOOSE(WEEKDAY(B517,2),"월","화","수","목","금","토","일"))</f>
        <v>금</v>
      </c>
      <c r="D517" s="24" t="str">
        <f aca="false">IF(B517="","",IFERROR(INDEX(A타입_제작표!$J$2:$J$799,MATCH("구약|"&amp;TEXT(B517,"yyyy-mm-dd"),A타입_제작표!$AQ$2:$AQ$799,0))&amp;"  "&amp;INDEX(A타입_제작표!$L$2:$L$799,MATCH("구약|"&amp;TEXT(B517,"yyyy-mm-dd"),A타입_제작표!$AQ$2:$AQ$799,0)),""))</f>
        <v>나 1:1-3:19  니느웨의 멸망</v>
      </c>
      <c r="E517" s="24" t="str">
        <f aca="false">IF(B517="","",IFERROR(INDEX(A타입_제작표!$J$2:$J$799,MATCH("신약|"&amp;TEXT(B517,"yyyy-mm-dd"),A타입_제작표!$AQ$2:$AQ$799,0))&amp;"  "&amp;INDEX(A타입_제작표!$L$2:$L$799,MATCH("신약|"&amp;TEXT(B517,"yyyy-mm-dd"),A타입_제작표!$AQ$2:$AQ$799,0)),""))</f>
        <v/>
      </c>
      <c r="F517" s="24" t="str">
        <f aca="false">IF(B517="","",IFERROR("시편 "&amp;INDEX(시편_시리즈!$A$2:$A$151,MATCH("시편|"&amp;TEXT(B517,"yyyy-mm-dd"),시편_시리즈!$Y$2:$Y$151,0))&amp;"편  "&amp;INDEX(시편_시리즈!$G$2:$G$151,MATCH("시편|"&amp;TEXT(B517,"yyyy-mm-dd"),시편_시리즈!$Y$2:$Y$151,0)),""))</f>
        <v/>
      </c>
      <c r="G517" s="23" t="n">
        <f aca="false">IF(B517="","",(D517&lt;&gt;"")+(E517&lt;&gt;"")+(F517&lt;&gt;""))</f>
        <v>1</v>
      </c>
      <c r="H517" s="31" t="s">
        <v>10282</v>
      </c>
    </row>
    <row r="518" customFormat="false" ht="15" hidden="false" customHeight="false" outlineLevel="0" collapsed="false">
      <c r="A518" s="23" t="n">
        <f aca="false">IF(B518="","",517)</f>
        <v>517</v>
      </c>
      <c r="B518" s="26" t="n">
        <f aca="false">IF(안내!$C$9+516&gt;MAX(MAX(A타입_제작표!$U$2:$U$799),MAX(시편_시리즈!$Q$2:$Q$151)),"",안내!$C$9+516)</f>
        <v>46907</v>
      </c>
      <c r="C518" s="23" t="str">
        <f aca="false">IF(B518="","",CHOOSE(WEEKDAY(B518,2),"월","화","수","목","금","토","일"))</f>
        <v>토</v>
      </c>
      <c r="D518" s="24" t="str">
        <f aca="false">IF(B518="","",IFERROR(INDEX(A타입_제작표!$J$2:$J$799,MATCH("구약|"&amp;TEXT(B518,"yyyy-mm-dd"),A타입_제작표!$AQ$2:$AQ$799,0))&amp;"  "&amp;INDEX(A타입_제작표!$L$2:$L$799,MATCH("구약|"&amp;TEXT(B518,"yyyy-mm-dd"),A타입_제작표!$AQ$2:$AQ$799,0)),""))</f>
        <v>합 1:1-2:1  어찌하여</v>
      </c>
      <c r="E518" s="24" t="str">
        <f aca="false">IF(B518="","",IFERROR(INDEX(A타입_제작표!$J$2:$J$799,MATCH("신약|"&amp;TEXT(B518,"yyyy-mm-dd"),A타입_제작표!$AQ$2:$AQ$799,0))&amp;"  "&amp;INDEX(A타입_제작표!$L$2:$L$799,MATCH("신약|"&amp;TEXT(B518,"yyyy-mm-dd"),A타입_제작표!$AQ$2:$AQ$799,0)),""))</f>
        <v/>
      </c>
      <c r="F518" s="24" t="str">
        <f aca="false">IF(B518="","",IFERROR("시편 "&amp;INDEX(시편_시리즈!$A$2:$A$151,MATCH("시편|"&amp;TEXT(B518,"yyyy-mm-dd"),시편_시리즈!$Y$2:$Y$151,0))&amp;"편  "&amp;INDEX(시편_시리즈!$G$2:$G$151,MATCH("시편|"&amp;TEXT(B518,"yyyy-mm-dd"),시편_시리즈!$Y$2:$Y$151,0)),""))</f>
        <v/>
      </c>
      <c r="G518" s="23" t="n">
        <f aca="false">IF(B518="","",(D518&lt;&gt;"")+(E518&lt;&gt;"")+(F518&lt;&gt;""))</f>
        <v>1</v>
      </c>
      <c r="H518" s="31" t="s">
        <v>10282</v>
      </c>
    </row>
    <row r="519" customFormat="false" ht="15" hidden="false" customHeight="false" outlineLevel="0" collapsed="false">
      <c r="A519" s="23" t="n">
        <f aca="false">IF(B519="","",518)</f>
        <v>518</v>
      </c>
      <c r="B519" s="26" t="n">
        <f aca="false">IF(안내!$C$9+517&gt;MAX(MAX(A타입_제작표!$U$2:$U$799),MAX(시편_시리즈!$Q$2:$Q$151)),"",안내!$C$9+517)</f>
        <v>46908</v>
      </c>
      <c r="C519" s="23" t="str">
        <f aca="false">IF(B519="","",CHOOSE(WEEKDAY(B519,2),"월","화","수","목","금","토","일"))</f>
        <v>일</v>
      </c>
      <c r="D519" s="24" t="str">
        <f aca="false">IF(B519="","",IFERROR(INDEX(A타입_제작표!$J$2:$J$799,MATCH("구약|"&amp;TEXT(B519,"yyyy-mm-dd"),A타입_제작표!$AQ$2:$AQ$799,0))&amp;"  "&amp;INDEX(A타입_제작표!$L$2:$L$799,MATCH("구약|"&amp;TEXT(B519,"yyyy-mm-dd"),A타입_제작표!$AQ$2:$AQ$799,0)),""))</f>
        <v>합 3:1-19  무화과나무 잎이 없어도</v>
      </c>
      <c r="E519" s="24" t="str">
        <f aca="false">IF(B519="","",IFERROR(INDEX(A타입_제작표!$J$2:$J$799,MATCH("신약|"&amp;TEXT(B519,"yyyy-mm-dd"),A타입_제작표!$AQ$2:$AQ$799,0))&amp;"  "&amp;INDEX(A타입_제작표!$L$2:$L$799,MATCH("신약|"&amp;TEXT(B519,"yyyy-mm-dd"),A타입_제작표!$AQ$2:$AQ$799,0)),""))</f>
        <v/>
      </c>
      <c r="F519" s="24" t="str">
        <f aca="false">IF(B519="","",IFERROR("시편 "&amp;INDEX(시편_시리즈!$A$2:$A$151,MATCH("시편|"&amp;TEXT(B519,"yyyy-mm-dd"),시편_시리즈!$Y$2:$Y$151,0))&amp;"편  "&amp;INDEX(시편_시리즈!$G$2:$G$151,MATCH("시편|"&amp;TEXT(B519,"yyyy-mm-dd"),시편_시리즈!$Y$2:$Y$151,0)),""))</f>
        <v/>
      </c>
      <c r="G519" s="23" t="n">
        <f aca="false">IF(B519="","",(D519&lt;&gt;"")+(E519&lt;&gt;"")+(F519&lt;&gt;""))</f>
        <v>1</v>
      </c>
      <c r="H519" s="31" t="s">
        <v>10282</v>
      </c>
    </row>
    <row r="520" customFormat="false" ht="15" hidden="false" customHeight="false" outlineLevel="0" collapsed="false">
      <c r="A520" s="23" t="n">
        <f aca="false">IF(B520="","",519)</f>
        <v>519</v>
      </c>
      <c r="B520" s="26" t="n">
        <f aca="false">IF(안내!$C$9+518&gt;MAX(MAX(A타입_제작표!$U$2:$U$799),MAX(시편_시리즈!$Q$2:$Q$151)),"",안내!$C$9+518)</f>
        <v>46909</v>
      </c>
      <c r="C520" s="23" t="str">
        <f aca="false">IF(B520="","",CHOOSE(WEEKDAY(B520,2),"월","화","수","목","금","토","일"))</f>
        <v>월</v>
      </c>
      <c r="D520" s="24" t="str">
        <f aca="false">IF(B520="","",IFERROR(INDEX(A타입_제작표!$J$2:$J$799,MATCH("구약|"&amp;TEXT(B520,"yyyy-mm-dd"),A타입_제작표!$AQ$2:$AQ$799,0))&amp;"  "&amp;INDEX(A타입_제작표!$L$2:$L$799,MATCH("구약|"&amp;TEXT(B520,"yyyy-mm-dd"),A타입_제작표!$AQ$2:$AQ$799,0)),""))</f>
        <v>습 1:1-2:15  여호와의 날</v>
      </c>
      <c r="E520" s="24" t="str">
        <f aca="false">IF(B520="","",IFERROR(INDEX(A타입_제작표!$J$2:$J$799,MATCH("신약|"&amp;TEXT(B520,"yyyy-mm-dd"),A타입_제작표!$AQ$2:$AQ$799,0))&amp;"  "&amp;INDEX(A타입_제작표!$L$2:$L$799,MATCH("신약|"&amp;TEXT(B520,"yyyy-mm-dd"),A타입_제작표!$AQ$2:$AQ$799,0)),""))</f>
        <v/>
      </c>
      <c r="F520" s="24" t="str">
        <f aca="false">IF(B520="","",IFERROR("시편 "&amp;INDEX(시편_시리즈!$A$2:$A$151,MATCH("시편|"&amp;TEXT(B520,"yyyy-mm-dd"),시편_시리즈!$Y$2:$Y$151,0))&amp;"편  "&amp;INDEX(시편_시리즈!$G$2:$G$151,MATCH("시편|"&amp;TEXT(B520,"yyyy-mm-dd"),시편_시리즈!$Y$2:$Y$151,0)),""))</f>
        <v/>
      </c>
      <c r="G520" s="23" t="n">
        <f aca="false">IF(B520="","",(D520&lt;&gt;"")+(E520&lt;&gt;"")+(F520&lt;&gt;""))</f>
        <v>1</v>
      </c>
      <c r="H520" s="31" t="s">
        <v>10282</v>
      </c>
    </row>
    <row r="521" customFormat="false" ht="15" hidden="false" customHeight="false" outlineLevel="0" collapsed="false">
      <c r="A521" s="23" t="n">
        <f aca="false">IF(B521="","",520)</f>
        <v>520</v>
      </c>
      <c r="B521" s="26" t="n">
        <f aca="false">IF(안내!$C$9+519&gt;MAX(MAX(A타입_제작표!$U$2:$U$799),MAX(시편_시리즈!$Q$2:$Q$151)),"",안내!$C$9+519)</f>
        <v>46910</v>
      </c>
      <c r="C521" s="23" t="str">
        <f aca="false">IF(B521="","",CHOOSE(WEEKDAY(B521,2),"월","화","수","목","금","토","일"))</f>
        <v>화</v>
      </c>
      <c r="D521" s="24" t="str">
        <f aca="false">IF(B521="","",IFERROR(INDEX(A타입_제작표!$J$2:$J$799,MATCH("구약|"&amp;TEXT(B521,"yyyy-mm-dd"),A타입_제작표!$AQ$2:$AQ$799,0))&amp;"  "&amp;INDEX(A타입_제작표!$L$2:$L$799,MATCH("구약|"&amp;TEXT(B521,"yyyy-mm-dd"),A타입_제작표!$AQ$2:$AQ$799,0)),""))</f>
        <v>습 3:1-20  너로 말미암아 기뻐하시리라</v>
      </c>
      <c r="E521" s="24" t="str">
        <f aca="false">IF(B521="","",IFERROR(INDEX(A타입_제작표!$J$2:$J$799,MATCH("신약|"&amp;TEXT(B521,"yyyy-mm-dd"),A타입_제작표!$AQ$2:$AQ$799,0))&amp;"  "&amp;INDEX(A타입_제작표!$L$2:$L$799,MATCH("신약|"&amp;TEXT(B521,"yyyy-mm-dd"),A타입_제작표!$AQ$2:$AQ$799,0)),""))</f>
        <v/>
      </c>
      <c r="F521" s="24" t="str">
        <f aca="false">IF(B521="","",IFERROR("시편 "&amp;INDEX(시편_시리즈!$A$2:$A$151,MATCH("시편|"&amp;TEXT(B521,"yyyy-mm-dd"),시편_시리즈!$Y$2:$Y$151,0))&amp;"편  "&amp;INDEX(시편_시리즈!$G$2:$G$151,MATCH("시편|"&amp;TEXT(B521,"yyyy-mm-dd"),시편_시리즈!$Y$2:$Y$151,0)),""))</f>
        <v/>
      </c>
      <c r="G521" s="23" t="n">
        <f aca="false">IF(B521="","",(D521&lt;&gt;"")+(E521&lt;&gt;"")+(F521&lt;&gt;""))</f>
        <v>1</v>
      </c>
      <c r="H521" s="31" t="s">
        <v>10282</v>
      </c>
    </row>
    <row r="522" customFormat="false" ht="15" hidden="false" customHeight="false" outlineLevel="0" collapsed="false">
      <c r="A522" s="23" t="n">
        <f aca="false">IF(B522="","",521)</f>
        <v>521</v>
      </c>
      <c r="B522" s="26" t="n">
        <f aca="false">IF(안내!$C$9+520&gt;MAX(MAX(A타입_제작표!$U$2:$U$799),MAX(시편_시리즈!$Q$2:$Q$151)),"",안내!$C$9+520)</f>
        <v>46911</v>
      </c>
      <c r="C522" s="23" t="str">
        <f aca="false">IF(B522="","",CHOOSE(WEEKDAY(B522,2),"월","화","수","목","금","토","일"))</f>
        <v>수</v>
      </c>
      <c r="D522" s="24" t="str">
        <f aca="false">IF(B522="","",IFERROR(INDEX(A타입_제작표!$J$2:$J$799,MATCH("구약|"&amp;TEXT(B522,"yyyy-mm-dd"),A타입_제작표!$AQ$2:$AQ$799,0))&amp;"  "&amp;INDEX(A타입_제작표!$L$2:$L$799,MATCH("구약|"&amp;TEXT(B522,"yyyy-mm-dd"),A타입_제작표!$AQ$2:$AQ$799,0)),""))</f>
        <v>학 1:1-15  너희 집은 판벽한 집</v>
      </c>
      <c r="E522" s="24" t="str">
        <f aca="false">IF(B522="","",IFERROR(INDEX(A타입_제작표!$J$2:$J$799,MATCH("신약|"&amp;TEXT(B522,"yyyy-mm-dd"),A타입_제작표!$AQ$2:$AQ$799,0))&amp;"  "&amp;INDEX(A타입_제작표!$L$2:$L$799,MATCH("신약|"&amp;TEXT(B522,"yyyy-mm-dd"),A타입_제작표!$AQ$2:$AQ$799,0)),""))</f>
        <v/>
      </c>
      <c r="F522" s="24" t="str">
        <f aca="false">IF(B522="","",IFERROR("시편 "&amp;INDEX(시편_시리즈!$A$2:$A$151,MATCH("시편|"&amp;TEXT(B522,"yyyy-mm-dd"),시편_시리즈!$Y$2:$Y$151,0))&amp;"편  "&amp;INDEX(시편_시리즈!$G$2:$G$151,MATCH("시편|"&amp;TEXT(B522,"yyyy-mm-dd"),시편_시리즈!$Y$2:$Y$151,0)),""))</f>
        <v/>
      </c>
      <c r="G522" s="23" t="n">
        <f aca="false">IF(B522="","",(D522&lt;&gt;"")+(E522&lt;&gt;"")+(F522&lt;&gt;""))</f>
        <v>1</v>
      </c>
      <c r="H522" s="31" t="s">
        <v>10282</v>
      </c>
    </row>
    <row r="523" customFormat="false" ht="15" hidden="false" customHeight="false" outlineLevel="0" collapsed="false">
      <c r="A523" s="23" t="n">
        <f aca="false">IF(B523="","",522)</f>
        <v>522</v>
      </c>
      <c r="B523" s="26" t="n">
        <f aca="false">IF(안내!$C$9+521&gt;MAX(MAX(A타입_제작표!$U$2:$U$799),MAX(시편_시리즈!$Q$2:$Q$151)),"",안내!$C$9+521)</f>
        <v>46912</v>
      </c>
      <c r="C523" s="23" t="str">
        <f aca="false">IF(B523="","",CHOOSE(WEEKDAY(B523,2),"월","화","수","목","금","토","일"))</f>
        <v>목</v>
      </c>
      <c r="D523" s="24" t="str">
        <f aca="false">IF(B523="","",IFERROR(INDEX(A타입_제작표!$J$2:$J$799,MATCH("구약|"&amp;TEXT(B523,"yyyy-mm-dd"),A타입_제작표!$AQ$2:$AQ$799,0))&amp;"  "&amp;INDEX(A타입_제작표!$L$2:$L$799,MATCH("구약|"&amp;TEXT(B523,"yyyy-mm-dd"),A타입_제작표!$AQ$2:$AQ$799,0)),""))</f>
        <v>학 2:1-23  나중 영광이 더 크리라</v>
      </c>
      <c r="E523" s="24" t="str">
        <f aca="false">IF(B523="","",IFERROR(INDEX(A타입_제작표!$J$2:$J$799,MATCH("신약|"&amp;TEXT(B523,"yyyy-mm-dd"),A타입_제작표!$AQ$2:$AQ$799,0))&amp;"  "&amp;INDEX(A타입_제작표!$L$2:$L$799,MATCH("신약|"&amp;TEXT(B523,"yyyy-mm-dd"),A타입_제작표!$AQ$2:$AQ$799,0)),""))</f>
        <v/>
      </c>
      <c r="F523" s="24" t="str">
        <f aca="false">IF(B523="","",IFERROR("시편 "&amp;INDEX(시편_시리즈!$A$2:$A$151,MATCH("시편|"&amp;TEXT(B523,"yyyy-mm-dd"),시편_시리즈!$Y$2:$Y$151,0))&amp;"편  "&amp;INDEX(시편_시리즈!$G$2:$G$151,MATCH("시편|"&amp;TEXT(B523,"yyyy-mm-dd"),시편_시리즈!$Y$2:$Y$151,0)),""))</f>
        <v/>
      </c>
      <c r="G523" s="23" t="n">
        <f aca="false">IF(B523="","",(D523&lt;&gt;"")+(E523&lt;&gt;"")+(F523&lt;&gt;""))</f>
        <v>1</v>
      </c>
      <c r="H523" s="31" t="s">
        <v>10282</v>
      </c>
    </row>
    <row r="524" customFormat="false" ht="15" hidden="false" customHeight="false" outlineLevel="0" collapsed="false">
      <c r="A524" s="23" t="n">
        <f aca="false">IF(B524="","",523)</f>
        <v>523</v>
      </c>
      <c r="B524" s="26" t="n">
        <f aca="false">IF(안내!$C$9+522&gt;MAX(MAX(A타입_제작표!$U$2:$U$799),MAX(시편_시리즈!$Q$2:$Q$151)),"",안내!$C$9+522)</f>
        <v>46913</v>
      </c>
      <c r="C524" s="23" t="str">
        <f aca="false">IF(B524="","",CHOOSE(WEEKDAY(B524,2),"월","화","수","목","금","토","일"))</f>
        <v>금</v>
      </c>
      <c r="D524" s="24" t="str">
        <f aca="false">IF(B524="","",IFERROR(INDEX(A타입_제작표!$J$2:$J$799,MATCH("구약|"&amp;TEXT(B524,"yyyy-mm-dd"),A타입_제작표!$AQ$2:$AQ$799,0))&amp;"  "&amp;INDEX(A타입_제작표!$L$2:$L$799,MATCH("구약|"&amp;TEXT(B524,"yyyy-mm-dd"),A타입_제작표!$AQ$2:$AQ$799,0)),""))</f>
        <v>슥 1:1-6:15  힘으로 되지 아니하며</v>
      </c>
      <c r="E524" s="24" t="str">
        <f aca="false">IF(B524="","",IFERROR(INDEX(A타입_제작표!$J$2:$J$799,MATCH("신약|"&amp;TEXT(B524,"yyyy-mm-dd"),A타입_제작표!$AQ$2:$AQ$799,0))&amp;"  "&amp;INDEX(A타입_제작표!$L$2:$L$799,MATCH("신약|"&amp;TEXT(B524,"yyyy-mm-dd"),A타입_제작표!$AQ$2:$AQ$799,0)),""))</f>
        <v/>
      </c>
      <c r="F524" s="24" t="str">
        <f aca="false">IF(B524="","",IFERROR("시편 "&amp;INDEX(시편_시리즈!$A$2:$A$151,MATCH("시편|"&amp;TEXT(B524,"yyyy-mm-dd"),시편_시리즈!$Y$2:$Y$151,0))&amp;"편  "&amp;INDEX(시편_시리즈!$G$2:$G$151,MATCH("시편|"&amp;TEXT(B524,"yyyy-mm-dd"),시편_시리즈!$Y$2:$Y$151,0)),""))</f>
        <v/>
      </c>
      <c r="G524" s="23" t="n">
        <f aca="false">IF(B524="","",(D524&lt;&gt;"")+(E524&lt;&gt;"")+(F524&lt;&gt;""))</f>
        <v>1</v>
      </c>
      <c r="H524" s="31" t="s">
        <v>10282</v>
      </c>
    </row>
    <row r="525" customFormat="false" ht="15" hidden="false" customHeight="false" outlineLevel="0" collapsed="false">
      <c r="A525" s="23" t="n">
        <f aca="false">IF(B525="","",524)</f>
        <v>524</v>
      </c>
      <c r="B525" s="26" t="n">
        <f aca="false">IF(안내!$C$9+523&gt;MAX(MAX(A타입_제작표!$U$2:$U$799),MAX(시편_시리즈!$Q$2:$Q$151)),"",안내!$C$9+523)</f>
        <v>46914</v>
      </c>
      <c r="C525" s="23" t="str">
        <f aca="false">IF(B525="","",CHOOSE(WEEKDAY(B525,2),"월","화","수","목","금","토","일"))</f>
        <v>토</v>
      </c>
      <c r="D525" s="24" t="str">
        <f aca="false">IF(B525="","",IFERROR(INDEX(A타입_제작표!$J$2:$J$799,MATCH("구약|"&amp;TEXT(B525,"yyyy-mm-dd"),A타입_제작표!$AQ$2:$AQ$799,0))&amp;"  "&amp;INDEX(A타입_제작표!$L$2:$L$799,MATCH("구약|"&amp;TEXT(B525,"yyyy-mm-dd"),A타입_제작표!$AQ$2:$AQ$799,0)),""))</f>
        <v>슥 7:1-8:23  금식보다 중요한 것</v>
      </c>
      <c r="E525" s="24" t="str">
        <f aca="false">IF(B525="","",IFERROR(INDEX(A타입_제작표!$J$2:$J$799,MATCH("신약|"&amp;TEXT(B525,"yyyy-mm-dd"),A타입_제작표!$AQ$2:$AQ$799,0))&amp;"  "&amp;INDEX(A타입_제작표!$L$2:$L$799,MATCH("신약|"&amp;TEXT(B525,"yyyy-mm-dd"),A타입_제작표!$AQ$2:$AQ$799,0)),""))</f>
        <v/>
      </c>
      <c r="F525" s="24" t="str">
        <f aca="false">IF(B525="","",IFERROR("시편 "&amp;INDEX(시편_시리즈!$A$2:$A$151,MATCH("시편|"&amp;TEXT(B525,"yyyy-mm-dd"),시편_시리즈!$Y$2:$Y$151,0))&amp;"편  "&amp;INDEX(시편_시리즈!$G$2:$G$151,MATCH("시편|"&amp;TEXT(B525,"yyyy-mm-dd"),시편_시리즈!$Y$2:$Y$151,0)),""))</f>
        <v/>
      </c>
      <c r="G525" s="23" t="n">
        <f aca="false">IF(B525="","",(D525&lt;&gt;"")+(E525&lt;&gt;"")+(F525&lt;&gt;""))</f>
        <v>1</v>
      </c>
      <c r="H525" s="31" t="s">
        <v>10282</v>
      </c>
    </row>
    <row r="526" customFormat="false" ht="15" hidden="false" customHeight="false" outlineLevel="0" collapsed="false">
      <c r="A526" s="23" t="n">
        <f aca="false">IF(B526="","",525)</f>
        <v>525</v>
      </c>
      <c r="B526" s="26" t="n">
        <f aca="false">IF(안내!$C$9+524&gt;MAX(MAX(A타입_제작표!$U$2:$U$799),MAX(시편_시리즈!$Q$2:$Q$151)),"",안내!$C$9+524)</f>
        <v>46915</v>
      </c>
      <c r="C526" s="23" t="str">
        <f aca="false">IF(B526="","",CHOOSE(WEEKDAY(B526,2),"월","화","수","목","금","토","일"))</f>
        <v>일</v>
      </c>
      <c r="D526" s="24" t="str">
        <f aca="false">IF(B526="","",IFERROR(INDEX(A타입_제작표!$J$2:$J$799,MATCH("구약|"&amp;TEXT(B526,"yyyy-mm-dd"),A타입_제작표!$AQ$2:$AQ$799,0))&amp;"  "&amp;INDEX(A타입_제작표!$L$2:$L$799,MATCH("구약|"&amp;TEXT(B526,"yyyy-mm-dd"),A타입_제작표!$AQ$2:$AQ$799,0)),""))</f>
        <v>슥 9:1-11:17  나귀 타고 오시는 왕</v>
      </c>
      <c r="E526" s="24" t="str">
        <f aca="false">IF(B526="","",IFERROR(INDEX(A타입_제작표!$J$2:$J$799,MATCH("신약|"&amp;TEXT(B526,"yyyy-mm-dd"),A타입_제작표!$AQ$2:$AQ$799,0))&amp;"  "&amp;INDEX(A타입_제작표!$L$2:$L$799,MATCH("신약|"&amp;TEXT(B526,"yyyy-mm-dd"),A타입_제작표!$AQ$2:$AQ$799,0)),""))</f>
        <v/>
      </c>
      <c r="F526" s="24" t="str">
        <f aca="false">IF(B526="","",IFERROR("시편 "&amp;INDEX(시편_시리즈!$A$2:$A$151,MATCH("시편|"&amp;TEXT(B526,"yyyy-mm-dd"),시편_시리즈!$Y$2:$Y$151,0))&amp;"편  "&amp;INDEX(시편_시리즈!$G$2:$G$151,MATCH("시편|"&amp;TEXT(B526,"yyyy-mm-dd"),시편_시리즈!$Y$2:$Y$151,0)),""))</f>
        <v/>
      </c>
      <c r="G526" s="23" t="n">
        <f aca="false">IF(B526="","",(D526&lt;&gt;"")+(E526&lt;&gt;"")+(F526&lt;&gt;""))</f>
        <v>1</v>
      </c>
      <c r="H526" s="31" t="s">
        <v>10282</v>
      </c>
    </row>
    <row r="527" customFormat="false" ht="15" hidden="false" customHeight="false" outlineLevel="0" collapsed="false">
      <c r="A527" s="23" t="n">
        <f aca="false">IF(B527="","",526)</f>
        <v>526</v>
      </c>
      <c r="B527" s="26" t="n">
        <f aca="false">IF(안내!$C$9+525&gt;MAX(MAX(A타입_제작표!$U$2:$U$799),MAX(시편_시리즈!$Q$2:$Q$151)),"",안내!$C$9+525)</f>
        <v>46916</v>
      </c>
      <c r="C527" s="23" t="str">
        <f aca="false">IF(B527="","",CHOOSE(WEEKDAY(B527,2),"월","화","수","목","금","토","일"))</f>
        <v>월</v>
      </c>
      <c r="D527" s="24" t="str">
        <f aca="false">IF(B527="","",IFERROR(INDEX(A타입_제작표!$J$2:$J$799,MATCH("구약|"&amp;TEXT(B527,"yyyy-mm-dd"),A타입_제작표!$AQ$2:$AQ$799,0))&amp;"  "&amp;INDEX(A타입_제작표!$L$2:$L$799,MATCH("구약|"&amp;TEXT(B527,"yyyy-mm-dd"),A타입_제작표!$AQ$2:$AQ$799,0)),""))</f>
        <v>슥 12:1-14:21  그 찌른 바를 바라보고</v>
      </c>
      <c r="E527" s="24" t="str">
        <f aca="false">IF(B527="","",IFERROR(INDEX(A타입_제작표!$J$2:$J$799,MATCH("신약|"&amp;TEXT(B527,"yyyy-mm-dd"),A타입_제작표!$AQ$2:$AQ$799,0))&amp;"  "&amp;INDEX(A타입_제작표!$L$2:$L$799,MATCH("신약|"&amp;TEXT(B527,"yyyy-mm-dd"),A타입_제작표!$AQ$2:$AQ$799,0)),""))</f>
        <v/>
      </c>
      <c r="F527" s="24" t="str">
        <f aca="false">IF(B527="","",IFERROR("시편 "&amp;INDEX(시편_시리즈!$A$2:$A$151,MATCH("시편|"&amp;TEXT(B527,"yyyy-mm-dd"),시편_시리즈!$Y$2:$Y$151,0))&amp;"편  "&amp;INDEX(시편_시리즈!$G$2:$G$151,MATCH("시편|"&amp;TEXT(B527,"yyyy-mm-dd"),시편_시리즈!$Y$2:$Y$151,0)),""))</f>
        <v/>
      </c>
      <c r="G527" s="23" t="n">
        <f aca="false">IF(B527="","",(D527&lt;&gt;"")+(E527&lt;&gt;"")+(F527&lt;&gt;""))</f>
        <v>1</v>
      </c>
      <c r="H527" s="31" t="s">
        <v>10282</v>
      </c>
    </row>
    <row r="528" customFormat="false" ht="15" hidden="false" customHeight="false" outlineLevel="0" collapsed="false">
      <c r="A528" s="23" t="n">
        <f aca="false">IF(B528="","",527)</f>
        <v>527</v>
      </c>
      <c r="B528" s="26" t="n">
        <f aca="false">IF(안내!$C$9+526&gt;MAX(MAX(A타입_제작표!$U$2:$U$799),MAX(시편_시리즈!$Q$2:$Q$151)),"",안내!$C$9+526)</f>
        <v>46917</v>
      </c>
      <c r="C528" s="23" t="str">
        <f aca="false">IF(B528="","",CHOOSE(WEEKDAY(B528,2),"월","화","수","목","금","토","일"))</f>
        <v>화</v>
      </c>
      <c r="D528" s="24" t="str">
        <f aca="false">IF(B528="","",IFERROR(INDEX(A타입_제작표!$J$2:$J$799,MATCH("구약|"&amp;TEXT(B528,"yyyy-mm-dd"),A타입_제작표!$AQ$2:$AQ$799,0))&amp;"  "&amp;INDEX(A타입_제작표!$L$2:$L$799,MATCH("구약|"&amp;TEXT(B528,"yyyy-mm-dd"),A타입_제작표!$AQ$2:$AQ$799,0)),""))</f>
        <v>말 1:1-2:17  내가 너희를 사랑하였노라</v>
      </c>
      <c r="E528" s="24" t="str">
        <f aca="false">IF(B528="","",IFERROR(INDEX(A타입_제작표!$J$2:$J$799,MATCH("신약|"&amp;TEXT(B528,"yyyy-mm-dd"),A타입_제작표!$AQ$2:$AQ$799,0))&amp;"  "&amp;INDEX(A타입_제작표!$L$2:$L$799,MATCH("신약|"&amp;TEXT(B528,"yyyy-mm-dd"),A타입_제작표!$AQ$2:$AQ$799,0)),""))</f>
        <v/>
      </c>
      <c r="F528" s="24" t="str">
        <f aca="false">IF(B528="","",IFERROR("시편 "&amp;INDEX(시편_시리즈!$A$2:$A$151,MATCH("시편|"&amp;TEXT(B528,"yyyy-mm-dd"),시편_시리즈!$Y$2:$Y$151,0))&amp;"편  "&amp;INDEX(시편_시리즈!$G$2:$G$151,MATCH("시편|"&amp;TEXT(B528,"yyyy-mm-dd"),시편_시리즈!$Y$2:$Y$151,0)),""))</f>
        <v/>
      </c>
      <c r="G528" s="23" t="n">
        <f aca="false">IF(B528="","",(D528&lt;&gt;"")+(E528&lt;&gt;"")+(F528&lt;&gt;""))</f>
        <v>1</v>
      </c>
      <c r="H528" s="31" t="s">
        <v>10282</v>
      </c>
    </row>
    <row r="529" customFormat="false" ht="15" hidden="false" customHeight="false" outlineLevel="0" collapsed="false">
      <c r="A529" s="23" t="n">
        <f aca="false">IF(B529="","",528)</f>
        <v>528</v>
      </c>
      <c r="B529" s="26" t="n">
        <f aca="false">IF(안내!$C$9+527&gt;MAX(MAX(A타입_제작표!$U$2:$U$799),MAX(시편_시리즈!$Q$2:$Q$151)),"",안내!$C$9+527)</f>
        <v>46918</v>
      </c>
      <c r="C529" s="23" t="str">
        <f aca="false">IF(B529="","",CHOOSE(WEEKDAY(B529,2),"월","화","수","목","금","토","일"))</f>
        <v>수</v>
      </c>
      <c r="D529" s="24" t="str">
        <f aca="false">IF(B529="","",IFERROR(INDEX(A타입_제작표!$J$2:$J$799,MATCH("구약|"&amp;TEXT(B529,"yyyy-mm-dd"),A타입_제작표!$AQ$2:$AQ$799,0))&amp;"  "&amp;INDEX(A타입_제작표!$L$2:$L$799,MATCH("구약|"&amp;TEXT(B529,"yyyy-mm-dd"),A타입_제작표!$AQ$2:$AQ$799,0)),""))</f>
        <v>말 3:1-18  기념책</v>
      </c>
      <c r="E529" s="24" t="str">
        <f aca="false">IF(B529="","",IFERROR(INDEX(A타입_제작표!$J$2:$J$799,MATCH("신약|"&amp;TEXT(B529,"yyyy-mm-dd"),A타입_제작표!$AQ$2:$AQ$799,0))&amp;"  "&amp;INDEX(A타입_제작표!$L$2:$L$799,MATCH("신약|"&amp;TEXT(B529,"yyyy-mm-dd"),A타입_제작표!$AQ$2:$AQ$799,0)),""))</f>
        <v/>
      </c>
      <c r="F529" s="24" t="str">
        <f aca="false">IF(B529="","",IFERROR("시편 "&amp;INDEX(시편_시리즈!$A$2:$A$151,MATCH("시편|"&amp;TEXT(B529,"yyyy-mm-dd"),시편_시리즈!$Y$2:$Y$151,0))&amp;"편  "&amp;INDEX(시편_시리즈!$G$2:$G$151,MATCH("시편|"&amp;TEXT(B529,"yyyy-mm-dd"),시편_시리즈!$Y$2:$Y$151,0)),""))</f>
        <v/>
      </c>
      <c r="G529" s="23" t="n">
        <f aca="false">IF(B529="","",(D529&lt;&gt;"")+(E529&lt;&gt;"")+(F529&lt;&gt;""))</f>
        <v>1</v>
      </c>
      <c r="H529" s="31" t="s">
        <v>10282</v>
      </c>
    </row>
    <row r="530" customFormat="false" ht="15" hidden="false" customHeight="false" outlineLevel="0" collapsed="false">
      <c r="A530" s="23" t="str">
        <f aca="false">IF(B530="","",529)</f>
        <v/>
      </c>
      <c r="B530" s="26" t="str">
        <f aca="false">IF(안내!$C$9+528&gt;MAX(MAX(A타입_제작표!$U$2:$U$799),MAX(시편_시리즈!$Q$2:$Q$151)),"",안내!$C$9+528)</f>
        <v/>
      </c>
      <c r="C530" s="23" t="str">
        <f aca="false">IF(B530="","",CHOOSE(WEEKDAY(B530,2),"월","화","수","목","금","토","일"))</f>
        <v/>
      </c>
      <c r="D530" s="24" t="str">
        <f aca="false">IF(B530="","",IFERROR(INDEX(A타입_제작표!$J$2:$J$799,MATCH("구약|"&amp;TEXT(B530,"yyyy-mm-dd"),A타입_제작표!$AQ$2:$AQ$799,0))&amp;"  "&amp;INDEX(A타입_제작표!$L$2:$L$799,MATCH("구약|"&amp;TEXT(B530,"yyyy-mm-dd"),A타입_제작표!$AQ$2:$AQ$799,0)),""))</f>
        <v/>
      </c>
      <c r="E530" s="24" t="str">
        <f aca="false">IF(B530="","",IFERROR(INDEX(A타입_제작표!$J$2:$J$799,MATCH("신약|"&amp;TEXT(B530,"yyyy-mm-dd"),A타입_제작표!$AQ$2:$AQ$799,0))&amp;"  "&amp;INDEX(A타입_제작표!$L$2:$L$799,MATCH("신약|"&amp;TEXT(B530,"yyyy-mm-dd"),A타입_제작표!$AQ$2:$AQ$799,0)),""))</f>
        <v/>
      </c>
      <c r="F530" s="24" t="str">
        <f aca="false">IF(B530="","",IFERROR("시편 "&amp;INDEX(시편_시리즈!$A$2:$A$151,MATCH("시편|"&amp;TEXT(B530,"yyyy-mm-dd"),시편_시리즈!$Y$2:$Y$151,0))&amp;"편  "&amp;INDEX(시편_시리즈!$G$2:$G$151,MATCH("시편|"&amp;TEXT(B530,"yyyy-mm-dd"),시편_시리즈!$Y$2:$Y$151,0)),""))</f>
        <v/>
      </c>
      <c r="G530" s="23" t="str">
        <f aca="false">IF(B530="","",(D530&lt;&gt;"")+(E530&lt;&gt;"")+(F530&lt;&gt;""))</f>
        <v/>
      </c>
      <c r="H530" s="31" t="s">
        <v>10282</v>
      </c>
    </row>
    <row r="531" customFormat="false" ht="15" hidden="false" customHeight="false" outlineLevel="0" collapsed="false">
      <c r="A531" s="23" t="str">
        <f aca="false">IF(B531="","",530)</f>
        <v/>
      </c>
      <c r="B531" s="26" t="str">
        <f aca="false">IF(안내!$C$9+529&gt;MAX(MAX(A타입_제작표!$U$2:$U$799),MAX(시편_시리즈!$Q$2:$Q$151)),"",안내!$C$9+529)</f>
        <v/>
      </c>
      <c r="C531" s="23" t="str">
        <f aca="false">IF(B531="","",CHOOSE(WEEKDAY(B531,2),"월","화","수","목","금","토","일"))</f>
        <v/>
      </c>
      <c r="D531" s="24" t="str">
        <f aca="false">IF(B531="","",IFERROR(INDEX(A타입_제작표!$J$2:$J$799,MATCH("구약|"&amp;TEXT(B531,"yyyy-mm-dd"),A타입_제작표!$AQ$2:$AQ$799,0))&amp;"  "&amp;INDEX(A타입_제작표!$L$2:$L$799,MATCH("구약|"&amp;TEXT(B531,"yyyy-mm-dd"),A타입_제작표!$AQ$2:$AQ$799,0)),""))</f>
        <v/>
      </c>
      <c r="E531" s="24" t="str">
        <f aca="false">IF(B531="","",IFERROR(INDEX(A타입_제작표!$J$2:$J$799,MATCH("신약|"&amp;TEXT(B531,"yyyy-mm-dd"),A타입_제작표!$AQ$2:$AQ$799,0))&amp;"  "&amp;INDEX(A타입_제작표!$L$2:$L$799,MATCH("신약|"&amp;TEXT(B531,"yyyy-mm-dd"),A타입_제작표!$AQ$2:$AQ$799,0)),""))</f>
        <v/>
      </c>
      <c r="F531" s="24" t="str">
        <f aca="false">IF(B531="","",IFERROR("시편 "&amp;INDEX(시편_시리즈!$A$2:$A$151,MATCH("시편|"&amp;TEXT(B531,"yyyy-mm-dd"),시편_시리즈!$Y$2:$Y$151,0))&amp;"편  "&amp;INDEX(시편_시리즈!$G$2:$G$151,MATCH("시편|"&amp;TEXT(B531,"yyyy-mm-dd"),시편_시리즈!$Y$2:$Y$151,0)),""))</f>
        <v/>
      </c>
      <c r="G531" s="23" t="str">
        <f aca="false">IF(B531="","",(D531&lt;&gt;"")+(E531&lt;&gt;"")+(F531&lt;&gt;""))</f>
        <v/>
      </c>
      <c r="H531" s="31" t="s">
        <v>10282</v>
      </c>
    </row>
    <row r="532" customFormat="false" ht="15" hidden="false" customHeight="false" outlineLevel="0" collapsed="false">
      <c r="A532" s="23" t="str">
        <f aca="false">IF(B532="","",531)</f>
        <v/>
      </c>
      <c r="B532" s="26" t="str">
        <f aca="false">IF(안내!$C$9+530&gt;MAX(MAX(A타입_제작표!$U$2:$U$799),MAX(시편_시리즈!$Q$2:$Q$151)),"",안내!$C$9+530)</f>
        <v/>
      </c>
      <c r="C532" s="23" t="str">
        <f aca="false">IF(B532="","",CHOOSE(WEEKDAY(B532,2),"월","화","수","목","금","토","일"))</f>
        <v/>
      </c>
      <c r="D532" s="24" t="str">
        <f aca="false">IF(B532="","",IFERROR(INDEX(A타입_제작표!$J$2:$J$799,MATCH("구약|"&amp;TEXT(B532,"yyyy-mm-dd"),A타입_제작표!$AQ$2:$AQ$799,0))&amp;"  "&amp;INDEX(A타입_제작표!$L$2:$L$799,MATCH("구약|"&amp;TEXT(B532,"yyyy-mm-dd"),A타입_제작표!$AQ$2:$AQ$799,0)),""))</f>
        <v/>
      </c>
      <c r="E532" s="24" t="str">
        <f aca="false">IF(B532="","",IFERROR(INDEX(A타입_제작표!$J$2:$J$799,MATCH("신약|"&amp;TEXT(B532,"yyyy-mm-dd"),A타입_제작표!$AQ$2:$AQ$799,0))&amp;"  "&amp;INDEX(A타입_제작표!$L$2:$L$799,MATCH("신약|"&amp;TEXT(B532,"yyyy-mm-dd"),A타입_제작표!$AQ$2:$AQ$799,0)),""))</f>
        <v/>
      </c>
      <c r="F532" s="24" t="str">
        <f aca="false">IF(B532="","",IFERROR("시편 "&amp;INDEX(시편_시리즈!$A$2:$A$151,MATCH("시편|"&amp;TEXT(B532,"yyyy-mm-dd"),시편_시리즈!$Y$2:$Y$151,0))&amp;"편  "&amp;INDEX(시편_시리즈!$G$2:$G$151,MATCH("시편|"&amp;TEXT(B532,"yyyy-mm-dd"),시편_시리즈!$Y$2:$Y$151,0)),""))</f>
        <v/>
      </c>
      <c r="G532" s="23" t="str">
        <f aca="false">IF(B532="","",(D532&lt;&gt;"")+(E532&lt;&gt;"")+(F532&lt;&gt;""))</f>
        <v/>
      </c>
      <c r="H532" s="31" t="s">
        <v>10282</v>
      </c>
    </row>
    <row r="533" customFormat="false" ht="15" hidden="false" customHeight="false" outlineLevel="0" collapsed="false">
      <c r="A533" s="23" t="str">
        <f aca="false">IF(B533="","",532)</f>
        <v/>
      </c>
      <c r="B533" s="26" t="str">
        <f aca="false">IF(안내!$C$9+531&gt;MAX(MAX(A타입_제작표!$U$2:$U$799),MAX(시편_시리즈!$Q$2:$Q$151)),"",안내!$C$9+531)</f>
        <v/>
      </c>
      <c r="C533" s="23" t="str">
        <f aca="false">IF(B533="","",CHOOSE(WEEKDAY(B533,2),"월","화","수","목","금","토","일"))</f>
        <v/>
      </c>
      <c r="D533" s="24" t="str">
        <f aca="false">IF(B533="","",IFERROR(INDEX(A타입_제작표!$J$2:$J$799,MATCH("구약|"&amp;TEXT(B533,"yyyy-mm-dd"),A타입_제작표!$AQ$2:$AQ$799,0))&amp;"  "&amp;INDEX(A타입_제작표!$L$2:$L$799,MATCH("구약|"&amp;TEXT(B533,"yyyy-mm-dd"),A타입_제작표!$AQ$2:$AQ$799,0)),""))</f>
        <v/>
      </c>
      <c r="E533" s="24" t="str">
        <f aca="false">IF(B533="","",IFERROR(INDEX(A타입_제작표!$J$2:$J$799,MATCH("신약|"&amp;TEXT(B533,"yyyy-mm-dd"),A타입_제작표!$AQ$2:$AQ$799,0))&amp;"  "&amp;INDEX(A타입_제작표!$L$2:$L$799,MATCH("신약|"&amp;TEXT(B533,"yyyy-mm-dd"),A타입_제작표!$AQ$2:$AQ$799,0)),""))</f>
        <v/>
      </c>
      <c r="F533" s="24" t="str">
        <f aca="false">IF(B533="","",IFERROR("시편 "&amp;INDEX(시편_시리즈!$A$2:$A$151,MATCH("시편|"&amp;TEXT(B533,"yyyy-mm-dd"),시편_시리즈!$Y$2:$Y$151,0))&amp;"편  "&amp;INDEX(시편_시리즈!$G$2:$G$151,MATCH("시편|"&amp;TEXT(B533,"yyyy-mm-dd"),시편_시리즈!$Y$2:$Y$151,0)),""))</f>
        <v/>
      </c>
      <c r="G533" s="23" t="str">
        <f aca="false">IF(B533="","",(D533&lt;&gt;"")+(E533&lt;&gt;"")+(F533&lt;&gt;""))</f>
        <v/>
      </c>
      <c r="H533" s="31" t="s">
        <v>10282</v>
      </c>
    </row>
    <row r="534" customFormat="false" ht="15" hidden="false" customHeight="false" outlineLevel="0" collapsed="false">
      <c r="A534" s="23" t="str">
        <f aca="false">IF(B534="","",533)</f>
        <v/>
      </c>
      <c r="B534" s="26" t="str">
        <f aca="false">IF(안내!$C$9+532&gt;MAX(MAX(A타입_제작표!$U$2:$U$799),MAX(시편_시리즈!$Q$2:$Q$151)),"",안내!$C$9+532)</f>
        <v/>
      </c>
      <c r="C534" s="23" t="str">
        <f aca="false">IF(B534="","",CHOOSE(WEEKDAY(B534,2),"월","화","수","목","금","토","일"))</f>
        <v/>
      </c>
      <c r="D534" s="24" t="str">
        <f aca="false">IF(B534="","",IFERROR(INDEX(A타입_제작표!$J$2:$J$799,MATCH("구약|"&amp;TEXT(B534,"yyyy-mm-dd"),A타입_제작표!$AQ$2:$AQ$799,0))&amp;"  "&amp;INDEX(A타입_제작표!$L$2:$L$799,MATCH("구약|"&amp;TEXT(B534,"yyyy-mm-dd"),A타입_제작표!$AQ$2:$AQ$799,0)),""))</f>
        <v/>
      </c>
      <c r="E534" s="24" t="str">
        <f aca="false">IF(B534="","",IFERROR(INDEX(A타입_제작표!$J$2:$J$799,MATCH("신약|"&amp;TEXT(B534,"yyyy-mm-dd"),A타입_제작표!$AQ$2:$AQ$799,0))&amp;"  "&amp;INDEX(A타입_제작표!$L$2:$L$799,MATCH("신약|"&amp;TEXT(B534,"yyyy-mm-dd"),A타입_제작표!$AQ$2:$AQ$799,0)),""))</f>
        <v/>
      </c>
      <c r="F534" s="24" t="str">
        <f aca="false">IF(B534="","",IFERROR("시편 "&amp;INDEX(시편_시리즈!$A$2:$A$151,MATCH("시편|"&amp;TEXT(B534,"yyyy-mm-dd"),시편_시리즈!$Y$2:$Y$151,0))&amp;"편  "&amp;INDEX(시편_시리즈!$G$2:$G$151,MATCH("시편|"&amp;TEXT(B534,"yyyy-mm-dd"),시편_시리즈!$Y$2:$Y$151,0)),""))</f>
        <v/>
      </c>
      <c r="G534" s="23" t="str">
        <f aca="false">IF(B534="","",(D534&lt;&gt;"")+(E534&lt;&gt;"")+(F534&lt;&gt;""))</f>
        <v/>
      </c>
      <c r="H534" s="31" t="s">
        <v>10282</v>
      </c>
    </row>
    <row r="535" customFormat="false" ht="15" hidden="false" customHeight="false" outlineLevel="0" collapsed="false">
      <c r="A535" s="23" t="str">
        <f aca="false">IF(B535="","",534)</f>
        <v/>
      </c>
      <c r="B535" s="26" t="str">
        <f aca="false">IF(안내!$C$9+533&gt;MAX(MAX(A타입_제작표!$U$2:$U$799),MAX(시편_시리즈!$Q$2:$Q$151)),"",안내!$C$9+533)</f>
        <v/>
      </c>
      <c r="C535" s="23" t="str">
        <f aca="false">IF(B535="","",CHOOSE(WEEKDAY(B535,2),"월","화","수","목","금","토","일"))</f>
        <v/>
      </c>
      <c r="D535" s="24" t="str">
        <f aca="false">IF(B535="","",IFERROR(INDEX(A타입_제작표!$J$2:$J$799,MATCH("구약|"&amp;TEXT(B535,"yyyy-mm-dd"),A타입_제작표!$AQ$2:$AQ$799,0))&amp;"  "&amp;INDEX(A타입_제작표!$L$2:$L$799,MATCH("구약|"&amp;TEXT(B535,"yyyy-mm-dd"),A타입_제작표!$AQ$2:$AQ$799,0)),""))</f>
        <v/>
      </c>
      <c r="E535" s="24" t="str">
        <f aca="false">IF(B535="","",IFERROR(INDEX(A타입_제작표!$J$2:$J$799,MATCH("신약|"&amp;TEXT(B535,"yyyy-mm-dd"),A타입_제작표!$AQ$2:$AQ$799,0))&amp;"  "&amp;INDEX(A타입_제작표!$L$2:$L$799,MATCH("신약|"&amp;TEXT(B535,"yyyy-mm-dd"),A타입_제작표!$AQ$2:$AQ$799,0)),""))</f>
        <v/>
      </c>
      <c r="F535" s="24" t="str">
        <f aca="false">IF(B535="","",IFERROR("시편 "&amp;INDEX(시편_시리즈!$A$2:$A$151,MATCH("시편|"&amp;TEXT(B535,"yyyy-mm-dd"),시편_시리즈!$Y$2:$Y$151,0))&amp;"편  "&amp;INDEX(시편_시리즈!$G$2:$G$151,MATCH("시편|"&amp;TEXT(B535,"yyyy-mm-dd"),시편_시리즈!$Y$2:$Y$151,0)),""))</f>
        <v/>
      </c>
      <c r="G535" s="23" t="str">
        <f aca="false">IF(B535="","",(D535&lt;&gt;"")+(E535&lt;&gt;"")+(F535&lt;&gt;""))</f>
        <v/>
      </c>
      <c r="H535" s="31" t="s">
        <v>10282</v>
      </c>
    </row>
    <row r="536" customFormat="false" ht="15" hidden="false" customHeight="false" outlineLevel="0" collapsed="false">
      <c r="A536" s="23" t="str">
        <f aca="false">IF(B536="","",535)</f>
        <v/>
      </c>
      <c r="B536" s="26" t="str">
        <f aca="false">IF(안내!$C$9+534&gt;MAX(MAX(A타입_제작표!$U$2:$U$799),MAX(시편_시리즈!$Q$2:$Q$151)),"",안내!$C$9+534)</f>
        <v/>
      </c>
      <c r="C536" s="23" t="str">
        <f aca="false">IF(B536="","",CHOOSE(WEEKDAY(B536,2),"월","화","수","목","금","토","일"))</f>
        <v/>
      </c>
      <c r="D536" s="24" t="str">
        <f aca="false">IF(B536="","",IFERROR(INDEX(A타입_제작표!$J$2:$J$799,MATCH("구약|"&amp;TEXT(B536,"yyyy-mm-dd"),A타입_제작표!$AQ$2:$AQ$799,0))&amp;"  "&amp;INDEX(A타입_제작표!$L$2:$L$799,MATCH("구약|"&amp;TEXT(B536,"yyyy-mm-dd"),A타입_제작표!$AQ$2:$AQ$799,0)),""))</f>
        <v/>
      </c>
      <c r="E536" s="24" t="str">
        <f aca="false">IF(B536="","",IFERROR(INDEX(A타입_제작표!$J$2:$J$799,MATCH("신약|"&amp;TEXT(B536,"yyyy-mm-dd"),A타입_제작표!$AQ$2:$AQ$799,0))&amp;"  "&amp;INDEX(A타입_제작표!$L$2:$L$799,MATCH("신약|"&amp;TEXT(B536,"yyyy-mm-dd"),A타입_제작표!$AQ$2:$AQ$799,0)),""))</f>
        <v/>
      </c>
      <c r="F536" s="24" t="str">
        <f aca="false">IF(B536="","",IFERROR("시편 "&amp;INDEX(시편_시리즈!$A$2:$A$151,MATCH("시편|"&amp;TEXT(B536,"yyyy-mm-dd"),시편_시리즈!$Y$2:$Y$151,0))&amp;"편  "&amp;INDEX(시편_시리즈!$G$2:$G$151,MATCH("시편|"&amp;TEXT(B536,"yyyy-mm-dd"),시편_시리즈!$Y$2:$Y$151,0)),""))</f>
        <v/>
      </c>
      <c r="G536" s="23" t="str">
        <f aca="false">IF(B536="","",(D536&lt;&gt;"")+(E536&lt;&gt;"")+(F536&lt;&gt;""))</f>
        <v/>
      </c>
      <c r="H536" s="31" t="s">
        <v>10282</v>
      </c>
    </row>
    <row r="537" customFormat="false" ht="15" hidden="false" customHeight="false" outlineLevel="0" collapsed="false">
      <c r="A537" s="23" t="str">
        <f aca="false">IF(B537="","",536)</f>
        <v/>
      </c>
      <c r="B537" s="26" t="str">
        <f aca="false">IF(안내!$C$9+535&gt;MAX(MAX(A타입_제작표!$U$2:$U$799),MAX(시편_시리즈!$Q$2:$Q$151)),"",안내!$C$9+535)</f>
        <v/>
      </c>
      <c r="C537" s="23" t="str">
        <f aca="false">IF(B537="","",CHOOSE(WEEKDAY(B537,2),"월","화","수","목","금","토","일"))</f>
        <v/>
      </c>
      <c r="D537" s="24" t="str">
        <f aca="false">IF(B537="","",IFERROR(INDEX(A타입_제작표!$J$2:$J$799,MATCH("구약|"&amp;TEXT(B537,"yyyy-mm-dd"),A타입_제작표!$AQ$2:$AQ$799,0))&amp;"  "&amp;INDEX(A타입_제작표!$L$2:$L$799,MATCH("구약|"&amp;TEXT(B537,"yyyy-mm-dd"),A타입_제작표!$AQ$2:$AQ$799,0)),""))</f>
        <v/>
      </c>
      <c r="E537" s="24" t="str">
        <f aca="false">IF(B537="","",IFERROR(INDEX(A타입_제작표!$J$2:$J$799,MATCH("신약|"&amp;TEXT(B537,"yyyy-mm-dd"),A타입_제작표!$AQ$2:$AQ$799,0))&amp;"  "&amp;INDEX(A타입_제작표!$L$2:$L$799,MATCH("신약|"&amp;TEXT(B537,"yyyy-mm-dd"),A타입_제작표!$AQ$2:$AQ$799,0)),""))</f>
        <v/>
      </c>
      <c r="F537" s="24" t="str">
        <f aca="false">IF(B537="","",IFERROR("시편 "&amp;INDEX(시편_시리즈!$A$2:$A$151,MATCH("시편|"&amp;TEXT(B537,"yyyy-mm-dd"),시편_시리즈!$Y$2:$Y$151,0))&amp;"편  "&amp;INDEX(시편_시리즈!$G$2:$G$151,MATCH("시편|"&amp;TEXT(B537,"yyyy-mm-dd"),시편_시리즈!$Y$2:$Y$151,0)),""))</f>
        <v/>
      </c>
      <c r="G537" s="23" t="str">
        <f aca="false">IF(B537="","",(D537&lt;&gt;"")+(E537&lt;&gt;"")+(F537&lt;&gt;""))</f>
        <v/>
      </c>
      <c r="H537" s="31" t="s">
        <v>10282</v>
      </c>
    </row>
    <row r="538" customFormat="false" ht="15" hidden="false" customHeight="false" outlineLevel="0" collapsed="false">
      <c r="A538" s="23" t="str">
        <f aca="false">IF(B538="","",537)</f>
        <v/>
      </c>
      <c r="B538" s="26" t="str">
        <f aca="false">IF(안내!$C$9+536&gt;MAX(MAX(A타입_제작표!$U$2:$U$799),MAX(시편_시리즈!$Q$2:$Q$151)),"",안내!$C$9+536)</f>
        <v/>
      </c>
      <c r="C538" s="23" t="str">
        <f aca="false">IF(B538="","",CHOOSE(WEEKDAY(B538,2),"월","화","수","목","금","토","일"))</f>
        <v/>
      </c>
      <c r="D538" s="24" t="str">
        <f aca="false">IF(B538="","",IFERROR(INDEX(A타입_제작표!$J$2:$J$799,MATCH("구약|"&amp;TEXT(B538,"yyyy-mm-dd"),A타입_제작표!$AQ$2:$AQ$799,0))&amp;"  "&amp;INDEX(A타입_제작표!$L$2:$L$799,MATCH("구약|"&amp;TEXT(B538,"yyyy-mm-dd"),A타입_제작표!$AQ$2:$AQ$799,0)),""))</f>
        <v/>
      </c>
      <c r="E538" s="24" t="str">
        <f aca="false">IF(B538="","",IFERROR(INDEX(A타입_제작표!$J$2:$J$799,MATCH("신약|"&amp;TEXT(B538,"yyyy-mm-dd"),A타입_제작표!$AQ$2:$AQ$799,0))&amp;"  "&amp;INDEX(A타입_제작표!$L$2:$L$799,MATCH("신약|"&amp;TEXT(B538,"yyyy-mm-dd"),A타입_제작표!$AQ$2:$AQ$799,0)),""))</f>
        <v/>
      </c>
      <c r="F538" s="24" t="str">
        <f aca="false">IF(B538="","",IFERROR("시편 "&amp;INDEX(시편_시리즈!$A$2:$A$151,MATCH("시편|"&amp;TEXT(B538,"yyyy-mm-dd"),시편_시리즈!$Y$2:$Y$151,0))&amp;"편  "&amp;INDEX(시편_시리즈!$G$2:$G$151,MATCH("시편|"&amp;TEXT(B538,"yyyy-mm-dd"),시편_시리즈!$Y$2:$Y$151,0)),""))</f>
        <v/>
      </c>
      <c r="G538" s="23" t="str">
        <f aca="false">IF(B538="","",(D538&lt;&gt;"")+(E538&lt;&gt;"")+(F538&lt;&gt;""))</f>
        <v/>
      </c>
      <c r="H538" s="31" t="s">
        <v>10282</v>
      </c>
    </row>
    <row r="539" customFormat="false" ht="15" hidden="false" customHeight="false" outlineLevel="0" collapsed="false">
      <c r="A539" s="23" t="str">
        <f aca="false">IF(B539="","",538)</f>
        <v/>
      </c>
      <c r="B539" s="26" t="str">
        <f aca="false">IF(안내!$C$9+537&gt;MAX(MAX(A타입_제작표!$U$2:$U$799),MAX(시편_시리즈!$Q$2:$Q$151)),"",안내!$C$9+537)</f>
        <v/>
      </c>
      <c r="C539" s="23" t="str">
        <f aca="false">IF(B539="","",CHOOSE(WEEKDAY(B539,2),"월","화","수","목","금","토","일"))</f>
        <v/>
      </c>
      <c r="D539" s="24" t="str">
        <f aca="false">IF(B539="","",IFERROR(INDEX(A타입_제작표!$J$2:$J$799,MATCH("구약|"&amp;TEXT(B539,"yyyy-mm-dd"),A타입_제작표!$AQ$2:$AQ$799,0))&amp;"  "&amp;INDEX(A타입_제작표!$L$2:$L$799,MATCH("구약|"&amp;TEXT(B539,"yyyy-mm-dd"),A타입_제작표!$AQ$2:$AQ$799,0)),""))</f>
        <v/>
      </c>
      <c r="E539" s="24" t="str">
        <f aca="false">IF(B539="","",IFERROR(INDEX(A타입_제작표!$J$2:$J$799,MATCH("신약|"&amp;TEXT(B539,"yyyy-mm-dd"),A타입_제작표!$AQ$2:$AQ$799,0))&amp;"  "&amp;INDEX(A타입_제작표!$L$2:$L$799,MATCH("신약|"&amp;TEXT(B539,"yyyy-mm-dd"),A타입_제작표!$AQ$2:$AQ$799,0)),""))</f>
        <v/>
      </c>
      <c r="F539" s="24" t="str">
        <f aca="false">IF(B539="","",IFERROR("시편 "&amp;INDEX(시편_시리즈!$A$2:$A$151,MATCH("시편|"&amp;TEXT(B539,"yyyy-mm-dd"),시편_시리즈!$Y$2:$Y$151,0))&amp;"편  "&amp;INDEX(시편_시리즈!$G$2:$G$151,MATCH("시편|"&amp;TEXT(B539,"yyyy-mm-dd"),시편_시리즈!$Y$2:$Y$151,0)),""))</f>
        <v/>
      </c>
      <c r="G539" s="23" t="str">
        <f aca="false">IF(B539="","",(D539&lt;&gt;"")+(E539&lt;&gt;"")+(F539&lt;&gt;""))</f>
        <v/>
      </c>
      <c r="H539" s="31" t="s">
        <v>10282</v>
      </c>
    </row>
    <row r="540" customFormat="false" ht="15" hidden="false" customHeight="false" outlineLevel="0" collapsed="false">
      <c r="A540" s="23" t="str">
        <f aca="false">IF(B540="","",539)</f>
        <v/>
      </c>
      <c r="B540" s="26" t="str">
        <f aca="false">IF(안내!$C$9+538&gt;MAX(MAX(A타입_제작표!$U$2:$U$799),MAX(시편_시리즈!$Q$2:$Q$151)),"",안내!$C$9+538)</f>
        <v/>
      </c>
      <c r="C540" s="23" t="str">
        <f aca="false">IF(B540="","",CHOOSE(WEEKDAY(B540,2),"월","화","수","목","금","토","일"))</f>
        <v/>
      </c>
      <c r="D540" s="24" t="str">
        <f aca="false">IF(B540="","",IFERROR(INDEX(A타입_제작표!$J$2:$J$799,MATCH("구약|"&amp;TEXT(B540,"yyyy-mm-dd"),A타입_제작표!$AQ$2:$AQ$799,0))&amp;"  "&amp;INDEX(A타입_제작표!$L$2:$L$799,MATCH("구약|"&amp;TEXT(B540,"yyyy-mm-dd"),A타입_제작표!$AQ$2:$AQ$799,0)),""))</f>
        <v/>
      </c>
      <c r="E540" s="24" t="str">
        <f aca="false">IF(B540="","",IFERROR(INDEX(A타입_제작표!$J$2:$J$799,MATCH("신약|"&amp;TEXT(B540,"yyyy-mm-dd"),A타입_제작표!$AQ$2:$AQ$799,0))&amp;"  "&amp;INDEX(A타입_제작표!$L$2:$L$799,MATCH("신약|"&amp;TEXT(B540,"yyyy-mm-dd"),A타입_제작표!$AQ$2:$AQ$799,0)),""))</f>
        <v/>
      </c>
      <c r="F540" s="24" t="str">
        <f aca="false">IF(B540="","",IFERROR("시편 "&amp;INDEX(시편_시리즈!$A$2:$A$151,MATCH("시편|"&amp;TEXT(B540,"yyyy-mm-dd"),시편_시리즈!$Y$2:$Y$151,0))&amp;"편  "&amp;INDEX(시편_시리즈!$G$2:$G$151,MATCH("시편|"&amp;TEXT(B540,"yyyy-mm-dd"),시편_시리즈!$Y$2:$Y$151,0)),""))</f>
        <v/>
      </c>
      <c r="G540" s="23" t="str">
        <f aca="false">IF(B540="","",(D540&lt;&gt;"")+(E540&lt;&gt;"")+(F540&lt;&gt;""))</f>
        <v/>
      </c>
      <c r="H540" s="31" t="s">
        <v>10282</v>
      </c>
    </row>
    <row r="541" customFormat="false" ht="15" hidden="false" customHeight="false" outlineLevel="0" collapsed="false">
      <c r="A541" s="23" t="str">
        <f aca="false">IF(B541="","",540)</f>
        <v/>
      </c>
      <c r="B541" s="26" t="str">
        <f aca="false">IF(안내!$C$9+539&gt;MAX(MAX(A타입_제작표!$U$2:$U$799),MAX(시편_시리즈!$Q$2:$Q$151)),"",안내!$C$9+539)</f>
        <v/>
      </c>
      <c r="C541" s="23" t="str">
        <f aca="false">IF(B541="","",CHOOSE(WEEKDAY(B541,2),"월","화","수","목","금","토","일"))</f>
        <v/>
      </c>
      <c r="D541" s="24" t="str">
        <f aca="false">IF(B541="","",IFERROR(INDEX(A타입_제작표!$J$2:$J$799,MATCH("구약|"&amp;TEXT(B541,"yyyy-mm-dd"),A타입_제작표!$AQ$2:$AQ$799,0))&amp;"  "&amp;INDEX(A타입_제작표!$L$2:$L$799,MATCH("구약|"&amp;TEXT(B541,"yyyy-mm-dd"),A타입_제작표!$AQ$2:$AQ$799,0)),""))</f>
        <v/>
      </c>
      <c r="E541" s="24" t="str">
        <f aca="false">IF(B541="","",IFERROR(INDEX(A타입_제작표!$J$2:$J$799,MATCH("신약|"&amp;TEXT(B541,"yyyy-mm-dd"),A타입_제작표!$AQ$2:$AQ$799,0))&amp;"  "&amp;INDEX(A타입_제작표!$L$2:$L$799,MATCH("신약|"&amp;TEXT(B541,"yyyy-mm-dd"),A타입_제작표!$AQ$2:$AQ$799,0)),""))</f>
        <v/>
      </c>
      <c r="F541" s="24" t="str">
        <f aca="false">IF(B541="","",IFERROR("시편 "&amp;INDEX(시편_시리즈!$A$2:$A$151,MATCH("시편|"&amp;TEXT(B541,"yyyy-mm-dd"),시편_시리즈!$Y$2:$Y$151,0))&amp;"편  "&amp;INDEX(시편_시리즈!$G$2:$G$151,MATCH("시편|"&amp;TEXT(B541,"yyyy-mm-dd"),시편_시리즈!$Y$2:$Y$151,0)),""))</f>
        <v/>
      </c>
      <c r="G541" s="23" t="str">
        <f aca="false">IF(B541="","",(D541&lt;&gt;"")+(E541&lt;&gt;"")+(F541&lt;&gt;""))</f>
        <v/>
      </c>
      <c r="H541" s="31" t="s">
        <v>10282</v>
      </c>
    </row>
    <row r="542" customFormat="false" ht="15" hidden="false" customHeight="false" outlineLevel="0" collapsed="false">
      <c r="A542" s="23" t="str">
        <f aca="false">IF(B542="","",541)</f>
        <v/>
      </c>
      <c r="B542" s="26" t="str">
        <f aca="false">IF(안내!$C$9+540&gt;MAX(MAX(A타입_제작표!$U$2:$U$799),MAX(시편_시리즈!$Q$2:$Q$151)),"",안내!$C$9+540)</f>
        <v/>
      </c>
      <c r="C542" s="23" t="str">
        <f aca="false">IF(B542="","",CHOOSE(WEEKDAY(B542,2),"월","화","수","목","금","토","일"))</f>
        <v/>
      </c>
      <c r="D542" s="24" t="str">
        <f aca="false">IF(B542="","",IFERROR(INDEX(A타입_제작표!$J$2:$J$799,MATCH("구약|"&amp;TEXT(B542,"yyyy-mm-dd"),A타입_제작표!$AQ$2:$AQ$799,0))&amp;"  "&amp;INDEX(A타입_제작표!$L$2:$L$799,MATCH("구약|"&amp;TEXT(B542,"yyyy-mm-dd"),A타입_제작표!$AQ$2:$AQ$799,0)),""))</f>
        <v/>
      </c>
      <c r="E542" s="24" t="str">
        <f aca="false">IF(B542="","",IFERROR(INDEX(A타입_제작표!$J$2:$J$799,MATCH("신약|"&amp;TEXT(B542,"yyyy-mm-dd"),A타입_제작표!$AQ$2:$AQ$799,0))&amp;"  "&amp;INDEX(A타입_제작표!$L$2:$L$799,MATCH("신약|"&amp;TEXT(B542,"yyyy-mm-dd"),A타입_제작표!$AQ$2:$AQ$799,0)),""))</f>
        <v/>
      </c>
      <c r="F542" s="24" t="str">
        <f aca="false">IF(B542="","",IFERROR("시편 "&amp;INDEX(시편_시리즈!$A$2:$A$151,MATCH("시편|"&amp;TEXT(B542,"yyyy-mm-dd"),시편_시리즈!$Y$2:$Y$151,0))&amp;"편  "&amp;INDEX(시편_시리즈!$G$2:$G$151,MATCH("시편|"&amp;TEXT(B542,"yyyy-mm-dd"),시편_시리즈!$Y$2:$Y$151,0)),""))</f>
        <v/>
      </c>
      <c r="G542" s="23" t="str">
        <f aca="false">IF(B542="","",(D542&lt;&gt;"")+(E542&lt;&gt;"")+(F542&lt;&gt;""))</f>
        <v/>
      </c>
      <c r="H542" s="31" t="s">
        <v>10282</v>
      </c>
    </row>
    <row r="543" customFormat="false" ht="15" hidden="false" customHeight="false" outlineLevel="0" collapsed="false">
      <c r="A543" s="23" t="str">
        <f aca="false">IF(B543="","",542)</f>
        <v/>
      </c>
      <c r="B543" s="26" t="str">
        <f aca="false">IF(안내!$C$9+541&gt;MAX(MAX(A타입_제작표!$U$2:$U$799),MAX(시편_시리즈!$Q$2:$Q$151)),"",안내!$C$9+541)</f>
        <v/>
      </c>
      <c r="C543" s="23" t="str">
        <f aca="false">IF(B543="","",CHOOSE(WEEKDAY(B543,2),"월","화","수","목","금","토","일"))</f>
        <v/>
      </c>
      <c r="D543" s="24" t="str">
        <f aca="false">IF(B543="","",IFERROR(INDEX(A타입_제작표!$J$2:$J$799,MATCH("구약|"&amp;TEXT(B543,"yyyy-mm-dd"),A타입_제작표!$AQ$2:$AQ$799,0))&amp;"  "&amp;INDEX(A타입_제작표!$L$2:$L$799,MATCH("구약|"&amp;TEXT(B543,"yyyy-mm-dd"),A타입_제작표!$AQ$2:$AQ$799,0)),""))</f>
        <v/>
      </c>
      <c r="E543" s="24" t="str">
        <f aca="false">IF(B543="","",IFERROR(INDEX(A타입_제작표!$J$2:$J$799,MATCH("신약|"&amp;TEXT(B543,"yyyy-mm-dd"),A타입_제작표!$AQ$2:$AQ$799,0))&amp;"  "&amp;INDEX(A타입_제작표!$L$2:$L$799,MATCH("신약|"&amp;TEXT(B543,"yyyy-mm-dd"),A타입_제작표!$AQ$2:$AQ$799,0)),""))</f>
        <v/>
      </c>
      <c r="F543" s="24" t="str">
        <f aca="false">IF(B543="","",IFERROR("시편 "&amp;INDEX(시편_시리즈!$A$2:$A$151,MATCH("시편|"&amp;TEXT(B543,"yyyy-mm-dd"),시편_시리즈!$Y$2:$Y$151,0))&amp;"편  "&amp;INDEX(시편_시리즈!$G$2:$G$151,MATCH("시편|"&amp;TEXT(B543,"yyyy-mm-dd"),시편_시리즈!$Y$2:$Y$151,0)),""))</f>
        <v/>
      </c>
      <c r="G543" s="23" t="str">
        <f aca="false">IF(B543="","",(D543&lt;&gt;"")+(E543&lt;&gt;"")+(F543&lt;&gt;""))</f>
        <v/>
      </c>
      <c r="H543" s="31" t="s">
        <v>10282</v>
      </c>
    </row>
    <row r="544" customFormat="false" ht="15" hidden="false" customHeight="false" outlineLevel="0" collapsed="false">
      <c r="A544" s="23" t="str">
        <f aca="false">IF(B544="","",543)</f>
        <v/>
      </c>
      <c r="B544" s="26" t="str">
        <f aca="false">IF(안내!$C$9+542&gt;MAX(MAX(A타입_제작표!$U$2:$U$799),MAX(시편_시리즈!$Q$2:$Q$151)),"",안내!$C$9+542)</f>
        <v/>
      </c>
      <c r="C544" s="23" t="str">
        <f aca="false">IF(B544="","",CHOOSE(WEEKDAY(B544,2),"월","화","수","목","금","토","일"))</f>
        <v/>
      </c>
      <c r="D544" s="24" t="str">
        <f aca="false">IF(B544="","",IFERROR(INDEX(A타입_제작표!$J$2:$J$799,MATCH("구약|"&amp;TEXT(B544,"yyyy-mm-dd"),A타입_제작표!$AQ$2:$AQ$799,0))&amp;"  "&amp;INDEX(A타입_제작표!$L$2:$L$799,MATCH("구약|"&amp;TEXT(B544,"yyyy-mm-dd"),A타입_제작표!$AQ$2:$AQ$799,0)),""))</f>
        <v/>
      </c>
      <c r="E544" s="24" t="str">
        <f aca="false">IF(B544="","",IFERROR(INDEX(A타입_제작표!$J$2:$J$799,MATCH("신약|"&amp;TEXT(B544,"yyyy-mm-dd"),A타입_제작표!$AQ$2:$AQ$799,0))&amp;"  "&amp;INDEX(A타입_제작표!$L$2:$L$799,MATCH("신약|"&amp;TEXT(B544,"yyyy-mm-dd"),A타입_제작표!$AQ$2:$AQ$799,0)),""))</f>
        <v/>
      </c>
      <c r="F544" s="24" t="str">
        <f aca="false">IF(B544="","",IFERROR("시편 "&amp;INDEX(시편_시리즈!$A$2:$A$151,MATCH("시편|"&amp;TEXT(B544,"yyyy-mm-dd"),시편_시리즈!$Y$2:$Y$151,0))&amp;"편  "&amp;INDEX(시편_시리즈!$G$2:$G$151,MATCH("시편|"&amp;TEXT(B544,"yyyy-mm-dd"),시편_시리즈!$Y$2:$Y$151,0)),""))</f>
        <v/>
      </c>
      <c r="G544" s="23" t="str">
        <f aca="false">IF(B544="","",(D544&lt;&gt;"")+(E544&lt;&gt;"")+(F544&lt;&gt;""))</f>
        <v/>
      </c>
      <c r="H544" s="31" t="s">
        <v>10282</v>
      </c>
    </row>
    <row r="545" customFormat="false" ht="15" hidden="false" customHeight="false" outlineLevel="0" collapsed="false">
      <c r="A545" s="23" t="str">
        <f aca="false">IF(B545="","",544)</f>
        <v/>
      </c>
      <c r="B545" s="26" t="str">
        <f aca="false">IF(안내!$C$9+543&gt;MAX(MAX(A타입_제작표!$U$2:$U$799),MAX(시편_시리즈!$Q$2:$Q$151)),"",안내!$C$9+543)</f>
        <v/>
      </c>
      <c r="C545" s="23" t="str">
        <f aca="false">IF(B545="","",CHOOSE(WEEKDAY(B545,2),"월","화","수","목","금","토","일"))</f>
        <v/>
      </c>
      <c r="D545" s="24" t="str">
        <f aca="false">IF(B545="","",IFERROR(INDEX(A타입_제작표!$J$2:$J$799,MATCH("구약|"&amp;TEXT(B545,"yyyy-mm-dd"),A타입_제작표!$AQ$2:$AQ$799,0))&amp;"  "&amp;INDEX(A타입_제작표!$L$2:$L$799,MATCH("구약|"&amp;TEXT(B545,"yyyy-mm-dd"),A타입_제작표!$AQ$2:$AQ$799,0)),""))</f>
        <v/>
      </c>
      <c r="E545" s="24" t="str">
        <f aca="false">IF(B545="","",IFERROR(INDEX(A타입_제작표!$J$2:$J$799,MATCH("신약|"&amp;TEXT(B545,"yyyy-mm-dd"),A타입_제작표!$AQ$2:$AQ$799,0))&amp;"  "&amp;INDEX(A타입_제작표!$L$2:$L$799,MATCH("신약|"&amp;TEXT(B545,"yyyy-mm-dd"),A타입_제작표!$AQ$2:$AQ$799,0)),""))</f>
        <v/>
      </c>
      <c r="F545" s="24" t="str">
        <f aca="false">IF(B545="","",IFERROR("시편 "&amp;INDEX(시편_시리즈!$A$2:$A$151,MATCH("시편|"&amp;TEXT(B545,"yyyy-mm-dd"),시편_시리즈!$Y$2:$Y$151,0))&amp;"편  "&amp;INDEX(시편_시리즈!$G$2:$G$151,MATCH("시편|"&amp;TEXT(B545,"yyyy-mm-dd"),시편_시리즈!$Y$2:$Y$151,0)),""))</f>
        <v/>
      </c>
      <c r="G545" s="23" t="str">
        <f aca="false">IF(B545="","",(D545&lt;&gt;"")+(E545&lt;&gt;"")+(F545&lt;&gt;""))</f>
        <v/>
      </c>
      <c r="H545" s="31" t="s">
        <v>10282</v>
      </c>
    </row>
    <row r="546" customFormat="false" ht="15" hidden="false" customHeight="false" outlineLevel="0" collapsed="false">
      <c r="A546" s="23" t="str">
        <f aca="false">IF(B546="","",545)</f>
        <v/>
      </c>
      <c r="B546" s="26" t="str">
        <f aca="false">IF(안내!$C$9+544&gt;MAX(MAX(A타입_제작표!$U$2:$U$799),MAX(시편_시리즈!$Q$2:$Q$151)),"",안내!$C$9+544)</f>
        <v/>
      </c>
      <c r="C546" s="23" t="str">
        <f aca="false">IF(B546="","",CHOOSE(WEEKDAY(B546,2),"월","화","수","목","금","토","일"))</f>
        <v/>
      </c>
      <c r="D546" s="24" t="str">
        <f aca="false">IF(B546="","",IFERROR(INDEX(A타입_제작표!$J$2:$J$799,MATCH("구약|"&amp;TEXT(B546,"yyyy-mm-dd"),A타입_제작표!$AQ$2:$AQ$799,0))&amp;"  "&amp;INDEX(A타입_제작표!$L$2:$L$799,MATCH("구약|"&amp;TEXT(B546,"yyyy-mm-dd"),A타입_제작표!$AQ$2:$AQ$799,0)),""))</f>
        <v/>
      </c>
      <c r="E546" s="24" t="str">
        <f aca="false">IF(B546="","",IFERROR(INDEX(A타입_제작표!$J$2:$J$799,MATCH("신약|"&amp;TEXT(B546,"yyyy-mm-dd"),A타입_제작표!$AQ$2:$AQ$799,0))&amp;"  "&amp;INDEX(A타입_제작표!$L$2:$L$799,MATCH("신약|"&amp;TEXT(B546,"yyyy-mm-dd"),A타입_제작표!$AQ$2:$AQ$799,0)),""))</f>
        <v/>
      </c>
      <c r="F546" s="24" t="str">
        <f aca="false">IF(B546="","",IFERROR("시편 "&amp;INDEX(시편_시리즈!$A$2:$A$151,MATCH("시편|"&amp;TEXT(B546,"yyyy-mm-dd"),시편_시리즈!$Y$2:$Y$151,0))&amp;"편  "&amp;INDEX(시편_시리즈!$G$2:$G$151,MATCH("시편|"&amp;TEXT(B546,"yyyy-mm-dd"),시편_시리즈!$Y$2:$Y$151,0)),""))</f>
        <v/>
      </c>
      <c r="G546" s="23" t="str">
        <f aca="false">IF(B546="","",(D546&lt;&gt;"")+(E546&lt;&gt;"")+(F546&lt;&gt;""))</f>
        <v/>
      </c>
      <c r="H546" s="31" t="s">
        <v>10282</v>
      </c>
    </row>
    <row r="547" customFormat="false" ht="15" hidden="false" customHeight="false" outlineLevel="0" collapsed="false">
      <c r="A547" s="23" t="str">
        <f aca="false">IF(B547="","",546)</f>
        <v/>
      </c>
      <c r="B547" s="26" t="str">
        <f aca="false">IF(안내!$C$9+545&gt;MAX(MAX(A타입_제작표!$U$2:$U$799),MAX(시편_시리즈!$Q$2:$Q$151)),"",안내!$C$9+545)</f>
        <v/>
      </c>
      <c r="C547" s="23" t="str">
        <f aca="false">IF(B547="","",CHOOSE(WEEKDAY(B547,2),"월","화","수","목","금","토","일"))</f>
        <v/>
      </c>
      <c r="D547" s="24" t="str">
        <f aca="false">IF(B547="","",IFERROR(INDEX(A타입_제작표!$J$2:$J$799,MATCH("구약|"&amp;TEXT(B547,"yyyy-mm-dd"),A타입_제작표!$AQ$2:$AQ$799,0))&amp;"  "&amp;INDEX(A타입_제작표!$L$2:$L$799,MATCH("구약|"&amp;TEXT(B547,"yyyy-mm-dd"),A타입_제작표!$AQ$2:$AQ$799,0)),""))</f>
        <v/>
      </c>
      <c r="E547" s="24" t="str">
        <f aca="false">IF(B547="","",IFERROR(INDEX(A타입_제작표!$J$2:$J$799,MATCH("신약|"&amp;TEXT(B547,"yyyy-mm-dd"),A타입_제작표!$AQ$2:$AQ$799,0))&amp;"  "&amp;INDEX(A타입_제작표!$L$2:$L$799,MATCH("신약|"&amp;TEXT(B547,"yyyy-mm-dd"),A타입_제작표!$AQ$2:$AQ$799,0)),""))</f>
        <v/>
      </c>
      <c r="F547" s="24" t="str">
        <f aca="false">IF(B547="","",IFERROR("시편 "&amp;INDEX(시편_시리즈!$A$2:$A$151,MATCH("시편|"&amp;TEXT(B547,"yyyy-mm-dd"),시편_시리즈!$Y$2:$Y$151,0))&amp;"편  "&amp;INDEX(시편_시리즈!$G$2:$G$151,MATCH("시편|"&amp;TEXT(B547,"yyyy-mm-dd"),시편_시리즈!$Y$2:$Y$151,0)),""))</f>
        <v/>
      </c>
      <c r="G547" s="23" t="str">
        <f aca="false">IF(B547="","",(D547&lt;&gt;"")+(E547&lt;&gt;"")+(F547&lt;&gt;""))</f>
        <v/>
      </c>
      <c r="H547" s="31" t="s">
        <v>10282</v>
      </c>
    </row>
    <row r="548" customFormat="false" ht="15" hidden="false" customHeight="false" outlineLevel="0" collapsed="false">
      <c r="A548" s="23" t="str">
        <f aca="false">IF(B548="","",547)</f>
        <v/>
      </c>
      <c r="B548" s="26" t="str">
        <f aca="false">IF(안내!$C$9+546&gt;MAX(MAX(A타입_제작표!$U$2:$U$799),MAX(시편_시리즈!$Q$2:$Q$151)),"",안내!$C$9+546)</f>
        <v/>
      </c>
      <c r="C548" s="23" t="str">
        <f aca="false">IF(B548="","",CHOOSE(WEEKDAY(B548,2),"월","화","수","목","금","토","일"))</f>
        <v/>
      </c>
      <c r="D548" s="24" t="str">
        <f aca="false">IF(B548="","",IFERROR(INDEX(A타입_제작표!$J$2:$J$799,MATCH("구약|"&amp;TEXT(B548,"yyyy-mm-dd"),A타입_제작표!$AQ$2:$AQ$799,0))&amp;"  "&amp;INDEX(A타입_제작표!$L$2:$L$799,MATCH("구약|"&amp;TEXT(B548,"yyyy-mm-dd"),A타입_제작표!$AQ$2:$AQ$799,0)),""))</f>
        <v/>
      </c>
      <c r="E548" s="24" t="str">
        <f aca="false">IF(B548="","",IFERROR(INDEX(A타입_제작표!$J$2:$J$799,MATCH("신약|"&amp;TEXT(B548,"yyyy-mm-dd"),A타입_제작표!$AQ$2:$AQ$799,0))&amp;"  "&amp;INDEX(A타입_제작표!$L$2:$L$799,MATCH("신약|"&amp;TEXT(B548,"yyyy-mm-dd"),A타입_제작표!$AQ$2:$AQ$799,0)),""))</f>
        <v/>
      </c>
      <c r="F548" s="24" t="str">
        <f aca="false">IF(B548="","",IFERROR("시편 "&amp;INDEX(시편_시리즈!$A$2:$A$151,MATCH("시편|"&amp;TEXT(B548,"yyyy-mm-dd"),시편_시리즈!$Y$2:$Y$151,0))&amp;"편  "&amp;INDEX(시편_시리즈!$G$2:$G$151,MATCH("시편|"&amp;TEXT(B548,"yyyy-mm-dd"),시편_시리즈!$Y$2:$Y$151,0)),""))</f>
        <v/>
      </c>
      <c r="G548" s="23" t="str">
        <f aca="false">IF(B548="","",(D548&lt;&gt;"")+(E548&lt;&gt;"")+(F548&lt;&gt;""))</f>
        <v/>
      </c>
      <c r="H548" s="31" t="s">
        <v>10282</v>
      </c>
    </row>
    <row r="549" customFormat="false" ht="15" hidden="false" customHeight="false" outlineLevel="0" collapsed="false">
      <c r="A549" s="23" t="str">
        <f aca="false">IF(B549="","",548)</f>
        <v/>
      </c>
      <c r="B549" s="26" t="str">
        <f aca="false">IF(안내!$C$9+547&gt;MAX(MAX(A타입_제작표!$U$2:$U$799),MAX(시편_시리즈!$Q$2:$Q$151)),"",안내!$C$9+547)</f>
        <v/>
      </c>
      <c r="C549" s="23" t="str">
        <f aca="false">IF(B549="","",CHOOSE(WEEKDAY(B549,2),"월","화","수","목","금","토","일"))</f>
        <v/>
      </c>
      <c r="D549" s="24" t="str">
        <f aca="false">IF(B549="","",IFERROR(INDEX(A타입_제작표!$J$2:$J$799,MATCH("구약|"&amp;TEXT(B549,"yyyy-mm-dd"),A타입_제작표!$AQ$2:$AQ$799,0))&amp;"  "&amp;INDEX(A타입_제작표!$L$2:$L$799,MATCH("구약|"&amp;TEXT(B549,"yyyy-mm-dd"),A타입_제작표!$AQ$2:$AQ$799,0)),""))</f>
        <v/>
      </c>
      <c r="E549" s="24" t="str">
        <f aca="false">IF(B549="","",IFERROR(INDEX(A타입_제작표!$J$2:$J$799,MATCH("신약|"&amp;TEXT(B549,"yyyy-mm-dd"),A타입_제작표!$AQ$2:$AQ$799,0))&amp;"  "&amp;INDEX(A타입_제작표!$L$2:$L$799,MATCH("신약|"&amp;TEXT(B549,"yyyy-mm-dd"),A타입_제작표!$AQ$2:$AQ$799,0)),""))</f>
        <v/>
      </c>
      <c r="F549" s="24" t="str">
        <f aca="false">IF(B549="","",IFERROR("시편 "&amp;INDEX(시편_시리즈!$A$2:$A$151,MATCH("시편|"&amp;TEXT(B549,"yyyy-mm-dd"),시편_시리즈!$Y$2:$Y$151,0))&amp;"편  "&amp;INDEX(시편_시리즈!$G$2:$G$151,MATCH("시편|"&amp;TEXT(B549,"yyyy-mm-dd"),시편_시리즈!$Y$2:$Y$151,0)),""))</f>
        <v/>
      </c>
      <c r="G549" s="23" t="str">
        <f aca="false">IF(B549="","",(D549&lt;&gt;"")+(E549&lt;&gt;"")+(F549&lt;&gt;""))</f>
        <v/>
      </c>
      <c r="H549" s="31" t="s">
        <v>10282</v>
      </c>
    </row>
    <row r="550" customFormat="false" ht="15" hidden="false" customHeight="false" outlineLevel="0" collapsed="false">
      <c r="A550" s="23" t="str">
        <f aca="false">IF(B550="","",549)</f>
        <v/>
      </c>
      <c r="B550" s="26" t="str">
        <f aca="false">IF(안내!$C$9+548&gt;MAX(MAX(A타입_제작표!$U$2:$U$799),MAX(시편_시리즈!$Q$2:$Q$151)),"",안내!$C$9+548)</f>
        <v/>
      </c>
      <c r="C550" s="23" t="str">
        <f aca="false">IF(B550="","",CHOOSE(WEEKDAY(B550,2),"월","화","수","목","금","토","일"))</f>
        <v/>
      </c>
      <c r="D550" s="24" t="str">
        <f aca="false">IF(B550="","",IFERROR(INDEX(A타입_제작표!$J$2:$J$799,MATCH("구약|"&amp;TEXT(B550,"yyyy-mm-dd"),A타입_제작표!$AQ$2:$AQ$799,0))&amp;"  "&amp;INDEX(A타입_제작표!$L$2:$L$799,MATCH("구약|"&amp;TEXT(B550,"yyyy-mm-dd"),A타입_제작표!$AQ$2:$AQ$799,0)),""))</f>
        <v/>
      </c>
      <c r="E550" s="24" t="str">
        <f aca="false">IF(B550="","",IFERROR(INDEX(A타입_제작표!$J$2:$J$799,MATCH("신약|"&amp;TEXT(B550,"yyyy-mm-dd"),A타입_제작표!$AQ$2:$AQ$799,0))&amp;"  "&amp;INDEX(A타입_제작표!$L$2:$L$799,MATCH("신약|"&amp;TEXT(B550,"yyyy-mm-dd"),A타입_제작표!$AQ$2:$AQ$799,0)),""))</f>
        <v/>
      </c>
      <c r="F550" s="24" t="str">
        <f aca="false">IF(B550="","",IFERROR("시편 "&amp;INDEX(시편_시리즈!$A$2:$A$151,MATCH("시편|"&amp;TEXT(B550,"yyyy-mm-dd"),시편_시리즈!$Y$2:$Y$151,0))&amp;"편  "&amp;INDEX(시편_시리즈!$G$2:$G$151,MATCH("시편|"&amp;TEXT(B550,"yyyy-mm-dd"),시편_시리즈!$Y$2:$Y$151,0)),""))</f>
        <v/>
      </c>
      <c r="G550" s="23" t="str">
        <f aca="false">IF(B550="","",(D550&lt;&gt;"")+(E550&lt;&gt;"")+(F550&lt;&gt;""))</f>
        <v/>
      </c>
      <c r="H550" s="31" t="s">
        <v>10282</v>
      </c>
    </row>
    <row r="551" customFormat="false" ht="15" hidden="false" customHeight="false" outlineLevel="0" collapsed="false">
      <c r="A551" s="23" t="str">
        <f aca="false">IF(B551="","",550)</f>
        <v/>
      </c>
      <c r="B551" s="26" t="str">
        <f aca="false">IF(안내!$C$9+549&gt;MAX(MAX(A타입_제작표!$U$2:$U$799),MAX(시편_시리즈!$Q$2:$Q$151)),"",안내!$C$9+549)</f>
        <v/>
      </c>
      <c r="C551" s="23" t="str">
        <f aca="false">IF(B551="","",CHOOSE(WEEKDAY(B551,2),"월","화","수","목","금","토","일"))</f>
        <v/>
      </c>
      <c r="D551" s="24" t="str">
        <f aca="false">IF(B551="","",IFERROR(INDEX(A타입_제작표!$J$2:$J$799,MATCH("구약|"&amp;TEXT(B551,"yyyy-mm-dd"),A타입_제작표!$AQ$2:$AQ$799,0))&amp;"  "&amp;INDEX(A타입_제작표!$L$2:$L$799,MATCH("구약|"&amp;TEXT(B551,"yyyy-mm-dd"),A타입_제작표!$AQ$2:$AQ$799,0)),""))</f>
        <v/>
      </c>
      <c r="E551" s="24" t="str">
        <f aca="false">IF(B551="","",IFERROR(INDEX(A타입_제작표!$J$2:$J$799,MATCH("신약|"&amp;TEXT(B551,"yyyy-mm-dd"),A타입_제작표!$AQ$2:$AQ$799,0))&amp;"  "&amp;INDEX(A타입_제작표!$L$2:$L$799,MATCH("신약|"&amp;TEXT(B551,"yyyy-mm-dd"),A타입_제작표!$AQ$2:$AQ$799,0)),""))</f>
        <v/>
      </c>
      <c r="F551" s="24" t="str">
        <f aca="false">IF(B551="","",IFERROR("시편 "&amp;INDEX(시편_시리즈!$A$2:$A$151,MATCH("시편|"&amp;TEXT(B551,"yyyy-mm-dd"),시편_시리즈!$Y$2:$Y$151,0))&amp;"편  "&amp;INDEX(시편_시리즈!$G$2:$G$151,MATCH("시편|"&amp;TEXT(B551,"yyyy-mm-dd"),시편_시리즈!$Y$2:$Y$151,0)),""))</f>
        <v/>
      </c>
      <c r="G551" s="23" t="str">
        <f aca="false">IF(B551="","",(D551&lt;&gt;"")+(E551&lt;&gt;"")+(F551&lt;&gt;""))</f>
        <v/>
      </c>
      <c r="H551" s="31" t="s">
        <v>10282</v>
      </c>
    </row>
    <row r="552" customFormat="false" ht="15" hidden="false" customHeight="false" outlineLevel="0" collapsed="false">
      <c r="A552" s="23" t="str">
        <f aca="false">IF(B552="","",551)</f>
        <v/>
      </c>
      <c r="B552" s="26" t="str">
        <f aca="false">IF(안내!$C$9+550&gt;MAX(MAX(A타입_제작표!$U$2:$U$799),MAX(시편_시리즈!$Q$2:$Q$151)),"",안내!$C$9+550)</f>
        <v/>
      </c>
      <c r="C552" s="23" t="str">
        <f aca="false">IF(B552="","",CHOOSE(WEEKDAY(B552,2),"월","화","수","목","금","토","일"))</f>
        <v/>
      </c>
      <c r="D552" s="24" t="str">
        <f aca="false">IF(B552="","",IFERROR(INDEX(A타입_제작표!$J$2:$J$799,MATCH("구약|"&amp;TEXT(B552,"yyyy-mm-dd"),A타입_제작표!$AQ$2:$AQ$799,0))&amp;"  "&amp;INDEX(A타입_제작표!$L$2:$L$799,MATCH("구약|"&amp;TEXT(B552,"yyyy-mm-dd"),A타입_제작표!$AQ$2:$AQ$799,0)),""))</f>
        <v/>
      </c>
      <c r="E552" s="24" t="str">
        <f aca="false">IF(B552="","",IFERROR(INDEX(A타입_제작표!$J$2:$J$799,MATCH("신약|"&amp;TEXT(B552,"yyyy-mm-dd"),A타입_제작표!$AQ$2:$AQ$799,0))&amp;"  "&amp;INDEX(A타입_제작표!$L$2:$L$799,MATCH("신약|"&amp;TEXT(B552,"yyyy-mm-dd"),A타입_제작표!$AQ$2:$AQ$799,0)),""))</f>
        <v/>
      </c>
      <c r="F552" s="24" t="str">
        <f aca="false">IF(B552="","",IFERROR("시편 "&amp;INDEX(시편_시리즈!$A$2:$A$151,MATCH("시편|"&amp;TEXT(B552,"yyyy-mm-dd"),시편_시리즈!$Y$2:$Y$151,0))&amp;"편  "&amp;INDEX(시편_시리즈!$G$2:$G$151,MATCH("시편|"&amp;TEXT(B552,"yyyy-mm-dd"),시편_시리즈!$Y$2:$Y$151,0)),""))</f>
        <v/>
      </c>
      <c r="G552" s="23" t="str">
        <f aca="false">IF(B552="","",(D552&lt;&gt;"")+(E552&lt;&gt;"")+(F552&lt;&gt;""))</f>
        <v/>
      </c>
      <c r="H552" s="31" t="s">
        <v>10282</v>
      </c>
    </row>
    <row r="553" customFormat="false" ht="15" hidden="false" customHeight="false" outlineLevel="0" collapsed="false">
      <c r="A553" s="23" t="str">
        <f aca="false">IF(B553="","",552)</f>
        <v/>
      </c>
      <c r="B553" s="26" t="str">
        <f aca="false">IF(안내!$C$9+551&gt;MAX(MAX(A타입_제작표!$U$2:$U$799),MAX(시편_시리즈!$Q$2:$Q$151)),"",안내!$C$9+551)</f>
        <v/>
      </c>
      <c r="C553" s="23" t="str">
        <f aca="false">IF(B553="","",CHOOSE(WEEKDAY(B553,2),"월","화","수","목","금","토","일"))</f>
        <v/>
      </c>
      <c r="D553" s="24" t="str">
        <f aca="false">IF(B553="","",IFERROR(INDEX(A타입_제작표!$J$2:$J$799,MATCH("구약|"&amp;TEXT(B553,"yyyy-mm-dd"),A타입_제작표!$AQ$2:$AQ$799,0))&amp;"  "&amp;INDEX(A타입_제작표!$L$2:$L$799,MATCH("구약|"&amp;TEXT(B553,"yyyy-mm-dd"),A타입_제작표!$AQ$2:$AQ$799,0)),""))</f>
        <v/>
      </c>
      <c r="E553" s="24" t="str">
        <f aca="false">IF(B553="","",IFERROR(INDEX(A타입_제작표!$J$2:$J$799,MATCH("신약|"&amp;TEXT(B553,"yyyy-mm-dd"),A타입_제작표!$AQ$2:$AQ$799,0))&amp;"  "&amp;INDEX(A타입_제작표!$L$2:$L$799,MATCH("신약|"&amp;TEXT(B553,"yyyy-mm-dd"),A타입_제작표!$AQ$2:$AQ$799,0)),""))</f>
        <v/>
      </c>
      <c r="F553" s="24" t="str">
        <f aca="false">IF(B553="","",IFERROR("시편 "&amp;INDEX(시편_시리즈!$A$2:$A$151,MATCH("시편|"&amp;TEXT(B553,"yyyy-mm-dd"),시편_시리즈!$Y$2:$Y$151,0))&amp;"편  "&amp;INDEX(시편_시리즈!$G$2:$G$151,MATCH("시편|"&amp;TEXT(B553,"yyyy-mm-dd"),시편_시리즈!$Y$2:$Y$151,0)),""))</f>
        <v/>
      </c>
      <c r="G553" s="23" t="str">
        <f aca="false">IF(B553="","",(D553&lt;&gt;"")+(E553&lt;&gt;"")+(F553&lt;&gt;""))</f>
        <v/>
      </c>
      <c r="H553" s="31" t="s">
        <v>10282</v>
      </c>
    </row>
    <row r="554" customFormat="false" ht="15" hidden="false" customHeight="false" outlineLevel="0" collapsed="false">
      <c r="A554" s="23" t="str">
        <f aca="false">IF(B554="","",553)</f>
        <v/>
      </c>
      <c r="B554" s="26" t="str">
        <f aca="false">IF(안내!$C$9+552&gt;MAX(MAX(A타입_제작표!$U$2:$U$799),MAX(시편_시리즈!$Q$2:$Q$151)),"",안내!$C$9+552)</f>
        <v/>
      </c>
      <c r="C554" s="23" t="str">
        <f aca="false">IF(B554="","",CHOOSE(WEEKDAY(B554,2),"월","화","수","목","금","토","일"))</f>
        <v/>
      </c>
      <c r="D554" s="24" t="str">
        <f aca="false">IF(B554="","",IFERROR(INDEX(A타입_제작표!$J$2:$J$799,MATCH("구약|"&amp;TEXT(B554,"yyyy-mm-dd"),A타입_제작표!$AQ$2:$AQ$799,0))&amp;"  "&amp;INDEX(A타입_제작표!$L$2:$L$799,MATCH("구약|"&amp;TEXT(B554,"yyyy-mm-dd"),A타입_제작표!$AQ$2:$AQ$799,0)),""))</f>
        <v/>
      </c>
      <c r="E554" s="24" t="str">
        <f aca="false">IF(B554="","",IFERROR(INDEX(A타입_제작표!$J$2:$J$799,MATCH("신약|"&amp;TEXT(B554,"yyyy-mm-dd"),A타입_제작표!$AQ$2:$AQ$799,0))&amp;"  "&amp;INDEX(A타입_제작표!$L$2:$L$799,MATCH("신약|"&amp;TEXT(B554,"yyyy-mm-dd"),A타입_제작표!$AQ$2:$AQ$799,0)),""))</f>
        <v/>
      </c>
      <c r="F554" s="24" t="str">
        <f aca="false">IF(B554="","",IFERROR("시편 "&amp;INDEX(시편_시리즈!$A$2:$A$151,MATCH("시편|"&amp;TEXT(B554,"yyyy-mm-dd"),시편_시리즈!$Y$2:$Y$151,0))&amp;"편  "&amp;INDEX(시편_시리즈!$G$2:$G$151,MATCH("시편|"&amp;TEXT(B554,"yyyy-mm-dd"),시편_시리즈!$Y$2:$Y$151,0)),""))</f>
        <v/>
      </c>
      <c r="G554" s="23" t="str">
        <f aca="false">IF(B554="","",(D554&lt;&gt;"")+(E554&lt;&gt;"")+(F554&lt;&gt;""))</f>
        <v/>
      </c>
      <c r="H554" s="31" t="s">
        <v>10282</v>
      </c>
    </row>
    <row r="555" customFormat="false" ht="15" hidden="false" customHeight="false" outlineLevel="0" collapsed="false">
      <c r="A555" s="23" t="str">
        <f aca="false">IF(B555="","",554)</f>
        <v/>
      </c>
      <c r="B555" s="26" t="str">
        <f aca="false">IF(안내!$C$9+553&gt;MAX(MAX(A타입_제작표!$U$2:$U$799),MAX(시편_시리즈!$Q$2:$Q$151)),"",안내!$C$9+553)</f>
        <v/>
      </c>
      <c r="C555" s="23" t="str">
        <f aca="false">IF(B555="","",CHOOSE(WEEKDAY(B555,2),"월","화","수","목","금","토","일"))</f>
        <v/>
      </c>
      <c r="D555" s="24" t="str">
        <f aca="false">IF(B555="","",IFERROR(INDEX(A타입_제작표!$J$2:$J$799,MATCH("구약|"&amp;TEXT(B555,"yyyy-mm-dd"),A타입_제작표!$AQ$2:$AQ$799,0))&amp;"  "&amp;INDEX(A타입_제작표!$L$2:$L$799,MATCH("구약|"&amp;TEXT(B555,"yyyy-mm-dd"),A타입_제작표!$AQ$2:$AQ$799,0)),""))</f>
        <v/>
      </c>
      <c r="E555" s="24" t="str">
        <f aca="false">IF(B555="","",IFERROR(INDEX(A타입_제작표!$J$2:$J$799,MATCH("신약|"&amp;TEXT(B555,"yyyy-mm-dd"),A타입_제작표!$AQ$2:$AQ$799,0))&amp;"  "&amp;INDEX(A타입_제작표!$L$2:$L$799,MATCH("신약|"&amp;TEXT(B555,"yyyy-mm-dd"),A타입_제작표!$AQ$2:$AQ$799,0)),""))</f>
        <v/>
      </c>
      <c r="F555" s="24" t="str">
        <f aca="false">IF(B555="","",IFERROR("시편 "&amp;INDEX(시편_시리즈!$A$2:$A$151,MATCH("시편|"&amp;TEXT(B555,"yyyy-mm-dd"),시편_시리즈!$Y$2:$Y$151,0))&amp;"편  "&amp;INDEX(시편_시리즈!$G$2:$G$151,MATCH("시편|"&amp;TEXT(B555,"yyyy-mm-dd"),시편_시리즈!$Y$2:$Y$151,0)),""))</f>
        <v/>
      </c>
      <c r="G555" s="23" t="str">
        <f aca="false">IF(B555="","",(D555&lt;&gt;"")+(E555&lt;&gt;"")+(F555&lt;&gt;""))</f>
        <v/>
      </c>
      <c r="H555" s="31" t="s">
        <v>10282</v>
      </c>
    </row>
    <row r="556" customFormat="false" ht="15" hidden="false" customHeight="false" outlineLevel="0" collapsed="false">
      <c r="A556" s="23" t="str">
        <f aca="false">IF(B556="","",555)</f>
        <v/>
      </c>
      <c r="B556" s="26" t="str">
        <f aca="false">IF(안내!$C$9+554&gt;MAX(MAX(A타입_제작표!$U$2:$U$799),MAX(시편_시리즈!$Q$2:$Q$151)),"",안내!$C$9+554)</f>
        <v/>
      </c>
      <c r="C556" s="23" t="str">
        <f aca="false">IF(B556="","",CHOOSE(WEEKDAY(B556,2),"월","화","수","목","금","토","일"))</f>
        <v/>
      </c>
      <c r="D556" s="24" t="str">
        <f aca="false">IF(B556="","",IFERROR(INDEX(A타입_제작표!$J$2:$J$799,MATCH("구약|"&amp;TEXT(B556,"yyyy-mm-dd"),A타입_제작표!$AQ$2:$AQ$799,0))&amp;"  "&amp;INDEX(A타입_제작표!$L$2:$L$799,MATCH("구약|"&amp;TEXT(B556,"yyyy-mm-dd"),A타입_제작표!$AQ$2:$AQ$799,0)),""))</f>
        <v/>
      </c>
      <c r="E556" s="24" t="str">
        <f aca="false">IF(B556="","",IFERROR(INDEX(A타입_제작표!$J$2:$J$799,MATCH("신약|"&amp;TEXT(B556,"yyyy-mm-dd"),A타입_제작표!$AQ$2:$AQ$799,0))&amp;"  "&amp;INDEX(A타입_제작표!$L$2:$L$799,MATCH("신약|"&amp;TEXT(B556,"yyyy-mm-dd"),A타입_제작표!$AQ$2:$AQ$799,0)),""))</f>
        <v/>
      </c>
      <c r="F556" s="24" t="str">
        <f aca="false">IF(B556="","",IFERROR("시편 "&amp;INDEX(시편_시리즈!$A$2:$A$151,MATCH("시편|"&amp;TEXT(B556,"yyyy-mm-dd"),시편_시리즈!$Y$2:$Y$151,0))&amp;"편  "&amp;INDEX(시편_시리즈!$G$2:$G$151,MATCH("시편|"&amp;TEXT(B556,"yyyy-mm-dd"),시편_시리즈!$Y$2:$Y$151,0)),""))</f>
        <v/>
      </c>
      <c r="G556" s="23" t="str">
        <f aca="false">IF(B556="","",(D556&lt;&gt;"")+(E556&lt;&gt;"")+(F556&lt;&gt;""))</f>
        <v/>
      </c>
      <c r="H556" s="31" t="s">
        <v>10282</v>
      </c>
    </row>
    <row r="557" customFormat="false" ht="15" hidden="false" customHeight="false" outlineLevel="0" collapsed="false">
      <c r="A557" s="23" t="str">
        <f aca="false">IF(B557="","",556)</f>
        <v/>
      </c>
      <c r="B557" s="26" t="str">
        <f aca="false">IF(안내!$C$9+555&gt;MAX(MAX(A타입_제작표!$U$2:$U$799),MAX(시편_시리즈!$Q$2:$Q$151)),"",안내!$C$9+555)</f>
        <v/>
      </c>
      <c r="C557" s="23" t="str">
        <f aca="false">IF(B557="","",CHOOSE(WEEKDAY(B557,2),"월","화","수","목","금","토","일"))</f>
        <v/>
      </c>
      <c r="D557" s="24" t="str">
        <f aca="false">IF(B557="","",IFERROR(INDEX(A타입_제작표!$J$2:$J$799,MATCH("구약|"&amp;TEXT(B557,"yyyy-mm-dd"),A타입_제작표!$AQ$2:$AQ$799,0))&amp;"  "&amp;INDEX(A타입_제작표!$L$2:$L$799,MATCH("구약|"&amp;TEXT(B557,"yyyy-mm-dd"),A타입_제작표!$AQ$2:$AQ$799,0)),""))</f>
        <v/>
      </c>
      <c r="E557" s="24" t="str">
        <f aca="false">IF(B557="","",IFERROR(INDEX(A타입_제작표!$J$2:$J$799,MATCH("신약|"&amp;TEXT(B557,"yyyy-mm-dd"),A타입_제작표!$AQ$2:$AQ$799,0))&amp;"  "&amp;INDEX(A타입_제작표!$L$2:$L$799,MATCH("신약|"&amp;TEXT(B557,"yyyy-mm-dd"),A타입_제작표!$AQ$2:$AQ$799,0)),""))</f>
        <v/>
      </c>
      <c r="F557" s="24" t="str">
        <f aca="false">IF(B557="","",IFERROR("시편 "&amp;INDEX(시편_시리즈!$A$2:$A$151,MATCH("시편|"&amp;TEXT(B557,"yyyy-mm-dd"),시편_시리즈!$Y$2:$Y$151,0))&amp;"편  "&amp;INDEX(시편_시리즈!$G$2:$G$151,MATCH("시편|"&amp;TEXT(B557,"yyyy-mm-dd"),시편_시리즈!$Y$2:$Y$151,0)),""))</f>
        <v/>
      </c>
      <c r="G557" s="23" t="str">
        <f aca="false">IF(B557="","",(D557&lt;&gt;"")+(E557&lt;&gt;"")+(F557&lt;&gt;""))</f>
        <v/>
      </c>
      <c r="H557" s="31" t="s">
        <v>10282</v>
      </c>
    </row>
    <row r="558" customFormat="false" ht="15" hidden="false" customHeight="false" outlineLevel="0" collapsed="false">
      <c r="A558" s="23" t="str">
        <f aca="false">IF(B558="","",557)</f>
        <v/>
      </c>
      <c r="B558" s="26" t="str">
        <f aca="false">IF(안내!$C$9+556&gt;MAX(MAX(A타입_제작표!$U$2:$U$799),MAX(시편_시리즈!$Q$2:$Q$151)),"",안내!$C$9+556)</f>
        <v/>
      </c>
      <c r="C558" s="23" t="str">
        <f aca="false">IF(B558="","",CHOOSE(WEEKDAY(B558,2),"월","화","수","목","금","토","일"))</f>
        <v/>
      </c>
      <c r="D558" s="24" t="str">
        <f aca="false">IF(B558="","",IFERROR(INDEX(A타입_제작표!$J$2:$J$799,MATCH("구약|"&amp;TEXT(B558,"yyyy-mm-dd"),A타입_제작표!$AQ$2:$AQ$799,0))&amp;"  "&amp;INDEX(A타입_제작표!$L$2:$L$799,MATCH("구약|"&amp;TEXT(B558,"yyyy-mm-dd"),A타입_제작표!$AQ$2:$AQ$799,0)),""))</f>
        <v/>
      </c>
      <c r="E558" s="24" t="str">
        <f aca="false">IF(B558="","",IFERROR(INDEX(A타입_제작표!$J$2:$J$799,MATCH("신약|"&amp;TEXT(B558,"yyyy-mm-dd"),A타입_제작표!$AQ$2:$AQ$799,0))&amp;"  "&amp;INDEX(A타입_제작표!$L$2:$L$799,MATCH("신약|"&amp;TEXT(B558,"yyyy-mm-dd"),A타입_제작표!$AQ$2:$AQ$799,0)),""))</f>
        <v/>
      </c>
      <c r="F558" s="24" t="str">
        <f aca="false">IF(B558="","",IFERROR("시편 "&amp;INDEX(시편_시리즈!$A$2:$A$151,MATCH("시편|"&amp;TEXT(B558,"yyyy-mm-dd"),시편_시리즈!$Y$2:$Y$151,0))&amp;"편  "&amp;INDEX(시편_시리즈!$G$2:$G$151,MATCH("시편|"&amp;TEXT(B558,"yyyy-mm-dd"),시편_시리즈!$Y$2:$Y$151,0)),""))</f>
        <v/>
      </c>
      <c r="G558" s="23" t="str">
        <f aca="false">IF(B558="","",(D558&lt;&gt;"")+(E558&lt;&gt;"")+(F558&lt;&gt;""))</f>
        <v/>
      </c>
      <c r="H558" s="31" t="s">
        <v>10282</v>
      </c>
    </row>
    <row r="559" customFormat="false" ht="15" hidden="false" customHeight="false" outlineLevel="0" collapsed="false">
      <c r="A559" s="23" t="str">
        <f aca="false">IF(B559="","",558)</f>
        <v/>
      </c>
      <c r="B559" s="26" t="str">
        <f aca="false">IF(안내!$C$9+557&gt;MAX(MAX(A타입_제작표!$U$2:$U$799),MAX(시편_시리즈!$Q$2:$Q$151)),"",안내!$C$9+557)</f>
        <v/>
      </c>
      <c r="C559" s="23" t="str">
        <f aca="false">IF(B559="","",CHOOSE(WEEKDAY(B559,2),"월","화","수","목","금","토","일"))</f>
        <v/>
      </c>
      <c r="D559" s="24" t="str">
        <f aca="false">IF(B559="","",IFERROR(INDEX(A타입_제작표!$J$2:$J$799,MATCH("구약|"&amp;TEXT(B559,"yyyy-mm-dd"),A타입_제작표!$AQ$2:$AQ$799,0))&amp;"  "&amp;INDEX(A타입_제작표!$L$2:$L$799,MATCH("구약|"&amp;TEXT(B559,"yyyy-mm-dd"),A타입_제작표!$AQ$2:$AQ$799,0)),""))</f>
        <v/>
      </c>
      <c r="E559" s="24" t="str">
        <f aca="false">IF(B559="","",IFERROR(INDEX(A타입_제작표!$J$2:$J$799,MATCH("신약|"&amp;TEXT(B559,"yyyy-mm-dd"),A타입_제작표!$AQ$2:$AQ$799,0))&amp;"  "&amp;INDEX(A타입_제작표!$L$2:$L$799,MATCH("신약|"&amp;TEXT(B559,"yyyy-mm-dd"),A타입_제작표!$AQ$2:$AQ$799,0)),""))</f>
        <v/>
      </c>
      <c r="F559" s="24" t="str">
        <f aca="false">IF(B559="","",IFERROR("시편 "&amp;INDEX(시편_시리즈!$A$2:$A$151,MATCH("시편|"&amp;TEXT(B559,"yyyy-mm-dd"),시편_시리즈!$Y$2:$Y$151,0))&amp;"편  "&amp;INDEX(시편_시리즈!$G$2:$G$151,MATCH("시편|"&amp;TEXT(B559,"yyyy-mm-dd"),시편_시리즈!$Y$2:$Y$151,0)),""))</f>
        <v/>
      </c>
      <c r="G559" s="23" t="str">
        <f aca="false">IF(B559="","",(D559&lt;&gt;"")+(E559&lt;&gt;"")+(F559&lt;&gt;""))</f>
        <v/>
      </c>
      <c r="H559" s="31" t="s">
        <v>10282</v>
      </c>
    </row>
    <row r="560" customFormat="false" ht="15" hidden="false" customHeight="false" outlineLevel="0" collapsed="false">
      <c r="A560" s="23" t="str">
        <f aca="false">IF(B560="","",559)</f>
        <v/>
      </c>
      <c r="B560" s="26" t="str">
        <f aca="false">IF(안내!$C$9+558&gt;MAX(MAX(A타입_제작표!$U$2:$U$799),MAX(시편_시리즈!$Q$2:$Q$151)),"",안내!$C$9+558)</f>
        <v/>
      </c>
      <c r="C560" s="23" t="str">
        <f aca="false">IF(B560="","",CHOOSE(WEEKDAY(B560,2),"월","화","수","목","금","토","일"))</f>
        <v/>
      </c>
      <c r="D560" s="24" t="str">
        <f aca="false">IF(B560="","",IFERROR(INDEX(A타입_제작표!$J$2:$J$799,MATCH("구약|"&amp;TEXT(B560,"yyyy-mm-dd"),A타입_제작표!$AQ$2:$AQ$799,0))&amp;"  "&amp;INDEX(A타입_제작표!$L$2:$L$799,MATCH("구약|"&amp;TEXT(B560,"yyyy-mm-dd"),A타입_제작표!$AQ$2:$AQ$799,0)),""))</f>
        <v/>
      </c>
      <c r="E560" s="24" t="str">
        <f aca="false">IF(B560="","",IFERROR(INDEX(A타입_제작표!$J$2:$J$799,MATCH("신약|"&amp;TEXT(B560,"yyyy-mm-dd"),A타입_제작표!$AQ$2:$AQ$799,0))&amp;"  "&amp;INDEX(A타입_제작표!$L$2:$L$799,MATCH("신약|"&amp;TEXT(B560,"yyyy-mm-dd"),A타입_제작표!$AQ$2:$AQ$799,0)),""))</f>
        <v/>
      </c>
      <c r="F560" s="24" t="str">
        <f aca="false">IF(B560="","",IFERROR("시편 "&amp;INDEX(시편_시리즈!$A$2:$A$151,MATCH("시편|"&amp;TEXT(B560,"yyyy-mm-dd"),시편_시리즈!$Y$2:$Y$151,0))&amp;"편  "&amp;INDEX(시편_시리즈!$G$2:$G$151,MATCH("시편|"&amp;TEXT(B560,"yyyy-mm-dd"),시편_시리즈!$Y$2:$Y$151,0)),""))</f>
        <v/>
      </c>
      <c r="G560" s="23" t="str">
        <f aca="false">IF(B560="","",(D560&lt;&gt;"")+(E560&lt;&gt;"")+(F560&lt;&gt;""))</f>
        <v/>
      </c>
      <c r="H560" s="31" t="s">
        <v>10282</v>
      </c>
    </row>
    <row r="561" customFormat="false" ht="15" hidden="false" customHeight="false" outlineLevel="0" collapsed="false">
      <c r="A561" s="23" t="str">
        <f aca="false">IF(B561="","",560)</f>
        <v/>
      </c>
      <c r="B561" s="26" t="str">
        <f aca="false">IF(안내!$C$9+559&gt;MAX(MAX(A타입_제작표!$U$2:$U$799),MAX(시편_시리즈!$Q$2:$Q$151)),"",안내!$C$9+559)</f>
        <v/>
      </c>
      <c r="C561" s="23" t="str">
        <f aca="false">IF(B561="","",CHOOSE(WEEKDAY(B561,2),"월","화","수","목","금","토","일"))</f>
        <v/>
      </c>
      <c r="D561" s="24" t="str">
        <f aca="false">IF(B561="","",IFERROR(INDEX(A타입_제작표!$J$2:$J$799,MATCH("구약|"&amp;TEXT(B561,"yyyy-mm-dd"),A타입_제작표!$AQ$2:$AQ$799,0))&amp;"  "&amp;INDEX(A타입_제작표!$L$2:$L$799,MATCH("구약|"&amp;TEXT(B561,"yyyy-mm-dd"),A타입_제작표!$AQ$2:$AQ$799,0)),""))</f>
        <v/>
      </c>
      <c r="E561" s="24" t="str">
        <f aca="false">IF(B561="","",IFERROR(INDEX(A타입_제작표!$J$2:$J$799,MATCH("신약|"&amp;TEXT(B561,"yyyy-mm-dd"),A타입_제작표!$AQ$2:$AQ$799,0))&amp;"  "&amp;INDEX(A타입_제작표!$L$2:$L$799,MATCH("신약|"&amp;TEXT(B561,"yyyy-mm-dd"),A타입_제작표!$AQ$2:$AQ$799,0)),""))</f>
        <v/>
      </c>
      <c r="F561" s="24" t="str">
        <f aca="false">IF(B561="","",IFERROR("시편 "&amp;INDEX(시편_시리즈!$A$2:$A$151,MATCH("시편|"&amp;TEXT(B561,"yyyy-mm-dd"),시편_시리즈!$Y$2:$Y$151,0))&amp;"편  "&amp;INDEX(시편_시리즈!$G$2:$G$151,MATCH("시편|"&amp;TEXT(B561,"yyyy-mm-dd"),시편_시리즈!$Y$2:$Y$151,0)),""))</f>
        <v/>
      </c>
      <c r="G561" s="23" t="str">
        <f aca="false">IF(B561="","",(D561&lt;&gt;"")+(E561&lt;&gt;"")+(F561&lt;&gt;""))</f>
        <v/>
      </c>
      <c r="H561" s="31" t="s">
        <v>10282</v>
      </c>
    </row>
    <row r="562" customFormat="false" ht="15" hidden="false" customHeight="false" outlineLevel="0" collapsed="false">
      <c r="A562" s="23" t="str">
        <f aca="false">IF(B562="","",561)</f>
        <v/>
      </c>
      <c r="B562" s="26" t="str">
        <f aca="false">IF(안내!$C$9+560&gt;MAX(MAX(A타입_제작표!$U$2:$U$799),MAX(시편_시리즈!$Q$2:$Q$151)),"",안내!$C$9+560)</f>
        <v/>
      </c>
      <c r="C562" s="23" t="str">
        <f aca="false">IF(B562="","",CHOOSE(WEEKDAY(B562,2),"월","화","수","목","금","토","일"))</f>
        <v/>
      </c>
      <c r="D562" s="24" t="str">
        <f aca="false">IF(B562="","",IFERROR(INDEX(A타입_제작표!$J$2:$J$799,MATCH("구약|"&amp;TEXT(B562,"yyyy-mm-dd"),A타입_제작표!$AQ$2:$AQ$799,0))&amp;"  "&amp;INDEX(A타입_제작표!$L$2:$L$799,MATCH("구약|"&amp;TEXT(B562,"yyyy-mm-dd"),A타입_제작표!$AQ$2:$AQ$799,0)),""))</f>
        <v/>
      </c>
      <c r="E562" s="24" t="str">
        <f aca="false">IF(B562="","",IFERROR(INDEX(A타입_제작표!$J$2:$J$799,MATCH("신약|"&amp;TEXT(B562,"yyyy-mm-dd"),A타입_제작표!$AQ$2:$AQ$799,0))&amp;"  "&amp;INDEX(A타입_제작표!$L$2:$L$799,MATCH("신약|"&amp;TEXT(B562,"yyyy-mm-dd"),A타입_제작표!$AQ$2:$AQ$799,0)),""))</f>
        <v/>
      </c>
      <c r="F562" s="24" t="str">
        <f aca="false">IF(B562="","",IFERROR("시편 "&amp;INDEX(시편_시리즈!$A$2:$A$151,MATCH("시편|"&amp;TEXT(B562,"yyyy-mm-dd"),시편_시리즈!$Y$2:$Y$151,0))&amp;"편  "&amp;INDEX(시편_시리즈!$G$2:$G$151,MATCH("시편|"&amp;TEXT(B562,"yyyy-mm-dd"),시편_시리즈!$Y$2:$Y$151,0)),""))</f>
        <v/>
      </c>
      <c r="G562" s="23" t="str">
        <f aca="false">IF(B562="","",(D562&lt;&gt;"")+(E562&lt;&gt;"")+(F562&lt;&gt;""))</f>
        <v/>
      </c>
      <c r="H562" s="31" t="s">
        <v>10282</v>
      </c>
    </row>
    <row r="563" customFormat="false" ht="15" hidden="false" customHeight="false" outlineLevel="0" collapsed="false">
      <c r="A563" s="23" t="str">
        <f aca="false">IF(B563="","",562)</f>
        <v/>
      </c>
      <c r="B563" s="26" t="str">
        <f aca="false">IF(안내!$C$9+561&gt;MAX(MAX(A타입_제작표!$U$2:$U$799),MAX(시편_시리즈!$Q$2:$Q$151)),"",안내!$C$9+561)</f>
        <v/>
      </c>
      <c r="C563" s="23" t="str">
        <f aca="false">IF(B563="","",CHOOSE(WEEKDAY(B563,2),"월","화","수","목","금","토","일"))</f>
        <v/>
      </c>
      <c r="D563" s="24" t="str">
        <f aca="false">IF(B563="","",IFERROR(INDEX(A타입_제작표!$J$2:$J$799,MATCH("구약|"&amp;TEXT(B563,"yyyy-mm-dd"),A타입_제작표!$AQ$2:$AQ$799,0))&amp;"  "&amp;INDEX(A타입_제작표!$L$2:$L$799,MATCH("구약|"&amp;TEXT(B563,"yyyy-mm-dd"),A타입_제작표!$AQ$2:$AQ$799,0)),""))</f>
        <v/>
      </c>
      <c r="E563" s="24" t="str">
        <f aca="false">IF(B563="","",IFERROR(INDEX(A타입_제작표!$J$2:$J$799,MATCH("신약|"&amp;TEXT(B563,"yyyy-mm-dd"),A타입_제작표!$AQ$2:$AQ$799,0))&amp;"  "&amp;INDEX(A타입_제작표!$L$2:$L$799,MATCH("신약|"&amp;TEXT(B563,"yyyy-mm-dd"),A타입_제작표!$AQ$2:$AQ$799,0)),""))</f>
        <v/>
      </c>
      <c r="F563" s="24" t="str">
        <f aca="false">IF(B563="","",IFERROR("시편 "&amp;INDEX(시편_시리즈!$A$2:$A$151,MATCH("시편|"&amp;TEXT(B563,"yyyy-mm-dd"),시편_시리즈!$Y$2:$Y$151,0))&amp;"편  "&amp;INDEX(시편_시리즈!$G$2:$G$151,MATCH("시편|"&amp;TEXT(B563,"yyyy-mm-dd"),시편_시리즈!$Y$2:$Y$151,0)),""))</f>
        <v/>
      </c>
      <c r="G563" s="23" t="str">
        <f aca="false">IF(B563="","",(D563&lt;&gt;"")+(E563&lt;&gt;"")+(F563&lt;&gt;""))</f>
        <v/>
      </c>
      <c r="H563" s="31" t="s">
        <v>10282</v>
      </c>
    </row>
    <row r="564" customFormat="false" ht="15" hidden="false" customHeight="false" outlineLevel="0" collapsed="false">
      <c r="A564" s="23" t="str">
        <f aca="false">IF(B564="","",563)</f>
        <v/>
      </c>
      <c r="B564" s="26" t="str">
        <f aca="false">IF(안내!$C$9+562&gt;MAX(MAX(A타입_제작표!$U$2:$U$799),MAX(시편_시리즈!$Q$2:$Q$151)),"",안내!$C$9+562)</f>
        <v/>
      </c>
      <c r="C564" s="23" t="str">
        <f aca="false">IF(B564="","",CHOOSE(WEEKDAY(B564,2),"월","화","수","목","금","토","일"))</f>
        <v/>
      </c>
      <c r="D564" s="24" t="str">
        <f aca="false">IF(B564="","",IFERROR(INDEX(A타입_제작표!$J$2:$J$799,MATCH("구약|"&amp;TEXT(B564,"yyyy-mm-dd"),A타입_제작표!$AQ$2:$AQ$799,0))&amp;"  "&amp;INDEX(A타입_제작표!$L$2:$L$799,MATCH("구약|"&amp;TEXT(B564,"yyyy-mm-dd"),A타입_제작표!$AQ$2:$AQ$799,0)),""))</f>
        <v/>
      </c>
      <c r="E564" s="24" t="str">
        <f aca="false">IF(B564="","",IFERROR(INDEX(A타입_제작표!$J$2:$J$799,MATCH("신약|"&amp;TEXT(B564,"yyyy-mm-dd"),A타입_제작표!$AQ$2:$AQ$799,0))&amp;"  "&amp;INDEX(A타입_제작표!$L$2:$L$799,MATCH("신약|"&amp;TEXT(B564,"yyyy-mm-dd"),A타입_제작표!$AQ$2:$AQ$799,0)),""))</f>
        <v/>
      </c>
      <c r="F564" s="24" t="str">
        <f aca="false">IF(B564="","",IFERROR("시편 "&amp;INDEX(시편_시리즈!$A$2:$A$151,MATCH("시편|"&amp;TEXT(B564,"yyyy-mm-dd"),시편_시리즈!$Y$2:$Y$151,0))&amp;"편  "&amp;INDEX(시편_시리즈!$G$2:$G$151,MATCH("시편|"&amp;TEXT(B564,"yyyy-mm-dd"),시편_시리즈!$Y$2:$Y$151,0)),""))</f>
        <v/>
      </c>
      <c r="G564" s="23" t="str">
        <f aca="false">IF(B564="","",(D564&lt;&gt;"")+(E564&lt;&gt;"")+(F564&lt;&gt;""))</f>
        <v/>
      </c>
      <c r="H564" s="31" t="s">
        <v>10282</v>
      </c>
    </row>
    <row r="566" customFormat="false" ht="15" hidden="false" customHeight="false" outlineLevel="0" collapsed="false">
      <c r="A566" s="7" t="s">
        <v>10283</v>
      </c>
    </row>
    <row r="567" customFormat="false" ht="15" hidden="false" customHeight="false" outlineLevel="0" collapsed="false">
      <c r="A567" s="7" t="s">
        <v>10284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40"/>
  </cols>
  <sheetData>
    <row r="1" customFormat="false" ht="20.85" hidden="false" customHeight="false" outlineLevel="0" collapsed="false">
      <c r="A1" s="1" t="s">
        <v>10285</v>
      </c>
    </row>
    <row r="2" customFormat="false" ht="15" hidden="false" customHeight="false" outlineLevel="0" collapsed="false">
      <c r="A2" s="7" t="s">
        <v>10286</v>
      </c>
    </row>
    <row r="4" customFormat="false" ht="15" hidden="false" customHeight="false" outlineLevel="0" collapsed="false">
      <c r="A4" s="5" t="s">
        <v>10287</v>
      </c>
    </row>
    <row r="5" customFormat="false" ht="15" hidden="false" customHeight="false" outlineLevel="0" collapsed="false">
      <c r="A5" s="44" t="s">
        <v>10288</v>
      </c>
      <c r="B5" s="45" t="n">
        <v>70</v>
      </c>
    </row>
    <row r="6" customFormat="false" ht="15" hidden="false" customHeight="false" outlineLevel="0" collapsed="false">
      <c r="A6" s="44" t="s">
        <v>10289</v>
      </c>
      <c r="B6" s="45" t="n">
        <v>80</v>
      </c>
    </row>
    <row r="8" customFormat="false" ht="15" hidden="false" customHeight="false" outlineLevel="0" collapsed="false">
      <c r="A8" s="5" t="s">
        <v>10290</v>
      </c>
    </row>
    <row r="9" customFormat="false" ht="15" hidden="false" customHeight="false" outlineLevel="0" collapsed="false">
      <c r="A9" s="46" t="s">
        <v>147</v>
      </c>
      <c r="B9" s="46" t="s">
        <v>10244</v>
      </c>
      <c r="C9" s="46" t="s">
        <v>10291</v>
      </c>
      <c r="D9" s="46" t="s">
        <v>10292</v>
      </c>
      <c r="E9" s="46" t="s">
        <v>10293</v>
      </c>
      <c r="F9" s="46" t="s">
        <v>10294</v>
      </c>
    </row>
    <row r="10" customFormat="false" ht="15" hidden="false" customHeight="false" outlineLevel="0" collapsed="false">
      <c r="A10" s="47" t="s">
        <v>176</v>
      </c>
      <c r="B10" s="0" t="n">
        <f aca="false">COUNTIF(A타입_제작표!$AH$2:$AH$799,A10)</f>
        <v>103</v>
      </c>
      <c r="C10" s="0" t="n">
        <f aca="false">COUNTIFS(A타입_제작표!$AH$2:$AH$799,A10,A타입_제작표!$AM$2:$AM$799,"&lt;&gt;")</f>
        <v>0</v>
      </c>
      <c r="D10" s="0" t="str">
        <f aca="false">IFERROR(AVERAGEIFS(A타입_제작표!$AM$2:$AM$799,A타입_제작표!$AH$2:$AH$799,A10),"-")</f>
        <v>-</v>
      </c>
      <c r="E10" s="0" t="str">
        <f aca="false">IFERROR(AVERAGEIFS(A타입_제작표!$AN$2:$AN$799,A타입_제작표!$AH$2:$AH$799,A10),"-")</f>
        <v>-</v>
      </c>
      <c r="F10" s="0" t="str">
        <f aca="false">IFERROR(AVERAGEIFS(A타입_제작표!$AL$2:$AL$799,A타입_제작표!$AH$2:$AH$799,A10),"-")</f>
        <v>-</v>
      </c>
    </row>
    <row r="11" customFormat="false" ht="15" hidden="false" customHeight="false" outlineLevel="0" collapsed="false">
      <c r="A11" s="47" t="s">
        <v>360</v>
      </c>
      <c r="B11" s="0" t="n">
        <f aca="false">COUNTIF(A타입_제작표!$AH$2:$AH$799,A11)</f>
        <v>63</v>
      </c>
      <c r="C11" s="0" t="n">
        <f aca="false">COUNTIFS(A타입_제작표!$AH$2:$AH$799,A11,A타입_제작표!$AM$2:$AM$799,"&lt;&gt;")</f>
        <v>0</v>
      </c>
      <c r="D11" s="0" t="str">
        <f aca="false">IFERROR(AVERAGEIFS(A타입_제작표!$AM$2:$AM$799,A타입_제작표!$AH$2:$AH$799,A11),"-")</f>
        <v>-</v>
      </c>
      <c r="E11" s="0" t="str">
        <f aca="false">IFERROR(AVERAGEIFS(A타입_제작표!$AN$2:$AN$799,A타입_제작표!$AH$2:$AH$799,A11),"-")</f>
        <v>-</v>
      </c>
      <c r="F11" s="0" t="str">
        <f aca="false">IFERROR(AVERAGEIFS(A타입_제작표!$AL$2:$AL$799,A타입_제작표!$AH$2:$AH$799,A11),"-")</f>
        <v>-</v>
      </c>
    </row>
    <row r="12" customFormat="false" ht="15" hidden="false" customHeight="false" outlineLevel="0" collapsed="false">
      <c r="A12" s="47" t="s">
        <v>6243</v>
      </c>
      <c r="B12" s="0" t="n">
        <f aca="false">COUNTIF(A타입_제작표!$AH$2:$AH$799,A12)</f>
        <v>1</v>
      </c>
      <c r="C12" s="0" t="n">
        <f aca="false">COUNTIFS(A타입_제작표!$AH$2:$AH$799,A12,A타입_제작표!$AM$2:$AM$799,"&lt;&gt;")</f>
        <v>0</v>
      </c>
      <c r="D12" s="0" t="str">
        <f aca="false">IFERROR(AVERAGEIFS(A타입_제작표!$AM$2:$AM$799,A타입_제작표!$AH$2:$AH$799,A12),"-")</f>
        <v>-</v>
      </c>
      <c r="E12" s="0" t="str">
        <f aca="false">IFERROR(AVERAGEIFS(A타입_제작표!$AN$2:$AN$799,A타입_제작표!$AH$2:$AH$799,A12),"-")</f>
        <v>-</v>
      </c>
      <c r="F12" s="0" t="str">
        <f aca="false">IFERROR(AVERAGEIFS(A타입_제작표!$AL$2:$AL$799,A타입_제작표!$AH$2:$AH$799,A12),"-")</f>
        <v>-</v>
      </c>
    </row>
    <row r="13" customFormat="false" ht="15" hidden="false" customHeight="false" outlineLevel="0" collapsed="false">
      <c r="A13" s="47" t="s">
        <v>10295</v>
      </c>
      <c r="B13" s="0" t="n">
        <f aca="false">COUNTIF(A타입_제작표!$AH$2:$AH$799,A13)</f>
        <v>631</v>
      </c>
      <c r="C13" s="0" t="n">
        <f aca="false">COUNTIFS(A타입_제작표!$AH$2:$AH$799,A13,A타입_제작표!$AM$2:$AM$799,"&lt;&gt;")</f>
        <v>0</v>
      </c>
      <c r="D13" s="0" t="str">
        <f aca="false">IFERROR(AVERAGEIFS(A타입_제작표!$AM$2:$AM$799,A타입_제작표!$AH$2:$AH$799,A13),"-")</f>
        <v>-</v>
      </c>
      <c r="E13" s="0" t="str">
        <f aca="false">IFERROR(AVERAGEIFS(A타입_제작표!$AN$2:$AN$799,A타입_제작표!$AH$2:$AH$799,A13),"-")</f>
        <v>-</v>
      </c>
      <c r="F13" s="0" t="str">
        <f aca="false">IFERROR(AVERAGEIFS(A타입_제작표!$AL$2:$AL$799,A타입_제작표!$AH$2:$AH$799,A13),"-")</f>
        <v>-</v>
      </c>
    </row>
    <row r="15" customFormat="false" ht="15" hidden="false" customHeight="false" outlineLevel="0" collapsed="false">
      <c r="A15" s="46" t="s">
        <v>10296</v>
      </c>
      <c r="B15" s="46" t="s">
        <v>10291</v>
      </c>
      <c r="C15" s="46" t="s">
        <v>10294</v>
      </c>
    </row>
    <row r="16" customFormat="false" ht="15" hidden="false" customHeight="false" outlineLevel="0" collapsed="false">
      <c r="A16" s="0" t="s">
        <v>10297</v>
      </c>
      <c r="B16" s="0" t="n">
        <f aca="false">COUNTIFS(A타입_제작표!$AP$2:$AP$799,LEFT(A16,1),A타입_제작표!$AL$2:$AL$799,"&lt;&gt;")</f>
        <v>0</v>
      </c>
      <c r="C16" s="0" t="str">
        <f aca="false">IFERROR(AVERAGEIFS(A타입_제작표!$AL$2:$AL$799,A타입_제작표!$AP$2:$AP$799,LEFT(A16,1)),"-")</f>
        <v>-</v>
      </c>
    </row>
    <row r="17" customFormat="false" ht="15" hidden="false" customHeight="false" outlineLevel="0" collapsed="false">
      <c r="A17" s="0" t="s">
        <v>10298</v>
      </c>
      <c r="B17" s="0" t="n">
        <f aca="false">COUNTIFS(A타입_제작표!$AP$2:$AP$799,LEFT(A17,1),A타입_제작표!$AL$2:$AL$799,"&lt;&gt;")</f>
        <v>0</v>
      </c>
      <c r="C17" s="0" t="str">
        <f aca="false">IFERROR(AVERAGEIFS(A타입_제작표!$AL$2:$AL$799,A타입_제작표!$AP$2:$AP$799,LEFT(A17,1)),"-")</f>
        <v>-</v>
      </c>
    </row>
    <row r="18" customFormat="false" ht="15" hidden="false" customHeight="false" outlineLevel="0" collapsed="false">
      <c r="A18" s="8" t="s">
        <v>10299</v>
      </c>
    </row>
    <row r="20" customFormat="false" ht="15" hidden="false" customHeight="false" outlineLevel="0" collapsed="false">
      <c r="A20" s="48" t="s">
        <v>10300</v>
      </c>
      <c r="B20" s="48" t="s">
        <v>10301</v>
      </c>
      <c r="C20" s="48" t="s">
        <v>10302</v>
      </c>
      <c r="D20" s="48" t="s">
        <v>10303</v>
      </c>
      <c r="E20" s="48" t="s">
        <v>10304</v>
      </c>
      <c r="F20" s="48" t="s">
        <v>153</v>
      </c>
      <c r="G20" s="48" t="s">
        <v>10305</v>
      </c>
      <c r="H20" s="48" t="s">
        <v>10306</v>
      </c>
      <c r="I20" s="48" t="s">
        <v>10307</v>
      </c>
    </row>
    <row r="21" customFormat="false" ht="15" hidden="false" customHeight="false" outlineLevel="0" collapsed="false">
      <c r="A21" s="23" t="n">
        <v>1</v>
      </c>
      <c r="B21" s="26" t="n">
        <f aca="false">(안내!$C$9+0)</f>
        <v>46391</v>
      </c>
      <c r="C21" s="23" t="n">
        <f aca="false">COUNTIFS(A타입_제작표!$U$2:$U$799,"&gt;="&amp;(안내!$C$9+0),A타입_제작표!$U$2:$U$799,"&lt;"&amp;((안내!$C$9+0)+7))</f>
        <v>11</v>
      </c>
      <c r="D21" s="23" t="n">
        <f aca="false">SUMIFS(A타입_제작표!$AL$2:$AL$799,A타입_제작표!$U$2:$U$799,"&gt;="&amp;(안내!$C$9+0),A타입_제작표!$U$2:$U$799,"&lt;"&amp;((안내!$C$9+0)+7))</f>
        <v>0</v>
      </c>
      <c r="E21" s="23" t="str">
        <f aca="false">IFERROR(AVERAGEIFS(A타입_제작표!$AM$2:$AM$799,A타입_제작표!$U$2:$U$799,"&gt;="&amp;(안내!$C$9+0),A타입_제작표!$U$2:$U$799,"&lt;"&amp;((안내!$C$9+0)+7)),"-")</f>
        <v>-</v>
      </c>
      <c r="F21" s="23" t="str">
        <f aca="false">IFERROR(AVERAGEIFS(A타입_제작표!$AN$2:$AN$799,A타입_제작표!$U$2:$U$799,"&gt;="&amp;(안내!$C$9+0),A타입_제작표!$U$2:$U$799,"&lt;"&amp;((안내!$C$9+0)+7)),"-")</f>
        <v>-</v>
      </c>
      <c r="G21" s="23" t="n">
        <f aca="false">SUMIFS(A타입_제작표!$AO$2:$AO$799,A타입_제작표!$U$2:$U$799,"&gt;="&amp;(안내!$C$9+0),A타입_제작표!$U$2:$U$799,"&lt;"&amp;((안내!$C$9+0)+7))</f>
        <v>0</v>
      </c>
      <c r="H21" s="23" t="str">
        <f aca="false">IF(ISNUMBER(E21),IF(E21&gt;=$B$5,"달성","미달"),"-")</f>
        <v>-</v>
      </c>
      <c r="I21" s="49"/>
    </row>
    <row r="22" customFormat="false" ht="15" hidden="false" customHeight="false" outlineLevel="0" collapsed="false">
      <c r="A22" s="23" t="n">
        <v>2</v>
      </c>
      <c r="B22" s="26" t="n">
        <f aca="false">(안내!$C$9+7)</f>
        <v>46398</v>
      </c>
      <c r="C22" s="23" t="n">
        <f aca="false">COUNTIFS(A타입_제작표!$U$2:$U$799,"&gt;="&amp;(안내!$C$9+7),A타입_제작표!$U$2:$U$799,"&lt;"&amp;((안내!$C$9+7)+7))</f>
        <v>11</v>
      </c>
      <c r="D22" s="23" t="n">
        <f aca="false">SUMIFS(A타입_제작표!$AL$2:$AL$799,A타입_제작표!$U$2:$U$799,"&gt;="&amp;(안내!$C$9+7),A타입_제작표!$U$2:$U$799,"&lt;"&amp;((안내!$C$9+7)+7))</f>
        <v>0</v>
      </c>
      <c r="E22" s="23" t="str">
        <f aca="false">IFERROR(AVERAGEIFS(A타입_제작표!$AM$2:$AM$799,A타입_제작표!$U$2:$U$799,"&gt;="&amp;(안내!$C$9+7),A타입_제작표!$U$2:$U$799,"&lt;"&amp;((안내!$C$9+7)+7)),"-")</f>
        <v>-</v>
      </c>
      <c r="F22" s="23" t="str">
        <f aca="false">IFERROR(AVERAGEIFS(A타입_제작표!$AN$2:$AN$799,A타입_제작표!$U$2:$U$799,"&gt;="&amp;(안내!$C$9+7),A타입_제작표!$U$2:$U$799,"&lt;"&amp;((안내!$C$9+7)+7)),"-")</f>
        <v>-</v>
      </c>
      <c r="G22" s="23" t="n">
        <f aca="false">SUMIFS(A타입_제작표!$AO$2:$AO$799,A타입_제작표!$U$2:$U$799,"&gt;="&amp;(안내!$C$9+7),A타입_제작표!$U$2:$U$799,"&lt;"&amp;((안내!$C$9+7)+7))</f>
        <v>0</v>
      </c>
      <c r="H22" s="23" t="str">
        <f aca="false">IF(ISNUMBER(E22),IF(E22&gt;=$B$5,"달성","미달"),"-")</f>
        <v>-</v>
      </c>
      <c r="I22" s="49"/>
    </row>
    <row r="23" customFormat="false" ht="15" hidden="false" customHeight="false" outlineLevel="0" collapsed="false">
      <c r="A23" s="23" t="n">
        <v>3</v>
      </c>
      <c r="B23" s="26" t="n">
        <f aca="false">(안내!$C$9+14)</f>
        <v>46405</v>
      </c>
      <c r="C23" s="23" t="n">
        <f aca="false">COUNTIFS(A타입_제작표!$U$2:$U$799,"&gt;="&amp;(안내!$C$9+14),A타입_제작표!$U$2:$U$799,"&lt;"&amp;((안내!$C$9+14)+7))</f>
        <v>11</v>
      </c>
      <c r="D23" s="23" t="n">
        <f aca="false">SUMIFS(A타입_제작표!$AL$2:$AL$799,A타입_제작표!$U$2:$U$799,"&gt;="&amp;(안내!$C$9+14),A타입_제작표!$U$2:$U$799,"&lt;"&amp;((안내!$C$9+14)+7))</f>
        <v>0</v>
      </c>
      <c r="E23" s="23" t="str">
        <f aca="false">IFERROR(AVERAGEIFS(A타입_제작표!$AM$2:$AM$799,A타입_제작표!$U$2:$U$799,"&gt;="&amp;(안내!$C$9+14),A타입_제작표!$U$2:$U$799,"&lt;"&amp;((안내!$C$9+14)+7)),"-")</f>
        <v>-</v>
      </c>
      <c r="F23" s="23" t="str">
        <f aca="false">IFERROR(AVERAGEIFS(A타입_제작표!$AN$2:$AN$799,A타입_제작표!$U$2:$U$799,"&gt;="&amp;(안내!$C$9+14),A타입_제작표!$U$2:$U$799,"&lt;"&amp;((안내!$C$9+14)+7)),"-")</f>
        <v>-</v>
      </c>
      <c r="G23" s="23" t="n">
        <f aca="false">SUMIFS(A타입_제작표!$AO$2:$AO$799,A타입_제작표!$U$2:$U$799,"&gt;="&amp;(안내!$C$9+14),A타입_제작표!$U$2:$U$799,"&lt;"&amp;((안내!$C$9+14)+7))</f>
        <v>0</v>
      </c>
      <c r="H23" s="23" t="str">
        <f aca="false">IF(ISNUMBER(E23),IF(E23&gt;=$B$5,"달성","미달"),"-")</f>
        <v>-</v>
      </c>
      <c r="I23" s="49"/>
    </row>
    <row r="24" customFormat="false" ht="15" hidden="false" customHeight="false" outlineLevel="0" collapsed="false">
      <c r="A24" s="23" t="n">
        <v>4</v>
      </c>
      <c r="B24" s="26" t="n">
        <f aca="false">(안내!$C$9+21)</f>
        <v>46412</v>
      </c>
      <c r="C24" s="23" t="n">
        <f aca="false">COUNTIFS(A타입_제작표!$U$2:$U$799,"&gt;="&amp;(안내!$C$9+21),A타입_제작표!$U$2:$U$799,"&lt;"&amp;((안내!$C$9+21)+7))</f>
        <v>11</v>
      </c>
      <c r="D24" s="23" t="n">
        <f aca="false">SUMIFS(A타입_제작표!$AL$2:$AL$799,A타입_제작표!$U$2:$U$799,"&gt;="&amp;(안내!$C$9+21),A타입_제작표!$U$2:$U$799,"&lt;"&amp;((안내!$C$9+21)+7))</f>
        <v>0</v>
      </c>
      <c r="E24" s="23" t="str">
        <f aca="false">IFERROR(AVERAGEIFS(A타입_제작표!$AM$2:$AM$799,A타입_제작표!$U$2:$U$799,"&gt;="&amp;(안내!$C$9+21),A타입_제작표!$U$2:$U$799,"&lt;"&amp;((안내!$C$9+21)+7)),"-")</f>
        <v>-</v>
      </c>
      <c r="F24" s="23" t="str">
        <f aca="false">IFERROR(AVERAGEIFS(A타입_제작표!$AN$2:$AN$799,A타입_제작표!$U$2:$U$799,"&gt;="&amp;(안내!$C$9+21),A타입_제작표!$U$2:$U$799,"&lt;"&amp;((안내!$C$9+21)+7)),"-")</f>
        <v>-</v>
      </c>
      <c r="G24" s="23" t="n">
        <f aca="false">SUMIFS(A타입_제작표!$AO$2:$AO$799,A타입_제작표!$U$2:$U$799,"&gt;="&amp;(안내!$C$9+21),A타입_제작표!$U$2:$U$799,"&lt;"&amp;((안내!$C$9+21)+7))</f>
        <v>0</v>
      </c>
      <c r="H24" s="23" t="str">
        <f aca="false">IF(ISNUMBER(E24),IF(E24&gt;=$B$5,"달성","미달"),"-")</f>
        <v>-</v>
      </c>
      <c r="I24" s="49"/>
    </row>
    <row r="25" customFormat="false" ht="15" hidden="false" customHeight="false" outlineLevel="0" collapsed="false">
      <c r="A25" s="23" t="n">
        <v>5</v>
      </c>
      <c r="B25" s="26" t="n">
        <f aca="false">(안내!$C$9+28)</f>
        <v>46419</v>
      </c>
      <c r="C25" s="23" t="n">
        <f aca="false">COUNTIFS(A타입_제작표!$U$2:$U$799,"&gt;="&amp;(안내!$C$9+28),A타입_제작표!$U$2:$U$799,"&lt;"&amp;((안내!$C$9+28)+7))</f>
        <v>11</v>
      </c>
      <c r="D25" s="23" t="n">
        <f aca="false">SUMIFS(A타입_제작표!$AL$2:$AL$799,A타입_제작표!$U$2:$U$799,"&gt;="&amp;(안내!$C$9+28),A타입_제작표!$U$2:$U$799,"&lt;"&amp;((안내!$C$9+28)+7))</f>
        <v>0</v>
      </c>
      <c r="E25" s="23" t="str">
        <f aca="false">IFERROR(AVERAGEIFS(A타입_제작표!$AM$2:$AM$799,A타입_제작표!$U$2:$U$799,"&gt;="&amp;(안내!$C$9+28),A타입_제작표!$U$2:$U$799,"&lt;"&amp;((안내!$C$9+28)+7)),"-")</f>
        <v>-</v>
      </c>
      <c r="F25" s="23" t="str">
        <f aca="false">IFERROR(AVERAGEIFS(A타입_제작표!$AN$2:$AN$799,A타입_제작표!$U$2:$U$799,"&gt;="&amp;(안내!$C$9+28),A타입_제작표!$U$2:$U$799,"&lt;"&amp;((안내!$C$9+28)+7)),"-")</f>
        <v>-</v>
      </c>
      <c r="G25" s="23" t="n">
        <f aca="false">SUMIFS(A타입_제작표!$AO$2:$AO$799,A타입_제작표!$U$2:$U$799,"&gt;="&amp;(안내!$C$9+28),A타입_제작표!$U$2:$U$799,"&lt;"&amp;((안내!$C$9+28)+7))</f>
        <v>0</v>
      </c>
      <c r="H25" s="23" t="str">
        <f aca="false">IF(ISNUMBER(E25),IF(E25&gt;=$B$5,"달성","미달"),"-")</f>
        <v>-</v>
      </c>
      <c r="I25" s="49"/>
    </row>
    <row r="26" customFormat="false" ht="15" hidden="false" customHeight="false" outlineLevel="0" collapsed="false">
      <c r="A26" s="23" t="n">
        <v>6</v>
      </c>
      <c r="B26" s="26" t="n">
        <f aca="false">(안내!$C$9+35)</f>
        <v>46426</v>
      </c>
      <c r="C26" s="23" t="n">
        <f aca="false">COUNTIFS(A타입_제작표!$U$2:$U$799,"&gt;="&amp;(안내!$C$9+35),A타입_제작표!$U$2:$U$799,"&lt;"&amp;((안내!$C$9+35)+7))</f>
        <v>11</v>
      </c>
      <c r="D26" s="23" t="n">
        <f aca="false">SUMIFS(A타입_제작표!$AL$2:$AL$799,A타입_제작표!$U$2:$U$799,"&gt;="&amp;(안내!$C$9+35),A타입_제작표!$U$2:$U$799,"&lt;"&amp;((안내!$C$9+35)+7))</f>
        <v>0</v>
      </c>
      <c r="E26" s="23" t="str">
        <f aca="false">IFERROR(AVERAGEIFS(A타입_제작표!$AM$2:$AM$799,A타입_제작표!$U$2:$U$799,"&gt;="&amp;(안내!$C$9+35),A타입_제작표!$U$2:$U$799,"&lt;"&amp;((안내!$C$9+35)+7)),"-")</f>
        <v>-</v>
      </c>
      <c r="F26" s="23" t="str">
        <f aca="false">IFERROR(AVERAGEIFS(A타입_제작표!$AN$2:$AN$799,A타입_제작표!$U$2:$U$799,"&gt;="&amp;(안내!$C$9+35),A타입_제작표!$U$2:$U$799,"&lt;"&amp;((안내!$C$9+35)+7)),"-")</f>
        <v>-</v>
      </c>
      <c r="G26" s="23" t="n">
        <f aca="false">SUMIFS(A타입_제작표!$AO$2:$AO$799,A타입_제작표!$U$2:$U$799,"&gt;="&amp;(안내!$C$9+35),A타입_제작표!$U$2:$U$799,"&lt;"&amp;((안내!$C$9+35)+7))</f>
        <v>0</v>
      </c>
      <c r="H26" s="23" t="str">
        <f aca="false">IF(ISNUMBER(E26),IF(E26&gt;=$B$5,"달성","미달"),"-")</f>
        <v>-</v>
      </c>
      <c r="I26" s="49"/>
    </row>
    <row r="27" customFormat="false" ht="15" hidden="false" customHeight="false" outlineLevel="0" collapsed="false">
      <c r="A27" s="23" t="n">
        <v>7</v>
      </c>
      <c r="B27" s="26" t="n">
        <f aca="false">(안내!$C$9+42)</f>
        <v>46433</v>
      </c>
      <c r="C27" s="23" t="n">
        <f aca="false">COUNTIFS(A타입_제작표!$U$2:$U$799,"&gt;="&amp;(안내!$C$9+42),A타입_제작표!$U$2:$U$799,"&lt;"&amp;((안내!$C$9+42)+7))</f>
        <v>11</v>
      </c>
      <c r="D27" s="23" t="n">
        <f aca="false">SUMIFS(A타입_제작표!$AL$2:$AL$799,A타입_제작표!$U$2:$U$799,"&gt;="&amp;(안내!$C$9+42),A타입_제작표!$U$2:$U$799,"&lt;"&amp;((안내!$C$9+42)+7))</f>
        <v>0</v>
      </c>
      <c r="E27" s="23" t="str">
        <f aca="false">IFERROR(AVERAGEIFS(A타입_제작표!$AM$2:$AM$799,A타입_제작표!$U$2:$U$799,"&gt;="&amp;(안내!$C$9+42),A타입_제작표!$U$2:$U$799,"&lt;"&amp;((안내!$C$9+42)+7)),"-")</f>
        <v>-</v>
      </c>
      <c r="F27" s="23" t="str">
        <f aca="false">IFERROR(AVERAGEIFS(A타입_제작표!$AN$2:$AN$799,A타입_제작표!$U$2:$U$799,"&gt;="&amp;(안내!$C$9+42),A타입_제작표!$U$2:$U$799,"&lt;"&amp;((안내!$C$9+42)+7)),"-")</f>
        <v>-</v>
      </c>
      <c r="G27" s="23" t="n">
        <f aca="false">SUMIFS(A타입_제작표!$AO$2:$AO$799,A타입_제작표!$U$2:$U$799,"&gt;="&amp;(안내!$C$9+42),A타입_제작표!$U$2:$U$799,"&lt;"&amp;((안내!$C$9+42)+7))</f>
        <v>0</v>
      </c>
      <c r="H27" s="23" t="str">
        <f aca="false">IF(ISNUMBER(E27),IF(E27&gt;=$B$5,"달성","미달"),"-")</f>
        <v>-</v>
      </c>
      <c r="I27" s="49"/>
    </row>
    <row r="28" customFormat="false" ht="15" hidden="false" customHeight="false" outlineLevel="0" collapsed="false">
      <c r="A28" s="23" t="n">
        <v>8</v>
      </c>
      <c r="B28" s="26" t="n">
        <f aca="false">(안내!$C$9+49)</f>
        <v>46440</v>
      </c>
      <c r="C28" s="23" t="n">
        <f aca="false">COUNTIFS(A타입_제작표!$U$2:$U$799,"&gt;="&amp;(안내!$C$9+49),A타입_제작표!$U$2:$U$799,"&lt;"&amp;((안내!$C$9+49)+7))</f>
        <v>11</v>
      </c>
      <c r="D28" s="23" t="n">
        <f aca="false">SUMIFS(A타입_제작표!$AL$2:$AL$799,A타입_제작표!$U$2:$U$799,"&gt;="&amp;(안내!$C$9+49),A타입_제작표!$U$2:$U$799,"&lt;"&amp;((안내!$C$9+49)+7))</f>
        <v>0</v>
      </c>
      <c r="E28" s="23" t="str">
        <f aca="false">IFERROR(AVERAGEIFS(A타입_제작표!$AM$2:$AM$799,A타입_제작표!$U$2:$U$799,"&gt;="&amp;(안내!$C$9+49),A타입_제작표!$U$2:$U$799,"&lt;"&amp;((안내!$C$9+49)+7)),"-")</f>
        <v>-</v>
      </c>
      <c r="F28" s="23" t="str">
        <f aca="false">IFERROR(AVERAGEIFS(A타입_제작표!$AN$2:$AN$799,A타입_제작표!$U$2:$U$799,"&gt;="&amp;(안내!$C$9+49),A타입_제작표!$U$2:$U$799,"&lt;"&amp;((안내!$C$9+49)+7)),"-")</f>
        <v>-</v>
      </c>
      <c r="G28" s="23" t="n">
        <f aca="false">SUMIFS(A타입_제작표!$AO$2:$AO$799,A타입_제작표!$U$2:$U$799,"&gt;="&amp;(안내!$C$9+49),A타입_제작표!$U$2:$U$799,"&lt;"&amp;((안내!$C$9+49)+7))</f>
        <v>0</v>
      </c>
      <c r="H28" s="23" t="str">
        <f aca="false">IF(ISNUMBER(E28),IF(E28&gt;=$B$5,"달성","미달"),"-")</f>
        <v>-</v>
      </c>
      <c r="I28" s="49"/>
    </row>
    <row r="29" customFormat="false" ht="15" hidden="false" customHeight="false" outlineLevel="0" collapsed="false">
      <c r="A29" s="23" t="n">
        <v>9</v>
      </c>
      <c r="B29" s="26" t="n">
        <f aca="false">(안내!$C$9+56)</f>
        <v>46447</v>
      </c>
      <c r="C29" s="23" t="n">
        <f aca="false">COUNTIFS(A타입_제작표!$U$2:$U$799,"&gt;="&amp;(안내!$C$9+56),A타입_제작표!$U$2:$U$799,"&lt;"&amp;((안내!$C$9+56)+7))</f>
        <v>11</v>
      </c>
      <c r="D29" s="23" t="n">
        <f aca="false">SUMIFS(A타입_제작표!$AL$2:$AL$799,A타입_제작표!$U$2:$U$799,"&gt;="&amp;(안내!$C$9+56),A타입_제작표!$U$2:$U$799,"&lt;"&amp;((안내!$C$9+56)+7))</f>
        <v>0</v>
      </c>
      <c r="E29" s="23" t="str">
        <f aca="false">IFERROR(AVERAGEIFS(A타입_제작표!$AM$2:$AM$799,A타입_제작표!$U$2:$U$799,"&gt;="&amp;(안내!$C$9+56),A타입_제작표!$U$2:$U$799,"&lt;"&amp;((안내!$C$9+56)+7)),"-")</f>
        <v>-</v>
      </c>
      <c r="F29" s="23" t="str">
        <f aca="false">IFERROR(AVERAGEIFS(A타입_제작표!$AN$2:$AN$799,A타입_제작표!$U$2:$U$799,"&gt;="&amp;(안내!$C$9+56),A타입_제작표!$U$2:$U$799,"&lt;"&amp;((안내!$C$9+56)+7)),"-")</f>
        <v>-</v>
      </c>
      <c r="G29" s="23" t="n">
        <f aca="false">SUMIFS(A타입_제작표!$AO$2:$AO$799,A타입_제작표!$U$2:$U$799,"&gt;="&amp;(안내!$C$9+56),A타입_제작표!$U$2:$U$799,"&lt;"&amp;((안내!$C$9+56)+7))</f>
        <v>0</v>
      </c>
      <c r="H29" s="23" t="str">
        <f aca="false">IF(ISNUMBER(E29),IF(E29&gt;=$B$5,"달성","미달"),"-")</f>
        <v>-</v>
      </c>
      <c r="I29" s="49"/>
    </row>
    <row r="30" customFormat="false" ht="15" hidden="false" customHeight="false" outlineLevel="0" collapsed="false">
      <c r="A30" s="23" t="n">
        <v>10</v>
      </c>
      <c r="B30" s="26" t="n">
        <f aca="false">(안내!$C$9+63)</f>
        <v>46454</v>
      </c>
      <c r="C30" s="23" t="n">
        <f aca="false">COUNTIFS(A타입_제작표!$U$2:$U$799,"&gt;="&amp;(안내!$C$9+63),A타입_제작표!$U$2:$U$799,"&lt;"&amp;((안내!$C$9+63)+7))</f>
        <v>11</v>
      </c>
      <c r="D30" s="23" t="n">
        <f aca="false">SUMIFS(A타입_제작표!$AL$2:$AL$799,A타입_제작표!$U$2:$U$799,"&gt;="&amp;(안내!$C$9+63),A타입_제작표!$U$2:$U$799,"&lt;"&amp;((안내!$C$9+63)+7))</f>
        <v>0</v>
      </c>
      <c r="E30" s="23" t="str">
        <f aca="false">IFERROR(AVERAGEIFS(A타입_제작표!$AM$2:$AM$799,A타입_제작표!$U$2:$U$799,"&gt;="&amp;(안내!$C$9+63),A타입_제작표!$U$2:$U$799,"&lt;"&amp;((안내!$C$9+63)+7)),"-")</f>
        <v>-</v>
      </c>
      <c r="F30" s="23" t="str">
        <f aca="false">IFERROR(AVERAGEIFS(A타입_제작표!$AN$2:$AN$799,A타입_제작표!$U$2:$U$799,"&gt;="&amp;(안내!$C$9+63),A타입_제작표!$U$2:$U$799,"&lt;"&amp;((안내!$C$9+63)+7)),"-")</f>
        <v>-</v>
      </c>
      <c r="G30" s="23" t="n">
        <f aca="false">SUMIFS(A타입_제작표!$AO$2:$AO$799,A타입_제작표!$U$2:$U$799,"&gt;="&amp;(안내!$C$9+63),A타입_제작표!$U$2:$U$799,"&lt;"&amp;((안내!$C$9+63)+7))</f>
        <v>0</v>
      </c>
      <c r="H30" s="23" t="str">
        <f aca="false">IF(ISNUMBER(E30),IF(E30&gt;=$B$5,"달성","미달"),"-")</f>
        <v>-</v>
      </c>
      <c r="I30" s="49"/>
    </row>
    <row r="31" customFormat="false" ht="15" hidden="false" customHeight="false" outlineLevel="0" collapsed="false">
      <c r="A31" s="23" t="n">
        <v>11</v>
      </c>
      <c r="B31" s="26" t="n">
        <f aca="false">(안내!$C$9+70)</f>
        <v>46461</v>
      </c>
      <c r="C31" s="23" t="n">
        <f aca="false">COUNTIFS(A타입_제작표!$U$2:$U$799,"&gt;="&amp;(안내!$C$9+70),A타입_제작표!$U$2:$U$799,"&lt;"&amp;((안내!$C$9+70)+7))</f>
        <v>11</v>
      </c>
      <c r="D31" s="23" t="n">
        <f aca="false">SUMIFS(A타입_제작표!$AL$2:$AL$799,A타입_제작표!$U$2:$U$799,"&gt;="&amp;(안내!$C$9+70),A타입_제작표!$U$2:$U$799,"&lt;"&amp;((안내!$C$9+70)+7))</f>
        <v>0</v>
      </c>
      <c r="E31" s="23" t="str">
        <f aca="false">IFERROR(AVERAGEIFS(A타입_제작표!$AM$2:$AM$799,A타입_제작표!$U$2:$U$799,"&gt;="&amp;(안내!$C$9+70),A타입_제작표!$U$2:$U$799,"&lt;"&amp;((안내!$C$9+70)+7)),"-")</f>
        <v>-</v>
      </c>
      <c r="F31" s="23" t="str">
        <f aca="false">IFERROR(AVERAGEIFS(A타입_제작표!$AN$2:$AN$799,A타입_제작표!$U$2:$U$799,"&gt;="&amp;(안내!$C$9+70),A타입_제작표!$U$2:$U$799,"&lt;"&amp;((안내!$C$9+70)+7)),"-")</f>
        <v>-</v>
      </c>
      <c r="G31" s="23" t="n">
        <f aca="false">SUMIFS(A타입_제작표!$AO$2:$AO$799,A타입_제작표!$U$2:$U$799,"&gt;="&amp;(안내!$C$9+70),A타입_제작표!$U$2:$U$799,"&lt;"&amp;((안내!$C$9+70)+7))</f>
        <v>0</v>
      </c>
      <c r="H31" s="23" t="str">
        <f aca="false">IF(ISNUMBER(E31),IF(E31&gt;=$B$5,"달성","미달"),"-")</f>
        <v>-</v>
      </c>
      <c r="I31" s="49"/>
    </row>
    <row r="32" customFormat="false" ht="15" hidden="false" customHeight="false" outlineLevel="0" collapsed="false">
      <c r="A32" s="23" t="n">
        <v>12</v>
      </c>
      <c r="B32" s="26" t="n">
        <f aca="false">(안내!$C$9+77)</f>
        <v>46468</v>
      </c>
      <c r="C32" s="23" t="n">
        <f aca="false">COUNTIFS(A타입_제작표!$U$2:$U$799,"&gt;="&amp;(안내!$C$9+77),A타입_제작표!$U$2:$U$799,"&lt;"&amp;((안내!$C$9+77)+7))</f>
        <v>11</v>
      </c>
      <c r="D32" s="23" t="n">
        <f aca="false">SUMIFS(A타입_제작표!$AL$2:$AL$799,A타입_제작표!$U$2:$U$799,"&gt;="&amp;(안내!$C$9+77),A타입_제작표!$U$2:$U$799,"&lt;"&amp;((안내!$C$9+77)+7))</f>
        <v>0</v>
      </c>
      <c r="E32" s="23" t="str">
        <f aca="false">IFERROR(AVERAGEIFS(A타입_제작표!$AM$2:$AM$799,A타입_제작표!$U$2:$U$799,"&gt;="&amp;(안내!$C$9+77),A타입_제작표!$U$2:$U$799,"&lt;"&amp;((안내!$C$9+77)+7)),"-")</f>
        <v>-</v>
      </c>
      <c r="F32" s="23" t="str">
        <f aca="false">IFERROR(AVERAGEIFS(A타입_제작표!$AN$2:$AN$799,A타입_제작표!$U$2:$U$799,"&gt;="&amp;(안내!$C$9+77),A타입_제작표!$U$2:$U$799,"&lt;"&amp;((안내!$C$9+77)+7)),"-")</f>
        <v>-</v>
      </c>
      <c r="G32" s="23" t="n">
        <f aca="false">SUMIFS(A타입_제작표!$AO$2:$AO$799,A타입_제작표!$U$2:$U$799,"&gt;="&amp;(안내!$C$9+77),A타입_제작표!$U$2:$U$799,"&lt;"&amp;((안내!$C$9+77)+7))</f>
        <v>0</v>
      </c>
      <c r="H32" s="23" t="str">
        <f aca="false">IF(ISNUMBER(E32),IF(E32&gt;=$B$5,"달성","미달"),"-")</f>
        <v>-</v>
      </c>
      <c r="I32" s="49"/>
    </row>
    <row r="33" customFormat="false" ht="15" hidden="false" customHeight="false" outlineLevel="0" collapsed="false">
      <c r="A33" s="23" t="n">
        <v>13</v>
      </c>
      <c r="B33" s="26" t="n">
        <f aca="false">(안내!$C$9+84)</f>
        <v>46475</v>
      </c>
      <c r="C33" s="23" t="n">
        <f aca="false">COUNTIFS(A타입_제작표!$U$2:$U$799,"&gt;="&amp;(안내!$C$9+84),A타입_제작표!$U$2:$U$799,"&lt;"&amp;((안내!$C$9+84)+7))</f>
        <v>11</v>
      </c>
      <c r="D33" s="23" t="n">
        <f aca="false">SUMIFS(A타입_제작표!$AL$2:$AL$799,A타입_제작표!$U$2:$U$799,"&gt;="&amp;(안내!$C$9+84),A타입_제작표!$U$2:$U$799,"&lt;"&amp;((안내!$C$9+84)+7))</f>
        <v>0</v>
      </c>
      <c r="E33" s="23" t="str">
        <f aca="false">IFERROR(AVERAGEIFS(A타입_제작표!$AM$2:$AM$799,A타입_제작표!$U$2:$U$799,"&gt;="&amp;(안내!$C$9+84),A타입_제작표!$U$2:$U$799,"&lt;"&amp;((안내!$C$9+84)+7)),"-")</f>
        <v>-</v>
      </c>
      <c r="F33" s="23" t="str">
        <f aca="false">IFERROR(AVERAGEIFS(A타입_제작표!$AN$2:$AN$799,A타입_제작표!$U$2:$U$799,"&gt;="&amp;(안내!$C$9+84),A타입_제작표!$U$2:$U$799,"&lt;"&amp;((안내!$C$9+84)+7)),"-")</f>
        <v>-</v>
      </c>
      <c r="G33" s="23" t="n">
        <f aca="false">SUMIFS(A타입_제작표!$AO$2:$AO$799,A타입_제작표!$U$2:$U$799,"&gt;="&amp;(안내!$C$9+84),A타입_제작표!$U$2:$U$799,"&lt;"&amp;((안내!$C$9+84)+7))</f>
        <v>0</v>
      </c>
      <c r="H33" s="23" t="str">
        <f aca="false">IF(ISNUMBER(E33),IF(E33&gt;=$B$5,"달성","미달"),"-")</f>
        <v>-</v>
      </c>
      <c r="I33" s="49"/>
    </row>
    <row r="34" customFormat="false" ht="15" hidden="false" customHeight="false" outlineLevel="0" collapsed="false">
      <c r="A34" s="23" t="n">
        <v>14</v>
      </c>
      <c r="B34" s="26" t="n">
        <f aca="false">(안내!$C$9+91)</f>
        <v>46482</v>
      </c>
      <c r="C34" s="23" t="n">
        <f aca="false">COUNTIFS(A타입_제작표!$U$2:$U$799,"&gt;="&amp;(안내!$C$9+91),A타입_제작표!$U$2:$U$799,"&lt;"&amp;((안내!$C$9+91)+7))</f>
        <v>11</v>
      </c>
      <c r="D34" s="23" t="n">
        <f aca="false">SUMIFS(A타입_제작표!$AL$2:$AL$799,A타입_제작표!$U$2:$U$799,"&gt;="&amp;(안내!$C$9+91),A타입_제작표!$U$2:$U$799,"&lt;"&amp;((안내!$C$9+91)+7))</f>
        <v>0</v>
      </c>
      <c r="E34" s="23" t="str">
        <f aca="false">IFERROR(AVERAGEIFS(A타입_제작표!$AM$2:$AM$799,A타입_제작표!$U$2:$U$799,"&gt;="&amp;(안내!$C$9+91),A타입_제작표!$U$2:$U$799,"&lt;"&amp;((안내!$C$9+91)+7)),"-")</f>
        <v>-</v>
      </c>
      <c r="F34" s="23" t="str">
        <f aca="false">IFERROR(AVERAGEIFS(A타입_제작표!$AN$2:$AN$799,A타입_제작표!$U$2:$U$799,"&gt;="&amp;(안내!$C$9+91),A타입_제작표!$U$2:$U$799,"&lt;"&amp;((안내!$C$9+91)+7)),"-")</f>
        <v>-</v>
      </c>
      <c r="G34" s="23" t="n">
        <f aca="false">SUMIFS(A타입_제작표!$AO$2:$AO$799,A타입_제작표!$U$2:$U$799,"&gt;="&amp;(안내!$C$9+91),A타입_제작표!$U$2:$U$799,"&lt;"&amp;((안내!$C$9+91)+7))</f>
        <v>0</v>
      </c>
      <c r="H34" s="23" t="str">
        <f aca="false">IF(ISNUMBER(E34),IF(E34&gt;=$B$5,"달성","미달"),"-")</f>
        <v>-</v>
      </c>
      <c r="I34" s="49"/>
    </row>
    <row r="35" customFormat="false" ht="15" hidden="false" customHeight="false" outlineLevel="0" collapsed="false">
      <c r="A35" s="23" t="n">
        <v>15</v>
      </c>
      <c r="B35" s="26" t="n">
        <f aca="false">(안내!$C$9+98)</f>
        <v>46489</v>
      </c>
      <c r="C35" s="23" t="n">
        <f aca="false">COUNTIFS(A타입_제작표!$U$2:$U$799,"&gt;="&amp;(안내!$C$9+98),A타입_제작표!$U$2:$U$799,"&lt;"&amp;((안내!$C$9+98)+7))</f>
        <v>11</v>
      </c>
      <c r="D35" s="23" t="n">
        <f aca="false">SUMIFS(A타입_제작표!$AL$2:$AL$799,A타입_제작표!$U$2:$U$799,"&gt;="&amp;(안내!$C$9+98),A타입_제작표!$U$2:$U$799,"&lt;"&amp;((안내!$C$9+98)+7))</f>
        <v>0</v>
      </c>
      <c r="E35" s="23" t="str">
        <f aca="false">IFERROR(AVERAGEIFS(A타입_제작표!$AM$2:$AM$799,A타입_제작표!$U$2:$U$799,"&gt;="&amp;(안내!$C$9+98),A타입_제작표!$U$2:$U$799,"&lt;"&amp;((안내!$C$9+98)+7)),"-")</f>
        <v>-</v>
      </c>
      <c r="F35" s="23" t="str">
        <f aca="false">IFERROR(AVERAGEIFS(A타입_제작표!$AN$2:$AN$799,A타입_제작표!$U$2:$U$799,"&gt;="&amp;(안내!$C$9+98),A타입_제작표!$U$2:$U$799,"&lt;"&amp;((안내!$C$9+98)+7)),"-")</f>
        <v>-</v>
      </c>
      <c r="G35" s="23" t="n">
        <f aca="false">SUMIFS(A타입_제작표!$AO$2:$AO$799,A타입_제작표!$U$2:$U$799,"&gt;="&amp;(안내!$C$9+98),A타입_제작표!$U$2:$U$799,"&lt;"&amp;((안내!$C$9+98)+7))</f>
        <v>0</v>
      </c>
      <c r="H35" s="23" t="str">
        <f aca="false">IF(ISNUMBER(E35),IF(E35&gt;=$B$5,"달성","미달"),"-")</f>
        <v>-</v>
      </c>
      <c r="I35" s="49"/>
    </row>
    <row r="36" customFormat="false" ht="15" hidden="false" customHeight="false" outlineLevel="0" collapsed="false">
      <c r="A36" s="23" t="n">
        <v>16</v>
      </c>
      <c r="B36" s="26" t="n">
        <f aca="false">(안내!$C$9+105)</f>
        <v>46496</v>
      </c>
      <c r="C36" s="23" t="n">
        <f aca="false">COUNTIFS(A타입_제작표!$U$2:$U$799,"&gt;="&amp;(안내!$C$9+105),A타입_제작표!$U$2:$U$799,"&lt;"&amp;((안내!$C$9+105)+7))</f>
        <v>11</v>
      </c>
      <c r="D36" s="23" t="n">
        <f aca="false">SUMIFS(A타입_제작표!$AL$2:$AL$799,A타입_제작표!$U$2:$U$799,"&gt;="&amp;(안내!$C$9+105),A타입_제작표!$U$2:$U$799,"&lt;"&amp;((안내!$C$9+105)+7))</f>
        <v>0</v>
      </c>
      <c r="E36" s="23" t="str">
        <f aca="false">IFERROR(AVERAGEIFS(A타입_제작표!$AM$2:$AM$799,A타입_제작표!$U$2:$U$799,"&gt;="&amp;(안내!$C$9+105),A타입_제작표!$U$2:$U$799,"&lt;"&amp;((안내!$C$9+105)+7)),"-")</f>
        <v>-</v>
      </c>
      <c r="F36" s="23" t="str">
        <f aca="false">IFERROR(AVERAGEIFS(A타입_제작표!$AN$2:$AN$799,A타입_제작표!$U$2:$U$799,"&gt;="&amp;(안내!$C$9+105),A타입_제작표!$U$2:$U$799,"&lt;"&amp;((안내!$C$9+105)+7)),"-")</f>
        <v>-</v>
      </c>
      <c r="G36" s="23" t="n">
        <f aca="false">SUMIFS(A타입_제작표!$AO$2:$AO$799,A타입_제작표!$U$2:$U$799,"&gt;="&amp;(안내!$C$9+105),A타입_제작표!$U$2:$U$799,"&lt;"&amp;((안내!$C$9+105)+7))</f>
        <v>0</v>
      </c>
      <c r="H36" s="23" t="str">
        <f aca="false">IF(ISNUMBER(E36),IF(E36&gt;=$B$5,"달성","미달"),"-")</f>
        <v>-</v>
      </c>
      <c r="I36" s="49"/>
    </row>
    <row r="37" customFormat="false" ht="15" hidden="false" customHeight="false" outlineLevel="0" collapsed="false">
      <c r="A37" s="23" t="n">
        <v>17</v>
      </c>
      <c r="B37" s="26" t="n">
        <f aca="false">(안내!$C$9+112)</f>
        <v>46503</v>
      </c>
      <c r="C37" s="23" t="n">
        <f aca="false">COUNTIFS(A타입_제작표!$U$2:$U$799,"&gt;="&amp;(안내!$C$9+112),A타입_제작표!$U$2:$U$799,"&lt;"&amp;((안내!$C$9+112)+7))</f>
        <v>11</v>
      </c>
      <c r="D37" s="23" t="n">
        <f aca="false">SUMIFS(A타입_제작표!$AL$2:$AL$799,A타입_제작표!$U$2:$U$799,"&gt;="&amp;(안내!$C$9+112),A타입_제작표!$U$2:$U$799,"&lt;"&amp;((안내!$C$9+112)+7))</f>
        <v>0</v>
      </c>
      <c r="E37" s="23" t="str">
        <f aca="false">IFERROR(AVERAGEIFS(A타입_제작표!$AM$2:$AM$799,A타입_제작표!$U$2:$U$799,"&gt;="&amp;(안내!$C$9+112),A타입_제작표!$U$2:$U$799,"&lt;"&amp;((안내!$C$9+112)+7)),"-")</f>
        <v>-</v>
      </c>
      <c r="F37" s="23" t="str">
        <f aca="false">IFERROR(AVERAGEIFS(A타입_제작표!$AN$2:$AN$799,A타입_제작표!$U$2:$U$799,"&gt;="&amp;(안내!$C$9+112),A타입_제작표!$U$2:$U$799,"&lt;"&amp;((안내!$C$9+112)+7)),"-")</f>
        <v>-</v>
      </c>
      <c r="G37" s="23" t="n">
        <f aca="false">SUMIFS(A타입_제작표!$AO$2:$AO$799,A타입_제작표!$U$2:$U$799,"&gt;="&amp;(안내!$C$9+112),A타입_제작표!$U$2:$U$799,"&lt;"&amp;((안내!$C$9+112)+7))</f>
        <v>0</v>
      </c>
      <c r="H37" s="23" t="str">
        <f aca="false">IF(ISNUMBER(E37),IF(E37&gt;=$B$5,"달성","미달"),"-")</f>
        <v>-</v>
      </c>
      <c r="I37" s="49"/>
    </row>
    <row r="38" customFormat="false" ht="15" hidden="false" customHeight="false" outlineLevel="0" collapsed="false">
      <c r="A38" s="23" t="n">
        <v>18</v>
      </c>
      <c r="B38" s="26" t="n">
        <f aca="false">(안내!$C$9+119)</f>
        <v>46510</v>
      </c>
      <c r="C38" s="23" t="n">
        <f aca="false">COUNTIFS(A타입_제작표!$U$2:$U$799,"&gt;="&amp;(안내!$C$9+119),A타입_제작표!$U$2:$U$799,"&lt;"&amp;((안내!$C$9+119)+7))</f>
        <v>11</v>
      </c>
      <c r="D38" s="23" t="n">
        <f aca="false">SUMIFS(A타입_제작표!$AL$2:$AL$799,A타입_제작표!$U$2:$U$799,"&gt;="&amp;(안내!$C$9+119),A타입_제작표!$U$2:$U$799,"&lt;"&amp;((안내!$C$9+119)+7))</f>
        <v>0</v>
      </c>
      <c r="E38" s="23" t="str">
        <f aca="false">IFERROR(AVERAGEIFS(A타입_제작표!$AM$2:$AM$799,A타입_제작표!$U$2:$U$799,"&gt;="&amp;(안내!$C$9+119),A타입_제작표!$U$2:$U$799,"&lt;"&amp;((안내!$C$9+119)+7)),"-")</f>
        <v>-</v>
      </c>
      <c r="F38" s="23" t="str">
        <f aca="false">IFERROR(AVERAGEIFS(A타입_제작표!$AN$2:$AN$799,A타입_제작표!$U$2:$U$799,"&gt;="&amp;(안내!$C$9+119),A타입_제작표!$U$2:$U$799,"&lt;"&amp;((안내!$C$9+119)+7)),"-")</f>
        <v>-</v>
      </c>
      <c r="G38" s="23" t="n">
        <f aca="false">SUMIFS(A타입_제작표!$AO$2:$AO$799,A타입_제작표!$U$2:$U$799,"&gt;="&amp;(안내!$C$9+119),A타입_제작표!$U$2:$U$799,"&lt;"&amp;((안내!$C$9+119)+7))</f>
        <v>0</v>
      </c>
      <c r="H38" s="23" t="str">
        <f aca="false">IF(ISNUMBER(E38),IF(E38&gt;=$B$5,"달성","미달"),"-")</f>
        <v>-</v>
      </c>
      <c r="I38" s="49"/>
    </row>
    <row r="39" customFormat="false" ht="15" hidden="false" customHeight="false" outlineLevel="0" collapsed="false">
      <c r="A39" s="23" t="n">
        <v>19</v>
      </c>
      <c r="B39" s="26" t="n">
        <f aca="false">(안내!$C$9+126)</f>
        <v>46517</v>
      </c>
      <c r="C39" s="23" t="n">
        <f aca="false">COUNTIFS(A타입_제작표!$U$2:$U$799,"&gt;="&amp;(안내!$C$9+126),A타입_제작표!$U$2:$U$799,"&lt;"&amp;((안내!$C$9+126)+7))</f>
        <v>11</v>
      </c>
      <c r="D39" s="23" t="n">
        <f aca="false">SUMIFS(A타입_제작표!$AL$2:$AL$799,A타입_제작표!$U$2:$U$799,"&gt;="&amp;(안내!$C$9+126),A타입_제작표!$U$2:$U$799,"&lt;"&amp;((안내!$C$9+126)+7))</f>
        <v>0</v>
      </c>
      <c r="E39" s="23" t="str">
        <f aca="false">IFERROR(AVERAGEIFS(A타입_제작표!$AM$2:$AM$799,A타입_제작표!$U$2:$U$799,"&gt;="&amp;(안내!$C$9+126),A타입_제작표!$U$2:$U$799,"&lt;"&amp;((안내!$C$9+126)+7)),"-")</f>
        <v>-</v>
      </c>
      <c r="F39" s="23" t="str">
        <f aca="false">IFERROR(AVERAGEIFS(A타입_제작표!$AN$2:$AN$799,A타입_제작표!$U$2:$U$799,"&gt;="&amp;(안내!$C$9+126),A타입_제작표!$U$2:$U$799,"&lt;"&amp;((안내!$C$9+126)+7)),"-")</f>
        <v>-</v>
      </c>
      <c r="G39" s="23" t="n">
        <f aca="false">SUMIFS(A타입_제작표!$AO$2:$AO$799,A타입_제작표!$U$2:$U$799,"&gt;="&amp;(안내!$C$9+126),A타입_제작표!$U$2:$U$799,"&lt;"&amp;((안내!$C$9+126)+7))</f>
        <v>0</v>
      </c>
      <c r="H39" s="23" t="str">
        <f aca="false">IF(ISNUMBER(E39),IF(E39&gt;=$B$5,"달성","미달"),"-")</f>
        <v>-</v>
      </c>
      <c r="I39" s="49"/>
    </row>
    <row r="40" customFormat="false" ht="15" hidden="false" customHeight="false" outlineLevel="0" collapsed="false">
      <c r="A40" s="23" t="n">
        <v>20</v>
      </c>
      <c r="B40" s="26" t="n">
        <f aca="false">(안내!$C$9+133)</f>
        <v>46524</v>
      </c>
      <c r="C40" s="23" t="n">
        <f aca="false">COUNTIFS(A타입_제작표!$U$2:$U$799,"&gt;="&amp;(안내!$C$9+133),A타입_제작표!$U$2:$U$799,"&lt;"&amp;((안내!$C$9+133)+7))</f>
        <v>11</v>
      </c>
      <c r="D40" s="23" t="n">
        <f aca="false">SUMIFS(A타입_제작표!$AL$2:$AL$799,A타입_제작표!$U$2:$U$799,"&gt;="&amp;(안내!$C$9+133),A타입_제작표!$U$2:$U$799,"&lt;"&amp;((안내!$C$9+133)+7))</f>
        <v>0</v>
      </c>
      <c r="E40" s="23" t="str">
        <f aca="false">IFERROR(AVERAGEIFS(A타입_제작표!$AM$2:$AM$799,A타입_제작표!$U$2:$U$799,"&gt;="&amp;(안내!$C$9+133),A타입_제작표!$U$2:$U$799,"&lt;"&amp;((안내!$C$9+133)+7)),"-")</f>
        <v>-</v>
      </c>
      <c r="F40" s="23" t="str">
        <f aca="false">IFERROR(AVERAGEIFS(A타입_제작표!$AN$2:$AN$799,A타입_제작표!$U$2:$U$799,"&gt;="&amp;(안내!$C$9+133),A타입_제작표!$U$2:$U$799,"&lt;"&amp;((안내!$C$9+133)+7)),"-")</f>
        <v>-</v>
      </c>
      <c r="G40" s="23" t="n">
        <f aca="false">SUMIFS(A타입_제작표!$AO$2:$AO$799,A타입_제작표!$U$2:$U$799,"&gt;="&amp;(안내!$C$9+133),A타입_제작표!$U$2:$U$799,"&lt;"&amp;((안내!$C$9+133)+7))</f>
        <v>0</v>
      </c>
      <c r="H40" s="23" t="str">
        <f aca="false">IF(ISNUMBER(E40),IF(E40&gt;=$B$5,"달성","미달"),"-")</f>
        <v>-</v>
      </c>
      <c r="I40" s="49"/>
    </row>
    <row r="41" customFormat="false" ht="15" hidden="false" customHeight="false" outlineLevel="0" collapsed="false">
      <c r="A41" s="23" t="n">
        <v>21</v>
      </c>
      <c r="B41" s="26" t="n">
        <f aca="false">(안내!$C$9+140)</f>
        <v>46531</v>
      </c>
      <c r="C41" s="23" t="n">
        <f aca="false">COUNTIFS(A타입_제작표!$U$2:$U$799,"&gt;="&amp;(안내!$C$9+140),A타입_제작표!$U$2:$U$799,"&lt;"&amp;((안내!$C$9+140)+7))</f>
        <v>11</v>
      </c>
      <c r="D41" s="23" t="n">
        <f aca="false">SUMIFS(A타입_제작표!$AL$2:$AL$799,A타입_제작표!$U$2:$U$799,"&gt;="&amp;(안내!$C$9+140),A타입_제작표!$U$2:$U$799,"&lt;"&amp;((안내!$C$9+140)+7))</f>
        <v>0</v>
      </c>
      <c r="E41" s="23" t="str">
        <f aca="false">IFERROR(AVERAGEIFS(A타입_제작표!$AM$2:$AM$799,A타입_제작표!$U$2:$U$799,"&gt;="&amp;(안내!$C$9+140),A타입_제작표!$U$2:$U$799,"&lt;"&amp;((안내!$C$9+140)+7)),"-")</f>
        <v>-</v>
      </c>
      <c r="F41" s="23" t="str">
        <f aca="false">IFERROR(AVERAGEIFS(A타입_제작표!$AN$2:$AN$799,A타입_제작표!$U$2:$U$799,"&gt;="&amp;(안내!$C$9+140),A타입_제작표!$U$2:$U$799,"&lt;"&amp;((안내!$C$9+140)+7)),"-")</f>
        <v>-</v>
      </c>
      <c r="G41" s="23" t="n">
        <f aca="false">SUMIFS(A타입_제작표!$AO$2:$AO$799,A타입_제작표!$U$2:$U$799,"&gt;="&amp;(안내!$C$9+140),A타입_제작표!$U$2:$U$799,"&lt;"&amp;((안내!$C$9+140)+7))</f>
        <v>0</v>
      </c>
      <c r="H41" s="23" t="str">
        <f aca="false">IF(ISNUMBER(E41),IF(E41&gt;=$B$5,"달성","미달"),"-")</f>
        <v>-</v>
      </c>
      <c r="I41" s="49"/>
    </row>
    <row r="42" customFormat="false" ht="15" hidden="false" customHeight="false" outlineLevel="0" collapsed="false">
      <c r="A42" s="23" t="n">
        <v>22</v>
      </c>
      <c r="B42" s="26" t="n">
        <f aca="false">(안내!$C$9+147)</f>
        <v>46538</v>
      </c>
      <c r="C42" s="23" t="n">
        <f aca="false">COUNTIFS(A타입_제작표!$U$2:$U$799,"&gt;="&amp;(안내!$C$9+147),A타입_제작표!$U$2:$U$799,"&lt;"&amp;((안내!$C$9+147)+7))</f>
        <v>11</v>
      </c>
      <c r="D42" s="23" t="n">
        <f aca="false">SUMIFS(A타입_제작표!$AL$2:$AL$799,A타입_제작표!$U$2:$U$799,"&gt;="&amp;(안내!$C$9+147),A타입_제작표!$U$2:$U$799,"&lt;"&amp;((안내!$C$9+147)+7))</f>
        <v>0</v>
      </c>
      <c r="E42" s="23" t="str">
        <f aca="false">IFERROR(AVERAGEIFS(A타입_제작표!$AM$2:$AM$799,A타입_제작표!$U$2:$U$799,"&gt;="&amp;(안내!$C$9+147),A타입_제작표!$U$2:$U$799,"&lt;"&amp;((안내!$C$9+147)+7)),"-")</f>
        <v>-</v>
      </c>
      <c r="F42" s="23" t="str">
        <f aca="false">IFERROR(AVERAGEIFS(A타입_제작표!$AN$2:$AN$799,A타입_제작표!$U$2:$U$799,"&gt;="&amp;(안내!$C$9+147),A타입_제작표!$U$2:$U$799,"&lt;"&amp;((안내!$C$9+147)+7)),"-")</f>
        <v>-</v>
      </c>
      <c r="G42" s="23" t="n">
        <f aca="false">SUMIFS(A타입_제작표!$AO$2:$AO$799,A타입_제작표!$U$2:$U$799,"&gt;="&amp;(안내!$C$9+147),A타입_제작표!$U$2:$U$799,"&lt;"&amp;((안내!$C$9+147)+7))</f>
        <v>0</v>
      </c>
      <c r="H42" s="23" t="str">
        <f aca="false">IF(ISNUMBER(E42),IF(E42&gt;=$B$5,"달성","미달"),"-")</f>
        <v>-</v>
      </c>
      <c r="I42" s="49"/>
    </row>
    <row r="43" customFormat="false" ht="15" hidden="false" customHeight="false" outlineLevel="0" collapsed="false">
      <c r="A43" s="23" t="n">
        <v>23</v>
      </c>
      <c r="B43" s="26" t="n">
        <f aca="false">(안내!$C$9+154)</f>
        <v>46545</v>
      </c>
      <c r="C43" s="23" t="n">
        <f aca="false">COUNTIFS(A타입_제작표!$U$2:$U$799,"&gt;="&amp;(안내!$C$9+154),A타입_제작표!$U$2:$U$799,"&lt;"&amp;((안내!$C$9+154)+7))</f>
        <v>11</v>
      </c>
      <c r="D43" s="23" t="n">
        <f aca="false">SUMIFS(A타입_제작표!$AL$2:$AL$799,A타입_제작표!$U$2:$U$799,"&gt;="&amp;(안내!$C$9+154),A타입_제작표!$U$2:$U$799,"&lt;"&amp;((안내!$C$9+154)+7))</f>
        <v>0</v>
      </c>
      <c r="E43" s="23" t="str">
        <f aca="false">IFERROR(AVERAGEIFS(A타입_제작표!$AM$2:$AM$799,A타입_제작표!$U$2:$U$799,"&gt;="&amp;(안내!$C$9+154),A타입_제작표!$U$2:$U$799,"&lt;"&amp;((안내!$C$9+154)+7)),"-")</f>
        <v>-</v>
      </c>
      <c r="F43" s="23" t="str">
        <f aca="false">IFERROR(AVERAGEIFS(A타입_제작표!$AN$2:$AN$799,A타입_제작표!$U$2:$U$799,"&gt;="&amp;(안내!$C$9+154),A타입_제작표!$U$2:$U$799,"&lt;"&amp;((안내!$C$9+154)+7)),"-")</f>
        <v>-</v>
      </c>
      <c r="G43" s="23" t="n">
        <f aca="false">SUMIFS(A타입_제작표!$AO$2:$AO$799,A타입_제작표!$U$2:$U$799,"&gt;="&amp;(안내!$C$9+154),A타입_제작표!$U$2:$U$799,"&lt;"&amp;((안내!$C$9+154)+7))</f>
        <v>0</v>
      </c>
      <c r="H43" s="23" t="str">
        <f aca="false">IF(ISNUMBER(E43),IF(E43&gt;=$B$5,"달성","미달"),"-")</f>
        <v>-</v>
      </c>
      <c r="I43" s="49"/>
    </row>
    <row r="44" customFormat="false" ht="15" hidden="false" customHeight="false" outlineLevel="0" collapsed="false">
      <c r="A44" s="23" t="n">
        <v>24</v>
      </c>
      <c r="B44" s="26" t="n">
        <f aca="false">(안내!$C$9+161)</f>
        <v>46552</v>
      </c>
      <c r="C44" s="23" t="n">
        <f aca="false">COUNTIFS(A타입_제작표!$U$2:$U$799,"&gt;="&amp;(안내!$C$9+161),A타입_제작표!$U$2:$U$799,"&lt;"&amp;((안내!$C$9+161)+7))</f>
        <v>11</v>
      </c>
      <c r="D44" s="23" t="n">
        <f aca="false">SUMIFS(A타입_제작표!$AL$2:$AL$799,A타입_제작표!$U$2:$U$799,"&gt;="&amp;(안내!$C$9+161),A타입_제작표!$U$2:$U$799,"&lt;"&amp;((안내!$C$9+161)+7))</f>
        <v>0</v>
      </c>
      <c r="E44" s="23" t="str">
        <f aca="false">IFERROR(AVERAGEIFS(A타입_제작표!$AM$2:$AM$799,A타입_제작표!$U$2:$U$799,"&gt;="&amp;(안내!$C$9+161),A타입_제작표!$U$2:$U$799,"&lt;"&amp;((안내!$C$9+161)+7)),"-")</f>
        <v>-</v>
      </c>
      <c r="F44" s="23" t="str">
        <f aca="false">IFERROR(AVERAGEIFS(A타입_제작표!$AN$2:$AN$799,A타입_제작표!$U$2:$U$799,"&gt;="&amp;(안내!$C$9+161),A타입_제작표!$U$2:$U$799,"&lt;"&amp;((안내!$C$9+161)+7)),"-")</f>
        <v>-</v>
      </c>
      <c r="G44" s="23" t="n">
        <f aca="false">SUMIFS(A타입_제작표!$AO$2:$AO$799,A타입_제작표!$U$2:$U$799,"&gt;="&amp;(안내!$C$9+161),A타입_제작표!$U$2:$U$799,"&lt;"&amp;((안내!$C$9+161)+7))</f>
        <v>0</v>
      </c>
      <c r="H44" s="23" t="str">
        <f aca="false">IF(ISNUMBER(E44),IF(E44&gt;=$B$5,"달성","미달"),"-")</f>
        <v>-</v>
      </c>
      <c r="I44" s="49"/>
    </row>
    <row r="45" customFormat="false" ht="15" hidden="false" customHeight="false" outlineLevel="0" collapsed="false">
      <c r="A45" s="23" t="n">
        <v>25</v>
      </c>
      <c r="B45" s="26" t="n">
        <f aca="false">(안내!$C$9+168)</f>
        <v>46559</v>
      </c>
      <c r="C45" s="23" t="n">
        <f aca="false">COUNTIFS(A타입_제작표!$U$2:$U$799,"&gt;="&amp;(안내!$C$9+168),A타입_제작표!$U$2:$U$799,"&lt;"&amp;((안내!$C$9+168)+7))</f>
        <v>11</v>
      </c>
      <c r="D45" s="23" t="n">
        <f aca="false">SUMIFS(A타입_제작표!$AL$2:$AL$799,A타입_제작표!$U$2:$U$799,"&gt;="&amp;(안내!$C$9+168),A타입_제작표!$U$2:$U$799,"&lt;"&amp;((안내!$C$9+168)+7))</f>
        <v>0</v>
      </c>
      <c r="E45" s="23" t="str">
        <f aca="false">IFERROR(AVERAGEIFS(A타입_제작표!$AM$2:$AM$799,A타입_제작표!$U$2:$U$799,"&gt;="&amp;(안내!$C$9+168),A타입_제작표!$U$2:$U$799,"&lt;"&amp;((안내!$C$9+168)+7)),"-")</f>
        <v>-</v>
      </c>
      <c r="F45" s="23" t="str">
        <f aca="false">IFERROR(AVERAGEIFS(A타입_제작표!$AN$2:$AN$799,A타입_제작표!$U$2:$U$799,"&gt;="&amp;(안내!$C$9+168),A타입_제작표!$U$2:$U$799,"&lt;"&amp;((안내!$C$9+168)+7)),"-")</f>
        <v>-</v>
      </c>
      <c r="G45" s="23" t="n">
        <f aca="false">SUMIFS(A타입_제작표!$AO$2:$AO$799,A타입_제작표!$U$2:$U$799,"&gt;="&amp;(안내!$C$9+168),A타입_제작표!$U$2:$U$799,"&lt;"&amp;((안내!$C$9+168)+7))</f>
        <v>0</v>
      </c>
      <c r="H45" s="23" t="str">
        <f aca="false">IF(ISNUMBER(E45),IF(E45&gt;=$B$5,"달성","미달"),"-")</f>
        <v>-</v>
      </c>
      <c r="I45" s="49"/>
    </row>
    <row r="46" customFormat="false" ht="15" hidden="false" customHeight="false" outlineLevel="0" collapsed="false">
      <c r="A46" s="23" t="n">
        <v>26</v>
      </c>
      <c r="B46" s="26" t="n">
        <f aca="false">(안내!$C$9+175)</f>
        <v>46566</v>
      </c>
      <c r="C46" s="23" t="n">
        <f aca="false">COUNTIFS(A타입_제작표!$U$2:$U$799,"&gt;="&amp;(안내!$C$9+175),A타입_제작표!$U$2:$U$799,"&lt;"&amp;((안내!$C$9+175)+7))</f>
        <v>11</v>
      </c>
      <c r="D46" s="23" t="n">
        <f aca="false">SUMIFS(A타입_제작표!$AL$2:$AL$799,A타입_제작표!$U$2:$U$799,"&gt;="&amp;(안내!$C$9+175),A타입_제작표!$U$2:$U$799,"&lt;"&amp;((안내!$C$9+175)+7))</f>
        <v>0</v>
      </c>
      <c r="E46" s="23" t="str">
        <f aca="false">IFERROR(AVERAGEIFS(A타입_제작표!$AM$2:$AM$799,A타입_제작표!$U$2:$U$799,"&gt;="&amp;(안내!$C$9+175),A타입_제작표!$U$2:$U$799,"&lt;"&amp;((안내!$C$9+175)+7)),"-")</f>
        <v>-</v>
      </c>
      <c r="F46" s="23" t="str">
        <f aca="false">IFERROR(AVERAGEIFS(A타입_제작표!$AN$2:$AN$799,A타입_제작표!$U$2:$U$799,"&gt;="&amp;(안내!$C$9+175),A타입_제작표!$U$2:$U$799,"&lt;"&amp;((안내!$C$9+175)+7)),"-")</f>
        <v>-</v>
      </c>
      <c r="G46" s="23" t="n">
        <f aca="false">SUMIFS(A타입_제작표!$AO$2:$AO$799,A타입_제작표!$U$2:$U$799,"&gt;="&amp;(안내!$C$9+175),A타입_제작표!$U$2:$U$799,"&lt;"&amp;((안내!$C$9+175)+7))</f>
        <v>0</v>
      </c>
      <c r="H46" s="23" t="str">
        <f aca="false">IF(ISNUMBER(E46),IF(E46&gt;=$B$5,"달성","미달"),"-")</f>
        <v>-</v>
      </c>
      <c r="I46" s="49"/>
    </row>
    <row r="47" customFormat="false" ht="15" hidden="false" customHeight="false" outlineLevel="0" collapsed="false">
      <c r="A47" s="23" t="n">
        <v>27</v>
      </c>
      <c r="B47" s="26" t="n">
        <f aca="false">(안내!$C$9+182)</f>
        <v>46573</v>
      </c>
      <c r="C47" s="23" t="n">
        <f aca="false">COUNTIFS(A타입_제작표!$U$2:$U$799,"&gt;="&amp;(안내!$C$9+182),A타입_제작표!$U$2:$U$799,"&lt;"&amp;((안내!$C$9+182)+7))</f>
        <v>0</v>
      </c>
      <c r="D47" s="23" t="n">
        <f aca="false">SUMIFS(A타입_제작표!$AL$2:$AL$799,A타입_제작표!$U$2:$U$799,"&gt;="&amp;(안내!$C$9+182),A타입_제작표!$U$2:$U$799,"&lt;"&amp;((안내!$C$9+182)+7))</f>
        <v>0</v>
      </c>
      <c r="E47" s="23" t="str">
        <f aca="false">IFERROR(AVERAGEIFS(A타입_제작표!$AM$2:$AM$799,A타입_제작표!$U$2:$U$799,"&gt;="&amp;(안내!$C$9+182),A타입_제작표!$U$2:$U$799,"&lt;"&amp;((안내!$C$9+182)+7)),"-")</f>
        <v>-</v>
      </c>
      <c r="F47" s="23" t="str">
        <f aca="false">IFERROR(AVERAGEIFS(A타입_제작표!$AN$2:$AN$799,A타입_제작표!$U$2:$U$799,"&gt;="&amp;(안내!$C$9+182),A타입_제작표!$U$2:$U$799,"&lt;"&amp;((안내!$C$9+182)+7)),"-")</f>
        <v>-</v>
      </c>
      <c r="G47" s="23" t="n">
        <f aca="false">SUMIFS(A타입_제작표!$AO$2:$AO$799,A타입_제작표!$U$2:$U$799,"&gt;="&amp;(안내!$C$9+182),A타입_제작표!$U$2:$U$799,"&lt;"&amp;((안내!$C$9+182)+7))</f>
        <v>0</v>
      </c>
      <c r="H47" s="23" t="str">
        <f aca="false">IF(ISNUMBER(E47),IF(E47&gt;=$B$5,"달성","미달"),"-")</f>
        <v>-</v>
      </c>
      <c r="I47" s="49"/>
    </row>
    <row r="48" customFormat="false" ht="15" hidden="false" customHeight="false" outlineLevel="0" collapsed="false">
      <c r="A48" s="23" t="n">
        <v>28</v>
      </c>
      <c r="B48" s="26" t="n">
        <f aca="false">(안내!$C$9+189)</f>
        <v>46580</v>
      </c>
      <c r="C48" s="23" t="n">
        <f aca="false">COUNTIFS(A타입_제작표!$U$2:$U$799,"&gt;="&amp;(안내!$C$9+189),A타입_제작표!$U$2:$U$799,"&lt;"&amp;((안내!$C$9+189)+7))</f>
        <v>11</v>
      </c>
      <c r="D48" s="23" t="n">
        <f aca="false">SUMIFS(A타입_제작표!$AL$2:$AL$799,A타입_제작표!$U$2:$U$799,"&gt;="&amp;(안내!$C$9+189),A타입_제작표!$U$2:$U$799,"&lt;"&amp;((안내!$C$9+189)+7))</f>
        <v>0</v>
      </c>
      <c r="E48" s="23" t="str">
        <f aca="false">IFERROR(AVERAGEIFS(A타입_제작표!$AM$2:$AM$799,A타입_제작표!$U$2:$U$799,"&gt;="&amp;(안내!$C$9+189),A타입_제작표!$U$2:$U$799,"&lt;"&amp;((안내!$C$9+189)+7)),"-")</f>
        <v>-</v>
      </c>
      <c r="F48" s="23" t="str">
        <f aca="false">IFERROR(AVERAGEIFS(A타입_제작표!$AN$2:$AN$799,A타입_제작표!$U$2:$U$799,"&gt;="&amp;(안내!$C$9+189),A타입_제작표!$U$2:$U$799,"&lt;"&amp;((안내!$C$9+189)+7)),"-")</f>
        <v>-</v>
      </c>
      <c r="G48" s="23" t="n">
        <f aca="false">SUMIFS(A타입_제작표!$AO$2:$AO$799,A타입_제작표!$U$2:$U$799,"&gt;="&amp;(안내!$C$9+189),A타입_제작표!$U$2:$U$799,"&lt;"&amp;((안내!$C$9+189)+7))</f>
        <v>0</v>
      </c>
      <c r="H48" s="23" t="str">
        <f aca="false">IF(ISNUMBER(E48),IF(E48&gt;=$B$5,"달성","미달"),"-")</f>
        <v>-</v>
      </c>
      <c r="I48" s="49"/>
    </row>
    <row r="49" customFormat="false" ht="15" hidden="false" customHeight="false" outlineLevel="0" collapsed="false">
      <c r="A49" s="23" t="n">
        <v>29</v>
      </c>
      <c r="B49" s="26" t="n">
        <f aca="false">(안내!$C$9+196)</f>
        <v>46587</v>
      </c>
      <c r="C49" s="23" t="n">
        <f aca="false">COUNTIFS(A타입_제작표!$U$2:$U$799,"&gt;="&amp;(안내!$C$9+196),A타입_제작표!$U$2:$U$799,"&lt;"&amp;((안내!$C$9+196)+7))</f>
        <v>11</v>
      </c>
      <c r="D49" s="23" t="n">
        <f aca="false">SUMIFS(A타입_제작표!$AL$2:$AL$799,A타입_제작표!$U$2:$U$799,"&gt;="&amp;(안내!$C$9+196),A타입_제작표!$U$2:$U$799,"&lt;"&amp;((안내!$C$9+196)+7))</f>
        <v>0</v>
      </c>
      <c r="E49" s="23" t="str">
        <f aca="false">IFERROR(AVERAGEIFS(A타입_제작표!$AM$2:$AM$799,A타입_제작표!$U$2:$U$799,"&gt;="&amp;(안내!$C$9+196),A타입_제작표!$U$2:$U$799,"&lt;"&amp;((안내!$C$9+196)+7)),"-")</f>
        <v>-</v>
      </c>
      <c r="F49" s="23" t="str">
        <f aca="false">IFERROR(AVERAGEIFS(A타입_제작표!$AN$2:$AN$799,A타입_제작표!$U$2:$U$799,"&gt;="&amp;(안내!$C$9+196),A타입_제작표!$U$2:$U$799,"&lt;"&amp;((안내!$C$9+196)+7)),"-")</f>
        <v>-</v>
      </c>
      <c r="G49" s="23" t="n">
        <f aca="false">SUMIFS(A타입_제작표!$AO$2:$AO$799,A타입_제작표!$U$2:$U$799,"&gt;="&amp;(안내!$C$9+196),A타입_제작표!$U$2:$U$799,"&lt;"&amp;((안내!$C$9+196)+7))</f>
        <v>0</v>
      </c>
      <c r="H49" s="23" t="str">
        <f aca="false">IF(ISNUMBER(E49),IF(E49&gt;=$B$5,"달성","미달"),"-")</f>
        <v>-</v>
      </c>
      <c r="I49" s="49"/>
    </row>
    <row r="50" customFormat="false" ht="15" hidden="false" customHeight="false" outlineLevel="0" collapsed="false">
      <c r="A50" s="23" t="n">
        <v>30</v>
      </c>
      <c r="B50" s="26" t="n">
        <f aca="false">(안내!$C$9+203)</f>
        <v>46594</v>
      </c>
      <c r="C50" s="23" t="n">
        <f aca="false">COUNTIFS(A타입_제작표!$U$2:$U$799,"&gt;="&amp;(안내!$C$9+203),A타입_제작표!$U$2:$U$799,"&lt;"&amp;((안내!$C$9+203)+7))</f>
        <v>11</v>
      </c>
      <c r="D50" s="23" t="n">
        <f aca="false">SUMIFS(A타입_제작표!$AL$2:$AL$799,A타입_제작표!$U$2:$U$799,"&gt;="&amp;(안내!$C$9+203),A타입_제작표!$U$2:$U$799,"&lt;"&amp;((안내!$C$9+203)+7))</f>
        <v>0</v>
      </c>
      <c r="E50" s="23" t="str">
        <f aca="false">IFERROR(AVERAGEIFS(A타입_제작표!$AM$2:$AM$799,A타입_제작표!$U$2:$U$799,"&gt;="&amp;(안내!$C$9+203),A타입_제작표!$U$2:$U$799,"&lt;"&amp;((안내!$C$9+203)+7)),"-")</f>
        <v>-</v>
      </c>
      <c r="F50" s="23" t="str">
        <f aca="false">IFERROR(AVERAGEIFS(A타입_제작표!$AN$2:$AN$799,A타입_제작표!$U$2:$U$799,"&gt;="&amp;(안내!$C$9+203),A타입_제작표!$U$2:$U$799,"&lt;"&amp;((안내!$C$9+203)+7)),"-")</f>
        <v>-</v>
      </c>
      <c r="G50" s="23" t="n">
        <f aca="false">SUMIFS(A타입_제작표!$AO$2:$AO$799,A타입_제작표!$U$2:$U$799,"&gt;="&amp;(안내!$C$9+203),A타입_제작표!$U$2:$U$799,"&lt;"&amp;((안내!$C$9+203)+7))</f>
        <v>0</v>
      </c>
      <c r="H50" s="23" t="str">
        <f aca="false">IF(ISNUMBER(E50),IF(E50&gt;=$B$5,"달성","미달"),"-")</f>
        <v>-</v>
      </c>
      <c r="I50" s="49"/>
    </row>
    <row r="51" customFormat="false" ht="15" hidden="false" customHeight="false" outlineLevel="0" collapsed="false">
      <c r="A51" s="23" t="n">
        <v>31</v>
      </c>
      <c r="B51" s="26" t="n">
        <f aca="false">(안내!$C$9+210)</f>
        <v>46601</v>
      </c>
      <c r="C51" s="23" t="n">
        <f aca="false">COUNTIFS(A타입_제작표!$U$2:$U$799,"&gt;="&amp;(안내!$C$9+210),A타입_제작표!$U$2:$U$799,"&lt;"&amp;((안내!$C$9+210)+7))</f>
        <v>11</v>
      </c>
      <c r="D51" s="23" t="n">
        <f aca="false">SUMIFS(A타입_제작표!$AL$2:$AL$799,A타입_제작표!$U$2:$U$799,"&gt;="&amp;(안내!$C$9+210),A타입_제작표!$U$2:$U$799,"&lt;"&amp;((안내!$C$9+210)+7))</f>
        <v>0</v>
      </c>
      <c r="E51" s="23" t="str">
        <f aca="false">IFERROR(AVERAGEIFS(A타입_제작표!$AM$2:$AM$799,A타입_제작표!$U$2:$U$799,"&gt;="&amp;(안내!$C$9+210),A타입_제작표!$U$2:$U$799,"&lt;"&amp;((안내!$C$9+210)+7)),"-")</f>
        <v>-</v>
      </c>
      <c r="F51" s="23" t="str">
        <f aca="false">IFERROR(AVERAGEIFS(A타입_제작표!$AN$2:$AN$799,A타입_제작표!$U$2:$U$799,"&gt;="&amp;(안내!$C$9+210),A타입_제작표!$U$2:$U$799,"&lt;"&amp;((안내!$C$9+210)+7)),"-")</f>
        <v>-</v>
      </c>
      <c r="G51" s="23" t="n">
        <f aca="false">SUMIFS(A타입_제작표!$AO$2:$AO$799,A타입_제작표!$U$2:$U$799,"&gt;="&amp;(안내!$C$9+210),A타입_제작표!$U$2:$U$799,"&lt;"&amp;((안내!$C$9+210)+7))</f>
        <v>0</v>
      </c>
      <c r="H51" s="23" t="str">
        <f aca="false">IF(ISNUMBER(E51),IF(E51&gt;=$B$5,"달성","미달"),"-")</f>
        <v>-</v>
      </c>
      <c r="I51" s="49"/>
    </row>
    <row r="52" customFormat="false" ht="15" hidden="false" customHeight="false" outlineLevel="0" collapsed="false">
      <c r="A52" s="23" t="n">
        <v>32</v>
      </c>
      <c r="B52" s="26" t="n">
        <f aca="false">(안내!$C$9+217)</f>
        <v>46608</v>
      </c>
      <c r="C52" s="23" t="n">
        <f aca="false">COUNTIFS(A타입_제작표!$U$2:$U$799,"&gt;="&amp;(안내!$C$9+217),A타입_제작표!$U$2:$U$799,"&lt;"&amp;((안내!$C$9+217)+7))</f>
        <v>11</v>
      </c>
      <c r="D52" s="23" t="n">
        <f aca="false">SUMIFS(A타입_제작표!$AL$2:$AL$799,A타입_제작표!$U$2:$U$799,"&gt;="&amp;(안내!$C$9+217),A타입_제작표!$U$2:$U$799,"&lt;"&amp;((안내!$C$9+217)+7))</f>
        <v>0</v>
      </c>
      <c r="E52" s="23" t="str">
        <f aca="false">IFERROR(AVERAGEIFS(A타입_제작표!$AM$2:$AM$799,A타입_제작표!$U$2:$U$799,"&gt;="&amp;(안내!$C$9+217),A타입_제작표!$U$2:$U$799,"&lt;"&amp;((안내!$C$9+217)+7)),"-")</f>
        <v>-</v>
      </c>
      <c r="F52" s="23" t="str">
        <f aca="false">IFERROR(AVERAGEIFS(A타입_제작표!$AN$2:$AN$799,A타입_제작표!$U$2:$U$799,"&gt;="&amp;(안내!$C$9+217),A타입_제작표!$U$2:$U$799,"&lt;"&amp;((안내!$C$9+217)+7)),"-")</f>
        <v>-</v>
      </c>
      <c r="G52" s="23" t="n">
        <f aca="false">SUMIFS(A타입_제작표!$AO$2:$AO$799,A타입_제작표!$U$2:$U$799,"&gt;="&amp;(안내!$C$9+217),A타입_제작표!$U$2:$U$799,"&lt;"&amp;((안내!$C$9+217)+7))</f>
        <v>0</v>
      </c>
      <c r="H52" s="23" t="str">
        <f aca="false">IF(ISNUMBER(E52),IF(E52&gt;=$B$5,"달성","미달"),"-")</f>
        <v>-</v>
      </c>
      <c r="I52" s="49"/>
    </row>
    <row r="53" customFormat="false" ht="15" hidden="false" customHeight="false" outlineLevel="0" collapsed="false">
      <c r="A53" s="23" t="n">
        <v>33</v>
      </c>
      <c r="B53" s="26" t="n">
        <f aca="false">(안내!$C$9+224)</f>
        <v>46615</v>
      </c>
      <c r="C53" s="23" t="n">
        <f aca="false">COUNTIFS(A타입_제작표!$U$2:$U$799,"&gt;="&amp;(안내!$C$9+224),A타입_제작표!$U$2:$U$799,"&lt;"&amp;((안내!$C$9+224)+7))</f>
        <v>11</v>
      </c>
      <c r="D53" s="23" t="n">
        <f aca="false">SUMIFS(A타입_제작표!$AL$2:$AL$799,A타입_제작표!$U$2:$U$799,"&gt;="&amp;(안내!$C$9+224),A타입_제작표!$U$2:$U$799,"&lt;"&amp;((안내!$C$9+224)+7))</f>
        <v>0</v>
      </c>
      <c r="E53" s="23" t="str">
        <f aca="false">IFERROR(AVERAGEIFS(A타입_제작표!$AM$2:$AM$799,A타입_제작표!$U$2:$U$799,"&gt;="&amp;(안내!$C$9+224),A타입_제작표!$U$2:$U$799,"&lt;"&amp;((안내!$C$9+224)+7)),"-")</f>
        <v>-</v>
      </c>
      <c r="F53" s="23" t="str">
        <f aca="false">IFERROR(AVERAGEIFS(A타입_제작표!$AN$2:$AN$799,A타입_제작표!$U$2:$U$799,"&gt;="&amp;(안내!$C$9+224),A타입_제작표!$U$2:$U$799,"&lt;"&amp;((안내!$C$9+224)+7)),"-")</f>
        <v>-</v>
      </c>
      <c r="G53" s="23" t="n">
        <f aca="false">SUMIFS(A타입_제작표!$AO$2:$AO$799,A타입_제작표!$U$2:$U$799,"&gt;="&amp;(안내!$C$9+224),A타입_제작표!$U$2:$U$799,"&lt;"&amp;((안내!$C$9+224)+7))</f>
        <v>0</v>
      </c>
      <c r="H53" s="23" t="str">
        <f aca="false">IF(ISNUMBER(E53),IF(E53&gt;=$B$5,"달성","미달"),"-")</f>
        <v>-</v>
      </c>
      <c r="I53" s="49"/>
    </row>
    <row r="54" customFormat="false" ht="15" hidden="false" customHeight="false" outlineLevel="0" collapsed="false">
      <c r="A54" s="23" t="n">
        <v>34</v>
      </c>
      <c r="B54" s="26" t="n">
        <f aca="false">(안내!$C$9+231)</f>
        <v>46622</v>
      </c>
      <c r="C54" s="23" t="n">
        <f aca="false">COUNTIFS(A타입_제작표!$U$2:$U$799,"&gt;="&amp;(안내!$C$9+231),A타입_제작표!$U$2:$U$799,"&lt;"&amp;((안내!$C$9+231)+7))</f>
        <v>11</v>
      </c>
      <c r="D54" s="23" t="n">
        <f aca="false">SUMIFS(A타입_제작표!$AL$2:$AL$799,A타입_제작표!$U$2:$U$799,"&gt;="&amp;(안내!$C$9+231),A타입_제작표!$U$2:$U$799,"&lt;"&amp;((안내!$C$9+231)+7))</f>
        <v>0</v>
      </c>
      <c r="E54" s="23" t="str">
        <f aca="false">IFERROR(AVERAGEIFS(A타입_제작표!$AM$2:$AM$799,A타입_제작표!$U$2:$U$799,"&gt;="&amp;(안내!$C$9+231),A타입_제작표!$U$2:$U$799,"&lt;"&amp;((안내!$C$9+231)+7)),"-")</f>
        <v>-</v>
      </c>
      <c r="F54" s="23" t="str">
        <f aca="false">IFERROR(AVERAGEIFS(A타입_제작표!$AN$2:$AN$799,A타입_제작표!$U$2:$U$799,"&gt;="&amp;(안내!$C$9+231),A타입_제작표!$U$2:$U$799,"&lt;"&amp;((안내!$C$9+231)+7)),"-")</f>
        <v>-</v>
      </c>
      <c r="G54" s="23" t="n">
        <f aca="false">SUMIFS(A타입_제작표!$AO$2:$AO$799,A타입_제작표!$U$2:$U$799,"&gt;="&amp;(안내!$C$9+231),A타입_제작표!$U$2:$U$799,"&lt;"&amp;((안내!$C$9+231)+7))</f>
        <v>0</v>
      </c>
      <c r="H54" s="23" t="str">
        <f aca="false">IF(ISNUMBER(E54),IF(E54&gt;=$B$5,"달성","미달"),"-")</f>
        <v>-</v>
      </c>
      <c r="I54" s="49"/>
    </row>
    <row r="55" customFormat="false" ht="15" hidden="false" customHeight="false" outlineLevel="0" collapsed="false">
      <c r="A55" s="23" t="n">
        <v>35</v>
      </c>
      <c r="B55" s="26" t="n">
        <f aca="false">(안내!$C$9+238)</f>
        <v>46629</v>
      </c>
      <c r="C55" s="23" t="n">
        <f aca="false">COUNTIFS(A타입_제작표!$U$2:$U$799,"&gt;="&amp;(안내!$C$9+238),A타입_제작표!$U$2:$U$799,"&lt;"&amp;((안내!$C$9+238)+7))</f>
        <v>11</v>
      </c>
      <c r="D55" s="23" t="n">
        <f aca="false">SUMIFS(A타입_제작표!$AL$2:$AL$799,A타입_제작표!$U$2:$U$799,"&gt;="&amp;(안내!$C$9+238),A타입_제작표!$U$2:$U$799,"&lt;"&amp;((안내!$C$9+238)+7))</f>
        <v>0</v>
      </c>
      <c r="E55" s="23" t="str">
        <f aca="false">IFERROR(AVERAGEIFS(A타입_제작표!$AM$2:$AM$799,A타입_제작표!$U$2:$U$799,"&gt;="&amp;(안내!$C$9+238),A타입_제작표!$U$2:$U$799,"&lt;"&amp;((안내!$C$9+238)+7)),"-")</f>
        <v>-</v>
      </c>
      <c r="F55" s="23" t="str">
        <f aca="false">IFERROR(AVERAGEIFS(A타입_제작표!$AN$2:$AN$799,A타입_제작표!$U$2:$U$799,"&gt;="&amp;(안내!$C$9+238),A타입_제작표!$U$2:$U$799,"&lt;"&amp;((안내!$C$9+238)+7)),"-")</f>
        <v>-</v>
      </c>
      <c r="G55" s="23" t="n">
        <f aca="false">SUMIFS(A타입_제작표!$AO$2:$AO$799,A타입_제작표!$U$2:$U$799,"&gt;="&amp;(안내!$C$9+238),A타입_제작표!$U$2:$U$799,"&lt;"&amp;((안내!$C$9+238)+7))</f>
        <v>0</v>
      </c>
      <c r="H55" s="23" t="str">
        <f aca="false">IF(ISNUMBER(E55),IF(E55&gt;=$B$5,"달성","미달"),"-")</f>
        <v>-</v>
      </c>
      <c r="I55" s="49"/>
    </row>
    <row r="56" customFormat="false" ht="15" hidden="false" customHeight="false" outlineLevel="0" collapsed="false">
      <c r="A56" s="23" t="n">
        <v>36</v>
      </c>
      <c r="B56" s="26" t="n">
        <f aca="false">(안내!$C$9+245)</f>
        <v>46636</v>
      </c>
      <c r="C56" s="23" t="n">
        <f aca="false">COUNTIFS(A타입_제작표!$U$2:$U$799,"&gt;="&amp;(안내!$C$9+245),A타입_제작표!$U$2:$U$799,"&lt;"&amp;((안내!$C$9+245)+7))</f>
        <v>11</v>
      </c>
      <c r="D56" s="23" t="n">
        <f aca="false">SUMIFS(A타입_제작표!$AL$2:$AL$799,A타입_제작표!$U$2:$U$799,"&gt;="&amp;(안내!$C$9+245),A타입_제작표!$U$2:$U$799,"&lt;"&amp;((안내!$C$9+245)+7))</f>
        <v>0</v>
      </c>
      <c r="E56" s="23" t="str">
        <f aca="false">IFERROR(AVERAGEIFS(A타입_제작표!$AM$2:$AM$799,A타입_제작표!$U$2:$U$799,"&gt;="&amp;(안내!$C$9+245),A타입_제작표!$U$2:$U$799,"&lt;"&amp;((안내!$C$9+245)+7)),"-")</f>
        <v>-</v>
      </c>
      <c r="F56" s="23" t="str">
        <f aca="false">IFERROR(AVERAGEIFS(A타입_제작표!$AN$2:$AN$799,A타입_제작표!$U$2:$U$799,"&gt;="&amp;(안내!$C$9+245),A타입_제작표!$U$2:$U$799,"&lt;"&amp;((안내!$C$9+245)+7)),"-")</f>
        <v>-</v>
      </c>
      <c r="G56" s="23" t="n">
        <f aca="false">SUMIFS(A타입_제작표!$AO$2:$AO$799,A타입_제작표!$U$2:$U$799,"&gt;="&amp;(안내!$C$9+245),A타입_제작표!$U$2:$U$799,"&lt;"&amp;((안내!$C$9+245)+7))</f>
        <v>0</v>
      </c>
      <c r="H56" s="23" t="str">
        <f aca="false">IF(ISNUMBER(E56),IF(E56&gt;=$B$5,"달성","미달"),"-")</f>
        <v>-</v>
      </c>
      <c r="I56" s="49"/>
    </row>
    <row r="57" customFormat="false" ht="15" hidden="false" customHeight="false" outlineLevel="0" collapsed="false">
      <c r="A57" s="23" t="n">
        <v>37</v>
      </c>
      <c r="B57" s="26" t="n">
        <f aca="false">(안내!$C$9+252)</f>
        <v>46643</v>
      </c>
      <c r="C57" s="23" t="n">
        <f aca="false">COUNTIFS(A타입_제작표!$U$2:$U$799,"&gt;="&amp;(안내!$C$9+252),A타입_제작표!$U$2:$U$799,"&lt;"&amp;((안내!$C$9+252)+7))</f>
        <v>11</v>
      </c>
      <c r="D57" s="23" t="n">
        <f aca="false">SUMIFS(A타입_제작표!$AL$2:$AL$799,A타입_제작표!$U$2:$U$799,"&gt;="&amp;(안내!$C$9+252),A타입_제작표!$U$2:$U$799,"&lt;"&amp;((안내!$C$9+252)+7))</f>
        <v>0</v>
      </c>
      <c r="E57" s="23" t="str">
        <f aca="false">IFERROR(AVERAGEIFS(A타입_제작표!$AM$2:$AM$799,A타입_제작표!$U$2:$U$799,"&gt;="&amp;(안내!$C$9+252),A타입_제작표!$U$2:$U$799,"&lt;"&amp;((안내!$C$9+252)+7)),"-")</f>
        <v>-</v>
      </c>
      <c r="F57" s="23" t="str">
        <f aca="false">IFERROR(AVERAGEIFS(A타입_제작표!$AN$2:$AN$799,A타입_제작표!$U$2:$U$799,"&gt;="&amp;(안내!$C$9+252),A타입_제작표!$U$2:$U$799,"&lt;"&amp;((안내!$C$9+252)+7)),"-")</f>
        <v>-</v>
      </c>
      <c r="G57" s="23" t="n">
        <f aca="false">SUMIFS(A타입_제작표!$AO$2:$AO$799,A타입_제작표!$U$2:$U$799,"&gt;="&amp;(안내!$C$9+252),A타입_제작표!$U$2:$U$799,"&lt;"&amp;((안내!$C$9+252)+7))</f>
        <v>0</v>
      </c>
      <c r="H57" s="23" t="str">
        <f aca="false">IF(ISNUMBER(E57),IF(E57&gt;=$B$5,"달성","미달"),"-")</f>
        <v>-</v>
      </c>
      <c r="I57" s="49"/>
    </row>
    <row r="58" customFormat="false" ht="15" hidden="false" customHeight="false" outlineLevel="0" collapsed="false">
      <c r="A58" s="23" t="n">
        <v>38</v>
      </c>
      <c r="B58" s="26" t="n">
        <f aca="false">(안내!$C$9+259)</f>
        <v>46650</v>
      </c>
      <c r="C58" s="23" t="n">
        <f aca="false">COUNTIFS(A타입_제작표!$U$2:$U$799,"&gt;="&amp;(안내!$C$9+259),A타입_제작표!$U$2:$U$799,"&lt;"&amp;((안내!$C$9+259)+7))</f>
        <v>11</v>
      </c>
      <c r="D58" s="23" t="n">
        <f aca="false">SUMIFS(A타입_제작표!$AL$2:$AL$799,A타입_제작표!$U$2:$U$799,"&gt;="&amp;(안내!$C$9+259),A타입_제작표!$U$2:$U$799,"&lt;"&amp;((안내!$C$9+259)+7))</f>
        <v>0</v>
      </c>
      <c r="E58" s="23" t="str">
        <f aca="false">IFERROR(AVERAGEIFS(A타입_제작표!$AM$2:$AM$799,A타입_제작표!$U$2:$U$799,"&gt;="&amp;(안내!$C$9+259),A타입_제작표!$U$2:$U$799,"&lt;"&amp;((안내!$C$9+259)+7)),"-")</f>
        <v>-</v>
      </c>
      <c r="F58" s="23" t="str">
        <f aca="false">IFERROR(AVERAGEIFS(A타입_제작표!$AN$2:$AN$799,A타입_제작표!$U$2:$U$799,"&gt;="&amp;(안내!$C$9+259),A타입_제작표!$U$2:$U$799,"&lt;"&amp;((안내!$C$9+259)+7)),"-")</f>
        <v>-</v>
      </c>
      <c r="G58" s="23" t="n">
        <f aca="false">SUMIFS(A타입_제작표!$AO$2:$AO$799,A타입_제작표!$U$2:$U$799,"&gt;="&amp;(안내!$C$9+259),A타입_제작표!$U$2:$U$799,"&lt;"&amp;((안내!$C$9+259)+7))</f>
        <v>0</v>
      </c>
      <c r="H58" s="23" t="str">
        <f aca="false">IF(ISNUMBER(E58),IF(E58&gt;=$B$5,"달성","미달"),"-")</f>
        <v>-</v>
      </c>
      <c r="I58" s="49"/>
    </row>
    <row r="59" customFormat="false" ht="15" hidden="false" customHeight="false" outlineLevel="0" collapsed="false">
      <c r="A59" s="23" t="n">
        <v>39</v>
      </c>
      <c r="B59" s="26" t="n">
        <f aca="false">(안내!$C$9+266)</f>
        <v>46657</v>
      </c>
      <c r="C59" s="23" t="n">
        <f aca="false">COUNTIFS(A타입_제작표!$U$2:$U$799,"&gt;="&amp;(안내!$C$9+266),A타입_제작표!$U$2:$U$799,"&lt;"&amp;((안내!$C$9+266)+7))</f>
        <v>11</v>
      </c>
      <c r="D59" s="23" t="n">
        <f aca="false">SUMIFS(A타입_제작표!$AL$2:$AL$799,A타입_제작표!$U$2:$U$799,"&gt;="&amp;(안내!$C$9+266),A타입_제작표!$U$2:$U$799,"&lt;"&amp;((안내!$C$9+266)+7))</f>
        <v>0</v>
      </c>
      <c r="E59" s="23" t="str">
        <f aca="false">IFERROR(AVERAGEIFS(A타입_제작표!$AM$2:$AM$799,A타입_제작표!$U$2:$U$799,"&gt;="&amp;(안내!$C$9+266),A타입_제작표!$U$2:$U$799,"&lt;"&amp;((안내!$C$9+266)+7)),"-")</f>
        <v>-</v>
      </c>
      <c r="F59" s="23" t="str">
        <f aca="false">IFERROR(AVERAGEIFS(A타입_제작표!$AN$2:$AN$799,A타입_제작표!$U$2:$U$799,"&gt;="&amp;(안내!$C$9+266),A타입_제작표!$U$2:$U$799,"&lt;"&amp;((안내!$C$9+266)+7)),"-")</f>
        <v>-</v>
      </c>
      <c r="G59" s="23" t="n">
        <f aca="false">SUMIFS(A타입_제작표!$AO$2:$AO$799,A타입_제작표!$U$2:$U$799,"&gt;="&amp;(안내!$C$9+266),A타입_제작표!$U$2:$U$799,"&lt;"&amp;((안내!$C$9+266)+7))</f>
        <v>0</v>
      </c>
      <c r="H59" s="23" t="str">
        <f aca="false">IF(ISNUMBER(E59),IF(E59&gt;=$B$5,"달성","미달"),"-")</f>
        <v>-</v>
      </c>
      <c r="I59" s="49"/>
    </row>
    <row r="60" customFormat="false" ht="15" hidden="false" customHeight="false" outlineLevel="0" collapsed="false">
      <c r="A60" s="23" t="n">
        <v>40</v>
      </c>
      <c r="B60" s="26" t="n">
        <f aca="false">(안내!$C$9+273)</f>
        <v>46664</v>
      </c>
      <c r="C60" s="23" t="n">
        <f aca="false">COUNTIFS(A타입_제작표!$U$2:$U$799,"&gt;="&amp;(안내!$C$9+273),A타입_제작표!$U$2:$U$799,"&lt;"&amp;((안내!$C$9+273)+7))</f>
        <v>11</v>
      </c>
      <c r="D60" s="23" t="n">
        <f aca="false">SUMIFS(A타입_제작표!$AL$2:$AL$799,A타입_제작표!$U$2:$U$799,"&gt;="&amp;(안내!$C$9+273),A타입_제작표!$U$2:$U$799,"&lt;"&amp;((안내!$C$9+273)+7))</f>
        <v>0</v>
      </c>
      <c r="E60" s="23" t="str">
        <f aca="false">IFERROR(AVERAGEIFS(A타입_제작표!$AM$2:$AM$799,A타입_제작표!$U$2:$U$799,"&gt;="&amp;(안내!$C$9+273),A타입_제작표!$U$2:$U$799,"&lt;"&amp;((안내!$C$9+273)+7)),"-")</f>
        <v>-</v>
      </c>
      <c r="F60" s="23" t="str">
        <f aca="false">IFERROR(AVERAGEIFS(A타입_제작표!$AN$2:$AN$799,A타입_제작표!$U$2:$U$799,"&gt;="&amp;(안내!$C$9+273),A타입_제작표!$U$2:$U$799,"&lt;"&amp;((안내!$C$9+273)+7)),"-")</f>
        <v>-</v>
      </c>
      <c r="G60" s="23" t="n">
        <f aca="false">SUMIFS(A타입_제작표!$AO$2:$AO$799,A타입_제작표!$U$2:$U$799,"&gt;="&amp;(안내!$C$9+273),A타입_제작표!$U$2:$U$799,"&lt;"&amp;((안내!$C$9+273)+7))</f>
        <v>0</v>
      </c>
      <c r="H60" s="23" t="str">
        <f aca="false">IF(ISNUMBER(E60),IF(E60&gt;=$B$5,"달성","미달"),"-")</f>
        <v>-</v>
      </c>
      <c r="I60" s="49"/>
    </row>
    <row r="61" customFormat="false" ht="15" hidden="false" customHeight="false" outlineLevel="0" collapsed="false">
      <c r="A61" s="23" t="n">
        <v>41</v>
      </c>
      <c r="B61" s="26" t="n">
        <f aca="false">(안내!$C$9+280)</f>
        <v>46671</v>
      </c>
      <c r="C61" s="23" t="n">
        <f aca="false">COUNTIFS(A타입_제작표!$U$2:$U$799,"&gt;="&amp;(안내!$C$9+280),A타입_제작표!$U$2:$U$799,"&lt;"&amp;((안내!$C$9+280)+7))</f>
        <v>11</v>
      </c>
      <c r="D61" s="23" t="n">
        <f aca="false">SUMIFS(A타입_제작표!$AL$2:$AL$799,A타입_제작표!$U$2:$U$799,"&gt;="&amp;(안내!$C$9+280),A타입_제작표!$U$2:$U$799,"&lt;"&amp;((안내!$C$9+280)+7))</f>
        <v>0</v>
      </c>
      <c r="E61" s="23" t="str">
        <f aca="false">IFERROR(AVERAGEIFS(A타입_제작표!$AM$2:$AM$799,A타입_제작표!$U$2:$U$799,"&gt;="&amp;(안내!$C$9+280),A타입_제작표!$U$2:$U$799,"&lt;"&amp;((안내!$C$9+280)+7)),"-")</f>
        <v>-</v>
      </c>
      <c r="F61" s="23" t="str">
        <f aca="false">IFERROR(AVERAGEIFS(A타입_제작표!$AN$2:$AN$799,A타입_제작표!$U$2:$U$799,"&gt;="&amp;(안내!$C$9+280),A타입_제작표!$U$2:$U$799,"&lt;"&amp;((안내!$C$9+280)+7)),"-")</f>
        <v>-</v>
      </c>
      <c r="G61" s="23" t="n">
        <f aca="false">SUMIFS(A타입_제작표!$AO$2:$AO$799,A타입_제작표!$U$2:$U$799,"&gt;="&amp;(안내!$C$9+280),A타입_제작표!$U$2:$U$799,"&lt;"&amp;((안내!$C$9+280)+7))</f>
        <v>0</v>
      </c>
      <c r="H61" s="23" t="str">
        <f aca="false">IF(ISNUMBER(E61),IF(E61&gt;=$B$5,"달성","미달"),"-")</f>
        <v>-</v>
      </c>
      <c r="I61" s="49"/>
    </row>
    <row r="62" customFormat="false" ht="15" hidden="false" customHeight="false" outlineLevel="0" collapsed="false">
      <c r="A62" s="23" t="n">
        <v>42</v>
      </c>
      <c r="B62" s="26" t="n">
        <f aca="false">(안내!$C$9+287)</f>
        <v>46678</v>
      </c>
      <c r="C62" s="23" t="n">
        <f aca="false">COUNTIFS(A타입_제작표!$U$2:$U$799,"&gt;="&amp;(안내!$C$9+287),A타입_제작표!$U$2:$U$799,"&lt;"&amp;((안내!$C$9+287)+7))</f>
        <v>11</v>
      </c>
      <c r="D62" s="23" t="n">
        <f aca="false">SUMIFS(A타입_제작표!$AL$2:$AL$799,A타입_제작표!$U$2:$U$799,"&gt;="&amp;(안내!$C$9+287),A타입_제작표!$U$2:$U$799,"&lt;"&amp;((안내!$C$9+287)+7))</f>
        <v>0</v>
      </c>
      <c r="E62" s="23" t="str">
        <f aca="false">IFERROR(AVERAGEIFS(A타입_제작표!$AM$2:$AM$799,A타입_제작표!$U$2:$U$799,"&gt;="&amp;(안내!$C$9+287),A타입_제작표!$U$2:$U$799,"&lt;"&amp;((안내!$C$9+287)+7)),"-")</f>
        <v>-</v>
      </c>
      <c r="F62" s="23" t="str">
        <f aca="false">IFERROR(AVERAGEIFS(A타입_제작표!$AN$2:$AN$799,A타입_제작표!$U$2:$U$799,"&gt;="&amp;(안내!$C$9+287),A타입_제작표!$U$2:$U$799,"&lt;"&amp;((안내!$C$9+287)+7)),"-")</f>
        <v>-</v>
      </c>
      <c r="G62" s="23" t="n">
        <f aca="false">SUMIFS(A타입_제작표!$AO$2:$AO$799,A타입_제작표!$U$2:$U$799,"&gt;="&amp;(안내!$C$9+287),A타입_제작표!$U$2:$U$799,"&lt;"&amp;((안내!$C$9+287)+7))</f>
        <v>0</v>
      </c>
      <c r="H62" s="23" t="str">
        <f aca="false">IF(ISNUMBER(E62),IF(E62&gt;=$B$5,"달성","미달"),"-")</f>
        <v>-</v>
      </c>
      <c r="I62" s="49"/>
    </row>
    <row r="63" customFormat="false" ht="15" hidden="false" customHeight="false" outlineLevel="0" collapsed="false">
      <c r="A63" s="23" t="n">
        <v>43</v>
      </c>
      <c r="B63" s="26" t="n">
        <f aca="false">(안내!$C$9+294)</f>
        <v>46685</v>
      </c>
      <c r="C63" s="23" t="n">
        <f aca="false">COUNTIFS(A타입_제작표!$U$2:$U$799,"&gt;="&amp;(안내!$C$9+294),A타입_제작표!$U$2:$U$799,"&lt;"&amp;((안내!$C$9+294)+7))</f>
        <v>11</v>
      </c>
      <c r="D63" s="23" t="n">
        <f aca="false">SUMIFS(A타입_제작표!$AL$2:$AL$799,A타입_제작표!$U$2:$U$799,"&gt;="&amp;(안내!$C$9+294),A타입_제작표!$U$2:$U$799,"&lt;"&amp;((안내!$C$9+294)+7))</f>
        <v>0</v>
      </c>
      <c r="E63" s="23" t="str">
        <f aca="false">IFERROR(AVERAGEIFS(A타입_제작표!$AM$2:$AM$799,A타입_제작표!$U$2:$U$799,"&gt;="&amp;(안내!$C$9+294),A타입_제작표!$U$2:$U$799,"&lt;"&amp;((안내!$C$9+294)+7)),"-")</f>
        <v>-</v>
      </c>
      <c r="F63" s="23" t="str">
        <f aca="false">IFERROR(AVERAGEIFS(A타입_제작표!$AN$2:$AN$799,A타입_제작표!$U$2:$U$799,"&gt;="&amp;(안내!$C$9+294),A타입_제작표!$U$2:$U$799,"&lt;"&amp;((안내!$C$9+294)+7)),"-")</f>
        <v>-</v>
      </c>
      <c r="G63" s="23" t="n">
        <f aca="false">SUMIFS(A타입_제작표!$AO$2:$AO$799,A타입_제작표!$U$2:$U$799,"&gt;="&amp;(안내!$C$9+294),A타입_제작표!$U$2:$U$799,"&lt;"&amp;((안내!$C$9+294)+7))</f>
        <v>0</v>
      </c>
      <c r="H63" s="23" t="str">
        <f aca="false">IF(ISNUMBER(E63),IF(E63&gt;=$B$5,"달성","미달"),"-")</f>
        <v>-</v>
      </c>
      <c r="I63" s="49"/>
    </row>
    <row r="64" customFormat="false" ht="15" hidden="false" customHeight="false" outlineLevel="0" collapsed="false">
      <c r="A64" s="23" t="n">
        <v>44</v>
      </c>
      <c r="B64" s="26" t="n">
        <f aca="false">(안내!$C$9+301)</f>
        <v>46692</v>
      </c>
      <c r="C64" s="23" t="n">
        <f aca="false">COUNTIFS(A타입_제작표!$U$2:$U$799,"&gt;="&amp;(안내!$C$9+301),A타입_제작표!$U$2:$U$799,"&lt;"&amp;((안내!$C$9+301)+7))</f>
        <v>11</v>
      </c>
      <c r="D64" s="23" t="n">
        <f aca="false">SUMIFS(A타입_제작표!$AL$2:$AL$799,A타입_제작표!$U$2:$U$799,"&gt;="&amp;(안내!$C$9+301),A타입_제작표!$U$2:$U$799,"&lt;"&amp;((안내!$C$9+301)+7))</f>
        <v>0</v>
      </c>
      <c r="E64" s="23" t="str">
        <f aca="false">IFERROR(AVERAGEIFS(A타입_제작표!$AM$2:$AM$799,A타입_제작표!$U$2:$U$799,"&gt;="&amp;(안내!$C$9+301),A타입_제작표!$U$2:$U$799,"&lt;"&amp;((안내!$C$9+301)+7)),"-")</f>
        <v>-</v>
      </c>
      <c r="F64" s="23" t="str">
        <f aca="false">IFERROR(AVERAGEIFS(A타입_제작표!$AN$2:$AN$799,A타입_제작표!$U$2:$U$799,"&gt;="&amp;(안내!$C$9+301),A타입_제작표!$U$2:$U$799,"&lt;"&amp;((안내!$C$9+301)+7)),"-")</f>
        <v>-</v>
      </c>
      <c r="G64" s="23" t="n">
        <f aca="false">SUMIFS(A타입_제작표!$AO$2:$AO$799,A타입_제작표!$U$2:$U$799,"&gt;="&amp;(안내!$C$9+301),A타입_제작표!$U$2:$U$799,"&lt;"&amp;((안내!$C$9+301)+7))</f>
        <v>0</v>
      </c>
      <c r="H64" s="23" t="str">
        <f aca="false">IF(ISNUMBER(E64),IF(E64&gt;=$B$5,"달성","미달"),"-")</f>
        <v>-</v>
      </c>
      <c r="I64" s="49"/>
    </row>
    <row r="65" customFormat="false" ht="15" hidden="false" customHeight="false" outlineLevel="0" collapsed="false">
      <c r="A65" s="23" t="n">
        <v>45</v>
      </c>
      <c r="B65" s="26" t="n">
        <f aca="false">(안내!$C$9+308)</f>
        <v>46699</v>
      </c>
      <c r="C65" s="23" t="n">
        <f aca="false">COUNTIFS(A타입_제작표!$U$2:$U$799,"&gt;="&amp;(안내!$C$9+308),A타입_제작표!$U$2:$U$799,"&lt;"&amp;((안내!$C$9+308)+7))</f>
        <v>11</v>
      </c>
      <c r="D65" s="23" t="n">
        <f aca="false">SUMIFS(A타입_제작표!$AL$2:$AL$799,A타입_제작표!$U$2:$U$799,"&gt;="&amp;(안내!$C$9+308),A타입_제작표!$U$2:$U$799,"&lt;"&amp;((안내!$C$9+308)+7))</f>
        <v>0</v>
      </c>
      <c r="E65" s="23" t="str">
        <f aca="false">IFERROR(AVERAGEIFS(A타입_제작표!$AM$2:$AM$799,A타입_제작표!$U$2:$U$799,"&gt;="&amp;(안내!$C$9+308),A타입_제작표!$U$2:$U$799,"&lt;"&amp;((안내!$C$9+308)+7)),"-")</f>
        <v>-</v>
      </c>
      <c r="F65" s="23" t="str">
        <f aca="false">IFERROR(AVERAGEIFS(A타입_제작표!$AN$2:$AN$799,A타입_제작표!$U$2:$U$799,"&gt;="&amp;(안내!$C$9+308),A타입_제작표!$U$2:$U$799,"&lt;"&amp;((안내!$C$9+308)+7)),"-")</f>
        <v>-</v>
      </c>
      <c r="G65" s="23" t="n">
        <f aca="false">SUMIFS(A타입_제작표!$AO$2:$AO$799,A타입_제작표!$U$2:$U$799,"&gt;="&amp;(안내!$C$9+308),A타입_제작표!$U$2:$U$799,"&lt;"&amp;((안내!$C$9+308)+7))</f>
        <v>0</v>
      </c>
      <c r="H65" s="23" t="str">
        <f aca="false">IF(ISNUMBER(E65),IF(E65&gt;=$B$5,"달성","미달"),"-")</f>
        <v>-</v>
      </c>
      <c r="I65" s="49"/>
    </row>
    <row r="66" customFormat="false" ht="15" hidden="false" customHeight="false" outlineLevel="0" collapsed="false">
      <c r="A66" s="23" t="n">
        <v>46</v>
      </c>
      <c r="B66" s="26" t="n">
        <f aca="false">(안내!$C$9+315)</f>
        <v>46706</v>
      </c>
      <c r="C66" s="23" t="n">
        <f aca="false">COUNTIFS(A타입_제작표!$U$2:$U$799,"&gt;="&amp;(안내!$C$9+315),A타입_제작표!$U$2:$U$799,"&lt;"&amp;((안내!$C$9+315)+7))</f>
        <v>11</v>
      </c>
      <c r="D66" s="23" t="n">
        <f aca="false">SUMIFS(A타입_제작표!$AL$2:$AL$799,A타입_제작표!$U$2:$U$799,"&gt;="&amp;(안내!$C$9+315),A타입_제작표!$U$2:$U$799,"&lt;"&amp;((안내!$C$9+315)+7))</f>
        <v>0</v>
      </c>
      <c r="E66" s="23" t="str">
        <f aca="false">IFERROR(AVERAGEIFS(A타입_제작표!$AM$2:$AM$799,A타입_제작표!$U$2:$U$799,"&gt;="&amp;(안내!$C$9+315),A타입_제작표!$U$2:$U$799,"&lt;"&amp;((안내!$C$9+315)+7)),"-")</f>
        <v>-</v>
      </c>
      <c r="F66" s="23" t="str">
        <f aca="false">IFERROR(AVERAGEIFS(A타입_제작표!$AN$2:$AN$799,A타입_제작표!$U$2:$U$799,"&gt;="&amp;(안내!$C$9+315),A타입_제작표!$U$2:$U$799,"&lt;"&amp;((안내!$C$9+315)+7)),"-")</f>
        <v>-</v>
      </c>
      <c r="G66" s="23" t="n">
        <f aca="false">SUMIFS(A타입_제작표!$AO$2:$AO$799,A타입_제작표!$U$2:$U$799,"&gt;="&amp;(안내!$C$9+315),A타입_제작표!$U$2:$U$799,"&lt;"&amp;((안내!$C$9+315)+7))</f>
        <v>0</v>
      </c>
      <c r="H66" s="23" t="str">
        <f aca="false">IF(ISNUMBER(E66),IF(E66&gt;=$B$5,"달성","미달"),"-")</f>
        <v>-</v>
      </c>
      <c r="I66" s="49"/>
    </row>
    <row r="67" customFormat="false" ht="15" hidden="false" customHeight="false" outlineLevel="0" collapsed="false">
      <c r="A67" s="23" t="n">
        <v>47</v>
      </c>
      <c r="B67" s="26" t="n">
        <f aca="false">(안내!$C$9+322)</f>
        <v>46713</v>
      </c>
      <c r="C67" s="23" t="n">
        <f aca="false">COUNTIFS(A타입_제작표!$U$2:$U$799,"&gt;="&amp;(안내!$C$9+322),A타입_제작표!$U$2:$U$799,"&lt;"&amp;((안내!$C$9+322)+7))</f>
        <v>11</v>
      </c>
      <c r="D67" s="23" t="n">
        <f aca="false">SUMIFS(A타입_제작표!$AL$2:$AL$799,A타입_제작표!$U$2:$U$799,"&gt;="&amp;(안내!$C$9+322),A타입_제작표!$U$2:$U$799,"&lt;"&amp;((안내!$C$9+322)+7))</f>
        <v>0</v>
      </c>
      <c r="E67" s="23" t="str">
        <f aca="false">IFERROR(AVERAGEIFS(A타입_제작표!$AM$2:$AM$799,A타입_제작표!$U$2:$U$799,"&gt;="&amp;(안내!$C$9+322),A타입_제작표!$U$2:$U$799,"&lt;"&amp;((안내!$C$9+322)+7)),"-")</f>
        <v>-</v>
      </c>
      <c r="F67" s="23" t="str">
        <f aca="false">IFERROR(AVERAGEIFS(A타입_제작표!$AN$2:$AN$799,A타입_제작표!$U$2:$U$799,"&gt;="&amp;(안내!$C$9+322),A타입_제작표!$U$2:$U$799,"&lt;"&amp;((안내!$C$9+322)+7)),"-")</f>
        <v>-</v>
      </c>
      <c r="G67" s="23" t="n">
        <f aca="false">SUMIFS(A타입_제작표!$AO$2:$AO$799,A타입_제작표!$U$2:$U$799,"&gt;="&amp;(안내!$C$9+322),A타입_제작표!$U$2:$U$799,"&lt;"&amp;((안내!$C$9+322)+7))</f>
        <v>0</v>
      </c>
      <c r="H67" s="23" t="str">
        <f aca="false">IF(ISNUMBER(E67),IF(E67&gt;=$B$5,"달성","미달"),"-")</f>
        <v>-</v>
      </c>
      <c r="I67" s="49"/>
    </row>
    <row r="68" customFormat="false" ht="15" hidden="false" customHeight="false" outlineLevel="0" collapsed="false">
      <c r="A68" s="23" t="n">
        <v>48</v>
      </c>
      <c r="B68" s="26" t="n">
        <f aca="false">(안내!$C$9+329)</f>
        <v>46720</v>
      </c>
      <c r="C68" s="23" t="n">
        <f aca="false">COUNTIFS(A타입_제작표!$U$2:$U$799,"&gt;="&amp;(안내!$C$9+329),A타입_제작표!$U$2:$U$799,"&lt;"&amp;((안내!$C$9+329)+7))</f>
        <v>11</v>
      </c>
      <c r="D68" s="23" t="n">
        <f aca="false">SUMIFS(A타입_제작표!$AL$2:$AL$799,A타입_제작표!$U$2:$U$799,"&gt;="&amp;(안내!$C$9+329),A타입_제작표!$U$2:$U$799,"&lt;"&amp;((안내!$C$9+329)+7))</f>
        <v>0</v>
      </c>
      <c r="E68" s="23" t="str">
        <f aca="false">IFERROR(AVERAGEIFS(A타입_제작표!$AM$2:$AM$799,A타입_제작표!$U$2:$U$799,"&gt;="&amp;(안내!$C$9+329),A타입_제작표!$U$2:$U$799,"&lt;"&amp;((안내!$C$9+329)+7)),"-")</f>
        <v>-</v>
      </c>
      <c r="F68" s="23" t="str">
        <f aca="false">IFERROR(AVERAGEIFS(A타입_제작표!$AN$2:$AN$799,A타입_제작표!$U$2:$U$799,"&gt;="&amp;(안내!$C$9+329),A타입_제작표!$U$2:$U$799,"&lt;"&amp;((안내!$C$9+329)+7)),"-")</f>
        <v>-</v>
      </c>
      <c r="G68" s="23" t="n">
        <f aca="false">SUMIFS(A타입_제작표!$AO$2:$AO$799,A타입_제작표!$U$2:$U$799,"&gt;="&amp;(안내!$C$9+329),A타입_제작표!$U$2:$U$799,"&lt;"&amp;((안내!$C$9+329)+7))</f>
        <v>0</v>
      </c>
      <c r="H68" s="23" t="str">
        <f aca="false">IF(ISNUMBER(E68),IF(E68&gt;=$B$5,"달성","미달"),"-")</f>
        <v>-</v>
      </c>
      <c r="I68" s="49"/>
    </row>
    <row r="69" customFormat="false" ht="15" hidden="false" customHeight="false" outlineLevel="0" collapsed="false">
      <c r="A69" s="23" t="n">
        <v>49</v>
      </c>
      <c r="B69" s="26" t="n">
        <f aca="false">(안내!$C$9+336)</f>
        <v>46727</v>
      </c>
      <c r="C69" s="23" t="n">
        <f aca="false">COUNTIFS(A타입_제작표!$U$2:$U$799,"&gt;="&amp;(안내!$C$9+336),A타입_제작표!$U$2:$U$799,"&lt;"&amp;((안내!$C$9+336)+7))</f>
        <v>11</v>
      </c>
      <c r="D69" s="23" t="n">
        <f aca="false">SUMIFS(A타입_제작표!$AL$2:$AL$799,A타입_제작표!$U$2:$U$799,"&gt;="&amp;(안내!$C$9+336),A타입_제작표!$U$2:$U$799,"&lt;"&amp;((안내!$C$9+336)+7))</f>
        <v>0</v>
      </c>
      <c r="E69" s="23" t="str">
        <f aca="false">IFERROR(AVERAGEIFS(A타입_제작표!$AM$2:$AM$799,A타입_제작표!$U$2:$U$799,"&gt;="&amp;(안내!$C$9+336),A타입_제작표!$U$2:$U$799,"&lt;"&amp;((안내!$C$9+336)+7)),"-")</f>
        <v>-</v>
      </c>
      <c r="F69" s="23" t="str">
        <f aca="false">IFERROR(AVERAGEIFS(A타입_제작표!$AN$2:$AN$799,A타입_제작표!$U$2:$U$799,"&gt;="&amp;(안내!$C$9+336),A타입_제작표!$U$2:$U$799,"&lt;"&amp;((안내!$C$9+336)+7)),"-")</f>
        <v>-</v>
      </c>
      <c r="G69" s="23" t="n">
        <f aca="false">SUMIFS(A타입_제작표!$AO$2:$AO$799,A타입_제작표!$U$2:$U$799,"&gt;="&amp;(안내!$C$9+336),A타입_제작표!$U$2:$U$799,"&lt;"&amp;((안내!$C$9+336)+7))</f>
        <v>0</v>
      </c>
      <c r="H69" s="23" t="str">
        <f aca="false">IF(ISNUMBER(E69),IF(E69&gt;=$B$5,"달성","미달"),"-")</f>
        <v>-</v>
      </c>
      <c r="I69" s="49"/>
    </row>
    <row r="70" customFormat="false" ht="15" hidden="false" customHeight="false" outlineLevel="0" collapsed="false">
      <c r="A70" s="23" t="n">
        <v>50</v>
      </c>
      <c r="B70" s="26" t="n">
        <f aca="false">(안내!$C$9+343)</f>
        <v>46734</v>
      </c>
      <c r="C70" s="23" t="n">
        <f aca="false">COUNTIFS(A타입_제작표!$U$2:$U$799,"&gt;="&amp;(안내!$C$9+343),A타입_제작표!$U$2:$U$799,"&lt;"&amp;((안내!$C$9+343)+7))</f>
        <v>11</v>
      </c>
      <c r="D70" s="23" t="n">
        <f aca="false">SUMIFS(A타입_제작표!$AL$2:$AL$799,A타입_제작표!$U$2:$U$799,"&gt;="&amp;(안내!$C$9+343),A타입_제작표!$U$2:$U$799,"&lt;"&amp;((안내!$C$9+343)+7))</f>
        <v>0</v>
      </c>
      <c r="E70" s="23" t="str">
        <f aca="false">IFERROR(AVERAGEIFS(A타입_제작표!$AM$2:$AM$799,A타입_제작표!$U$2:$U$799,"&gt;="&amp;(안내!$C$9+343),A타입_제작표!$U$2:$U$799,"&lt;"&amp;((안내!$C$9+343)+7)),"-")</f>
        <v>-</v>
      </c>
      <c r="F70" s="23" t="str">
        <f aca="false">IFERROR(AVERAGEIFS(A타입_제작표!$AN$2:$AN$799,A타입_제작표!$U$2:$U$799,"&gt;="&amp;(안내!$C$9+343),A타입_제작표!$U$2:$U$799,"&lt;"&amp;((안내!$C$9+343)+7)),"-")</f>
        <v>-</v>
      </c>
      <c r="G70" s="23" t="n">
        <f aca="false">SUMIFS(A타입_제작표!$AO$2:$AO$799,A타입_제작표!$U$2:$U$799,"&gt;="&amp;(안내!$C$9+343),A타입_제작표!$U$2:$U$799,"&lt;"&amp;((안내!$C$9+343)+7))</f>
        <v>0</v>
      </c>
      <c r="H70" s="23" t="str">
        <f aca="false">IF(ISNUMBER(E70),IF(E70&gt;=$B$5,"달성","미달"),"-")</f>
        <v>-</v>
      </c>
      <c r="I70" s="49"/>
    </row>
    <row r="71" customFormat="false" ht="15" hidden="false" customHeight="false" outlineLevel="0" collapsed="false">
      <c r="A71" s="23" t="n">
        <v>51</v>
      </c>
      <c r="B71" s="26" t="n">
        <f aca="false">(안내!$C$9+350)</f>
        <v>46741</v>
      </c>
      <c r="C71" s="23" t="n">
        <f aca="false">COUNTIFS(A타입_제작표!$U$2:$U$799,"&gt;="&amp;(안내!$C$9+350),A타입_제작표!$U$2:$U$799,"&lt;"&amp;((안내!$C$9+350)+7))</f>
        <v>11</v>
      </c>
      <c r="D71" s="23" t="n">
        <f aca="false">SUMIFS(A타입_제작표!$AL$2:$AL$799,A타입_제작표!$U$2:$U$799,"&gt;="&amp;(안내!$C$9+350),A타입_제작표!$U$2:$U$799,"&lt;"&amp;((안내!$C$9+350)+7))</f>
        <v>0</v>
      </c>
      <c r="E71" s="23" t="str">
        <f aca="false">IFERROR(AVERAGEIFS(A타입_제작표!$AM$2:$AM$799,A타입_제작표!$U$2:$U$799,"&gt;="&amp;(안내!$C$9+350),A타입_제작표!$U$2:$U$799,"&lt;"&amp;((안내!$C$9+350)+7)),"-")</f>
        <v>-</v>
      </c>
      <c r="F71" s="23" t="str">
        <f aca="false">IFERROR(AVERAGEIFS(A타입_제작표!$AN$2:$AN$799,A타입_제작표!$U$2:$U$799,"&gt;="&amp;(안내!$C$9+350),A타입_제작표!$U$2:$U$799,"&lt;"&amp;((안내!$C$9+350)+7)),"-")</f>
        <v>-</v>
      </c>
      <c r="G71" s="23" t="n">
        <f aca="false">SUMIFS(A타입_제작표!$AO$2:$AO$799,A타입_제작표!$U$2:$U$799,"&gt;="&amp;(안내!$C$9+350),A타입_제작표!$U$2:$U$799,"&lt;"&amp;((안내!$C$9+350)+7))</f>
        <v>0</v>
      </c>
      <c r="H71" s="23" t="str">
        <f aca="false">IF(ISNUMBER(E71),IF(E71&gt;=$B$5,"달성","미달"),"-")</f>
        <v>-</v>
      </c>
      <c r="I71" s="49"/>
    </row>
    <row r="72" customFormat="false" ht="15" hidden="false" customHeight="false" outlineLevel="0" collapsed="false">
      <c r="A72" s="23" t="n">
        <v>52</v>
      </c>
      <c r="B72" s="26" t="n">
        <f aca="false">(안내!$C$9+357)</f>
        <v>46748</v>
      </c>
      <c r="C72" s="23" t="n">
        <f aca="false">COUNTIFS(A타입_제작표!$U$2:$U$799,"&gt;="&amp;(안내!$C$9+357),A타입_제작표!$U$2:$U$799,"&lt;"&amp;((안내!$C$9+357)+7))</f>
        <v>11</v>
      </c>
      <c r="D72" s="23" t="n">
        <f aca="false">SUMIFS(A타입_제작표!$AL$2:$AL$799,A타입_제작표!$U$2:$U$799,"&gt;="&amp;(안내!$C$9+357),A타입_제작표!$U$2:$U$799,"&lt;"&amp;((안내!$C$9+357)+7))</f>
        <v>0</v>
      </c>
      <c r="E72" s="23" t="str">
        <f aca="false">IFERROR(AVERAGEIFS(A타입_제작표!$AM$2:$AM$799,A타입_제작표!$U$2:$U$799,"&gt;="&amp;(안내!$C$9+357),A타입_제작표!$U$2:$U$799,"&lt;"&amp;((안내!$C$9+357)+7)),"-")</f>
        <v>-</v>
      </c>
      <c r="F72" s="23" t="str">
        <f aca="false">IFERROR(AVERAGEIFS(A타입_제작표!$AN$2:$AN$799,A타입_제작표!$U$2:$U$799,"&gt;="&amp;(안내!$C$9+357),A타입_제작표!$U$2:$U$799,"&lt;"&amp;((안내!$C$9+357)+7)),"-")</f>
        <v>-</v>
      </c>
      <c r="G72" s="23" t="n">
        <f aca="false">SUMIFS(A타입_제작표!$AO$2:$AO$799,A타입_제작표!$U$2:$U$799,"&gt;="&amp;(안내!$C$9+357),A타입_제작표!$U$2:$U$799,"&lt;"&amp;((안내!$C$9+357)+7))</f>
        <v>0</v>
      </c>
      <c r="H72" s="23" t="str">
        <f aca="false">IF(ISNUMBER(E72),IF(E72&gt;=$B$5,"달성","미달"),"-")</f>
        <v>-</v>
      </c>
      <c r="I72" s="49"/>
    </row>
    <row r="73" customFormat="false" ht="15" hidden="false" customHeight="false" outlineLevel="0" collapsed="false">
      <c r="A73" s="23" t="n">
        <v>53</v>
      </c>
      <c r="B73" s="26" t="n">
        <f aca="false">(안내!$C$9+364)</f>
        <v>46755</v>
      </c>
      <c r="C73" s="23" t="n">
        <f aca="false">COUNTIFS(A타입_제작표!$U$2:$U$799,"&gt;="&amp;(안내!$C$9+364),A타입_제작표!$U$2:$U$799,"&lt;"&amp;((안내!$C$9+364)+7))</f>
        <v>11</v>
      </c>
      <c r="D73" s="23" t="n">
        <f aca="false">SUMIFS(A타입_제작표!$AL$2:$AL$799,A타입_제작표!$U$2:$U$799,"&gt;="&amp;(안내!$C$9+364),A타입_제작표!$U$2:$U$799,"&lt;"&amp;((안내!$C$9+364)+7))</f>
        <v>0</v>
      </c>
      <c r="E73" s="23" t="str">
        <f aca="false">IFERROR(AVERAGEIFS(A타입_제작표!$AM$2:$AM$799,A타입_제작표!$U$2:$U$799,"&gt;="&amp;(안내!$C$9+364),A타입_제작표!$U$2:$U$799,"&lt;"&amp;((안내!$C$9+364)+7)),"-")</f>
        <v>-</v>
      </c>
      <c r="F73" s="23" t="str">
        <f aca="false">IFERROR(AVERAGEIFS(A타입_제작표!$AN$2:$AN$799,A타입_제작표!$U$2:$U$799,"&gt;="&amp;(안내!$C$9+364),A타입_제작표!$U$2:$U$799,"&lt;"&amp;((안내!$C$9+364)+7)),"-")</f>
        <v>-</v>
      </c>
      <c r="G73" s="23" t="n">
        <f aca="false">SUMIFS(A타입_제작표!$AO$2:$AO$799,A타입_제작표!$U$2:$U$799,"&gt;="&amp;(안내!$C$9+364),A타입_제작표!$U$2:$U$799,"&lt;"&amp;((안내!$C$9+364)+7))</f>
        <v>0</v>
      </c>
      <c r="H73" s="23" t="str">
        <f aca="false">IF(ISNUMBER(E73),IF(E73&gt;=$B$5,"달성","미달"),"-")</f>
        <v>-</v>
      </c>
      <c r="I73" s="49"/>
    </row>
    <row r="74" customFormat="false" ht="15" hidden="false" customHeight="false" outlineLevel="0" collapsed="false">
      <c r="A74" s="23" t="n">
        <v>54</v>
      </c>
      <c r="B74" s="26" t="n">
        <f aca="false">(안내!$C$9+371)</f>
        <v>46762</v>
      </c>
      <c r="C74" s="23" t="n">
        <f aca="false">COUNTIFS(A타입_제작표!$U$2:$U$799,"&gt;="&amp;(안내!$C$9+371),A타입_제작표!$U$2:$U$799,"&lt;"&amp;((안내!$C$9+371)+7))</f>
        <v>11</v>
      </c>
      <c r="D74" s="23" t="n">
        <f aca="false">SUMIFS(A타입_제작표!$AL$2:$AL$799,A타입_제작표!$U$2:$U$799,"&gt;="&amp;(안내!$C$9+371),A타입_제작표!$U$2:$U$799,"&lt;"&amp;((안내!$C$9+371)+7))</f>
        <v>0</v>
      </c>
      <c r="E74" s="23" t="str">
        <f aca="false">IFERROR(AVERAGEIFS(A타입_제작표!$AM$2:$AM$799,A타입_제작표!$U$2:$U$799,"&gt;="&amp;(안내!$C$9+371),A타입_제작표!$U$2:$U$799,"&lt;"&amp;((안내!$C$9+371)+7)),"-")</f>
        <v>-</v>
      </c>
      <c r="F74" s="23" t="str">
        <f aca="false">IFERROR(AVERAGEIFS(A타입_제작표!$AN$2:$AN$799,A타입_제작표!$U$2:$U$799,"&gt;="&amp;(안내!$C$9+371),A타입_제작표!$U$2:$U$799,"&lt;"&amp;((안내!$C$9+371)+7)),"-")</f>
        <v>-</v>
      </c>
      <c r="G74" s="23" t="n">
        <f aca="false">SUMIFS(A타입_제작표!$AO$2:$AO$799,A타입_제작표!$U$2:$U$799,"&gt;="&amp;(안내!$C$9+371),A타입_제작표!$U$2:$U$799,"&lt;"&amp;((안내!$C$9+371)+7))</f>
        <v>0</v>
      </c>
      <c r="H74" s="23" t="str">
        <f aca="false">IF(ISNUMBER(E74),IF(E74&gt;=$B$5,"달성","미달"),"-")</f>
        <v>-</v>
      </c>
      <c r="I74" s="49"/>
    </row>
    <row r="75" customFormat="false" ht="15" hidden="false" customHeight="false" outlineLevel="0" collapsed="false">
      <c r="A75" s="23" t="n">
        <v>55</v>
      </c>
      <c r="B75" s="26" t="n">
        <f aca="false">(안내!$C$9+378)</f>
        <v>46769</v>
      </c>
      <c r="C75" s="23" t="n">
        <f aca="false">COUNTIFS(A타입_제작표!$U$2:$U$799,"&gt;="&amp;(안내!$C$9+378),A타입_제작표!$U$2:$U$799,"&lt;"&amp;((안내!$C$9+378)+7))</f>
        <v>11</v>
      </c>
      <c r="D75" s="23" t="n">
        <f aca="false">SUMIFS(A타입_제작표!$AL$2:$AL$799,A타입_제작표!$U$2:$U$799,"&gt;="&amp;(안내!$C$9+378),A타입_제작표!$U$2:$U$799,"&lt;"&amp;((안내!$C$9+378)+7))</f>
        <v>0</v>
      </c>
      <c r="E75" s="23" t="str">
        <f aca="false">IFERROR(AVERAGEIFS(A타입_제작표!$AM$2:$AM$799,A타입_제작표!$U$2:$U$799,"&gt;="&amp;(안내!$C$9+378),A타입_제작표!$U$2:$U$799,"&lt;"&amp;((안내!$C$9+378)+7)),"-")</f>
        <v>-</v>
      </c>
      <c r="F75" s="23" t="str">
        <f aca="false">IFERROR(AVERAGEIFS(A타입_제작표!$AN$2:$AN$799,A타입_제작표!$U$2:$U$799,"&gt;="&amp;(안내!$C$9+378),A타입_제작표!$U$2:$U$799,"&lt;"&amp;((안내!$C$9+378)+7)),"-")</f>
        <v>-</v>
      </c>
      <c r="G75" s="23" t="n">
        <f aca="false">SUMIFS(A타입_제작표!$AO$2:$AO$799,A타입_제작표!$U$2:$U$799,"&gt;="&amp;(안내!$C$9+378),A타입_제작표!$U$2:$U$799,"&lt;"&amp;((안내!$C$9+378)+7))</f>
        <v>0</v>
      </c>
      <c r="H75" s="23" t="str">
        <f aca="false">IF(ISNUMBER(E75),IF(E75&gt;=$B$5,"달성","미달"),"-")</f>
        <v>-</v>
      </c>
      <c r="I75" s="49"/>
    </row>
    <row r="76" customFormat="false" ht="15" hidden="false" customHeight="false" outlineLevel="0" collapsed="false">
      <c r="A76" s="23" t="n">
        <v>56</v>
      </c>
      <c r="B76" s="26" t="n">
        <f aca="false">(안내!$C$9+385)</f>
        <v>46776</v>
      </c>
      <c r="C76" s="23" t="n">
        <f aca="false">COUNTIFS(A타입_제작표!$U$2:$U$799,"&gt;="&amp;(안내!$C$9+385),A타입_제작표!$U$2:$U$799,"&lt;"&amp;((안내!$C$9+385)+7))</f>
        <v>11</v>
      </c>
      <c r="D76" s="23" t="n">
        <f aca="false">SUMIFS(A타입_제작표!$AL$2:$AL$799,A타입_제작표!$U$2:$U$799,"&gt;="&amp;(안내!$C$9+385),A타입_제작표!$U$2:$U$799,"&lt;"&amp;((안내!$C$9+385)+7))</f>
        <v>0</v>
      </c>
      <c r="E76" s="23" t="str">
        <f aca="false">IFERROR(AVERAGEIFS(A타입_제작표!$AM$2:$AM$799,A타입_제작표!$U$2:$U$799,"&gt;="&amp;(안내!$C$9+385),A타입_제작표!$U$2:$U$799,"&lt;"&amp;((안내!$C$9+385)+7)),"-")</f>
        <v>-</v>
      </c>
      <c r="F76" s="23" t="str">
        <f aca="false">IFERROR(AVERAGEIFS(A타입_제작표!$AN$2:$AN$799,A타입_제작표!$U$2:$U$799,"&gt;="&amp;(안내!$C$9+385),A타입_제작표!$U$2:$U$799,"&lt;"&amp;((안내!$C$9+385)+7)),"-")</f>
        <v>-</v>
      </c>
      <c r="G76" s="23" t="n">
        <f aca="false">SUMIFS(A타입_제작표!$AO$2:$AO$799,A타입_제작표!$U$2:$U$799,"&gt;="&amp;(안내!$C$9+385),A타입_제작표!$U$2:$U$799,"&lt;"&amp;((안내!$C$9+385)+7))</f>
        <v>0</v>
      </c>
      <c r="H76" s="23" t="str">
        <f aca="false">IF(ISNUMBER(E76),IF(E76&gt;=$B$5,"달성","미달"),"-")</f>
        <v>-</v>
      </c>
      <c r="I76" s="49"/>
    </row>
    <row r="77" customFormat="false" ht="15" hidden="false" customHeight="false" outlineLevel="0" collapsed="false">
      <c r="A77" s="23" t="n">
        <v>57</v>
      </c>
      <c r="B77" s="26" t="n">
        <f aca="false">(안내!$C$9+392)</f>
        <v>46783</v>
      </c>
      <c r="C77" s="23" t="n">
        <f aca="false">COUNTIFS(A타입_제작표!$U$2:$U$799,"&gt;="&amp;(안내!$C$9+392),A타입_제작표!$U$2:$U$799,"&lt;"&amp;((안내!$C$9+392)+7))</f>
        <v>11</v>
      </c>
      <c r="D77" s="23" t="n">
        <f aca="false">SUMIFS(A타입_제작표!$AL$2:$AL$799,A타입_제작표!$U$2:$U$799,"&gt;="&amp;(안내!$C$9+392),A타입_제작표!$U$2:$U$799,"&lt;"&amp;((안내!$C$9+392)+7))</f>
        <v>0</v>
      </c>
      <c r="E77" s="23" t="str">
        <f aca="false">IFERROR(AVERAGEIFS(A타입_제작표!$AM$2:$AM$799,A타입_제작표!$U$2:$U$799,"&gt;="&amp;(안내!$C$9+392),A타입_제작표!$U$2:$U$799,"&lt;"&amp;((안내!$C$9+392)+7)),"-")</f>
        <v>-</v>
      </c>
      <c r="F77" s="23" t="str">
        <f aca="false">IFERROR(AVERAGEIFS(A타입_제작표!$AN$2:$AN$799,A타입_제작표!$U$2:$U$799,"&gt;="&amp;(안내!$C$9+392),A타입_제작표!$U$2:$U$799,"&lt;"&amp;((안내!$C$9+392)+7)),"-")</f>
        <v>-</v>
      </c>
      <c r="G77" s="23" t="n">
        <f aca="false">SUMIFS(A타입_제작표!$AO$2:$AO$799,A타입_제작표!$U$2:$U$799,"&gt;="&amp;(안내!$C$9+392),A타입_제작표!$U$2:$U$799,"&lt;"&amp;((안내!$C$9+392)+7))</f>
        <v>0</v>
      </c>
      <c r="H77" s="23" t="str">
        <f aca="false">IF(ISNUMBER(E77),IF(E77&gt;=$B$5,"달성","미달"),"-")</f>
        <v>-</v>
      </c>
      <c r="I77" s="49"/>
    </row>
    <row r="78" customFormat="false" ht="15" hidden="false" customHeight="false" outlineLevel="0" collapsed="false">
      <c r="A78" s="23" t="n">
        <v>58</v>
      </c>
      <c r="B78" s="26" t="n">
        <f aca="false">(안내!$C$9+399)</f>
        <v>46790</v>
      </c>
      <c r="C78" s="23" t="n">
        <f aca="false">COUNTIFS(A타입_제작표!$U$2:$U$799,"&gt;="&amp;(안내!$C$9+399),A타입_제작표!$U$2:$U$799,"&lt;"&amp;((안내!$C$9+399)+7))</f>
        <v>11</v>
      </c>
      <c r="D78" s="23" t="n">
        <f aca="false">SUMIFS(A타입_제작표!$AL$2:$AL$799,A타입_제작표!$U$2:$U$799,"&gt;="&amp;(안내!$C$9+399),A타입_제작표!$U$2:$U$799,"&lt;"&amp;((안내!$C$9+399)+7))</f>
        <v>0</v>
      </c>
      <c r="E78" s="23" t="str">
        <f aca="false">IFERROR(AVERAGEIFS(A타입_제작표!$AM$2:$AM$799,A타입_제작표!$U$2:$U$799,"&gt;="&amp;(안내!$C$9+399),A타입_제작표!$U$2:$U$799,"&lt;"&amp;((안내!$C$9+399)+7)),"-")</f>
        <v>-</v>
      </c>
      <c r="F78" s="23" t="str">
        <f aca="false">IFERROR(AVERAGEIFS(A타입_제작표!$AN$2:$AN$799,A타입_제작표!$U$2:$U$799,"&gt;="&amp;(안내!$C$9+399),A타입_제작표!$U$2:$U$799,"&lt;"&amp;((안내!$C$9+399)+7)),"-")</f>
        <v>-</v>
      </c>
      <c r="G78" s="23" t="n">
        <f aca="false">SUMIFS(A타입_제작표!$AO$2:$AO$799,A타입_제작표!$U$2:$U$799,"&gt;="&amp;(안내!$C$9+399),A타입_제작표!$U$2:$U$799,"&lt;"&amp;((안내!$C$9+399)+7))</f>
        <v>0</v>
      </c>
      <c r="H78" s="23" t="str">
        <f aca="false">IF(ISNUMBER(E78),IF(E78&gt;=$B$5,"달성","미달"),"-")</f>
        <v>-</v>
      </c>
      <c r="I78" s="49"/>
    </row>
    <row r="79" customFormat="false" ht="15" hidden="false" customHeight="false" outlineLevel="0" collapsed="false">
      <c r="A79" s="23" t="n">
        <v>59</v>
      </c>
      <c r="B79" s="26" t="n">
        <f aca="false">(안내!$C$9+406)</f>
        <v>46797</v>
      </c>
      <c r="C79" s="23" t="n">
        <f aca="false">COUNTIFS(A타입_제작표!$U$2:$U$799,"&gt;="&amp;(안내!$C$9+406),A타입_제작표!$U$2:$U$799,"&lt;"&amp;((안내!$C$9+406)+7))</f>
        <v>11</v>
      </c>
      <c r="D79" s="23" t="n">
        <f aca="false">SUMIFS(A타입_제작표!$AL$2:$AL$799,A타입_제작표!$U$2:$U$799,"&gt;="&amp;(안내!$C$9+406),A타입_제작표!$U$2:$U$799,"&lt;"&amp;((안내!$C$9+406)+7))</f>
        <v>0</v>
      </c>
      <c r="E79" s="23" t="str">
        <f aca="false">IFERROR(AVERAGEIFS(A타입_제작표!$AM$2:$AM$799,A타입_제작표!$U$2:$U$799,"&gt;="&amp;(안내!$C$9+406),A타입_제작표!$U$2:$U$799,"&lt;"&amp;((안내!$C$9+406)+7)),"-")</f>
        <v>-</v>
      </c>
      <c r="F79" s="23" t="str">
        <f aca="false">IFERROR(AVERAGEIFS(A타입_제작표!$AN$2:$AN$799,A타입_제작표!$U$2:$U$799,"&gt;="&amp;(안내!$C$9+406),A타입_제작표!$U$2:$U$799,"&lt;"&amp;((안내!$C$9+406)+7)),"-")</f>
        <v>-</v>
      </c>
      <c r="G79" s="23" t="n">
        <f aca="false">SUMIFS(A타입_제작표!$AO$2:$AO$799,A타입_제작표!$U$2:$U$799,"&gt;="&amp;(안내!$C$9+406),A타입_제작표!$U$2:$U$799,"&lt;"&amp;((안내!$C$9+406)+7))</f>
        <v>0</v>
      </c>
      <c r="H79" s="23" t="str">
        <f aca="false">IF(ISNUMBER(E79),IF(E79&gt;=$B$5,"달성","미달"),"-")</f>
        <v>-</v>
      </c>
      <c r="I79" s="49"/>
    </row>
    <row r="80" customFormat="false" ht="15" hidden="false" customHeight="false" outlineLevel="0" collapsed="false">
      <c r="A80" s="23" t="n">
        <v>60</v>
      </c>
      <c r="B80" s="26" t="n">
        <f aca="false">(안내!$C$9+413)</f>
        <v>46804</v>
      </c>
      <c r="C80" s="23" t="n">
        <f aca="false">COUNTIFS(A타입_제작표!$U$2:$U$799,"&gt;="&amp;(안내!$C$9+413),A타입_제작표!$U$2:$U$799,"&lt;"&amp;((안내!$C$9+413)+7))</f>
        <v>11</v>
      </c>
      <c r="D80" s="23" t="n">
        <f aca="false">SUMIFS(A타입_제작표!$AL$2:$AL$799,A타입_제작표!$U$2:$U$799,"&gt;="&amp;(안내!$C$9+413),A타입_제작표!$U$2:$U$799,"&lt;"&amp;((안내!$C$9+413)+7))</f>
        <v>0</v>
      </c>
      <c r="E80" s="23" t="str">
        <f aca="false">IFERROR(AVERAGEIFS(A타입_제작표!$AM$2:$AM$799,A타입_제작표!$U$2:$U$799,"&gt;="&amp;(안내!$C$9+413),A타입_제작표!$U$2:$U$799,"&lt;"&amp;((안내!$C$9+413)+7)),"-")</f>
        <v>-</v>
      </c>
      <c r="F80" s="23" t="str">
        <f aca="false">IFERROR(AVERAGEIFS(A타입_제작표!$AN$2:$AN$799,A타입_제작표!$U$2:$U$799,"&gt;="&amp;(안내!$C$9+413),A타입_제작표!$U$2:$U$799,"&lt;"&amp;((안내!$C$9+413)+7)),"-")</f>
        <v>-</v>
      </c>
      <c r="G80" s="23" t="n">
        <f aca="false">SUMIFS(A타입_제작표!$AO$2:$AO$799,A타입_제작표!$U$2:$U$799,"&gt;="&amp;(안내!$C$9+413),A타입_제작표!$U$2:$U$799,"&lt;"&amp;((안내!$C$9+413)+7))</f>
        <v>0</v>
      </c>
      <c r="H80" s="23" t="str">
        <f aca="false">IF(ISNUMBER(E80),IF(E80&gt;=$B$5,"달성","미달"),"-")</f>
        <v>-</v>
      </c>
      <c r="I80" s="49"/>
    </row>
    <row r="81" customFormat="false" ht="15" hidden="false" customHeight="false" outlineLevel="0" collapsed="false">
      <c r="A81" s="23" t="n">
        <v>61</v>
      </c>
      <c r="B81" s="26" t="n">
        <f aca="false">(안내!$C$9+420)</f>
        <v>46811</v>
      </c>
      <c r="C81" s="23" t="n">
        <f aca="false">COUNTIFS(A타입_제작표!$U$2:$U$799,"&gt;="&amp;(안내!$C$9+420),A타입_제작표!$U$2:$U$799,"&lt;"&amp;((안내!$C$9+420)+7))</f>
        <v>11</v>
      </c>
      <c r="D81" s="23" t="n">
        <f aca="false">SUMIFS(A타입_제작표!$AL$2:$AL$799,A타입_제작표!$U$2:$U$799,"&gt;="&amp;(안내!$C$9+420),A타입_제작표!$U$2:$U$799,"&lt;"&amp;((안내!$C$9+420)+7))</f>
        <v>0</v>
      </c>
      <c r="E81" s="23" t="str">
        <f aca="false">IFERROR(AVERAGEIFS(A타입_제작표!$AM$2:$AM$799,A타입_제작표!$U$2:$U$799,"&gt;="&amp;(안내!$C$9+420),A타입_제작표!$U$2:$U$799,"&lt;"&amp;((안내!$C$9+420)+7)),"-")</f>
        <v>-</v>
      </c>
      <c r="F81" s="23" t="str">
        <f aca="false">IFERROR(AVERAGEIFS(A타입_제작표!$AN$2:$AN$799,A타입_제작표!$U$2:$U$799,"&gt;="&amp;(안내!$C$9+420),A타입_제작표!$U$2:$U$799,"&lt;"&amp;((안내!$C$9+420)+7)),"-")</f>
        <v>-</v>
      </c>
      <c r="G81" s="23" t="n">
        <f aca="false">SUMIFS(A타입_제작표!$AO$2:$AO$799,A타입_제작표!$U$2:$U$799,"&gt;="&amp;(안내!$C$9+420),A타입_제작표!$U$2:$U$799,"&lt;"&amp;((안내!$C$9+420)+7))</f>
        <v>0</v>
      </c>
      <c r="H81" s="23" t="str">
        <f aca="false">IF(ISNUMBER(E81),IF(E81&gt;=$B$5,"달성","미달"),"-")</f>
        <v>-</v>
      </c>
      <c r="I81" s="49"/>
    </row>
    <row r="82" customFormat="false" ht="15" hidden="false" customHeight="false" outlineLevel="0" collapsed="false">
      <c r="A82" s="23" t="n">
        <v>62</v>
      </c>
      <c r="B82" s="26" t="n">
        <f aca="false">(안내!$C$9+427)</f>
        <v>46818</v>
      </c>
      <c r="C82" s="23" t="n">
        <f aca="false">COUNTIFS(A타입_제작표!$U$2:$U$799,"&gt;="&amp;(안내!$C$9+427),A타입_제작표!$U$2:$U$799,"&lt;"&amp;((안내!$C$9+427)+7))</f>
        <v>11</v>
      </c>
      <c r="D82" s="23" t="n">
        <f aca="false">SUMIFS(A타입_제작표!$AL$2:$AL$799,A타입_제작표!$U$2:$U$799,"&gt;="&amp;(안내!$C$9+427),A타입_제작표!$U$2:$U$799,"&lt;"&amp;((안내!$C$9+427)+7))</f>
        <v>0</v>
      </c>
      <c r="E82" s="23" t="str">
        <f aca="false">IFERROR(AVERAGEIFS(A타입_제작표!$AM$2:$AM$799,A타입_제작표!$U$2:$U$799,"&gt;="&amp;(안내!$C$9+427),A타입_제작표!$U$2:$U$799,"&lt;"&amp;((안내!$C$9+427)+7)),"-")</f>
        <v>-</v>
      </c>
      <c r="F82" s="23" t="str">
        <f aca="false">IFERROR(AVERAGEIFS(A타입_제작표!$AN$2:$AN$799,A타입_제작표!$U$2:$U$799,"&gt;="&amp;(안내!$C$9+427),A타입_제작표!$U$2:$U$799,"&lt;"&amp;((안내!$C$9+427)+7)),"-")</f>
        <v>-</v>
      </c>
      <c r="G82" s="23" t="n">
        <f aca="false">SUMIFS(A타입_제작표!$AO$2:$AO$799,A타입_제작표!$U$2:$U$799,"&gt;="&amp;(안내!$C$9+427),A타입_제작표!$U$2:$U$799,"&lt;"&amp;((안내!$C$9+427)+7))</f>
        <v>0</v>
      </c>
      <c r="H82" s="23" t="str">
        <f aca="false">IF(ISNUMBER(E82),IF(E82&gt;=$B$5,"달성","미달"),"-")</f>
        <v>-</v>
      </c>
      <c r="I82" s="49"/>
    </row>
    <row r="83" customFormat="false" ht="15" hidden="false" customHeight="false" outlineLevel="0" collapsed="false">
      <c r="A83" s="23" t="n">
        <v>63</v>
      </c>
      <c r="B83" s="26" t="n">
        <f aca="false">(안내!$C$9+434)</f>
        <v>46825</v>
      </c>
      <c r="C83" s="23" t="n">
        <f aca="false">COUNTIFS(A타입_제작표!$U$2:$U$799,"&gt;="&amp;(안내!$C$9+434),A타입_제작표!$U$2:$U$799,"&lt;"&amp;((안내!$C$9+434)+7))</f>
        <v>11</v>
      </c>
      <c r="D83" s="23" t="n">
        <f aca="false">SUMIFS(A타입_제작표!$AL$2:$AL$799,A타입_제작표!$U$2:$U$799,"&gt;="&amp;(안내!$C$9+434),A타입_제작표!$U$2:$U$799,"&lt;"&amp;((안내!$C$9+434)+7))</f>
        <v>0</v>
      </c>
      <c r="E83" s="23" t="str">
        <f aca="false">IFERROR(AVERAGEIFS(A타입_제작표!$AM$2:$AM$799,A타입_제작표!$U$2:$U$799,"&gt;="&amp;(안내!$C$9+434),A타입_제작표!$U$2:$U$799,"&lt;"&amp;((안내!$C$9+434)+7)),"-")</f>
        <v>-</v>
      </c>
      <c r="F83" s="23" t="str">
        <f aca="false">IFERROR(AVERAGEIFS(A타입_제작표!$AN$2:$AN$799,A타입_제작표!$U$2:$U$799,"&gt;="&amp;(안내!$C$9+434),A타입_제작표!$U$2:$U$799,"&lt;"&amp;((안내!$C$9+434)+7)),"-")</f>
        <v>-</v>
      </c>
      <c r="G83" s="23" t="n">
        <f aca="false">SUMIFS(A타입_제작표!$AO$2:$AO$799,A타입_제작표!$U$2:$U$799,"&gt;="&amp;(안내!$C$9+434),A타입_제작표!$U$2:$U$799,"&lt;"&amp;((안내!$C$9+434)+7))</f>
        <v>0</v>
      </c>
      <c r="H83" s="23" t="str">
        <f aca="false">IF(ISNUMBER(E83),IF(E83&gt;=$B$5,"달성","미달"),"-")</f>
        <v>-</v>
      </c>
      <c r="I83" s="49"/>
    </row>
    <row r="84" customFormat="false" ht="15" hidden="false" customHeight="false" outlineLevel="0" collapsed="false">
      <c r="A84" s="23" t="n">
        <v>64</v>
      </c>
      <c r="B84" s="26" t="n">
        <f aca="false">(안내!$C$9+441)</f>
        <v>46832</v>
      </c>
      <c r="C84" s="23" t="n">
        <f aca="false">COUNTIFS(A타입_제작표!$U$2:$U$799,"&gt;="&amp;(안내!$C$9+441),A타입_제작표!$U$2:$U$799,"&lt;"&amp;((안내!$C$9+441)+7))</f>
        <v>11</v>
      </c>
      <c r="D84" s="23" t="n">
        <f aca="false">SUMIFS(A타입_제작표!$AL$2:$AL$799,A타입_제작표!$U$2:$U$799,"&gt;="&amp;(안내!$C$9+441),A타입_제작표!$U$2:$U$799,"&lt;"&amp;((안내!$C$9+441)+7))</f>
        <v>0</v>
      </c>
      <c r="E84" s="23" t="str">
        <f aca="false">IFERROR(AVERAGEIFS(A타입_제작표!$AM$2:$AM$799,A타입_제작표!$U$2:$U$799,"&gt;="&amp;(안내!$C$9+441),A타입_제작표!$U$2:$U$799,"&lt;"&amp;((안내!$C$9+441)+7)),"-")</f>
        <v>-</v>
      </c>
      <c r="F84" s="23" t="str">
        <f aca="false">IFERROR(AVERAGEIFS(A타입_제작표!$AN$2:$AN$799,A타입_제작표!$U$2:$U$799,"&gt;="&amp;(안내!$C$9+441),A타입_제작표!$U$2:$U$799,"&lt;"&amp;((안내!$C$9+441)+7)),"-")</f>
        <v>-</v>
      </c>
      <c r="G84" s="23" t="n">
        <f aca="false">SUMIFS(A타입_제작표!$AO$2:$AO$799,A타입_제작표!$U$2:$U$799,"&gt;="&amp;(안내!$C$9+441),A타입_제작표!$U$2:$U$799,"&lt;"&amp;((안내!$C$9+441)+7))</f>
        <v>0</v>
      </c>
      <c r="H84" s="23" t="str">
        <f aca="false">IF(ISNUMBER(E84),IF(E84&gt;=$B$5,"달성","미달"),"-")</f>
        <v>-</v>
      </c>
      <c r="I84" s="49"/>
    </row>
    <row r="85" customFormat="false" ht="15" hidden="false" customHeight="false" outlineLevel="0" collapsed="false">
      <c r="A85" s="23" t="n">
        <v>65</v>
      </c>
      <c r="B85" s="26" t="n">
        <f aca="false">(안내!$C$9+448)</f>
        <v>46839</v>
      </c>
      <c r="C85" s="23" t="n">
        <f aca="false">COUNTIFS(A타입_제작표!$U$2:$U$799,"&gt;="&amp;(안내!$C$9+448),A타입_제작표!$U$2:$U$799,"&lt;"&amp;((안내!$C$9+448)+7))</f>
        <v>11</v>
      </c>
      <c r="D85" s="23" t="n">
        <f aca="false">SUMIFS(A타입_제작표!$AL$2:$AL$799,A타입_제작표!$U$2:$U$799,"&gt;="&amp;(안내!$C$9+448),A타입_제작표!$U$2:$U$799,"&lt;"&amp;((안내!$C$9+448)+7))</f>
        <v>0</v>
      </c>
      <c r="E85" s="23" t="str">
        <f aca="false">IFERROR(AVERAGEIFS(A타입_제작표!$AM$2:$AM$799,A타입_제작표!$U$2:$U$799,"&gt;="&amp;(안내!$C$9+448),A타입_제작표!$U$2:$U$799,"&lt;"&amp;((안내!$C$9+448)+7)),"-")</f>
        <v>-</v>
      </c>
      <c r="F85" s="23" t="str">
        <f aca="false">IFERROR(AVERAGEIFS(A타입_제작표!$AN$2:$AN$799,A타입_제작표!$U$2:$U$799,"&gt;="&amp;(안내!$C$9+448),A타입_제작표!$U$2:$U$799,"&lt;"&amp;((안내!$C$9+448)+7)),"-")</f>
        <v>-</v>
      </c>
      <c r="G85" s="23" t="n">
        <f aca="false">SUMIFS(A타입_제작표!$AO$2:$AO$799,A타입_제작표!$U$2:$U$799,"&gt;="&amp;(안내!$C$9+448),A타입_제작표!$U$2:$U$799,"&lt;"&amp;((안내!$C$9+448)+7))</f>
        <v>0</v>
      </c>
      <c r="H85" s="23" t="str">
        <f aca="false">IF(ISNUMBER(E85),IF(E85&gt;=$B$5,"달성","미달"),"-")</f>
        <v>-</v>
      </c>
      <c r="I85" s="49"/>
    </row>
    <row r="86" customFormat="false" ht="15" hidden="false" customHeight="false" outlineLevel="0" collapsed="false">
      <c r="A86" s="23" t="n">
        <v>66</v>
      </c>
      <c r="B86" s="26" t="n">
        <f aca="false">(안내!$C$9+455)</f>
        <v>46846</v>
      </c>
      <c r="C86" s="23" t="n">
        <f aca="false">COUNTIFS(A타입_제작표!$U$2:$U$799,"&gt;="&amp;(안내!$C$9+455),A타입_제작표!$U$2:$U$799,"&lt;"&amp;((안내!$C$9+455)+7))</f>
        <v>11</v>
      </c>
      <c r="D86" s="23" t="n">
        <f aca="false">SUMIFS(A타입_제작표!$AL$2:$AL$799,A타입_제작표!$U$2:$U$799,"&gt;="&amp;(안내!$C$9+455),A타입_제작표!$U$2:$U$799,"&lt;"&amp;((안내!$C$9+455)+7))</f>
        <v>0</v>
      </c>
      <c r="E86" s="23" t="str">
        <f aca="false">IFERROR(AVERAGEIFS(A타입_제작표!$AM$2:$AM$799,A타입_제작표!$U$2:$U$799,"&gt;="&amp;(안내!$C$9+455),A타입_제작표!$U$2:$U$799,"&lt;"&amp;((안내!$C$9+455)+7)),"-")</f>
        <v>-</v>
      </c>
      <c r="F86" s="23" t="str">
        <f aca="false">IFERROR(AVERAGEIFS(A타입_제작표!$AN$2:$AN$799,A타입_제작표!$U$2:$U$799,"&gt;="&amp;(안내!$C$9+455),A타입_제작표!$U$2:$U$799,"&lt;"&amp;((안내!$C$9+455)+7)),"-")</f>
        <v>-</v>
      </c>
      <c r="G86" s="23" t="n">
        <f aca="false">SUMIFS(A타입_제작표!$AO$2:$AO$799,A타입_제작표!$U$2:$U$799,"&gt;="&amp;(안내!$C$9+455),A타입_제작표!$U$2:$U$799,"&lt;"&amp;((안내!$C$9+455)+7))</f>
        <v>0</v>
      </c>
      <c r="H86" s="23" t="str">
        <f aca="false">IF(ISNUMBER(E86),IF(E86&gt;=$B$5,"달성","미달"),"-")</f>
        <v>-</v>
      </c>
      <c r="I86" s="49"/>
    </row>
    <row r="87" customFormat="false" ht="15" hidden="false" customHeight="false" outlineLevel="0" collapsed="false">
      <c r="A87" s="23" t="n">
        <v>67</v>
      </c>
      <c r="B87" s="26" t="n">
        <f aca="false">(안내!$C$9+462)</f>
        <v>46853</v>
      </c>
      <c r="C87" s="23" t="n">
        <f aca="false">COUNTIFS(A타입_제작표!$U$2:$U$799,"&gt;="&amp;(안내!$C$9+462),A타입_제작표!$U$2:$U$799,"&lt;"&amp;((안내!$C$9+462)+7))</f>
        <v>11</v>
      </c>
      <c r="D87" s="23" t="n">
        <f aca="false">SUMIFS(A타입_제작표!$AL$2:$AL$799,A타입_제작표!$U$2:$U$799,"&gt;="&amp;(안내!$C$9+462),A타입_제작표!$U$2:$U$799,"&lt;"&amp;((안내!$C$9+462)+7))</f>
        <v>0</v>
      </c>
      <c r="E87" s="23" t="str">
        <f aca="false">IFERROR(AVERAGEIFS(A타입_제작표!$AM$2:$AM$799,A타입_제작표!$U$2:$U$799,"&gt;="&amp;(안내!$C$9+462),A타입_제작표!$U$2:$U$799,"&lt;"&amp;((안내!$C$9+462)+7)),"-")</f>
        <v>-</v>
      </c>
      <c r="F87" s="23" t="str">
        <f aca="false">IFERROR(AVERAGEIFS(A타입_제작표!$AN$2:$AN$799,A타입_제작표!$U$2:$U$799,"&gt;="&amp;(안내!$C$9+462),A타입_제작표!$U$2:$U$799,"&lt;"&amp;((안내!$C$9+462)+7)),"-")</f>
        <v>-</v>
      </c>
      <c r="G87" s="23" t="n">
        <f aca="false">SUMIFS(A타입_제작표!$AO$2:$AO$799,A타입_제작표!$U$2:$U$799,"&gt;="&amp;(안내!$C$9+462),A타입_제작표!$U$2:$U$799,"&lt;"&amp;((안내!$C$9+462)+7))</f>
        <v>0</v>
      </c>
      <c r="H87" s="23" t="str">
        <f aca="false">IF(ISNUMBER(E87),IF(E87&gt;=$B$5,"달성","미달"),"-")</f>
        <v>-</v>
      </c>
      <c r="I87" s="49"/>
    </row>
    <row r="88" customFormat="false" ht="15" hidden="false" customHeight="false" outlineLevel="0" collapsed="false">
      <c r="A88" s="23" t="n">
        <v>68</v>
      </c>
      <c r="B88" s="26" t="n">
        <f aca="false">(안내!$C$9+469)</f>
        <v>46860</v>
      </c>
      <c r="C88" s="23" t="n">
        <f aca="false">COUNTIFS(A타입_제작표!$U$2:$U$799,"&gt;="&amp;(안내!$C$9+469),A타입_제작표!$U$2:$U$799,"&lt;"&amp;((안내!$C$9+469)+7))</f>
        <v>11</v>
      </c>
      <c r="D88" s="23" t="n">
        <f aca="false">SUMIFS(A타입_제작표!$AL$2:$AL$799,A타입_제작표!$U$2:$U$799,"&gt;="&amp;(안내!$C$9+469),A타입_제작표!$U$2:$U$799,"&lt;"&amp;((안내!$C$9+469)+7))</f>
        <v>0</v>
      </c>
      <c r="E88" s="23" t="str">
        <f aca="false">IFERROR(AVERAGEIFS(A타입_제작표!$AM$2:$AM$799,A타입_제작표!$U$2:$U$799,"&gt;="&amp;(안내!$C$9+469),A타입_제작표!$U$2:$U$799,"&lt;"&amp;((안내!$C$9+469)+7)),"-")</f>
        <v>-</v>
      </c>
      <c r="F88" s="23" t="str">
        <f aca="false">IFERROR(AVERAGEIFS(A타입_제작표!$AN$2:$AN$799,A타입_제작표!$U$2:$U$799,"&gt;="&amp;(안내!$C$9+469),A타입_제작표!$U$2:$U$799,"&lt;"&amp;((안내!$C$9+469)+7)),"-")</f>
        <v>-</v>
      </c>
      <c r="G88" s="23" t="n">
        <f aca="false">SUMIFS(A타입_제작표!$AO$2:$AO$799,A타입_제작표!$U$2:$U$799,"&gt;="&amp;(안내!$C$9+469),A타입_제작표!$U$2:$U$799,"&lt;"&amp;((안내!$C$9+469)+7))</f>
        <v>0</v>
      </c>
      <c r="H88" s="23" t="str">
        <f aca="false">IF(ISNUMBER(E88),IF(E88&gt;=$B$5,"달성","미달"),"-")</f>
        <v>-</v>
      </c>
      <c r="I88" s="49"/>
    </row>
    <row r="89" customFormat="false" ht="15" hidden="false" customHeight="false" outlineLevel="0" collapsed="false">
      <c r="A89" s="23" t="n">
        <v>69</v>
      </c>
      <c r="B89" s="26" t="n">
        <f aca="false">(안내!$C$9+476)</f>
        <v>46867</v>
      </c>
      <c r="C89" s="23" t="n">
        <f aca="false">COUNTIFS(A타입_제작표!$U$2:$U$799,"&gt;="&amp;(안내!$C$9+476),A타입_제작표!$U$2:$U$799,"&lt;"&amp;((안내!$C$9+476)+7))</f>
        <v>11</v>
      </c>
      <c r="D89" s="23" t="n">
        <f aca="false">SUMIFS(A타입_제작표!$AL$2:$AL$799,A타입_제작표!$U$2:$U$799,"&gt;="&amp;(안내!$C$9+476),A타입_제작표!$U$2:$U$799,"&lt;"&amp;((안내!$C$9+476)+7))</f>
        <v>0</v>
      </c>
      <c r="E89" s="23" t="str">
        <f aca="false">IFERROR(AVERAGEIFS(A타입_제작표!$AM$2:$AM$799,A타입_제작표!$U$2:$U$799,"&gt;="&amp;(안내!$C$9+476),A타입_제작표!$U$2:$U$799,"&lt;"&amp;((안내!$C$9+476)+7)),"-")</f>
        <v>-</v>
      </c>
      <c r="F89" s="23" t="str">
        <f aca="false">IFERROR(AVERAGEIFS(A타입_제작표!$AN$2:$AN$799,A타입_제작표!$U$2:$U$799,"&gt;="&amp;(안내!$C$9+476),A타입_제작표!$U$2:$U$799,"&lt;"&amp;((안내!$C$9+476)+7)),"-")</f>
        <v>-</v>
      </c>
      <c r="G89" s="23" t="n">
        <f aca="false">SUMIFS(A타입_제작표!$AO$2:$AO$799,A타입_제작표!$U$2:$U$799,"&gt;="&amp;(안내!$C$9+476),A타입_제작표!$U$2:$U$799,"&lt;"&amp;((안내!$C$9+476)+7))</f>
        <v>0</v>
      </c>
      <c r="H89" s="23" t="str">
        <f aca="false">IF(ISNUMBER(E89),IF(E89&gt;=$B$5,"달성","미달"),"-")</f>
        <v>-</v>
      </c>
      <c r="I89" s="49"/>
    </row>
    <row r="90" customFormat="false" ht="15" hidden="false" customHeight="false" outlineLevel="0" collapsed="false">
      <c r="A90" s="23" t="n">
        <v>70</v>
      </c>
      <c r="B90" s="26" t="n">
        <f aca="false">(안내!$C$9+483)</f>
        <v>46874</v>
      </c>
      <c r="C90" s="23" t="n">
        <f aca="false">COUNTIFS(A타입_제작표!$U$2:$U$799,"&gt;="&amp;(안내!$C$9+483),A타입_제작표!$U$2:$U$799,"&lt;"&amp;((안내!$C$9+483)+7))</f>
        <v>11</v>
      </c>
      <c r="D90" s="23" t="n">
        <f aca="false">SUMIFS(A타입_제작표!$AL$2:$AL$799,A타입_제작표!$U$2:$U$799,"&gt;="&amp;(안내!$C$9+483),A타입_제작표!$U$2:$U$799,"&lt;"&amp;((안내!$C$9+483)+7))</f>
        <v>0</v>
      </c>
      <c r="E90" s="23" t="str">
        <f aca="false">IFERROR(AVERAGEIFS(A타입_제작표!$AM$2:$AM$799,A타입_제작표!$U$2:$U$799,"&gt;="&amp;(안내!$C$9+483),A타입_제작표!$U$2:$U$799,"&lt;"&amp;((안내!$C$9+483)+7)),"-")</f>
        <v>-</v>
      </c>
      <c r="F90" s="23" t="str">
        <f aca="false">IFERROR(AVERAGEIFS(A타입_제작표!$AN$2:$AN$799,A타입_제작표!$U$2:$U$799,"&gt;="&amp;(안내!$C$9+483),A타입_제작표!$U$2:$U$799,"&lt;"&amp;((안내!$C$9+483)+7)),"-")</f>
        <v>-</v>
      </c>
      <c r="G90" s="23" t="n">
        <f aca="false">SUMIFS(A타입_제작표!$AO$2:$AO$799,A타입_제작표!$U$2:$U$799,"&gt;="&amp;(안내!$C$9+483),A타입_제작표!$U$2:$U$799,"&lt;"&amp;((안내!$C$9+483)+7))</f>
        <v>0</v>
      </c>
      <c r="H90" s="23" t="str">
        <f aca="false">IF(ISNUMBER(E90),IF(E90&gt;=$B$5,"달성","미달"),"-")</f>
        <v>-</v>
      </c>
      <c r="I90" s="49"/>
    </row>
    <row r="91" customFormat="false" ht="15" hidden="false" customHeight="false" outlineLevel="0" collapsed="false">
      <c r="A91" s="23" t="n">
        <v>71</v>
      </c>
      <c r="B91" s="26" t="n">
        <f aca="false">(안내!$C$9+490)</f>
        <v>46881</v>
      </c>
      <c r="C91" s="23" t="n">
        <f aca="false">COUNTIFS(A타입_제작표!$U$2:$U$799,"&gt;="&amp;(안내!$C$9+490),A타입_제작표!$U$2:$U$799,"&lt;"&amp;((안내!$C$9+490)+7))</f>
        <v>8</v>
      </c>
      <c r="D91" s="23" t="n">
        <f aca="false">SUMIFS(A타입_제작표!$AL$2:$AL$799,A타입_제작표!$U$2:$U$799,"&gt;="&amp;(안내!$C$9+490),A타입_제작표!$U$2:$U$799,"&lt;"&amp;((안내!$C$9+490)+7))</f>
        <v>0</v>
      </c>
      <c r="E91" s="23" t="str">
        <f aca="false">IFERROR(AVERAGEIFS(A타입_제작표!$AM$2:$AM$799,A타입_제작표!$U$2:$U$799,"&gt;="&amp;(안내!$C$9+490),A타입_제작표!$U$2:$U$799,"&lt;"&amp;((안내!$C$9+490)+7)),"-")</f>
        <v>-</v>
      </c>
      <c r="F91" s="23" t="str">
        <f aca="false">IFERROR(AVERAGEIFS(A타입_제작표!$AN$2:$AN$799,A타입_제작표!$U$2:$U$799,"&gt;="&amp;(안내!$C$9+490),A타입_제작표!$U$2:$U$799,"&lt;"&amp;((안내!$C$9+490)+7)),"-")</f>
        <v>-</v>
      </c>
      <c r="G91" s="23" t="n">
        <f aca="false">SUMIFS(A타입_제작표!$AO$2:$AO$799,A타입_제작표!$U$2:$U$799,"&gt;="&amp;(안내!$C$9+490),A타입_제작표!$U$2:$U$799,"&lt;"&amp;((안내!$C$9+490)+7))</f>
        <v>0</v>
      </c>
      <c r="H91" s="23" t="str">
        <f aca="false">IF(ISNUMBER(E91),IF(E91&gt;=$B$5,"달성","미달"),"-")</f>
        <v>-</v>
      </c>
      <c r="I91" s="49"/>
    </row>
    <row r="92" customFormat="false" ht="15" hidden="false" customHeight="false" outlineLevel="0" collapsed="false">
      <c r="A92" s="23" t="n">
        <v>72</v>
      </c>
      <c r="B92" s="26" t="n">
        <f aca="false">(안내!$C$9+497)</f>
        <v>46888</v>
      </c>
      <c r="C92" s="23" t="n">
        <f aca="false">COUNTIFS(A타입_제작표!$U$2:$U$799,"&gt;="&amp;(안내!$C$9+497),A타입_제작표!$U$2:$U$799,"&lt;"&amp;((안내!$C$9+497)+7))</f>
        <v>7</v>
      </c>
      <c r="D92" s="23" t="n">
        <f aca="false">SUMIFS(A타입_제작표!$AL$2:$AL$799,A타입_제작표!$U$2:$U$799,"&gt;="&amp;(안내!$C$9+497),A타입_제작표!$U$2:$U$799,"&lt;"&amp;((안내!$C$9+497)+7))</f>
        <v>0</v>
      </c>
      <c r="E92" s="23" t="str">
        <f aca="false">IFERROR(AVERAGEIFS(A타입_제작표!$AM$2:$AM$799,A타입_제작표!$U$2:$U$799,"&gt;="&amp;(안내!$C$9+497),A타입_제작표!$U$2:$U$799,"&lt;"&amp;((안내!$C$9+497)+7)),"-")</f>
        <v>-</v>
      </c>
      <c r="F92" s="23" t="str">
        <f aca="false">IFERROR(AVERAGEIFS(A타입_제작표!$AN$2:$AN$799,A타입_제작표!$U$2:$U$799,"&gt;="&amp;(안내!$C$9+497),A타입_제작표!$U$2:$U$799,"&lt;"&amp;((안내!$C$9+497)+7)),"-")</f>
        <v>-</v>
      </c>
      <c r="G92" s="23" t="n">
        <f aca="false">SUMIFS(A타입_제작표!$AO$2:$AO$799,A타입_제작표!$U$2:$U$799,"&gt;="&amp;(안내!$C$9+497),A타입_제작표!$U$2:$U$799,"&lt;"&amp;((안내!$C$9+497)+7))</f>
        <v>0</v>
      </c>
      <c r="H92" s="23" t="str">
        <f aca="false">IF(ISNUMBER(E92),IF(E92&gt;=$B$5,"달성","미달"),"-")</f>
        <v>-</v>
      </c>
      <c r="I92" s="49"/>
    </row>
    <row r="93" customFormat="false" ht="15" hidden="false" customHeight="false" outlineLevel="0" collapsed="false">
      <c r="A93" s="23" t="n">
        <v>73</v>
      </c>
      <c r="B93" s="26" t="n">
        <f aca="false">(안내!$C$9+504)</f>
        <v>46895</v>
      </c>
      <c r="C93" s="23" t="n">
        <f aca="false">COUNTIFS(A타입_제작표!$U$2:$U$799,"&gt;="&amp;(안내!$C$9+504),A타입_제작표!$U$2:$U$799,"&lt;"&amp;((안내!$C$9+504)+7))</f>
        <v>7</v>
      </c>
      <c r="D93" s="23" t="n">
        <f aca="false">SUMIFS(A타입_제작표!$AL$2:$AL$799,A타입_제작표!$U$2:$U$799,"&gt;="&amp;(안내!$C$9+504),A타입_제작표!$U$2:$U$799,"&lt;"&amp;((안내!$C$9+504)+7))</f>
        <v>0</v>
      </c>
      <c r="E93" s="23" t="str">
        <f aca="false">IFERROR(AVERAGEIFS(A타입_제작표!$AM$2:$AM$799,A타입_제작표!$U$2:$U$799,"&gt;="&amp;(안내!$C$9+504),A타입_제작표!$U$2:$U$799,"&lt;"&amp;((안내!$C$9+504)+7)),"-")</f>
        <v>-</v>
      </c>
      <c r="F93" s="23" t="str">
        <f aca="false">IFERROR(AVERAGEIFS(A타입_제작표!$AN$2:$AN$799,A타입_제작표!$U$2:$U$799,"&gt;="&amp;(안내!$C$9+504),A타입_제작표!$U$2:$U$799,"&lt;"&amp;((안내!$C$9+504)+7)),"-")</f>
        <v>-</v>
      </c>
      <c r="G93" s="23" t="n">
        <f aca="false">SUMIFS(A타입_제작표!$AO$2:$AO$799,A타입_제작표!$U$2:$U$799,"&gt;="&amp;(안내!$C$9+504),A타입_제작표!$U$2:$U$799,"&lt;"&amp;((안내!$C$9+504)+7))</f>
        <v>0</v>
      </c>
      <c r="H93" s="23" t="str">
        <f aca="false">IF(ISNUMBER(E93),IF(E93&gt;=$B$5,"달성","미달"),"-")</f>
        <v>-</v>
      </c>
      <c r="I93" s="49"/>
    </row>
    <row r="94" customFormat="false" ht="15" hidden="false" customHeight="false" outlineLevel="0" collapsed="false">
      <c r="A94" s="23" t="n">
        <v>74</v>
      </c>
      <c r="B94" s="26" t="n">
        <f aca="false">(안내!$C$9+511)</f>
        <v>46902</v>
      </c>
      <c r="C94" s="23" t="n">
        <f aca="false">COUNTIFS(A타입_제작표!$U$2:$U$799,"&gt;="&amp;(안내!$C$9+511),A타입_제작표!$U$2:$U$799,"&lt;"&amp;((안내!$C$9+511)+7))</f>
        <v>7</v>
      </c>
      <c r="D94" s="23" t="n">
        <f aca="false">SUMIFS(A타입_제작표!$AL$2:$AL$799,A타입_제작표!$U$2:$U$799,"&gt;="&amp;(안내!$C$9+511),A타입_제작표!$U$2:$U$799,"&lt;"&amp;((안내!$C$9+511)+7))</f>
        <v>0</v>
      </c>
      <c r="E94" s="23" t="str">
        <f aca="false">IFERROR(AVERAGEIFS(A타입_제작표!$AM$2:$AM$799,A타입_제작표!$U$2:$U$799,"&gt;="&amp;(안내!$C$9+511),A타입_제작표!$U$2:$U$799,"&lt;"&amp;((안내!$C$9+511)+7)),"-")</f>
        <v>-</v>
      </c>
      <c r="F94" s="23" t="str">
        <f aca="false">IFERROR(AVERAGEIFS(A타입_제작표!$AN$2:$AN$799,A타입_제작표!$U$2:$U$799,"&gt;="&amp;(안내!$C$9+511),A타입_제작표!$U$2:$U$799,"&lt;"&amp;((안내!$C$9+511)+7)),"-")</f>
        <v>-</v>
      </c>
      <c r="G94" s="23" t="n">
        <f aca="false">SUMIFS(A타입_제작표!$AO$2:$AO$799,A타입_제작표!$U$2:$U$799,"&gt;="&amp;(안내!$C$9+511),A타입_제작표!$U$2:$U$799,"&lt;"&amp;((안내!$C$9+511)+7))</f>
        <v>0</v>
      </c>
      <c r="H94" s="23" t="str">
        <f aca="false">IF(ISNUMBER(E94),IF(E94&gt;=$B$5,"달성","미달"),"-")</f>
        <v>-</v>
      </c>
      <c r="I94" s="49"/>
    </row>
    <row r="95" customFormat="false" ht="15" hidden="false" customHeight="false" outlineLevel="0" collapsed="false">
      <c r="A95" s="23" t="n">
        <v>75</v>
      </c>
      <c r="B95" s="26" t="n">
        <f aca="false">(안내!$C$9+518)</f>
        <v>46909</v>
      </c>
      <c r="C95" s="23" t="n">
        <f aca="false">COUNTIFS(A타입_제작표!$U$2:$U$799,"&gt;="&amp;(안내!$C$9+518),A타입_제작표!$U$2:$U$799,"&lt;"&amp;((안내!$C$9+518)+7))</f>
        <v>7</v>
      </c>
      <c r="D95" s="23" t="n">
        <f aca="false">SUMIFS(A타입_제작표!$AL$2:$AL$799,A타입_제작표!$U$2:$U$799,"&gt;="&amp;(안내!$C$9+518),A타입_제작표!$U$2:$U$799,"&lt;"&amp;((안내!$C$9+518)+7))</f>
        <v>0</v>
      </c>
      <c r="E95" s="23" t="str">
        <f aca="false">IFERROR(AVERAGEIFS(A타입_제작표!$AM$2:$AM$799,A타입_제작표!$U$2:$U$799,"&gt;="&amp;(안내!$C$9+518),A타입_제작표!$U$2:$U$799,"&lt;"&amp;((안내!$C$9+518)+7)),"-")</f>
        <v>-</v>
      </c>
      <c r="F95" s="23" t="str">
        <f aca="false">IFERROR(AVERAGEIFS(A타입_제작표!$AN$2:$AN$799,A타입_제작표!$U$2:$U$799,"&gt;="&amp;(안내!$C$9+518),A타입_제작표!$U$2:$U$799,"&lt;"&amp;((안내!$C$9+518)+7)),"-")</f>
        <v>-</v>
      </c>
      <c r="G95" s="23" t="n">
        <f aca="false">SUMIFS(A타입_제작표!$AO$2:$AO$799,A타입_제작표!$U$2:$U$799,"&gt;="&amp;(안내!$C$9+518),A타입_제작표!$U$2:$U$799,"&lt;"&amp;((안내!$C$9+518)+7))</f>
        <v>0</v>
      </c>
      <c r="H95" s="23" t="str">
        <f aca="false">IF(ISNUMBER(E95),IF(E95&gt;=$B$5,"달성","미달"),"-")</f>
        <v>-</v>
      </c>
      <c r="I95" s="49"/>
    </row>
    <row r="96" customFormat="false" ht="15" hidden="false" customHeight="false" outlineLevel="0" collapsed="false">
      <c r="A96" s="23" t="n">
        <v>76</v>
      </c>
      <c r="B96" s="26" t="n">
        <f aca="false">(안내!$C$9+525)</f>
        <v>46916</v>
      </c>
      <c r="C96" s="23" t="n">
        <f aca="false">COUNTIFS(A타입_제작표!$U$2:$U$799,"&gt;="&amp;(안내!$C$9+525),A타입_제작표!$U$2:$U$799,"&lt;"&amp;((안내!$C$9+525)+7))</f>
        <v>3</v>
      </c>
      <c r="D96" s="23" t="n">
        <f aca="false">SUMIFS(A타입_제작표!$AL$2:$AL$799,A타입_제작표!$U$2:$U$799,"&gt;="&amp;(안내!$C$9+525),A타입_제작표!$U$2:$U$799,"&lt;"&amp;((안내!$C$9+525)+7))</f>
        <v>0</v>
      </c>
      <c r="E96" s="23" t="str">
        <f aca="false">IFERROR(AVERAGEIFS(A타입_제작표!$AM$2:$AM$799,A타입_제작표!$U$2:$U$799,"&gt;="&amp;(안내!$C$9+525),A타입_제작표!$U$2:$U$799,"&lt;"&amp;((안내!$C$9+525)+7)),"-")</f>
        <v>-</v>
      </c>
      <c r="F96" s="23" t="str">
        <f aca="false">IFERROR(AVERAGEIFS(A타입_제작표!$AN$2:$AN$799,A타입_제작표!$U$2:$U$799,"&gt;="&amp;(안내!$C$9+525),A타입_제작표!$U$2:$U$799,"&lt;"&amp;((안내!$C$9+525)+7)),"-")</f>
        <v>-</v>
      </c>
      <c r="G96" s="23" t="n">
        <f aca="false">SUMIFS(A타입_제작표!$AO$2:$AO$799,A타입_제작표!$U$2:$U$799,"&gt;="&amp;(안내!$C$9+525),A타입_제작표!$U$2:$U$799,"&lt;"&amp;((안내!$C$9+525)+7))</f>
        <v>0</v>
      </c>
      <c r="H96" s="23" t="str">
        <f aca="false">IF(ISNUMBER(E96),IF(E96&gt;=$B$5,"달성","미달"),"-")</f>
        <v>-</v>
      </c>
      <c r="I96" s="49"/>
    </row>
    <row r="97" customFormat="false" ht="15" hidden="false" customHeight="false" outlineLevel="0" collapsed="false">
      <c r="A97" s="23" t="n">
        <v>77</v>
      </c>
      <c r="B97" s="26" t="n">
        <f aca="false">(안내!$C$9+532)</f>
        <v>46923</v>
      </c>
      <c r="C97" s="23" t="n">
        <f aca="false">COUNTIFS(A타입_제작표!$U$2:$U$799,"&gt;="&amp;(안내!$C$9+532),A타입_제작표!$U$2:$U$799,"&lt;"&amp;((안내!$C$9+532)+7))</f>
        <v>0</v>
      </c>
      <c r="D97" s="23" t="n">
        <f aca="false">SUMIFS(A타입_제작표!$AL$2:$AL$799,A타입_제작표!$U$2:$U$799,"&gt;="&amp;(안내!$C$9+532),A타입_제작표!$U$2:$U$799,"&lt;"&amp;((안내!$C$9+532)+7))</f>
        <v>0</v>
      </c>
      <c r="E97" s="23" t="str">
        <f aca="false">IFERROR(AVERAGEIFS(A타입_제작표!$AM$2:$AM$799,A타입_제작표!$U$2:$U$799,"&gt;="&amp;(안내!$C$9+532),A타입_제작표!$U$2:$U$799,"&lt;"&amp;((안내!$C$9+532)+7)),"-")</f>
        <v>-</v>
      </c>
      <c r="F97" s="23" t="str">
        <f aca="false">IFERROR(AVERAGEIFS(A타입_제작표!$AN$2:$AN$799,A타입_제작표!$U$2:$U$799,"&gt;="&amp;(안내!$C$9+532),A타입_제작표!$U$2:$U$799,"&lt;"&amp;((안내!$C$9+532)+7)),"-")</f>
        <v>-</v>
      </c>
      <c r="G97" s="23" t="n">
        <f aca="false">SUMIFS(A타입_제작표!$AO$2:$AO$799,A타입_제작표!$U$2:$U$799,"&gt;="&amp;(안내!$C$9+532),A타입_제작표!$U$2:$U$799,"&lt;"&amp;((안내!$C$9+532)+7))</f>
        <v>0</v>
      </c>
      <c r="H97" s="23" t="str">
        <f aca="false">IF(ISNUMBER(E97),IF(E97&gt;=$B$5,"달성","미달"),"-")</f>
        <v>-</v>
      </c>
      <c r="I97" s="49"/>
    </row>
    <row r="98" customFormat="false" ht="15" hidden="false" customHeight="false" outlineLevel="0" collapsed="false">
      <c r="A98" s="23" t="n">
        <v>78</v>
      </c>
      <c r="B98" s="26" t="n">
        <f aca="false">(안내!$C$9+539)</f>
        <v>46930</v>
      </c>
      <c r="C98" s="23" t="n">
        <f aca="false">COUNTIFS(A타입_제작표!$U$2:$U$799,"&gt;="&amp;(안내!$C$9+539),A타입_제작표!$U$2:$U$799,"&lt;"&amp;((안내!$C$9+539)+7))</f>
        <v>0</v>
      </c>
      <c r="D98" s="23" t="n">
        <f aca="false">SUMIFS(A타입_제작표!$AL$2:$AL$799,A타입_제작표!$U$2:$U$799,"&gt;="&amp;(안내!$C$9+539),A타입_제작표!$U$2:$U$799,"&lt;"&amp;((안내!$C$9+539)+7))</f>
        <v>0</v>
      </c>
      <c r="E98" s="23" t="str">
        <f aca="false">IFERROR(AVERAGEIFS(A타입_제작표!$AM$2:$AM$799,A타입_제작표!$U$2:$U$799,"&gt;="&amp;(안내!$C$9+539),A타입_제작표!$U$2:$U$799,"&lt;"&amp;((안내!$C$9+539)+7)),"-")</f>
        <v>-</v>
      </c>
      <c r="F98" s="23" t="str">
        <f aca="false">IFERROR(AVERAGEIFS(A타입_제작표!$AN$2:$AN$799,A타입_제작표!$U$2:$U$799,"&gt;="&amp;(안내!$C$9+539),A타입_제작표!$U$2:$U$799,"&lt;"&amp;((안내!$C$9+539)+7)),"-")</f>
        <v>-</v>
      </c>
      <c r="G98" s="23" t="n">
        <f aca="false">SUMIFS(A타입_제작표!$AO$2:$AO$799,A타입_제작표!$U$2:$U$799,"&gt;="&amp;(안내!$C$9+539),A타입_제작표!$U$2:$U$799,"&lt;"&amp;((안내!$C$9+539)+7))</f>
        <v>0</v>
      </c>
      <c r="H98" s="23" t="str">
        <f aca="false">IF(ISNUMBER(E98),IF(E98&gt;=$B$5,"달성","미달"),"-")</f>
        <v>-</v>
      </c>
      <c r="I98" s="49"/>
    </row>
    <row r="99" customFormat="false" ht="15" hidden="false" customHeight="false" outlineLevel="0" collapsed="false">
      <c r="A99" s="23" t="n">
        <v>79</v>
      </c>
      <c r="B99" s="26" t="n">
        <f aca="false">(안내!$C$9+546)</f>
        <v>46937</v>
      </c>
      <c r="C99" s="23" t="n">
        <f aca="false">COUNTIFS(A타입_제작표!$U$2:$U$799,"&gt;="&amp;(안내!$C$9+546),A타입_제작표!$U$2:$U$799,"&lt;"&amp;((안내!$C$9+546)+7))</f>
        <v>0</v>
      </c>
      <c r="D99" s="23" t="n">
        <f aca="false">SUMIFS(A타입_제작표!$AL$2:$AL$799,A타입_제작표!$U$2:$U$799,"&gt;="&amp;(안내!$C$9+546),A타입_제작표!$U$2:$U$799,"&lt;"&amp;((안내!$C$9+546)+7))</f>
        <v>0</v>
      </c>
      <c r="E99" s="23" t="str">
        <f aca="false">IFERROR(AVERAGEIFS(A타입_제작표!$AM$2:$AM$799,A타입_제작표!$U$2:$U$799,"&gt;="&amp;(안내!$C$9+546),A타입_제작표!$U$2:$U$799,"&lt;"&amp;((안내!$C$9+546)+7)),"-")</f>
        <v>-</v>
      </c>
      <c r="F99" s="23" t="str">
        <f aca="false">IFERROR(AVERAGEIFS(A타입_제작표!$AN$2:$AN$799,A타입_제작표!$U$2:$U$799,"&gt;="&amp;(안내!$C$9+546),A타입_제작표!$U$2:$U$799,"&lt;"&amp;((안내!$C$9+546)+7)),"-")</f>
        <v>-</v>
      </c>
      <c r="G99" s="23" t="n">
        <f aca="false">SUMIFS(A타입_제작표!$AO$2:$AO$799,A타입_제작표!$U$2:$U$799,"&gt;="&amp;(안내!$C$9+546),A타입_제작표!$U$2:$U$799,"&lt;"&amp;((안내!$C$9+546)+7))</f>
        <v>0</v>
      </c>
      <c r="H99" s="23" t="str">
        <f aca="false">IF(ISNUMBER(E99),IF(E99&gt;=$B$5,"달성","미달"),"-")</f>
        <v>-</v>
      </c>
      <c r="I99" s="49"/>
    </row>
    <row r="100" customFormat="false" ht="15" hidden="false" customHeight="false" outlineLevel="0" collapsed="false">
      <c r="A100" s="23" t="n">
        <v>80</v>
      </c>
      <c r="B100" s="26" t="n">
        <f aca="false">(안내!$C$9+553)</f>
        <v>46944</v>
      </c>
      <c r="C100" s="23" t="n">
        <f aca="false">COUNTIFS(A타입_제작표!$U$2:$U$799,"&gt;="&amp;(안내!$C$9+553),A타입_제작표!$U$2:$U$799,"&lt;"&amp;((안내!$C$9+553)+7))</f>
        <v>0</v>
      </c>
      <c r="D100" s="23" t="n">
        <f aca="false">SUMIFS(A타입_제작표!$AL$2:$AL$799,A타입_제작표!$U$2:$U$799,"&gt;="&amp;(안내!$C$9+553),A타입_제작표!$U$2:$U$799,"&lt;"&amp;((안내!$C$9+553)+7))</f>
        <v>0</v>
      </c>
      <c r="E100" s="23" t="str">
        <f aca="false">IFERROR(AVERAGEIFS(A타입_제작표!$AM$2:$AM$799,A타입_제작표!$U$2:$U$799,"&gt;="&amp;(안내!$C$9+553),A타입_제작표!$U$2:$U$799,"&lt;"&amp;((안내!$C$9+553)+7)),"-")</f>
        <v>-</v>
      </c>
      <c r="F100" s="23" t="str">
        <f aca="false">IFERROR(AVERAGEIFS(A타입_제작표!$AN$2:$AN$799,A타입_제작표!$U$2:$U$799,"&gt;="&amp;(안내!$C$9+553),A타입_제작표!$U$2:$U$799,"&lt;"&amp;((안내!$C$9+553)+7)),"-")</f>
        <v>-</v>
      </c>
      <c r="G100" s="23" t="n">
        <f aca="false">SUMIFS(A타입_제작표!$AO$2:$AO$799,A타입_제작표!$U$2:$U$799,"&gt;="&amp;(안내!$C$9+553),A타입_제작표!$U$2:$U$799,"&lt;"&amp;((안내!$C$9+553)+7))</f>
        <v>0</v>
      </c>
      <c r="H100" s="23" t="str">
        <f aca="false">IF(ISNUMBER(E100),IF(E100&gt;=$B$5,"달성","미달"),"-")</f>
        <v>-</v>
      </c>
      <c r="I100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10308</v>
      </c>
    </row>
    <row r="2" customFormat="false" ht="15" hidden="false" customHeight="false" outlineLevel="0" collapsed="false">
      <c r="A2" s="7" t="s">
        <v>10309</v>
      </c>
    </row>
    <row r="4" customFormat="false" ht="30" hidden="false" customHeight="true" outlineLevel="0" collapsed="false">
      <c r="A4" s="16" t="s">
        <v>10310</v>
      </c>
      <c r="B4" s="16" t="s">
        <v>10311</v>
      </c>
      <c r="C4" s="16" t="s">
        <v>10244</v>
      </c>
      <c r="D4" s="16" t="s">
        <v>10312</v>
      </c>
      <c r="E4" s="16" t="s">
        <v>10313</v>
      </c>
    </row>
    <row r="5" customFormat="false" ht="15" hidden="false" customHeight="false" outlineLevel="0" collapsed="false">
      <c r="A5" s="24" t="s">
        <v>10314</v>
      </c>
      <c r="B5" s="23" t="s">
        <v>116</v>
      </c>
      <c r="C5" s="23" t="n">
        <f aca="false">COUNTIFS(A타입_제작표!$C$2:$C$799,1,A타입_제작표!$D$2:$D$799,"구약")</f>
        <v>182</v>
      </c>
      <c r="D5" s="30" t="s">
        <v>10315</v>
      </c>
      <c r="E5" s="24" t="s">
        <v>10316</v>
      </c>
    </row>
    <row r="6" customFormat="false" ht="15" hidden="false" customHeight="false" outlineLevel="0" collapsed="false">
      <c r="A6" s="24" t="s">
        <v>10317</v>
      </c>
      <c r="B6" s="23" t="s">
        <v>116</v>
      </c>
      <c r="C6" s="23" t="n">
        <f aca="false">COUNTIFS(A타입_제작표!$C$2:$C$799,1,A타입_제작표!$D$2:$D$799,"신약")</f>
        <v>104</v>
      </c>
      <c r="D6" s="30" t="s">
        <v>10318</v>
      </c>
      <c r="E6" s="24" t="s">
        <v>10319</v>
      </c>
    </row>
    <row r="7" customFormat="false" ht="15" hidden="false" customHeight="false" outlineLevel="0" collapsed="false">
      <c r="A7" s="24" t="s">
        <v>10320</v>
      </c>
      <c r="B7" s="23" t="s">
        <v>116</v>
      </c>
      <c r="C7" s="23" t="n">
        <f aca="false">COUNTIFS(A타입_제작표!$C$2:$C$799,2,A타입_제작표!$D$2:$D$799,"구약")</f>
        <v>339</v>
      </c>
      <c r="D7" s="30" t="s">
        <v>10321</v>
      </c>
      <c r="E7" s="24"/>
    </row>
    <row r="8" customFormat="false" ht="15" hidden="false" customHeight="false" outlineLevel="0" collapsed="false">
      <c r="A8" s="24" t="s">
        <v>10322</v>
      </c>
      <c r="B8" s="23" t="s">
        <v>116</v>
      </c>
      <c r="C8" s="23" t="n">
        <f aca="false">COUNTIFS(A타입_제작표!$C$2:$C$799,2,A타입_제작표!$D$2:$D$799,"신약")</f>
        <v>173</v>
      </c>
      <c r="D8" s="30" t="s">
        <v>10323</v>
      </c>
      <c r="E8" s="24"/>
    </row>
    <row r="9" customFormat="false" ht="15" hidden="false" customHeight="false" outlineLevel="0" collapsed="false">
      <c r="A9" s="24" t="s">
        <v>33</v>
      </c>
      <c r="B9" s="23" t="s">
        <v>10324</v>
      </c>
      <c r="C9" s="23" t="n">
        <f aca="false">COUNT(시편_시리즈!$A$2:$A$151)</f>
        <v>150</v>
      </c>
      <c r="D9" s="24" t="s">
        <v>10325</v>
      </c>
      <c r="E9" s="24" t="s">
        <v>10326</v>
      </c>
    </row>
    <row r="10" customFormat="false" ht="15" hidden="false" customHeight="false" outlineLevel="0" collapsed="false">
      <c r="A10" s="24" t="s">
        <v>10327</v>
      </c>
      <c r="B10" s="23" t="s">
        <v>43</v>
      </c>
      <c r="C10" s="23" t="n">
        <f aca="false">COUNTA(롱폼_시즌별!$B$2:$B$84)</f>
        <v>83</v>
      </c>
      <c r="D10" s="24" t="s">
        <v>10328</v>
      </c>
      <c r="E10" s="24" t="s">
        <v>10329</v>
      </c>
    </row>
    <row r="11" customFormat="false" ht="15" hidden="false" customHeight="false" outlineLevel="0" collapsed="false">
      <c r="A11" s="24" t="s">
        <v>10330</v>
      </c>
      <c r="B11" s="23" t="s">
        <v>43</v>
      </c>
      <c r="C11" s="23" t="n">
        <f aca="false">COUNTA(롱폼_통합본!$B$2:$B$85)</f>
        <v>84</v>
      </c>
      <c r="D11" s="24" t="s">
        <v>10331</v>
      </c>
      <c r="E11" s="24" t="s">
        <v>10332</v>
      </c>
    </row>
    <row r="12" customFormat="false" ht="15" hidden="false" customHeight="false" outlineLevel="0" collapsed="false">
      <c r="A12" s="24" t="s">
        <v>10333</v>
      </c>
      <c r="B12" s="23" t="s">
        <v>43</v>
      </c>
      <c r="C12" s="23" t="n">
        <f aca="false">COUNTA(시편_롱폼!$B$2:$B$16)</f>
        <v>15</v>
      </c>
      <c r="D12" s="24" t="s">
        <v>10334</v>
      </c>
      <c r="E12" s="24"/>
    </row>
    <row r="13" customFormat="false" ht="15" hidden="false" customHeight="false" outlineLevel="0" collapsed="false">
      <c r="A13" s="30" t="s">
        <v>10335</v>
      </c>
      <c r="B13" s="23" t="s">
        <v>10336</v>
      </c>
      <c r="C13" s="23" t="n">
        <f aca="false">COUNTA(A타입_제작표!$B$2:$B$799)</f>
        <v>798</v>
      </c>
      <c r="D13" s="24" t="s">
        <v>10337</v>
      </c>
      <c r="E13" s="24" t="s">
        <v>10338</v>
      </c>
    </row>
    <row r="14" customFormat="false" ht="15" hidden="false" customHeight="false" outlineLevel="0" collapsed="false">
      <c r="A14" s="24" t="s">
        <v>10339</v>
      </c>
      <c r="B14" s="23" t="s">
        <v>10340</v>
      </c>
      <c r="C14" s="23" t="n">
        <f aca="false">COUNTIF(A타입_제작표!$AK$2:$AK$799,"*노아*")</f>
        <v>5</v>
      </c>
      <c r="D14" s="30" t="s">
        <v>10341</v>
      </c>
      <c r="E14" s="24" t="s">
        <v>10342</v>
      </c>
    </row>
    <row r="15" customFormat="false" ht="15" hidden="false" customHeight="false" outlineLevel="0" collapsed="false">
      <c r="A15" s="24" t="s">
        <v>10343</v>
      </c>
      <c r="B15" s="23" t="s">
        <v>10340</v>
      </c>
      <c r="C15" s="23" t="n">
        <f aca="false">COUNTIF(A타입_제작표!$AK$2:$AK$799,"*아브라함*")</f>
        <v>15</v>
      </c>
      <c r="D15" s="30" t="s">
        <v>10341</v>
      </c>
      <c r="E15" s="24" t="s">
        <v>10342</v>
      </c>
    </row>
    <row r="16" customFormat="false" ht="15" hidden="false" customHeight="false" outlineLevel="0" collapsed="false">
      <c r="A16" s="24" t="s">
        <v>10344</v>
      </c>
      <c r="B16" s="23" t="s">
        <v>10340</v>
      </c>
      <c r="C16" s="23" t="n">
        <f aca="false">COUNTIF(A타입_제작표!$AK$2:$AK$799,"*야곱*")</f>
        <v>20</v>
      </c>
      <c r="D16" s="30" t="s">
        <v>10341</v>
      </c>
      <c r="E16" s="24" t="s">
        <v>10342</v>
      </c>
    </row>
    <row r="17" customFormat="false" ht="15" hidden="false" customHeight="false" outlineLevel="0" collapsed="false">
      <c r="A17" s="24" t="s">
        <v>10345</v>
      </c>
      <c r="B17" s="23" t="s">
        <v>10340</v>
      </c>
      <c r="C17" s="23" t="n">
        <f aca="false">COUNTIF(A타입_제작표!$AK$2:$AK$799,"*요셉*")</f>
        <v>15</v>
      </c>
      <c r="D17" s="30" t="s">
        <v>10341</v>
      </c>
      <c r="E17" s="24" t="s">
        <v>10342</v>
      </c>
    </row>
    <row r="18" customFormat="false" ht="15" hidden="false" customHeight="false" outlineLevel="0" collapsed="false">
      <c r="A18" s="24" t="s">
        <v>10346</v>
      </c>
      <c r="B18" s="23" t="s">
        <v>10340</v>
      </c>
      <c r="C18" s="23" t="n">
        <f aca="false">COUNTIF(A타입_제작표!$AK$2:$AK$799,"*모세*")</f>
        <v>70</v>
      </c>
      <c r="D18" s="30" t="s">
        <v>10341</v>
      </c>
      <c r="E18" s="24" t="s">
        <v>10342</v>
      </c>
    </row>
    <row r="19" customFormat="false" ht="15" hidden="false" customHeight="false" outlineLevel="0" collapsed="false">
      <c r="A19" s="24" t="s">
        <v>10347</v>
      </c>
      <c r="B19" s="23" t="s">
        <v>10340</v>
      </c>
      <c r="C19" s="23" t="n">
        <f aca="false">COUNTIF(A타입_제작표!$AK$2:$AK$799,"*여호수아*")</f>
        <v>20</v>
      </c>
      <c r="D19" s="30" t="s">
        <v>10341</v>
      </c>
      <c r="E19" s="24" t="s">
        <v>10342</v>
      </c>
    </row>
    <row r="20" customFormat="false" ht="15" hidden="false" customHeight="false" outlineLevel="0" collapsed="false">
      <c r="A20" s="24" t="s">
        <v>10348</v>
      </c>
      <c r="B20" s="23" t="s">
        <v>10340</v>
      </c>
      <c r="C20" s="23" t="n">
        <f aca="false">COUNTIF(A타입_제작표!$AK$2:$AK$799,"*기드온*")</f>
        <v>4</v>
      </c>
      <c r="D20" s="30" t="s">
        <v>10341</v>
      </c>
      <c r="E20" s="24" t="s">
        <v>10342</v>
      </c>
    </row>
    <row r="21" customFormat="false" ht="15" hidden="false" customHeight="false" outlineLevel="0" collapsed="false">
      <c r="A21" s="24" t="s">
        <v>10349</v>
      </c>
      <c r="B21" s="23" t="s">
        <v>10340</v>
      </c>
      <c r="C21" s="23" t="n">
        <f aca="false">COUNTIF(A타입_제작표!$AK$2:$AK$799,"*삼손*")</f>
        <v>4</v>
      </c>
      <c r="D21" s="30" t="s">
        <v>10341</v>
      </c>
      <c r="E21" s="24" t="s">
        <v>10342</v>
      </c>
    </row>
    <row r="22" customFormat="false" ht="15" hidden="false" customHeight="false" outlineLevel="0" collapsed="false">
      <c r="A22" s="24" t="s">
        <v>10350</v>
      </c>
      <c r="B22" s="23" t="s">
        <v>10340</v>
      </c>
      <c r="C22" s="23" t="n">
        <f aca="false">COUNTIF(A타입_제작표!$AK$2:$AK$799,"*룻*")</f>
        <v>4</v>
      </c>
      <c r="D22" s="30" t="s">
        <v>10341</v>
      </c>
      <c r="E22" s="24" t="s">
        <v>10342</v>
      </c>
    </row>
    <row r="23" customFormat="false" ht="15" hidden="false" customHeight="false" outlineLevel="0" collapsed="false">
      <c r="A23" s="24" t="s">
        <v>10351</v>
      </c>
      <c r="B23" s="23" t="s">
        <v>10340</v>
      </c>
      <c r="C23" s="23" t="n">
        <f aca="false">COUNTIF(A타입_제작표!$AK$2:$AK$799,"*사무엘*")</f>
        <v>8</v>
      </c>
      <c r="D23" s="30" t="s">
        <v>10341</v>
      </c>
      <c r="E23" s="24" t="s">
        <v>10342</v>
      </c>
    </row>
    <row r="24" customFormat="false" ht="15" hidden="false" customHeight="false" outlineLevel="0" collapsed="false">
      <c r="A24" s="24" t="s">
        <v>10352</v>
      </c>
      <c r="B24" s="23" t="s">
        <v>10340</v>
      </c>
      <c r="C24" s="23" t="n">
        <f aca="false">COUNTIF(A타입_제작표!$AK$2:$AK$799,"*사울*")</f>
        <v>15</v>
      </c>
      <c r="D24" s="30" t="s">
        <v>10341</v>
      </c>
      <c r="E24" s="24" t="s">
        <v>10342</v>
      </c>
    </row>
    <row r="25" customFormat="false" ht="15" hidden="false" customHeight="false" outlineLevel="0" collapsed="false">
      <c r="A25" s="24" t="s">
        <v>10353</v>
      </c>
      <c r="B25" s="23" t="s">
        <v>10340</v>
      </c>
      <c r="C25" s="23" t="n">
        <f aca="false">COUNTIF(A타입_제작표!$AK$2:$AK$799,"*다윗*")</f>
        <v>50</v>
      </c>
      <c r="D25" s="30" t="s">
        <v>10341</v>
      </c>
      <c r="E25" s="24" t="s">
        <v>10342</v>
      </c>
    </row>
    <row r="26" customFormat="false" ht="15" hidden="false" customHeight="false" outlineLevel="0" collapsed="false">
      <c r="A26" s="24" t="s">
        <v>10354</v>
      </c>
      <c r="B26" s="23" t="s">
        <v>10340</v>
      </c>
      <c r="C26" s="23" t="n">
        <f aca="false">COUNTIF(A타입_제작표!$AK$2:$AK$799,"*솔로몬*")</f>
        <v>13</v>
      </c>
      <c r="D26" s="30" t="s">
        <v>10341</v>
      </c>
      <c r="E26" s="24" t="s">
        <v>10342</v>
      </c>
    </row>
    <row r="27" customFormat="false" ht="15" hidden="false" customHeight="false" outlineLevel="0" collapsed="false">
      <c r="A27" s="24" t="s">
        <v>10355</v>
      </c>
      <c r="B27" s="23" t="s">
        <v>10340</v>
      </c>
      <c r="C27" s="23" t="n">
        <f aca="false">COUNTIF(A타입_제작표!$AK$2:$AK$799,"*엘리야*")</f>
        <v>9</v>
      </c>
      <c r="D27" s="30" t="s">
        <v>10341</v>
      </c>
      <c r="E27" s="24" t="s">
        <v>10342</v>
      </c>
    </row>
    <row r="28" customFormat="false" ht="15" hidden="false" customHeight="false" outlineLevel="0" collapsed="false">
      <c r="A28" s="24" t="s">
        <v>10356</v>
      </c>
      <c r="B28" s="23" t="s">
        <v>10340</v>
      </c>
      <c r="C28" s="23" t="n">
        <f aca="false">COUNTIF(A타입_제작표!$AK$2:$AK$799,"*엘리사*")</f>
        <v>13</v>
      </c>
      <c r="D28" s="30" t="s">
        <v>10341</v>
      </c>
      <c r="E28" s="24" t="s">
        <v>10342</v>
      </c>
    </row>
    <row r="29" customFormat="false" ht="15" hidden="false" customHeight="false" outlineLevel="0" collapsed="false">
      <c r="A29" s="24" t="s">
        <v>10357</v>
      </c>
      <c r="B29" s="23" t="s">
        <v>10340</v>
      </c>
      <c r="C29" s="23" t="n">
        <f aca="false">COUNTIF(A타입_제작표!$AK$2:$AK$799,"*에스더*")</f>
        <v>7</v>
      </c>
      <c r="D29" s="30" t="s">
        <v>10341</v>
      </c>
      <c r="E29" s="24" t="s">
        <v>10342</v>
      </c>
    </row>
    <row r="30" customFormat="false" ht="15" hidden="false" customHeight="false" outlineLevel="0" collapsed="false">
      <c r="A30" s="24" t="s">
        <v>10358</v>
      </c>
      <c r="B30" s="23" t="s">
        <v>10340</v>
      </c>
      <c r="C30" s="23" t="n">
        <f aca="false">COUNTIF(A타입_제작표!$AK$2:$AK$799,"*욥*")</f>
        <v>11</v>
      </c>
      <c r="D30" s="30" t="s">
        <v>10341</v>
      </c>
      <c r="E30" s="24" t="s">
        <v>10342</v>
      </c>
    </row>
    <row r="31" customFormat="false" ht="15" hidden="false" customHeight="false" outlineLevel="0" collapsed="false">
      <c r="A31" s="24" t="s">
        <v>10359</v>
      </c>
      <c r="B31" s="23" t="s">
        <v>10340</v>
      </c>
      <c r="C31" s="23" t="n">
        <f aca="false">COUNTIF(A타입_제작표!$AK$2:$AK$799,"*다니엘*")</f>
        <v>11</v>
      </c>
      <c r="D31" s="30" t="s">
        <v>10341</v>
      </c>
      <c r="E31" s="24" t="s">
        <v>10342</v>
      </c>
    </row>
    <row r="32" customFormat="false" ht="15" hidden="false" customHeight="false" outlineLevel="0" collapsed="false">
      <c r="A32" s="24" t="s">
        <v>10360</v>
      </c>
      <c r="B32" s="23" t="s">
        <v>10340</v>
      </c>
      <c r="C32" s="23" t="n">
        <f aca="false">COUNTIF(A타입_제작표!$AK$2:$AK$799,"*요나*")</f>
        <v>5</v>
      </c>
      <c r="D32" s="30" t="s">
        <v>10341</v>
      </c>
      <c r="E32" s="24" t="s">
        <v>10342</v>
      </c>
    </row>
    <row r="33" customFormat="false" ht="15" hidden="false" customHeight="false" outlineLevel="0" collapsed="false">
      <c r="A33" s="24" t="s">
        <v>10361</v>
      </c>
      <c r="B33" s="23" t="s">
        <v>10340</v>
      </c>
      <c r="C33" s="23" t="n">
        <f aca="false">COUNTIF(A타입_제작표!$AK$2:$AK$799,"*세례 요한*")</f>
        <v>5</v>
      </c>
      <c r="D33" s="30" t="s">
        <v>10341</v>
      </c>
      <c r="E33" s="24" t="s">
        <v>10342</v>
      </c>
    </row>
    <row r="34" customFormat="false" ht="15" hidden="false" customHeight="false" outlineLevel="0" collapsed="false">
      <c r="A34" s="24" t="s">
        <v>10362</v>
      </c>
      <c r="B34" s="23" t="s">
        <v>10340</v>
      </c>
      <c r="C34" s="23" t="n">
        <f aca="false">COUNTIF(A타입_제작표!$AK$2:$AK$799,"*베드로*")</f>
        <v>31</v>
      </c>
      <c r="D34" s="30" t="s">
        <v>10341</v>
      </c>
      <c r="E34" s="24" t="s">
        <v>10342</v>
      </c>
    </row>
    <row r="35" customFormat="false" ht="15" hidden="false" customHeight="false" outlineLevel="0" collapsed="false">
      <c r="A35" s="24" t="s">
        <v>10363</v>
      </c>
      <c r="B35" s="23" t="s">
        <v>10340</v>
      </c>
      <c r="C35" s="23" t="n">
        <f aca="false">COUNTIF(A타입_제작표!$AK$2:$AK$799,"*바울*")</f>
        <v>86</v>
      </c>
      <c r="D35" s="30" t="s">
        <v>10341</v>
      </c>
      <c r="E35" s="24" t="s">
        <v>10342</v>
      </c>
    </row>
    <row r="36" customFormat="false" ht="15" hidden="false" customHeight="false" outlineLevel="0" collapsed="false">
      <c r="A36" s="24" t="s">
        <v>10364</v>
      </c>
      <c r="B36" s="23" t="s">
        <v>10365</v>
      </c>
      <c r="C36" s="23" t="n">
        <f aca="false">COUNTIF(A타입_제작표!$I$2:$I$799,"창세기")</f>
        <v>78</v>
      </c>
      <c r="D36" s="30" t="s">
        <v>10366</v>
      </c>
      <c r="E36" s="24"/>
    </row>
    <row r="37" customFormat="false" ht="15" hidden="false" customHeight="false" outlineLevel="0" collapsed="false">
      <c r="A37" s="24" t="s">
        <v>10367</v>
      </c>
      <c r="B37" s="23" t="s">
        <v>10365</v>
      </c>
      <c r="C37" s="23" t="n">
        <f aca="false">COUNTIF(A타입_제작표!$I$2:$I$799,"출애굽기")</f>
        <v>42</v>
      </c>
      <c r="D37" s="30" t="s">
        <v>10366</v>
      </c>
      <c r="E37" s="24"/>
    </row>
    <row r="38" customFormat="false" ht="15" hidden="false" customHeight="false" outlineLevel="0" collapsed="false">
      <c r="A38" s="24" t="s">
        <v>10368</v>
      </c>
      <c r="B38" s="23" t="s">
        <v>10365</v>
      </c>
      <c r="C38" s="23" t="n">
        <f aca="false">COUNTIF(A타입_제작표!$I$2:$I$799,"레위기")</f>
        <v>12</v>
      </c>
      <c r="D38" s="30" t="s">
        <v>10366</v>
      </c>
      <c r="E38" s="24"/>
    </row>
    <row r="39" customFormat="false" ht="15" hidden="false" customHeight="false" outlineLevel="0" collapsed="false">
      <c r="A39" s="24" t="s">
        <v>10369</v>
      </c>
      <c r="B39" s="23" t="s">
        <v>10365</v>
      </c>
      <c r="C39" s="23" t="n">
        <f aca="false">COUNTIF(A타입_제작표!$I$2:$I$799,"민수기")</f>
        <v>22</v>
      </c>
      <c r="D39" s="30" t="s">
        <v>10366</v>
      </c>
      <c r="E39" s="24"/>
    </row>
    <row r="40" customFormat="false" ht="15" hidden="false" customHeight="false" outlineLevel="0" collapsed="false">
      <c r="A40" s="24" t="s">
        <v>10370</v>
      </c>
      <c r="B40" s="23" t="s">
        <v>10365</v>
      </c>
      <c r="C40" s="23" t="n">
        <f aca="false">COUNTIF(A타입_제작표!$I$2:$I$799,"신명기")</f>
        <v>14</v>
      </c>
      <c r="D40" s="30" t="s">
        <v>10366</v>
      </c>
      <c r="E40" s="24"/>
    </row>
    <row r="41" customFormat="false" ht="15" hidden="false" customHeight="false" outlineLevel="0" collapsed="false">
      <c r="A41" s="24" t="s">
        <v>10371</v>
      </c>
      <c r="B41" s="23" t="s">
        <v>10365</v>
      </c>
      <c r="C41" s="23" t="n">
        <f aca="false">COUNTIF(A타입_제작표!$I$2:$I$799,"여호수아")</f>
        <v>16</v>
      </c>
      <c r="D41" s="30" t="s">
        <v>10366</v>
      </c>
      <c r="E41" s="24"/>
    </row>
    <row r="42" customFormat="false" ht="15" hidden="false" customHeight="false" outlineLevel="0" collapsed="false">
      <c r="A42" s="24" t="s">
        <v>10372</v>
      </c>
      <c r="B42" s="23" t="s">
        <v>10365</v>
      </c>
      <c r="C42" s="23" t="n">
        <f aca="false">COUNTIF(A타입_제작표!$I$2:$I$799,"사사기")</f>
        <v>20</v>
      </c>
      <c r="D42" s="30" t="s">
        <v>10366</v>
      </c>
      <c r="E42" s="24"/>
    </row>
    <row r="43" customFormat="false" ht="15" hidden="false" customHeight="false" outlineLevel="0" collapsed="false">
      <c r="A43" s="24" t="s">
        <v>10373</v>
      </c>
      <c r="B43" s="23" t="s">
        <v>10365</v>
      </c>
      <c r="C43" s="23" t="n">
        <f aca="false">COUNTIF(A타입_제작표!$I$2:$I$799,"룻기")</f>
        <v>5</v>
      </c>
      <c r="D43" s="30" t="s">
        <v>10366</v>
      </c>
      <c r="E43" s="24"/>
    </row>
    <row r="44" customFormat="false" ht="15" hidden="false" customHeight="false" outlineLevel="0" collapsed="false">
      <c r="A44" s="24" t="s">
        <v>10374</v>
      </c>
      <c r="B44" s="23" t="s">
        <v>10365</v>
      </c>
      <c r="C44" s="23" t="n">
        <f aca="false">COUNTIF(A타입_제작표!$I$2:$I$799,"사무엘상")</f>
        <v>28</v>
      </c>
      <c r="D44" s="30" t="s">
        <v>10366</v>
      </c>
      <c r="E44" s="24"/>
    </row>
    <row r="45" customFormat="false" ht="15" hidden="false" customHeight="false" outlineLevel="0" collapsed="false">
      <c r="A45" s="24" t="s">
        <v>10375</v>
      </c>
      <c r="B45" s="23" t="s">
        <v>10365</v>
      </c>
      <c r="C45" s="23" t="n">
        <f aca="false">COUNTIF(A타입_제작표!$I$2:$I$799,"사무엘하")</f>
        <v>21</v>
      </c>
      <c r="D45" s="30" t="s">
        <v>10366</v>
      </c>
      <c r="E45" s="24"/>
    </row>
    <row r="46" customFormat="false" ht="15" hidden="false" customHeight="false" outlineLevel="0" collapsed="false">
      <c r="A46" s="24" t="s">
        <v>10376</v>
      </c>
      <c r="B46" s="23" t="s">
        <v>10365</v>
      </c>
      <c r="C46" s="23" t="n">
        <f aca="false">COUNTIF(A타입_제작표!$I$2:$I$799,"열왕기상")</f>
        <v>23</v>
      </c>
      <c r="D46" s="30" t="s">
        <v>10366</v>
      </c>
      <c r="E46" s="24"/>
    </row>
    <row r="47" customFormat="false" ht="15" hidden="false" customHeight="false" outlineLevel="0" collapsed="false">
      <c r="A47" s="24" t="s">
        <v>10377</v>
      </c>
      <c r="B47" s="23" t="s">
        <v>10365</v>
      </c>
      <c r="C47" s="23" t="n">
        <f aca="false">COUNTIF(A타입_제작표!$I$2:$I$799,"열왕기하")</f>
        <v>28</v>
      </c>
      <c r="D47" s="30" t="s">
        <v>10366</v>
      </c>
      <c r="E47" s="24"/>
    </row>
    <row r="48" customFormat="false" ht="15" hidden="false" customHeight="false" outlineLevel="0" collapsed="false">
      <c r="A48" s="24" t="s">
        <v>10378</v>
      </c>
      <c r="B48" s="23" t="s">
        <v>10365</v>
      </c>
      <c r="C48" s="23" t="n">
        <f aca="false">COUNTIF(A타입_제작표!$I$2:$I$799,"역대상")</f>
        <v>7</v>
      </c>
      <c r="D48" s="30" t="s">
        <v>10366</v>
      </c>
      <c r="E48" s="24"/>
    </row>
    <row r="49" customFormat="false" ht="15" hidden="false" customHeight="false" outlineLevel="0" collapsed="false">
      <c r="A49" s="24" t="s">
        <v>10379</v>
      </c>
      <c r="B49" s="23" t="s">
        <v>10365</v>
      </c>
      <c r="C49" s="23" t="n">
        <f aca="false">COUNTIF(A타입_제작표!$I$2:$I$799,"역대하")</f>
        <v>8</v>
      </c>
      <c r="D49" s="30" t="s">
        <v>10366</v>
      </c>
      <c r="E49" s="24"/>
    </row>
    <row r="50" customFormat="false" ht="15" hidden="false" customHeight="false" outlineLevel="0" collapsed="false">
      <c r="A50" s="24" t="s">
        <v>10380</v>
      </c>
      <c r="B50" s="23" t="s">
        <v>10365</v>
      </c>
      <c r="C50" s="23" t="n">
        <f aca="false">COUNTIF(A타입_제작표!$I$2:$I$799,"에스라")</f>
        <v>8</v>
      </c>
      <c r="D50" s="30" t="s">
        <v>10366</v>
      </c>
      <c r="E50" s="24"/>
    </row>
    <row r="51" customFormat="false" ht="15" hidden="false" customHeight="false" outlineLevel="0" collapsed="false">
      <c r="A51" s="24" t="s">
        <v>10381</v>
      </c>
      <c r="B51" s="23" t="s">
        <v>10365</v>
      </c>
      <c r="C51" s="23" t="n">
        <f aca="false">COUNTIF(A타입_제작표!$I$2:$I$799,"느헤미야")</f>
        <v>9</v>
      </c>
      <c r="D51" s="30" t="s">
        <v>10366</v>
      </c>
      <c r="E51" s="24"/>
    </row>
    <row r="52" customFormat="false" ht="15" hidden="false" customHeight="false" outlineLevel="0" collapsed="false">
      <c r="A52" s="24" t="s">
        <v>10382</v>
      </c>
      <c r="B52" s="23" t="s">
        <v>10365</v>
      </c>
      <c r="C52" s="23" t="n">
        <f aca="false">COUNTIF(A타입_제작표!$I$2:$I$799,"에스더")</f>
        <v>10</v>
      </c>
      <c r="D52" s="30" t="s">
        <v>10366</v>
      </c>
      <c r="E52" s="24"/>
    </row>
    <row r="53" customFormat="false" ht="15" hidden="false" customHeight="false" outlineLevel="0" collapsed="false">
      <c r="A53" s="24" t="s">
        <v>10383</v>
      </c>
      <c r="B53" s="23" t="s">
        <v>10365</v>
      </c>
      <c r="C53" s="23" t="n">
        <f aca="false">COUNTIF(A타입_제작표!$I$2:$I$799,"욥기")</f>
        <v>11</v>
      </c>
      <c r="D53" s="30" t="s">
        <v>10366</v>
      </c>
      <c r="E53" s="24"/>
    </row>
    <row r="54" customFormat="false" ht="15" hidden="false" customHeight="false" outlineLevel="0" collapsed="false">
      <c r="A54" s="24" t="s">
        <v>10384</v>
      </c>
      <c r="B54" s="23" t="s">
        <v>10365</v>
      </c>
      <c r="C54" s="23" t="n">
        <f aca="false">COUNTIF(A타입_제작표!$I$2:$I$799,"시편")</f>
        <v>31</v>
      </c>
      <c r="D54" s="30" t="s">
        <v>10366</v>
      </c>
      <c r="E54" s="24"/>
    </row>
    <row r="55" customFormat="false" ht="15" hidden="false" customHeight="false" outlineLevel="0" collapsed="false">
      <c r="A55" s="24" t="s">
        <v>10385</v>
      </c>
      <c r="B55" s="23" t="s">
        <v>10365</v>
      </c>
      <c r="C55" s="23" t="n">
        <f aca="false">COUNTIF(A타입_제작표!$I$2:$I$799,"잠언")</f>
        <v>9</v>
      </c>
      <c r="D55" s="30" t="s">
        <v>10366</v>
      </c>
      <c r="E55" s="24"/>
    </row>
    <row r="56" customFormat="false" ht="15" hidden="false" customHeight="false" outlineLevel="0" collapsed="false">
      <c r="A56" s="24" t="s">
        <v>10386</v>
      </c>
      <c r="B56" s="23" t="s">
        <v>10365</v>
      </c>
      <c r="C56" s="23" t="n">
        <f aca="false">COUNTIF(A타입_제작표!$I$2:$I$799,"전도서")</f>
        <v>5</v>
      </c>
      <c r="D56" s="30" t="s">
        <v>10366</v>
      </c>
      <c r="E56" s="24"/>
    </row>
    <row r="57" customFormat="false" ht="15" hidden="false" customHeight="false" outlineLevel="0" collapsed="false">
      <c r="A57" s="24" t="s">
        <v>10387</v>
      </c>
      <c r="B57" s="23" t="s">
        <v>10365</v>
      </c>
      <c r="C57" s="23" t="n">
        <f aca="false">COUNTIF(A타입_제작표!$I$2:$I$799,"아가")</f>
        <v>3</v>
      </c>
      <c r="D57" s="30" t="s">
        <v>10366</v>
      </c>
      <c r="E57" s="24"/>
    </row>
    <row r="58" customFormat="false" ht="15" hidden="false" customHeight="false" outlineLevel="0" collapsed="false">
      <c r="A58" s="24" t="s">
        <v>10388</v>
      </c>
      <c r="B58" s="23" t="s">
        <v>10365</v>
      </c>
      <c r="C58" s="23" t="n">
        <f aca="false">COUNTIF(A타입_제작표!$I$2:$I$799,"이사야")</f>
        <v>26</v>
      </c>
      <c r="D58" s="30" t="s">
        <v>10366</v>
      </c>
      <c r="E58" s="24"/>
    </row>
    <row r="59" customFormat="false" ht="15" hidden="false" customHeight="false" outlineLevel="0" collapsed="false">
      <c r="A59" s="24" t="s">
        <v>10389</v>
      </c>
      <c r="B59" s="23" t="s">
        <v>10365</v>
      </c>
      <c r="C59" s="23" t="n">
        <f aca="false">COUNTIF(A타입_제작표!$I$2:$I$799,"예레미야")</f>
        <v>20</v>
      </c>
      <c r="D59" s="30" t="s">
        <v>10366</v>
      </c>
      <c r="E59" s="24"/>
    </row>
    <row r="60" customFormat="false" ht="15" hidden="false" customHeight="false" outlineLevel="0" collapsed="false">
      <c r="A60" s="24" t="s">
        <v>10390</v>
      </c>
      <c r="B60" s="23" t="s">
        <v>10365</v>
      </c>
      <c r="C60" s="23" t="n">
        <f aca="false">COUNTIF(A타입_제작표!$I$2:$I$799,"예레미야애가")</f>
        <v>3</v>
      </c>
      <c r="D60" s="30" t="s">
        <v>10366</v>
      </c>
      <c r="E60" s="24"/>
    </row>
    <row r="61" customFormat="false" ht="15" hidden="false" customHeight="false" outlineLevel="0" collapsed="false">
      <c r="A61" s="24" t="s">
        <v>10391</v>
      </c>
      <c r="B61" s="23" t="s">
        <v>10365</v>
      </c>
      <c r="C61" s="23" t="n">
        <f aca="false">COUNTIF(A타입_제작표!$I$2:$I$799,"에스겔")</f>
        <v>14</v>
      </c>
      <c r="D61" s="30" t="s">
        <v>10366</v>
      </c>
      <c r="E61" s="24"/>
    </row>
    <row r="62" customFormat="false" ht="15" hidden="false" customHeight="false" outlineLevel="0" collapsed="false">
      <c r="A62" s="24" t="s">
        <v>10392</v>
      </c>
      <c r="B62" s="23" t="s">
        <v>10365</v>
      </c>
      <c r="C62" s="23" t="n">
        <f aca="false">COUNTIF(A타입_제작표!$I$2:$I$799,"다니엘")</f>
        <v>13</v>
      </c>
      <c r="D62" s="30" t="s">
        <v>10366</v>
      </c>
      <c r="E62" s="24"/>
    </row>
    <row r="63" customFormat="false" ht="15" hidden="false" customHeight="false" outlineLevel="0" collapsed="false">
      <c r="A63" s="24" t="s">
        <v>10393</v>
      </c>
      <c r="B63" s="23" t="s">
        <v>10365</v>
      </c>
      <c r="C63" s="23" t="n">
        <f aca="false">COUNTIF(A타입_제작표!$I$2:$I$799,"호세아")</f>
        <v>4</v>
      </c>
      <c r="D63" s="30" t="s">
        <v>10366</v>
      </c>
      <c r="E63" s="24"/>
    </row>
    <row r="64" customFormat="false" ht="15" hidden="false" customHeight="false" outlineLevel="0" collapsed="false">
      <c r="A64" s="24" t="s">
        <v>10394</v>
      </c>
      <c r="B64" s="23" t="s">
        <v>10365</v>
      </c>
      <c r="C64" s="23" t="n">
        <f aca="false">COUNTIF(A타입_제작표!$I$2:$I$799,"요엘")</f>
        <v>3</v>
      </c>
      <c r="D64" s="30" t="s">
        <v>10366</v>
      </c>
      <c r="E64" s="24"/>
    </row>
    <row r="65" customFormat="false" ht="15" hidden="false" customHeight="false" outlineLevel="0" collapsed="false">
      <c r="A65" s="24" t="s">
        <v>10395</v>
      </c>
      <c r="B65" s="23" t="s">
        <v>10365</v>
      </c>
      <c r="C65" s="23" t="n">
        <f aca="false">COUNTIF(A타입_제작표!$I$2:$I$799,"아모스")</f>
        <v>4</v>
      </c>
      <c r="D65" s="30" t="s">
        <v>10366</v>
      </c>
      <c r="E65" s="24"/>
    </row>
    <row r="66" customFormat="false" ht="15" hidden="false" customHeight="false" outlineLevel="0" collapsed="false">
      <c r="A66" s="24" t="s">
        <v>10396</v>
      </c>
      <c r="B66" s="23" t="s">
        <v>10365</v>
      </c>
      <c r="C66" s="23" t="n">
        <f aca="false">COUNTIF(A타입_제작표!$I$2:$I$799,"오바댜")</f>
        <v>1</v>
      </c>
      <c r="D66" s="30" t="s">
        <v>10366</v>
      </c>
      <c r="E66" s="24"/>
    </row>
    <row r="67" customFormat="false" ht="15" hidden="false" customHeight="false" outlineLevel="0" collapsed="false">
      <c r="A67" s="24" t="s">
        <v>10397</v>
      </c>
      <c r="B67" s="23" t="s">
        <v>10365</v>
      </c>
      <c r="C67" s="23" t="n">
        <f aca="false">COUNTIF(A타입_제작표!$I$2:$I$799,"요나")</f>
        <v>5</v>
      </c>
      <c r="D67" s="30" t="s">
        <v>10366</v>
      </c>
      <c r="E67" s="24"/>
    </row>
    <row r="68" customFormat="false" ht="15" hidden="false" customHeight="false" outlineLevel="0" collapsed="false">
      <c r="A68" s="24" t="s">
        <v>10398</v>
      </c>
      <c r="B68" s="23" t="s">
        <v>10365</v>
      </c>
      <c r="C68" s="23" t="n">
        <f aca="false">COUNTIF(A타입_제작표!$I$2:$I$799,"미가")</f>
        <v>3</v>
      </c>
      <c r="D68" s="30" t="s">
        <v>10366</v>
      </c>
      <c r="E68" s="24"/>
    </row>
    <row r="69" customFormat="false" ht="15" hidden="false" customHeight="false" outlineLevel="0" collapsed="false">
      <c r="A69" s="24" t="s">
        <v>10399</v>
      </c>
      <c r="B69" s="23" t="s">
        <v>10365</v>
      </c>
      <c r="C69" s="23" t="n">
        <f aca="false">COUNTIF(A타입_제작표!$I$2:$I$799,"나훔")</f>
        <v>1</v>
      </c>
      <c r="D69" s="30" t="s">
        <v>10366</v>
      </c>
      <c r="E69" s="24"/>
    </row>
    <row r="70" customFormat="false" ht="15" hidden="false" customHeight="false" outlineLevel="0" collapsed="false">
      <c r="A70" s="24" t="s">
        <v>10400</v>
      </c>
      <c r="B70" s="23" t="s">
        <v>10365</v>
      </c>
      <c r="C70" s="23" t="n">
        <f aca="false">COUNTIF(A타입_제작표!$I$2:$I$799,"하박국")</f>
        <v>3</v>
      </c>
      <c r="D70" s="30" t="s">
        <v>10366</v>
      </c>
      <c r="E70" s="24"/>
    </row>
    <row r="71" customFormat="false" ht="15" hidden="false" customHeight="false" outlineLevel="0" collapsed="false">
      <c r="A71" s="24" t="s">
        <v>10401</v>
      </c>
      <c r="B71" s="23" t="s">
        <v>10365</v>
      </c>
      <c r="C71" s="23" t="n">
        <f aca="false">COUNTIF(A타입_제작표!$I$2:$I$799,"스바냐")</f>
        <v>2</v>
      </c>
      <c r="D71" s="30" t="s">
        <v>10366</v>
      </c>
      <c r="E71" s="24"/>
    </row>
    <row r="72" customFormat="false" ht="15" hidden="false" customHeight="false" outlineLevel="0" collapsed="false">
      <c r="A72" s="24" t="s">
        <v>10402</v>
      </c>
      <c r="B72" s="23" t="s">
        <v>10365</v>
      </c>
      <c r="C72" s="23" t="n">
        <f aca="false">COUNTIF(A타입_제작표!$I$2:$I$799,"학개")</f>
        <v>2</v>
      </c>
      <c r="D72" s="30" t="s">
        <v>10366</v>
      </c>
      <c r="E72" s="24"/>
    </row>
    <row r="73" customFormat="false" ht="15" hidden="false" customHeight="false" outlineLevel="0" collapsed="false">
      <c r="A73" s="24" t="s">
        <v>10403</v>
      </c>
      <c r="B73" s="23" t="s">
        <v>10365</v>
      </c>
      <c r="C73" s="23" t="n">
        <f aca="false">COUNTIF(A타입_제작표!$I$2:$I$799,"스가랴")</f>
        <v>4</v>
      </c>
      <c r="D73" s="30" t="s">
        <v>10366</v>
      </c>
      <c r="E73" s="24"/>
    </row>
    <row r="74" customFormat="false" ht="15" hidden="false" customHeight="false" outlineLevel="0" collapsed="false">
      <c r="A74" s="24" t="s">
        <v>10404</v>
      </c>
      <c r="B74" s="23" t="s">
        <v>10365</v>
      </c>
      <c r="C74" s="23" t="n">
        <f aca="false">COUNTIF(A타입_제작표!$I$2:$I$799,"말라기")</f>
        <v>3</v>
      </c>
      <c r="D74" s="30" t="s">
        <v>10366</v>
      </c>
      <c r="E74" s="24"/>
    </row>
    <row r="75" customFormat="false" ht="15" hidden="false" customHeight="false" outlineLevel="0" collapsed="false">
      <c r="A75" s="24" t="s">
        <v>10405</v>
      </c>
      <c r="B75" s="23" t="s">
        <v>10365</v>
      </c>
      <c r="C75" s="23" t="n">
        <f aca="false">COUNTIF(A타입_제작표!$I$2:$I$799,"마태복음")</f>
        <v>55</v>
      </c>
      <c r="D75" s="30" t="s">
        <v>10366</v>
      </c>
      <c r="E75" s="24"/>
    </row>
    <row r="76" customFormat="false" ht="15" hidden="false" customHeight="false" outlineLevel="0" collapsed="false">
      <c r="A76" s="24" t="s">
        <v>10406</v>
      </c>
      <c r="B76" s="23" t="s">
        <v>10365</v>
      </c>
      <c r="C76" s="23" t="n">
        <f aca="false">COUNTIF(A타입_제작표!$I$2:$I$799,"마가복음")</f>
        <v>12</v>
      </c>
      <c r="D76" s="30" t="s">
        <v>10366</v>
      </c>
      <c r="E76" s="24"/>
    </row>
    <row r="77" customFormat="false" ht="15" hidden="false" customHeight="false" outlineLevel="0" collapsed="false">
      <c r="A77" s="24" t="s">
        <v>10407</v>
      </c>
      <c r="B77" s="23" t="s">
        <v>10365</v>
      </c>
      <c r="C77" s="23" t="n">
        <f aca="false">COUNTIF(A타입_제작표!$I$2:$I$799,"누가복음")</f>
        <v>28</v>
      </c>
      <c r="D77" s="30" t="s">
        <v>10366</v>
      </c>
      <c r="E77" s="24"/>
    </row>
    <row r="78" customFormat="false" ht="15" hidden="false" customHeight="false" outlineLevel="0" collapsed="false">
      <c r="A78" s="24" t="s">
        <v>10408</v>
      </c>
      <c r="B78" s="23" t="s">
        <v>10365</v>
      </c>
      <c r="C78" s="23" t="n">
        <f aca="false">COUNTIF(A타입_제작표!$I$2:$I$799,"요한복음")</f>
        <v>30</v>
      </c>
      <c r="D78" s="30" t="s">
        <v>10366</v>
      </c>
      <c r="E78" s="24"/>
    </row>
    <row r="79" customFormat="false" ht="15" hidden="false" customHeight="false" outlineLevel="0" collapsed="false">
      <c r="A79" s="24" t="s">
        <v>10409</v>
      </c>
      <c r="B79" s="23" t="s">
        <v>10365</v>
      </c>
      <c r="C79" s="23" t="n">
        <f aca="false">COUNTIF(A타입_제작표!$I$2:$I$799,"사도행전")</f>
        <v>38</v>
      </c>
      <c r="D79" s="30" t="s">
        <v>10366</v>
      </c>
      <c r="E79" s="24"/>
    </row>
    <row r="80" customFormat="false" ht="15" hidden="false" customHeight="false" outlineLevel="0" collapsed="false">
      <c r="A80" s="24" t="s">
        <v>10410</v>
      </c>
      <c r="B80" s="23" t="s">
        <v>10365</v>
      </c>
      <c r="C80" s="23" t="n">
        <f aca="false">COUNTIF(A타입_제작표!$I$2:$I$799,"로마서")</f>
        <v>13</v>
      </c>
      <c r="D80" s="30" t="s">
        <v>10366</v>
      </c>
      <c r="E80" s="24"/>
    </row>
    <row r="81" customFormat="false" ht="15" hidden="false" customHeight="false" outlineLevel="0" collapsed="false">
      <c r="A81" s="24" t="s">
        <v>10411</v>
      </c>
      <c r="B81" s="23" t="s">
        <v>10365</v>
      </c>
      <c r="C81" s="23" t="n">
        <f aca="false">COUNTIF(A타입_제작표!$I$2:$I$799,"고린도전서")</f>
        <v>10</v>
      </c>
      <c r="D81" s="30" t="s">
        <v>10366</v>
      </c>
      <c r="E81" s="24"/>
    </row>
    <row r="82" customFormat="false" ht="15" hidden="false" customHeight="false" outlineLevel="0" collapsed="false">
      <c r="A82" s="24" t="s">
        <v>10412</v>
      </c>
      <c r="B82" s="23" t="s">
        <v>10365</v>
      </c>
      <c r="C82" s="23" t="n">
        <f aca="false">COUNTIF(A타입_제작표!$I$2:$I$799,"고린도후서")</f>
        <v>6</v>
      </c>
      <c r="D82" s="30" t="s">
        <v>10366</v>
      </c>
      <c r="E82" s="24"/>
    </row>
    <row r="83" customFormat="false" ht="15" hidden="false" customHeight="false" outlineLevel="0" collapsed="false">
      <c r="A83" s="24" t="s">
        <v>10413</v>
      </c>
      <c r="B83" s="23" t="s">
        <v>10365</v>
      </c>
      <c r="C83" s="23" t="n">
        <f aca="false">COUNTIF(A타입_제작표!$I$2:$I$799,"갈라디아서")</f>
        <v>5</v>
      </c>
      <c r="D83" s="30" t="s">
        <v>10366</v>
      </c>
      <c r="E83" s="24"/>
    </row>
    <row r="84" customFormat="false" ht="15" hidden="false" customHeight="false" outlineLevel="0" collapsed="false">
      <c r="A84" s="24" t="s">
        <v>10414</v>
      </c>
      <c r="B84" s="23" t="s">
        <v>10365</v>
      </c>
      <c r="C84" s="23" t="n">
        <f aca="false">COUNTIF(A타입_제작표!$I$2:$I$799,"에베소서")</f>
        <v>6</v>
      </c>
      <c r="D84" s="30" t="s">
        <v>10366</v>
      </c>
      <c r="E84" s="24"/>
    </row>
    <row r="85" customFormat="false" ht="15" hidden="false" customHeight="false" outlineLevel="0" collapsed="false">
      <c r="A85" s="24" t="s">
        <v>10415</v>
      </c>
      <c r="B85" s="23" t="s">
        <v>10365</v>
      </c>
      <c r="C85" s="23" t="n">
        <f aca="false">COUNTIF(A타입_제작표!$I$2:$I$799,"빌립보서")</f>
        <v>4</v>
      </c>
      <c r="D85" s="30" t="s">
        <v>10366</v>
      </c>
      <c r="E85" s="24"/>
    </row>
    <row r="86" customFormat="false" ht="15" hidden="false" customHeight="false" outlineLevel="0" collapsed="false">
      <c r="A86" s="24" t="s">
        <v>10416</v>
      </c>
      <c r="B86" s="23" t="s">
        <v>10365</v>
      </c>
      <c r="C86" s="23" t="n">
        <f aca="false">COUNTIF(A타입_제작표!$I$2:$I$799,"골로새서")</f>
        <v>4</v>
      </c>
      <c r="D86" s="30" t="s">
        <v>10366</v>
      </c>
      <c r="E86" s="24"/>
    </row>
    <row r="87" customFormat="false" ht="15" hidden="false" customHeight="false" outlineLevel="0" collapsed="false">
      <c r="A87" s="24" t="s">
        <v>10417</v>
      </c>
      <c r="B87" s="23" t="s">
        <v>10365</v>
      </c>
      <c r="C87" s="23" t="n">
        <f aca="false">COUNTIF(A타입_제작표!$I$2:$I$799,"데살로니가전서")</f>
        <v>3</v>
      </c>
      <c r="D87" s="30" t="s">
        <v>10366</v>
      </c>
      <c r="E87" s="24"/>
    </row>
    <row r="88" customFormat="false" ht="15" hidden="false" customHeight="false" outlineLevel="0" collapsed="false">
      <c r="A88" s="24" t="s">
        <v>10418</v>
      </c>
      <c r="B88" s="23" t="s">
        <v>10365</v>
      </c>
      <c r="C88" s="23" t="n">
        <f aca="false">COUNTIF(A타입_제작표!$I$2:$I$799,"데살로니가후서")</f>
        <v>2</v>
      </c>
      <c r="D88" s="30" t="s">
        <v>10366</v>
      </c>
      <c r="E88" s="24"/>
    </row>
    <row r="89" customFormat="false" ht="15" hidden="false" customHeight="false" outlineLevel="0" collapsed="false">
      <c r="A89" s="24" t="s">
        <v>10419</v>
      </c>
      <c r="B89" s="23" t="s">
        <v>10365</v>
      </c>
      <c r="C89" s="23" t="n">
        <f aca="false">COUNTIF(A타입_제작표!$I$2:$I$799,"디모데전서")</f>
        <v>4</v>
      </c>
      <c r="D89" s="30" t="s">
        <v>10366</v>
      </c>
      <c r="E89" s="24"/>
    </row>
    <row r="90" customFormat="false" ht="15" hidden="false" customHeight="false" outlineLevel="0" collapsed="false">
      <c r="A90" s="24" t="s">
        <v>10420</v>
      </c>
      <c r="B90" s="23" t="s">
        <v>10365</v>
      </c>
      <c r="C90" s="23" t="n">
        <f aca="false">COUNTIF(A타입_제작표!$I$2:$I$799,"디모데후서")</f>
        <v>3</v>
      </c>
      <c r="D90" s="30" t="s">
        <v>10366</v>
      </c>
      <c r="E90" s="24"/>
    </row>
    <row r="91" customFormat="false" ht="15" hidden="false" customHeight="false" outlineLevel="0" collapsed="false">
      <c r="A91" s="24" t="s">
        <v>10421</v>
      </c>
      <c r="B91" s="23" t="s">
        <v>10365</v>
      </c>
      <c r="C91" s="23" t="n">
        <f aca="false">COUNTIF(A타입_제작표!$I$2:$I$799,"디도서")</f>
        <v>2</v>
      </c>
      <c r="D91" s="30" t="s">
        <v>10366</v>
      </c>
      <c r="E91" s="24"/>
    </row>
    <row r="92" customFormat="false" ht="15" hidden="false" customHeight="false" outlineLevel="0" collapsed="false">
      <c r="A92" s="24" t="s">
        <v>10422</v>
      </c>
      <c r="B92" s="23" t="s">
        <v>10365</v>
      </c>
      <c r="C92" s="23" t="n">
        <f aca="false">COUNTIF(A타입_제작표!$I$2:$I$799,"빌레몬서")</f>
        <v>1</v>
      </c>
      <c r="D92" s="30" t="s">
        <v>10366</v>
      </c>
      <c r="E92" s="24"/>
    </row>
    <row r="93" customFormat="false" ht="15" hidden="false" customHeight="false" outlineLevel="0" collapsed="false">
      <c r="A93" s="24" t="s">
        <v>10423</v>
      </c>
      <c r="B93" s="23" t="s">
        <v>10365</v>
      </c>
      <c r="C93" s="23" t="n">
        <f aca="false">COUNTIF(A타입_제작표!$I$2:$I$799,"히브리서")</f>
        <v>10</v>
      </c>
      <c r="D93" s="30" t="s">
        <v>10366</v>
      </c>
      <c r="E93" s="24"/>
    </row>
    <row r="94" customFormat="false" ht="15" hidden="false" customHeight="false" outlineLevel="0" collapsed="false">
      <c r="A94" s="24" t="s">
        <v>10424</v>
      </c>
      <c r="B94" s="23" t="s">
        <v>10365</v>
      </c>
      <c r="C94" s="23" t="n">
        <f aca="false">COUNTIF(A타입_제작표!$I$2:$I$799,"야고보서")</f>
        <v>5</v>
      </c>
      <c r="D94" s="30" t="s">
        <v>10366</v>
      </c>
      <c r="E94" s="24"/>
    </row>
    <row r="95" customFormat="false" ht="15" hidden="false" customHeight="false" outlineLevel="0" collapsed="false">
      <c r="A95" s="24" t="s">
        <v>10425</v>
      </c>
      <c r="B95" s="23" t="s">
        <v>10365</v>
      </c>
      <c r="C95" s="23" t="n">
        <f aca="false">COUNTIF(A타입_제작표!$I$2:$I$799,"베드로전서")</f>
        <v>4</v>
      </c>
      <c r="D95" s="30" t="s">
        <v>10366</v>
      </c>
      <c r="E95" s="24"/>
    </row>
    <row r="96" customFormat="false" ht="15" hidden="false" customHeight="false" outlineLevel="0" collapsed="false">
      <c r="A96" s="24" t="s">
        <v>10426</v>
      </c>
      <c r="B96" s="23" t="s">
        <v>10365</v>
      </c>
      <c r="C96" s="23" t="n">
        <f aca="false">COUNTIF(A타입_제작표!$I$2:$I$799,"베드로후서")</f>
        <v>3</v>
      </c>
      <c r="D96" s="30" t="s">
        <v>10366</v>
      </c>
      <c r="E96" s="24"/>
    </row>
    <row r="97" customFormat="false" ht="15" hidden="false" customHeight="false" outlineLevel="0" collapsed="false">
      <c r="A97" s="24" t="s">
        <v>10427</v>
      </c>
      <c r="B97" s="23" t="s">
        <v>10365</v>
      </c>
      <c r="C97" s="23" t="n">
        <f aca="false">COUNTIF(A타입_제작표!$I$2:$I$799,"요한일서")</f>
        <v>4</v>
      </c>
      <c r="D97" s="30" t="s">
        <v>10366</v>
      </c>
      <c r="E97" s="24"/>
    </row>
    <row r="98" customFormat="false" ht="15" hidden="false" customHeight="false" outlineLevel="0" collapsed="false">
      <c r="A98" s="24" t="s">
        <v>10428</v>
      </c>
      <c r="B98" s="23" t="s">
        <v>10365</v>
      </c>
      <c r="C98" s="23" t="n">
        <f aca="false">COUNTIF(A타입_제작표!$I$2:$I$799,"요한이서")</f>
        <v>1</v>
      </c>
      <c r="D98" s="30" t="s">
        <v>10366</v>
      </c>
      <c r="E98" s="24"/>
    </row>
    <row r="99" customFormat="false" ht="15" hidden="false" customHeight="false" outlineLevel="0" collapsed="false">
      <c r="A99" s="24" t="s">
        <v>10429</v>
      </c>
      <c r="B99" s="23" t="s">
        <v>10365</v>
      </c>
      <c r="C99" s="23" t="n">
        <f aca="false">COUNTIF(A타입_제작표!$I$2:$I$799,"요한삼서")</f>
        <v>1</v>
      </c>
      <c r="D99" s="30" t="s">
        <v>10366</v>
      </c>
      <c r="E99" s="24"/>
    </row>
    <row r="100" customFormat="false" ht="15" hidden="false" customHeight="false" outlineLevel="0" collapsed="false">
      <c r="A100" s="24" t="s">
        <v>10430</v>
      </c>
      <c r="B100" s="23" t="s">
        <v>10365</v>
      </c>
      <c r="C100" s="23" t="n">
        <f aca="false">COUNTIF(A타입_제작표!$I$2:$I$799,"유다서")</f>
        <v>1</v>
      </c>
      <c r="D100" s="30" t="s">
        <v>10366</v>
      </c>
      <c r="E100" s="24"/>
    </row>
    <row r="101" customFormat="false" ht="15" hidden="false" customHeight="false" outlineLevel="0" collapsed="false">
      <c r="A101" s="24" t="s">
        <v>10431</v>
      </c>
      <c r="B101" s="23" t="s">
        <v>10365</v>
      </c>
      <c r="C101" s="23" t="n">
        <f aca="false">COUNTIF(A타입_제작표!$I$2:$I$799,"요한계시록")</f>
        <v>22</v>
      </c>
      <c r="D101" s="30" t="s">
        <v>10366</v>
      </c>
      <c r="E1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7" t="s">
        <v>10432</v>
      </c>
      <c r="B1" s="16" t="s">
        <v>10340</v>
      </c>
      <c r="C1" s="16" t="s">
        <v>10433</v>
      </c>
      <c r="D1" s="16" t="s">
        <v>10434</v>
      </c>
      <c r="E1" s="16" t="s">
        <v>10435</v>
      </c>
      <c r="F1" s="16" t="s">
        <v>10436</v>
      </c>
      <c r="G1" s="16" t="s">
        <v>10437</v>
      </c>
      <c r="H1" s="16" t="s">
        <v>10438</v>
      </c>
      <c r="I1" s="16" t="s">
        <v>10439</v>
      </c>
      <c r="J1" s="16" t="s">
        <v>10440</v>
      </c>
      <c r="K1" s="16" t="s">
        <v>10441</v>
      </c>
      <c r="L1" s="16" t="s">
        <v>10442</v>
      </c>
    </row>
    <row r="2" customFormat="false" ht="39.55" hidden="false" customHeight="false" outlineLevel="0" collapsed="false">
      <c r="A2" s="31" t="s">
        <v>10443</v>
      </c>
      <c r="B2" s="24" t="s">
        <v>10444</v>
      </c>
      <c r="C2" s="23" t="s">
        <v>10445</v>
      </c>
      <c r="D2" s="23" t="s">
        <v>10446</v>
      </c>
      <c r="E2" s="24" t="s">
        <v>10447</v>
      </c>
      <c r="F2" s="30" t="s">
        <v>10448</v>
      </c>
      <c r="G2" s="50" t="s">
        <v>10449</v>
      </c>
      <c r="H2" s="50" t="s">
        <v>10450</v>
      </c>
      <c r="I2" s="24" t="s">
        <v>10451</v>
      </c>
      <c r="J2" s="24" t="s">
        <v>10452</v>
      </c>
      <c r="K2" s="23" t="n">
        <f aca="false">COUNTIF(A타입_제작표!$P$2:$P$799,"*"&amp;C2&amp;"*")</f>
        <v>31</v>
      </c>
      <c r="L2" s="23" t="s">
        <v>10453</v>
      </c>
    </row>
    <row r="3" customFormat="false" ht="39.55" hidden="false" customHeight="false" outlineLevel="0" collapsed="false">
      <c r="A3" s="31" t="s">
        <v>10454</v>
      </c>
      <c r="B3" s="24" t="s">
        <v>10455</v>
      </c>
      <c r="C3" s="23" t="s">
        <v>10456</v>
      </c>
      <c r="D3" s="23" t="s">
        <v>10446</v>
      </c>
      <c r="E3" s="24" t="s">
        <v>10457</v>
      </c>
      <c r="F3" s="24" t="s">
        <v>10458</v>
      </c>
      <c r="G3" s="49" t="s">
        <v>10459</v>
      </c>
      <c r="H3" s="50" t="s">
        <v>10460</v>
      </c>
      <c r="I3" s="24" t="s">
        <v>10461</v>
      </c>
      <c r="J3" s="24" t="s">
        <v>10462</v>
      </c>
      <c r="K3" s="23" t="n">
        <f aca="false">COUNTIF(A타입_제작표!$P$2:$P$799,"*"&amp;C3&amp;"*")</f>
        <v>103</v>
      </c>
      <c r="L3" s="23" t="s">
        <v>10453</v>
      </c>
    </row>
    <row r="4" customFormat="false" ht="26.85" hidden="false" customHeight="false" outlineLevel="0" collapsed="false">
      <c r="A4" s="31" t="s">
        <v>10463</v>
      </c>
      <c r="B4" s="24" t="s">
        <v>10464</v>
      </c>
      <c r="C4" s="23" t="s">
        <v>10464</v>
      </c>
      <c r="D4" s="23" t="s">
        <v>10446</v>
      </c>
      <c r="E4" s="24" t="s">
        <v>10447</v>
      </c>
      <c r="F4" s="30" t="s">
        <v>10448</v>
      </c>
      <c r="G4" s="50" t="s">
        <v>10449</v>
      </c>
      <c r="H4" s="50" t="s">
        <v>10465</v>
      </c>
      <c r="I4" s="30" t="s">
        <v>10448</v>
      </c>
      <c r="J4" s="24" t="s">
        <v>10466</v>
      </c>
      <c r="K4" s="23" t="n">
        <f aca="false">COUNTIF(A타입_제작표!$P$2:$P$799,"*"&amp;C4&amp;"*")</f>
        <v>1</v>
      </c>
      <c r="L4" s="23" t="s">
        <v>10453</v>
      </c>
    </row>
    <row r="5" customFormat="false" ht="26.85" hidden="false" customHeight="false" outlineLevel="0" collapsed="false">
      <c r="A5" s="31" t="s">
        <v>10467</v>
      </c>
      <c r="B5" s="24" t="s">
        <v>10468</v>
      </c>
      <c r="C5" s="23" t="s">
        <v>10469</v>
      </c>
      <c r="D5" s="23" t="s">
        <v>10470</v>
      </c>
      <c r="E5" s="24" t="s">
        <v>10447</v>
      </c>
      <c r="F5" s="30" t="s">
        <v>10448</v>
      </c>
      <c r="G5" s="50" t="s">
        <v>10471</v>
      </c>
      <c r="H5" s="50" t="s">
        <v>10472</v>
      </c>
      <c r="I5" s="24" t="s">
        <v>10473</v>
      </c>
      <c r="J5" s="24" t="s">
        <v>10474</v>
      </c>
      <c r="K5" s="23" t="n">
        <f aca="false">COUNTIF(A타입_제작표!$P$2:$P$799,"*"&amp;C5&amp;"*")</f>
        <v>20</v>
      </c>
      <c r="L5" s="23" t="s">
        <v>174</v>
      </c>
    </row>
    <row r="6" customFormat="false" ht="26.85" hidden="false" customHeight="false" outlineLevel="0" collapsed="false">
      <c r="A6" s="31" t="s">
        <v>10475</v>
      </c>
      <c r="B6" s="24" t="s">
        <v>10476</v>
      </c>
      <c r="C6" s="23" t="s">
        <v>10477</v>
      </c>
      <c r="D6" s="23" t="s">
        <v>10470</v>
      </c>
      <c r="E6" s="24" t="s">
        <v>10478</v>
      </c>
      <c r="F6" s="30" t="s">
        <v>10448</v>
      </c>
      <c r="G6" s="50" t="s">
        <v>10479</v>
      </c>
      <c r="H6" s="49" t="s">
        <v>10448</v>
      </c>
      <c r="I6" s="24" t="s">
        <v>10480</v>
      </c>
      <c r="J6" s="24" t="s">
        <v>10481</v>
      </c>
      <c r="K6" s="23" t="n">
        <f aca="false">COUNTIF(A타입_제작표!$P$2:$P$799,"*"&amp;C6&amp;"*")</f>
        <v>2</v>
      </c>
      <c r="L6" s="23" t="s">
        <v>174</v>
      </c>
    </row>
    <row r="7" customFormat="false" ht="26.85" hidden="false" customHeight="false" outlineLevel="0" collapsed="false">
      <c r="A7" s="31" t="s">
        <v>10482</v>
      </c>
      <c r="B7" s="24" t="s">
        <v>217</v>
      </c>
      <c r="C7" s="23" t="s">
        <v>217</v>
      </c>
      <c r="D7" s="23" t="s">
        <v>160</v>
      </c>
      <c r="E7" s="24" t="s">
        <v>10483</v>
      </c>
      <c r="F7" s="24" t="s">
        <v>10484</v>
      </c>
      <c r="G7" s="50" t="s">
        <v>10485</v>
      </c>
      <c r="H7" s="50" t="s">
        <v>10486</v>
      </c>
      <c r="I7" s="24" t="s">
        <v>10487</v>
      </c>
      <c r="J7" s="24" t="s">
        <v>10488</v>
      </c>
      <c r="K7" s="23" t="n">
        <f aca="false">COUNTIF(A타입_제작표!$P$2:$P$799,"*"&amp;C7&amp;"*")</f>
        <v>10</v>
      </c>
      <c r="L7" s="23" t="s">
        <v>174</v>
      </c>
    </row>
    <row r="8" customFormat="false" ht="26.85" hidden="false" customHeight="false" outlineLevel="0" collapsed="false">
      <c r="A8" s="31" t="s">
        <v>10489</v>
      </c>
      <c r="B8" s="24" t="s">
        <v>10490</v>
      </c>
      <c r="C8" s="23" t="s">
        <v>10490</v>
      </c>
      <c r="D8" s="23" t="s">
        <v>160</v>
      </c>
      <c r="E8" s="24" t="s">
        <v>10491</v>
      </c>
      <c r="F8" s="24" t="s">
        <v>10492</v>
      </c>
      <c r="G8" s="50" t="s">
        <v>10493</v>
      </c>
      <c r="H8" s="50" t="s">
        <v>10494</v>
      </c>
      <c r="I8" s="24" t="s">
        <v>10495</v>
      </c>
      <c r="J8" s="24" t="s">
        <v>10496</v>
      </c>
      <c r="K8" s="23" t="n">
        <f aca="false">COUNTIF(A타입_제작표!$P$2:$P$799,"*"&amp;C8&amp;"*")</f>
        <v>6</v>
      </c>
      <c r="L8" s="23" t="s">
        <v>174</v>
      </c>
    </row>
    <row r="9" customFormat="false" ht="26.85" hidden="false" customHeight="false" outlineLevel="0" collapsed="false">
      <c r="A9" s="31" t="s">
        <v>10497</v>
      </c>
      <c r="B9" s="24" t="s">
        <v>10498</v>
      </c>
      <c r="C9" s="23" t="s">
        <v>10499</v>
      </c>
      <c r="D9" s="23" t="s">
        <v>160</v>
      </c>
      <c r="E9" s="24" t="s">
        <v>10500</v>
      </c>
      <c r="F9" s="24" t="s">
        <v>10501</v>
      </c>
      <c r="G9" s="50" t="s">
        <v>10502</v>
      </c>
      <c r="H9" s="50" t="s">
        <v>10503</v>
      </c>
      <c r="I9" s="24" t="s">
        <v>10504</v>
      </c>
      <c r="J9" s="24" t="s">
        <v>10505</v>
      </c>
      <c r="K9" s="23" t="n">
        <f aca="false">COUNTIF(A타입_제작표!$P$2:$P$799,"*"&amp;C9&amp;"*")</f>
        <v>2</v>
      </c>
      <c r="L9" s="23" t="s">
        <v>174</v>
      </c>
    </row>
    <row r="10" customFormat="false" ht="15" hidden="false" customHeight="false" outlineLevel="0" collapsed="false">
      <c r="A10" s="31" t="s">
        <v>10506</v>
      </c>
      <c r="B10" s="24" t="s">
        <v>327</v>
      </c>
      <c r="C10" s="23" t="s">
        <v>327</v>
      </c>
      <c r="D10" s="23" t="s">
        <v>160</v>
      </c>
      <c r="E10" s="24" t="s">
        <v>10507</v>
      </c>
      <c r="F10" s="30" t="s">
        <v>10508</v>
      </c>
      <c r="G10" s="50" t="s">
        <v>10509</v>
      </c>
      <c r="H10" s="50" t="s">
        <v>10510</v>
      </c>
      <c r="I10" s="24" t="s">
        <v>10511</v>
      </c>
      <c r="J10" s="30" t="s">
        <v>10448</v>
      </c>
      <c r="K10" s="23" t="n">
        <f aca="false">COUNTIF(A타입_제작표!$P$2:$P$799,"*"&amp;C10&amp;"*")</f>
        <v>10</v>
      </c>
      <c r="L10" s="23" t="s">
        <v>174</v>
      </c>
    </row>
    <row r="11" customFormat="false" ht="15" hidden="false" customHeight="false" outlineLevel="0" collapsed="false">
      <c r="A11" s="31" t="s">
        <v>10512</v>
      </c>
      <c r="B11" s="24" t="s">
        <v>10513</v>
      </c>
      <c r="C11" s="23" t="s">
        <v>422</v>
      </c>
      <c r="D11" s="23" t="s">
        <v>160</v>
      </c>
      <c r="E11" s="24" t="s">
        <v>10514</v>
      </c>
      <c r="F11" s="30" t="s">
        <v>10515</v>
      </c>
      <c r="G11" s="50" t="s">
        <v>10516</v>
      </c>
      <c r="H11" s="50" t="s">
        <v>10517</v>
      </c>
      <c r="I11" s="24" t="s">
        <v>10518</v>
      </c>
      <c r="J11" s="24" t="s">
        <v>10519</v>
      </c>
      <c r="K11" s="23" t="n">
        <f aca="false">COUNTIF(A타입_제작표!$P$2:$P$799,"*"&amp;C11&amp;"*")</f>
        <v>15</v>
      </c>
      <c r="L11" s="23" t="s">
        <v>174</v>
      </c>
    </row>
    <row r="12" customFormat="false" ht="15" hidden="false" customHeight="false" outlineLevel="0" collapsed="false">
      <c r="A12" s="31" t="s">
        <v>10520</v>
      </c>
      <c r="B12" s="24" t="s">
        <v>10521</v>
      </c>
      <c r="C12" s="23" t="s">
        <v>10522</v>
      </c>
      <c r="D12" s="23" t="s">
        <v>160</v>
      </c>
      <c r="E12" s="24" t="s">
        <v>10523</v>
      </c>
      <c r="F12" s="30" t="s">
        <v>10524</v>
      </c>
      <c r="G12" s="50" t="s">
        <v>10525</v>
      </c>
      <c r="H12" s="50" t="s">
        <v>10526</v>
      </c>
      <c r="I12" s="24" t="s">
        <v>10527</v>
      </c>
      <c r="J12" s="30" t="s">
        <v>10448</v>
      </c>
      <c r="K12" s="23" t="n">
        <f aca="false">COUNTIF(A타입_제작표!$P$2:$P$799,"*"&amp;C12&amp;"*")</f>
        <v>4</v>
      </c>
      <c r="L12" s="23" t="s">
        <v>174</v>
      </c>
    </row>
    <row r="13" customFormat="false" ht="15" hidden="false" customHeight="false" outlineLevel="0" collapsed="false">
      <c r="A13" s="31" t="s">
        <v>10528</v>
      </c>
      <c r="B13" s="24" t="s">
        <v>10529</v>
      </c>
      <c r="C13" s="23" t="s">
        <v>10529</v>
      </c>
      <c r="D13" s="23" t="s">
        <v>160</v>
      </c>
      <c r="E13" s="24" t="s">
        <v>10530</v>
      </c>
      <c r="F13" s="24" t="s">
        <v>10531</v>
      </c>
      <c r="G13" s="50" t="s">
        <v>10532</v>
      </c>
      <c r="H13" s="50" t="s">
        <v>10533</v>
      </c>
      <c r="I13" s="24" t="s">
        <v>10534</v>
      </c>
      <c r="J13" s="24" t="s">
        <v>10535</v>
      </c>
      <c r="K13" s="23" t="n">
        <f aca="false">COUNTIF(A타입_제작표!$P$2:$P$799,"*"&amp;C13&amp;"*")</f>
        <v>10</v>
      </c>
      <c r="L13" s="23" t="s">
        <v>174</v>
      </c>
    </row>
    <row r="14" customFormat="false" ht="15" hidden="false" customHeight="false" outlineLevel="0" collapsed="false">
      <c r="A14" s="31" t="s">
        <v>10536</v>
      </c>
      <c r="B14" s="24" t="s">
        <v>10537</v>
      </c>
      <c r="C14" s="23" t="s">
        <v>10537</v>
      </c>
      <c r="D14" s="23" t="s">
        <v>160</v>
      </c>
      <c r="E14" s="24" t="s">
        <v>10538</v>
      </c>
      <c r="F14" s="24" t="s">
        <v>10539</v>
      </c>
      <c r="G14" s="50" t="s">
        <v>10540</v>
      </c>
      <c r="H14" s="50" t="s">
        <v>10541</v>
      </c>
      <c r="I14" s="24" t="s">
        <v>10542</v>
      </c>
      <c r="J14" s="30" t="s">
        <v>10448</v>
      </c>
      <c r="K14" s="23" t="n">
        <f aca="false">COUNTIF(A타입_제작표!$P$2:$P$799,"*"&amp;C14&amp;"*")</f>
        <v>6</v>
      </c>
      <c r="L14" s="23" t="s">
        <v>174</v>
      </c>
    </row>
    <row r="15" customFormat="false" ht="26.85" hidden="false" customHeight="false" outlineLevel="0" collapsed="false">
      <c r="A15" s="31" t="s">
        <v>10543</v>
      </c>
      <c r="B15" s="24" t="s">
        <v>10544</v>
      </c>
      <c r="C15" s="23" t="s">
        <v>635</v>
      </c>
      <c r="D15" s="23" t="s">
        <v>160</v>
      </c>
      <c r="E15" s="24" t="s">
        <v>10545</v>
      </c>
      <c r="F15" s="24" t="s">
        <v>10546</v>
      </c>
      <c r="G15" s="50" t="s">
        <v>10547</v>
      </c>
      <c r="H15" s="50" t="s">
        <v>10548</v>
      </c>
      <c r="I15" s="24" t="s">
        <v>10549</v>
      </c>
      <c r="J15" s="24" t="s">
        <v>10550</v>
      </c>
      <c r="K15" s="23" t="n">
        <f aca="false">COUNTIF(A타입_제작표!$P$2:$P$799,"*"&amp;C15&amp;"*")</f>
        <v>21</v>
      </c>
      <c r="L15" s="23" t="s">
        <v>174</v>
      </c>
    </row>
    <row r="16" customFormat="false" ht="15" hidden="false" customHeight="false" outlineLevel="0" collapsed="false">
      <c r="A16" s="31" t="s">
        <v>10551</v>
      </c>
      <c r="B16" s="24" t="s">
        <v>10552</v>
      </c>
      <c r="C16" s="23" t="s">
        <v>10552</v>
      </c>
      <c r="D16" s="23" t="s">
        <v>160</v>
      </c>
      <c r="E16" s="24" t="s">
        <v>10553</v>
      </c>
      <c r="F16" s="24" t="s">
        <v>10492</v>
      </c>
      <c r="G16" s="50" t="s">
        <v>10554</v>
      </c>
      <c r="H16" s="50" t="s">
        <v>10555</v>
      </c>
      <c r="I16" s="24" t="s">
        <v>10556</v>
      </c>
      <c r="J16" s="30" t="s">
        <v>10448</v>
      </c>
      <c r="K16" s="23" t="n">
        <f aca="false">COUNTIF(A타입_제작표!$P$2:$P$799,"*"&amp;C16&amp;"*")</f>
        <v>7</v>
      </c>
      <c r="L16" s="23" t="s">
        <v>174</v>
      </c>
    </row>
    <row r="17" customFormat="false" ht="26.85" hidden="false" customHeight="false" outlineLevel="0" collapsed="false">
      <c r="A17" s="31" t="s">
        <v>10557</v>
      </c>
      <c r="B17" s="24" t="s">
        <v>10558</v>
      </c>
      <c r="C17" s="23" t="s">
        <v>10559</v>
      </c>
      <c r="D17" s="23" t="s">
        <v>160</v>
      </c>
      <c r="E17" s="24" t="s">
        <v>10560</v>
      </c>
      <c r="F17" s="24" t="s">
        <v>10501</v>
      </c>
      <c r="G17" s="50" t="s">
        <v>10561</v>
      </c>
      <c r="H17" s="50" t="s">
        <v>10562</v>
      </c>
      <c r="I17" s="24" t="s">
        <v>10563</v>
      </c>
      <c r="J17" s="24" t="s">
        <v>10564</v>
      </c>
      <c r="K17" s="23" t="n">
        <f aca="false">COUNTIF(A타입_제작표!$P$2:$P$799,"*"&amp;C17&amp;"*")</f>
        <v>4</v>
      </c>
      <c r="L17" s="23" t="s">
        <v>174</v>
      </c>
    </row>
    <row r="18" customFormat="false" ht="26.85" hidden="false" customHeight="false" outlineLevel="0" collapsed="false">
      <c r="A18" s="31" t="s">
        <v>10565</v>
      </c>
      <c r="B18" s="24" t="s">
        <v>10566</v>
      </c>
      <c r="C18" s="23" t="s">
        <v>850</v>
      </c>
      <c r="D18" s="23" t="s">
        <v>160</v>
      </c>
      <c r="E18" s="24" t="s">
        <v>10567</v>
      </c>
      <c r="F18" s="30" t="s">
        <v>10568</v>
      </c>
      <c r="G18" s="49" t="s">
        <v>10569</v>
      </c>
      <c r="H18" s="49" t="s">
        <v>10570</v>
      </c>
      <c r="I18" s="24" t="s">
        <v>10571</v>
      </c>
      <c r="J18" s="24" t="s">
        <v>10572</v>
      </c>
      <c r="K18" s="23" t="n">
        <f aca="false">COUNTIF(A타입_제작표!$P$2:$P$799,"*"&amp;C18&amp;"*")</f>
        <v>23</v>
      </c>
      <c r="L18" s="23" t="s">
        <v>174</v>
      </c>
    </row>
    <row r="19" customFormat="false" ht="15" hidden="false" customHeight="false" outlineLevel="0" collapsed="false">
      <c r="A19" s="31" t="s">
        <v>10573</v>
      </c>
      <c r="B19" s="24" t="s">
        <v>10574</v>
      </c>
      <c r="C19" s="23" t="s">
        <v>8224</v>
      </c>
      <c r="D19" s="23" t="s">
        <v>160</v>
      </c>
      <c r="E19" s="24" t="s">
        <v>10567</v>
      </c>
      <c r="F19" s="24" t="s">
        <v>10492</v>
      </c>
      <c r="G19" s="50" t="s">
        <v>10575</v>
      </c>
      <c r="H19" s="50" t="s">
        <v>10576</v>
      </c>
      <c r="I19" s="24" t="s">
        <v>10577</v>
      </c>
      <c r="J19" s="24" t="s">
        <v>10578</v>
      </c>
      <c r="K19" s="23" t="n">
        <f aca="false">COUNTIF(A타입_제작표!$P$2:$P$799,"*"&amp;C19&amp;"*")</f>
        <v>14</v>
      </c>
      <c r="L19" s="23" t="s">
        <v>174</v>
      </c>
    </row>
    <row r="20" customFormat="false" ht="26.85" hidden="false" customHeight="false" outlineLevel="0" collapsed="false">
      <c r="A20" s="31" t="s">
        <v>10579</v>
      </c>
      <c r="B20" s="24" t="s">
        <v>1063</v>
      </c>
      <c r="C20" s="23" t="s">
        <v>1063</v>
      </c>
      <c r="D20" s="23" t="s">
        <v>160</v>
      </c>
      <c r="E20" s="24" t="s">
        <v>10580</v>
      </c>
      <c r="F20" s="24" t="s">
        <v>10581</v>
      </c>
      <c r="G20" s="49" t="s">
        <v>10582</v>
      </c>
      <c r="H20" s="50" t="s">
        <v>10583</v>
      </c>
      <c r="I20" s="24" t="s">
        <v>10584</v>
      </c>
      <c r="J20" s="24" t="s">
        <v>10585</v>
      </c>
      <c r="K20" s="23" t="n">
        <f aca="false">COUNTIF(A타입_제작표!$P$2:$P$799,"*"&amp;C20&amp;"*")</f>
        <v>74</v>
      </c>
      <c r="L20" s="23" t="s">
        <v>174</v>
      </c>
    </row>
    <row r="21" customFormat="false" ht="15" hidden="false" customHeight="false" outlineLevel="0" collapsed="false">
      <c r="A21" s="31" t="s">
        <v>10586</v>
      </c>
      <c r="B21" s="24" t="s">
        <v>10587</v>
      </c>
      <c r="C21" s="23" t="s">
        <v>10587</v>
      </c>
      <c r="D21" s="23" t="s">
        <v>160</v>
      </c>
      <c r="E21" s="24" t="s">
        <v>10588</v>
      </c>
      <c r="F21" s="30" t="s">
        <v>10589</v>
      </c>
      <c r="G21" s="50" t="s">
        <v>10590</v>
      </c>
      <c r="H21" s="50" t="s">
        <v>10591</v>
      </c>
      <c r="I21" s="24" t="s">
        <v>10592</v>
      </c>
      <c r="J21" s="24" t="s">
        <v>10593</v>
      </c>
      <c r="K21" s="23" t="n">
        <f aca="false">COUNTIF(A타입_제작표!$P$2:$P$799,"*"&amp;C21&amp;"*")</f>
        <v>22</v>
      </c>
      <c r="L21" s="23" t="s">
        <v>174</v>
      </c>
    </row>
    <row r="22" customFormat="false" ht="15" hidden="false" customHeight="false" outlineLevel="0" collapsed="false">
      <c r="A22" s="31" t="s">
        <v>10594</v>
      </c>
      <c r="B22" s="24" t="s">
        <v>10595</v>
      </c>
      <c r="C22" s="23" t="s">
        <v>10595</v>
      </c>
      <c r="D22" s="23" t="s">
        <v>160</v>
      </c>
      <c r="E22" s="24" t="s">
        <v>10596</v>
      </c>
      <c r="F22" s="24" t="s">
        <v>10597</v>
      </c>
      <c r="G22" s="50" t="s">
        <v>10598</v>
      </c>
      <c r="H22" s="50" t="s">
        <v>10599</v>
      </c>
      <c r="I22" s="24" t="s">
        <v>10600</v>
      </c>
      <c r="J22" s="30" t="s">
        <v>10448</v>
      </c>
      <c r="K22" s="23" t="n">
        <f aca="false">COUNTIF(A타입_제작표!$P$2:$P$799,"*"&amp;C22&amp;"*")</f>
        <v>3</v>
      </c>
      <c r="L22" s="23" t="s">
        <v>174</v>
      </c>
    </row>
    <row r="23" customFormat="false" ht="26.85" hidden="false" customHeight="false" outlineLevel="0" collapsed="false">
      <c r="A23" s="31" t="s">
        <v>10601</v>
      </c>
      <c r="B23" s="24" t="s">
        <v>10602</v>
      </c>
      <c r="C23" s="23" t="s">
        <v>10603</v>
      </c>
      <c r="D23" s="23" t="s">
        <v>160</v>
      </c>
      <c r="E23" s="24" t="s">
        <v>10604</v>
      </c>
      <c r="F23" s="24" t="s">
        <v>10605</v>
      </c>
      <c r="G23" s="50" t="s">
        <v>10606</v>
      </c>
      <c r="H23" s="50" t="s">
        <v>10607</v>
      </c>
      <c r="I23" s="24" t="s">
        <v>10608</v>
      </c>
      <c r="J23" s="24" t="s">
        <v>10609</v>
      </c>
      <c r="K23" s="23" t="n">
        <f aca="false">COUNTIF(A타입_제작표!$P$2:$P$799,"*"&amp;C23&amp;"*")</f>
        <v>17</v>
      </c>
      <c r="L23" s="23" t="s">
        <v>174</v>
      </c>
    </row>
    <row r="24" customFormat="false" ht="15" hidden="false" customHeight="false" outlineLevel="0" collapsed="false">
      <c r="A24" s="31" t="s">
        <v>10610</v>
      </c>
      <c r="B24" s="24" t="s">
        <v>1678</v>
      </c>
      <c r="C24" s="23" t="s">
        <v>1678</v>
      </c>
      <c r="D24" s="23" t="s">
        <v>160</v>
      </c>
      <c r="E24" s="24" t="s">
        <v>10611</v>
      </c>
      <c r="F24" s="24" t="s">
        <v>10612</v>
      </c>
      <c r="G24" s="50" t="s">
        <v>10613</v>
      </c>
      <c r="H24" s="50" t="s">
        <v>10614</v>
      </c>
      <c r="I24" s="24" t="s">
        <v>10615</v>
      </c>
      <c r="J24" s="24" t="s">
        <v>1758</v>
      </c>
      <c r="K24" s="23" t="n">
        <f aca="false">COUNTIF(A타입_제작표!$P$2:$P$799,"*"&amp;C24&amp;"*")</f>
        <v>21</v>
      </c>
      <c r="L24" s="23" t="s">
        <v>174</v>
      </c>
    </row>
    <row r="25" customFormat="false" ht="15" hidden="false" customHeight="false" outlineLevel="0" collapsed="false">
      <c r="A25" s="31" t="s">
        <v>10616</v>
      </c>
      <c r="B25" s="24" t="s">
        <v>10617</v>
      </c>
      <c r="C25" s="23" t="s">
        <v>10617</v>
      </c>
      <c r="D25" s="23" t="s">
        <v>160</v>
      </c>
      <c r="E25" s="24" t="s">
        <v>10618</v>
      </c>
      <c r="F25" s="30" t="s">
        <v>10619</v>
      </c>
      <c r="G25" s="49" t="s">
        <v>10620</v>
      </c>
      <c r="H25" s="50" t="s">
        <v>10621</v>
      </c>
      <c r="I25" s="24" t="s">
        <v>10622</v>
      </c>
      <c r="J25" s="30" t="s">
        <v>10448</v>
      </c>
      <c r="K25" s="23" t="n">
        <f aca="false">COUNTIF(A타입_제작표!$P$2:$P$799,"*"&amp;C25&amp;"*")</f>
        <v>3</v>
      </c>
      <c r="L25" s="23" t="s">
        <v>174</v>
      </c>
    </row>
    <row r="26" customFormat="false" ht="15" hidden="false" customHeight="false" outlineLevel="0" collapsed="false">
      <c r="A26" s="31" t="s">
        <v>10623</v>
      </c>
      <c r="B26" s="24" t="s">
        <v>10624</v>
      </c>
      <c r="C26" s="23" t="s">
        <v>10624</v>
      </c>
      <c r="D26" s="23" t="s">
        <v>160</v>
      </c>
      <c r="E26" s="24" t="s">
        <v>10625</v>
      </c>
      <c r="F26" s="24" t="s">
        <v>10501</v>
      </c>
      <c r="G26" s="50" t="s">
        <v>10626</v>
      </c>
      <c r="H26" s="50" t="s">
        <v>10627</v>
      </c>
      <c r="I26" s="24" t="s">
        <v>10628</v>
      </c>
      <c r="J26" s="24" t="s">
        <v>10629</v>
      </c>
      <c r="K26" s="23" t="n">
        <f aca="false">COUNTIF(A타입_제작표!$P$2:$P$799,"*"&amp;C26&amp;"*")</f>
        <v>5</v>
      </c>
      <c r="L26" s="23" t="s">
        <v>174</v>
      </c>
    </row>
    <row r="27" customFormat="false" ht="15" hidden="false" customHeight="false" outlineLevel="0" collapsed="false">
      <c r="A27" s="31" t="s">
        <v>10630</v>
      </c>
      <c r="B27" s="24" t="s">
        <v>10631</v>
      </c>
      <c r="C27" s="23" t="s">
        <v>10631</v>
      </c>
      <c r="D27" s="23" t="s">
        <v>160</v>
      </c>
      <c r="E27" s="24" t="s">
        <v>10632</v>
      </c>
      <c r="F27" s="24" t="s">
        <v>10605</v>
      </c>
      <c r="G27" s="50" t="s">
        <v>10633</v>
      </c>
      <c r="H27" s="50" t="s">
        <v>10634</v>
      </c>
      <c r="I27" s="24" t="s">
        <v>10635</v>
      </c>
      <c r="J27" s="30" t="s">
        <v>10448</v>
      </c>
      <c r="K27" s="23" t="n">
        <f aca="false">COUNTIF(A타입_제작표!$P$2:$P$799,"*"&amp;C27&amp;"*")</f>
        <v>2</v>
      </c>
      <c r="L27" s="23" t="s">
        <v>174</v>
      </c>
    </row>
    <row r="28" customFormat="false" ht="15" hidden="false" customHeight="false" outlineLevel="0" collapsed="false">
      <c r="A28" s="31" t="s">
        <v>10636</v>
      </c>
      <c r="B28" s="24" t="s">
        <v>2184</v>
      </c>
      <c r="C28" s="23" t="s">
        <v>2184</v>
      </c>
      <c r="D28" s="23" t="s">
        <v>160</v>
      </c>
      <c r="E28" s="24" t="s">
        <v>10637</v>
      </c>
      <c r="F28" s="24" t="s">
        <v>10501</v>
      </c>
      <c r="G28" s="50" t="s">
        <v>10638</v>
      </c>
      <c r="H28" s="50" t="s">
        <v>10639</v>
      </c>
      <c r="I28" s="24" t="s">
        <v>10640</v>
      </c>
      <c r="J28" s="30" t="s">
        <v>10448</v>
      </c>
      <c r="K28" s="23" t="n">
        <f aca="false">COUNTIF(A타입_제작표!$P$2:$P$799,"*"&amp;C28&amp;"*")</f>
        <v>4</v>
      </c>
      <c r="L28" s="23" t="s">
        <v>174</v>
      </c>
    </row>
    <row r="29" customFormat="false" ht="15" hidden="false" customHeight="false" outlineLevel="0" collapsed="false">
      <c r="A29" s="31" t="s">
        <v>10641</v>
      </c>
      <c r="B29" s="24" t="s">
        <v>2280</v>
      </c>
      <c r="C29" s="23" t="s">
        <v>2280</v>
      </c>
      <c r="D29" s="23" t="s">
        <v>160</v>
      </c>
      <c r="E29" s="24" t="s">
        <v>10642</v>
      </c>
      <c r="F29" s="24" t="s">
        <v>10501</v>
      </c>
      <c r="G29" s="50" t="s">
        <v>10643</v>
      </c>
      <c r="H29" s="50" t="s">
        <v>10644</v>
      </c>
      <c r="I29" s="24" t="s">
        <v>10645</v>
      </c>
      <c r="J29" s="24" t="s">
        <v>10646</v>
      </c>
      <c r="K29" s="23" t="n">
        <f aca="false">COUNTIF(A타입_제작표!$P$2:$P$799,"*"&amp;C29&amp;"*")</f>
        <v>4</v>
      </c>
      <c r="L29" s="23" t="s">
        <v>174</v>
      </c>
    </row>
    <row r="30" customFormat="false" ht="26.85" hidden="false" customHeight="false" outlineLevel="0" collapsed="false">
      <c r="A30" s="31" t="s">
        <v>10647</v>
      </c>
      <c r="B30" s="24" t="s">
        <v>10648</v>
      </c>
      <c r="C30" s="23" t="s">
        <v>2350</v>
      </c>
      <c r="D30" s="23" t="s">
        <v>160</v>
      </c>
      <c r="E30" s="24" t="s">
        <v>2339</v>
      </c>
      <c r="F30" s="24" t="s">
        <v>10649</v>
      </c>
      <c r="G30" s="50" t="s">
        <v>10650</v>
      </c>
      <c r="H30" s="50" t="s">
        <v>10651</v>
      </c>
      <c r="I30" s="24" t="s">
        <v>10652</v>
      </c>
      <c r="J30" s="30" t="s">
        <v>10448</v>
      </c>
      <c r="K30" s="23" t="n">
        <f aca="false">COUNTIF(A타입_제작표!$P$2:$P$799,"*"&amp;C30&amp;"*")</f>
        <v>5</v>
      </c>
      <c r="L30" s="23" t="s">
        <v>174</v>
      </c>
    </row>
    <row r="31" customFormat="false" ht="15" hidden="false" customHeight="false" outlineLevel="0" collapsed="false">
      <c r="A31" s="31" t="s">
        <v>10653</v>
      </c>
      <c r="B31" s="24" t="s">
        <v>10654</v>
      </c>
      <c r="C31" s="23" t="s">
        <v>10654</v>
      </c>
      <c r="D31" s="23" t="s">
        <v>160</v>
      </c>
      <c r="E31" s="24" t="s">
        <v>2339</v>
      </c>
      <c r="F31" s="24" t="s">
        <v>10605</v>
      </c>
      <c r="G31" s="50" t="s">
        <v>10655</v>
      </c>
      <c r="H31" s="50" t="s">
        <v>10656</v>
      </c>
      <c r="I31" s="24" t="s">
        <v>10657</v>
      </c>
      <c r="J31" s="30" t="s">
        <v>10448</v>
      </c>
      <c r="K31" s="23" t="n">
        <f aca="false">COUNTIF(A타입_제작표!$P$2:$P$799,"*"&amp;C31&amp;"*")</f>
        <v>4</v>
      </c>
      <c r="L31" s="23" t="s">
        <v>174</v>
      </c>
    </row>
    <row r="32" customFormat="false" ht="15" hidden="false" customHeight="false" outlineLevel="0" collapsed="false">
      <c r="A32" s="31" t="s">
        <v>10658</v>
      </c>
      <c r="B32" s="24" t="s">
        <v>10659</v>
      </c>
      <c r="C32" s="23" t="s">
        <v>10659</v>
      </c>
      <c r="D32" s="23" t="s">
        <v>160</v>
      </c>
      <c r="E32" s="24" t="s">
        <v>10660</v>
      </c>
      <c r="F32" s="24" t="s">
        <v>10501</v>
      </c>
      <c r="G32" s="50" t="s">
        <v>10661</v>
      </c>
      <c r="H32" s="50" t="s">
        <v>10662</v>
      </c>
      <c r="I32" s="24" t="s">
        <v>10663</v>
      </c>
      <c r="J32" s="30" t="s">
        <v>10448</v>
      </c>
      <c r="K32" s="23" t="n">
        <f aca="false">COUNTIF(A타입_제작표!$P$2:$P$799,"*"&amp;C32&amp;"*")</f>
        <v>2</v>
      </c>
      <c r="L32" s="23" t="s">
        <v>174</v>
      </c>
    </row>
    <row r="33" customFormat="false" ht="15" hidden="false" customHeight="false" outlineLevel="0" collapsed="false">
      <c r="A33" s="31" t="s">
        <v>10664</v>
      </c>
      <c r="B33" s="24" t="s">
        <v>2429</v>
      </c>
      <c r="C33" s="23" t="s">
        <v>2429</v>
      </c>
      <c r="D33" s="23" t="s">
        <v>160</v>
      </c>
      <c r="E33" s="24" t="s">
        <v>10665</v>
      </c>
      <c r="F33" s="24" t="s">
        <v>10531</v>
      </c>
      <c r="G33" s="50" t="s">
        <v>10666</v>
      </c>
      <c r="H33" s="50" t="s">
        <v>10667</v>
      </c>
      <c r="I33" s="24" t="s">
        <v>10668</v>
      </c>
      <c r="J33" s="24" t="s">
        <v>10669</v>
      </c>
      <c r="K33" s="23" t="n">
        <f aca="false">COUNTIF(A타입_제작표!$P$2:$P$799,"*"&amp;C33&amp;"*")</f>
        <v>9</v>
      </c>
      <c r="L33" s="23" t="s">
        <v>174</v>
      </c>
    </row>
    <row r="34" customFormat="false" ht="15" hidden="false" customHeight="false" outlineLevel="0" collapsed="false">
      <c r="A34" s="31" t="s">
        <v>10670</v>
      </c>
      <c r="B34" s="24" t="s">
        <v>2515</v>
      </c>
      <c r="C34" s="23" t="s">
        <v>2515</v>
      </c>
      <c r="D34" s="23" t="s">
        <v>160</v>
      </c>
      <c r="E34" s="24" t="s">
        <v>10671</v>
      </c>
      <c r="F34" s="24" t="s">
        <v>10492</v>
      </c>
      <c r="G34" s="50" t="s">
        <v>10672</v>
      </c>
      <c r="H34" s="50" t="s">
        <v>10673</v>
      </c>
      <c r="I34" s="24" t="s">
        <v>10674</v>
      </c>
      <c r="J34" s="24" t="s">
        <v>10675</v>
      </c>
      <c r="K34" s="23" t="n">
        <f aca="false">COUNTIF(A타입_제작표!$P$2:$P$799,"*"&amp;C34&amp;"*")</f>
        <v>20</v>
      </c>
      <c r="L34" s="23" t="s">
        <v>174</v>
      </c>
    </row>
    <row r="35" customFormat="false" ht="26.85" hidden="false" customHeight="false" outlineLevel="0" collapsed="false">
      <c r="A35" s="31" t="s">
        <v>10676</v>
      </c>
      <c r="B35" s="24" t="s">
        <v>2608</v>
      </c>
      <c r="C35" s="23" t="s">
        <v>2608</v>
      </c>
      <c r="D35" s="23" t="s">
        <v>160</v>
      </c>
      <c r="E35" s="24" t="s">
        <v>10677</v>
      </c>
      <c r="F35" s="24" t="s">
        <v>10678</v>
      </c>
      <c r="G35" s="50" t="s">
        <v>10679</v>
      </c>
      <c r="H35" s="50" t="s">
        <v>10680</v>
      </c>
      <c r="I35" s="24" t="s">
        <v>10681</v>
      </c>
      <c r="J35" s="24" t="s">
        <v>10682</v>
      </c>
      <c r="K35" s="23" t="n">
        <f aca="false">COUNTIF(A타입_제작표!$P$2:$P$799,"*"&amp;C35&amp;"*")</f>
        <v>53</v>
      </c>
      <c r="L35" s="23" t="s">
        <v>174</v>
      </c>
    </row>
    <row r="36" customFormat="false" ht="15" hidden="false" customHeight="false" outlineLevel="0" collapsed="false">
      <c r="A36" s="31" t="s">
        <v>10683</v>
      </c>
      <c r="B36" s="24" t="s">
        <v>10684</v>
      </c>
      <c r="C36" s="23" t="s">
        <v>10684</v>
      </c>
      <c r="D36" s="23" t="s">
        <v>160</v>
      </c>
      <c r="E36" s="24" t="s">
        <v>10685</v>
      </c>
      <c r="F36" s="24" t="s">
        <v>10501</v>
      </c>
      <c r="G36" s="50" t="s">
        <v>10686</v>
      </c>
      <c r="H36" s="50" t="s">
        <v>10687</v>
      </c>
      <c r="I36" s="24" t="s">
        <v>10688</v>
      </c>
      <c r="J36" s="30" t="s">
        <v>10448</v>
      </c>
      <c r="K36" s="23" t="n">
        <f aca="false">COUNTIF(A타입_제작표!$P$2:$P$799,"*"&amp;C36&amp;"*")</f>
        <v>5</v>
      </c>
      <c r="L36" s="23" t="s">
        <v>174</v>
      </c>
    </row>
    <row r="37" customFormat="false" ht="15" hidden="false" customHeight="false" outlineLevel="0" collapsed="false">
      <c r="A37" s="31" t="s">
        <v>10689</v>
      </c>
      <c r="B37" s="24" t="s">
        <v>10690</v>
      </c>
      <c r="C37" s="23" t="s">
        <v>10690</v>
      </c>
      <c r="D37" s="23" t="s">
        <v>160</v>
      </c>
      <c r="E37" s="24" t="s">
        <v>10691</v>
      </c>
      <c r="F37" s="24" t="s">
        <v>10605</v>
      </c>
      <c r="G37" s="50" t="s">
        <v>10692</v>
      </c>
      <c r="H37" s="50" t="s">
        <v>10693</v>
      </c>
      <c r="I37" s="24" t="s">
        <v>10694</v>
      </c>
      <c r="J37" s="24" t="s">
        <v>10695</v>
      </c>
      <c r="K37" s="23" t="n">
        <f aca="false">COUNTIF(A타입_제작표!$P$2:$P$799,"*"&amp;C37&amp;"*")</f>
        <v>2</v>
      </c>
      <c r="L37" s="23" t="s">
        <v>174</v>
      </c>
    </row>
    <row r="38" customFormat="false" ht="15" hidden="false" customHeight="false" outlineLevel="0" collapsed="false">
      <c r="A38" s="31" t="s">
        <v>10696</v>
      </c>
      <c r="B38" s="24" t="s">
        <v>2967</v>
      </c>
      <c r="C38" s="23" t="s">
        <v>2967</v>
      </c>
      <c r="D38" s="23" t="s">
        <v>160</v>
      </c>
      <c r="E38" s="24" t="s">
        <v>10697</v>
      </c>
      <c r="F38" s="24" t="s">
        <v>10484</v>
      </c>
      <c r="G38" s="50" t="s">
        <v>10698</v>
      </c>
      <c r="H38" s="50" t="s">
        <v>10699</v>
      </c>
      <c r="I38" s="24" t="s">
        <v>10700</v>
      </c>
      <c r="J38" s="30" t="s">
        <v>10448</v>
      </c>
      <c r="K38" s="23" t="n">
        <f aca="false">COUNTIF(A타입_제작표!$P$2:$P$799,"*"&amp;C38&amp;"*")</f>
        <v>14</v>
      </c>
      <c r="L38" s="23" t="s">
        <v>174</v>
      </c>
    </row>
    <row r="39" customFormat="false" ht="15" hidden="false" customHeight="false" outlineLevel="0" collapsed="false">
      <c r="A39" s="31" t="s">
        <v>10701</v>
      </c>
      <c r="B39" s="24" t="s">
        <v>3092</v>
      </c>
      <c r="C39" s="23" t="s">
        <v>3092</v>
      </c>
      <c r="D39" s="23" t="s">
        <v>160</v>
      </c>
      <c r="E39" s="24" t="s">
        <v>10702</v>
      </c>
      <c r="F39" s="24" t="s">
        <v>10605</v>
      </c>
      <c r="G39" s="50" t="s">
        <v>10703</v>
      </c>
      <c r="H39" s="50" t="s">
        <v>10704</v>
      </c>
      <c r="I39" s="24" t="s">
        <v>10705</v>
      </c>
      <c r="J39" s="24" t="s">
        <v>10706</v>
      </c>
      <c r="K39" s="23" t="n">
        <f aca="false">COUNTIF(A타입_제작표!$P$2:$P$799,"*"&amp;C39&amp;"*")</f>
        <v>11</v>
      </c>
      <c r="L39" s="23" t="s">
        <v>174</v>
      </c>
    </row>
    <row r="40" customFormat="false" ht="15" hidden="false" customHeight="false" outlineLevel="0" collapsed="false">
      <c r="A40" s="31" t="s">
        <v>10707</v>
      </c>
      <c r="B40" s="24" t="s">
        <v>3217</v>
      </c>
      <c r="C40" s="23" t="s">
        <v>3217</v>
      </c>
      <c r="D40" s="23" t="s">
        <v>160</v>
      </c>
      <c r="E40" s="24" t="s">
        <v>10708</v>
      </c>
      <c r="F40" s="24" t="s">
        <v>10484</v>
      </c>
      <c r="G40" s="50" t="s">
        <v>10709</v>
      </c>
      <c r="H40" s="50" t="s">
        <v>10710</v>
      </c>
      <c r="I40" s="24" t="s">
        <v>10711</v>
      </c>
      <c r="J40" s="24" t="s">
        <v>10712</v>
      </c>
      <c r="K40" s="23" t="n">
        <f aca="false">COUNTIF(A타입_제작표!$P$2:$P$799,"*"&amp;C40&amp;"*")</f>
        <v>16</v>
      </c>
      <c r="L40" s="23" t="s">
        <v>174</v>
      </c>
    </row>
    <row r="41" customFormat="false" ht="15" hidden="false" customHeight="false" outlineLevel="0" collapsed="false">
      <c r="A41" s="31" t="s">
        <v>10713</v>
      </c>
      <c r="B41" s="24" t="s">
        <v>10714</v>
      </c>
      <c r="C41" s="23" t="s">
        <v>10714</v>
      </c>
      <c r="D41" s="23" t="s">
        <v>160</v>
      </c>
      <c r="E41" s="24" t="s">
        <v>10715</v>
      </c>
      <c r="F41" s="24" t="s">
        <v>10605</v>
      </c>
      <c r="G41" s="50" t="s">
        <v>10716</v>
      </c>
      <c r="H41" s="50" t="s">
        <v>10717</v>
      </c>
      <c r="I41" s="24" t="s">
        <v>10718</v>
      </c>
      <c r="J41" s="24" t="s">
        <v>10719</v>
      </c>
      <c r="K41" s="23" t="n">
        <f aca="false">COUNTIF(A타입_제작표!$P$2:$P$799,"*"&amp;C41&amp;"*")</f>
        <v>2</v>
      </c>
      <c r="L41" s="23" t="s">
        <v>174</v>
      </c>
    </row>
    <row r="42" customFormat="false" ht="15" hidden="false" customHeight="false" outlineLevel="0" collapsed="false">
      <c r="A42" s="31" t="s">
        <v>10720</v>
      </c>
      <c r="B42" s="24" t="s">
        <v>10721</v>
      </c>
      <c r="C42" s="23" t="s">
        <v>10722</v>
      </c>
      <c r="D42" s="23" t="s">
        <v>160</v>
      </c>
      <c r="E42" s="24" t="s">
        <v>10723</v>
      </c>
      <c r="F42" s="24" t="s">
        <v>10492</v>
      </c>
      <c r="G42" s="50" t="s">
        <v>10724</v>
      </c>
      <c r="H42" s="50" t="s">
        <v>10725</v>
      </c>
      <c r="I42" s="24" t="s">
        <v>10726</v>
      </c>
      <c r="J42" s="30" t="s">
        <v>10448</v>
      </c>
      <c r="K42" s="23" t="n">
        <f aca="false">COUNTIF(A타입_제작표!$P$2:$P$799,"*"&amp;C42&amp;"*")</f>
        <v>6</v>
      </c>
      <c r="L42" s="23" t="s">
        <v>174</v>
      </c>
    </row>
    <row r="43" customFormat="false" ht="15" hidden="false" customHeight="false" outlineLevel="0" collapsed="false">
      <c r="A43" s="31" t="s">
        <v>10727</v>
      </c>
      <c r="B43" s="24" t="s">
        <v>4497</v>
      </c>
      <c r="C43" s="23" t="s">
        <v>4497</v>
      </c>
      <c r="D43" s="23" t="s">
        <v>160</v>
      </c>
      <c r="E43" s="24" t="s">
        <v>10728</v>
      </c>
      <c r="F43" s="24" t="s">
        <v>10605</v>
      </c>
      <c r="G43" s="50" t="s">
        <v>10729</v>
      </c>
      <c r="H43" s="50" t="s">
        <v>10730</v>
      </c>
      <c r="I43" s="24" t="s">
        <v>10731</v>
      </c>
      <c r="J43" s="30" t="s">
        <v>10448</v>
      </c>
      <c r="K43" s="23" t="n">
        <f aca="false">COUNTIF(A타입_제작표!$P$2:$P$799,"*"&amp;C43&amp;"*")</f>
        <v>23</v>
      </c>
      <c r="L43" s="23" t="s">
        <v>174</v>
      </c>
    </row>
    <row r="44" customFormat="false" ht="15" hidden="false" customHeight="false" outlineLevel="0" collapsed="false">
      <c r="A44" s="31" t="s">
        <v>10732</v>
      </c>
      <c r="B44" s="24" t="s">
        <v>4750</v>
      </c>
      <c r="C44" s="23" t="s">
        <v>4750</v>
      </c>
      <c r="D44" s="23" t="s">
        <v>160</v>
      </c>
      <c r="E44" s="24" t="s">
        <v>10733</v>
      </c>
      <c r="F44" s="24" t="s">
        <v>10484</v>
      </c>
      <c r="G44" s="50" t="s">
        <v>10734</v>
      </c>
      <c r="H44" s="50" t="s">
        <v>10735</v>
      </c>
      <c r="I44" s="24" t="s">
        <v>10736</v>
      </c>
      <c r="J44" s="30" t="s">
        <v>10448</v>
      </c>
      <c r="K44" s="23" t="n">
        <f aca="false">COUNTIF(A타입_제작표!$P$2:$P$799,"*"&amp;C44&amp;"*")</f>
        <v>20</v>
      </c>
      <c r="L44" s="23" t="s">
        <v>174</v>
      </c>
    </row>
    <row r="45" customFormat="false" ht="15" hidden="false" customHeight="false" outlineLevel="0" collapsed="false">
      <c r="A45" s="31" t="s">
        <v>10737</v>
      </c>
      <c r="B45" s="24" t="s">
        <v>4973</v>
      </c>
      <c r="C45" s="23" t="s">
        <v>4973</v>
      </c>
      <c r="D45" s="23" t="s">
        <v>160</v>
      </c>
      <c r="E45" s="24" t="s">
        <v>4973</v>
      </c>
      <c r="F45" s="30" t="s">
        <v>10738</v>
      </c>
      <c r="G45" s="50" t="s">
        <v>10739</v>
      </c>
      <c r="H45" s="50" t="s">
        <v>10740</v>
      </c>
      <c r="I45" s="24" t="s">
        <v>10741</v>
      </c>
      <c r="J45" s="24" t="s">
        <v>10742</v>
      </c>
      <c r="K45" s="23" t="n">
        <f aca="false">COUNTIF(A타입_제작표!$P$2:$P$799,"*"&amp;C45&amp;"*")</f>
        <v>14</v>
      </c>
      <c r="L45" s="23" t="s">
        <v>174</v>
      </c>
    </row>
    <row r="46" customFormat="false" ht="15" hidden="false" customHeight="false" outlineLevel="0" collapsed="false">
      <c r="A46" s="31" t="s">
        <v>10743</v>
      </c>
      <c r="B46" s="24" t="s">
        <v>5102</v>
      </c>
      <c r="C46" s="23" t="s">
        <v>5102</v>
      </c>
      <c r="D46" s="23" t="s">
        <v>160</v>
      </c>
      <c r="E46" s="24" t="s">
        <v>5102</v>
      </c>
      <c r="F46" s="30" t="s">
        <v>10744</v>
      </c>
      <c r="G46" s="50" t="s">
        <v>10745</v>
      </c>
      <c r="H46" s="50" t="s">
        <v>10746</v>
      </c>
      <c r="I46" s="24" t="s">
        <v>10747</v>
      </c>
      <c r="J46" s="24" t="s">
        <v>10748</v>
      </c>
      <c r="K46" s="23" t="n">
        <f aca="false">COUNTIF(A타입_제작표!$P$2:$P$799,"*"&amp;C46&amp;"*")</f>
        <v>11</v>
      </c>
      <c r="L46" s="23" t="s">
        <v>174</v>
      </c>
    </row>
    <row r="47" customFormat="false" ht="15" hidden="false" customHeight="false" outlineLevel="0" collapsed="false">
      <c r="A47" s="31" t="s">
        <v>10749</v>
      </c>
      <c r="B47" s="24" t="s">
        <v>10750</v>
      </c>
      <c r="C47" s="23" t="s">
        <v>10751</v>
      </c>
      <c r="D47" s="23" t="s">
        <v>160</v>
      </c>
      <c r="E47" s="24" t="s">
        <v>10752</v>
      </c>
      <c r="F47" s="24" t="s">
        <v>10501</v>
      </c>
      <c r="G47" s="50" t="s">
        <v>10753</v>
      </c>
      <c r="H47" s="50" t="s">
        <v>10754</v>
      </c>
      <c r="I47" s="24" t="s">
        <v>10755</v>
      </c>
      <c r="J47" s="24" t="s">
        <v>10756</v>
      </c>
      <c r="K47" s="23" t="n">
        <f aca="false">COUNTIF(A타입_제작표!$P$2:$P$799,"*"&amp;C47&amp;"*")</f>
        <v>2</v>
      </c>
      <c r="L47" s="23" t="s">
        <v>174</v>
      </c>
    </row>
    <row r="48" customFormat="false" ht="15" hidden="false" customHeight="false" outlineLevel="0" collapsed="false">
      <c r="A48" s="31" t="s">
        <v>10757</v>
      </c>
      <c r="B48" s="24" t="s">
        <v>10758</v>
      </c>
      <c r="C48" s="23" t="s">
        <v>10758</v>
      </c>
      <c r="D48" s="23" t="s">
        <v>160</v>
      </c>
      <c r="E48" s="24" t="s">
        <v>10759</v>
      </c>
      <c r="F48" s="24" t="s">
        <v>10605</v>
      </c>
      <c r="G48" s="50" t="s">
        <v>10760</v>
      </c>
      <c r="H48" s="50" t="s">
        <v>10761</v>
      </c>
      <c r="I48" s="24" t="s">
        <v>10718</v>
      </c>
      <c r="J48" s="30" t="s">
        <v>10448</v>
      </c>
      <c r="K48" s="23" t="n">
        <f aca="false">COUNTIF(A타입_제작표!$P$2:$P$799,"*"&amp;C48&amp;"*")</f>
        <v>9</v>
      </c>
      <c r="L48" s="23" t="s">
        <v>174</v>
      </c>
    </row>
    <row r="49" customFormat="false" ht="15" hidden="false" customHeight="false" outlineLevel="0" collapsed="false">
      <c r="A49" s="31" t="s">
        <v>10762</v>
      </c>
      <c r="B49" s="24" t="s">
        <v>3812</v>
      </c>
      <c r="C49" s="23" t="s">
        <v>3812</v>
      </c>
      <c r="D49" s="23" t="s">
        <v>160</v>
      </c>
      <c r="E49" s="24" t="s">
        <v>3812</v>
      </c>
      <c r="F49" s="24" t="s">
        <v>10501</v>
      </c>
      <c r="G49" s="50" t="s">
        <v>10763</v>
      </c>
      <c r="H49" s="50" t="s">
        <v>10764</v>
      </c>
      <c r="I49" s="24" t="s">
        <v>10765</v>
      </c>
      <c r="J49" s="24" t="s">
        <v>10766</v>
      </c>
      <c r="K49" s="23" t="n">
        <f aca="false">COUNTIF(A타입_제작표!$P$2:$P$799,"*"&amp;C49&amp;"*")</f>
        <v>7</v>
      </c>
      <c r="L49" s="23" t="s">
        <v>174</v>
      </c>
    </row>
    <row r="50" customFormat="false" ht="26.85" hidden="false" customHeight="false" outlineLevel="0" collapsed="false">
      <c r="A50" s="31" t="s">
        <v>10767</v>
      </c>
      <c r="B50" s="24" t="s">
        <v>10768</v>
      </c>
      <c r="C50" s="23" t="s">
        <v>10769</v>
      </c>
      <c r="D50" s="23" t="s">
        <v>160</v>
      </c>
      <c r="E50" s="24" t="s">
        <v>3812</v>
      </c>
      <c r="F50" s="24" t="s">
        <v>10605</v>
      </c>
      <c r="G50" s="50" t="s">
        <v>10770</v>
      </c>
      <c r="H50" s="50" t="s">
        <v>10771</v>
      </c>
      <c r="I50" s="24" t="s">
        <v>10772</v>
      </c>
      <c r="J50" s="24" t="s">
        <v>10773</v>
      </c>
      <c r="K50" s="23" t="n">
        <f aca="false">COUNTIF(A타입_제작표!$P$2:$P$799,"*"&amp;C50&amp;"*")</f>
        <v>7</v>
      </c>
      <c r="L50" s="23" t="s">
        <v>174</v>
      </c>
    </row>
    <row r="51" customFormat="false" ht="26.85" hidden="false" customHeight="false" outlineLevel="0" collapsed="false">
      <c r="A51" s="31" t="s">
        <v>10774</v>
      </c>
      <c r="B51" s="24" t="s">
        <v>10775</v>
      </c>
      <c r="C51" s="23" t="s">
        <v>3715</v>
      </c>
      <c r="D51" s="23" t="s">
        <v>160</v>
      </c>
      <c r="E51" s="24" t="s">
        <v>10776</v>
      </c>
      <c r="F51" s="24" t="s">
        <v>10605</v>
      </c>
      <c r="G51" s="50" t="s">
        <v>10777</v>
      </c>
      <c r="H51" s="50" t="s">
        <v>10778</v>
      </c>
      <c r="I51" s="24" t="s">
        <v>10779</v>
      </c>
      <c r="J51" s="30" t="s">
        <v>10448</v>
      </c>
      <c r="K51" s="23" t="n">
        <f aca="false">COUNTIF(A타입_제작표!$P$2:$P$799,"*"&amp;C51&amp;"*")</f>
        <v>7</v>
      </c>
      <c r="L51" s="23" t="s">
        <v>174</v>
      </c>
    </row>
    <row r="52" customFormat="false" ht="15" hidden="false" customHeight="false" outlineLevel="0" collapsed="false">
      <c r="A52" s="31" t="s">
        <v>10780</v>
      </c>
      <c r="B52" s="24" t="s">
        <v>3935</v>
      </c>
      <c r="C52" s="23" t="s">
        <v>3935</v>
      </c>
      <c r="D52" s="23" t="s">
        <v>160</v>
      </c>
      <c r="E52" s="24" t="s">
        <v>3923</v>
      </c>
      <c r="F52" s="24" t="s">
        <v>10605</v>
      </c>
      <c r="G52" s="50" t="s">
        <v>10781</v>
      </c>
      <c r="H52" s="50" t="s">
        <v>10782</v>
      </c>
      <c r="I52" s="24" t="s">
        <v>10783</v>
      </c>
      <c r="J52" s="24" t="s">
        <v>9520</v>
      </c>
      <c r="K52" s="23" t="n">
        <f aca="false">COUNTIF(A타입_제작표!$P$2:$P$799,"*"&amp;C52&amp;"*")</f>
        <v>11</v>
      </c>
      <c r="L52" s="23" t="s">
        <v>174</v>
      </c>
    </row>
    <row r="53" customFormat="false" ht="15" hidden="false" customHeight="false" outlineLevel="0" collapsed="false">
      <c r="A53" s="31" t="s">
        <v>10784</v>
      </c>
      <c r="B53" s="24" t="s">
        <v>5349</v>
      </c>
      <c r="C53" s="23" t="s">
        <v>5349</v>
      </c>
      <c r="D53" s="23" t="s">
        <v>160</v>
      </c>
      <c r="E53" s="24" t="s">
        <v>5349</v>
      </c>
      <c r="F53" s="24" t="s">
        <v>10605</v>
      </c>
      <c r="G53" s="50" t="s">
        <v>10785</v>
      </c>
      <c r="H53" s="50" t="s">
        <v>10786</v>
      </c>
      <c r="I53" s="24" t="s">
        <v>10787</v>
      </c>
      <c r="J53" s="24" t="s">
        <v>10788</v>
      </c>
      <c r="K53" s="23" t="n">
        <f aca="false">COUNTIF(A타입_제작표!$P$2:$P$799,"*"&amp;C53&amp;"*")</f>
        <v>10</v>
      </c>
      <c r="L53" s="23" t="s">
        <v>174</v>
      </c>
    </row>
    <row r="54" customFormat="false" ht="15" hidden="false" customHeight="false" outlineLevel="0" collapsed="false">
      <c r="A54" s="31" t="s">
        <v>10789</v>
      </c>
      <c r="B54" s="24" t="s">
        <v>10790</v>
      </c>
      <c r="C54" s="23" t="s">
        <v>10791</v>
      </c>
      <c r="D54" s="23" t="s">
        <v>5581</v>
      </c>
      <c r="E54" s="24" t="s">
        <v>10792</v>
      </c>
      <c r="F54" s="30" t="s">
        <v>10793</v>
      </c>
      <c r="G54" s="50" t="s">
        <v>10794</v>
      </c>
      <c r="H54" s="50" t="s">
        <v>10795</v>
      </c>
      <c r="I54" s="24" t="s">
        <v>10796</v>
      </c>
      <c r="J54" s="24" t="s">
        <v>10797</v>
      </c>
      <c r="K54" s="23" t="n">
        <f aca="false">COUNTIF(A타입_제작표!$P$2:$P$799,"*"&amp;C54&amp;"*")</f>
        <v>20</v>
      </c>
      <c r="L54" s="23" t="s">
        <v>174</v>
      </c>
    </row>
    <row r="55" customFormat="false" ht="15" hidden="false" customHeight="false" outlineLevel="0" collapsed="false">
      <c r="A55" s="31" t="s">
        <v>10798</v>
      </c>
      <c r="B55" s="24" t="s">
        <v>10799</v>
      </c>
      <c r="C55" s="23" t="s">
        <v>850</v>
      </c>
      <c r="D55" s="23" t="s">
        <v>5581</v>
      </c>
      <c r="E55" s="24" t="s">
        <v>10800</v>
      </c>
      <c r="F55" s="24" t="s">
        <v>10501</v>
      </c>
      <c r="G55" s="50" t="s">
        <v>10801</v>
      </c>
      <c r="H55" s="50" t="s">
        <v>10802</v>
      </c>
      <c r="I55" s="24" t="s">
        <v>10803</v>
      </c>
      <c r="J55" s="24" t="s">
        <v>10804</v>
      </c>
      <c r="K55" s="23" t="n">
        <f aca="false">COUNTIF(A타입_제작표!$P$2:$P$799,"*"&amp;C55&amp;"*")</f>
        <v>23</v>
      </c>
      <c r="L55" s="23" t="s">
        <v>174</v>
      </c>
    </row>
    <row r="56" customFormat="false" ht="15" hidden="false" customHeight="false" outlineLevel="0" collapsed="false">
      <c r="A56" s="31" t="s">
        <v>10805</v>
      </c>
      <c r="B56" s="24" t="s">
        <v>5640</v>
      </c>
      <c r="C56" s="23" t="s">
        <v>5640</v>
      </c>
      <c r="D56" s="23" t="s">
        <v>5581</v>
      </c>
      <c r="E56" s="24" t="s">
        <v>9223</v>
      </c>
      <c r="F56" s="30" t="s">
        <v>10806</v>
      </c>
      <c r="G56" s="50" t="s">
        <v>10807</v>
      </c>
      <c r="H56" s="50" t="s">
        <v>10808</v>
      </c>
      <c r="I56" s="24" t="s">
        <v>10809</v>
      </c>
      <c r="J56" s="24" t="s">
        <v>10695</v>
      </c>
      <c r="K56" s="23" t="n">
        <f aca="false">COUNTIF(A타입_제작표!$P$2:$P$799,"*"&amp;C56&amp;"*")</f>
        <v>5</v>
      </c>
      <c r="L56" s="23" t="s">
        <v>174</v>
      </c>
    </row>
    <row r="57" customFormat="false" ht="15" hidden="false" customHeight="false" outlineLevel="0" collapsed="false">
      <c r="A57" s="31" t="s">
        <v>10810</v>
      </c>
      <c r="B57" s="24" t="s">
        <v>10811</v>
      </c>
      <c r="C57" s="23" t="s">
        <v>5675</v>
      </c>
      <c r="D57" s="23" t="s">
        <v>5581</v>
      </c>
      <c r="E57" s="24" t="s">
        <v>10812</v>
      </c>
      <c r="F57" s="30" t="s">
        <v>10813</v>
      </c>
      <c r="G57" s="50" t="s">
        <v>10814</v>
      </c>
      <c r="H57" s="50" t="s">
        <v>10815</v>
      </c>
      <c r="I57" s="24" t="s">
        <v>10816</v>
      </c>
      <c r="J57" s="24" t="s">
        <v>10817</v>
      </c>
      <c r="K57" s="23" t="n">
        <f aca="false">COUNTIF(A타입_제작표!$P$2:$P$799,"*"&amp;C57&amp;"*")</f>
        <v>32</v>
      </c>
      <c r="L57" s="23" t="s">
        <v>174</v>
      </c>
    </row>
    <row r="58" customFormat="false" ht="15" hidden="false" customHeight="false" outlineLevel="0" collapsed="false">
      <c r="A58" s="31" t="s">
        <v>10818</v>
      </c>
      <c r="B58" s="24" t="s">
        <v>10819</v>
      </c>
      <c r="C58" s="23" t="s">
        <v>10820</v>
      </c>
      <c r="D58" s="23" t="s">
        <v>5581</v>
      </c>
      <c r="E58" s="24" t="s">
        <v>10457</v>
      </c>
      <c r="F58" s="30" t="s">
        <v>10821</v>
      </c>
      <c r="G58" s="50" t="s">
        <v>10822</v>
      </c>
      <c r="H58" s="50" t="s">
        <v>10823</v>
      </c>
      <c r="I58" s="24" t="s">
        <v>10824</v>
      </c>
      <c r="J58" s="24" t="s">
        <v>10825</v>
      </c>
      <c r="K58" s="23" t="n">
        <f aca="false">COUNTIF(A타입_제작표!$P$2:$P$799,"*"&amp;C58&amp;"*")</f>
        <v>30</v>
      </c>
      <c r="L58" s="23" t="s">
        <v>174</v>
      </c>
    </row>
    <row r="59" customFormat="false" ht="26.85" hidden="false" customHeight="false" outlineLevel="0" collapsed="false">
      <c r="A59" s="31" t="s">
        <v>10826</v>
      </c>
      <c r="B59" s="24" t="s">
        <v>10827</v>
      </c>
      <c r="C59" s="23" t="s">
        <v>10828</v>
      </c>
      <c r="D59" s="23" t="s">
        <v>5581</v>
      </c>
      <c r="E59" s="24" t="s">
        <v>9223</v>
      </c>
      <c r="F59" s="30" t="s">
        <v>10829</v>
      </c>
      <c r="G59" s="50" t="s">
        <v>10830</v>
      </c>
      <c r="H59" s="50" t="s">
        <v>10831</v>
      </c>
      <c r="I59" s="30" t="s">
        <v>10448</v>
      </c>
      <c r="J59" s="30" t="s">
        <v>10832</v>
      </c>
      <c r="K59" s="23" t="n">
        <f aca="false">COUNTIF(A타입_제작표!$P$2:$P$799,"*"&amp;C59&amp;"*")</f>
        <v>33</v>
      </c>
      <c r="L59" s="23" t="s">
        <v>174</v>
      </c>
    </row>
    <row r="60" customFormat="false" ht="15" hidden="false" customHeight="false" outlineLevel="0" collapsed="false">
      <c r="A60" s="31" t="s">
        <v>10833</v>
      </c>
      <c r="B60" s="24" t="s">
        <v>10834</v>
      </c>
      <c r="C60" s="23" t="s">
        <v>10834</v>
      </c>
      <c r="D60" s="23" t="s">
        <v>5581</v>
      </c>
      <c r="E60" s="24" t="s">
        <v>10792</v>
      </c>
      <c r="F60" s="30" t="s">
        <v>10835</v>
      </c>
      <c r="G60" s="50" t="s">
        <v>10836</v>
      </c>
      <c r="H60" s="50" t="s">
        <v>10837</v>
      </c>
      <c r="I60" s="24" t="s">
        <v>10838</v>
      </c>
      <c r="J60" s="24" t="s">
        <v>10839</v>
      </c>
      <c r="K60" s="23" t="n">
        <f aca="false">COUNTIF(A타입_제작표!$P$2:$P$799,"*"&amp;C60&amp;"*")</f>
        <v>0</v>
      </c>
      <c r="L60" s="23" t="s">
        <v>174</v>
      </c>
    </row>
    <row r="61" customFormat="false" ht="26.85" hidden="false" customHeight="false" outlineLevel="0" collapsed="false">
      <c r="A61" s="31" t="s">
        <v>10840</v>
      </c>
      <c r="B61" s="24" t="s">
        <v>10841</v>
      </c>
      <c r="C61" s="23" t="s">
        <v>10842</v>
      </c>
      <c r="D61" s="23" t="s">
        <v>5581</v>
      </c>
      <c r="E61" s="24" t="s">
        <v>9223</v>
      </c>
      <c r="F61" s="24" t="s">
        <v>10492</v>
      </c>
      <c r="G61" s="50" t="s">
        <v>10843</v>
      </c>
      <c r="H61" s="50" t="s">
        <v>10844</v>
      </c>
      <c r="I61" s="30" t="s">
        <v>10448</v>
      </c>
      <c r="J61" s="24" t="s">
        <v>10845</v>
      </c>
      <c r="K61" s="23" t="n">
        <f aca="false">COUNTIF(A타입_제작표!$P$2:$P$799,"*"&amp;C61&amp;"*")</f>
        <v>2</v>
      </c>
      <c r="L61" s="23" t="s">
        <v>174</v>
      </c>
    </row>
    <row r="62" customFormat="false" ht="26.85" hidden="false" customHeight="false" outlineLevel="0" collapsed="false">
      <c r="A62" s="31" t="s">
        <v>10846</v>
      </c>
      <c r="B62" s="24" t="s">
        <v>10847</v>
      </c>
      <c r="C62" s="23" t="s">
        <v>10848</v>
      </c>
      <c r="D62" s="23" t="s">
        <v>5581</v>
      </c>
      <c r="E62" s="24" t="s">
        <v>10849</v>
      </c>
      <c r="F62" s="24" t="s">
        <v>10605</v>
      </c>
      <c r="G62" s="50" t="s">
        <v>10850</v>
      </c>
      <c r="H62" s="50" t="s">
        <v>10851</v>
      </c>
      <c r="I62" s="24" t="s">
        <v>10852</v>
      </c>
      <c r="J62" s="30" t="s">
        <v>10448</v>
      </c>
      <c r="K62" s="23" t="n">
        <f aca="false">COUNTIF(A타입_제작표!$P$2:$P$799,"*"&amp;C62&amp;"*")</f>
        <v>1</v>
      </c>
      <c r="L62" s="23" t="s">
        <v>174</v>
      </c>
    </row>
    <row r="63" customFormat="false" ht="15" hidden="false" customHeight="false" outlineLevel="0" collapsed="false">
      <c r="A63" s="31" t="s">
        <v>10853</v>
      </c>
      <c r="B63" s="24" t="s">
        <v>10854</v>
      </c>
      <c r="C63" s="23" t="s">
        <v>10855</v>
      </c>
      <c r="D63" s="23" t="s">
        <v>5581</v>
      </c>
      <c r="E63" s="24" t="s">
        <v>9223</v>
      </c>
      <c r="F63" s="24" t="s">
        <v>10605</v>
      </c>
      <c r="G63" s="50" t="s">
        <v>10856</v>
      </c>
      <c r="H63" s="50" t="s">
        <v>10857</v>
      </c>
      <c r="I63" s="24" t="s">
        <v>10858</v>
      </c>
      <c r="J63" s="30" t="s">
        <v>10448</v>
      </c>
      <c r="K63" s="23" t="n">
        <f aca="false">COUNTIF(A타입_제작표!$P$2:$P$799,"*"&amp;C63&amp;"*")</f>
        <v>2</v>
      </c>
      <c r="L63" s="23" t="s">
        <v>174</v>
      </c>
    </row>
    <row r="64" customFormat="false" ht="26.85" hidden="false" customHeight="false" outlineLevel="0" collapsed="false">
      <c r="A64" s="31" t="s">
        <v>10859</v>
      </c>
      <c r="B64" s="24" t="s">
        <v>10860</v>
      </c>
      <c r="C64" s="23" t="s">
        <v>7047</v>
      </c>
      <c r="D64" s="23" t="s">
        <v>5581</v>
      </c>
      <c r="E64" s="24" t="s">
        <v>10861</v>
      </c>
      <c r="F64" s="24" t="s">
        <v>10484</v>
      </c>
      <c r="G64" s="50" t="s">
        <v>10862</v>
      </c>
      <c r="H64" s="50" t="s">
        <v>10863</v>
      </c>
      <c r="I64" s="24" t="s">
        <v>10864</v>
      </c>
      <c r="J64" s="24" t="s">
        <v>10865</v>
      </c>
      <c r="K64" s="23" t="n">
        <f aca="false">COUNTIF(A타입_제작표!$P$2:$P$799,"*"&amp;C64&amp;"*")</f>
        <v>82</v>
      </c>
      <c r="L64" s="23" t="s">
        <v>174</v>
      </c>
    </row>
    <row r="65" customFormat="false" ht="26.85" hidden="false" customHeight="false" outlineLevel="0" collapsed="false">
      <c r="A65" s="31" t="s">
        <v>10866</v>
      </c>
      <c r="B65" s="24" t="s">
        <v>10867</v>
      </c>
      <c r="C65" s="23" t="s">
        <v>10868</v>
      </c>
      <c r="D65" s="23" t="s">
        <v>5581</v>
      </c>
      <c r="E65" s="24" t="s">
        <v>10869</v>
      </c>
      <c r="F65" s="24" t="s">
        <v>10492</v>
      </c>
      <c r="G65" s="50" t="s">
        <v>10870</v>
      </c>
      <c r="H65" s="50" t="s">
        <v>10871</v>
      </c>
      <c r="I65" s="24" t="s">
        <v>10872</v>
      </c>
      <c r="J65" s="30" t="s">
        <v>10448</v>
      </c>
      <c r="K65" s="23" t="n">
        <f aca="false">COUNTIF(A타입_제작표!$P$2:$P$799,"*"&amp;C65&amp;"*")</f>
        <v>7</v>
      </c>
      <c r="L65" s="23" t="s">
        <v>174</v>
      </c>
    </row>
    <row r="66" customFormat="false" ht="15" hidden="false" customHeight="false" outlineLevel="0" collapsed="false">
      <c r="A66" s="31" t="s">
        <v>10873</v>
      </c>
      <c r="B66" s="24" t="s">
        <v>10874</v>
      </c>
      <c r="C66" s="23" t="s">
        <v>10875</v>
      </c>
      <c r="D66" s="23" t="s">
        <v>5581</v>
      </c>
      <c r="E66" s="24" t="s">
        <v>10876</v>
      </c>
      <c r="F66" s="24" t="s">
        <v>10501</v>
      </c>
      <c r="G66" s="50" t="s">
        <v>10877</v>
      </c>
      <c r="H66" s="50" t="s">
        <v>10878</v>
      </c>
      <c r="I66" s="24" t="s">
        <v>10755</v>
      </c>
      <c r="J66" s="24" t="s">
        <v>10879</v>
      </c>
      <c r="K66" s="23" t="n">
        <f aca="false">COUNTIF(A타입_제작표!$P$2:$P$799,"*"&amp;C66&amp;"*")</f>
        <v>2</v>
      </c>
      <c r="L66" s="23" t="s">
        <v>174</v>
      </c>
    </row>
    <row r="67" customFormat="false" ht="26.85" hidden="false" customHeight="false" outlineLevel="0" collapsed="false">
      <c r="A67" s="31" t="s">
        <v>10880</v>
      </c>
      <c r="B67" s="24" t="s">
        <v>10881</v>
      </c>
      <c r="C67" s="23" t="s">
        <v>10882</v>
      </c>
      <c r="D67" s="23" t="s">
        <v>10883</v>
      </c>
      <c r="E67" s="24" t="s">
        <v>10884</v>
      </c>
      <c r="F67" s="24" t="s">
        <v>10885</v>
      </c>
      <c r="G67" s="50" t="s">
        <v>10886</v>
      </c>
      <c r="H67" s="50" t="s">
        <v>10887</v>
      </c>
      <c r="I67" s="24" t="s">
        <v>10888</v>
      </c>
      <c r="J67" s="24" t="s">
        <v>10889</v>
      </c>
      <c r="K67" s="23" t="n">
        <f aca="false">COUNTIF(A타입_제작표!$P$2:$P$799,"*"&amp;C67&amp;"*")</f>
        <v>0</v>
      </c>
      <c r="L67" s="23" t="s">
        <v>174</v>
      </c>
    </row>
    <row r="68" customFormat="false" ht="26.85" hidden="false" customHeight="false" outlineLevel="0" collapsed="false">
      <c r="A68" s="31" t="s">
        <v>10890</v>
      </c>
      <c r="B68" s="24" t="s">
        <v>10891</v>
      </c>
      <c r="C68" s="23" t="s">
        <v>10892</v>
      </c>
      <c r="D68" s="23" t="s">
        <v>10883</v>
      </c>
      <c r="E68" s="24" t="s">
        <v>10884</v>
      </c>
      <c r="F68" s="24" t="s">
        <v>10893</v>
      </c>
      <c r="G68" s="50" t="s">
        <v>10886</v>
      </c>
      <c r="H68" s="50" t="s">
        <v>10887</v>
      </c>
      <c r="I68" s="24" t="s">
        <v>10894</v>
      </c>
      <c r="J68" s="24" t="s">
        <v>10889</v>
      </c>
      <c r="K68" s="23" t="n">
        <f aca="false">COUNTIF(A타입_제작표!$P$2:$P$799,"*"&amp;C68&amp;"*")</f>
        <v>0</v>
      </c>
      <c r="L68" s="23" t="s">
        <v>174</v>
      </c>
    </row>
    <row r="69" customFormat="false" ht="39.55" hidden="false" customHeight="false" outlineLevel="0" collapsed="false">
      <c r="A69" s="31" t="s">
        <v>10895</v>
      </c>
      <c r="B69" s="24" t="s">
        <v>10896</v>
      </c>
      <c r="C69" s="23" t="s">
        <v>10897</v>
      </c>
      <c r="D69" s="23" t="s">
        <v>10883</v>
      </c>
      <c r="E69" s="24" t="s">
        <v>10898</v>
      </c>
      <c r="F69" s="30" t="s">
        <v>10899</v>
      </c>
      <c r="G69" s="50" t="s">
        <v>10886</v>
      </c>
      <c r="H69" s="50" t="s">
        <v>10900</v>
      </c>
      <c r="I69" s="24" t="s">
        <v>10901</v>
      </c>
      <c r="J69" s="24" t="s">
        <v>10902</v>
      </c>
      <c r="K69" s="23" t="n">
        <f aca="false">COUNTIF(A타입_제작표!$P$2:$P$799,"*"&amp;C69&amp;"*")</f>
        <v>0</v>
      </c>
      <c r="L69" s="23" t="s">
        <v>174</v>
      </c>
    </row>
    <row r="71" customFormat="false" ht="15" hidden="false" customHeight="false" outlineLevel="0" collapsed="false">
      <c r="A71" s="15" t="s">
        <v>10903</v>
      </c>
    </row>
    <row r="72" customFormat="false" ht="15" hidden="false" customHeight="false" outlineLevel="0" collapsed="false">
      <c r="A72" s="8" t="s">
        <v>10904</v>
      </c>
    </row>
    <row r="73" customFormat="false" ht="15" hidden="false" customHeight="false" outlineLevel="0" collapsed="false">
      <c r="A73" s="7" t="s">
        <v>10905</v>
      </c>
    </row>
    <row r="74" customFormat="false" ht="15" hidden="false" customHeight="false" outlineLevel="0" collapsed="false">
      <c r="A74" s="7" t="s">
        <v>10906</v>
      </c>
    </row>
  </sheetData>
  <dataValidations count="1">
    <dataValidation allowBlank="true" errorStyle="stop" operator="between" showDropDown="false" showErrorMessage="false" showInputMessage="false" sqref="L2:L69" type="list">
      <formula1>"미착수,진행중,완료,해당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10907</v>
      </c>
    </row>
    <row r="2" customFormat="false" ht="15" hidden="false" customHeight="false" outlineLevel="0" collapsed="false">
      <c r="A2" s="2" t="s">
        <v>10908</v>
      </c>
    </row>
    <row r="4" customFormat="false" ht="16.4" hidden="false" customHeight="false" outlineLevel="0" collapsed="false">
      <c r="A4" s="32" t="s">
        <v>10909</v>
      </c>
      <c r="B4" s="4"/>
      <c r="C4" s="4"/>
      <c r="D4" s="4"/>
    </row>
    <row r="5" customFormat="false" ht="15" hidden="false" customHeight="false" outlineLevel="0" collapsed="false">
      <c r="A5" s="42" t="s">
        <v>10910</v>
      </c>
      <c r="B5" s="42" t="s">
        <v>10312</v>
      </c>
    </row>
    <row r="6" customFormat="false" ht="39.55" hidden="false" customHeight="false" outlineLevel="0" collapsed="false">
      <c r="A6" s="24" t="s">
        <v>10911</v>
      </c>
      <c r="B6" s="24" t="s">
        <v>10912</v>
      </c>
    </row>
    <row r="7" customFormat="false" ht="26.85" hidden="false" customHeight="false" outlineLevel="0" collapsed="false">
      <c r="A7" s="24" t="s">
        <v>10913</v>
      </c>
      <c r="B7" s="24" t="s">
        <v>10914</v>
      </c>
    </row>
    <row r="8" customFormat="false" ht="26.85" hidden="false" customHeight="false" outlineLevel="0" collapsed="false">
      <c r="A8" s="24" t="s">
        <v>10915</v>
      </c>
      <c r="B8" s="24" t="s">
        <v>10916</v>
      </c>
    </row>
    <row r="9" customFormat="false" ht="26.85" hidden="false" customHeight="false" outlineLevel="0" collapsed="false">
      <c r="A9" s="24" t="s">
        <v>10917</v>
      </c>
      <c r="B9" s="24" t="s">
        <v>10918</v>
      </c>
    </row>
    <row r="11" customFormat="false" ht="16.4" hidden="false" customHeight="false" outlineLevel="0" collapsed="false">
      <c r="A11" s="32" t="s">
        <v>10919</v>
      </c>
      <c r="B11" s="4"/>
      <c r="C11" s="4"/>
      <c r="D11" s="4"/>
    </row>
    <row r="12" customFormat="false" ht="15" hidden="false" customHeight="false" outlineLevel="0" collapsed="false">
      <c r="A12" s="42" t="s">
        <v>10920</v>
      </c>
      <c r="B12" s="42" t="s">
        <v>10921</v>
      </c>
      <c r="C12" s="42" t="s">
        <v>10922</v>
      </c>
      <c r="D12" s="42" t="s">
        <v>10923</v>
      </c>
    </row>
    <row r="13" customFormat="false" ht="26.85" hidden="false" customHeight="false" outlineLevel="0" collapsed="false">
      <c r="A13" s="24" t="s">
        <v>10924</v>
      </c>
      <c r="B13" s="24" t="s">
        <v>10925</v>
      </c>
      <c r="C13" s="24" t="s">
        <v>10926</v>
      </c>
      <c r="D13" s="30" t="s">
        <v>10282</v>
      </c>
    </row>
    <row r="14" customFormat="false" ht="39.55" hidden="false" customHeight="false" outlineLevel="0" collapsed="false">
      <c r="A14" s="24" t="s">
        <v>10927</v>
      </c>
      <c r="B14" s="24" t="s">
        <v>10928</v>
      </c>
      <c r="C14" s="24" t="s">
        <v>10929</v>
      </c>
      <c r="D14" s="30" t="s">
        <v>10282</v>
      </c>
    </row>
    <row r="15" customFormat="false" ht="26.85" hidden="false" customHeight="false" outlineLevel="0" collapsed="false">
      <c r="A15" s="24" t="s">
        <v>7758</v>
      </c>
      <c r="B15" s="24" t="s">
        <v>10930</v>
      </c>
      <c r="C15" s="24" t="s">
        <v>10931</v>
      </c>
      <c r="D15" s="30" t="s">
        <v>10282</v>
      </c>
    </row>
    <row r="16" customFormat="false" ht="15" hidden="false" customHeight="false" outlineLevel="0" collapsed="false">
      <c r="A16" s="24" t="s">
        <v>10932</v>
      </c>
      <c r="B16" s="24" t="s">
        <v>10933</v>
      </c>
      <c r="C16" s="24" t="s">
        <v>10934</v>
      </c>
      <c r="D16" s="30" t="s">
        <v>10282</v>
      </c>
    </row>
    <row r="17" customFormat="false" ht="26.85" hidden="false" customHeight="false" outlineLevel="0" collapsed="false">
      <c r="A17" s="24" t="s">
        <v>10935</v>
      </c>
      <c r="B17" s="24" t="s">
        <v>10936</v>
      </c>
      <c r="C17" s="24" t="s">
        <v>10937</v>
      </c>
      <c r="D17" s="30" t="s">
        <v>10282</v>
      </c>
    </row>
    <row r="18" customFormat="false" ht="26.85" hidden="false" customHeight="false" outlineLevel="0" collapsed="false">
      <c r="A18" s="24" t="s">
        <v>10938</v>
      </c>
      <c r="B18" s="24" t="s">
        <v>10939</v>
      </c>
      <c r="C18" s="24" t="s">
        <v>10940</v>
      </c>
      <c r="D18" s="30" t="s">
        <v>10282</v>
      </c>
    </row>
    <row r="19" customFormat="false" ht="26.85" hidden="false" customHeight="false" outlineLevel="0" collapsed="false">
      <c r="A19" s="24" t="s">
        <v>10941</v>
      </c>
      <c r="B19" s="24" t="s">
        <v>10942</v>
      </c>
      <c r="C19" s="24" t="s">
        <v>10943</v>
      </c>
      <c r="D19" s="30" t="s">
        <v>10282</v>
      </c>
    </row>
    <row r="20" customFormat="false" ht="26.85" hidden="false" customHeight="false" outlineLevel="0" collapsed="false">
      <c r="A20" s="24" t="s">
        <v>10944</v>
      </c>
      <c r="B20" s="24" t="s">
        <v>10945</v>
      </c>
      <c r="C20" s="24" t="s">
        <v>10946</v>
      </c>
      <c r="D20" s="30" t="s">
        <v>10282</v>
      </c>
    </row>
    <row r="21" customFormat="false" ht="26.85" hidden="false" customHeight="false" outlineLevel="0" collapsed="false">
      <c r="A21" s="24" t="s">
        <v>10947</v>
      </c>
      <c r="B21" s="24" t="s">
        <v>10948</v>
      </c>
      <c r="C21" s="24" t="s">
        <v>10949</v>
      </c>
      <c r="D21" s="30" t="s">
        <v>10282</v>
      </c>
    </row>
    <row r="22" customFormat="false" ht="26.85" hidden="false" customHeight="false" outlineLevel="0" collapsed="false">
      <c r="A22" s="24" t="s">
        <v>10950</v>
      </c>
      <c r="B22" s="24" t="s">
        <v>10951</v>
      </c>
      <c r="C22" s="24" t="s">
        <v>10952</v>
      </c>
      <c r="D22" s="30" t="s">
        <v>10282</v>
      </c>
    </row>
    <row r="23" customFormat="false" ht="26.85" hidden="false" customHeight="false" outlineLevel="0" collapsed="false">
      <c r="A23" s="24" t="s">
        <v>10953</v>
      </c>
      <c r="B23" s="24" t="s">
        <v>10954</v>
      </c>
      <c r="C23" s="24" t="s">
        <v>10955</v>
      </c>
      <c r="D23" s="30" t="s">
        <v>10282</v>
      </c>
    </row>
    <row r="24" customFormat="false" ht="26.85" hidden="false" customHeight="false" outlineLevel="0" collapsed="false">
      <c r="A24" s="24" t="s">
        <v>10956</v>
      </c>
      <c r="B24" s="24" t="s">
        <v>10957</v>
      </c>
      <c r="C24" s="24" t="s">
        <v>10958</v>
      </c>
      <c r="D24" s="30" t="s">
        <v>10282</v>
      </c>
    </row>
    <row r="25" customFormat="false" ht="26.85" hidden="false" customHeight="false" outlineLevel="0" collapsed="false">
      <c r="A25" s="24" t="s">
        <v>7869</v>
      </c>
      <c r="B25" s="24" t="s">
        <v>7871</v>
      </c>
      <c r="C25" s="24" t="s">
        <v>10959</v>
      </c>
      <c r="D25" s="30" t="s">
        <v>10282</v>
      </c>
    </row>
    <row r="26" customFormat="false" ht="26.85" hidden="false" customHeight="false" outlineLevel="0" collapsed="false">
      <c r="A26" s="24" t="s">
        <v>73</v>
      </c>
      <c r="B26" s="24" t="s">
        <v>10960</v>
      </c>
      <c r="C26" s="24" t="s">
        <v>10961</v>
      </c>
      <c r="D26" s="30" t="s">
        <v>10282</v>
      </c>
    </row>
    <row r="28" customFormat="false" ht="16.4" hidden="false" customHeight="false" outlineLevel="0" collapsed="false">
      <c r="A28" s="32" t="s">
        <v>10962</v>
      </c>
      <c r="B28" s="4"/>
      <c r="C28" s="4"/>
      <c r="D28" s="4"/>
    </row>
    <row r="29" customFormat="false" ht="15" hidden="false" customHeight="false" outlineLevel="0" collapsed="false">
      <c r="A29" s="42" t="s">
        <v>10963</v>
      </c>
      <c r="B29" s="42" t="s">
        <v>10964</v>
      </c>
      <c r="C29" s="42" t="s">
        <v>10965</v>
      </c>
      <c r="D29" s="42" t="s">
        <v>10966</v>
      </c>
    </row>
    <row r="30" customFormat="false" ht="26.85" hidden="false" customHeight="false" outlineLevel="0" collapsed="false">
      <c r="A30" s="24" t="s">
        <v>10967</v>
      </c>
      <c r="B30" s="24" t="s">
        <v>10968</v>
      </c>
      <c r="C30" s="24" t="s">
        <v>10969</v>
      </c>
      <c r="D30" s="24" t="s">
        <v>10970</v>
      </c>
    </row>
    <row r="31" customFormat="false" ht="26.85" hidden="false" customHeight="false" outlineLevel="0" collapsed="false">
      <c r="A31" s="24" t="s">
        <v>10971</v>
      </c>
      <c r="B31" s="30" t="s">
        <v>10972</v>
      </c>
      <c r="C31" s="24" t="s">
        <v>10973</v>
      </c>
      <c r="D31" s="30" t="s">
        <v>10974</v>
      </c>
    </row>
    <row r="32" customFormat="false" ht="26.85" hidden="false" customHeight="false" outlineLevel="0" collapsed="false">
      <c r="A32" s="24" t="s">
        <v>10975</v>
      </c>
      <c r="B32" s="24" t="s">
        <v>10976</v>
      </c>
      <c r="C32" s="24" t="s">
        <v>10977</v>
      </c>
      <c r="D32" s="24" t="s">
        <v>10978</v>
      </c>
    </row>
    <row r="33" customFormat="false" ht="15" hidden="false" customHeight="false" outlineLevel="0" collapsed="false">
      <c r="A33" s="30" t="s">
        <v>10979</v>
      </c>
      <c r="B33" s="30" t="s">
        <v>10980</v>
      </c>
      <c r="C33" s="24" t="s">
        <v>10981</v>
      </c>
      <c r="D33" s="24" t="s">
        <v>10982</v>
      </c>
    </row>
    <row r="34" customFormat="false" ht="15" hidden="false" customHeight="false" outlineLevel="0" collapsed="false">
      <c r="A34" s="24" t="s">
        <v>10983</v>
      </c>
      <c r="B34" s="24" t="s">
        <v>10984</v>
      </c>
      <c r="C34" s="24" t="s">
        <v>10985</v>
      </c>
      <c r="D34" s="24" t="s">
        <v>10986</v>
      </c>
    </row>
    <row r="35" customFormat="false" ht="26.85" hidden="false" customHeight="false" outlineLevel="0" collapsed="false">
      <c r="A35" s="24" t="s">
        <v>10987</v>
      </c>
      <c r="B35" s="24" t="s">
        <v>10988</v>
      </c>
      <c r="C35" s="24" t="s">
        <v>10989</v>
      </c>
      <c r="D35" s="24" t="s">
        <v>10990</v>
      </c>
    </row>
    <row r="36" customFormat="false" ht="26.85" hidden="false" customHeight="false" outlineLevel="0" collapsed="false">
      <c r="A36" s="24" t="s">
        <v>10991</v>
      </c>
      <c r="B36" s="24" t="s">
        <v>10992</v>
      </c>
      <c r="C36" s="24" t="s">
        <v>10993</v>
      </c>
      <c r="D36" s="24" t="s">
        <v>10994</v>
      </c>
    </row>
    <row r="37" customFormat="false" ht="15" hidden="false" customHeight="false" outlineLevel="0" collapsed="false">
      <c r="A37" s="24" t="s">
        <v>10995</v>
      </c>
      <c r="B37" s="24" t="s">
        <v>10996</v>
      </c>
      <c r="C37" s="24" t="s">
        <v>10997</v>
      </c>
      <c r="D37" s="24" t="s">
        <v>10998</v>
      </c>
    </row>
    <row r="38" customFormat="false" ht="15" hidden="false" customHeight="false" outlineLevel="0" collapsed="false">
      <c r="A38" s="24" t="s">
        <v>10999</v>
      </c>
      <c r="B38" s="24" t="s">
        <v>11000</v>
      </c>
      <c r="C38" s="24" t="s">
        <v>11001</v>
      </c>
      <c r="D38" s="30" t="s">
        <v>11002</v>
      </c>
    </row>
    <row r="39" customFormat="false" ht="15" hidden="false" customHeight="false" outlineLevel="0" collapsed="false">
      <c r="A39" s="24" t="s">
        <v>11003</v>
      </c>
      <c r="B39" s="24" t="s">
        <v>11004</v>
      </c>
      <c r="C39" s="24" t="s">
        <v>11005</v>
      </c>
      <c r="D39" s="24" t="s">
        <v>11006</v>
      </c>
    </row>
    <row r="40" customFormat="false" ht="15" hidden="false" customHeight="false" outlineLevel="0" collapsed="false">
      <c r="A40" s="24" t="s">
        <v>11007</v>
      </c>
      <c r="B40" s="24" t="s">
        <v>11008</v>
      </c>
      <c r="C40" s="24" t="s">
        <v>11009</v>
      </c>
      <c r="D40" s="24" t="s">
        <v>11010</v>
      </c>
    </row>
    <row r="42" customFormat="false" ht="16.4" hidden="false" customHeight="false" outlineLevel="0" collapsed="false">
      <c r="A42" s="32" t="s">
        <v>11011</v>
      </c>
      <c r="B42" s="4"/>
      <c r="C42" s="4"/>
      <c r="D42" s="4"/>
    </row>
    <row r="43" customFormat="false" ht="15" hidden="false" customHeight="false" outlineLevel="0" collapsed="false">
      <c r="A43" s="42" t="s">
        <v>11012</v>
      </c>
      <c r="B43" s="42" t="s">
        <v>11013</v>
      </c>
    </row>
    <row r="44" customFormat="false" ht="26.85" hidden="false" customHeight="false" outlineLevel="0" collapsed="false">
      <c r="A44" s="24" t="s">
        <v>11014</v>
      </c>
      <c r="B44" s="24" t="s">
        <v>11015</v>
      </c>
    </row>
    <row r="45" customFormat="false" ht="26.85" hidden="false" customHeight="false" outlineLevel="0" collapsed="false">
      <c r="A45" s="24" t="s">
        <v>11016</v>
      </c>
      <c r="B45" s="24" t="s">
        <v>11017</v>
      </c>
    </row>
    <row r="46" customFormat="false" ht="26.85" hidden="false" customHeight="false" outlineLevel="0" collapsed="false">
      <c r="A46" s="24" t="s">
        <v>11018</v>
      </c>
      <c r="B46" s="24" t="s">
        <v>11019</v>
      </c>
    </row>
    <row r="47" customFormat="false" ht="26.85" hidden="false" customHeight="false" outlineLevel="0" collapsed="false">
      <c r="A47" s="24" t="s">
        <v>11020</v>
      </c>
      <c r="B47" s="24" t="s">
        <v>11021</v>
      </c>
    </row>
    <row r="48" customFormat="false" ht="26.85" hidden="false" customHeight="false" outlineLevel="0" collapsed="false">
      <c r="A48" s="24" t="s">
        <v>11022</v>
      </c>
      <c r="B48" s="24" t="s">
        <v>11023</v>
      </c>
    </row>
    <row r="49" customFormat="false" ht="26.85" hidden="false" customHeight="false" outlineLevel="0" collapsed="false">
      <c r="A49" s="24" t="s">
        <v>11024</v>
      </c>
      <c r="B49" s="24" t="s">
        <v>11025</v>
      </c>
    </row>
    <row r="50" customFormat="false" ht="26.85" hidden="false" customHeight="false" outlineLevel="0" collapsed="false">
      <c r="A50" s="24" t="s">
        <v>11026</v>
      </c>
      <c r="B50" s="30" t="s">
        <v>11027</v>
      </c>
    </row>
    <row r="51" customFormat="false" ht="26.85" hidden="false" customHeight="false" outlineLevel="0" collapsed="false">
      <c r="A51" s="24" t="s">
        <v>11028</v>
      </c>
      <c r="B51" s="24" t="s">
        <v>11029</v>
      </c>
    </row>
    <row r="53" customFormat="false" ht="16.4" hidden="false" customHeight="false" outlineLevel="0" collapsed="false">
      <c r="A53" s="32" t="s">
        <v>11030</v>
      </c>
      <c r="B53" s="4"/>
      <c r="C53" s="4"/>
      <c r="D53" s="4"/>
    </row>
    <row r="54" customFormat="false" ht="15" hidden="false" customHeight="false" outlineLevel="0" collapsed="false">
      <c r="A54" s="42" t="s">
        <v>11031</v>
      </c>
      <c r="B54" s="42" t="s">
        <v>11013</v>
      </c>
      <c r="C54" s="42" t="s">
        <v>11032</v>
      </c>
    </row>
    <row r="55" customFormat="false" ht="15" hidden="false" customHeight="false" outlineLevel="0" collapsed="false">
      <c r="A55" s="30" t="s">
        <v>11033</v>
      </c>
      <c r="B55" s="24" t="s">
        <v>11034</v>
      </c>
      <c r="C55" s="24" t="s">
        <v>11035</v>
      </c>
    </row>
    <row r="56" customFormat="false" ht="15" hidden="false" customHeight="false" outlineLevel="0" collapsed="false">
      <c r="A56" s="30" t="s">
        <v>11036</v>
      </c>
      <c r="B56" s="24" t="s">
        <v>11037</v>
      </c>
      <c r="C56" s="24" t="s">
        <v>11035</v>
      </c>
    </row>
    <row r="57" customFormat="false" ht="39.55" hidden="false" customHeight="false" outlineLevel="0" collapsed="false">
      <c r="A57" s="30" t="s">
        <v>11038</v>
      </c>
      <c r="B57" s="24" t="s">
        <v>11039</v>
      </c>
      <c r="C57" s="24" t="s">
        <v>11035</v>
      </c>
    </row>
    <row r="58" customFormat="false" ht="15" hidden="false" customHeight="false" outlineLevel="0" collapsed="false">
      <c r="A58" s="30" t="s">
        <v>11040</v>
      </c>
      <c r="B58" s="24" t="s">
        <v>11041</v>
      </c>
      <c r="C58" s="24" t="s">
        <v>11042</v>
      </c>
    </row>
    <row r="59" customFormat="false" ht="15" hidden="false" customHeight="false" outlineLevel="0" collapsed="false">
      <c r="A59" s="30" t="s">
        <v>11043</v>
      </c>
      <c r="B59" s="24" t="s">
        <v>11044</v>
      </c>
      <c r="C59" s="24" t="s">
        <v>11042</v>
      </c>
    </row>
    <row r="60" customFormat="false" ht="26.85" hidden="false" customHeight="false" outlineLevel="0" collapsed="false">
      <c r="A60" s="30" t="s">
        <v>11045</v>
      </c>
      <c r="B60" s="30" t="s">
        <v>11046</v>
      </c>
      <c r="C60" s="24" t="s">
        <v>11047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11048</v>
      </c>
    </row>
    <row r="2" customFormat="false" ht="15" hidden="false" customHeight="false" outlineLevel="0" collapsed="false">
      <c r="A2" s="51" t="s">
        <v>11049</v>
      </c>
    </row>
    <row r="4" customFormat="false" ht="16.4" hidden="false" customHeight="false" outlineLevel="0" collapsed="false">
      <c r="A4" s="32" t="s">
        <v>11050</v>
      </c>
      <c r="B4" s="4"/>
      <c r="C4" s="4"/>
      <c r="D4" s="4"/>
    </row>
    <row r="5" customFormat="false" ht="15" hidden="false" customHeight="false" outlineLevel="0" collapsed="false">
      <c r="A5" s="42" t="s">
        <v>11051</v>
      </c>
      <c r="B5" s="42" t="s">
        <v>11013</v>
      </c>
      <c r="C5" s="42" t="s">
        <v>11052</v>
      </c>
      <c r="D5" s="42" t="s">
        <v>11053</v>
      </c>
    </row>
    <row r="6" customFormat="false" ht="26.85" hidden="false" customHeight="false" outlineLevel="0" collapsed="false">
      <c r="A6" s="30" t="s">
        <v>11054</v>
      </c>
      <c r="B6" s="24" t="s">
        <v>11055</v>
      </c>
      <c r="C6" s="24" t="s">
        <v>145</v>
      </c>
      <c r="D6" s="30" t="s">
        <v>11056</v>
      </c>
    </row>
    <row r="7" customFormat="false" ht="15" hidden="false" customHeight="false" outlineLevel="0" collapsed="false">
      <c r="A7" s="30" t="s">
        <v>11057</v>
      </c>
      <c r="B7" s="24" t="s">
        <v>11058</v>
      </c>
      <c r="C7" s="24" t="s">
        <v>11059</v>
      </c>
      <c r="D7" s="30" t="s">
        <v>10448</v>
      </c>
    </row>
    <row r="8" customFormat="false" ht="15" hidden="false" customHeight="false" outlineLevel="0" collapsed="false">
      <c r="A8" s="30" t="s">
        <v>11060</v>
      </c>
      <c r="B8" s="24" t="s">
        <v>11061</v>
      </c>
      <c r="C8" s="24" t="s">
        <v>11062</v>
      </c>
      <c r="D8" s="30" t="s">
        <v>11063</v>
      </c>
    </row>
    <row r="9" customFormat="false" ht="15" hidden="false" customHeight="false" outlineLevel="0" collapsed="false">
      <c r="A9" s="30" t="s">
        <v>11064</v>
      </c>
      <c r="B9" s="24" t="s">
        <v>11065</v>
      </c>
      <c r="C9" s="24" t="s">
        <v>123</v>
      </c>
      <c r="D9" s="30" t="s">
        <v>11066</v>
      </c>
    </row>
    <row r="10" customFormat="false" ht="15" hidden="false" customHeight="false" outlineLevel="0" collapsed="false">
      <c r="A10" s="30" t="s">
        <v>11067</v>
      </c>
      <c r="B10" s="24" t="s">
        <v>11068</v>
      </c>
      <c r="C10" s="24" t="s">
        <v>127</v>
      </c>
      <c r="D10" s="30" t="s">
        <v>11056</v>
      </c>
    </row>
    <row r="11" customFormat="false" ht="15" hidden="false" customHeight="false" outlineLevel="0" collapsed="false">
      <c r="A11" s="30" t="s">
        <v>11069</v>
      </c>
      <c r="B11" s="24" t="s">
        <v>11070</v>
      </c>
      <c r="C11" s="24" t="s">
        <v>128</v>
      </c>
      <c r="D11" s="30" t="s">
        <v>11056</v>
      </c>
    </row>
    <row r="12" customFormat="false" ht="26.85" hidden="false" customHeight="false" outlineLevel="0" collapsed="false">
      <c r="A12" s="30" t="s">
        <v>11071</v>
      </c>
      <c r="B12" s="24" t="s">
        <v>11072</v>
      </c>
      <c r="C12" s="24" t="s">
        <v>11073</v>
      </c>
      <c r="D12" s="30" t="s">
        <v>11056</v>
      </c>
    </row>
    <row r="13" customFormat="false" ht="15" hidden="false" customHeight="false" outlineLevel="0" collapsed="false">
      <c r="A13" s="24" t="s">
        <v>11074</v>
      </c>
      <c r="B13" s="24" t="s">
        <v>11075</v>
      </c>
      <c r="C13" s="30" t="s">
        <v>10448</v>
      </c>
      <c r="D13" s="30" t="s">
        <v>11076</v>
      </c>
    </row>
    <row r="15" customFormat="false" ht="16.4" hidden="false" customHeight="false" outlineLevel="0" collapsed="false">
      <c r="A15" s="32" t="s">
        <v>11077</v>
      </c>
      <c r="B15" s="4"/>
      <c r="C15" s="4"/>
      <c r="D15" s="4"/>
    </row>
    <row r="16" customFormat="false" ht="15" hidden="false" customHeight="false" outlineLevel="0" collapsed="false">
      <c r="A16" s="42" t="s">
        <v>11051</v>
      </c>
      <c r="B16" s="42" t="s">
        <v>11013</v>
      </c>
      <c r="C16" s="42" t="s">
        <v>11052</v>
      </c>
      <c r="D16" s="42" t="s">
        <v>11078</v>
      </c>
    </row>
    <row r="17" customFormat="false" ht="15" hidden="false" customHeight="false" outlineLevel="0" collapsed="false">
      <c r="A17" s="24" t="s">
        <v>11079</v>
      </c>
      <c r="B17" s="24" t="s">
        <v>11080</v>
      </c>
      <c r="C17" s="24" t="s">
        <v>8459</v>
      </c>
      <c r="D17" s="24" t="s">
        <v>11081</v>
      </c>
    </row>
    <row r="18" customFormat="false" ht="26.85" hidden="false" customHeight="false" outlineLevel="0" collapsed="false">
      <c r="A18" s="24" t="s">
        <v>11082</v>
      </c>
      <c r="B18" s="30" t="s">
        <v>11083</v>
      </c>
      <c r="C18" s="30" t="s">
        <v>11084</v>
      </c>
      <c r="D18" s="24" t="s">
        <v>11085</v>
      </c>
    </row>
    <row r="19" customFormat="false" ht="15" hidden="false" customHeight="false" outlineLevel="0" collapsed="false">
      <c r="A19" s="24" t="s">
        <v>11086</v>
      </c>
      <c r="B19" s="24" t="s">
        <v>11087</v>
      </c>
      <c r="C19" s="24" t="s">
        <v>11088</v>
      </c>
      <c r="D19" s="24" t="s">
        <v>11089</v>
      </c>
    </row>
    <row r="20" customFormat="false" ht="15" hidden="false" customHeight="false" outlineLevel="0" collapsed="false">
      <c r="A20" s="24" t="s">
        <v>11090</v>
      </c>
      <c r="B20" s="24" t="s">
        <v>11091</v>
      </c>
      <c r="C20" s="24" t="s">
        <v>127</v>
      </c>
      <c r="D20" s="24" t="s">
        <v>11092</v>
      </c>
    </row>
    <row r="21" customFormat="false" ht="15" hidden="false" customHeight="false" outlineLevel="0" collapsed="false">
      <c r="A21" s="24" t="s">
        <v>11093</v>
      </c>
      <c r="B21" s="24" t="s">
        <v>11094</v>
      </c>
      <c r="C21" s="30" t="s">
        <v>10448</v>
      </c>
      <c r="D21" s="30" t="s">
        <v>10448</v>
      </c>
    </row>
    <row r="23" customFormat="false" ht="16.4" hidden="false" customHeight="false" outlineLevel="0" collapsed="false">
      <c r="A23" s="32" t="s">
        <v>11095</v>
      </c>
      <c r="B23" s="4"/>
      <c r="C23" s="4"/>
      <c r="D23" s="4"/>
    </row>
    <row r="24" customFormat="false" ht="15" hidden="false" customHeight="false" outlineLevel="0" collapsed="false">
      <c r="A24" s="42" t="s">
        <v>11096</v>
      </c>
      <c r="B24" s="42" t="s">
        <v>11097</v>
      </c>
      <c r="C24" s="42" t="s">
        <v>11098</v>
      </c>
      <c r="D24" s="42" t="s">
        <v>11099</v>
      </c>
    </row>
    <row r="25" customFormat="false" ht="26.85" hidden="false" customHeight="false" outlineLevel="0" collapsed="false">
      <c r="A25" s="24" t="s">
        <v>11100</v>
      </c>
      <c r="B25" s="30" t="s">
        <v>11101</v>
      </c>
      <c r="C25" s="24" t="s">
        <v>11102</v>
      </c>
      <c r="D25" s="24" t="s">
        <v>11103</v>
      </c>
    </row>
    <row r="26" customFormat="false" ht="15" hidden="false" customHeight="false" outlineLevel="0" collapsed="false">
      <c r="A26" s="24" t="s">
        <v>11104</v>
      </c>
      <c r="B26" s="24" t="s">
        <v>11105</v>
      </c>
      <c r="C26" s="24" t="s">
        <v>11106</v>
      </c>
      <c r="D26" s="24" t="s">
        <v>11103</v>
      </c>
    </row>
    <row r="27" customFormat="false" ht="15" hidden="false" customHeight="false" outlineLevel="0" collapsed="false">
      <c r="A27" s="24" t="s">
        <v>11107</v>
      </c>
      <c r="B27" s="24" t="s">
        <v>11108</v>
      </c>
      <c r="C27" s="24" t="s">
        <v>11109</v>
      </c>
      <c r="D27" s="24" t="s">
        <v>11110</v>
      </c>
    </row>
    <row r="28" customFormat="false" ht="15" hidden="false" customHeight="false" outlineLevel="0" collapsed="false">
      <c r="A28" s="24" t="s">
        <v>11111</v>
      </c>
      <c r="B28" s="24" t="s">
        <v>11112</v>
      </c>
      <c r="C28" s="24" t="s">
        <v>11113</v>
      </c>
      <c r="D28" s="24" t="s">
        <v>11103</v>
      </c>
    </row>
    <row r="29" customFormat="false" ht="15" hidden="false" customHeight="false" outlineLevel="0" collapsed="false">
      <c r="A29" s="24" t="s">
        <v>11114</v>
      </c>
      <c r="B29" s="24" t="s">
        <v>11115</v>
      </c>
      <c r="C29" s="24" t="s">
        <v>11116</v>
      </c>
      <c r="D29" s="24" t="s">
        <v>11117</v>
      </c>
    </row>
    <row r="31" customFormat="false" ht="16.4" hidden="false" customHeight="false" outlineLevel="0" collapsed="false">
      <c r="A31" s="32" t="s">
        <v>11118</v>
      </c>
      <c r="B31" s="4"/>
      <c r="C31" s="4"/>
      <c r="D31" s="4"/>
    </row>
    <row r="32" customFormat="false" ht="15" hidden="false" customHeight="false" outlineLevel="0" collapsed="false">
      <c r="A32" s="42" t="s">
        <v>11031</v>
      </c>
      <c r="B32" s="42" t="s">
        <v>11013</v>
      </c>
      <c r="C32" s="42" t="s">
        <v>11119</v>
      </c>
      <c r="D32" s="42" t="s">
        <v>11120</v>
      </c>
    </row>
    <row r="33" customFormat="false" ht="39.55" hidden="false" customHeight="false" outlineLevel="0" collapsed="false">
      <c r="A33" s="30" t="s">
        <v>11121</v>
      </c>
      <c r="B33" s="24" t="s">
        <v>11122</v>
      </c>
      <c r="C33" s="24" t="s">
        <v>11123</v>
      </c>
      <c r="D33" s="24" t="s">
        <v>11124</v>
      </c>
    </row>
    <row r="34" customFormat="false" ht="26.85" hidden="false" customHeight="false" outlineLevel="0" collapsed="false">
      <c r="A34" s="30" t="s">
        <v>11125</v>
      </c>
      <c r="B34" s="30" t="s">
        <v>11126</v>
      </c>
      <c r="C34" s="24" t="s">
        <v>11127</v>
      </c>
      <c r="D34" s="24" t="s">
        <v>11128</v>
      </c>
    </row>
    <row r="35" customFormat="false" ht="15" hidden="false" customHeight="false" outlineLevel="0" collapsed="false">
      <c r="A35" s="24" t="s">
        <v>11129</v>
      </c>
      <c r="B35" s="30" t="s">
        <v>11130</v>
      </c>
      <c r="C35" s="30" t="s">
        <v>10448</v>
      </c>
      <c r="D35" s="30" t="s">
        <v>11131</v>
      </c>
    </row>
    <row r="36" customFormat="false" ht="15" hidden="false" customHeight="false" outlineLevel="0" collapsed="false">
      <c r="A36" s="24" t="s">
        <v>11132</v>
      </c>
      <c r="B36" s="24" t="s">
        <v>11133</v>
      </c>
      <c r="C36" s="30" t="s">
        <v>10448</v>
      </c>
      <c r="D36" s="30" t="s">
        <v>11131</v>
      </c>
    </row>
    <row r="38" customFormat="false" ht="16.4" hidden="false" customHeight="false" outlineLevel="0" collapsed="false">
      <c r="A38" s="32" t="s">
        <v>11134</v>
      </c>
      <c r="B38" s="4"/>
      <c r="C38" s="4"/>
      <c r="D38" s="4"/>
    </row>
    <row r="39" customFormat="false" ht="15" hidden="false" customHeight="false" outlineLevel="0" collapsed="false">
      <c r="A39" s="42" t="s">
        <v>11135</v>
      </c>
      <c r="B39" s="42" t="s">
        <v>11136</v>
      </c>
      <c r="C39" s="42" t="s">
        <v>11137</v>
      </c>
      <c r="D39" s="42" t="s">
        <v>11138</v>
      </c>
    </row>
    <row r="40" customFormat="false" ht="26.85" hidden="false" customHeight="false" outlineLevel="0" collapsed="false">
      <c r="A40" s="24" t="s">
        <v>11139</v>
      </c>
      <c r="B40" s="30" t="s">
        <v>11140</v>
      </c>
      <c r="C40" s="24" t="s">
        <v>11141</v>
      </c>
      <c r="D40" s="24" t="s">
        <v>11142</v>
      </c>
    </row>
    <row r="41" customFormat="false" ht="26.85" hidden="false" customHeight="false" outlineLevel="0" collapsed="false">
      <c r="A41" s="24" t="s">
        <v>11143</v>
      </c>
      <c r="B41" s="30" t="s">
        <v>11144</v>
      </c>
      <c r="C41" s="24" t="s">
        <v>11145</v>
      </c>
      <c r="D41" s="24" t="s">
        <v>11146</v>
      </c>
    </row>
    <row r="42" customFormat="false" ht="23.85" hidden="false" customHeight="false" outlineLevel="0" collapsed="false">
      <c r="A42" s="24" t="s">
        <v>11147</v>
      </c>
      <c r="B42" s="30" t="s">
        <v>11148</v>
      </c>
      <c r="C42" s="24" t="s">
        <v>11149</v>
      </c>
      <c r="D42" s="24" t="s">
        <v>11150</v>
      </c>
    </row>
    <row r="43" customFormat="false" ht="15" hidden="false" customHeight="false" outlineLevel="0" collapsed="false">
      <c r="A43" s="24" t="s">
        <v>11151</v>
      </c>
      <c r="B43" s="30" t="s">
        <v>11152</v>
      </c>
      <c r="C43" s="24" t="s">
        <v>11153</v>
      </c>
      <c r="D43" s="24" t="s">
        <v>11150</v>
      </c>
    </row>
    <row r="44" customFormat="false" ht="23.85" hidden="false" customHeight="false" outlineLevel="0" collapsed="false">
      <c r="A44" s="24" t="s">
        <v>11154</v>
      </c>
      <c r="B44" s="30" t="s">
        <v>11155</v>
      </c>
      <c r="C44" s="24" t="s">
        <v>11156</v>
      </c>
      <c r="D44" s="24" t="s">
        <v>11142</v>
      </c>
    </row>
    <row r="46" customFormat="false" ht="16.4" hidden="false" customHeight="false" outlineLevel="0" collapsed="false">
      <c r="A46" s="32" t="s">
        <v>11157</v>
      </c>
      <c r="B46" s="4"/>
      <c r="C46" s="4"/>
      <c r="D46" s="4"/>
    </row>
    <row r="47" customFormat="false" ht="15" hidden="false" customHeight="false" outlineLevel="0" collapsed="false">
      <c r="A47" s="42" t="s">
        <v>10910</v>
      </c>
      <c r="B47" s="42" t="s">
        <v>11158</v>
      </c>
      <c r="C47" s="42" t="s">
        <v>141</v>
      </c>
    </row>
    <row r="48" customFormat="false" ht="26.85" hidden="false" customHeight="false" outlineLevel="0" collapsed="false">
      <c r="A48" s="24" t="s">
        <v>11159</v>
      </c>
      <c r="B48" s="30" t="s">
        <v>11160</v>
      </c>
      <c r="C48" s="24" t="s">
        <v>11161</v>
      </c>
    </row>
    <row r="49" customFormat="false" ht="26.85" hidden="false" customHeight="false" outlineLevel="0" collapsed="false">
      <c r="A49" s="24" t="s">
        <v>11162</v>
      </c>
      <c r="B49" s="30" t="s">
        <v>11163</v>
      </c>
      <c r="C49" s="24" t="s">
        <v>11164</v>
      </c>
    </row>
    <row r="50" customFormat="false" ht="15" hidden="false" customHeight="false" outlineLevel="0" collapsed="false">
      <c r="A50" s="24" t="s">
        <v>11165</v>
      </c>
      <c r="B50" s="30" t="s">
        <v>11166</v>
      </c>
      <c r="C50" s="24" t="s">
        <v>11167</v>
      </c>
    </row>
    <row r="51" customFormat="false" ht="15" hidden="false" customHeight="false" outlineLevel="0" collapsed="false">
      <c r="A51" s="24" t="s">
        <v>11168</v>
      </c>
      <c r="B51" s="24" t="s">
        <v>11169</v>
      </c>
      <c r="C51" s="24" t="s">
        <v>11170</v>
      </c>
    </row>
    <row r="52" customFormat="false" ht="15" hidden="false" customHeight="false" outlineLevel="0" collapsed="false">
      <c r="A52" s="24" t="s">
        <v>11171</v>
      </c>
      <c r="B52" s="24" t="s">
        <v>11172</v>
      </c>
      <c r="C52" s="24" t="s">
        <v>11173</v>
      </c>
    </row>
    <row r="53" customFormat="false" ht="15" hidden="false" customHeight="false" outlineLevel="0" collapsed="false">
      <c r="A53" s="24" t="s">
        <v>11174</v>
      </c>
      <c r="B53" s="24" t="s">
        <v>11175</v>
      </c>
      <c r="C53" s="24" t="s">
        <v>11176</v>
      </c>
    </row>
    <row r="55" customFormat="false" ht="16.4" hidden="false" customHeight="false" outlineLevel="0" collapsed="false">
      <c r="A55" s="32" t="s">
        <v>11177</v>
      </c>
      <c r="B55" s="4"/>
      <c r="C55" s="4"/>
      <c r="D55" s="4"/>
    </row>
    <row r="56" customFormat="false" ht="15" hidden="false" customHeight="false" outlineLevel="0" collapsed="false">
      <c r="A56" s="42" t="s">
        <v>10910</v>
      </c>
      <c r="B56" s="42" t="s">
        <v>11178</v>
      </c>
      <c r="C56" s="42" t="s">
        <v>11179</v>
      </c>
    </row>
    <row r="57" customFormat="false" ht="15" hidden="false" customHeight="false" outlineLevel="0" collapsed="false">
      <c r="A57" s="24" t="s">
        <v>11180</v>
      </c>
      <c r="B57" s="30" t="s">
        <v>11181</v>
      </c>
      <c r="C57" s="30" t="s">
        <v>11182</v>
      </c>
    </row>
    <row r="58" customFormat="false" ht="26.85" hidden="false" customHeight="false" outlineLevel="0" collapsed="false">
      <c r="A58" s="24" t="s">
        <v>11183</v>
      </c>
      <c r="B58" s="24" t="s">
        <v>11184</v>
      </c>
      <c r="C58" s="30" t="s">
        <v>11185</v>
      </c>
    </row>
    <row r="59" customFormat="false" ht="26.85" hidden="false" customHeight="false" outlineLevel="0" collapsed="false">
      <c r="A59" s="24" t="s">
        <v>11186</v>
      </c>
      <c r="B59" s="24" t="s">
        <v>11187</v>
      </c>
      <c r="C59" s="24" t="s">
        <v>11188</v>
      </c>
    </row>
    <row r="60" customFormat="false" ht="26.85" hidden="false" customHeight="false" outlineLevel="0" collapsed="false">
      <c r="A60" s="24" t="s">
        <v>11093</v>
      </c>
      <c r="B60" s="24" t="s">
        <v>11189</v>
      </c>
      <c r="C60" s="30" t="s">
        <v>10448</v>
      </c>
    </row>
    <row r="61" customFormat="false" ht="26.85" hidden="false" customHeight="false" outlineLevel="0" collapsed="false">
      <c r="A61" s="24" t="s">
        <v>11190</v>
      </c>
      <c r="B61" s="30" t="s">
        <v>11191</v>
      </c>
      <c r="C61" s="30" t="s">
        <v>11192</v>
      </c>
    </row>
    <row r="62" customFormat="false" ht="15" hidden="false" customHeight="false" outlineLevel="0" collapsed="false">
      <c r="A62" s="24" t="s">
        <v>11193</v>
      </c>
      <c r="B62" s="30" t="s">
        <v>11194</v>
      </c>
      <c r="C62" s="24" t="s">
        <v>11195</v>
      </c>
    </row>
    <row r="63" customFormat="false" ht="15" hidden="false" customHeight="false" outlineLevel="0" collapsed="false">
      <c r="A63" s="24" t="s">
        <v>10310</v>
      </c>
      <c r="B63" s="24" t="s">
        <v>11196</v>
      </c>
      <c r="C63" s="30" t="s">
        <v>10448</v>
      </c>
    </row>
    <row r="65" customFormat="false" ht="16.4" hidden="false" customHeight="false" outlineLevel="0" collapsed="false">
      <c r="A65" s="32" t="s">
        <v>11197</v>
      </c>
      <c r="B65" s="4"/>
      <c r="C65" s="4"/>
      <c r="D65" s="4"/>
    </row>
    <row r="66" customFormat="false" ht="15" hidden="false" customHeight="false" outlineLevel="0" collapsed="false">
      <c r="A66" s="42" t="s">
        <v>10434</v>
      </c>
      <c r="B66" s="42" t="s">
        <v>11012</v>
      </c>
      <c r="C66" s="42" t="s">
        <v>11198</v>
      </c>
      <c r="D66" s="42" t="s">
        <v>11179</v>
      </c>
    </row>
    <row r="67" customFormat="false" ht="26.85" hidden="false" customHeight="false" outlineLevel="0" collapsed="false">
      <c r="A67" s="24" t="s">
        <v>11199</v>
      </c>
      <c r="B67" s="24" t="s">
        <v>11200</v>
      </c>
      <c r="C67" s="24" t="s">
        <v>11201</v>
      </c>
      <c r="D67" s="24" t="s">
        <v>11202</v>
      </c>
    </row>
    <row r="68" customFormat="false" ht="26.85" hidden="false" customHeight="false" outlineLevel="0" collapsed="false">
      <c r="A68" s="24" t="s">
        <v>11203</v>
      </c>
      <c r="B68" s="24" t="s">
        <v>11204</v>
      </c>
      <c r="C68" s="24" t="s">
        <v>11205</v>
      </c>
      <c r="D68" s="30" t="s">
        <v>11206</v>
      </c>
    </row>
    <row r="69" customFormat="false" ht="26.85" hidden="false" customHeight="false" outlineLevel="0" collapsed="false">
      <c r="A69" s="24" t="s">
        <v>11207</v>
      </c>
      <c r="B69" s="24" t="s">
        <v>11208</v>
      </c>
      <c r="C69" s="24" t="s">
        <v>11209</v>
      </c>
      <c r="D69" s="24" t="s">
        <v>11210</v>
      </c>
    </row>
    <row r="70" customFormat="false" ht="15" hidden="false" customHeight="false" outlineLevel="0" collapsed="false">
      <c r="A70" s="24" t="s">
        <v>11211</v>
      </c>
      <c r="B70" s="30" t="s">
        <v>11212</v>
      </c>
      <c r="C70" s="24" t="s">
        <v>11213</v>
      </c>
      <c r="D70" s="30" t="s">
        <v>10448</v>
      </c>
    </row>
    <row r="71" customFormat="false" ht="15" hidden="false" customHeight="false" outlineLevel="0" collapsed="false">
      <c r="A71" s="24" t="s">
        <v>11214</v>
      </c>
      <c r="B71" s="24" t="s">
        <v>11215</v>
      </c>
      <c r="C71" s="24" t="s">
        <v>11216</v>
      </c>
      <c r="D71" s="24" t="s">
        <v>11217</v>
      </c>
    </row>
    <row r="72" customFormat="false" ht="15" hidden="false" customHeight="false" outlineLevel="0" collapsed="false">
      <c r="A72" s="24" t="s">
        <v>11218</v>
      </c>
      <c r="B72" s="24" t="s">
        <v>11219</v>
      </c>
      <c r="C72" s="24" t="s">
        <v>11220</v>
      </c>
      <c r="D72" s="30" t="s">
        <v>10448</v>
      </c>
    </row>
    <row r="73" customFormat="false" ht="26.85" hidden="false" customHeight="false" outlineLevel="0" collapsed="false">
      <c r="A73" s="24" t="s">
        <v>11221</v>
      </c>
      <c r="B73" s="24" t="s">
        <v>11222</v>
      </c>
      <c r="C73" s="24" t="s">
        <v>11223</v>
      </c>
      <c r="D73" s="24" t="s">
        <v>11224</v>
      </c>
    </row>
    <row r="74" customFormat="false" ht="15" hidden="false" customHeight="false" outlineLevel="0" collapsed="false">
      <c r="A74" s="24" t="s">
        <v>11225</v>
      </c>
      <c r="B74" s="24" t="s">
        <v>11226</v>
      </c>
      <c r="C74" s="30" t="s">
        <v>11227</v>
      </c>
      <c r="D74" s="30" t="s">
        <v>10448</v>
      </c>
    </row>
    <row r="75" customFormat="false" ht="26.85" hidden="false" customHeight="false" outlineLevel="0" collapsed="false">
      <c r="A75" s="24" t="s">
        <v>11228</v>
      </c>
      <c r="B75" s="24" t="s">
        <v>11229</v>
      </c>
      <c r="C75" s="24" t="s">
        <v>11230</v>
      </c>
      <c r="D75" s="30" t="s">
        <v>11231</v>
      </c>
    </row>
    <row r="77" customFormat="false" ht="16.4" hidden="false" customHeight="false" outlineLevel="0" collapsed="false">
      <c r="A77" s="32" t="s">
        <v>11232</v>
      </c>
      <c r="B77" s="4"/>
      <c r="C77" s="4"/>
      <c r="D77" s="4"/>
    </row>
    <row r="78" customFormat="false" ht="15" hidden="false" customHeight="false" outlineLevel="0" collapsed="false">
      <c r="A78" s="42" t="s">
        <v>10923</v>
      </c>
      <c r="B78" s="42" t="s">
        <v>10910</v>
      </c>
    </row>
    <row r="79" customFormat="false" ht="15" hidden="false" customHeight="false" outlineLevel="0" collapsed="false">
      <c r="A79" s="30" t="s">
        <v>10282</v>
      </c>
      <c r="B79" s="24" t="s">
        <v>11233</v>
      </c>
    </row>
    <row r="80" customFormat="false" ht="15" hidden="false" customHeight="false" outlineLevel="0" collapsed="false">
      <c r="A80" s="30" t="s">
        <v>10282</v>
      </c>
      <c r="B80" s="24" t="s">
        <v>11234</v>
      </c>
    </row>
    <row r="81" customFormat="false" ht="15" hidden="false" customHeight="false" outlineLevel="0" collapsed="false">
      <c r="A81" s="30" t="s">
        <v>10282</v>
      </c>
      <c r="B81" s="24" t="s">
        <v>11235</v>
      </c>
    </row>
    <row r="82" customFormat="false" ht="26.85" hidden="false" customHeight="false" outlineLevel="0" collapsed="false">
      <c r="A82" s="30" t="s">
        <v>10282</v>
      </c>
      <c r="B82" s="24" t="s">
        <v>11236</v>
      </c>
    </row>
    <row r="83" customFormat="false" ht="26.85" hidden="false" customHeight="false" outlineLevel="0" collapsed="false">
      <c r="A83" s="30" t="s">
        <v>10282</v>
      </c>
      <c r="B83" s="24" t="s">
        <v>11237</v>
      </c>
    </row>
    <row r="84" customFormat="false" ht="15" hidden="false" customHeight="false" outlineLevel="0" collapsed="false">
      <c r="A84" s="30" t="s">
        <v>10282</v>
      </c>
      <c r="B84" s="24" t="s">
        <v>11238</v>
      </c>
    </row>
    <row r="85" customFormat="false" ht="26.85" hidden="false" customHeight="false" outlineLevel="0" collapsed="false">
      <c r="A85" s="30" t="s">
        <v>10282</v>
      </c>
      <c r="B85" s="30" t="s">
        <v>11239</v>
      </c>
    </row>
    <row r="86" customFormat="false" ht="15" hidden="false" customHeight="false" outlineLevel="0" collapsed="false">
      <c r="A86" s="30" t="s">
        <v>10282</v>
      </c>
      <c r="B86" s="24" t="s">
        <v>11240</v>
      </c>
    </row>
    <row r="88" customFormat="false" ht="16.4" hidden="false" customHeight="false" outlineLevel="0" collapsed="false">
      <c r="A88" s="32" t="s">
        <v>11241</v>
      </c>
      <c r="B88" s="4"/>
      <c r="C88" s="4"/>
      <c r="D88" s="4"/>
    </row>
    <row r="89" customFormat="false" ht="15" hidden="false" customHeight="false" outlineLevel="0" collapsed="false">
      <c r="A89" s="42" t="s">
        <v>10923</v>
      </c>
      <c r="B89" s="42" t="s">
        <v>10910</v>
      </c>
    </row>
    <row r="90" customFormat="false" ht="15" hidden="false" customHeight="false" outlineLevel="0" collapsed="false">
      <c r="A90" s="30" t="s">
        <v>10282</v>
      </c>
      <c r="B90" s="24" t="s">
        <v>11242</v>
      </c>
    </row>
    <row r="91" customFormat="false" ht="15" hidden="false" customHeight="false" outlineLevel="0" collapsed="false">
      <c r="A91" s="30" t="s">
        <v>10282</v>
      </c>
      <c r="B91" s="24" t="s">
        <v>11243</v>
      </c>
    </row>
    <row r="92" customFormat="false" ht="15" hidden="false" customHeight="false" outlineLevel="0" collapsed="false">
      <c r="A92" s="30" t="s">
        <v>10282</v>
      </c>
      <c r="B92" s="24" t="s">
        <v>11244</v>
      </c>
    </row>
    <row r="93" customFormat="false" ht="15" hidden="false" customHeight="false" outlineLevel="0" collapsed="false">
      <c r="A93" s="30" t="s">
        <v>10282</v>
      </c>
      <c r="B93" s="24" t="s">
        <v>11245</v>
      </c>
    </row>
    <row r="94" customFormat="false" ht="15" hidden="false" customHeight="false" outlineLevel="0" collapsed="false">
      <c r="A94" s="30" t="s">
        <v>10282</v>
      </c>
      <c r="B94" s="24" t="s">
        <v>11246</v>
      </c>
    </row>
    <row r="95" customFormat="false" ht="15" hidden="false" customHeight="false" outlineLevel="0" collapsed="false">
      <c r="A95" s="30" t="s">
        <v>10282</v>
      </c>
      <c r="B95" s="24" t="s">
        <v>11247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11248</v>
      </c>
      <c r="B1" s="16" t="s">
        <v>11249</v>
      </c>
      <c r="C1" s="16" t="s">
        <v>11250</v>
      </c>
      <c r="D1" s="16" t="s">
        <v>11251</v>
      </c>
    </row>
    <row r="2" customFormat="false" ht="26.85" hidden="false" customHeight="false" outlineLevel="0" collapsed="false">
      <c r="A2" s="24" t="s">
        <v>11252</v>
      </c>
      <c r="B2" s="24" t="s">
        <v>11253</v>
      </c>
      <c r="C2" s="31" t="s">
        <v>11254</v>
      </c>
      <c r="D2" s="24" t="s">
        <v>11255</v>
      </c>
    </row>
    <row r="3" customFormat="false" ht="52.2" hidden="false" customHeight="false" outlineLevel="0" collapsed="false">
      <c r="A3" s="24" t="s">
        <v>11256</v>
      </c>
      <c r="B3" s="24" t="s">
        <v>11257</v>
      </c>
      <c r="C3" s="31" t="s">
        <v>11258</v>
      </c>
      <c r="D3" s="24" t="s">
        <v>11259</v>
      </c>
    </row>
    <row r="4" customFormat="false" ht="39.55" hidden="false" customHeight="false" outlineLevel="0" collapsed="false">
      <c r="A4" s="24" t="s">
        <v>11260</v>
      </c>
      <c r="B4" s="24" t="s">
        <v>11261</v>
      </c>
      <c r="C4" s="31" t="s">
        <v>11262</v>
      </c>
      <c r="D4" s="24" t="s">
        <v>11263</v>
      </c>
    </row>
    <row r="5" customFormat="false" ht="26.85" hidden="false" customHeight="false" outlineLevel="0" collapsed="false">
      <c r="A5" s="24" t="s">
        <v>11264</v>
      </c>
      <c r="B5" s="24" t="s">
        <v>11265</v>
      </c>
      <c r="C5" s="31" t="s">
        <v>11266</v>
      </c>
      <c r="D5" s="24" t="s">
        <v>11267</v>
      </c>
    </row>
    <row r="6" customFormat="false" ht="26.85" hidden="false" customHeight="false" outlineLevel="0" collapsed="false">
      <c r="A6" s="24" t="s">
        <v>11268</v>
      </c>
      <c r="B6" s="24" t="s">
        <v>11269</v>
      </c>
      <c r="C6" s="31" t="s">
        <v>11270</v>
      </c>
      <c r="D6" s="24" t="s">
        <v>11271</v>
      </c>
    </row>
    <row r="7" customFormat="false" ht="26.85" hidden="false" customHeight="false" outlineLevel="0" collapsed="false">
      <c r="A7" s="24" t="s">
        <v>11272</v>
      </c>
      <c r="B7" s="24" t="s">
        <v>11273</v>
      </c>
      <c r="C7" s="31" t="s">
        <v>11274</v>
      </c>
      <c r="D7" s="24" t="s">
        <v>11275</v>
      </c>
    </row>
    <row r="8" customFormat="false" ht="26.85" hidden="false" customHeight="false" outlineLevel="0" collapsed="false">
      <c r="A8" s="24" t="s">
        <v>11276</v>
      </c>
      <c r="B8" s="24" t="s">
        <v>11277</v>
      </c>
      <c r="C8" s="31" t="s">
        <v>11278</v>
      </c>
      <c r="D8" s="24" t="s">
        <v>11279</v>
      </c>
    </row>
    <row r="9" customFormat="false" ht="26.85" hidden="false" customHeight="false" outlineLevel="0" collapsed="false">
      <c r="A9" s="24" t="s">
        <v>11280</v>
      </c>
      <c r="B9" s="24" t="s">
        <v>11281</v>
      </c>
      <c r="C9" s="31" t="s">
        <v>11282</v>
      </c>
      <c r="D9" s="24" t="s">
        <v>11283</v>
      </c>
    </row>
    <row r="10" customFormat="false" ht="39.55" hidden="false" customHeight="false" outlineLevel="0" collapsed="false">
      <c r="A10" s="24" t="s">
        <v>11284</v>
      </c>
      <c r="B10" s="24" t="s">
        <v>11285</v>
      </c>
      <c r="C10" s="31" t="s">
        <v>11286</v>
      </c>
      <c r="D10" s="24" t="s">
        <v>11287</v>
      </c>
    </row>
    <row r="11" customFormat="false" ht="39.55" hidden="false" customHeight="false" outlineLevel="0" collapsed="false">
      <c r="A11" s="24" t="s">
        <v>11288</v>
      </c>
      <c r="B11" s="24" t="s">
        <v>9321</v>
      </c>
      <c r="C11" s="31" t="s">
        <v>11289</v>
      </c>
      <c r="D11" s="24" t="s">
        <v>11290</v>
      </c>
    </row>
    <row r="12" customFormat="false" ht="39.55" hidden="false" customHeight="false" outlineLevel="0" collapsed="false">
      <c r="A12" s="24" t="s">
        <v>11291</v>
      </c>
      <c r="B12" s="24" t="s">
        <v>11292</v>
      </c>
      <c r="C12" s="31" t="s">
        <v>11293</v>
      </c>
      <c r="D12" s="24" t="s">
        <v>11294</v>
      </c>
    </row>
    <row r="13" customFormat="false" ht="39.55" hidden="false" customHeight="false" outlineLevel="0" collapsed="false">
      <c r="A13" s="24" t="s">
        <v>11295</v>
      </c>
      <c r="B13" s="24" t="s">
        <v>11296</v>
      </c>
      <c r="C13" s="31" t="s">
        <v>11297</v>
      </c>
      <c r="D13" s="24" t="s">
        <v>11298</v>
      </c>
    </row>
    <row r="14" customFormat="false" ht="26.85" hidden="false" customHeight="false" outlineLevel="0" collapsed="false">
      <c r="A14" s="24" t="s">
        <v>11299</v>
      </c>
      <c r="B14" s="24" t="s">
        <v>11300</v>
      </c>
      <c r="C14" s="31" t="s">
        <v>11301</v>
      </c>
      <c r="D14" s="24" t="s">
        <v>11302</v>
      </c>
    </row>
    <row r="15" customFormat="false" ht="26.85" hidden="false" customHeight="false" outlineLevel="0" collapsed="false">
      <c r="A15" s="30" t="s">
        <v>11303</v>
      </c>
      <c r="B15" s="24" t="s">
        <v>11304</v>
      </c>
      <c r="C15" s="31" t="s">
        <v>11305</v>
      </c>
      <c r="D15" s="24" t="s">
        <v>11306</v>
      </c>
    </row>
    <row r="16" customFormat="false" ht="26.85" hidden="false" customHeight="false" outlineLevel="0" collapsed="false">
      <c r="A16" s="30" t="s">
        <v>11307</v>
      </c>
      <c r="B16" s="24" t="s">
        <v>11308</v>
      </c>
      <c r="C16" s="31" t="s">
        <v>11309</v>
      </c>
      <c r="D16" s="24" t="s">
        <v>11310</v>
      </c>
    </row>
    <row r="17" customFormat="false" ht="26.85" hidden="false" customHeight="false" outlineLevel="0" collapsed="false">
      <c r="A17" s="30" t="s">
        <v>11311</v>
      </c>
      <c r="B17" s="24" t="s">
        <v>11312</v>
      </c>
      <c r="C17" s="31" t="s">
        <v>11313</v>
      </c>
      <c r="D17" s="24" t="s">
        <v>11314</v>
      </c>
    </row>
    <row r="18" customFormat="false" ht="26.85" hidden="false" customHeight="false" outlineLevel="0" collapsed="false">
      <c r="A18" s="30" t="s">
        <v>11315</v>
      </c>
      <c r="B18" s="24" t="s">
        <v>11316</v>
      </c>
      <c r="C18" s="31" t="s">
        <v>11317</v>
      </c>
      <c r="D18" s="24" t="s">
        <v>11318</v>
      </c>
    </row>
    <row r="19" customFormat="false" ht="26.85" hidden="false" customHeight="false" outlineLevel="0" collapsed="false">
      <c r="A19" s="30" t="s">
        <v>11319</v>
      </c>
      <c r="B19" s="24" t="s">
        <v>11320</v>
      </c>
      <c r="C19" s="31" t="s">
        <v>11321</v>
      </c>
      <c r="D19" s="24" t="s">
        <v>11322</v>
      </c>
    </row>
    <row r="20" customFormat="false" ht="26.85" hidden="false" customHeight="false" outlineLevel="0" collapsed="false">
      <c r="A20" s="30" t="s">
        <v>11323</v>
      </c>
      <c r="B20" s="24" t="s">
        <v>11324</v>
      </c>
      <c r="C20" s="31" t="s">
        <v>11325</v>
      </c>
      <c r="D20" s="24" t="s">
        <v>11326</v>
      </c>
    </row>
    <row r="21" customFormat="false" ht="39.55" hidden="false" customHeight="false" outlineLevel="0" collapsed="false">
      <c r="A21" s="30" t="s">
        <v>11327</v>
      </c>
      <c r="B21" s="24" t="s">
        <v>11328</v>
      </c>
      <c r="C21" s="31" t="s">
        <v>11329</v>
      </c>
      <c r="D21" s="24" t="s">
        <v>11330</v>
      </c>
    </row>
    <row r="22" customFormat="false" ht="39.55" hidden="false" customHeight="false" outlineLevel="0" collapsed="false">
      <c r="A22" s="30" t="s">
        <v>11331</v>
      </c>
      <c r="B22" s="24" t="s">
        <v>11332</v>
      </c>
      <c r="C22" s="31" t="s">
        <v>11333</v>
      </c>
      <c r="D22" s="24" t="s">
        <v>11334</v>
      </c>
    </row>
    <row r="23" customFormat="false" ht="26.85" hidden="false" customHeight="false" outlineLevel="0" collapsed="false">
      <c r="A23" s="30" t="s">
        <v>11335</v>
      </c>
      <c r="B23" s="24" t="s">
        <v>4655</v>
      </c>
      <c r="C23" s="31" t="s">
        <v>11336</v>
      </c>
      <c r="D23" s="24" t="s">
        <v>11337</v>
      </c>
    </row>
    <row r="25" customFormat="false" ht="15" hidden="false" customHeight="false" outlineLevel="0" collapsed="false">
      <c r="A25" s="7" t="s">
        <v>11338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19.7" hidden="false" customHeight="false" outlineLevel="0" collapsed="false">
      <c r="A1" s="1" t="s">
        <v>11339</v>
      </c>
    </row>
    <row r="2" customFormat="false" ht="15" hidden="false" customHeight="false" outlineLevel="0" collapsed="false">
      <c r="A2" s="2" t="s">
        <v>11340</v>
      </c>
    </row>
    <row r="4" customFormat="false" ht="15" hidden="false" customHeight="false" outlineLevel="0" collapsed="false">
      <c r="A4" s="42" t="s">
        <v>11341</v>
      </c>
      <c r="B4" s="42" t="s">
        <v>11342</v>
      </c>
      <c r="C4" s="42" t="s">
        <v>141</v>
      </c>
    </row>
    <row r="5" customFormat="false" ht="15" hidden="false" customHeight="false" outlineLevel="0" collapsed="false">
      <c r="A5" s="24" t="s">
        <v>10445</v>
      </c>
      <c r="B5" s="24" t="s">
        <v>11343</v>
      </c>
      <c r="C5" s="24" t="s">
        <v>11344</v>
      </c>
    </row>
    <row r="6" customFormat="false" ht="15" hidden="false" customHeight="false" outlineLevel="0" collapsed="false">
      <c r="A6" s="24" t="s">
        <v>11345</v>
      </c>
      <c r="B6" s="24" t="s">
        <v>11346</v>
      </c>
      <c r="C6" s="24" t="s">
        <v>11347</v>
      </c>
    </row>
    <row r="7" customFormat="false" ht="15" hidden="false" customHeight="false" outlineLevel="0" collapsed="false">
      <c r="A7" s="24" t="s">
        <v>10464</v>
      </c>
      <c r="B7" s="24" t="s">
        <v>11348</v>
      </c>
      <c r="C7" s="24"/>
    </row>
    <row r="8" customFormat="false" ht="15" hidden="false" customHeight="false" outlineLevel="0" collapsed="false">
      <c r="A8" s="24" t="s">
        <v>11349</v>
      </c>
      <c r="B8" s="24" t="s">
        <v>11350</v>
      </c>
      <c r="C8" s="24" t="s">
        <v>11351</v>
      </c>
    </row>
    <row r="9" customFormat="false" ht="15" hidden="false" customHeight="false" outlineLevel="0" collapsed="false">
      <c r="A9" s="24" t="s">
        <v>11352</v>
      </c>
      <c r="B9" s="24" t="s">
        <v>11353</v>
      </c>
      <c r="C9" s="24" t="s">
        <v>11354</v>
      </c>
    </row>
    <row r="10" customFormat="false" ht="15" hidden="false" customHeight="false" outlineLevel="0" collapsed="false">
      <c r="A10" s="24" t="s">
        <v>11355</v>
      </c>
      <c r="B10" s="24" t="s">
        <v>11356</v>
      </c>
      <c r="C10" s="24"/>
    </row>
    <row r="11" customFormat="false" ht="15" hidden="false" customHeight="false" outlineLevel="0" collapsed="false">
      <c r="A11" s="24" t="s">
        <v>11357</v>
      </c>
      <c r="B11" s="24" t="s">
        <v>11358</v>
      </c>
      <c r="C11" s="24" t="s">
        <v>11359</v>
      </c>
    </row>
    <row r="12" customFormat="false" ht="15" hidden="false" customHeight="false" outlineLevel="0" collapsed="false">
      <c r="A12" s="24" t="s">
        <v>11360</v>
      </c>
      <c r="B12" s="24" t="s">
        <v>11361</v>
      </c>
      <c r="C12" s="24"/>
    </row>
    <row r="13" customFormat="false" ht="15" hidden="false" customHeight="false" outlineLevel="0" collapsed="false">
      <c r="A13" s="24" t="s">
        <v>10603</v>
      </c>
      <c r="B13" s="24" t="s">
        <v>11362</v>
      </c>
      <c r="C13" s="24" t="s">
        <v>11347</v>
      </c>
    </row>
    <row r="14" customFormat="false" ht="15" hidden="false" customHeight="false" outlineLevel="0" collapsed="false">
      <c r="A14" s="24" t="s">
        <v>1024</v>
      </c>
      <c r="B14" s="24" t="s">
        <v>11363</v>
      </c>
      <c r="C14" s="24" t="s">
        <v>11364</v>
      </c>
    </row>
    <row r="15" customFormat="false" ht="26.85" hidden="false" customHeight="false" outlineLevel="0" collapsed="false">
      <c r="A15" s="24" t="s">
        <v>11365</v>
      </c>
      <c r="B15" s="24" t="s">
        <v>4671</v>
      </c>
      <c r="C15" s="24" t="s">
        <v>11366</v>
      </c>
    </row>
    <row r="16" customFormat="false" ht="15" hidden="false" customHeight="false" outlineLevel="0" collapsed="false">
      <c r="A16" s="24" t="s">
        <v>11367</v>
      </c>
      <c r="B16" s="24" t="s">
        <v>11368</v>
      </c>
      <c r="C16" s="24"/>
    </row>
    <row r="17" customFormat="false" ht="15" hidden="false" customHeight="false" outlineLevel="0" collapsed="false">
      <c r="A17" s="24" t="s">
        <v>11369</v>
      </c>
      <c r="B17" s="24" t="s">
        <v>11370</v>
      </c>
      <c r="C17" s="24"/>
    </row>
    <row r="18" customFormat="false" ht="15" hidden="false" customHeight="false" outlineLevel="0" collapsed="false">
      <c r="A18" s="24" t="s">
        <v>11371</v>
      </c>
      <c r="B18" s="24" t="s">
        <v>11372</v>
      </c>
      <c r="C18" s="24" t="s">
        <v>11373</v>
      </c>
    </row>
    <row r="19" customFormat="false" ht="15" hidden="false" customHeight="false" outlineLevel="0" collapsed="false">
      <c r="A19" s="24" t="s">
        <v>11374</v>
      </c>
      <c r="B19" s="24" t="s">
        <v>11375</v>
      </c>
      <c r="C19" s="24" t="s">
        <v>11347</v>
      </c>
    </row>
    <row r="20" customFormat="false" ht="15" hidden="false" customHeight="false" outlineLevel="0" collapsed="false">
      <c r="A20" s="24" t="s">
        <v>11376</v>
      </c>
      <c r="B20" s="24" t="s">
        <v>11377</v>
      </c>
      <c r="C20" s="24"/>
    </row>
    <row r="21" customFormat="false" ht="15" hidden="false" customHeight="false" outlineLevel="0" collapsed="false">
      <c r="A21" s="24" t="s">
        <v>11378</v>
      </c>
      <c r="B21" s="24" t="s">
        <v>11379</v>
      </c>
      <c r="C21" s="24" t="s">
        <v>11380</v>
      </c>
    </row>
    <row r="22" customFormat="false" ht="15" hidden="false" customHeight="false" outlineLevel="0" collapsed="false">
      <c r="A22" s="24" t="s">
        <v>11381</v>
      </c>
      <c r="B22" s="24" t="s">
        <v>11382</v>
      </c>
      <c r="C22" s="24" t="s">
        <v>11383</v>
      </c>
    </row>
    <row r="23" customFormat="false" ht="15" hidden="false" customHeight="false" outlineLevel="0" collapsed="false">
      <c r="A23" s="24" t="s">
        <v>11384</v>
      </c>
      <c r="B23" s="24" t="s">
        <v>11385</v>
      </c>
      <c r="C23" s="24" t="s">
        <v>11386</v>
      </c>
    </row>
    <row r="24" customFormat="false" ht="15" hidden="false" customHeight="false" outlineLevel="0" collapsed="false">
      <c r="A24" s="24" t="s">
        <v>11387</v>
      </c>
      <c r="B24" s="24" t="s">
        <v>11388</v>
      </c>
      <c r="C24" s="24"/>
    </row>
    <row r="25" customFormat="false" ht="15" hidden="false" customHeight="false" outlineLevel="0" collapsed="false">
      <c r="A25" s="24" t="s">
        <v>11389</v>
      </c>
      <c r="B25" s="24" t="s">
        <v>11390</v>
      </c>
      <c r="C25" s="24" t="s">
        <v>11391</v>
      </c>
    </row>
    <row r="26" customFormat="false" ht="15" hidden="false" customHeight="false" outlineLevel="0" collapsed="false">
      <c r="A26" s="24" t="s">
        <v>11392</v>
      </c>
      <c r="B26" s="24" t="s">
        <v>11393</v>
      </c>
      <c r="C26" s="24" t="s">
        <v>11394</v>
      </c>
    </row>
    <row r="27" customFormat="false" ht="15" hidden="false" customHeight="false" outlineLevel="0" collapsed="false">
      <c r="A27" s="24" t="s">
        <v>10791</v>
      </c>
      <c r="B27" s="24" t="s">
        <v>11395</v>
      </c>
      <c r="C27" s="24" t="s">
        <v>11396</v>
      </c>
    </row>
    <row r="28" customFormat="false" ht="26.85" hidden="false" customHeight="false" outlineLevel="0" collapsed="false">
      <c r="A28" s="24" t="s">
        <v>11397</v>
      </c>
      <c r="B28" s="24" t="s">
        <v>11398</v>
      </c>
      <c r="C28" s="24" t="s">
        <v>11347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2026-10-31T09:40:46Z</dcterms:created>
  <dc:creator>openpyxl</dc:creator>
  <dc:description/>
  <dc:language>en-US</dc:language>
  <cp:lastModifiedBy/>
  <dcterms:modified xsi:type="dcterms:W3CDTF">2026-10-31T09:40:50Z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